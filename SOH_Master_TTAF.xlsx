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sheets/sheet23.xml" ContentType="application/vnd.openxmlformats-officedocument.spreadsheetml.worksheet+xml"/>
  <Override PartName="/xl/tables/table1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PlannedOrders" sheetId="8" state="visible" r:id="rId8"/>
    <sheet name="T_OpeningStock" sheetId="9" state="visible" r:id="rId9"/>
    <sheet name="T_StockCount" sheetId="10" state="visible" r:id="rId10"/>
    <sheet name="T_SelfStock" sheetId="11" state="visible" r:id="rId11"/>
    <sheet name="T_TTAFStock" sheetId="12" state="visible" r:id="rId12"/>
    <sheet name="M_RawMaterials" sheetId="13" state="visible" r:id="rId13"/>
    <sheet name="M_BOM" sheetId="14" state="visible" r:id="rId14"/>
    <sheet name="PP_Grid" sheetId="15" state="visible" r:id="rId15"/>
    <sheet name="Cal_Weeks" sheetId="16" state="hidden" r:id="rId16"/>
    <sheet name="M_Intermediates" sheetId="17" state="hidden" r:id="rId17"/>
    <sheet name="M_ProductMap" sheetId="18" state="hidden" r:id="rId18"/>
    <sheet name="Grid_Requirement" sheetId="19" state="hidden" r:id="rId19"/>
    <sheet name="Grid_Incoming" sheetId="20" state="hidden" r:id="rId20"/>
    <sheet name="Grid_Stock" sheetId="21" state="hidden" r:id="rId21"/>
    <sheet name="T_SelfStock_Log" sheetId="22" state="hidden" r:id="rId22"/>
    <sheet name="T_TTAFStock_Log" sheetId="23" state="hidden" r:id="rId2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"/>
    <numFmt numFmtId="166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6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5" fontId="0" fillId="0" borderId="0" pivotButton="0" quotePrefix="0" xfId="0"/>
    <xf numFmtId="164" fontId="0" fillId="2" borderId="0" pivotButton="0" quotePrefix="0" xfId="0"/>
    <xf numFmtId="165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5" authorId="0" shapeId="0">
      <text>
        <t>MOQ(最小発注量)を入力してください（手書きでOK）</t>
      </text>
    </comment>
    <comment ref="C221" authorId="0" shapeId="0">
      <text>
        <t>MOQ(最小発注量)を入力してください（手書きでOK）</t>
      </text>
    </comment>
    <comment ref="C343" authorId="0" shapeId="0">
      <text>
        <t>MOQ(最小発注量)を入力してください（手書きでOK）</t>
      </text>
    </comment>
    <comment ref="C453" authorId="0" shapeId="0">
      <text>
        <t>MOQ(最小発注量)を入力してください（手書きでOK）</t>
      </text>
    </comment>
    <comment ref="C475" authorId="0" shapeId="0">
      <text>
        <t>MOQ(最小発注量)を入力してください（手書きでOK）</t>
      </text>
    </comment>
    <comment ref="C485" authorId="0" shapeId="0">
      <text>
        <t>MOQ(最小発注量)を入力してください（手書きでOK）</t>
      </text>
    </comment>
    <comment ref="C507" authorId="0" shapeId="0">
      <text>
        <t>MOQ(最小発注量)を入力してください（手書きでOK）</t>
      </text>
    </comment>
    <comment ref="C555" authorId="0" shapeId="0">
      <text>
        <t>MOQ(最小発注量)を入力してください（手書きでOK）</t>
      </text>
    </comment>
    <comment ref="C589" authorId="0" shapeId="0">
      <text>
        <t>MOQ(最小発注量)を入力してください（手書きでOK）</t>
      </text>
    </comment>
    <comment ref="C653" authorId="0" shapeId="0">
      <text>
        <t>MOQ(最小発注量)を入力してください（手書きでOK）</t>
      </text>
    </comment>
    <comment ref="C681" authorId="0" shapeId="0">
      <text>
        <t>MOQ(最小発注量)を入力してください（手書きでOK）</t>
      </text>
    </comment>
    <comment ref="C709" authorId="0" shapeId="0">
      <text>
        <t>MOQ(最小発注量)を入力してください（手書きでOK）</t>
      </text>
    </comment>
    <comment ref="C723" authorId="0" shapeId="0">
      <text>
        <t>MOQ(最小発注量)を入力してください（手書きでOK）</t>
      </text>
    </comment>
    <comment ref="C773" authorId="0" shapeId="0">
      <text>
        <t>MOQ(最小発注量)を入力してください（手書きでOK）</t>
      </text>
    </comment>
    <comment ref="C835" authorId="0" shapeId="0">
      <text>
        <t>MOQ(最小発注量)を入力してください（手書きでOK）</t>
      </text>
    </comment>
    <comment ref="C849" authorId="0" shapeId="0">
      <text>
        <t>MOQ(最小発注量)を入力してください（手書きでOK）</t>
      </text>
    </comment>
    <comment ref="C895" authorId="0" shapeId="0">
      <text>
        <t>MOQ(最小発注量)を入力してください（手書きでOK）</t>
      </text>
    </comment>
    <comment ref="C923" authorId="0" shapeId="0">
      <text>
        <t>MOQ(最小発注量)を入力してください（手書きでOK）</t>
      </text>
    </comment>
    <comment ref="C959" authorId="0" shapeId="0">
      <text>
        <t>MOQ(最小発注量)を入力してください（手書きでOK）</t>
      </text>
    </comment>
    <comment ref="C973" authorId="0" shapeId="0">
      <text>
        <t>MOQ(最小発注量)を入力してください（手書きでOK）</t>
      </text>
    </comment>
    <comment ref="C1003" authorId="0" shapeId="0">
      <text>
        <t>MOQ(最小発注量)を入力してください（手書きでOK）</t>
      </text>
    </comment>
    <comment ref="C1017" authorId="0" shapeId="0">
      <text>
        <t>MOQ(最小発注量)を入力してください（手書きでOK）</t>
      </text>
    </comment>
    <comment ref="C1029" authorId="0" shapeId="0">
      <text>
        <t>MOQ(最小発注量)を入力してください（手書きでOK）</t>
      </text>
    </comment>
    <comment ref="C1039" authorId="0" shapeId="0">
      <text>
        <t>MOQ(最小発注量)を入力してください（手書きでOK）</t>
      </text>
    </comment>
    <comment ref="C1049" authorId="0" shapeId="0">
      <text>
        <t>MOQ(最小発注量)を入力してください（手書きでOK）</t>
      </text>
    </comment>
    <comment ref="C1059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79" authorId="0" shapeId="0">
      <text>
        <t>MOQ(最小発注量)を入力してください（手書きでOK）</t>
      </text>
    </comment>
    <comment ref="C1089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13" authorId="0" shapeId="0">
      <text>
        <t>MOQ(最小発注量)を入力してください（手書きでOK）</t>
      </text>
    </comment>
    <comment ref="C1131" authorId="0" shapeId="0">
      <text>
        <t>MOQ(最小発注量)を入力してください（手書きでOK）</t>
      </text>
    </comment>
    <comment ref="C1175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I245" headerRowCount="1">
  <autoFilter ref="A1:I245"/>
  <tableColumns count="9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  <tableColumn id="9" name="Order_Month"/>
  </tableColumns>
  <tableStyleInfo name="TableStyleMedium9" showRowStripes="1"/>
</table>
</file>

<file path=xl/tables/table2.xml><?xml version="1.0" encoding="utf-8"?>
<table xmlns="http://schemas.openxmlformats.org/spreadsheetml/2006/main" id="2" name="T_PlannedOrders" displayName="T_PlannedOrders" ref="A1:G2" headerRowCount="1">
  <autoFilter ref="A1:G2"/>
  <tableColumns count="7">
    <tableColumn id="1" name="Part Name"/>
    <tableColumn id="2" name="Qty"/>
    <tableColumn id="3" name="Target_Delivery_Date"/>
    <tableColumn id="4" name="WeekIndex"/>
    <tableColumn id="5" name="Order_Month"/>
    <tableColumn id="6" name="IsReconciled"/>
    <tableColumn id="7" name="EffectiveQty"/>
  </tableColumns>
  <tableStyleInfo name="TableStyleMedium9" showRowStripes="1"/>
</table>
</file>

<file path=xl/tables/table3.xml><?xml version="1.0" encoding="utf-8"?>
<table xmlns="http://schemas.openxmlformats.org/spreadsheetml/2006/main" id="3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4.xml><?xml version="1.0" encoding="utf-8"?>
<table xmlns="http://schemas.openxmlformats.org/spreadsheetml/2006/main" id="4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5.xml><?xml version="1.0" encoding="utf-8"?>
<table xmlns="http://schemas.openxmlformats.org/spreadsheetml/2006/main" id="5" name="M_RawMaterials" displayName="M_RawMaterials" ref="A1:I45" headerRowCount="1">
  <autoFilter ref="A1:I45"/>
  <tableColumns count="9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  <tableColumn id="9" name="TTAF_Code"/>
  </tableColumns>
  <tableStyleInfo name="TableStyleMedium9" showRowStripes="1"/>
</table>
</file>

<file path=xl/tables/table6.xml><?xml version="1.0" encoding="utf-8"?>
<table xmlns="http://schemas.openxmlformats.org/spreadsheetml/2006/main" id="6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7.xml><?xml version="1.0" encoding="utf-8"?>
<table xmlns="http://schemas.openxmlformats.org/spreadsheetml/2006/main" id="7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8.xml><?xml version="1.0" encoding="utf-8"?>
<table xmlns="http://schemas.openxmlformats.org/spreadsheetml/2006/main" id="8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9.xml><?xml version="1.0" encoding="utf-8"?>
<table xmlns="http://schemas.openxmlformats.org/spreadsheetml/2006/main" id="9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10.xml><?xml version="1.0" encoding="utf-8"?>
<table xmlns="http://schemas.openxmlformats.org/spreadsheetml/2006/main" id="10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1.xml><?xml version="1.0" encoding="utf-8"?>
<table xmlns="http://schemas.openxmlformats.org/spreadsheetml/2006/main" id="11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4.xml><?xml version="1.0" encoding="utf-8"?>
<table xmlns="http://schemas.openxmlformats.org/spreadsheetml/2006/main" id="14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5.xml><?xml version="1.0" encoding="utf-8"?>
<table xmlns="http://schemas.openxmlformats.org/spreadsheetml/2006/main" id="15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PlannedOrders'!A1" TargetMode="External" Id="rId7" /><Relationship Type="http://schemas.openxmlformats.org/officeDocument/2006/relationships/hyperlink" Target="#'T_OpeningStock'!A1" TargetMode="External" Id="rId8" /><Relationship Type="http://schemas.openxmlformats.org/officeDocument/2006/relationships/hyperlink" Target="#'T_StockCount'!A1" TargetMode="External" Id="rId9" /><Relationship Type="http://schemas.openxmlformats.org/officeDocument/2006/relationships/hyperlink" Target="#'T_SelfStock'!A1" TargetMode="External" Id="rId10" /><Relationship Type="http://schemas.openxmlformats.org/officeDocument/2006/relationships/hyperlink" Target="#'T_TTAFStock'!A1" TargetMode="External" Id="rId1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発注・着荷の入力（TTAF供給材料はTTAF倉庫への到着実績を表す）</t>
        </is>
      </c>
    </row>
    <row r="9">
      <c r="A9" s="3" t="inlineStr">
        <is>
          <t>▶ T_PlannedOrders - 計画中の発注の入力（PO Noが出る前の予定分。Material_DetailのOrder行に反映）</t>
        </is>
      </c>
    </row>
    <row r="10">
      <c r="A10" s="3" t="inlineStr">
        <is>
          <t>▶ T_OpeningStock - 期首在庫の入力</t>
        </is>
      </c>
    </row>
    <row r="11">
      <c r="A11" s="3" t="inlineStr">
        <is>
          <t>▶ T_StockCount - 棚卸実績の入力</t>
        </is>
      </c>
    </row>
    <row r="12">
      <c r="A12" s="3" t="inlineStr">
        <is>
          <t>▶ T_SelfStock - 自社倉庫の在庫実績（材料×週。RefreshSelfStockで自動更新）</t>
        </is>
      </c>
    </row>
    <row r="13">
      <c r="A13" s="3" t="inlineStr">
        <is>
          <t>▶ T_TTAFStock - TTAF倉庫の在庫実績（材料×週。RefreshTTAFStockで自動更新）</t>
        </is>
      </c>
    </row>
    <row r="15">
      <c r="A15" t="inlineStr"/>
    </row>
    <row r="16">
      <c r="A16" t="inlineStr">
        <is>
          <t>このブックはPower BI等に読み込ませる中間テーブルではなく、これ自体が完成品です。</t>
        </is>
      </c>
    </row>
    <row r="17">
      <c r="A17" t="inlineStr">
        <is>
          <t>Dashboard と PO_Draft_* が最終的な閲覧・発注画面、それ以外は計算の土台です。</t>
        </is>
      </c>
    </row>
    <row r="18">
      <c r="A18" t="inlineStr"/>
    </row>
    <row r="19">
      <c r="A19" t="inlineStr">
        <is>
          <t>【週番号のルール】すべてExcelの数式で計算（Cal_WeeksのB1=AnchorYearを変えると全体が再計算）</t>
        </is>
      </c>
    </row>
    <row r="20">
      <c r="A20" t="inlineStr">
        <is>
          <t xml:space="preserve">  Week1=1月1日を含む月〜日の週。年が変わると再び1にリセットされます（2026-W52の次は2027-W01）。</t>
        </is>
      </c>
    </row>
    <row r="21">
      <c r="A21" t="inlineStr">
        <is>
          <t xml:space="preserve">  各シートの週見出しは3段: 1段目=月-年(Aug-26等) / 2段目=その週月曜の日付 / 3段目=週No。</t>
        </is>
      </c>
    </row>
    <row r="22">
      <c r="A22" t="inlineStr"/>
    </row>
    <row r="23">
      <c r="A23" t="inlineStr">
        <is>
          <t>【普段見るシート】</t>
        </is>
      </c>
    </row>
    <row r="24">
      <c r="A24" t="inlineStr">
        <is>
          <t xml:space="preserve">  Dashboard           : 原材料×週の在庫を2年分、横軸で見渡せるメイン画面（まずここ）。</t>
        </is>
      </c>
    </row>
    <row r="25">
      <c r="A25" t="inlineStr">
        <is>
          <t xml:space="preserve">                        自社在庫(実績)・TTAF在庫(実績)・実績週の列で内訳も確認できます。</t>
        </is>
      </c>
    </row>
    <row r="26">
      <c r="A26" t="inlineStr">
        <is>
          <t xml:space="preserve">                        基準在庫(下限/上限)を入力すると、各週のセルが赤(下限未満)/</t>
        </is>
      </c>
    </row>
    <row r="27">
      <c r="A27" t="inlineStr">
        <is>
          <t xml:space="preserve">                        緑(範囲内)/青(上限超)に自動で色分けされます。</t>
        </is>
      </c>
    </row>
    <row r="28">
      <c r="A28" t="inlineStr">
        <is>
          <t xml:space="preserve">                        C1に'W23'のように入力すると（現在年の週Noとして検索）、</t>
        </is>
      </c>
    </row>
    <row r="29">
      <c r="A29" t="inlineStr">
        <is>
          <t xml:space="preserve">                        該当する週の列が太枠でハイライトされます。VBA(JumpToSelectedWeek、</t>
        </is>
      </c>
    </row>
    <row r="30">
      <c r="A30" t="inlineStr">
        <is>
          <t xml:space="preserve">                        要ボタン設定・詳細はdocs/SOH_System_Guide.md)を導入していれば、</t>
        </is>
      </c>
    </row>
    <row r="31">
      <c r="A31" t="inlineStr">
        <is>
          <t xml:space="preserve">                        実績週のすぐ右にその週の列が来るよう自動でスクロールもされます。</t>
        </is>
      </c>
    </row>
    <row r="32">
      <c r="A32" t="inlineStr">
        <is>
          <t xml:space="preserve">  Material_Detail     : 材料ごとに「どの中間体が・何バッチ・いくら使うか」をブロック表示（トレーサビリティ）。</t>
        </is>
      </c>
    </row>
    <row r="33">
      <c r="A33" t="inlineStr">
        <is>
          <t xml:space="preserve">                        Dashboardと同様にC1に'W23'のように入力すると該当週が求まり、</t>
        </is>
      </c>
    </row>
    <row r="34">
      <c r="A34" t="inlineStr">
        <is>
          <t xml:space="preserve">                        VBA導入時はその週列のすぐ右に自動でスクロールします。</t>
        </is>
      </c>
    </row>
    <row r="35">
      <c r="A35" t="inlineStr">
        <is>
          <t xml:space="preserve">                        材料名の右のC列にMOQ(最小発注量)を手入力できます。</t>
        </is>
      </c>
    </row>
    <row r="36">
      <c r="A36" t="inlineStr">
        <is>
          <t xml:space="preserve">                        合計使用量の下にTTAF在庫実績・自社在庫実績・Order(発注予定)・</t>
        </is>
      </c>
    </row>
    <row r="37">
      <c r="A37" t="inlineStr">
        <is>
          <t xml:space="preserve">                        合計在庫(週末時点)の週次推移も表示されます。</t>
        </is>
      </c>
    </row>
    <row r="38">
      <c r="A38" t="inlineStr">
        <is>
          <t xml:space="preserve">                        HideInactiveIntermediatesマクロ(要ボタン設定)で、指定期間ずっと生産予定の無い</t>
        </is>
      </c>
    </row>
    <row r="39">
      <c r="A39" t="inlineStr">
        <is>
          <t xml:space="preserve">                        中間体の行を折りたためます（在庫関連の行は常に表示されたままです）。</t>
        </is>
      </c>
    </row>
    <row r="40">
      <c r="A40" t="inlineStr">
        <is>
          <t xml:space="preserve">  PO_Draft_*          : 要発注分を注文書ひな形に自動転記</t>
        </is>
      </c>
    </row>
    <row r="41">
      <c r="A41" t="inlineStr">
        <is>
          <t xml:space="preserve">  T_Shipments         : 発注・着荷の入力。TTAF供給材料については「TTAF倉庫への到着実績」を</t>
        </is>
      </c>
    </row>
    <row r="42">
      <c r="A42" t="inlineStr">
        <is>
          <t xml:space="preserve">                        表します(TTAFは仕入先であり倉庫でもあるため)。TTAF以外の材料は</t>
        </is>
      </c>
    </row>
    <row r="43">
      <c r="A43" t="inlineStr">
        <is>
          <t xml:space="preserve">                        従来通り弊社への入庫実績です。RefreshShipmentsFromCSAでCSA Reportの</t>
        </is>
      </c>
    </row>
    <row r="44">
      <c r="A44" t="inlineStr">
        <is>
          <t xml:space="preserve">                        Shipping Scheduleから一括更新できます（手入力も可）。</t>
        </is>
      </c>
    </row>
    <row r="45">
      <c r="A45" t="inlineStr">
        <is>
          <t xml:space="preserve">  T_PlannedOrders     : PO Noがまだ出ていない「計画中の発注」の入力（材料名・数量・納品予定日・</t>
        </is>
      </c>
    </row>
    <row r="46">
      <c r="A46" t="inlineStr">
        <is>
          <t xml:space="preserve">                        発注月）。Material_Detailの「Order」行に反映されます。同じ材料・発注月の</t>
        </is>
      </c>
    </row>
    <row r="47">
      <c r="A47" t="inlineStr">
        <is>
          <t xml:space="preserve">                        実データがT_Shipments(RefreshShipmentsFromCSAで毎週更新)に現れたら</t>
        </is>
      </c>
    </row>
    <row r="48">
      <c r="A48" t="inlineStr">
        <is>
          <t xml:space="preserve">                        自動的に消え（二重計上防止）、手動削除は不要です。</t>
        </is>
      </c>
    </row>
    <row r="49">
      <c r="A49" t="inlineStr">
        <is>
          <t xml:space="preserve">  T_OpeningStock/T_StockCount : 入力用</t>
        </is>
      </c>
    </row>
    <row r="50">
      <c r="A50" t="inlineStr">
        <is>
          <t xml:space="preserve">  T_SelfStock/T_TTAFStock : 材料×週のグリッドで自社/TTAF在庫実績を表示（出力・閲覧用）。</t>
        </is>
      </c>
    </row>
    <row r="51">
      <c r="A51" t="inlineStr">
        <is>
          <t xml:space="preserve">                        RefreshSelfStock/RefreshTTAFStockで更新されます。手入力はしないでください</t>
        </is>
      </c>
    </row>
    <row r="52">
      <c r="A52" t="inlineStr">
        <is>
          <t xml:space="preserve">                        （生データは非表示のT_SelfStock_Log/T_TTAFStock_Logに安全に保存されています）。</t>
        </is>
      </c>
    </row>
    <row r="53">
      <c r="A53" t="inlineStr"/>
    </row>
    <row r="54">
      <c r="A54" t="inlineStr">
        <is>
          <t xml:space="preserve">  M_RawMaterials・M_BOM・PP_Grid・Grid_Stock・その他非表示シートは内部計算用です。通常は開く必要はありません。</t>
        </is>
      </c>
    </row>
    <row r="55">
      <c r="A55" t="inlineStr"/>
    </row>
    <row r="56">
      <c r="A56" t="inlineStr">
        <is>
          <t>【重要】原単位・バッチ数・自社/TTAF在庫・発注実績はPythonを使わず、Excel(VBA)マクロだけで更新できます。</t>
        </is>
      </c>
    </row>
    <row r="57">
      <c r="A57" t="inlineStr">
        <is>
          <t xml:space="preserve">  macros/RefreshData.bas を導入し、RefreshWeeklyBatches / RefreshBOM / RefreshSelfStock /</t>
        </is>
      </c>
    </row>
    <row r="58">
      <c r="A58" t="inlineStr">
        <is>
          <t xml:space="preserve">  RefreshTTAFStock / RefreshShipmentsFromCSA を実行してください（対象ファイルを選ぶだけです。</t>
        </is>
      </c>
    </row>
    <row r="59">
      <c r="A59" t="inlineStr">
        <is>
          <t xml:space="preserve">  詳細はdocs/SOH_System_Guide.md、未検証のため要動作確認）。</t>
        </is>
      </c>
    </row>
    <row r="60">
      <c r="A60" t="inlineStr">
        <is>
          <t xml:space="preserve">  T_Shipments・T_OpeningStock・T_StockCount・T_PlannedOrders等の入力内容は上書きされません</t>
        </is>
      </c>
    </row>
    <row r="61">
      <c r="A61" t="inlineStr">
        <is>
          <t xml:space="preserve">  （T_ShipmentsはRefreshShipmentsFromCSAを実行した場合のみ更新されます）。</t>
        </is>
      </c>
    </row>
    <row r="62">
      <c r="A62" t="inlineStr">
        <is>
          <t xml:space="preserve">  Material_Detailの中間体の行を隠す/戻すHideInactiveIntermediates / ShowAllIntermediatesは、</t>
        </is>
      </c>
    </row>
    <row r="63">
      <c r="A63" t="inlineStr">
        <is>
          <t xml:space="preserve">  ボタンへの割り当てが必要な一度だけの手動設定です（詳細はdocs/SOH_System_Guide.md）。</t>
        </is>
      </c>
    </row>
    <row r="64">
      <c r="A64" t="inlineStr"/>
    </row>
    <row r="65">
      <c r="A65" t="inlineStr">
        <is>
          <t>【毎月の運用】</t>
        </is>
      </c>
    </row>
    <row r="66">
      <c r="A66" t="inlineStr">
        <is>
          <t xml:space="preserve">  1. 「Powder &amp; Slurry &amp; Pgm Plan」の新しい月版でRefreshWeeklyBatchesを実行</t>
        </is>
      </c>
    </row>
    <row r="67">
      <c r="A67" t="inlineStr">
        <is>
          <t xml:space="preserve">  2. 「Usage from Production Engineering」が更新されていればRefreshBOMを実行</t>
        </is>
      </c>
    </row>
    <row r="68">
      <c r="A68" t="inlineStr">
        <is>
          <t xml:space="preserve">  3. 自社倉庫の現物確認を実施したらRefreshSelfStockを実行</t>
        </is>
      </c>
    </row>
    <row r="69">
      <c r="A69" t="inlineStr">
        <is>
          <t xml:space="preserve">  4. CSA Reportが毎週月曜に届いたらRefreshTTAFStockとRefreshShipmentsFromCSAを実行</t>
        </is>
      </c>
    </row>
    <row r="70">
      <c r="A70" t="inlineStr">
        <is>
          <t xml:space="preserve">  5. 新しく発注したらT_PlannedOrdersに追記（材料名・数量・納品予定日・発注月）</t>
        </is>
      </c>
    </row>
    <row r="71">
      <c r="A71" t="inlineStr">
        <is>
          <t xml:space="preserve">  6. 棚卸を実施したらT_StockCountに実測値を追記（Date列に実施日を入力。WeekIndex列は自動計算）</t>
        </is>
      </c>
    </row>
    <row r="72">
      <c r="A72" t="inlineStr">
        <is>
          <t xml:space="preserve">  7. Dashboardで赤色(基準在庫の下限未満)の週を確認し、PO_Draft_*から注文書を出力</t>
        </is>
      </c>
    </row>
    <row r="73">
      <c r="A73" t="inlineStr">
        <is>
          <t xml:space="preserve">  8. 月初は、前月最終週と当月頭のDashboardを見比べて在庫差異を確認（Plan Increase and Decrease /</t>
        </is>
      </c>
    </row>
    <row r="74">
      <c r="A74" t="inlineStr">
        <is>
          <t xml:space="preserve">     Inventory Releasesの報告フォーマットに転記）</t>
        </is>
      </c>
    </row>
    <row r="75">
      <c r="A75" t="inlineStr"/>
    </row>
    <row r="76">
      <c r="A76" t="inlineStr">
        <is>
          <t>【前提・要確認事項】詳細はdocs/SOH_System_Guide.mdを参照</t>
        </is>
      </c>
    </row>
    <row r="77">
      <c r="A77" t="inlineStr">
        <is>
          <t xml:space="preserve">  - M_RawMaterials の基準在庫(下限/上限)とLeadTime_Weeksは仮値(0)です。実際の水準に置き換えてください</t>
        </is>
      </c>
    </row>
    <row r="78">
      <c r="A78" t="inlineStr">
        <is>
          <t xml:space="preserve">    （Dashboardの週次セルの赤/緑/青の色分けに使われます）。</t>
        </is>
      </c>
    </row>
    <row r="79">
      <c r="A79" t="inlineStr">
        <is>
          <t xml:space="preserve">  - Categoryの割り当て(Chemical/Hazardous Chemical/Substrate)は入手データから機械的に推定した部分があります。要レビュー。</t>
        </is>
      </c>
    </row>
    <row r="80">
      <c r="A80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85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t="inlineStr">
        <is>
          <t>Order(発注予定,kg)</t>
        </is>
      </c>
      <c r="D41">
        <f>IF(SUMIFS(T_PlannedOrders[EffectiveQty],T_PlannedOrders[Part Name],$A7,T_PlannedOrders[WeekIndex],1)=0,"",SUMIFS(T_PlannedOrders[EffectiveQty],T_PlannedOrders[Part Name],$A7,T_PlannedOrders[WeekIndex],1)&amp;" ("&amp;TEXT(SUMPRODUCT(MAX((T_PlannedOrders[Part Name]=$A7)*(T_PlannedOrders[WeekIndex]=1)*(T_PlannedOrders[EffectiveQty]&gt;0)*T_PlannedOrders[Order_Month])),"m月")&amp;"発注)")</f>
        <v/>
      </c>
      <c r="E41">
        <f>IF(SUMIFS(T_PlannedOrders[EffectiveQty],T_PlannedOrders[Part Name],$A7,T_PlannedOrders[WeekIndex],2)=0,"",SUMIFS(T_PlannedOrders[EffectiveQty],T_PlannedOrders[Part Name],$A7,T_PlannedOrders[WeekIndex],2)&amp;" ("&amp;TEXT(SUMPRODUCT(MAX((T_PlannedOrders[Part Name]=$A7)*(T_PlannedOrders[WeekIndex]=2)*(T_PlannedOrders[EffectiveQty]&gt;0)*T_PlannedOrders[Order_Month])),"m月")&amp;"発注)")</f>
        <v/>
      </c>
      <c r="F41">
        <f>IF(SUMIFS(T_PlannedOrders[EffectiveQty],T_PlannedOrders[Part Name],$A7,T_PlannedOrders[WeekIndex],3)=0,"",SUMIFS(T_PlannedOrders[EffectiveQty],T_PlannedOrders[Part Name],$A7,T_PlannedOrders[WeekIndex],3)&amp;" ("&amp;TEXT(SUMPRODUCT(MAX((T_PlannedOrders[Part Name]=$A7)*(T_PlannedOrders[WeekIndex]=3)*(T_PlannedOrders[EffectiveQty]&gt;0)*T_PlannedOrders[Order_Month])),"m月")&amp;"発注)")</f>
        <v/>
      </c>
      <c r="G41">
        <f>IF(SUMIFS(T_PlannedOrders[EffectiveQty],T_PlannedOrders[Part Name],$A7,T_PlannedOrders[WeekIndex],4)=0,"",SUMIFS(T_PlannedOrders[EffectiveQty],T_PlannedOrders[Part Name],$A7,T_PlannedOrders[WeekIndex],4)&amp;" ("&amp;TEXT(SUMPRODUCT(MAX((T_PlannedOrders[Part Name]=$A7)*(T_PlannedOrders[WeekIndex]=4)*(T_PlannedOrders[EffectiveQty]&gt;0)*T_PlannedOrders[Order_Month])),"m月")&amp;"発注)")</f>
        <v/>
      </c>
      <c r="H41">
        <f>IF(SUMIFS(T_PlannedOrders[EffectiveQty],T_PlannedOrders[Part Name],$A7,T_PlannedOrders[WeekIndex],5)=0,"",SUMIFS(T_PlannedOrders[EffectiveQty],T_PlannedOrders[Part Name],$A7,T_PlannedOrders[WeekIndex],5)&amp;" ("&amp;TEXT(SUMPRODUCT(MAX((T_PlannedOrders[Part Name]=$A7)*(T_PlannedOrders[WeekIndex]=5)*(T_PlannedOrders[EffectiveQty]&gt;0)*T_PlannedOrders[Order_Month])),"m月")&amp;"発注)")</f>
        <v/>
      </c>
      <c r="I41">
        <f>IF(SUMIFS(T_PlannedOrders[EffectiveQty],T_PlannedOrders[Part Name],$A7,T_PlannedOrders[WeekIndex],6)=0,"",SUMIFS(T_PlannedOrders[EffectiveQty],T_PlannedOrders[Part Name],$A7,T_PlannedOrders[WeekIndex],6)&amp;" ("&amp;TEXT(SUMPRODUCT(MAX((T_PlannedOrders[Part Name]=$A7)*(T_PlannedOrders[WeekIndex]=6)*(T_PlannedOrders[EffectiveQty]&gt;0)*T_PlannedOrders[Order_Month])),"m月")&amp;"発注)")</f>
        <v/>
      </c>
      <c r="J41">
        <f>IF(SUMIFS(T_PlannedOrders[EffectiveQty],T_PlannedOrders[Part Name],$A7,T_PlannedOrders[WeekIndex],7)=0,"",SUMIFS(T_PlannedOrders[EffectiveQty],T_PlannedOrders[Part Name],$A7,T_PlannedOrders[WeekIndex],7)&amp;" ("&amp;TEXT(SUMPRODUCT(MAX((T_PlannedOrders[Part Name]=$A7)*(T_PlannedOrders[WeekIndex]=7)*(T_PlannedOrders[EffectiveQty]&gt;0)*T_PlannedOrders[Order_Month])),"m月")&amp;"発注)")</f>
        <v/>
      </c>
      <c r="K41">
        <f>IF(SUMIFS(T_PlannedOrders[EffectiveQty],T_PlannedOrders[Part Name],$A7,T_PlannedOrders[WeekIndex],8)=0,"",SUMIFS(T_PlannedOrders[EffectiveQty],T_PlannedOrders[Part Name],$A7,T_PlannedOrders[WeekIndex],8)&amp;" ("&amp;TEXT(SUMPRODUCT(MAX((T_PlannedOrders[Part Name]=$A7)*(T_PlannedOrders[WeekIndex]=8)*(T_PlannedOrders[EffectiveQty]&gt;0)*T_PlannedOrders[Order_Month])),"m月")&amp;"発注)")</f>
        <v/>
      </c>
      <c r="L41">
        <f>IF(SUMIFS(T_PlannedOrders[EffectiveQty],T_PlannedOrders[Part Name],$A7,T_PlannedOrders[WeekIndex],9)=0,"",SUMIFS(T_PlannedOrders[EffectiveQty],T_PlannedOrders[Part Name],$A7,T_PlannedOrders[WeekIndex],9)&amp;" ("&amp;TEXT(SUMPRODUCT(MAX((T_PlannedOrders[Part Name]=$A7)*(T_PlannedOrders[WeekIndex]=9)*(T_PlannedOrders[EffectiveQty]&gt;0)*T_PlannedOrders[Order_Month])),"m月")&amp;"発注)")</f>
        <v/>
      </c>
      <c r="M41">
        <f>IF(SUMIFS(T_PlannedOrders[EffectiveQty],T_PlannedOrders[Part Name],$A7,T_PlannedOrders[WeekIndex],10)=0,"",SUMIFS(T_PlannedOrders[EffectiveQty],T_PlannedOrders[Part Name],$A7,T_PlannedOrders[WeekIndex],10)&amp;" ("&amp;TEXT(SUMPRODUCT(MAX((T_PlannedOrders[Part Name]=$A7)*(T_PlannedOrders[WeekIndex]=10)*(T_PlannedOrders[EffectiveQty]&gt;0)*T_PlannedOrders[Order_Month])),"m月")&amp;"発注)")</f>
        <v/>
      </c>
      <c r="N41">
        <f>IF(SUMIFS(T_PlannedOrders[EffectiveQty],T_PlannedOrders[Part Name],$A7,T_PlannedOrders[WeekIndex],11)=0,"",SUMIFS(T_PlannedOrders[EffectiveQty],T_PlannedOrders[Part Name],$A7,T_PlannedOrders[WeekIndex],11)&amp;" ("&amp;TEXT(SUMPRODUCT(MAX((T_PlannedOrders[Part Name]=$A7)*(T_PlannedOrders[WeekIndex]=11)*(T_PlannedOrders[EffectiveQty]&gt;0)*T_PlannedOrders[Order_Month])),"m月")&amp;"発注)")</f>
        <v/>
      </c>
      <c r="O41">
        <f>IF(SUMIFS(T_PlannedOrders[EffectiveQty],T_PlannedOrders[Part Name],$A7,T_PlannedOrders[WeekIndex],12)=0,"",SUMIFS(T_PlannedOrders[EffectiveQty],T_PlannedOrders[Part Name],$A7,T_PlannedOrders[WeekIndex],12)&amp;" ("&amp;TEXT(SUMPRODUCT(MAX((T_PlannedOrders[Part Name]=$A7)*(T_PlannedOrders[WeekIndex]=12)*(T_PlannedOrders[EffectiveQty]&gt;0)*T_PlannedOrders[Order_Month])),"m月")&amp;"発注)")</f>
        <v/>
      </c>
      <c r="P41">
        <f>IF(SUMIFS(T_PlannedOrders[EffectiveQty],T_PlannedOrders[Part Name],$A7,T_PlannedOrders[WeekIndex],13)=0,"",SUMIFS(T_PlannedOrders[EffectiveQty],T_PlannedOrders[Part Name],$A7,T_PlannedOrders[WeekIndex],13)&amp;" ("&amp;TEXT(SUMPRODUCT(MAX((T_PlannedOrders[Part Name]=$A7)*(T_PlannedOrders[WeekIndex]=13)*(T_PlannedOrders[EffectiveQty]&gt;0)*T_PlannedOrders[Order_Month])),"m月")&amp;"発注)")</f>
        <v/>
      </c>
      <c r="Q41">
        <f>IF(SUMIFS(T_PlannedOrders[EffectiveQty],T_PlannedOrders[Part Name],$A7,T_PlannedOrders[WeekIndex],14)=0,"",SUMIFS(T_PlannedOrders[EffectiveQty],T_PlannedOrders[Part Name],$A7,T_PlannedOrders[WeekIndex],14)&amp;" ("&amp;TEXT(SUMPRODUCT(MAX((T_PlannedOrders[Part Name]=$A7)*(T_PlannedOrders[WeekIndex]=14)*(T_PlannedOrders[EffectiveQty]&gt;0)*T_PlannedOrders[Order_Month])),"m月")&amp;"発注)")</f>
        <v/>
      </c>
      <c r="R41">
        <f>IF(SUMIFS(T_PlannedOrders[EffectiveQty],T_PlannedOrders[Part Name],$A7,T_PlannedOrders[WeekIndex],15)=0,"",SUMIFS(T_PlannedOrders[EffectiveQty],T_PlannedOrders[Part Name],$A7,T_PlannedOrders[WeekIndex],15)&amp;" ("&amp;TEXT(SUMPRODUCT(MAX((T_PlannedOrders[Part Name]=$A7)*(T_PlannedOrders[WeekIndex]=15)*(T_PlannedOrders[EffectiveQty]&gt;0)*T_PlannedOrders[Order_Month])),"m月")&amp;"発注)")</f>
        <v/>
      </c>
      <c r="S41">
        <f>IF(SUMIFS(T_PlannedOrders[EffectiveQty],T_PlannedOrders[Part Name],$A7,T_PlannedOrders[WeekIndex],16)=0,"",SUMIFS(T_PlannedOrders[EffectiveQty],T_PlannedOrders[Part Name],$A7,T_PlannedOrders[WeekIndex],16)&amp;" ("&amp;TEXT(SUMPRODUCT(MAX((T_PlannedOrders[Part Name]=$A7)*(T_PlannedOrders[WeekIndex]=16)*(T_PlannedOrders[EffectiveQty]&gt;0)*T_PlannedOrders[Order_Month])),"m月")&amp;"発注)")</f>
        <v/>
      </c>
      <c r="T41">
        <f>IF(SUMIFS(T_PlannedOrders[EffectiveQty],T_PlannedOrders[Part Name],$A7,T_PlannedOrders[WeekIndex],17)=0,"",SUMIFS(T_PlannedOrders[EffectiveQty],T_PlannedOrders[Part Name],$A7,T_PlannedOrders[WeekIndex],17)&amp;" ("&amp;TEXT(SUMPRODUCT(MAX((T_PlannedOrders[Part Name]=$A7)*(T_PlannedOrders[WeekIndex]=17)*(T_PlannedOrders[EffectiveQty]&gt;0)*T_PlannedOrders[Order_Month])),"m月")&amp;"発注)")</f>
        <v/>
      </c>
      <c r="U41">
        <f>IF(SUMIFS(T_PlannedOrders[EffectiveQty],T_PlannedOrders[Part Name],$A7,T_PlannedOrders[WeekIndex],18)=0,"",SUMIFS(T_PlannedOrders[EffectiveQty],T_PlannedOrders[Part Name],$A7,T_PlannedOrders[WeekIndex],18)&amp;" ("&amp;TEXT(SUMPRODUCT(MAX((T_PlannedOrders[Part Name]=$A7)*(T_PlannedOrders[WeekIndex]=18)*(T_PlannedOrders[EffectiveQty]&gt;0)*T_PlannedOrders[Order_Month])),"m月")&amp;"発注)")</f>
        <v/>
      </c>
      <c r="V41">
        <f>IF(SUMIFS(T_PlannedOrders[EffectiveQty],T_PlannedOrders[Part Name],$A7,T_PlannedOrders[WeekIndex],19)=0,"",SUMIFS(T_PlannedOrders[EffectiveQty],T_PlannedOrders[Part Name],$A7,T_PlannedOrders[WeekIndex],19)&amp;" ("&amp;TEXT(SUMPRODUCT(MAX((T_PlannedOrders[Part Name]=$A7)*(T_PlannedOrders[WeekIndex]=19)*(T_PlannedOrders[EffectiveQty]&gt;0)*T_PlannedOrders[Order_Month])),"m月")&amp;"発注)")</f>
        <v/>
      </c>
      <c r="W41">
        <f>IF(SUMIFS(T_PlannedOrders[EffectiveQty],T_PlannedOrders[Part Name],$A7,T_PlannedOrders[WeekIndex],20)=0,"",SUMIFS(T_PlannedOrders[EffectiveQty],T_PlannedOrders[Part Name],$A7,T_PlannedOrders[WeekIndex],20)&amp;" ("&amp;TEXT(SUMPRODUCT(MAX((T_PlannedOrders[Part Name]=$A7)*(T_PlannedOrders[WeekIndex]=20)*(T_PlannedOrders[EffectiveQty]&gt;0)*T_PlannedOrders[Order_Month])),"m月")&amp;"発注)")</f>
        <v/>
      </c>
      <c r="X41">
        <f>IF(SUMIFS(T_PlannedOrders[EffectiveQty],T_PlannedOrders[Part Name],$A7,T_PlannedOrders[WeekIndex],21)=0,"",SUMIFS(T_PlannedOrders[EffectiveQty],T_PlannedOrders[Part Name],$A7,T_PlannedOrders[WeekIndex],21)&amp;" ("&amp;TEXT(SUMPRODUCT(MAX((T_PlannedOrders[Part Name]=$A7)*(T_PlannedOrders[WeekIndex]=21)*(T_PlannedOrders[EffectiveQty]&gt;0)*T_PlannedOrders[Order_Month])),"m月")&amp;"発注)")</f>
        <v/>
      </c>
      <c r="Y41">
        <f>IF(SUMIFS(T_PlannedOrders[EffectiveQty],T_PlannedOrders[Part Name],$A7,T_PlannedOrders[WeekIndex],22)=0,"",SUMIFS(T_PlannedOrders[EffectiveQty],T_PlannedOrders[Part Name],$A7,T_PlannedOrders[WeekIndex],22)&amp;" ("&amp;TEXT(SUMPRODUCT(MAX((T_PlannedOrders[Part Name]=$A7)*(T_PlannedOrders[WeekIndex]=22)*(T_PlannedOrders[EffectiveQty]&gt;0)*T_PlannedOrders[Order_Month])),"m月")&amp;"発注)")</f>
        <v/>
      </c>
      <c r="Z41">
        <f>IF(SUMIFS(T_PlannedOrders[EffectiveQty],T_PlannedOrders[Part Name],$A7,T_PlannedOrders[WeekIndex],23)=0,"",SUMIFS(T_PlannedOrders[EffectiveQty],T_PlannedOrders[Part Name],$A7,T_PlannedOrders[WeekIndex],23)&amp;" ("&amp;TEXT(SUMPRODUCT(MAX((T_PlannedOrders[Part Name]=$A7)*(T_PlannedOrders[WeekIndex]=23)*(T_PlannedOrders[EffectiveQty]&gt;0)*T_PlannedOrders[Order_Month])),"m月")&amp;"発注)")</f>
        <v/>
      </c>
      <c r="AA41">
        <f>IF(SUMIFS(T_PlannedOrders[EffectiveQty],T_PlannedOrders[Part Name],$A7,T_PlannedOrders[WeekIndex],24)=0,"",SUMIFS(T_PlannedOrders[EffectiveQty],T_PlannedOrders[Part Name],$A7,T_PlannedOrders[WeekIndex],24)&amp;" ("&amp;TEXT(SUMPRODUCT(MAX((T_PlannedOrders[Part Name]=$A7)*(T_PlannedOrders[WeekIndex]=24)*(T_PlannedOrders[EffectiveQty]&gt;0)*T_PlannedOrders[Order_Month])),"m月")&amp;"発注)")</f>
        <v/>
      </c>
      <c r="AB41">
        <f>IF(SUMIFS(T_PlannedOrders[EffectiveQty],T_PlannedOrders[Part Name],$A7,T_PlannedOrders[WeekIndex],25)=0,"",SUMIFS(T_PlannedOrders[EffectiveQty],T_PlannedOrders[Part Name],$A7,T_PlannedOrders[WeekIndex],25)&amp;" ("&amp;TEXT(SUMPRODUCT(MAX((T_PlannedOrders[Part Name]=$A7)*(T_PlannedOrders[WeekIndex]=25)*(T_PlannedOrders[EffectiveQty]&gt;0)*T_PlannedOrders[Order_Month])),"m月")&amp;"発注)")</f>
        <v/>
      </c>
      <c r="AC41">
        <f>IF(SUMIFS(T_PlannedOrders[EffectiveQty],T_PlannedOrders[Part Name],$A7,T_PlannedOrders[WeekIndex],26)=0,"",SUMIFS(T_PlannedOrders[EffectiveQty],T_PlannedOrders[Part Name],$A7,T_PlannedOrders[WeekIndex],26)&amp;" ("&amp;TEXT(SUMPRODUCT(MAX((T_PlannedOrders[Part Name]=$A7)*(T_PlannedOrders[WeekIndex]=26)*(T_PlannedOrders[EffectiveQty]&gt;0)*T_PlannedOrders[Order_Month])),"m月")&amp;"発注)")</f>
        <v/>
      </c>
      <c r="AD41">
        <f>IF(SUMIFS(T_PlannedOrders[EffectiveQty],T_PlannedOrders[Part Name],$A7,T_PlannedOrders[WeekIndex],27)=0,"",SUMIFS(T_PlannedOrders[EffectiveQty],T_PlannedOrders[Part Name],$A7,T_PlannedOrders[WeekIndex],27)&amp;" ("&amp;TEXT(SUMPRODUCT(MAX((T_PlannedOrders[Part Name]=$A7)*(T_PlannedOrders[WeekIndex]=27)*(T_PlannedOrders[EffectiveQty]&gt;0)*T_PlannedOrders[Order_Month])),"m月")&amp;"発注)")</f>
        <v/>
      </c>
      <c r="AE41">
        <f>IF(SUMIFS(T_PlannedOrders[EffectiveQty],T_PlannedOrders[Part Name],$A7,T_PlannedOrders[WeekIndex],28)=0,"",SUMIFS(T_PlannedOrders[EffectiveQty],T_PlannedOrders[Part Name],$A7,T_PlannedOrders[WeekIndex],28)&amp;" ("&amp;TEXT(SUMPRODUCT(MAX((T_PlannedOrders[Part Name]=$A7)*(T_PlannedOrders[WeekIndex]=28)*(T_PlannedOrders[EffectiveQty]&gt;0)*T_PlannedOrders[Order_Month])),"m月")&amp;"発注)")</f>
        <v/>
      </c>
      <c r="AF41">
        <f>IF(SUMIFS(T_PlannedOrders[EffectiveQty],T_PlannedOrders[Part Name],$A7,T_PlannedOrders[WeekIndex],29)=0,"",SUMIFS(T_PlannedOrders[EffectiveQty],T_PlannedOrders[Part Name],$A7,T_PlannedOrders[WeekIndex],29)&amp;" ("&amp;TEXT(SUMPRODUCT(MAX((T_PlannedOrders[Part Name]=$A7)*(T_PlannedOrders[WeekIndex]=29)*(T_PlannedOrders[EffectiveQty]&gt;0)*T_PlannedOrders[Order_Month])),"m月")&amp;"発注)")</f>
        <v/>
      </c>
      <c r="AG41">
        <f>IF(SUMIFS(T_PlannedOrders[EffectiveQty],T_PlannedOrders[Part Name],$A7,T_PlannedOrders[WeekIndex],30)=0,"",SUMIFS(T_PlannedOrders[EffectiveQty],T_PlannedOrders[Part Name],$A7,T_PlannedOrders[WeekIndex],30)&amp;" ("&amp;TEXT(SUMPRODUCT(MAX((T_PlannedOrders[Part Name]=$A7)*(T_PlannedOrders[WeekIndex]=30)*(T_PlannedOrders[EffectiveQty]&gt;0)*T_PlannedOrders[Order_Month])),"m月")&amp;"発注)")</f>
        <v/>
      </c>
      <c r="AH41">
        <f>IF(SUMIFS(T_PlannedOrders[EffectiveQty],T_PlannedOrders[Part Name],$A7,T_PlannedOrders[WeekIndex],31)=0,"",SUMIFS(T_PlannedOrders[EffectiveQty],T_PlannedOrders[Part Name],$A7,T_PlannedOrders[WeekIndex],31)&amp;" ("&amp;TEXT(SUMPRODUCT(MAX((T_PlannedOrders[Part Name]=$A7)*(T_PlannedOrders[WeekIndex]=31)*(T_PlannedOrders[EffectiveQty]&gt;0)*T_PlannedOrders[Order_Month])),"m月")&amp;"発注)")</f>
        <v/>
      </c>
      <c r="AI41">
        <f>IF(SUMIFS(T_PlannedOrders[EffectiveQty],T_PlannedOrders[Part Name],$A7,T_PlannedOrders[WeekIndex],32)=0,"",SUMIFS(T_PlannedOrders[EffectiveQty],T_PlannedOrders[Part Name],$A7,T_PlannedOrders[WeekIndex],32)&amp;" ("&amp;TEXT(SUMPRODUCT(MAX((T_PlannedOrders[Part Name]=$A7)*(T_PlannedOrders[WeekIndex]=32)*(T_PlannedOrders[EffectiveQty]&gt;0)*T_PlannedOrders[Order_Month])),"m月")&amp;"発注)")</f>
        <v/>
      </c>
      <c r="AJ41">
        <f>IF(SUMIFS(T_PlannedOrders[EffectiveQty],T_PlannedOrders[Part Name],$A7,T_PlannedOrders[WeekIndex],33)=0,"",SUMIFS(T_PlannedOrders[EffectiveQty],T_PlannedOrders[Part Name],$A7,T_PlannedOrders[WeekIndex],33)&amp;" ("&amp;TEXT(SUMPRODUCT(MAX((T_PlannedOrders[Part Name]=$A7)*(T_PlannedOrders[WeekIndex]=33)*(T_PlannedOrders[EffectiveQty]&gt;0)*T_PlannedOrders[Order_Month])),"m月")&amp;"発注)")</f>
        <v/>
      </c>
      <c r="AK41">
        <f>IF(SUMIFS(T_PlannedOrders[EffectiveQty],T_PlannedOrders[Part Name],$A7,T_PlannedOrders[WeekIndex],34)=0,"",SUMIFS(T_PlannedOrders[EffectiveQty],T_PlannedOrders[Part Name],$A7,T_PlannedOrders[WeekIndex],34)&amp;" ("&amp;TEXT(SUMPRODUCT(MAX((T_PlannedOrders[Part Name]=$A7)*(T_PlannedOrders[WeekIndex]=34)*(T_PlannedOrders[EffectiveQty]&gt;0)*T_PlannedOrders[Order_Month])),"m月")&amp;"発注)")</f>
        <v/>
      </c>
      <c r="AL41">
        <f>IF(SUMIFS(T_PlannedOrders[EffectiveQty],T_PlannedOrders[Part Name],$A7,T_PlannedOrders[WeekIndex],35)=0,"",SUMIFS(T_PlannedOrders[EffectiveQty],T_PlannedOrders[Part Name],$A7,T_PlannedOrders[WeekIndex],35)&amp;" ("&amp;TEXT(SUMPRODUCT(MAX((T_PlannedOrders[Part Name]=$A7)*(T_PlannedOrders[WeekIndex]=35)*(T_PlannedOrders[EffectiveQty]&gt;0)*T_PlannedOrders[Order_Month])),"m月")&amp;"発注)")</f>
        <v/>
      </c>
      <c r="AM41">
        <f>IF(SUMIFS(T_PlannedOrders[EffectiveQty],T_PlannedOrders[Part Name],$A7,T_PlannedOrders[WeekIndex],36)=0,"",SUMIFS(T_PlannedOrders[EffectiveQty],T_PlannedOrders[Part Name],$A7,T_PlannedOrders[WeekIndex],36)&amp;" ("&amp;TEXT(SUMPRODUCT(MAX((T_PlannedOrders[Part Name]=$A7)*(T_PlannedOrders[WeekIndex]=36)*(T_PlannedOrders[EffectiveQty]&gt;0)*T_PlannedOrders[Order_Month])),"m月")&amp;"発注)")</f>
        <v/>
      </c>
      <c r="AN41">
        <f>IF(SUMIFS(T_PlannedOrders[EffectiveQty],T_PlannedOrders[Part Name],$A7,T_PlannedOrders[WeekIndex],37)=0,"",SUMIFS(T_PlannedOrders[EffectiveQty],T_PlannedOrders[Part Name],$A7,T_PlannedOrders[WeekIndex],37)&amp;" ("&amp;TEXT(SUMPRODUCT(MAX((T_PlannedOrders[Part Name]=$A7)*(T_PlannedOrders[WeekIndex]=37)*(T_PlannedOrders[EffectiveQty]&gt;0)*T_PlannedOrders[Order_Month])),"m月")&amp;"発注)")</f>
        <v/>
      </c>
      <c r="AO41">
        <f>IF(SUMIFS(T_PlannedOrders[EffectiveQty],T_PlannedOrders[Part Name],$A7,T_PlannedOrders[WeekIndex],38)=0,"",SUMIFS(T_PlannedOrders[EffectiveQty],T_PlannedOrders[Part Name],$A7,T_PlannedOrders[WeekIndex],38)&amp;" ("&amp;TEXT(SUMPRODUCT(MAX((T_PlannedOrders[Part Name]=$A7)*(T_PlannedOrders[WeekIndex]=38)*(T_PlannedOrders[EffectiveQty]&gt;0)*T_PlannedOrders[Order_Month])),"m月")&amp;"発注)")</f>
        <v/>
      </c>
      <c r="AP41">
        <f>IF(SUMIFS(T_PlannedOrders[EffectiveQty],T_PlannedOrders[Part Name],$A7,T_PlannedOrders[WeekIndex],39)=0,"",SUMIFS(T_PlannedOrders[EffectiveQty],T_PlannedOrders[Part Name],$A7,T_PlannedOrders[WeekIndex],39)&amp;" ("&amp;TEXT(SUMPRODUCT(MAX((T_PlannedOrders[Part Name]=$A7)*(T_PlannedOrders[WeekIndex]=39)*(T_PlannedOrders[EffectiveQty]&gt;0)*T_PlannedOrders[Order_Month])),"m月")&amp;"発注)")</f>
        <v/>
      </c>
      <c r="AQ41">
        <f>IF(SUMIFS(T_PlannedOrders[EffectiveQty],T_PlannedOrders[Part Name],$A7,T_PlannedOrders[WeekIndex],40)=0,"",SUMIFS(T_PlannedOrders[EffectiveQty],T_PlannedOrders[Part Name],$A7,T_PlannedOrders[WeekIndex],40)&amp;" ("&amp;TEXT(SUMPRODUCT(MAX((T_PlannedOrders[Part Name]=$A7)*(T_PlannedOrders[WeekIndex]=40)*(T_PlannedOrders[EffectiveQty]&gt;0)*T_PlannedOrders[Order_Month])),"m月")&amp;"発注)")</f>
        <v/>
      </c>
      <c r="AR41">
        <f>IF(SUMIFS(T_PlannedOrders[EffectiveQty],T_PlannedOrders[Part Name],$A7,T_PlannedOrders[WeekIndex],41)=0,"",SUMIFS(T_PlannedOrders[EffectiveQty],T_PlannedOrders[Part Name],$A7,T_PlannedOrders[WeekIndex],41)&amp;" ("&amp;TEXT(SUMPRODUCT(MAX((T_PlannedOrders[Part Name]=$A7)*(T_PlannedOrders[WeekIndex]=41)*(T_PlannedOrders[EffectiveQty]&gt;0)*T_PlannedOrders[Order_Month])),"m月")&amp;"発注)")</f>
        <v/>
      </c>
      <c r="AS41">
        <f>IF(SUMIFS(T_PlannedOrders[EffectiveQty],T_PlannedOrders[Part Name],$A7,T_PlannedOrders[WeekIndex],42)=0,"",SUMIFS(T_PlannedOrders[EffectiveQty],T_PlannedOrders[Part Name],$A7,T_PlannedOrders[WeekIndex],42)&amp;" ("&amp;TEXT(SUMPRODUCT(MAX((T_PlannedOrders[Part Name]=$A7)*(T_PlannedOrders[WeekIndex]=42)*(T_PlannedOrders[EffectiveQty]&gt;0)*T_PlannedOrders[Order_Month])),"m月")&amp;"発注)")</f>
        <v/>
      </c>
      <c r="AT41">
        <f>IF(SUMIFS(T_PlannedOrders[EffectiveQty],T_PlannedOrders[Part Name],$A7,T_PlannedOrders[WeekIndex],43)=0,"",SUMIFS(T_PlannedOrders[EffectiveQty],T_PlannedOrders[Part Name],$A7,T_PlannedOrders[WeekIndex],43)&amp;" ("&amp;TEXT(SUMPRODUCT(MAX((T_PlannedOrders[Part Name]=$A7)*(T_PlannedOrders[WeekIndex]=43)*(T_PlannedOrders[EffectiveQty]&gt;0)*T_PlannedOrders[Order_Month])),"m月")&amp;"発注)")</f>
        <v/>
      </c>
      <c r="AU41">
        <f>IF(SUMIFS(T_PlannedOrders[EffectiveQty],T_PlannedOrders[Part Name],$A7,T_PlannedOrders[WeekIndex],44)=0,"",SUMIFS(T_PlannedOrders[EffectiveQty],T_PlannedOrders[Part Name],$A7,T_PlannedOrders[WeekIndex],44)&amp;" ("&amp;TEXT(SUMPRODUCT(MAX((T_PlannedOrders[Part Name]=$A7)*(T_PlannedOrders[WeekIndex]=44)*(T_PlannedOrders[EffectiveQty]&gt;0)*T_PlannedOrders[Order_Month])),"m月")&amp;"発注)")</f>
        <v/>
      </c>
      <c r="AV41">
        <f>IF(SUMIFS(T_PlannedOrders[EffectiveQty],T_PlannedOrders[Part Name],$A7,T_PlannedOrders[WeekIndex],45)=0,"",SUMIFS(T_PlannedOrders[EffectiveQty],T_PlannedOrders[Part Name],$A7,T_PlannedOrders[WeekIndex],45)&amp;" ("&amp;TEXT(SUMPRODUCT(MAX((T_PlannedOrders[Part Name]=$A7)*(T_PlannedOrders[WeekIndex]=45)*(T_PlannedOrders[EffectiveQty]&gt;0)*T_PlannedOrders[Order_Month])),"m月")&amp;"発注)")</f>
        <v/>
      </c>
      <c r="AW41">
        <f>IF(SUMIFS(T_PlannedOrders[EffectiveQty],T_PlannedOrders[Part Name],$A7,T_PlannedOrders[WeekIndex],46)=0,"",SUMIFS(T_PlannedOrders[EffectiveQty],T_PlannedOrders[Part Name],$A7,T_PlannedOrders[WeekIndex],46)&amp;" ("&amp;TEXT(SUMPRODUCT(MAX((T_PlannedOrders[Part Name]=$A7)*(T_PlannedOrders[WeekIndex]=46)*(T_PlannedOrders[EffectiveQty]&gt;0)*T_PlannedOrders[Order_Month])),"m月")&amp;"発注)")</f>
        <v/>
      </c>
      <c r="AX41">
        <f>IF(SUMIFS(T_PlannedOrders[EffectiveQty],T_PlannedOrders[Part Name],$A7,T_PlannedOrders[WeekIndex],47)=0,"",SUMIFS(T_PlannedOrders[EffectiveQty],T_PlannedOrders[Part Name],$A7,T_PlannedOrders[WeekIndex],47)&amp;" ("&amp;TEXT(SUMPRODUCT(MAX((T_PlannedOrders[Part Name]=$A7)*(T_PlannedOrders[WeekIndex]=47)*(T_PlannedOrders[EffectiveQty]&gt;0)*T_PlannedOrders[Order_Month])),"m月")&amp;"発注)")</f>
        <v/>
      </c>
      <c r="AY41">
        <f>IF(SUMIFS(T_PlannedOrders[EffectiveQty],T_PlannedOrders[Part Name],$A7,T_PlannedOrders[WeekIndex],48)=0,"",SUMIFS(T_PlannedOrders[EffectiveQty],T_PlannedOrders[Part Name],$A7,T_PlannedOrders[WeekIndex],48)&amp;" ("&amp;TEXT(SUMPRODUCT(MAX((T_PlannedOrders[Part Name]=$A7)*(T_PlannedOrders[WeekIndex]=48)*(T_PlannedOrders[EffectiveQty]&gt;0)*T_PlannedOrders[Order_Month])),"m月")&amp;"発注)")</f>
        <v/>
      </c>
      <c r="AZ41">
        <f>IF(SUMIFS(T_PlannedOrders[EffectiveQty],T_PlannedOrders[Part Name],$A7,T_PlannedOrders[WeekIndex],49)=0,"",SUMIFS(T_PlannedOrders[EffectiveQty],T_PlannedOrders[Part Name],$A7,T_PlannedOrders[WeekIndex],49)&amp;" ("&amp;TEXT(SUMPRODUCT(MAX((T_PlannedOrders[Part Name]=$A7)*(T_PlannedOrders[WeekIndex]=49)*(T_PlannedOrders[EffectiveQty]&gt;0)*T_PlannedOrders[Order_Month])),"m月")&amp;"発注)")</f>
        <v/>
      </c>
      <c r="BA41">
        <f>IF(SUMIFS(T_PlannedOrders[EffectiveQty],T_PlannedOrders[Part Name],$A7,T_PlannedOrders[WeekIndex],50)=0,"",SUMIFS(T_PlannedOrders[EffectiveQty],T_PlannedOrders[Part Name],$A7,T_PlannedOrders[WeekIndex],50)&amp;" ("&amp;TEXT(SUMPRODUCT(MAX((T_PlannedOrders[Part Name]=$A7)*(T_PlannedOrders[WeekIndex]=50)*(T_PlannedOrders[EffectiveQty]&gt;0)*T_PlannedOrders[Order_Month])),"m月")&amp;"発注)")</f>
        <v/>
      </c>
      <c r="BB41">
        <f>IF(SUMIFS(T_PlannedOrders[EffectiveQty],T_PlannedOrders[Part Name],$A7,T_PlannedOrders[WeekIndex],51)=0,"",SUMIFS(T_PlannedOrders[EffectiveQty],T_PlannedOrders[Part Name],$A7,T_PlannedOrders[WeekIndex],51)&amp;" ("&amp;TEXT(SUMPRODUCT(MAX((T_PlannedOrders[Part Name]=$A7)*(T_PlannedOrders[WeekIndex]=51)*(T_PlannedOrders[EffectiveQty]&gt;0)*T_PlannedOrders[Order_Month])),"m月")&amp;"発注)")</f>
        <v/>
      </c>
      <c r="BC41">
        <f>IF(SUMIFS(T_PlannedOrders[EffectiveQty],T_PlannedOrders[Part Name],$A7,T_PlannedOrders[WeekIndex],52)=0,"",SUMIFS(T_PlannedOrders[EffectiveQty],T_PlannedOrders[Part Name],$A7,T_PlannedOrders[WeekIndex],52)&amp;" ("&amp;TEXT(SUMPRODUCT(MAX((T_PlannedOrders[Part Name]=$A7)*(T_PlannedOrders[WeekIndex]=52)*(T_PlannedOrders[EffectiveQty]&gt;0)*T_PlannedOrders[Order_Month])),"m月")&amp;"発注)")</f>
        <v/>
      </c>
      <c r="BD41">
        <f>IF(SUMIFS(T_PlannedOrders[EffectiveQty],T_PlannedOrders[Part Name],$A7,T_PlannedOrders[WeekIndex],53)=0,"",SUMIFS(T_PlannedOrders[EffectiveQty],T_PlannedOrders[Part Name],$A7,T_PlannedOrders[WeekIndex],53)&amp;" ("&amp;TEXT(SUMPRODUCT(MAX((T_PlannedOrders[Part Name]=$A7)*(T_PlannedOrders[WeekIndex]=53)*(T_PlannedOrders[EffectiveQty]&gt;0)*T_PlannedOrders[Order_Month])),"m月")&amp;"発注)")</f>
        <v/>
      </c>
      <c r="BE41">
        <f>IF(SUMIFS(T_PlannedOrders[EffectiveQty],T_PlannedOrders[Part Name],$A7,T_PlannedOrders[WeekIndex],54)=0,"",SUMIFS(T_PlannedOrders[EffectiveQty],T_PlannedOrders[Part Name],$A7,T_PlannedOrders[WeekIndex],54)&amp;" ("&amp;TEXT(SUMPRODUCT(MAX((T_PlannedOrders[Part Name]=$A7)*(T_PlannedOrders[WeekIndex]=54)*(T_PlannedOrders[EffectiveQty]&gt;0)*T_PlannedOrders[Order_Month])),"m月")&amp;"発注)")</f>
        <v/>
      </c>
      <c r="BF41">
        <f>IF(SUMIFS(T_PlannedOrders[EffectiveQty],T_PlannedOrders[Part Name],$A7,T_PlannedOrders[WeekIndex],55)=0,"",SUMIFS(T_PlannedOrders[EffectiveQty],T_PlannedOrders[Part Name],$A7,T_PlannedOrders[WeekIndex],55)&amp;" ("&amp;TEXT(SUMPRODUCT(MAX((T_PlannedOrders[Part Name]=$A7)*(T_PlannedOrders[WeekIndex]=55)*(T_PlannedOrders[EffectiveQty]&gt;0)*T_PlannedOrders[Order_Month])),"m月")&amp;"発注)")</f>
        <v/>
      </c>
      <c r="BG41">
        <f>IF(SUMIFS(T_PlannedOrders[EffectiveQty],T_PlannedOrders[Part Name],$A7,T_PlannedOrders[WeekIndex],56)=0,"",SUMIFS(T_PlannedOrders[EffectiveQty],T_PlannedOrders[Part Name],$A7,T_PlannedOrders[WeekIndex],56)&amp;" ("&amp;TEXT(SUMPRODUCT(MAX((T_PlannedOrders[Part Name]=$A7)*(T_PlannedOrders[WeekIndex]=56)*(T_PlannedOrders[EffectiveQty]&gt;0)*T_PlannedOrders[Order_Month])),"m月")&amp;"発注)")</f>
        <v/>
      </c>
      <c r="BH41">
        <f>IF(SUMIFS(T_PlannedOrders[EffectiveQty],T_PlannedOrders[Part Name],$A7,T_PlannedOrders[WeekIndex],57)=0,"",SUMIFS(T_PlannedOrders[EffectiveQty],T_PlannedOrders[Part Name],$A7,T_PlannedOrders[WeekIndex],57)&amp;" ("&amp;TEXT(SUMPRODUCT(MAX((T_PlannedOrders[Part Name]=$A7)*(T_PlannedOrders[WeekIndex]=57)*(T_PlannedOrders[EffectiveQty]&gt;0)*T_PlannedOrders[Order_Month])),"m月")&amp;"発注)")</f>
        <v/>
      </c>
      <c r="BI41">
        <f>IF(SUMIFS(T_PlannedOrders[EffectiveQty],T_PlannedOrders[Part Name],$A7,T_PlannedOrders[WeekIndex],58)=0,"",SUMIFS(T_PlannedOrders[EffectiveQty],T_PlannedOrders[Part Name],$A7,T_PlannedOrders[WeekIndex],58)&amp;" ("&amp;TEXT(SUMPRODUCT(MAX((T_PlannedOrders[Part Name]=$A7)*(T_PlannedOrders[WeekIndex]=58)*(T_PlannedOrders[EffectiveQty]&gt;0)*T_PlannedOrders[Order_Month])),"m月")&amp;"発注)")</f>
        <v/>
      </c>
      <c r="BJ41">
        <f>IF(SUMIFS(T_PlannedOrders[EffectiveQty],T_PlannedOrders[Part Name],$A7,T_PlannedOrders[WeekIndex],59)=0,"",SUMIFS(T_PlannedOrders[EffectiveQty],T_PlannedOrders[Part Name],$A7,T_PlannedOrders[WeekIndex],59)&amp;" ("&amp;TEXT(SUMPRODUCT(MAX((T_PlannedOrders[Part Name]=$A7)*(T_PlannedOrders[WeekIndex]=59)*(T_PlannedOrders[EffectiveQty]&gt;0)*T_PlannedOrders[Order_Month])),"m月")&amp;"発注)")</f>
        <v/>
      </c>
      <c r="BK41">
        <f>IF(SUMIFS(T_PlannedOrders[EffectiveQty],T_PlannedOrders[Part Name],$A7,T_PlannedOrders[WeekIndex],60)=0,"",SUMIFS(T_PlannedOrders[EffectiveQty],T_PlannedOrders[Part Name],$A7,T_PlannedOrders[WeekIndex],60)&amp;" ("&amp;TEXT(SUMPRODUCT(MAX((T_PlannedOrders[Part Name]=$A7)*(T_PlannedOrders[WeekIndex]=60)*(T_PlannedOrders[EffectiveQty]&gt;0)*T_PlannedOrders[Order_Month])),"m月")&amp;"発注)")</f>
        <v/>
      </c>
      <c r="BL41">
        <f>IF(SUMIFS(T_PlannedOrders[EffectiveQty],T_PlannedOrders[Part Name],$A7,T_PlannedOrders[WeekIndex],61)=0,"",SUMIFS(T_PlannedOrders[EffectiveQty],T_PlannedOrders[Part Name],$A7,T_PlannedOrders[WeekIndex],61)&amp;" ("&amp;TEXT(SUMPRODUCT(MAX((T_PlannedOrders[Part Name]=$A7)*(T_PlannedOrders[WeekIndex]=61)*(T_PlannedOrders[EffectiveQty]&gt;0)*T_PlannedOrders[Order_Month])),"m月")&amp;"発注)")</f>
        <v/>
      </c>
      <c r="BM41">
        <f>IF(SUMIFS(T_PlannedOrders[EffectiveQty],T_PlannedOrders[Part Name],$A7,T_PlannedOrders[WeekIndex],62)=0,"",SUMIFS(T_PlannedOrders[EffectiveQty],T_PlannedOrders[Part Name],$A7,T_PlannedOrders[WeekIndex],62)&amp;" ("&amp;TEXT(SUMPRODUCT(MAX((T_PlannedOrders[Part Name]=$A7)*(T_PlannedOrders[WeekIndex]=62)*(T_PlannedOrders[EffectiveQty]&gt;0)*T_PlannedOrders[Order_Month])),"m月")&amp;"発注)")</f>
        <v/>
      </c>
      <c r="BN41">
        <f>IF(SUMIFS(T_PlannedOrders[EffectiveQty],T_PlannedOrders[Part Name],$A7,T_PlannedOrders[WeekIndex],63)=0,"",SUMIFS(T_PlannedOrders[EffectiveQty],T_PlannedOrders[Part Name],$A7,T_PlannedOrders[WeekIndex],63)&amp;" ("&amp;TEXT(SUMPRODUCT(MAX((T_PlannedOrders[Part Name]=$A7)*(T_PlannedOrders[WeekIndex]=63)*(T_PlannedOrders[EffectiveQty]&gt;0)*T_PlannedOrders[Order_Month])),"m月")&amp;"発注)")</f>
        <v/>
      </c>
      <c r="BO41">
        <f>IF(SUMIFS(T_PlannedOrders[EffectiveQty],T_PlannedOrders[Part Name],$A7,T_PlannedOrders[WeekIndex],64)=0,"",SUMIFS(T_PlannedOrders[EffectiveQty],T_PlannedOrders[Part Name],$A7,T_PlannedOrders[WeekIndex],64)&amp;" ("&amp;TEXT(SUMPRODUCT(MAX((T_PlannedOrders[Part Name]=$A7)*(T_PlannedOrders[WeekIndex]=64)*(T_PlannedOrders[EffectiveQty]&gt;0)*T_PlannedOrders[Order_Month])),"m月")&amp;"発注)")</f>
        <v/>
      </c>
      <c r="BP41">
        <f>IF(SUMIFS(T_PlannedOrders[EffectiveQty],T_PlannedOrders[Part Name],$A7,T_PlannedOrders[WeekIndex],65)=0,"",SUMIFS(T_PlannedOrders[EffectiveQty],T_PlannedOrders[Part Name],$A7,T_PlannedOrders[WeekIndex],65)&amp;" ("&amp;TEXT(SUMPRODUCT(MAX((T_PlannedOrders[Part Name]=$A7)*(T_PlannedOrders[WeekIndex]=65)*(T_PlannedOrders[EffectiveQty]&gt;0)*T_PlannedOrders[Order_Month])),"m月")&amp;"発注)")</f>
        <v/>
      </c>
      <c r="BQ41">
        <f>IF(SUMIFS(T_PlannedOrders[EffectiveQty],T_PlannedOrders[Part Name],$A7,T_PlannedOrders[WeekIndex],66)=0,"",SUMIFS(T_PlannedOrders[EffectiveQty],T_PlannedOrders[Part Name],$A7,T_PlannedOrders[WeekIndex],66)&amp;" ("&amp;TEXT(SUMPRODUCT(MAX((T_PlannedOrders[Part Name]=$A7)*(T_PlannedOrders[WeekIndex]=66)*(T_PlannedOrders[EffectiveQty]&gt;0)*T_PlannedOrders[Order_Month])),"m月")&amp;"発注)")</f>
        <v/>
      </c>
      <c r="BR41">
        <f>IF(SUMIFS(T_PlannedOrders[EffectiveQty],T_PlannedOrders[Part Name],$A7,T_PlannedOrders[WeekIndex],67)=0,"",SUMIFS(T_PlannedOrders[EffectiveQty],T_PlannedOrders[Part Name],$A7,T_PlannedOrders[WeekIndex],67)&amp;" ("&amp;TEXT(SUMPRODUCT(MAX((T_PlannedOrders[Part Name]=$A7)*(T_PlannedOrders[WeekIndex]=67)*(T_PlannedOrders[EffectiveQty]&gt;0)*T_PlannedOrders[Order_Month])),"m月")&amp;"発注)")</f>
        <v/>
      </c>
      <c r="BS41">
        <f>IF(SUMIFS(T_PlannedOrders[EffectiveQty],T_PlannedOrders[Part Name],$A7,T_PlannedOrders[WeekIndex],68)=0,"",SUMIFS(T_PlannedOrders[EffectiveQty],T_PlannedOrders[Part Name],$A7,T_PlannedOrders[WeekIndex],68)&amp;" ("&amp;TEXT(SUMPRODUCT(MAX((T_PlannedOrders[Part Name]=$A7)*(T_PlannedOrders[WeekIndex]=68)*(T_PlannedOrders[EffectiveQty]&gt;0)*T_PlannedOrders[Order_Month])),"m月")&amp;"発注)")</f>
        <v/>
      </c>
      <c r="BT41">
        <f>IF(SUMIFS(T_PlannedOrders[EffectiveQty],T_PlannedOrders[Part Name],$A7,T_PlannedOrders[WeekIndex],69)=0,"",SUMIFS(T_PlannedOrders[EffectiveQty],T_PlannedOrders[Part Name],$A7,T_PlannedOrders[WeekIndex],69)&amp;" ("&amp;TEXT(SUMPRODUCT(MAX((T_PlannedOrders[Part Name]=$A7)*(T_PlannedOrders[WeekIndex]=69)*(T_PlannedOrders[EffectiveQty]&gt;0)*T_PlannedOrders[Order_Month])),"m月")&amp;"発注)")</f>
        <v/>
      </c>
      <c r="BU41">
        <f>IF(SUMIFS(T_PlannedOrders[EffectiveQty],T_PlannedOrders[Part Name],$A7,T_PlannedOrders[WeekIndex],70)=0,"",SUMIFS(T_PlannedOrders[EffectiveQty],T_PlannedOrders[Part Name],$A7,T_PlannedOrders[WeekIndex],70)&amp;" ("&amp;TEXT(SUMPRODUCT(MAX((T_PlannedOrders[Part Name]=$A7)*(T_PlannedOrders[WeekIndex]=70)*(T_PlannedOrders[EffectiveQty]&gt;0)*T_PlannedOrders[Order_Month])),"m月")&amp;"発注)")</f>
        <v/>
      </c>
      <c r="BV41">
        <f>IF(SUMIFS(T_PlannedOrders[EffectiveQty],T_PlannedOrders[Part Name],$A7,T_PlannedOrders[WeekIndex],71)=0,"",SUMIFS(T_PlannedOrders[EffectiveQty],T_PlannedOrders[Part Name],$A7,T_PlannedOrders[WeekIndex],71)&amp;" ("&amp;TEXT(SUMPRODUCT(MAX((T_PlannedOrders[Part Name]=$A7)*(T_PlannedOrders[WeekIndex]=71)*(T_PlannedOrders[EffectiveQty]&gt;0)*T_PlannedOrders[Order_Month])),"m月")&amp;"発注)")</f>
        <v/>
      </c>
      <c r="BW41">
        <f>IF(SUMIFS(T_PlannedOrders[EffectiveQty],T_PlannedOrders[Part Name],$A7,T_PlannedOrders[WeekIndex],72)=0,"",SUMIFS(T_PlannedOrders[EffectiveQty],T_PlannedOrders[Part Name],$A7,T_PlannedOrders[WeekIndex],72)&amp;" ("&amp;TEXT(SUMPRODUCT(MAX((T_PlannedOrders[Part Name]=$A7)*(T_PlannedOrders[WeekIndex]=72)*(T_PlannedOrders[EffectiveQty]&gt;0)*T_PlannedOrders[Order_Month])),"m月")&amp;"発注)")</f>
        <v/>
      </c>
      <c r="BX41">
        <f>IF(SUMIFS(T_PlannedOrders[EffectiveQty],T_PlannedOrders[Part Name],$A7,T_PlannedOrders[WeekIndex],73)=0,"",SUMIFS(T_PlannedOrders[EffectiveQty],T_PlannedOrders[Part Name],$A7,T_PlannedOrders[WeekIndex],73)&amp;" ("&amp;TEXT(SUMPRODUCT(MAX((T_PlannedOrders[Part Name]=$A7)*(T_PlannedOrders[WeekIndex]=73)*(T_PlannedOrders[EffectiveQty]&gt;0)*T_PlannedOrders[Order_Month])),"m月")&amp;"発注)")</f>
        <v/>
      </c>
      <c r="BY41">
        <f>IF(SUMIFS(T_PlannedOrders[EffectiveQty],T_PlannedOrders[Part Name],$A7,T_PlannedOrders[WeekIndex],74)=0,"",SUMIFS(T_PlannedOrders[EffectiveQty],T_PlannedOrders[Part Name],$A7,T_PlannedOrders[WeekIndex],74)&amp;" ("&amp;TEXT(SUMPRODUCT(MAX((T_PlannedOrders[Part Name]=$A7)*(T_PlannedOrders[WeekIndex]=74)*(T_PlannedOrders[EffectiveQty]&gt;0)*T_PlannedOrders[Order_Month])),"m月")&amp;"発注)")</f>
        <v/>
      </c>
      <c r="BZ41">
        <f>IF(SUMIFS(T_PlannedOrders[EffectiveQty],T_PlannedOrders[Part Name],$A7,T_PlannedOrders[WeekIndex],75)=0,"",SUMIFS(T_PlannedOrders[EffectiveQty],T_PlannedOrders[Part Name],$A7,T_PlannedOrders[WeekIndex],75)&amp;" ("&amp;TEXT(SUMPRODUCT(MAX((T_PlannedOrders[Part Name]=$A7)*(T_PlannedOrders[WeekIndex]=75)*(T_PlannedOrders[EffectiveQty]&gt;0)*T_PlannedOrders[Order_Month])),"m月")&amp;"発注)")</f>
        <v/>
      </c>
      <c r="CA41">
        <f>IF(SUMIFS(T_PlannedOrders[EffectiveQty],T_PlannedOrders[Part Name],$A7,T_PlannedOrders[WeekIndex],76)=0,"",SUMIFS(T_PlannedOrders[EffectiveQty],T_PlannedOrders[Part Name],$A7,T_PlannedOrders[WeekIndex],76)&amp;" ("&amp;TEXT(SUMPRODUCT(MAX((T_PlannedOrders[Part Name]=$A7)*(T_PlannedOrders[WeekIndex]=76)*(T_PlannedOrders[EffectiveQty]&gt;0)*T_PlannedOrders[Order_Month])),"m月")&amp;"発注)")</f>
        <v/>
      </c>
      <c r="CB41">
        <f>IF(SUMIFS(T_PlannedOrders[EffectiveQty],T_PlannedOrders[Part Name],$A7,T_PlannedOrders[WeekIndex],77)=0,"",SUMIFS(T_PlannedOrders[EffectiveQty],T_PlannedOrders[Part Name],$A7,T_PlannedOrders[WeekIndex],77)&amp;" ("&amp;TEXT(SUMPRODUCT(MAX((T_PlannedOrders[Part Name]=$A7)*(T_PlannedOrders[WeekIndex]=77)*(T_PlannedOrders[EffectiveQty]&gt;0)*T_PlannedOrders[Order_Month])),"m月")&amp;"発注)")</f>
        <v/>
      </c>
      <c r="CC41">
        <f>IF(SUMIFS(T_PlannedOrders[EffectiveQty],T_PlannedOrders[Part Name],$A7,T_PlannedOrders[WeekIndex],78)=0,"",SUMIFS(T_PlannedOrders[EffectiveQty],T_PlannedOrders[Part Name],$A7,T_PlannedOrders[WeekIndex],78)&amp;" ("&amp;TEXT(SUMPRODUCT(MAX((T_PlannedOrders[Part Name]=$A7)*(T_PlannedOrders[WeekIndex]=78)*(T_PlannedOrders[EffectiveQty]&gt;0)*T_PlannedOrders[Order_Month])),"m月")&amp;"発注)")</f>
        <v/>
      </c>
      <c r="CD41">
        <f>IF(SUMIFS(T_PlannedOrders[EffectiveQty],T_PlannedOrders[Part Name],$A7,T_PlannedOrders[WeekIndex],79)=0,"",SUMIFS(T_PlannedOrders[EffectiveQty],T_PlannedOrders[Part Name],$A7,T_PlannedOrders[WeekIndex],79)&amp;" ("&amp;TEXT(SUMPRODUCT(MAX((T_PlannedOrders[Part Name]=$A7)*(T_PlannedOrders[WeekIndex]=79)*(T_PlannedOrders[EffectiveQty]&gt;0)*T_PlannedOrders[Order_Month])),"m月")&amp;"発注)")</f>
        <v/>
      </c>
      <c r="CE41">
        <f>IF(SUMIFS(T_PlannedOrders[EffectiveQty],T_PlannedOrders[Part Name],$A7,T_PlannedOrders[WeekIndex],80)=0,"",SUMIFS(T_PlannedOrders[EffectiveQty],T_PlannedOrders[Part Name],$A7,T_PlannedOrders[WeekIndex],80)&amp;" ("&amp;TEXT(SUMPRODUCT(MAX((T_PlannedOrders[Part Name]=$A7)*(T_PlannedOrders[WeekIndex]=80)*(T_PlannedOrders[EffectiveQty]&gt;0)*T_PlannedOrders[Order_Month])),"m月")&amp;"発注)")</f>
        <v/>
      </c>
      <c r="CF41">
        <f>IF(SUMIFS(T_PlannedOrders[EffectiveQty],T_PlannedOrders[Part Name],$A7,T_PlannedOrders[WeekIndex],81)=0,"",SUMIFS(T_PlannedOrders[EffectiveQty],T_PlannedOrders[Part Name],$A7,T_PlannedOrders[WeekIndex],81)&amp;" ("&amp;TEXT(SUMPRODUCT(MAX((T_PlannedOrders[Part Name]=$A7)*(T_PlannedOrders[WeekIndex]=81)*(T_PlannedOrders[EffectiveQty]&gt;0)*T_PlannedOrders[Order_Month])),"m月")&amp;"発注)")</f>
        <v/>
      </c>
      <c r="CG41">
        <f>IF(SUMIFS(T_PlannedOrders[EffectiveQty],T_PlannedOrders[Part Name],$A7,T_PlannedOrders[WeekIndex],82)=0,"",SUMIFS(T_PlannedOrders[EffectiveQty],T_PlannedOrders[Part Name],$A7,T_PlannedOrders[WeekIndex],82)&amp;" ("&amp;TEXT(SUMPRODUCT(MAX((T_PlannedOrders[Part Name]=$A7)*(T_PlannedOrders[WeekIndex]=82)*(T_PlannedOrders[EffectiveQty]&gt;0)*T_PlannedOrders[Order_Month])),"m月")&amp;"発注)")</f>
        <v/>
      </c>
      <c r="CH41">
        <f>IF(SUMIFS(T_PlannedOrders[EffectiveQty],T_PlannedOrders[Part Name],$A7,T_PlannedOrders[WeekIndex],83)=0,"",SUMIFS(T_PlannedOrders[EffectiveQty],T_PlannedOrders[Part Name],$A7,T_PlannedOrders[WeekIndex],83)&amp;" ("&amp;TEXT(SUMPRODUCT(MAX((T_PlannedOrders[Part Name]=$A7)*(T_PlannedOrders[WeekIndex]=83)*(T_PlannedOrders[EffectiveQty]&gt;0)*T_PlannedOrders[Order_Month])),"m月")&amp;"発注)")</f>
        <v/>
      </c>
      <c r="CI41">
        <f>IF(SUMIFS(T_PlannedOrders[EffectiveQty],T_PlannedOrders[Part Name],$A7,T_PlannedOrders[WeekIndex],84)=0,"",SUMIFS(T_PlannedOrders[EffectiveQty],T_PlannedOrders[Part Name],$A7,T_PlannedOrders[WeekIndex],84)&amp;" ("&amp;TEXT(SUMPRODUCT(MAX((T_PlannedOrders[Part Name]=$A7)*(T_PlannedOrders[WeekIndex]=84)*(T_PlannedOrders[EffectiveQty]&gt;0)*T_PlannedOrders[Order_Month])),"m月")&amp;"発注)")</f>
        <v/>
      </c>
      <c r="CJ41">
        <f>IF(SUMIFS(T_PlannedOrders[EffectiveQty],T_PlannedOrders[Part Name],$A7,T_PlannedOrders[WeekIndex],85)=0,"",SUMIFS(T_PlannedOrders[EffectiveQty],T_PlannedOrders[Part Name],$A7,T_PlannedOrders[WeekIndex],85)&amp;" ("&amp;TEXT(SUMPRODUCT(MAX((T_PlannedOrders[Part Name]=$A7)*(T_PlannedOrders[WeekIndex]=85)*(T_PlannedOrders[EffectiveQty]&gt;0)*T_PlannedOrders[Order_Month])),"m月")&amp;"発注)")</f>
        <v/>
      </c>
      <c r="CK41">
        <f>IF(SUMIFS(T_PlannedOrders[EffectiveQty],T_PlannedOrders[Part Name],$A7,T_PlannedOrders[WeekIndex],86)=0,"",SUMIFS(T_PlannedOrders[EffectiveQty],T_PlannedOrders[Part Name],$A7,T_PlannedOrders[WeekIndex],86)&amp;" ("&amp;TEXT(SUMPRODUCT(MAX((T_PlannedOrders[Part Name]=$A7)*(T_PlannedOrders[WeekIndex]=86)*(T_PlannedOrders[EffectiveQty]&gt;0)*T_PlannedOrders[Order_Month])),"m月")&amp;"発注)")</f>
        <v/>
      </c>
      <c r="CL41">
        <f>IF(SUMIFS(T_PlannedOrders[EffectiveQty],T_PlannedOrders[Part Name],$A7,T_PlannedOrders[WeekIndex],87)=0,"",SUMIFS(T_PlannedOrders[EffectiveQty],T_PlannedOrders[Part Name],$A7,T_PlannedOrders[WeekIndex],87)&amp;" ("&amp;TEXT(SUMPRODUCT(MAX((T_PlannedOrders[Part Name]=$A7)*(T_PlannedOrders[WeekIndex]=87)*(T_PlannedOrders[EffectiveQty]&gt;0)*T_PlannedOrders[Order_Month])),"m月")&amp;"発注)")</f>
        <v/>
      </c>
      <c r="CM41">
        <f>IF(SUMIFS(T_PlannedOrders[EffectiveQty],T_PlannedOrders[Part Name],$A7,T_PlannedOrders[WeekIndex],88)=0,"",SUMIFS(T_PlannedOrders[EffectiveQty],T_PlannedOrders[Part Name],$A7,T_PlannedOrders[WeekIndex],88)&amp;" ("&amp;TEXT(SUMPRODUCT(MAX((T_PlannedOrders[Part Name]=$A7)*(T_PlannedOrders[WeekIndex]=88)*(T_PlannedOrders[EffectiveQty]&gt;0)*T_PlannedOrders[Order_Month])),"m月")&amp;"発注)")</f>
        <v/>
      </c>
      <c r="CN41">
        <f>IF(SUMIFS(T_PlannedOrders[EffectiveQty],T_PlannedOrders[Part Name],$A7,T_PlannedOrders[WeekIndex],89)=0,"",SUMIFS(T_PlannedOrders[EffectiveQty],T_PlannedOrders[Part Name],$A7,T_PlannedOrders[WeekIndex],89)&amp;" ("&amp;TEXT(SUMPRODUCT(MAX((T_PlannedOrders[Part Name]=$A7)*(T_PlannedOrders[WeekIndex]=89)*(T_PlannedOrders[EffectiveQty]&gt;0)*T_PlannedOrders[Order_Month])),"m月")&amp;"発注)")</f>
        <v/>
      </c>
      <c r="CO41">
        <f>IF(SUMIFS(T_PlannedOrders[EffectiveQty],T_PlannedOrders[Part Name],$A7,T_PlannedOrders[WeekIndex],90)=0,"",SUMIFS(T_PlannedOrders[EffectiveQty],T_PlannedOrders[Part Name],$A7,T_PlannedOrders[WeekIndex],90)&amp;" ("&amp;TEXT(SUMPRODUCT(MAX((T_PlannedOrders[Part Name]=$A7)*(T_PlannedOrders[WeekIndex]=90)*(T_PlannedOrders[EffectiveQty]&gt;0)*T_PlannedOrders[Order_Month])),"m月")&amp;"発注)")</f>
        <v/>
      </c>
      <c r="CP41">
        <f>IF(SUMIFS(T_PlannedOrders[EffectiveQty],T_PlannedOrders[Part Name],$A7,T_PlannedOrders[WeekIndex],91)=0,"",SUMIFS(T_PlannedOrders[EffectiveQty],T_PlannedOrders[Part Name],$A7,T_PlannedOrders[WeekIndex],91)&amp;" ("&amp;TEXT(SUMPRODUCT(MAX((T_PlannedOrders[Part Name]=$A7)*(T_PlannedOrders[WeekIndex]=91)*(T_PlannedOrders[EffectiveQty]&gt;0)*T_PlannedOrders[Order_Month])),"m月")&amp;"発注)")</f>
        <v/>
      </c>
      <c r="CQ41">
        <f>IF(SUMIFS(T_PlannedOrders[EffectiveQty],T_PlannedOrders[Part Name],$A7,T_PlannedOrders[WeekIndex],92)=0,"",SUMIFS(T_PlannedOrders[EffectiveQty],T_PlannedOrders[Part Name],$A7,T_PlannedOrders[WeekIndex],92)&amp;" ("&amp;TEXT(SUMPRODUCT(MAX((T_PlannedOrders[Part Name]=$A7)*(T_PlannedOrders[WeekIndex]=92)*(T_PlannedOrders[EffectiveQty]&gt;0)*T_PlannedOrders[Order_Month])),"m月")&amp;"発注)")</f>
        <v/>
      </c>
      <c r="CR41">
        <f>IF(SUMIFS(T_PlannedOrders[EffectiveQty],T_PlannedOrders[Part Name],$A7,T_PlannedOrders[WeekIndex],93)=0,"",SUMIFS(T_PlannedOrders[EffectiveQty],T_PlannedOrders[Part Name],$A7,T_PlannedOrders[WeekIndex],93)&amp;" ("&amp;TEXT(SUMPRODUCT(MAX((T_PlannedOrders[Part Name]=$A7)*(T_PlannedOrders[WeekIndex]=93)*(T_PlannedOrders[EffectiveQty]&gt;0)*T_PlannedOrders[Order_Month])),"m月")&amp;"発注)")</f>
        <v/>
      </c>
      <c r="CS41">
        <f>IF(SUMIFS(T_PlannedOrders[EffectiveQty],T_PlannedOrders[Part Name],$A7,T_PlannedOrders[WeekIndex],94)=0,"",SUMIFS(T_PlannedOrders[EffectiveQty],T_PlannedOrders[Part Name],$A7,T_PlannedOrders[WeekIndex],94)&amp;" ("&amp;TEXT(SUMPRODUCT(MAX((T_PlannedOrders[Part Name]=$A7)*(T_PlannedOrders[WeekIndex]=94)*(T_PlannedOrders[EffectiveQty]&gt;0)*T_PlannedOrders[Order_Month])),"m月")&amp;"発注)")</f>
        <v/>
      </c>
      <c r="CT41">
        <f>IF(SUMIFS(T_PlannedOrders[EffectiveQty],T_PlannedOrders[Part Name],$A7,T_PlannedOrders[WeekIndex],95)=0,"",SUMIFS(T_PlannedOrders[EffectiveQty],T_PlannedOrders[Part Name],$A7,T_PlannedOrders[WeekIndex],95)&amp;" ("&amp;TEXT(SUMPRODUCT(MAX((T_PlannedOrders[Part Name]=$A7)*(T_PlannedOrders[WeekIndex]=95)*(T_PlannedOrders[EffectiveQty]&gt;0)*T_PlannedOrders[Order_Month])),"m月")&amp;"発注)")</f>
        <v/>
      </c>
      <c r="CU41">
        <f>IF(SUMIFS(T_PlannedOrders[EffectiveQty],T_PlannedOrders[Part Name],$A7,T_PlannedOrders[WeekIndex],96)=0,"",SUMIFS(T_PlannedOrders[EffectiveQty],T_PlannedOrders[Part Name],$A7,T_PlannedOrders[WeekIndex],96)&amp;" ("&amp;TEXT(SUMPRODUCT(MAX((T_PlannedOrders[Part Name]=$A7)*(T_PlannedOrders[WeekIndex]=96)*(T_PlannedOrders[EffectiveQty]&gt;0)*T_PlannedOrders[Order_Month])),"m月")&amp;"発注)")</f>
        <v/>
      </c>
      <c r="CV41">
        <f>IF(SUMIFS(T_PlannedOrders[EffectiveQty],T_PlannedOrders[Part Name],$A7,T_PlannedOrders[WeekIndex],97)=0,"",SUMIFS(T_PlannedOrders[EffectiveQty],T_PlannedOrders[Part Name],$A7,T_PlannedOrders[WeekIndex],97)&amp;" ("&amp;TEXT(SUMPRODUCT(MAX((T_PlannedOrders[Part Name]=$A7)*(T_PlannedOrders[WeekIndex]=97)*(T_PlannedOrders[EffectiveQty]&gt;0)*T_PlannedOrders[Order_Month])),"m月")&amp;"発注)")</f>
        <v/>
      </c>
      <c r="CW41">
        <f>IF(SUMIFS(T_PlannedOrders[EffectiveQty],T_PlannedOrders[Part Name],$A7,T_PlannedOrders[WeekIndex],98)=0,"",SUMIFS(T_PlannedOrders[EffectiveQty],T_PlannedOrders[Part Name],$A7,T_PlannedOrders[WeekIndex],98)&amp;" ("&amp;TEXT(SUMPRODUCT(MAX((T_PlannedOrders[Part Name]=$A7)*(T_PlannedOrders[WeekIndex]=98)*(T_PlannedOrders[EffectiveQty]&gt;0)*T_PlannedOrders[Order_Month])),"m月")&amp;"発注)")</f>
        <v/>
      </c>
      <c r="CX41">
        <f>IF(SUMIFS(T_PlannedOrders[EffectiveQty],T_PlannedOrders[Part Name],$A7,T_PlannedOrders[WeekIndex],99)=0,"",SUMIFS(T_PlannedOrders[EffectiveQty],T_PlannedOrders[Part Name],$A7,T_PlannedOrders[WeekIndex],99)&amp;" ("&amp;TEXT(SUMPRODUCT(MAX((T_PlannedOrders[Part Name]=$A7)*(T_PlannedOrders[WeekIndex]=99)*(T_PlannedOrders[EffectiveQty]&gt;0)*T_PlannedOrders[Order_Month])),"m月")&amp;"発注)")</f>
        <v/>
      </c>
      <c r="CY41">
        <f>IF(SUMIFS(T_PlannedOrders[EffectiveQty],T_PlannedOrders[Part Name],$A7,T_PlannedOrders[WeekIndex],100)=0,"",SUMIFS(T_PlannedOrders[EffectiveQty],T_PlannedOrders[Part Name],$A7,T_PlannedOrders[WeekIndex],100)&amp;" ("&amp;TEXT(SUMPRODUCT(MAX((T_PlannedOrders[Part Name]=$A7)*(T_PlannedOrders[WeekIndex]=100)*(T_PlannedOrders[EffectiveQty]&gt;0)*T_PlannedOrders[Order_Month])),"m月")&amp;"発注)")</f>
        <v/>
      </c>
      <c r="CZ41">
        <f>IF(SUMIFS(T_PlannedOrders[EffectiveQty],T_PlannedOrders[Part Name],$A7,T_PlannedOrders[WeekIndex],101)=0,"",SUMIFS(T_PlannedOrders[EffectiveQty],T_PlannedOrders[Part Name],$A7,T_PlannedOrders[WeekIndex],101)&amp;" ("&amp;TEXT(SUMPRODUCT(MAX((T_PlannedOrders[Part Name]=$A7)*(T_PlannedOrders[WeekIndex]=101)*(T_PlannedOrders[EffectiveQty]&gt;0)*T_PlannedOrders[Order_Month])),"m月")&amp;"発注)")</f>
        <v/>
      </c>
      <c r="DA41">
        <f>IF(SUMIFS(T_PlannedOrders[EffectiveQty],T_PlannedOrders[Part Name],$A7,T_PlannedOrders[WeekIndex],102)=0,"",SUMIFS(T_PlannedOrders[EffectiveQty],T_PlannedOrders[Part Name],$A7,T_PlannedOrders[WeekIndex],102)&amp;" ("&amp;TEXT(SUMPRODUCT(MAX((T_PlannedOrders[Part Name]=$A7)*(T_PlannedOrders[WeekIndex]=102)*(T_PlannedOrders[EffectiveQty]&gt;0)*T_PlannedOrders[Order_Month])),"m月")&amp;"発注)")</f>
        <v/>
      </c>
      <c r="DB41">
        <f>IF(SUMIFS(T_PlannedOrders[EffectiveQty],T_PlannedOrders[Part Name],$A7,T_PlannedOrders[WeekIndex],103)=0,"",SUMIFS(T_PlannedOrders[EffectiveQty],T_PlannedOrders[Part Name],$A7,T_PlannedOrders[WeekIndex],103)&amp;" ("&amp;TEXT(SUMPRODUCT(MAX((T_PlannedOrders[Part Name]=$A7)*(T_PlannedOrders[WeekIndex]=103)*(T_PlannedOrders[EffectiveQty]&gt;0)*T_PlannedOrders[Order_Month])),"m月")&amp;"発注)")</f>
        <v/>
      </c>
      <c r="DC41">
        <f>IF(SUMIFS(T_PlannedOrders[EffectiveQty],T_PlannedOrders[Part Name],$A7,T_PlannedOrders[WeekIndex],104)=0,"",SUMIFS(T_PlannedOrders[EffectiveQty],T_PlannedOrders[Part Name],$A7,T_PlannedOrders[WeekIndex],104)&amp;" ("&amp;TEXT(SUMPRODUCT(MAX((T_PlannedOrders[Part Name]=$A7)*(T_PlannedOrders[WeekIndex]=104)*(T_PlannedOrders[EffectiveQty]&gt;0)*T_PlannedOrders[Order_Month])),"m月")&amp;"発注)")</f>
        <v/>
      </c>
    </row>
    <row r="42">
      <c r="B42" s="4" t="inlineStr">
        <is>
          <t>合計在庫(週末時点,kg)</t>
        </is>
      </c>
      <c r="D42">
        <f>'Grid_Stock'!B2</f>
        <v/>
      </c>
      <c r="E42">
        <f>'Grid_Stock'!C2</f>
        <v/>
      </c>
      <c r="F42">
        <f>'Grid_Stock'!D2</f>
        <v/>
      </c>
      <c r="G42">
        <f>'Grid_Stock'!E2</f>
        <v/>
      </c>
      <c r="H42">
        <f>'Grid_Stock'!F2</f>
        <v/>
      </c>
      <c r="I42">
        <f>'Grid_Stock'!G2</f>
        <v/>
      </c>
      <c r="J42">
        <f>'Grid_Stock'!H2</f>
        <v/>
      </c>
      <c r="K42">
        <f>'Grid_Stock'!I2</f>
        <v/>
      </c>
      <c r="L42">
        <f>'Grid_Stock'!J2</f>
        <v/>
      </c>
      <c r="M42">
        <f>'Grid_Stock'!K2</f>
        <v/>
      </c>
      <c r="N42">
        <f>'Grid_Stock'!L2</f>
        <v/>
      </c>
      <c r="O42">
        <f>'Grid_Stock'!M2</f>
        <v/>
      </c>
      <c r="P42">
        <f>'Grid_Stock'!N2</f>
        <v/>
      </c>
      <c r="Q42">
        <f>'Grid_Stock'!O2</f>
        <v/>
      </c>
      <c r="R42">
        <f>'Grid_Stock'!P2</f>
        <v/>
      </c>
      <c r="S42">
        <f>'Grid_Stock'!Q2</f>
        <v/>
      </c>
      <c r="T42">
        <f>'Grid_Stock'!R2</f>
        <v/>
      </c>
      <c r="U42">
        <f>'Grid_Stock'!S2</f>
        <v/>
      </c>
      <c r="V42">
        <f>'Grid_Stock'!T2</f>
        <v/>
      </c>
      <c r="W42">
        <f>'Grid_Stock'!U2</f>
        <v/>
      </c>
      <c r="X42">
        <f>'Grid_Stock'!V2</f>
        <v/>
      </c>
      <c r="Y42">
        <f>'Grid_Stock'!W2</f>
        <v/>
      </c>
      <c r="Z42">
        <f>'Grid_Stock'!X2</f>
        <v/>
      </c>
      <c r="AA42">
        <f>'Grid_Stock'!Y2</f>
        <v/>
      </c>
      <c r="AB42">
        <f>'Grid_Stock'!Z2</f>
        <v/>
      </c>
      <c r="AC42">
        <f>'Grid_Stock'!AA2</f>
        <v/>
      </c>
      <c r="AD42">
        <f>'Grid_Stock'!AB2</f>
        <v/>
      </c>
      <c r="AE42">
        <f>'Grid_Stock'!AC2</f>
        <v/>
      </c>
      <c r="AF42">
        <f>'Grid_Stock'!AD2</f>
        <v/>
      </c>
      <c r="AG42">
        <f>'Grid_Stock'!AE2</f>
        <v/>
      </c>
      <c r="AH42">
        <f>'Grid_Stock'!AF2</f>
        <v/>
      </c>
      <c r="AI42">
        <f>'Grid_Stock'!AG2</f>
        <v/>
      </c>
      <c r="AJ42">
        <f>'Grid_Stock'!AH2</f>
        <v/>
      </c>
      <c r="AK42">
        <f>'Grid_Stock'!AI2</f>
        <v/>
      </c>
      <c r="AL42">
        <f>'Grid_Stock'!AJ2</f>
        <v/>
      </c>
      <c r="AM42">
        <f>'Grid_Stock'!AK2</f>
        <v/>
      </c>
      <c r="AN42">
        <f>'Grid_Stock'!AL2</f>
        <v/>
      </c>
      <c r="AO42">
        <f>'Grid_Stock'!AM2</f>
        <v/>
      </c>
      <c r="AP42">
        <f>'Grid_Stock'!AN2</f>
        <v/>
      </c>
      <c r="AQ42">
        <f>'Grid_Stock'!AO2</f>
        <v/>
      </c>
      <c r="AR42">
        <f>'Grid_Stock'!AP2</f>
        <v/>
      </c>
      <c r="AS42">
        <f>'Grid_Stock'!AQ2</f>
        <v/>
      </c>
      <c r="AT42">
        <f>'Grid_Stock'!AR2</f>
        <v/>
      </c>
      <c r="AU42">
        <f>'Grid_Stock'!AS2</f>
        <v/>
      </c>
      <c r="AV42">
        <f>'Grid_Stock'!AT2</f>
        <v/>
      </c>
      <c r="AW42">
        <f>'Grid_Stock'!AU2</f>
        <v/>
      </c>
      <c r="AX42">
        <f>'Grid_Stock'!AV2</f>
        <v/>
      </c>
      <c r="AY42">
        <f>'Grid_Stock'!AW2</f>
        <v/>
      </c>
      <c r="AZ42">
        <f>'Grid_Stock'!AX2</f>
        <v/>
      </c>
      <c r="BA42">
        <f>'Grid_Stock'!AY2</f>
        <v/>
      </c>
      <c r="BB42">
        <f>'Grid_Stock'!AZ2</f>
        <v/>
      </c>
      <c r="BC42">
        <f>'Grid_Stock'!BA2</f>
        <v/>
      </c>
      <c r="BD42">
        <f>'Grid_Stock'!BB2</f>
        <v/>
      </c>
      <c r="BE42">
        <f>'Grid_Stock'!BC2</f>
        <v/>
      </c>
      <c r="BF42">
        <f>'Grid_Stock'!BD2</f>
        <v/>
      </c>
      <c r="BG42">
        <f>'Grid_Stock'!BE2</f>
        <v/>
      </c>
      <c r="BH42">
        <f>'Grid_Stock'!BF2</f>
        <v/>
      </c>
      <c r="BI42">
        <f>'Grid_Stock'!BG2</f>
        <v/>
      </c>
      <c r="BJ42">
        <f>'Grid_Stock'!BH2</f>
        <v/>
      </c>
      <c r="BK42">
        <f>'Grid_Stock'!BI2</f>
        <v/>
      </c>
      <c r="BL42">
        <f>'Grid_Stock'!BJ2</f>
        <v/>
      </c>
      <c r="BM42">
        <f>'Grid_Stock'!BK2</f>
        <v/>
      </c>
      <c r="BN42">
        <f>'Grid_Stock'!BL2</f>
        <v/>
      </c>
      <c r="BO42">
        <f>'Grid_Stock'!BM2</f>
        <v/>
      </c>
      <c r="BP42">
        <f>'Grid_Stock'!BN2</f>
        <v/>
      </c>
      <c r="BQ42">
        <f>'Grid_Stock'!BO2</f>
        <v/>
      </c>
      <c r="BR42">
        <f>'Grid_Stock'!BP2</f>
        <v/>
      </c>
      <c r="BS42">
        <f>'Grid_Stock'!BQ2</f>
        <v/>
      </c>
      <c r="BT42">
        <f>'Grid_Stock'!BR2</f>
        <v/>
      </c>
      <c r="BU42">
        <f>'Grid_Stock'!BS2</f>
        <v/>
      </c>
      <c r="BV42">
        <f>'Grid_Stock'!BT2</f>
        <v/>
      </c>
      <c r="BW42">
        <f>'Grid_Stock'!BU2</f>
        <v/>
      </c>
      <c r="BX42">
        <f>'Grid_Stock'!BV2</f>
        <v/>
      </c>
      <c r="BY42">
        <f>'Grid_Stock'!BW2</f>
        <v/>
      </c>
      <c r="BZ42">
        <f>'Grid_Stock'!BX2</f>
        <v/>
      </c>
      <c r="CA42">
        <f>'Grid_Stock'!BY2</f>
        <v/>
      </c>
      <c r="CB42">
        <f>'Grid_Stock'!BZ2</f>
        <v/>
      </c>
      <c r="CC42">
        <f>'Grid_Stock'!CA2</f>
        <v/>
      </c>
      <c r="CD42">
        <f>'Grid_Stock'!CB2</f>
        <v/>
      </c>
      <c r="CE42">
        <f>'Grid_Stock'!CC2</f>
        <v/>
      </c>
      <c r="CF42">
        <f>'Grid_Stock'!CD2</f>
        <v/>
      </c>
      <c r="CG42">
        <f>'Grid_Stock'!CE2</f>
        <v/>
      </c>
      <c r="CH42">
        <f>'Grid_Stock'!CF2</f>
        <v/>
      </c>
      <c r="CI42">
        <f>'Grid_Stock'!CG2</f>
        <v/>
      </c>
      <c r="CJ42">
        <f>'Grid_Stock'!CH2</f>
        <v/>
      </c>
      <c r="CK42">
        <f>'Grid_Stock'!CI2</f>
        <v/>
      </c>
      <c r="CL42">
        <f>'Grid_Stock'!CJ2</f>
        <v/>
      </c>
      <c r="CM42">
        <f>'Grid_Stock'!CK2</f>
        <v/>
      </c>
      <c r="CN42">
        <f>'Grid_Stock'!CL2</f>
        <v/>
      </c>
      <c r="CO42">
        <f>'Grid_Stock'!CM2</f>
        <v/>
      </c>
      <c r="CP42">
        <f>'Grid_Stock'!CN2</f>
        <v/>
      </c>
      <c r="CQ42">
        <f>'Grid_Stock'!CO2</f>
        <v/>
      </c>
      <c r="CR42">
        <f>'Grid_Stock'!CP2</f>
        <v/>
      </c>
      <c r="CS42">
        <f>'Grid_Stock'!CQ2</f>
        <v/>
      </c>
      <c r="CT42">
        <f>'Grid_Stock'!CR2</f>
        <v/>
      </c>
      <c r="CU42">
        <f>'Grid_Stock'!CS2</f>
        <v/>
      </c>
      <c r="CV42">
        <f>'Grid_Stock'!CT2</f>
        <v/>
      </c>
      <c r="CW42">
        <f>'Grid_Stock'!CU2</f>
        <v/>
      </c>
      <c r="CX42">
        <f>'Grid_Stock'!CV2</f>
        <v/>
      </c>
      <c r="CY42">
        <f>'Grid_Stock'!CW2</f>
        <v/>
      </c>
      <c r="CZ42">
        <f>'Grid_Stock'!CX2</f>
        <v/>
      </c>
      <c r="DA42">
        <f>'Grid_Stock'!CY2</f>
        <v/>
      </c>
      <c r="DB42">
        <f>'Grid_Stock'!CZ2</f>
        <v/>
      </c>
      <c r="DC42">
        <f>'Grid_Stock'!DA2</f>
        <v/>
      </c>
    </row>
    <row r="43">
      <c r="B43" s="16" t="inlineStr">
        <is>
          <t>（発注の目安はDashboardの基準在庫[下限/上限]と色分けを参照）</t>
        </is>
      </c>
    </row>
    <row r="45">
      <c r="A45" s="14" t="inlineStr">
        <is>
          <t>CHEM-1420</t>
        </is>
      </c>
      <c r="B45" s="14" t="inlineStr">
        <is>
          <t>HEC SE900</t>
        </is>
      </c>
      <c r="C45" s="15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  <c r="Y45" s="14" t="n"/>
      <c r="Z45" s="14" t="n"/>
      <c r="AA45" s="14" t="n"/>
      <c r="AB45" s="14" t="n"/>
      <c r="AC45" s="14" t="n"/>
      <c r="AD45" s="14" t="n"/>
      <c r="AE45" s="14" t="n"/>
      <c r="AF45" s="14" t="n"/>
      <c r="AG45" s="14" t="n"/>
      <c r="AH45" s="14" t="n"/>
      <c r="AI45" s="14" t="n"/>
      <c r="AJ45" s="14" t="n"/>
      <c r="AK45" s="14" t="n"/>
      <c r="AL45" s="14" t="n"/>
      <c r="AM45" s="14" t="n"/>
      <c r="AN45" s="14" t="n"/>
      <c r="AO45" s="14" t="n"/>
      <c r="AP45" s="14" t="n"/>
      <c r="AQ45" s="14" t="n"/>
      <c r="AR45" s="14" t="n"/>
      <c r="AS45" s="14" t="n"/>
      <c r="AT45" s="14" t="n"/>
      <c r="AU45" s="14" t="n"/>
      <c r="AV45" s="14" t="n"/>
      <c r="AW45" s="14" t="n"/>
      <c r="AX45" s="14" t="n"/>
      <c r="AY45" s="14" t="n"/>
      <c r="AZ45" s="14" t="n"/>
      <c r="BA45" s="14" t="n"/>
      <c r="BB45" s="14" t="n"/>
      <c r="BC45" s="14" t="n"/>
      <c r="BD45" s="14" t="n"/>
      <c r="BE45" s="14" t="n"/>
      <c r="BF45" s="14" t="n"/>
      <c r="BG45" s="14" t="n"/>
      <c r="BH45" s="14" t="n"/>
      <c r="BI45" s="14" t="n"/>
      <c r="BJ45" s="14" t="n"/>
      <c r="BK45" s="14" t="n"/>
      <c r="BL45" s="14" t="n"/>
      <c r="BM45" s="14" t="n"/>
      <c r="BN45" s="14" t="n"/>
      <c r="BO45" s="14" t="n"/>
      <c r="BP45" s="14" t="n"/>
      <c r="BQ45" s="14" t="n"/>
      <c r="BR45" s="14" t="n"/>
      <c r="BS45" s="14" t="n"/>
      <c r="BT45" s="14" t="n"/>
      <c r="BU45" s="14" t="n"/>
      <c r="BV45" s="14" t="n"/>
      <c r="BW45" s="14" t="n"/>
      <c r="BX45" s="14" t="n"/>
      <c r="BY45" s="14" t="n"/>
      <c r="BZ45" s="14" t="n"/>
      <c r="CA45" s="14" t="n"/>
      <c r="CB45" s="14" t="n"/>
      <c r="CC45" s="14" t="n"/>
      <c r="CD45" s="14" t="n"/>
      <c r="CE45" s="14" t="n"/>
      <c r="CF45" s="14" t="n"/>
      <c r="CG45" s="14" t="n"/>
      <c r="CH45" s="14" t="n"/>
      <c r="CI45" s="14" t="n"/>
      <c r="CJ45" s="14" t="n"/>
      <c r="CK45" s="14" t="n"/>
      <c r="CL45" s="14" t="n"/>
      <c r="CM45" s="14" t="n"/>
      <c r="CN45" s="14" t="n"/>
      <c r="CO45" s="14" t="n"/>
      <c r="CP45" s="14" t="n"/>
      <c r="CQ45" s="14" t="n"/>
      <c r="CR45" s="14" t="n"/>
      <c r="CS45" s="14" t="n"/>
      <c r="CT45" s="14" t="n"/>
      <c r="CU45" s="14" t="n"/>
      <c r="CV45" s="14" t="n"/>
      <c r="CW45" s="14" t="n"/>
      <c r="CX45" s="14" t="n"/>
      <c r="CY45" s="14" t="n"/>
      <c r="CZ45" s="14" t="n"/>
      <c r="DA45" s="14" t="n"/>
      <c r="DB45" s="14" t="n"/>
      <c r="DC45" s="14" t="n"/>
    </row>
    <row r="46">
      <c r="B46" t="inlineStr">
        <is>
          <t>TSP-049</t>
        </is>
      </c>
      <c r="C46" t="inlineStr">
        <is>
          <t>No. of batches</t>
        </is>
      </c>
      <c r="D46">
        <f>IFERROR(INDEX(PP_Grid[#Data],$DD46,2),0)</f>
        <v/>
      </c>
      <c r="E46">
        <f>IFERROR(INDEX(PP_Grid[#Data],$DD46,3),0)</f>
        <v/>
      </c>
      <c r="F46">
        <f>IFERROR(INDEX(PP_Grid[#Data],$DD46,4),0)</f>
        <v/>
      </c>
      <c r="G46">
        <f>IFERROR(INDEX(PP_Grid[#Data],$DD46,5),0)</f>
        <v/>
      </c>
      <c r="H46">
        <f>IFERROR(INDEX(PP_Grid[#Data],$DD46,6),0)</f>
        <v/>
      </c>
      <c r="I46">
        <f>IFERROR(INDEX(PP_Grid[#Data],$DD46,7),0)</f>
        <v/>
      </c>
      <c r="J46">
        <f>IFERROR(INDEX(PP_Grid[#Data],$DD46,8),0)</f>
        <v/>
      </c>
      <c r="K46">
        <f>IFERROR(INDEX(PP_Grid[#Data],$DD46,9),0)</f>
        <v/>
      </c>
      <c r="L46">
        <f>IFERROR(INDEX(PP_Grid[#Data],$DD46,10),0)</f>
        <v/>
      </c>
      <c r="M46">
        <f>IFERROR(INDEX(PP_Grid[#Data],$DD46,11),0)</f>
        <v/>
      </c>
      <c r="N46">
        <f>IFERROR(INDEX(PP_Grid[#Data],$DD46,12),0)</f>
        <v/>
      </c>
      <c r="O46">
        <f>IFERROR(INDEX(PP_Grid[#Data],$DD46,13),0)</f>
        <v/>
      </c>
      <c r="P46">
        <f>IFERROR(INDEX(PP_Grid[#Data],$DD46,14),0)</f>
        <v/>
      </c>
      <c r="Q46">
        <f>IFERROR(INDEX(PP_Grid[#Data],$DD46,15),0)</f>
        <v/>
      </c>
      <c r="R46">
        <f>IFERROR(INDEX(PP_Grid[#Data],$DD46,16),0)</f>
        <v/>
      </c>
      <c r="S46">
        <f>IFERROR(INDEX(PP_Grid[#Data],$DD46,17),0)</f>
        <v/>
      </c>
      <c r="T46">
        <f>IFERROR(INDEX(PP_Grid[#Data],$DD46,18),0)</f>
        <v/>
      </c>
      <c r="U46">
        <f>IFERROR(INDEX(PP_Grid[#Data],$DD46,19),0)</f>
        <v/>
      </c>
      <c r="V46">
        <f>IFERROR(INDEX(PP_Grid[#Data],$DD46,20),0)</f>
        <v/>
      </c>
      <c r="W46">
        <f>IFERROR(INDEX(PP_Grid[#Data],$DD46,21),0)</f>
        <v/>
      </c>
      <c r="X46">
        <f>IFERROR(INDEX(PP_Grid[#Data],$DD46,22),0)</f>
        <v/>
      </c>
      <c r="Y46">
        <f>IFERROR(INDEX(PP_Grid[#Data],$DD46,23),0)</f>
        <v/>
      </c>
      <c r="Z46">
        <f>IFERROR(INDEX(PP_Grid[#Data],$DD46,24),0)</f>
        <v/>
      </c>
      <c r="AA46">
        <f>IFERROR(INDEX(PP_Grid[#Data],$DD46,25),0)</f>
        <v/>
      </c>
      <c r="AB46">
        <f>IFERROR(INDEX(PP_Grid[#Data],$DD46,26),0)</f>
        <v/>
      </c>
      <c r="AC46">
        <f>IFERROR(INDEX(PP_Grid[#Data],$DD46,27),0)</f>
        <v/>
      </c>
      <c r="AD46">
        <f>IFERROR(INDEX(PP_Grid[#Data],$DD46,28),0)</f>
        <v/>
      </c>
      <c r="AE46">
        <f>IFERROR(INDEX(PP_Grid[#Data],$DD46,29),0)</f>
        <v/>
      </c>
      <c r="AF46">
        <f>IFERROR(INDEX(PP_Grid[#Data],$DD46,30),0)</f>
        <v/>
      </c>
      <c r="AG46">
        <f>IFERROR(INDEX(PP_Grid[#Data],$DD46,31),0)</f>
        <v/>
      </c>
      <c r="AH46">
        <f>IFERROR(INDEX(PP_Grid[#Data],$DD46,32),0)</f>
        <v/>
      </c>
      <c r="AI46">
        <f>IFERROR(INDEX(PP_Grid[#Data],$DD46,33),0)</f>
        <v/>
      </c>
      <c r="AJ46">
        <f>IFERROR(INDEX(PP_Grid[#Data],$DD46,34),0)</f>
        <v/>
      </c>
      <c r="AK46">
        <f>IFERROR(INDEX(PP_Grid[#Data],$DD46,35),0)</f>
        <v/>
      </c>
      <c r="AL46">
        <f>IFERROR(INDEX(PP_Grid[#Data],$DD46,36),0)</f>
        <v/>
      </c>
      <c r="AM46">
        <f>IFERROR(INDEX(PP_Grid[#Data],$DD46,37),0)</f>
        <v/>
      </c>
      <c r="AN46">
        <f>IFERROR(INDEX(PP_Grid[#Data],$DD46,38),0)</f>
        <v/>
      </c>
      <c r="AO46">
        <f>IFERROR(INDEX(PP_Grid[#Data],$DD46,39),0)</f>
        <v/>
      </c>
      <c r="AP46">
        <f>IFERROR(INDEX(PP_Grid[#Data],$DD46,40),0)</f>
        <v/>
      </c>
      <c r="AQ46">
        <f>IFERROR(INDEX(PP_Grid[#Data],$DD46,41),0)</f>
        <v/>
      </c>
      <c r="AR46">
        <f>IFERROR(INDEX(PP_Grid[#Data],$DD46,42),0)</f>
        <v/>
      </c>
      <c r="AS46">
        <f>IFERROR(INDEX(PP_Grid[#Data],$DD46,43),0)</f>
        <v/>
      </c>
      <c r="AT46">
        <f>IFERROR(INDEX(PP_Grid[#Data],$DD46,44),0)</f>
        <v/>
      </c>
      <c r="AU46">
        <f>IFERROR(INDEX(PP_Grid[#Data],$DD46,45),0)</f>
        <v/>
      </c>
      <c r="AV46">
        <f>IFERROR(INDEX(PP_Grid[#Data],$DD46,46),0)</f>
        <v/>
      </c>
      <c r="AW46">
        <f>IFERROR(INDEX(PP_Grid[#Data],$DD46,47),0)</f>
        <v/>
      </c>
      <c r="AX46">
        <f>IFERROR(INDEX(PP_Grid[#Data],$DD46,48),0)</f>
        <v/>
      </c>
      <c r="AY46">
        <f>IFERROR(INDEX(PP_Grid[#Data],$DD46,49),0)</f>
        <v/>
      </c>
      <c r="AZ46">
        <f>IFERROR(INDEX(PP_Grid[#Data],$DD46,50),0)</f>
        <v/>
      </c>
      <c r="BA46">
        <f>IFERROR(INDEX(PP_Grid[#Data],$DD46,51),0)</f>
        <v/>
      </c>
      <c r="BB46">
        <f>IFERROR(INDEX(PP_Grid[#Data],$DD46,52),0)</f>
        <v/>
      </c>
      <c r="BC46">
        <f>IFERROR(INDEX(PP_Grid[#Data],$DD46,53),0)</f>
        <v/>
      </c>
      <c r="BD46">
        <f>IFERROR(INDEX(PP_Grid[#Data],$DD46,54),0)</f>
        <v/>
      </c>
      <c r="BE46">
        <f>IFERROR(INDEX(PP_Grid[#Data],$DD46,55),0)</f>
        <v/>
      </c>
      <c r="BF46">
        <f>IFERROR(INDEX(PP_Grid[#Data],$DD46,56),0)</f>
        <v/>
      </c>
      <c r="BG46">
        <f>IFERROR(INDEX(PP_Grid[#Data],$DD46,57),0)</f>
        <v/>
      </c>
      <c r="BH46">
        <f>IFERROR(INDEX(PP_Grid[#Data],$DD46,58),0)</f>
        <v/>
      </c>
      <c r="BI46">
        <f>IFERROR(INDEX(PP_Grid[#Data],$DD46,59),0)</f>
        <v/>
      </c>
      <c r="BJ46">
        <f>IFERROR(INDEX(PP_Grid[#Data],$DD46,60),0)</f>
        <v/>
      </c>
      <c r="BK46">
        <f>IFERROR(INDEX(PP_Grid[#Data],$DD46,61),0)</f>
        <v/>
      </c>
      <c r="BL46">
        <f>IFERROR(INDEX(PP_Grid[#Data],$DD46,62),0)</f>
        <v/>
      </c>
      <c r="BM46">
        <f>IFERROR(INDEX(PP_Grid[#Data],$DD46,63),0)</f>
        <v/>
      </c>
      <c r="BN46">
        <f>IFERROR(INDEX(PP_Grid[#Data],$DD46,64),0)</f>
        <v/>
      </c>
      <c r="BO46">
        <f>IFERROR(INDEX(PP_Grid[#Data],$DD46,65),0)</f>
        <v/>
      </c>
      <c r="BP46">
        <f>IFERROR(INDEX(PP_Grid[#Data],$DD46,66),0)</f>
        <v/>
      </c>
      <c r="BQ46">
        <f>IFERROR(INDEX(PP_Grid[#Data],$DD46,67),0)</f>
        <v/>
      </c>
      <c r="BR46">
        <f>IFERROR(INDEX(PP_Grid[#Data],$DD46,68),0)</f>
        <v/>
      </c>
      <c r="BS46">
        <f>IFERROR(INDEX(PP_Grid[#Data],$DD46,69),0)</f>
        <v/>
      </c>
      <c r="BT46">
        <f>IFERROR(INDEX(PP_Grid[#Data],$DD46,70),0)</f>
        <v/>
      </c>
      <c r="BU46">
        <f>IFERROR(INDEX(PP_Grid[#Data],$DD46,71),0)</f>
        <v/>
      </c>
      <c r="BV46">
        <f>IFERROR(INDEX(PP_Grid[#Data],$DD46,72),0)</f>
        <v/>
      </c>
      <c r="BW46">
        <f>IFERROR(INDEX(PP_Grid[#Data],$DD46,73),0)</f>
        <v/>
      </c>
      <c r="BX46">
        <f>IFERROR(INDEX(PP_Grid[#Data],$DD46,74),0)</f>
        <v/>
      </c>
      <c r="BY46">
        <f>IFERROR(INDEX(PP_Grid[#Data],$DD46,75),0)</f>
        <v/>
      </c>
      <c r="BZ46">
        <f>IFERROR(INDEX(PP_Grid[#Data],$DD46,76),0)</f>
        <v/>
      </c>
      <c r="CA46">
        <f>IFERROR(INDEX(PP_Grid[#Data],$DD46,77),0)</f>
        <v/>
      </c>
      <c r="CB46">
        <f>IFERROR(INDEX(PP_Grid[#Data],$DD46,78),0)</f>
        <v/>
      </c>
      <c r="CC46">
        <f>IFERROR(INDEX(PP_Grid[#Data],$DD46,79),0)</f>
        <v/>
      </c>
      <c r="CD46">
        <f>IFERROR(INDEX(PP_Grid[#Data],$DD46,80),0)</f>
        <v/>
      </c>
      <c r="CE46">
        <f>IFERROR(INDEX(PP_Grid[#Data],$DD46,81),0)</f>
        <v/>
      </c>
      <c r="CF46">
        <f>IFERROR(INDEX(PP_Grid[#Data],$DD46,82),0)</f>
        <v/>
      </c>
      <c r="CG46">
        <f>IFERROR(INDEX(PP_Grid[#Data],$DD46,83),0)</f>
        <v/>
      </c>
      <c r="CH46">
        <f>IFERROR(INDEX(PP_Grid[#Data],$DD46,84),0)</f>
        <v/>
      </c>
      <c r="CI46">
        <f>IFERROR(INDEX(PP_Grid[#Data],$DD46,85),0)</f>
        <v/>
      </c>
      <c r="CJ46">
        <f>IFERROR(INDEX(PP_Grid[#Data],$DD46,86),0)</f>
        <v/>
      </c>
      <c r="CK46">
        <f>IFERROR(INDEX(PP_Grid[#Data],$DD46,87),0)</f>
        <v/>
      </c>
      <c r="CL46">
        <f>IFERROR(INDEX(PP_Grid[#Data],$DD46,88),0)</f>
        <v/>
      </c>
      <c r="CM46">
        <f>IFERROR(INDEX(PP_Grid[#Data],$DD46,89),0)</f>
        <v/>
      </c>
      <c r="CN46">
        <f>IFERROR(INDEX(PP_Grid[#Data],$DD46,90),0)</f>
        <v/>
      </c>
      <c r="CO46">
        <f>IFERROR(INDEX(PP_Grid[#Data],$DD46,91),0)</f>
        <v/>
      </c>
      <c r="CP46">
        <f>IFERROR(INDEX(PP_Grid[#Data],$DD46,92),0)</f>
        <v/>
      </c>
      <c r="CQ46">
        <f>IFERROR(INDEX(PP_Grid[#Data],$DD46,93),0)</f>
        <v/>
      </c>
      <c r="CR46">
        <f>IFERROR(INDEX(PP_Grid[#Data],$DD46,94),0)</f>
        <v/>
      </c>
      <c r="CS46">
        <f>IFERROR(INDEX(PP_Grid[#Data],$DD46,95),0)</f>
        <v/>
      </c>
      <c r="CT46">
        <f>IFERROR(INDEX(PP_Grid[#Data],$DD46,96),0)</f>
        <v/>
      </c>
      <c r="CU46">
        <f>IFERROR(INDEX(PP_Grid[#Data],$DD46,97),0)</f>
        <v/>
      </c>
      <c r="CV46">
        <f>IFERROR(INDEX(PP_Grid[#Data],$DD46,98),0)</f>
        <v/>
      </c>
      <c r="CW46">
        <f>IFERROR(INDEX(PP_Grid[#Data],$DD46,99),0)</f>
        <v/>
      </c>
      <c r="CX46">
        <f>IFERROR(INDEX(PP_Grid[#Data],$DD46,100),0)</f>
        <v/>
      </c>
      <c r="CY46">
        <f>IFERROR(INDEX(PP_Grid[#Data],$DD46,101),0)</f>
        <v/>
      </c>
      <c r="CZ46">
        <f>IFERROR(INDEX(PP_Grid[#Data],$DD46,102),0)</f>
        <v/>
      </c>
      <c r="DA46">
        <f>IFERROR(INDEX(PP_Grid[#Data],$DD46,103),0)</f>
        <v/>
      </c>
      <c r="DB46">
        <f>IFERROR(INDEX(PP_Grid[#Data],$DD46,104),0)</f>
        <v/>
      </c>
      <c r="DC46">
        <f>IFERROR(INDEX(PP_Grid[#Data],$DD46,105),0)</f>
        <v/>
      </c>
      <c r="DD46" s="7">
        <f>IFERROR(MATCH($B46,PP_Grid[Intermediate],0),99999)</f>
        <v/>
      </c>
    </row>
    <row r="47">
      <c r="B47" t="inlineStr">
        <is>
          <t>使用量(kg)</t>
        </is>
      </c>
      <c r="C47">
        <f>SUMIFS(M_BOM[RM_Qty_Per_Batch],M_BOM[Intermediate],$B46,M_BOM[Part Name],$A45)</f>
        <v/>
      </c>
      <c r="D47">
        <f>$C47*D46</f>
        <v/>
      </c>
      <c r="E47">
        <f>$C47*E46</f>
        <v/>
      </c>
      <c r="F47">
        <f>$C47*F46</f>
        <v/>
      </c>
      <c r="G47">
        <f>$C47*G46</f>
        <v/>
      </c>
      <c r="H47">
        <f>$C47*H46</f>
        <v/>
      </c>
      <c r="I47">
        <f>$C47*I46</f>
        <v/>
      </c>
      <c r="J47">
        <f>$C47*J46</f>
        <v/>
      </c>
      <c r="K47">
        <f>$C47*K46</f>
        <v/>
      </c>
      <c r="L47">
        <f>$C47*L46</f>
        <v/>
      </c>
      <c r="M47">
        <f>$C47*M46</f>
        <v/>
      </c>
      <c r="N47">
        <f>$C47*N46</f>
        <v/>
      </c>
      <c r="O47">
        <f>$C47*O46</f>
        <v/>
      </c>
      <c r="P47">
        <f>$C47*P46</f>
        <v/>
      </c>
      <c r="Q47">
        <f>$C47*Q46</f>
        <v/>
      </c>
      <c r="R47">
        <f>$C47*R46</f>
        <v/>
      </c>
      <c r="S47">
        <f>$C47*S46</f>
        <v/>
      </c>
      <c r="T47">
        <f>$C47*T46</f>
        <v/>
      </c>
      <c r="U47">
        <f>$C47*U46</f>
        <v/>
      </c>
      <c r="V47">
        <f>$C47*V46</f>
        <v/>
      </c>
      <c r="W47">
        <f>$C47*W46</f>
        <v/>
      </c>
      <c r="X47">
        <f>$C47*X46</f>
        <v/>
      </c>
      <c r="Y47">
        <f>$C47*Y46</f>
        <v/>
      </c>
      <c r="Z47">
        <f>$C47*Z46</f>
        <v/>
      </c>
      <c r="AA47">
        <f>$C47*AA46</f>
        <v/>
      </c>
      <c r="AB47">
        <f>$C47*AB46</f>
        <v/>
      </c>
      <c r="AC47">
        <f>$C47*AC46</f>
        <v/>
      </c>
      <c r="AD47">
        <f>$C47*AD46</f>
        <v/>
      </c>
      <c r="AE47">
        <f>$C47*AE46</f>
        <v/>
      </c>
      <c r="AF47">
        <f>$C47*AF46</f>
        <v/>
      </c>
      <c r="AG47">
        <f>$C47*AG46</f>
        <v/>
      </c>
      <c r="AH47">
        <f>$C47*AH46</f>
        <v/>
      </c>
      <c r="AI47">
        <f>$C47*AI46</f>
        <v/>
      </c>
      <c r="AJ47">
        <f>$C47*AJ46</f>
        <v/>
      </c>
      <c r="AK47">
        <f>$C47*AK46</f>
        <v/>
      </c>
      <c r="AL47">
        <f>$C47*AL46</f>
        <v/>
      </c>
      <c r="AM47">
        <f>$C47*AM46</f>
        <v/>
      </c>
      <c r="AN47">
        <f>$C47*AN46</f>
        <v/>
      </c>
      <c r="AO47">
        <f>$C47*AO46</f>
        <v/>
      </c>
      <c r="AP47">
        <f>$C47*AP46</f>
        <v/>
      </c>
      <c r="AQ47">
        <f>$C47*AQ46</f>
        <v/>
      </c>
      <c r="AR47">
        <f>$C47*AR46</f>
        <v/>
      </c>
      <c r="AS47">
        <f>$C47*AS46</f>
        <v/>
      </c>
      <c r="AT47">
        <f>$C47*AT46</f>
        <v/>
      </c>
      <c r="AU47">
        <f>$C47*AU46</f>
        <v/>
      </c>
      <c r="AV47">
        <f>$C47*AV46</f>
        <v/>
      </c>
      <c r="AW47">
        <f>$C47*AW46</f>
        <v/>
      </c>
      <c r="AX47">
        <f>$C47*AX46</f>
        <v/>
      </c>
      <c r="AY47">
        <f>$C47*AY46</f>
        <v/>
      </c>
      <c r="AZ47">
        <f>$C47*AZ46</f>
        <v/>
      </c>
      <c r="BA47">
        <f>$C47*BA46</f>
        <v/>
      </c>
      <c r="BB47">
        <f>$C47*BB46</f>
        <v/>
      </c>
      <c r="BC47">
        <f>$C47*BC46</f>
        <v/>
      </c>
      <c r="BD47">
        <f>$C47*BD46</f>
        <v/>
      </c>
      <c r="BE47">
        <f>$C47*BE46</f>
        <v/>
      </c>
      <c r="BF47">
        <f>$C47*BF46</f>
        <v/>
      </c>
      <c r="BG47">
        <f>$C47*BG46</f>
        <v/>
      </c>
      <c r="BH47">
        <f>$C47*BH46</f>
        <v/>
      </c>
      <c r="BI47">
        <f>$C47*BI46</f>
        <v/>
      </c>
      <c r="BJ47">
        <f>$C47*BJ46</f>
        <v/>
      </c>
      <c r="BK47">
        <f>$C47*BK46</f>
        <v/>
      </c>
      <c r="BL47">
        <f>$C47*BL46</f>
        <v/>
      </c>
      <c r="BM47">
        <f>$C47*BM46</f>
        <v/>
      </c>
      <c r="BN47">
        <f>$C47*BN46</f>
        <v/>
      </c>
      <c r="BO47">
        <f>$C47*BO46</f>
        <v/>
      </c>
      <c r="BP47">
        <f>$C47*BP46</f>
        <v/>
      </c>
      <c r="BQ47">
        <f>$C47*BQ46</f>
        <v/>
      </c>
      <c r="BR47">
        <f>$C47*BR46</f>
        <v/>
      </c>
      <c r="BS47">
        <f>$C47*BS46</f>
        <v/>
      </c>
      <c r="BT47">
        <f>$C47*BT46</f>
        <v/>
      </c>
      <c r="BU47">
        <f>$C47*BU46</f>
        <v/>
      </c>
      <c r="BV47">
        <f>$C47*BV46</f>
        <v/>
      </c>
      <c r="BW47">
        <f>$C47*BW46</f>
        <v/>
      </c>
      <c r="BX47">
        <f>$C47*BX46</f>
        <v/>
      </c>
      <c r="BY47">
        <f>$C47*BY46</f>
        <v/>
      </c>
      <c r="BZ47">
        <f>$C47*BZ46</f>
        <v/>
      </c>
      <c r="CA47">
        <f>$C47*CA46</f>
        <v/>
      </c>
      <c r="CB47">
        <f>$C47*CB46</f>
        <v/>
      </c>
      <c r="CC47">
        <f>$C47*CC46</f>
        <v/>
      </c>
      <c r="CD47">
        <f>$C47*CD46</f>
        <v/>
      </c>
      <c r="CE47">
        <f>$C47*CE46</f>
        <v/>
      </c>
      <c r="CF47">
        <f>$C47*CF46</f>
        <v/>
      </c>
      <c r="CG47">
        <f>$C47*CG46</f>
        <v/>
      </c>
      <c r="CH47">
        <f>$C47*CH46</f>
        <v/>
      </c>
      <c r="CI47">
        <f>$C47*CI46</f>
        <v/>
      </c>
      <c r="CJ47">
        <f>$C47*CJ46</f>
        <v/>
      </c>
      <c r="CK47">
        <f>$C47*CK46</f>
        <v/>
      </c>
      <c r="CL47">
        <f>$C47*CL46</f>
        <v/>
      </c>
      <c r="CM47">
        <f>$C47*CM46</f>
        <v/>
      </c>
      <c r="CN47">
        <f>$C47*CN46</f>
        <v/>
      </c>
      <c r="CO47">
        <f>$C47*CO46</f>
        <v/>
      </c>
      <c r="CP47">
        <f>$C47*CP46</f>
        <v/>
      </c>
      <c r="CQ47">
        <f>$C47*CQ46</f>
        <v/>
      </c>
      <c r="CR47">
        <f>$C47*CR46</f>
        <v/>
      </c>
      <c r="CS47">
        <f>$C47*CS46</f>
        <v/>
      </c>
      <c r="CT47">
        <f>$C47*CT46</f>
        <v/>
      </c>
      <c r="CU47">
        <f>$C47*CU46</f>
        <v/>
      </c>
      <c r="CV47">
        <f>$C47*CV46</f>
        <v/>
      </c>
      <c r="CW47">
        <f>$C47*CW46</f>
        <v/>
      </c>
      <c r="CX47">
        <f>$C47*CX46</f>
        <v/>
      </c>
      <c r="CY47">
        <f>$C47*CY46</f>
        <v/>
      </c>
      <c r="CZ47">
        <f>$C47*CZ46</f>
        <v/>
      </c>
      <c r="DA47">
        <f>$C47*DA46</f>
        <v/>
      </c>
      <c r="DB47">
        <f>$C47*DB46</f>
        <v/>
      </c>
      <c r="DC47">
        <f>$C47*DC46</f>
        <v/>
      </c>
    </row>
    <row r="48">
      <c r="B48" t="inlineStr">
        <is>
          <t>TSP-050</t>
        </is>
      </c>
      <c r="C48" t="inlineStr">
        <is>
          <t>No. of batches</t>
        </is>
      </c>
      <c r="D48">
        <f>IFERROR(INDEX(PP_Grid[#Data],$DD48,2),0)</f>
        <v/>
      </c>
      <c r="E48">
        <f>IFERROR(INDEX(PP_Grid[#Data],$DD48,3),0)</f>
        <v/>
      </c>
      <c r="F48">
        <f>IFERROR(INDEX(PP_Grid[#Data],$DD48,4),0)</f>
        <v/>
      </c>
      <c r="G48">
        <f>IFERROR(INDEX(PP_Grid[#Data],$DD48,5),0)</f>
        <v/>
      </c>
      <c r="H48">
        <f>IFERROR(INDEX(PP_Grid[#Data],$DD48,6),0)</f>
        <v/>
      </c>
      <c r="I48">
        <f>IFERROR(INDEX(PP_Grid[#Data],$DD48,7),0)</f>
        <v/>
      </c>
      <c r="J48">
        <f>IFERROR(INDEX(PP_Grid[#Data],$DD48,8),0)</f>
        <v/>
      </c>
      <c r="K48">
        <f>IFERROR(INDEX(PP_Grid[#Data],$DD48,9),0)</f>
        <v/>
      </c>
      <c r="L48">
        <f>IFERROR(INDEX(PP_Grid[#Data],$DD48,10),0)</f>
        <v/>
      </c>
      <c r="M48">
        <f>IFERROR(INDEX(PP_Grid[#Data],$DD48,11),0)</f>
        <v/>
      </c>
      <c r="N48">
        <f>IFERROR(INDEX(PP_Grid[#Data],$DD48,12),0)</f>
        <v/>
      </c>
      <c r="O48">
        <f>IFERROR(INDEX(PP_Grid[#Data],$DD48,13),0)</f>
        <v/>
      </c>
      <c r="P48">
        <f>IFERROR(INDEX(PP_Grid[#Data],$DD48,14),0)</f>
        <v/>
      </c>
      <c r="Q48">
        <f>IFERROR(INDEX(PP_Grid[#Data],$DD48,15),0)</f>
        <v/>
      </c>
      <c r="R48">
        <f>IFERROR(INDEX(PP_Grid[#Data],$DD48,16),0)</f>
        <v/>
      </c>
      <c r="S48">
        <f>IFERROR(INDEX(PP_Grid[#Data],$DD48,17),0)</f>
        <v/>
      </c>
      <c r="T48">
        <f>IFERROR(INDEX(PP_Grid[#Data],$DD48,18),0)</f>
        <v/>
      </c>
      <c r="U48">
        <f>IFERROR(INDEX(PP_Grid[#Data],$DD48,19),0)</f>
        <v/>
      </c>
      <c r="V48">
        <f>IFERROR(INDEX(PP_Grid[#Data],$DD48,20),0)</f>
        <v/>
      </c>
      <c r="W48">
        <f>IFERROR(INDEX(PP_Grid[#Data],$DD48,21),0)</f>
        <v/>
      </c>
      <c r="X48">
        <f>IFERROR(INDEX(PP_Grid[#Data],$DD48,22),0)</f>
        <v/>
      </c>
      <c r="Y48">
        <f>IFERROR(INDEX(PP_Grid[#Data],$DD48,23),0)</f>
        <v/>
      </c>
      <c r="Z48">
        <f>IFERROR(INDEX(PP_Grid[#Data],$DD48,24),0)</f>
        <v/>
      </c>
      <c r="AA48">
        <f>IFERROR(INDEX(PP_Grid[#Data],$DD48,25),0)</f>
        <v/>
      </c>
      <c r="AB48">
        <f>IFERROR(INDEX(PP_Grid[#Data],$DD48,26),0)</f>
        <v/>
      </c>
      <c r="AC48">
        <f>IFERROR(INDEX(PP_Grid[#Data],$DD48,27),0)</f>
        <v/>
      </c>
      <c r="AD48">
        <f>IFERROR(INDEX(PP_Grid[#Data],$DD48,28),0)</f>
        <v/>
      </c>
      <c r="AE48">
        <f>IFERROR(INDEX(PP_Grid[#Data],$DD48,29),0)</f>
        <v/>
      </c>
      <c r="AF48">
        <f>IFERROR(INDEX(PP_Grid[#Data],$DD48,30),0)</f>
        <v/>
      </c>
      <c r="AG48">
        <f>IFERROR(INDEX(PP_Grid[#Data],$DD48,31),0)</f>
        <v/>
      </c>
      <c r="AH48">
        <f>IFERROR(INDEX(PP_Grid[#Data],$DD48,32),0)</f>
        <v/>
      </c>
      <c r="AI48">
        <f>IFERROR(INDEX(PP_Grid[#Data],$DD48,33),0)</f>
        <v/>
      </c>
      <c r="AJ48">
        <f>IFERROR(INDEX(PP_Grid[#Data],$DD48,34),0)</f>
        <v/>
      </c>
      <c r="AK48">
        <f>IFERROR(INDEX(PP_Grid[#Data],$DD48,35),0)</f>
        <v/>
      </c>
      <c r="AL48">
        <f>IFERROR(INDEX(PP_Grid[#Data],$DD48,36),0)</f>
        <v/>
      </c>
      <c r="AM48">
        <f>IFERROR(INDEX(PP_Grid[#Data],$DD48,37),0)</f>
        <v/>
      </c>
      <c r="AN48">
        <f>IFERROR(INDEX(PP_Grid[#Data],$DD48,38),0)</f>
        <v/>
      </c>
      <c r="AO48">
        <f>IFERROR(INDEX(PP_Grid[#Data],$DD48,39),0)</f>
        <v/>
      </c>
      <c r="AP48">
        <f>IFERROR(INDEX(PP_Grid[#Data],$DD48,40),0)</f>
        <v/>
      </c>
      <c r="AQ48">
        <f>IFERROR(INDEX(PP_Grid[#Data],$DD48,41),0)</f>
        <v/>
      </c>
      <c r="AR48">
        <f>IFERROR(INDEX(PP_Grid[#Data],$DD48,42),0)</f>
        <v/>
      </c>
      <c r="AS48">
        <f>IFERROR(INDEX(PP_Grid[#Data],$DD48,43),0)</f>
        <v/>
      </c>
      <c r="AT48">
        <f>IFERROR(INDEX(PP_Grid[#Data],$DD48,44),0)</f>
        <v/>
      </c>
      <c r="AU48">
        <f>IFERROR(INDEX(PP_Grid[#Data],$DD48,45),0)</f>
        <v/>
      </c>
      <c r="AV48">
        <f>IFERROR(INDEX(PP_Grid[#Data],$DD48,46),0)</f>
        <v/>
      </c>
      <c r="AW48">
        <f>IFERROR(INDEX(PP_Grid[#Data],$DD48,47),0)</f>
        <v/>
      </c>
      <c r="AX48">
        <f>IFERROR(INDEX(PP_Grid[#Data],$DD48,48),0)</f>
        <v/>
      </c>
      <c r="AY48">
        <f>IFERROR(INDEX(PP_Grid[#Data],$DD48,49),0)</f>
        <v/>
      </c>
      <c r="AZ48">
        <f>IFERROR(INDEX(PP_Grid[#Data],$DD48,50),0)</f>
        <v/>
      </c>
      <c r="BA48">
        <f>IFERROR(INDEX(PP_Grid[#Data],$DD48,51),0)</f>
        <v/>
      </c>
      <c r="BB48">
        <f>IFERROR(INDEX(PP_Grid[#Data],$DD48,52),0)</f>
        <v/>
      </c>
      <c r="BC48">
        <f>IFERROR(INDEX(PP_Grid[#Data],$DD48,53),0)</f>
        <v/>
      </c>
      <c r="BD48">
        <f>IFERROR(INDEX(PP_Grid[#Data],$DD48,54),0)</f>
        <v/>
      </c>
      <c r="BE48">
        <f>IFERROR(INDEX(PP_Grid[#Data],$DD48,55),0)</f>
        <v/>
      </c>
      <c r="BF48">
        <f>IFERROR(INDEX(PP_Grid[#Data],$DD48,56),0)</f>
        <v/>
      </c>
      <c r="BG48">
        <f>IFERROR(INDEX(PP_Grid[#Data],$DD48,57),0)</f>
        <v/>
      </c>
      <c r="BH48">
        <f>IFERROR(INDEX(PP_Grid[#Data],$DD48,58),0)</f>
        <v/>
      </c>
      <c r="BI48">
        <f>IFERROR(INDEX(PP_Grid[#Data],$DD48,59),0)</f>
        <v/>
      </c>
      <c r="BJ48">
        <f>IFERROR(INDEX(PP_Grid[#Data],$DD48,60),0)</f>
        <v/>
      </c>
      <c r="BK48">
        <f>IFERROR(INDEX(PP_Grid[#Data],$DD48,61),0)</f>
        <v/>
      </c>
      <c r="BL48">
        <f>IFERROR(INDEX(PP_Grid[#Data],$DD48,62),0)</f>
        <v/>
      </c>
      <c r="BM48">
        <f>IFERROR(INDEX(PP_Grid[#Data],$DD48,63),0)</f>
        <v/>
      </c>
      <c r="BN48">
        <f>IFERROR(INDEX(PP_Grid[#Data],$DD48,64),0)</f>
        <v/>
      </c>
      <c r="BO48">
        <f>IFERROR(INDEX(PP_Grid[#Data],$DD48,65),0)</f>
        <v/>
      </c>
      <c r="BP48">
        <f>IFERROR(INDEX(PP_Grid[#Data],$DD48,66),0)</f>
        <v/>
      </c>
      <c r="BQ48">
        <f>IFERROR(INDEX(PP_Grid[#Data],$DD48,67),0)</f>
        <v/>
      </c>
      <c r="BR48">
        <f>IFERROR(INDEX(PP_Grid[#Data],$DD48,68),0)</f>
        <v/>
      </c>
      <c r="BS48">
        <f>IFERROR(INDEX(PP_Grid[#Data],$DD48,69),0)</f>
        <v/>
      </c>
      <c r="BT48">
        <f>IFERROR(INDEX(PP_Grid[#Data],$DD48,70),0)</f>
        <v/>
      </c>
      <c r="BU48">
        <f>IFERROR(INDEX(PP_Grid[#Data],$DD48,71),0)</f>
        <v/>
      </c>
      <c r="BV48">
        <f>IFERROR(INDEX(PP_Grid[#Data],$DD48,72),0)</f>
        <v/>
      </c>
      <c r="BW48">
        <f>IFERROR(INDEX(PP_Grid[#Data],$DD48,73),0)</f>
        <v/>
      </c>
      <c r="BX48">
        <f>IFERROR(INDEX(PP_Grid[#Data],$DD48,74),0)</f>
        <v/>
      </c>
      <c r="BY48">
        <f>IFERROR(INDEX(PP_Grid[#Data],$DD48,75),0)</f>
        <v/>
      </c>
      <c r="BZ48">
        <f>IFERROR(INDEX(PP_Grid[#Data],$DD48,76),0)</f>
        <v/>
      </c>
      <c r="CA48">
        <f>IFERROR(INDEX(PP_Grid[#Data],$DD48,77),0)</f>
        <v/>
      </c>
      <c r="CB48">
        <f>IFERROR(INDEX(PP_Grid[#Data],$DD48,78),0)</f>
        <v/>
      </c>
      <c r="CC48">
        <f>IFERROR(INDEX(PP_Grid[#Data],$DD48,79),0)</f>
        <v/>
      </c>
      <c r="CD48">
        <f>IFERROR(INDEX(PP_Grid[#Data],$DD48,80),0)</f>
        <v/>
      </c>
      <c r="CE48">
        <f>IFERROR(INDEX(PP_Grid[#Data],$DD48,81),0)</f>
        <v/>
      </c>
      <c r="CF48">
        <f>IFERROR(INDEX(PP_Grid[#Data],$DD48,82),0)</f>
        <v/>
      </c>
      <c r="CG48">
        <f>IFERROR(INDEX(PP_Grid[#Data],$DD48,83),0)</f>
        <v/>
      </c>
      <c r="CH48">
        <f>IFERROR(INDEX(PP_Grid[#Data],$DD48,84),0)</f>
        <v/>
      </c>
      <c r="CI48">
        <f>IFERROR(INDEX(PP_Grid[#Data],$DD48,85),0)</f>
        <v/>
      </c>
      <c r="CJ48">
        <f>IFERROR(INDEX(PP_Grid[#Data],$DD48,86),0)</f>
        <v/>
      </c>
      <c r="CK48">
        <f>IFERROR(INDEX(PP_Grid[#Data],$DD48,87),0)</f>
        <v/>
      </c>
      <c r="CL48">
        <f>IFERROR(INDEX(PP_Grid[#Data],$DD48,88),0)</f>
        <v/>
      </c>
      <c r="CM48">
        <f>IFERROR(INDEX(PP_Grid[#Data],$DD48,89),0)</f>
        <v/>
      </c>
      <c r="CN48">
        <f>IFERROR(INDEX(PP_Grid[#Data],$DD48,90),0)</f>
        <v/>
      </c>
      <c r="CO48">
        <f>IFERROR(INDEX(PP_Grid[#Data],$DD48,91),0)</f>
        <v/>
      </c>
      <c r="CP48">
        <f>IFERROR(INDEX(PP_Grid[#Data],$DD48,92),0)</f>
        <v/>
      </c>
      <c r="CQ48">
        <f>IFERROR(INDEX(PP_Grid[#Data],$DD48,93),0)</f>
        <v/>
      </c>
      <c r="CR48">
        <f>IFERROR(INDEX(PP_Grid[#Data],$DD48,94),0)</f>
        <v/>
      </c>
      <c r="CS48">
        <f>IFERROR(INDEX(PP_Grid[#Data],$DD48,95),0)</f>
        <v/>
      </c>
      <c r="CT48">
        <f>IFERROR(INDEX(PP_Grid[#Data],$DD48,96),0)</f>
        <v/>
      </c>
      <c r="CU48">
        <f>IFERROR(INDEX(PP_Grid[#Data],$DD48,97),0)</f>
        <v/>
      </c>
      <c r="CV48">
        <f>IFERROR(INDEX(PP_Grid[#Data],$DD48,98),0)</f>
        <v/>
      </c>
      <c r="CW48">
        <f>IFERROR(INDEX(PP_Grid[#Data],$DD48,99),0)</f>
        <v/>
      </c>
      <c r="CX48">
        <f>IFERROR(INDEX(PP_Grid[#Data],$DD48,100),0)</f>
        <v/>
      </c>
      <c r="CY48">
        <f>IFERROR(INDEX(PP_Grid[#Data],$DD48,101),0)</f>
        <v/>
      </c>
      <c r="CZ48">
        <f>IFERROR(INDEX(PP_Grid[#Data],$DD48,102),0)</f>
        <v/>
      </c>
      <c r="DA48">
        <f>IFERROR(INDEX(PP_Grid[#Data],$DD48,103),0)</f>
        <v/>
      </c>
      <c r="DB48">
        <f>IFERROR(INDEX(PP_Grid[#Data],$DD48,104),0)</f>
        <v/>
      </c>
      <c r="DC48">
        <f>IFERROR(INDEX(PP_Grid[#Data],$DD48,105),0)</f>
        <v/>
      </c>
      <c r="DD48" s="7">
        <f>IFERROR(MATCH($B48,PP_Grid[Intermediate],0),99999)</f>
        <v/>
      </c>
    </row>
    <row r="49">
      <c r="B49" t="inlineStr">
        <is>
          <t>使用量(kg)</t>
        </is>
      </c>
      <c r="C49">
        <f>SUMIFS(M_BOM[RM_Qty_Per_Batch],M_BOM[Intermediate],$B48,M_BOM[Part Name],$A45)</f>
        <v/>
      </c>
      <c r="D49">
        <f>$C49*D48</f>
        <v/>
      </c>
      <c r="E49">
        <f>$C49*E48</f>
        <v/>
      </c>
      <c r="F49">
        <f>$C49*F48</f>
        <v/>
      </c>
      <c r="G49">
        <f>$C49*G48</f>
        <v/>
      </c>
      <c r="H49">
        <f>$C49*H48</f>
        <v/>
      </c>
      <c r="I49">
        <f>$C49*I48</f>
        <v/>
      </c>
      <c r="J49">
        <f>$C49*J48</f>
        <v/>
      </c>
      <c r="K49">
        <f>$C49*K48</f>
        <v/>
      </c>
      <c r="L49">
        <f>$C49*L48</f>
        <v/>
      </c>
      <c r="M49">
        <f>$C49*M48</f>
        <v/>
      </c>
      <c r="N49">
        <f>$C49*N48</f>
        <v/>
      </c>
      <c r="O49">
        <f>$C49*O48</f>
        <v/>
      </c>
      <c r="P49">
        <f>$C49*P48</f>
        <v/>
      </c>
      <c r="Q49">
        <f>$C49*Q48</f>
        <v/>
      </c>
      <c r="R49">
        <f>$C49*R48</f>
        <v/>
      </c>
      <c r="S49">
        <f>$C49*S48</f>
        <v/>
      </c>
      <c r="T49">
        <f>$C49*T48</f>
        <v/>
      </c>
      <c r="U49">
        <f>$C49*U48</f>
        <v/>
      </c>
      <c r="V49">
        <f>$C49*V48</f>
        <v/>
      </c>
      <c r="W49">
        <f>$C49*W48</f>
        <v/>
      </c>
      <c r="X49">
        <f>$C49*X48</f>
        <v/>
      </c>
      <c r="Y49">
        <f>$C49*Y48</f>
        <v/>
      </c>
      <c r="Z49">
        <f>$C49*Z48</f>
        <v/>
      </c>
      <c r="AA49">
        <f>$C49*AA48</f>
        <v/>
      </c>
      <c r="AB49">
        <f>$C49*AB48</f>
        <v/>
      </c>
      <c r="AC49">
        <f>$C49*AC48</f>
        <v/>
      </c>
      <c r="AD49">
        <f>$C49*AD48</f>
        <v/>
      </c>
      <c r="AE49">
        <f>$C49*AE48</f>
        <v/>
      </c>
      <c r="AF49">
        <f>$C49*AF48</f>
        <v/>
      </c>
      <c r="AG49">
        <f>$C49*AG48</f>
        <v/>
      </c>
      <c r="AH49">
        <f>$C49*AH48</f>
        <v/>
      </c>
      <c r="AI49">
        <f>$C49*AI48</f>
        <v/>
      </c>
      <c r="AJ49">
        <f>$C49*AJ48</f>
        <v/>
      </c>
      <c r="AK49">
        <f>$C49*AK48</f>
        <v/>
      </c>
      <c r="AL49">
        <f>$C49*AL48</f>
        <v/>
      </c>
      <c r="AM49">
        <f>$C49*AM48</f>
        <v/>
      </c>
      <c r="AN49">
        <f>$C49*AN48</f>
        <v/>
      </c>
      <c r="AO49">
        <f>$C49*AO48</f>
        <v/>
      </c>
      <c r="AP49">
        <f>$C49*AP48</f>
        <v/>
      </c>
      <c r="AQ49">
        <f>$C49*AQ48</f>
        <v/>
      </c>
      <c r="AR49">
        <f>$C49*AR48</f>
        <v/>
      </c>
      <c r="AS49">
        <f>$C49*AS48</f>
        <v/>
      </c>
      <c r="AT49">
        <f>$C49*AT48</f>
        <v/>
      </c>
      <c r="AU49">
        <f>$C49*AU48</f>
        <v/>
      </c>
      <c r="AV49">
        <f>$C49*AV48</f>
        <v/>
      </c>
      <c r="AW49">
        <f>$C49*AW48</f>
        <v/>
      </c>
      <c r="AX49">
        <f>$C49*AX48</f>
        <v/>
      </c>
      <c r="AY49">
        <f>$C49*AY48</f>
        <v/>
      </c>
      <c r="AZ49">
        <f>$C49*AZ48</f>
        <v/>
      </c>
      <c r="BA49">
        <f>$C49*BA48</f>
        <v/>
      </c>
      <c r="BB49">
        <f>$C49*BB48</f>
        <v/>
      </c>
      <c r="BC49">
        <f>$C49*BC48</f>
        <v/>
      </c>
      <c r="BD49">
        <f>$C49*BD48</f>
        <v/>
      </c>
      <c r="BE49">
        <f>$C49*BE48</f>
        <v/>
      </c>
      <c r="BF49">
        <f>$C49*BF48</f>
        <v/>
      </c>
      <c r="BG49">
        <f>$C49*BG48</f>
        <v/>
      </c>
      <c r="BH49">
        <f>$C49*BH48</f>
        <v/>
      </c>
      <c r="BI49">
        <f>$C49*BI48</f>
        <v/>
      </c>
      <c r="BJ49">
        <f>$C49*BJ48</f>
        <v/>
      </c>
      <c r="BK49">
        <f>$C49*BK48</f>
        <v/>
      </c>
      <c r="BL49">
        <f>$C49*BL48</f>
        <v/>
      </c>
      <c r="BM49">
        <f>$C49*BM48</f>
        <v/>
      </c>
      <c r="BN49">
        <f>$C49*BN48</f>
        <v/>
      </c>
      <c r="BO49">
        <f>$C49*BO48</f>
        <v/>
      </c>
      <c r="BP49">
        <f>$C49*BP48</f>
        <v/>
      </c>
      <c r="BQ49">
        <f>$C49*BQ48</f>
        <v/>
      </c>
      <c r="BR49">
        <f>$C49*BR48</f>
        <v/>
      </c>
      <c r="BS49">
        <f>$C49*BS48</f>
        <v/>
      </c>
      <c r="BT49">
        <f>$C49*BT48</f>
        <v/>
      </c>
      <c r="BU49">
        <f>$C49*BU48</f>
        <v/>
      </c>
      <c r="BV49">
        <f>$C49*BV48</f>
        <v/>
      </c>
      <c r="BW49">
        <f>$C49*BW48</f>
        <v/>
      </c>
      <c r="BX49">
        <f>$C49*BX48</f>
        <v/>
      </c>
      <c r="BY49">
        <f>$C49*BY48</f>
        <v/>
      </c>
      <c r="BZ49">
        <f>$C49*BZ48</f>
        <v/>
      </c>
      <c r="CA49">
        <f>$C49*CA48</f>
        <v/>
      </c>
      <c r="CB49">
        <f>$C49*CB48</f>
        <v/>
      </c>
      <c r="CC49">
        <f>$C49*CC48</f>
        <v/>
      </c>
      <c r="CD49">
        <f>$C49*CD48</f>
        <v/>
      </c>
      <c r="CE49">
        <f>$C49*CE48</f>
        <v/>
      </c>
      <c r="CF49">
        <f>$C49*CF48</f>
        <v/>
      </c>
      <c r="CG49">
        <f>$C49*CG48</f>
        <v/>
      </c>
      <c r="CH49">
        <f>$C49*CH48</f>
        <v/>
      </c>
      <c r="CI49">
        <f>$C49*CI48</f>
        <v/>
      </c>
      <c r="CJ49">
        <f>$C49*CJ48</f>
        <v/>
      </c>
      <c r="CK49">
        <f>$C49*CK48</f>
        <v/>
      </c>
      <c r="CL49">
        <f>$C49*CL48</f>
        <v/>
      </c>
      <c r="CM49">
        <f>$C49*CM48</f>
        <v/>
      </c>
      <c r="CN49">
        <f>$C49*CN48</f>
        <v/>
      </c>
      <c r="CO49">
        <f>$C49*CO48</f>
        <v/>
      </c>
      <c r="CP49">
        <f>$C49*CP48</f>
        <v/>
      </c>
      <c r="CQ49">
        <f>$C49*CQ48</f>
        <v/>
      </c>
      <c r="CR49">
        <f>$C49*CR48</f>
        <v/>
      </c>
      <c r="CS49">
        <f>$C49*CS48</f>
        <v/>
      </c>
      <c r="CT49">
        <f>$C49*CT48</f>
        <v/>
      </c>
      <c r="CU49">
        <f>$C49*CU48</f>
        <v/>
      </c>
      <c r="CV49">
        <f>$C49*CV48</f>
        <v/>
      </c>
      <c r="CW49">
        <f>$C49*CW48</f>
        <v/>
      </c>
      <c r="CX49">
        <f>$C49*CX48</f>
        <v/>
      </c>
      <c r="CY49">
        <f>$C49*CY48</f>
        <v/>
      </c>
      <c r="CZ49">
        <f>$C49*CZ48</f>
        <v/>
      </c>
      <c r="DA49">
        <f>$C49*DA48</f>
        <v/>
      </c>
      <c r="DB49">
        <f>$C49*DB48</f>
        <v/>
      </c>
      <c r="DC49">
        <f>$C49*DC48</f>
        <v/>
      </c>
    </row>
    <row r="50">
      <c r="B50" t="inlineStr">
        <is>
          <t>TSP-067</t>
        </is>
      </c>
      <c r="C50" t="inlineStr">
        <is>
          <t>No. of batches</t>
        </is>
      </c>
      <c r="D50">
        <f>IFERROR(INDEX(PP_Grid[#Data],$DD50,2),0)</f>
        <v/>
      </c>
      <c r="E50">
        <f>IFERROR(INDEX(PP_Grid[#Data],$DD50,3),0)</f>
        <v/>
      </c>
      <c r="F50">
        <f>IFERROR(INDEX(PP_Grid[#Data],$DD50,4),0)</f>
        <v/>
      </c>
      <c r="G50">
        <f>IFERROR(INDEX(PP_Grid[#Data],$DD50,5),0)</f>
        <v/>
      </c>
      <c r="H50">
        <f>IFERROR(INDEX(PP_Grid[#Data],$DD50,6),0)</f>
        <v/>
      </c>
      <c r="I50">
        <f>IFERROR(INDEX(PP_Grid[#Data],$DD50,7),0)</f>
        <v/>
      </c>
      <c r="J50">
        <f>IFERROR(INDEX(PP_Grid[#Data],$DD50,8),0)</f>
        <v/>
      </c>
      <c r="K50">
        <f>IFERROR(INDEX(PP_Grid[#Data],$DD50,9),0)</f>
        <v/>
      </c>
      <c r="L50">
        <f>IFERROR(INDEX(PP_Grid[#Data],$DD50,10),0)</f>
        <v/>
      </c>
      <c r="M50">
        <f>IFERROR(INDEX(PP_Grid[#Data],$DD50,11),0)</f>
        <v/>
      </c>
      <c r="N50">
        <f>IFERROR(INDEX(PP_Grid[#Data],$DD50,12),0)</f>
        <v/>
      </c>
      <c r="O50">
        <f>IFERROR(INDEX(PP_Grid[#Data],$DD50,13),0)</f>
        <v/>
      </c>
      <c r="P50">
        <f>IFERROR(INDEX(PP_Grid[#Data],$DD50,14),0)</f>
        <v/>
      </c>
      <c r="Q50">
        <f>IFERROR(INDEX(PP_Grid[#Data],$DD50,15),0)</f>
        <v/>
      </c>
      <c r="R50">
        <f>IFERROR(INDEX(PP_Grid[#Data],$DD50,16),0)</f>
        <v/>
      </c>
      <c r="S50">
        <f>IFERROR(INDEX(PP_Grid[#Data],$DD50,17),0)</f>
        <v/>
      </c>
      <c r="T50">
        <f>IFERROR(INDEX(PP_Grid[#Data],$DD50,18),0)</f>
        <v/>
      </c>
      <c r="U50">
        <f>IFERROR(INDEX(PP_Grid[#Data],$DD50,19),0)</f>
        <v/>
      </c>
      <c r="V50">
        <f>IFERROR(INDEX(PP_Grid[#Data],$DD50,20),0)</f>
        <v/>
      </c>
      <c r="W50">
        <f>IFERROR(INDEX(PP_Grid[#Data],$DD50,21),0)</f>
        <v/>
      </c>
      <c r="X50">
        <f>IFERROR(INDEX(PP_Grid[#Data],$DD50,22),0)</f>
        <v/>
      </c>
      <c r="Y50">
        <f>IFERROR(INDEX(PP_Grid[#Data],$DD50,23),0)</f>
        <v/>
      </c>
      <c r="Z50">
        <f>IFERROR(INDEX(PP_Grid[#Data],$DD50,24),0)</f>
        <v/>
      </c>
      <c r="AA50">
        <f>IFERROR(INDEX(PP_Grid[#Data],$DD50,25),0)</f>
        <v/>
      </c>
      <c r="AB50">
        <f>IFERROR(INDEX(PP_Grid[#Data],$DD50,26),0)</f>
        <v/>
      </c>
      <c r="AC50">
        <f>IFERROR(INDEX(PP_Grid[#Data],$DD50,27),0)</f>
        <v/>
      </c>
      <c r="AD50">
        <f>IFERROR(INDEX(PP_Grid[#Data],$DD50,28),0)</f>
        <v/>
      </c>
      <c r="AE50">
        <f>IFERROR(INDEX(PP_Grid[#Data],$DD50,29),0)</f>
        <v/>
      </c>
      <c r="AF50">
        <f>IFERROR(INDEX(PP_Grid[#Data],$DD50,30),0)</f>
        <v/>
      </c>
      <c r="AG50">
        <f>IFERROR(INDEX(PP_Grid[#Data],$DD50,31),0)</f>
        <v/>
      </c>
      <c r="AH50">
        <f>IFERROR(INDEX(PP_Grid[#Data],$DD50,32),0)</f>
        <v/>
      </c>
      <c r="AI50">
        <f>IFERROR(INDEX(PP_Grid[#Data],$DD50,33),0)</f>
        <v/>
      </c>
      <c r="AJ50">
        <f>IFERROR(INDEX(PP_Grid[#Data],$DD50,34),0)</f>
        <v/>
      </c>
      <c r="AK50">
        <f>IFERROR(INDEX(PP_Grid[#Data],$DD50,35),0)</f>
        <v/>
      </c>
      <c r="AL50">
        <f>IFERROR(INDEX(PP_Grid[#Data],$DD50,36),0)</f>
        <v/>
      </c>
      <c r="AM50">
        <f>IFERROR(INDEX(PP_Grid[#Data],$DD50,37),0)</f>
        <v/>
      </c>
      <c r="AN50">
        <f>IFERROR(INDEX(PP_Grid[#Data],$DD50,38),0)</f>
        <v/>
      </c>
      <c r="AO50">
        <f>IFERROR(INDEX(PP_Grid[#Data],$DD50,39),0)</f>
        <v/>
      </c>
      <c r="AP50">
        <f>IFERROR(INDEX(PP_Grid[#Data],$DD50,40),0)</f>
        <v/>
      </c>
      <c r="AQ50">
        <f>IFERROR(INDEX(PP_Grid[#Data],$DD50,41),0)</f>
        <v/>
      </c>
      <c r="AR50">
        <f>IFERROR(INDEX(PP_Grid[#Data],$DD50,42),0)</f>
        <v/>
      </c>
      <c r="AS50">
        <f>IFERROR(INDEX(PP_Grid[#Data],$DD50,43),0)</f>
        <v/>
      </c>
      <c r="AT50">
        <f>IFERROR(INDEX(PP_Grid[#Data],$DD50,44),0)</f>
        <v/>
      </c>
      <c r="AU50">
        <f>IFERROR(INDEX(PP_Grid[#Data],$DD50,45),0)</f>
        <v/>
      </c>
      <c r="AV50">
        <f>IFERROR(INDEX(PP_Grid[#Data],$DD50,46),0)</f>
        <v/>
      </c>
      <c r="AW50">
        <f>IFERROR(INDEX(PP_Grid[#Data],$DD50,47),0)</f>
        <v/>
      </c>
      <c r="AX50">
        <f>IFERROR(INDEX(PP_Grid[#Data],$DD50,48),0)</f>
        <v/>
      </c>
      <c r="AY50">
        <f>IFERROR(INDEX(PP_Grid[#Data],$DD50,49),0)</f>
        <v/>
      </c>
      <c r="AZ50">
        <f>IFERROR(INDEX(PP_Grid[#Data],$DD50,50),0)</f>
        <v/>
      </c>
      <c r="BA50">
        <f>IFERROR(INDEX(PP_Grid[#Data],$DD50,51),0)</f>
        <v/>
      </c>
      <c r="BB50">
        <f>IFERROR(INDEX(PP_Grid[#Data],$DD50,52),0)</f>
        <v/>
      </c>
      <c r="BC50">
        <f>IFERROR(INDEX(PP_Grid[#Data],$DD50,53),0)</f>
        <v/>
      </c>
      <c r="BD50">
        <f>IFERROR(INDEX(PP_Grid[#Data],$DD50,54),0)</f>
        <v/>
      </c>
      <c r="BE50">
        <f>IFERROR(INDEX(PP_Grid[#Data],$DD50,55),0)</f>
        <v/>
      </c>
      <c r="BF50">
        <f>IFERROR(INDEX(PP_Grid[#Data],$DD50,56),0)</f>
        <v/>
      </c>
      <c r="BG50">
        <f>IFERROR(INDEX(PP_Grid[#Data],$DD50,57),0)</f>
        <v/>
      </c>
      <c r="BH50">
        <f>IFERROR(INDEX(PP_Grid[#Data],$DD50,58),0)</f>
        <v/>
      </c>
      <c r="BI50">
        <f>IFERROR(INDEX(PP_Grid[#Data],$DD50,59),0)</f>
        <v/>
      </c>
      <c r="BJ50">
        <f>IFERROR(INDEX(PP_Grid[#Data],$DD50,60),0)</f>
        <v/>
      </c>
      <c r="BK50">
        <f>IFERROR(INDEX(PP_Grid[#Data],$DD50,61),0)</f>
        <v/>
      </c>
      <c r="BL50">
        <f>IFERROR(INDEX(PP_Grid[#Data],$DD50,62),0)</f>
        <v/>
      </c>
      <c r="BM50">
        <f>IFERROR(INDEX(PP_Grid[#Data],$DD50,63),0)</f>
        <v/>
      </c>
      <c r="BN50">
        <f>IFERROR(INDEX(PP_Grid[#Data],$DD50,64),0)</f>
        <v/>
      </c>
      <c r="BO50">
        <f>IFERROR(INDEX(PP_Grid[#Data],$DD50,65),0)</f>
        <v/>
      </c>
      <c r="BP50">
        <f>IFERROR(INDEX(PP_Grid[#Data],$DD50,66),0)</f>
        <v/>
      </c>
      <c r="BQ50">
        <f>IFERROR(INDEX(PP_Grid[#Data],$DD50,67),0)</f>
        <v/>
      </c>
      <c r="BR50">
        <f>IFERROR(INDEX(PP_Grid[#Data],$DD50,68),0)</f>
        <v/>
      </c>
      <c r="BS50">
        <f>IFERROR(INDEX(PP_Grid[#Data],$DD50,69),0)</f>
        <v/>
      </c>
      <c r="BT50">
        <f>IFERROR(INDEX(PP_Grid[#Data],$DD50,70),0)</f>
        <v/>
      </c>
      <c r="BU50">
        <f>IFERROR(INDEX(PP_Grid[#Data],$DD50,71),0)</f>
        <v/>
      </c>
      <c r="BV50">
        <f>IFERROR(INDEX(PP_Grid[#Data],$DD50,72),0)</f>
        <v/>
      </c>
      <c r="BW50">
        <f>IFERROR(INDEX(PP_Grid[#Data],$DD50,73),0)</f>
        <v/>
      </c>
      <c r="BX50">
        <f>IFERROR(INDEX(PP_Grid[#Data],$DD50,74),0)</f>
        <v/>
      </c>
      <c r="BY50">
        <f>IFERROR(INDEX(PP_Grid[#Data],$DD50,75),0)</f>
        <v/>
      </c>
      <c r="BZ50">
        <f>IFERROR(INDEX(PP_Grid[#Data],$DD50,76),0)</f>
        <v/>
      </c>
      <c r="CA50">
        <f>IFERROR(INDEX(PP_Grid[#Data],$DD50,77),0)</f>
        <v/>
      </c>
      <c r="CB50">
        <f>IFERROR(INDEX(PP_Grid[#Data],$DD50,78),0)</f>
        <v/>
      </c>
      <c r="CC50">
        <f>IFERROR(INDEX(PP_Grid[#Data],$DD50,79),0)</f>
        <v/>
      </c>
      <c r="CD50">
        <f>IFERROR(INDEX(PP_Grid[#Data],$DD50,80),0)</f>
        <v/>
      </c>
      <c r="CE50">
        <f>IFERROR(INDEX(PP_Grid[#Data],$DD50,81),0)</f>
        <v/>
      </c>
      <c r="CF50">
        <f>IFERROR(INDEX(PP_Grid[#Data],$DD50,82),0)</f>
        <v/>
      </c>
      <c r="CG50">
        <f>IFERROR(INDEX(PP_Grid[#Data],$DD50,83),0)</f>
        <v/>
      </c>
      <c r="CH50">
        <f>IFERROR(INDEX(PP_Grid[#Data],$DD50,84),0)</f>
        <v/>
      </c>
      <c r="CI50">
        <f>IFERROR(INDEX(PP_Grid[#Data],$DD50,85),0)</f>
        <v/>
      </c>
      <c r="CJ50">
        <f>IFERROR(INDEX(PP_Grid[#Data],$DD50,86),0)</f>
        <v/>
      </c>
      <c r="CK50">
        <f>IFERROR(INDEX(PP_Grid[#Data],$DD50,87),0)</f>
        <v/>
      </c>
      <c r="CL50">
        <f>IFERROR(INDEX(PP_Grid[#Data],$DD50,88),0)</f>
        <v/>
      </c>
      <c r="CM50">
        <f>IFERROR(INDEX(PP_Grid[#Data],$DD50,89),0)</f>
        <v/>
      </c>
      <c r="CN50">
        <f>IFERROR(INDEX(PP_Grid[#Data],$DD50,90),0)</f>
        <v/>
      </c>
      <c r="CO50">
        <f>IFERROR(INDEX(PP_Grid[#Data],$DD50,91),0)</f>
        <v/>
      </c>
      <c r="CP50">
        <f>IFERROR(INDEX(PP_Grid[#Data],$DD50,92),0)</f>
        <v/>
      </c>
      <c r="CQ50">
        <f>IFERROR(INDEX(PP_Grid[#Data],$DD50,93),0)</f>
        <v/>
      </c>
      <c r="CR50">
        <f>IFERROR(INDEX(PP_Grid[#Data],$DD50,94),0)</f>
        <v/>
      </c>
      <c r="CS50">
        <f>IFERROR(INDEX(PP_Grid[#Data],$DD50,95),0)</f>
        <v/>
      </c>
      <c r="CT50">
        <f>IFERROR(INDEX(PP_Grid[#Data],$DD50,96),0)</f>
        <v/>
      </c>
      <c r="CU50">
        <f>IFERROR(INDEX(PP_Grid[#Data],$DD50,97),0)</f>
        <v/>
      </c>
      <c r="CV50">
        <f>IFERROR(INDEX(PP_Grid[#Data],$DD50,98),0)</f>
        <v/>
      </c>
      <c r="CW50">
        <f>IFERROR(INDEX(PP_Grid[#Data],$DD50,99),0)</f>
        <v/>
      </c>
      <c r="CX50">
        <f>IFERROR(INDEX(PP_Grid[#Data],$DD50,100),0)</f>
        <v/>
      </c>
      <c r="CY50">
        <f>IFERROR(INDEX(PP_Grid[#Data],$DD50,101),0)</f>
        <v/>
      </c>
      <c r="CZ50">
        <f>IFERROR(INDEX(PP_Grid[#Data],$DD50,102),0)</f>
        <v/>
      </c>
      <c r="DA50">
        <f>IFERROR(INDEX(PP_Grid[#Data],$DD50,103),0)</f>
        <v/>
      </c>
      <c r="DB50">
        <f>IFERROR(INDEX(PP_Grid[#Data],$DD50,104),0)</f>
        <v/>
      </c>
      <c r="DC50">
        <f>IFERROR(INDEX(PP_Grid[#Data],$DD50,105),0)</f>
        <v/>
      </c>
      <c r="DD50" s="7">
        <f>IFERROR(MATCH($B50,PP_Grid[Intermediate],0),99999)</f>
        <v/>
      </c>
    </row>
    <row r="51">
      <c r="B51" t="inlineStr">
        <is>
          <t>使用量(kg)</t>
        </is>
      </c>
      <c r="C51">
        <f>SUMIFS(M_BOM[RM_Qty_Per_Batch],M_BOM[Intermediate],$B50,M_BOM[Part Name],$A45)</f>
        <v/>
      </c>
      <c r="D51">
        <f>$C51*D50</f>
        <v/>
      </c>
      <c r="E51">
        <f>$C51*E50</f>
        <v/>
      </c>
      <c r="F51">
        <f>$C51*F50</f>
        <v/>
      </c>
      <c r="G51">
        <f>$C51*G50</f>
        <v/>
      </c>
      <c r="H51">
        <f>$C51*H50</f>
        <v/>
      </c>
      <c r="I51">
        <f>$C51*I50</f>
        <v/>
      </c>
      <c r="J51">
        <f>$C51*J50</f>
        <v/>
      </c>
      <c r="K51">
        <f>$C51*K50</f>
        <v/>
      </c>
      <c r="L51">
        <f>$C51*L50</f>
        <v/>
      </c>
      <c r="M51">
        <f>$C51*M50</f>
        <v/>
      </c>
      <c r="N51">
        <f>$C51*N50</f>
        <v/>
      </c>
      <c r="O51">
        <f>$C51*O50</f>
        <v/>
      </c>
      <c r="P51">
        <f>$C51*P50</f>
        <v/>
      </c>
      <c r="Q51">
        <f>$C51*Q50</f>
        <v/>
      </c>
      <c r="R51">
        <f>$C51*R50</f>
        <v/>
      </c>
      <c r="S51">
        <f>$C51*S50</f>
        <v/>
      </c>
      <c r="T51">
        <f>$C51*T50</f>
        <v/>
      </c>
      <c r="U51">
        <f>$C51*U50</f>
        <v/>
      </c>
      <c r="V51">
        <f>$C51*V50</f>
        <v/>
      </c>
      <c r="W51">
        <f>$C51*W50</f>
        <v/>
      </c>
      <c r="X51">
        <f>$C51*X50</f>
        <v/>
      </c>
      <c r="Y51">
        <f>$C51*Y50</f>
        <v/>
      </c>
      <c r="Z51">
        <f>$C51*Z50</f>
        <v/>
      </c>
      <c r="AA51">
        <f>$C51*AA50</f>
        <v/>
      </c>
      <c r="AB51">
        <f>$C51*AB50</f>
        <v/>
      </c>
      <c r="AC51">
        <f>$C51*AC50</f>
        <v/>
      </c>
      <c r="AD51">
        <f>$C51*AD50</f>
        <v/>
      </c>
      <c r="AE51">
        <f>$C51*AE50</f>
        <v/>
      </c>
      <c r="AF51">
        <f>$C51*AF50</f>
        <v/>
      </c>
      <c r="AG51">
        <f>$C51*AG50</f>
        <v/>
      </c>
      <c r="AH51">
        <f>$C51*AH50</f>
        <v/>
      </c>
      <c r="AI51">
        <f>$C51*AI50</f>
        <v/>
      </c>
      <c r="AJ51">
        <f>$C51*AJ50</f>
        <v/>
      </c>
      <c r="AK51">
        <f>$C51*AK50</f>
        <v/>
      </c>
      <c r="AL51">
        <f>$C51*AL50</f>
        <v/>
      </c>
      <c r="AM51">
        <f>$C51*AM50</f>
        <v/>
      </c>
      <c r="AN51">
        <f>$C51*AN50</f>
        <v/>
      </c>
      <c r="AO51">
        <f>$C51*AO50</f>
        <v/>
      </c>
      <c r="AP51">
        <f>$C51*AP50</f>
        <v/>
      </c>
      <c r="AQ51">
        <f>$C51*AQ50</f>
        <v/>
      </c>
      <c r="AR51">
        <f>$C51*AR50</f>
        <v/>
      </c>
      <c r="AS51">
        <f>$C51*AS50</f>
        <v/>
      </c>
      <c r="AT51">
        <f>$C51*AT50</f>
        <v/>
      </c>
      <c r="AU51">
        <f>$C51*AU50</f>
        <v/>
      </c>
      <c r="AV51">
        <f>$C51*AV50</f>
        <v/>
      </c>
      <c r="AW51">
        <f>$C51*AW50</f>
        <v/>
      </c>
      <c r="AX51">
        <f>$C51*AX50</f>
        <v/>
      </c>
      <c r="AY51">
        <f>$C51*AY50</f>
        <v/>
      </c>
      <c r="AZ51">
        <f>$C51*AZ50</f>
        <v/>
      </c>
      <c r="BA51">
        <f>$C51*BA50</f>
        <v/>
      </c>
      <c r="BB51">
        <f>$C51*BB50</f>
        <v/>
      </c>
      <c r="BC51">
        <f>$C51*BC50</f>
        <v/>
      </c>
      <c r="BD51">
        <f>$C51*BD50</f>
        <v/>
      </c>
      <c r="BE51">
        <f>$C51*BE50</f>
        <v/>
      </c>
      <c r="BF51">
        <f>$C51*BF50</f>
        <v/>
      </c>
      <c r="BG51">
        <f>$C51*BG50</f>
        <v/>
      </c>
      <c r="BH51">
        <f>$C51*BH50</f>
        <v/>
      </c>
      <c r="BI51">
        <f>$C51*BI50</f>
        <v/>
      </c>
      <c r="BJ51">
        <f>$C51*BJ50</f>
        <v/>
      </c>
      <c r="BK51">
        <f>$C51*BK50</f>
        <v/>
      </c>
      <c r="BL51">
        <f>$C51*BL50</f>
        <v/>
      </c>
      <c r="BM51">
        <f>$C51*BM50</f>
        <v/>
      </c>
      <c r="BN51">
        <f>$C51*BN50</f>
        <v/>
      </c>
      <c r="BO51">
        <f>$C51*BO50</f>
        <v/>
      </c>
      <c r="BP51">
        <f>$C51*BP50</f>
        <v/>
      </c>
      <c r="BQ51">
        <f>$C51*BQ50</f>
        <v/>
      </c>
      <c r="BR51">
        <f>$C51*BR50</f>
        <v/>
      </c>
      <c r="BS51">
        <f>$C51*BS50</f>
        <v/>
      </c>
      <c r="BT51">
        <f>$C51*BT50</f>
        <v/>
      </c>
      <c r="BU51">
        <f>$C51*BU50</f>
        <v/>
      </c>
      <c r="BV51">
        <f>$C51*BV50</f>
        <v/>
      </c>
      <c r="BW51">
        <f>$C51*BW50</f>
        <v/>
      </c>
      <c r="BX51">
        <f>$C51*BX50</f>
        <v/>
      </c>
      <c r="BY51">
        <f>$C51*BY50</f>
        <v/>
      </c>
      <c r="BZ51">
        <f>$C51*BZ50</f>
        <v/>
      </c>
      <c r="CA51">
        <f>$C51*CA50</f>
        <v/>
      </c>
      <c r="CB51">
        <f>$C51*CB50</f>
        <v/>
      </c>
      <c r="CC51">
        <f>$C51*CC50</f>
        <v/>
      </c>
      <c r="CD51">
        <f>$C51*CD50</f>
        <v/>
      </c>
      <c r="CE51">
        <f>$C51*CE50</f>
        <v/>
      </c>
      <c r="CF51">
        <f>$C51*CF50</f>
        <v/>
      </c>
      <c r="CG51">
        <f>$C51*CG50</f>
        <v/>
      </c>
      <c r="CH51">
        <f>$C51*CH50</f>
        <v/>
      </c>
      <c r="CI51">
        <f>$C51*CI50</f>
        <v/>
      </c>
      <c r="CJ51">
        <f>$C51*CJ50</f>
        <v/>
      </c>
      <c r="CK51">
        <f>$C51*CK50</f>
        <v/>
      </c>
      <c r="CL51">
        <f>$C51*CL50</f>
        <v/>
      </c>
      <c r="CM51">
        <f>$C51*CM50</f>
        <v/>
      </c>
      <c r="CN51">
        <f>$C51*CN50</f>
        <v/>
      </c>
      <c r="CO51">
        <f>$C51*CO50</f>
        <v/>
      </c>
      <c r="CP51">
        <f>$C51*CP50</f>
        <v/>
      </c>
      <c r="CQ51">
        <f>$C51*CQ50</f>
        <v/>
      </c>
      <c r="CR51">
        <f>$C51*CR50</f>
        <v/>
      </c>
      <c r="CS51">
        <f>$C51*CS50</f>
        <v/>
      </c>
      <c r="CT51">
        <f>$C51*CT50</f>
        <v/>
      </c>
      <c r="CU51">
        <f>$C51*CU50</f>
        <v/>
      </c>
      <c r="CV51">
        <f>$C51*CV50</f>
        <v/>
      </c>
      <c r="CW51">
        <f>$C51*CW50</f>
        <v/>
      </c>
      <c r="CX51">
        <f>$C51*CX50</f>
        <v/>
      </c>
      <c r="CY51">
        <f>$C51*CY50</f>
        <v/>
      </c>
      <c r="CZ51">
        <f>$C51*CZ50</f>
        <v/>
      </c>
      <c r="DA51">
        <f>$C51*DA50</f>
        <v/>
      </c>
      <c r="DB51">
        <f>$C51*DB50</f>
        <v/>
      </c>
      <c r="DC51">
        <f>$C51*DC50</f>
        <v/>
      </c>
    </row>
    <row r="52">
      <c r="B52" t="inlineStr">
        <is>
          <t>TSP-069</t>
        </is>
      </c>
      <c r="C52" t="inlineStr">
        <is>
          <t>No. of batches</t>
        </is>
      </c>
      <c r="D52">
        <f>IFERROR(INDEX(PP_Grid[#Data],$DD52,2),0)</f>
        <v/>
      </c>
      <c r="E52">
        <f>IFERROR(INDEX(PP_Grid[#Data],$DD52,3),0)</f>
        <v/>
      </c>
      <c r="F52">
        <f>IFERROR(INDEX(PP_Grid[#Data],$DD52,4),0)</f>
        <v/>
      </c>
      <c r="G52">
        <f>IFERROR(INDEX(PP_Grid[#Data],$DD52,5),0)</f>
        <v/>
      </c>
      <c r="H52">
        <f>IFERROR(INDEX(PP_Grid[#Data],$DD52,6),0)</f>
        <v/>
      </c>
      <c r="I52">
        <f>IFERROR(INDEX(PP_Grid[#Data],$DD52,7),0)</f>
        <v/>
      </c>
      <c r="J52">
        <f>IFERROR(INDEX(PP_Grid[#Data],$DD52,8),0)</f>
        <v/>
      </c>
      <c r="K52">
        <f>IFERROR(INDEX(PP_Grid[#Data],$DD52,9),0)</f>
        <v/>
      </c>
      <c r="L52">
        <f>IFERROR(INDEX(PP_Grid[#Data],$DD52,10),0)</f>
        <v/>
      </c>
      <c r="M52">
        <f>IFERROR(INDEX(PP_Grid[#Data],$DD52,11),0)</f>
        <v/>
      </c>
      <c r="N52">
        <f>IFERROR(INDEX(PP_Grid[#Data],$DD52,12),0)</f>
        <v/>
      </c>
      <c r="O52">
        <f>IFERROR(INDEX(PP_Grid[#Data],$DD52,13),0)</f>
        <v/>
      </c>
      <c r="P52">
        <f>IFERROR(INDEX(PP_Grid[#Data],$DD52,14),0)</f>
        <v/>
      </c>
      <c r="Q52">
        <f>IFERROR(INDEX(PP_Grid[#Data],$DD52,15),0)</f>
        <v/>
      </c>
      <c r="R52">
        <f>IFERROR(INDEX(PP_Grid[#Data],$DD52,16),0)</f>
        <v/>
      </c>
      <c r="S52">
        <f>IFERROR(INDEX(PP_Grid[#Data],$DD52,17),0)</f>
        <v/>
      </c>
      <c r="T52">
        <f>IFERROR(INDEX(PP_Grid[#Data],$DD52,18),0)</f>
        <v/>
      </c>
      <c r="U52">
        <f>IFERROR(INDEX(PP_Grid[#Data],$DD52,19),0)</f>
        <v/>
      </c>
      <c r="V52">
        <f>IFERROR(INDEX(PP_Grid[#Data],$DD52,20),0)</f>
        <v/>
      </c>
      <c r="W52">
        <f>IFERROR(INDEX(PP_Grid[#Data],$DD52,21),0)</f>
        <v/>
      </c>
      <c r="X52">
        <f>IFERROR(INDEX(PP_Grid[#Data],$DD52,22),0)</f>
        <v/>
      </c>
      <c r="Y52">
        <f>IFERROR(INDEX(PP_Grid[#Data],$DD52,23),0)</f>
        <v/>
      </c>
      <c r="Z52">
        <f>IFERROR(INDEX(PP_Grid[#Data],$DD52,24),0)</f>
        <v/>
      </c>
      <c r="AA52">
        <f>IFERROR(INDEX(PP_Grid[#Data],$DD52,25),0)</f>
        <v/>
      </c>
      <c r="AB52">
        <f>IFERROR(INDEX(PP_Grid[#Data],$DD52,26),0)</f>
        <v/>
      </c>
      <c r="AC52">
        <f>IFERROR(INDEX(PP_Grid[#Data],$DD52,27),0)</f>
        <v/>
      </c>
      <c r="AD52">
        <f>IFERROR(INDEX(PP_Grid[#Data],$DD52,28),0)</f>
        <v/>
      </c>
      <c r="AE52">
        <f>IFERROR(INDEX(PP_Grid[#Data],$DD52,29),0)</f>
        <v/>
      </c>
      <c r="AF52">
        <f>IFERROR(INDEX(PP_Grid[#Data],$DD52,30),0)</f>
        <v/>
      </c>
      <c r="AG52">
        <f>IFERROR(INDEX(PP_Grid[#Data],$DD52,31),0)</f>
        <v/>
      </c>
      <c r="AH52">
        <f>IFERROR(INDEX(PP_Grid[#Data],$DD52,32),0)</f>
        <v/>
      </c>
      <c r="AI52">
        <f>IFERROR(INDEX(PP_Grid[#Data],$DD52,33),0)</f>
        <v/>
      </c>
      <c r="AJ52">
        <f>IFERROR(INDEX(PP_Grid[#Data],$DD52,34),0)</f>
        <v/>
      </c>
      <c r="AK52">
        <f>IFERROR(INDEX(PP_Grid[#Data],$DD52,35),0)</f>
        <v/>
      </c>
      <c r="AL52">
        <f>IFERROR(INDEX(PP_Grid[#Data],$DD52,36),0)</f>
        <v/>
      </c>
      <c r="AM52">
        <f>IFERROR(INDEX(PP_Grid[#Data],$DD52,37),0)</f>
        <v/>
      </c>
      <c r="AN52">
        <f>IFERROR(INDEX(PP_Grid[#Data],$DD52,38),0)</f>
        <v/>
      </c>
      <c r="AO52">
        <f>IFERROR(INDEX(PP_Grid[#Data],$DD52,39),0)</f>
        <v/>
      </c>
      <c r="AP52">
        <f>IFERROR(INDEX(PP_Grid[#Data],$DD52,40),0)</f>
        <v/>
      </c>
      <c r="AQ52">
        <f>IFERROR(INDEX(PP_Grid[#Data],$DD52,41),0)</f>
        <v/>
      </c>
      <c r="AR52">
        <f>IFERROR(INDEX(PP_Grid[#Data],$DD52,42),0)</f>
        <v/>
      </c>
      <c r="AS52">
        <f>IFERROR(INDEX(PP_Grid[#Data],$DD52,43),0)</f>
        <v/>
      </c>
      <c r="AT52">
        <f>IFERROR(INDEX(PP_Grid[#Data],$DD52,44),0)</f>
        <v/>
      </c>
      <c r="AU52">
        <f>IFERROR(INDEX(PP_Grid[#Data],$DD52,45),0)</f>
        <v/>
      </c>
      <c r="AV52">
        <f>IFERROR(INDEX(PP_Grid[#Data],$DD52,46),0)</f>
        <v/>
      </c>
      <c r="AW52">
        <f>IFERROR(INDEX(PP_Grid[#Data],$DD52,47),0)</f>
        <v/>
      </c>
      <c r="AX52">
        <f>IFERROR(INDEX(PP_Grid[#Data],$DD52,48),0)</f>
        <v/>
      </c>
      <c r="AY52">
        <f>IFERROR(INDEX(PP_Grid[#Data],$DD52,49),0)</f>
        <v/>
      </c>
      <c r="AZ52">
        <f>IFERROR(INDEX(PP_Grid[#Data],$DD52,50),0)</f>
        <v/>
      </c>
      <c r="BA52">
        <f>IFERROR(INDEX(PP_Grid[#Data],$DD52,51),0)</f>
        <v/>
      </c>
      <c r="BB52">
        <f>IFERROR(INDEX(PP_Grid[#Data],$DD52,52),0)</f>
        <v/>
      </c>
      <c r="BC52">
        <f>IFERROR(INDEX(PP_Grid[#Data],$DD52,53),0)</f>
        <v/>
      </c>
      <c r="BD52">
        <f>IFERROR(INDEX(PP_Grid[#Data],$DD52,54),0)</f>
        <v/>
      </c>
      <c r="BE52">
        <f>IFERROR(INDEX(PP_Grid[#Data],$DD52,55),0)</f>
        <v/>
      </c>
      <c r="BF52">
        <f>IFERROR(INDEX(PP_Grid[#Data],$DD52,56),0)</f>
        <v/>
      </c>
      <c r="BG52">
        <f>IFERROR(INDEX(PP_Grid[#Data],$DD52,57),0)</f>
        <v/>
      </c>
      <c r="BH52">
        <f>IFERROR(INDEX(PP_Grid[#Data],$DD52,58),0)</f>
        <v/>
      </c>
      <c r="BI52">
        <f>IFERROR(INDEX(PP_Grid[#Data],$DD52,59),0)</f>
        <v/>
      </c>
      <c r="BJ52">
        <f>IFERROR(INDEX(PP_Grid[#Data],$DD52,60),0)</f>
        <v/>
      </c>
      <c r="BK52">
        <f>IFERROR(INDEX(PP_Grid[#Data],$DD52,61),0)</f>
        <v/>
      </c>
      <c r="BL52">
        <f>IFERROR(INDEX(PP_Grid[#Data],$DD52,62),0)</f>
        <v/>
      </c>
      <c r="BM52">
        <f>IFERROR(INDEX(PP_Grid[#Data],$DD52,63),0)</f>
        <v/>
      </c>
      <c r="BN52">
        <f>IFERROR(INDEX(PP_Grid[#Data],$DD52,64),0)</f>
        <v/>
      </c>
      <c r="BO52">
        <f>IFERROR(INDEX(PP_Grid[#Data],$DD52,65),0)</f>
        <v/>
      </c>
      <c r="BP52">
        <f>IFERROR(INDEX(PP_Grid[#Data],$DD52,66),0)</f>
        <v/>
      </c>
      <c r="BQ52">
        <f>IFERROR(INDEX(PP_Grid[#Data],$DD52,67),0)</f>
        <v/>
      </c>
      <c r="BR52">
        <f>IFERROR(INDEX(PP_Grid[#Data],$DD52,68),0)</f>
        <v/>
      </c>
      <c r="BS52">
        <f>IFERROR(INDEX(PP_Grid[#Data],$DD52,69),0)</f>
        <v/>
      </c>
      <c r="BT52">
        <f>IFERROR(INDEX(PP_Grid[#Data],$DD52,70),0)</f>
        <v/>
      </c>
      <c r="BU52">
        <f>IFERROR(INDEX(PP_Grid[#Data],$DD52,71),0)</f>
        <v/>
      </c>
      <c r="BV52">
        <f>IFERROR(INDEX(PP_Grid[#Data],$DD52,72),0)</f>
        <v/>
      </c>
      <c r="BW52">
        <f>IFERROR(INDEX(PP_Grid[#Data],$DD52,73),0)</f>
        <v/>
      </c>
      <c r="BX52">
        <f>IFERROR(INDEX(PP_Grid[#Data],$DD52,74),0)</f>
        <v/>
      </c>
      <c r="BY52">
        <f>IFERROR(INDEX(PP_Grid[#Data],$DD52,75),0)</f>
        <v/>
      </c>
      <c r="BZ52">
        <f>IFERROR(INDEX(PP_Grid[#Data],$DD52,76),0)</f>
        <v/>
      </c>
      <c r="CA52">
        <f>IFERROR(INDEX(PP_Grid[#Data],$DD52,77),0)</f>
        <v/>
      </c>
      <c r="CB52">
        <f>IFERROR(INDEX(PP_Grid[#Data],$DD52,78),0)</f>
        <v/>
      </c>
      <c r="CC52">
        <f>IFERROR(INDEX(PP_Grid[#Data],$DD52,79),0)</f>
        <v/>
      </c>
      <c r="CD52">
        <f>IFERROR(INDEX(PP_Grid[#Data],$DD52,80),0)</f>
        <v/>
      </c>
      <c r="CE52">
        <f>IFERROR(INDEX(PP_Grid[#Data],$DD52,81),0)</f>
        <v/>
      </c>
      <c r="CF52">
        <f>IFERROR(INDEX(PP_Grid[#Data],$DD52,82),0)</f>
        <v/>
      </c>
      <c r="CG52">
        <f>IFERROR(INDEX(PP_Grid[#Data],$DD52,83),0)</f>
        <v/>
      </c>
      <c r="CH52">
        <f>IFERROR(INDEX(PP_Grid[#Data],$DD52,84),0)</f>
        <v/>
      </c>
      <c r="CI52">
        <f>IFERROR(INDEX(PP_Grid[#Data],$DD52,85),0)</f>
        <v/>
      </c>
      <c r="CJ52">
        <f>IFERROR(INDEX(PP_Grid[#Data],$DD52,86),0)</f>
        <v/>
      </c>
      <c r="CK52">
        <f>IFERROR(INDEX(PP_Grid[#Data],$DD52,87),0)</f>
        <v/>
      </c>
      <c r="CL52">
        <f>IFERROR(INDEX(PP_Grid[#Data],$DD52,88),0)</f>
        <v/>
      </c>
      <c r="CM52">
        <f>IFERROR(INDEX(PP_Grid[#Data],$DD52,89),0)</f>
        <v/>
      </c>
      <c r="CN52">
        <f>IFERROR(INDEX(PP_Grid[#Data],$DD52,90),0)</f>
        <v/>
      </c>
      <c r="CO52">
        <f>IFERROR(INDEX(PP_Grid[#Data],$DD52,91),0)</f>
        <v/>
      </c>
      <c r="CP52">
        <f>IFERROR(INDEX(PP_Grid[#Data],$DD52,92),0)</f>
        <v/>
      </c>
      <c r="CQ52">
        <f>IFERROR(INDEX(PP_Grid[#Data],$DD52,93),0)</f>
        <v/>
      </c>
      <c r="CR52">
        <f>IFERROR(INDEX(PP_Grid[#Data],$DD52,94),0)</f>
        <v/>
      </c>
      <c r="CS52">
        <f>IFERROR(INDEX(PP_Grid[#Data],$DD52,95),0)</f>
        <v/>
      </c>
      <c r="CT52">
        <f>IFERROR(INDEX(PP_Grid[#Data],$DD52,96),0)</f>
        <v/>
      </c>
      <c r="CU52">
        <f>IFERROR(INDEX(PP_Grid[#Data],$DD52,97),0)</f>
        <v/>
      </c>
      <c r="CV52">
        <f>IFERROR(INDEX(PP_Grid[#Data],$DD52,98),0)</f>
        <v/>
      </c>
      <c r="CW52">
        <f>IFERROR(INDEX(PP_Grid[#Data],$DD52,99),0)</f>
        <v/>
      </c>
      <c r="CX52">
        <f>IFERROR(INDEX(PP_Grid[#Data],$DD52,100),0)</f>
        <v/>
      </c>
      <c r="CY52">
        <f>IFERROR(INDEX(PP_Grid[#Data],$DD52,101),0)</f>
        <v/>
      </c>
      <c r="CZ52">
        <f>IFERROR(INDEX(PP_Grid[#Data],$DD52,102),0)</f>
        <v/>
      </c>
      <c r="DA52">
        <f>IFERROR(INDEX(PP_Grid[#Data],$DD52,103),0)</f>
        <v/>
      </c>
      <c r="DB52">
        <f>IFERROR(INDEX(PP_Grid[#Data],$DD52,104),0)</f>
        <v/>
      </c>
      <c r="DC52">
        <f>IFERROR(INDEX(PP_Grid[#Data],$DD52,105),0)</f>
        <v/>
      </c>
      <c r="DD52" s="7">
        <f>IFERROR(MATCH($B52,PP_Grid[Intermediate],0),99999)</f>
        <v/>
      </c>
    </row>
    <row r="53">
      <c r="B53" t="inlineStr">
        <is>
          <t>使用量(kg)</t>
        </is>
      </c>
      <c r="C53">
        <f>SUMIFS(M_BOM[RM_Qty_Per_Batch],M_BOM[Intermediate],$B52,M_BOM[Part Name],$A45)</f>
        <v/>
      </c>
      <c r="D53">
        <f>$C53*D52</f>
        <v/>
      </c>
      <c r="E53">
        <f>$C53*E52</f>
        <v/>
      </c>
      <c r="F53">
        <f>$C53*F52</f>
        <v/>
      </c>
      <c r="G53">
        <f>$C53*G52</f>
        <v/>
      </c>
      <c r="H53">
        <f>$C53*H52</f>
        <v/>
      </c>
      <c r="I53">
        <f>$C53*I52</f>
        <v/>
      </c>
      <c r="J53">
        <f>$C53*J52</f>
        <v/>
      </c>
      <c r="K53">
        <f>$C53*K52</f>
        <v/>
      </c>
      <c r="L53">
        <f>$C53*L52</f>
        <v/>
      </c>
      <c r="M53">
        <f>$C53*M52</f>
        <v/>
      </c>
      <c r="N53">
        <f>$C53*N52</f>
        <v/>
      </c>
      <c r="O53">
        <f>$C53*O52</f>
        <v/>
      </c>
      <c r="P53">
        <f>$C53*P52</f>
        <v/>
      </c>
      <c r="Q53">
        <f>$C53*Q52</f>
        <v/>
      </c>
      <c r="R53">
        <f>$C53*R52</f>
        <v/>
      </c>
      <c r="S53">
        <f>$C53*S52</f>
        <v/>
      </c>
      <c r="T53">
        <f>$C53*T52</f>
        <v/>
      </c>
      <c r="U53">
        <f>$C53*U52</f>
        <v/>
      </c>
      <c r="V53">
        <f>$C53*V52</f>
        <v/>
      </c>
      <c r="W53">
        <f>$C53*W52</f>
        <v/>
      </c>
      <c r="X53">
        <f>$C53*X52</f>
        <v/>
      </c>
      <c r="Y53">
        <f>$C53*Y52</f>
        <v/>
      </c>
      <c r="Z53">
        <f>$C53*Z52</f>
        <v/>
      </c>
      <c r="AA53">
        <f>$C53*AA52</f>
        <v/>
      </c>
      <c r="AB53">
        <f>$C53*AB52</f>
        <v/>
      </c>
      <c r="AC53">
        <f>$C53*AC52</f>
        <v/>
      </c>
      <c r="AD53">
        <f>$C53*AD52</f>
        <v/>
      </c>
      <c r="AE53">
        <f>$C53*AE52</f>
        <v/>
      </c>
      <c r="AF53">
        <f>$C53*AF52</f>
        <v/>
      </c>
      <c r="AG53">
        <f>$C53*AG52</f>
        <v/>
      </c>
      <c r="AH53">
        <f>$C53*AH52</f>
        <v/>
      </c>
      <c r="AI53">
        <f>$C53*AI52</f>
        <v/>
      </c>
      <c r="AJ53">
        <f>$C53*AJ52</f>
        <v/>
      </c>
      <c r="AK53">
        <f>$C53*AK52</f>
        <v/>
      </c>
      <c r="AL53">
        <f>$C53*AL52</f>
        <v/>
      </c>
      <c r="AM53">
        <f>$C53*AM52</f>
        <v/>
      </c>
      <c r="AN53">
        <f>$C53*AN52</f>
        <v/>
      </c>
      <c r="AO53">
        <f>$C53*AO52</f>
        <v/>
      </c>
      <c r="AP53">
        <f>$C53*AP52</f>
        <v/>
      </c>
      <c r="AQ53">
        <f>$C53*AQ52</f>
        <v/>
      </c>
      <c r="AR53">
        <f>$C53*AR52</f>
        <v/>
      </c>
      <c r="AS53">
        <f>$C53*AS52</f>
        <v/>
      </c>
      <c r="AT53">
        <f>$C53*AT52</f>
        <v/>
      </c>
      <c r="AU53">
        <f>$C53*AU52</f>
        <v/>
      </c>
      <c r="AV53">
        <f>$C53*AV52</f>
        <v/>
      </c>
      <c r="AW53">
        <f>$C53*AW52</f>
        <v/>
      </c>
      <c r="AX53">
        <f>$C53*AX52</f>
        <v/>
      </c>
      <c r="AY53">
        <f>$C53*AY52</f>
        <v/>
      </c>
      <c r="AZ53">
        <f>$C53*AZ52</f>
        <v/>
      </c>
      <c r="BA53">
        <f>$C53*BA52</f>
        <v/>
      </c>
      <c r="BB53">
        <f>$C53*BB52</f>
        <v/>
      </c>
      <c r="BC53">
        <f>$C53*BC52</f>
        <v/>
      </c>
      <c r="BD53">
        <f>$C53*BD52</f>
        <v/>
      </c>
      <c r="BE53">
        <f>$C53*BE52</f>
        <v/>
      </c>
      <c r="BF53">
        <f>$C53*BF52</f>
        <v/>
      </c>
      <c r="BG53">
        <f>$C53*BG52</f>
        <v/>
      </c>
      <c r="BH53">
        <f>$C53*BH52</f>
        <v/>
      </c>
      <c r="BI53">
        <f>$C53*BI52</f>
        <v/>
      </c>
      <c r="BJ53">
        <f>$C53*BJ52</f>
        <v/>
      </c>
      <c r="BK53">
        <f>$C53*BK52</f>
        <v/>
      </c>
      <c r="BL53">
        <f>$C53*BL52</f>
        <v/>
      </c>
      <c r="BM53">
        <f>$C53*BM52</f>
        <v/>
      </c>
      <c r="BN53">
        <f>$C53*BN52</f>
        <v/>
      </c>
      <c r="BO53">
        <f>$C53*BO52</f>
        <v/>
      </c>
      <c r="BP53">
        <f>$C53*BP52</f>
        <v/>
      </c>
      <c r="BQ53">
        <f>$C53*BQ52</f>
        <v/>
      </c>
      <c r="BR53">
        <f>$C53*BR52</f>
        <v/>
      </c>
      <c r="BS53">
        <f>$C53*BS52</f>
        <v/>
      </c>
      <c r="BT53">
        <f>$C53*BT52</f>
        <v/>
      </c>
      <c r="BU53">
        <f>$C53*BU52</f>
        <v/>
      </c>
      <c r="BV53">
        <f>$C53*BV52</f>
        <v/>
      </c>
      <c r="BW53">
        <f>$C53*BW52</f>
        <v/>
      </c>
      <c r="BX53">
        <f>$C53*BX52</f>
        <v/>
      </c>
      <c r="BY53">
        <f>$C53*BY52</f>
        <v/>
      </c>
      <c r="BZ53">
        <f>$C53*BZ52</f>
        <v/>
      </c>
      <c r="CA53">
        <f>$C53*CA52</f>
        <v/>
      </c>
      <c r="CB53">
        <f>$C53*CB52</f>
        <v/>
      </c>
      <c r="CC53">
        <f>$C53*CC52</f>
        <v/>
      </c>
      <c r="CD53">
        <f>$C53*CD52</f>
        <v/>
      </c>
      <c r="CE53">
        <f>$C53*CE52</f>
        <v/>
      </c>
      <c r="CF53">
        <f>$C53*CF52</f>
        <v/>
      </c>
      <c r="CG53">
        <f>$C53*CG52</f>
        <v/>
      </c>
      <c r="CH53">
        <f>$C53*CH52</f>
        <v/>
      </c>
      <c r="CI53">
        <f>$C53*CI52</f>
        <v/>
      </c>
      <c r="CJ53">
        <f>$C53*CJ52</f>
        <v/>
      </c>
      <c r="CK53">
        <f>$C53*CK52</f>
        <v/>
      </c>
      <c r="CL53">
        <f>$C53*CL52</f>
        <v/>
      </c>
      <c r="CM53">
        <f>$C53*CM52</f>
        <v/>
      </c>
      <c r="CN53">
        <f>$C53*CN52</f>
        <v/>
      </c>
      <c r="CO53">
        <f>$C53*CO52</f>
        <v/>
      </c>
      <c r="CP53">
        <f>$C53*CP52</f>
        <v/>
      </c>
      <c r="CQ53">
        <f>$C53*CQ52</f>
        <v/>
      </c>
      <c r="CR53">
        <f>$C53*CR52</f>
        <v/>
      </c>
      <c r="CS53">
        <f>$C53*CS52</f>
        <v/>
      </c>
      <c r="CT53">
        <f>$C53*CT52</f>
        <v/>
      </c>
      <c r="CU53">
        <f>$C53*CU52</f>
        <v/>
      </c>
      <c r="CV53">
        <f>$C53*CV52</f>
        <v/>
      </c>
      <c r="CW53">
        <f>$C53*CW52</f>
        <v/>
      </c>
      <c r="CX53">
        <f>$C53*CX52</f>
        <v/>
      </c>
      <c r="CY53">
        <f>$C53*CY52</f>
        <v/>
      </c>
      <c r="CZ53">
        <f>$C53*CZ52</f>
        <v/>
      </c>
      <c r="DA53">
        <f>$C53*DA52</f>
        <v/>
      </c>
      <c r="DB53">
        <f>$C53*DB52</f>
        <v/>
      </c>
      <c r="DC53">
        <f>$C53*DC52</f>
        <v/>
      </c>
    </row>
    <row r="54">
      <c r="B54" t="inlineStr">
        <is>
          <t>TSP-077</t>
        </is>
      </c>
      <c r="C54" t="inlineStr">
        <is>
          <t>No. of batches</t>
        </is>
      </c>
      <c r="D54">
        <f>IFERROR(INDEX(PP_Grid[#Data],$DD54,2),0)</f>
        <v/>
      </c>
      <c r="E54">
        <f>IFERROR(INDEX(PP_Grid[#Data],$DD54,3),0)</f>
        <v/>
      </c>
      <c r="F54">
        <f>IFERROR(INDEX(PP_Grid[#Data],$DD54,4),0)</f>
        <v/>
      </c>
      <c r="G54">
        <f>IFERROR(INDEX(PP_Grid[#Data],$DD54,5),0)</f>
        <v/>
      </c>
      <c r="H54">
        <f>IFERROR(INDEX(PP_Grid[#Data],$DD54,6),0)</f>
        <v/>
      </c>
      <c r="I54">
        <f>IFERROR(INDEX(PP_Grid[#Data],$DD54,7),0)</f>
        <v/>
      </c>
      <c r="J54">
        <f>IFERROR(INDEX(PP_Grid[#Data],$DD54,8),0)</f>
        <v/>
      </c>
      <c r="K54">
        <f>IFERROR(INDEX(PP_Grid[#Data],$DD54,9),0)</f>
        <v/>
      </c>
      <c r="L54">
        <f>IFERROR(INDEX(PP_Grid[#Data],$DD54,10),0)</f>
        <v/>
      </c>
      <c r="M54">
        <f>IFERROR(INDEX(PP_Grid[#Data],$DD54,11),0)</f>
        <v/>
      </c>
      <c r="N54">
        <f>IFERROR(INDEX(PP_Grid[#Data],$DD54,12),0)</f>
        <v/>
      </c>
      <c r="O54">
        <f>IFERROR(INDEX(PP_Grid[#Data],$DD54,13),0)</f>
        <v/>
      </c>
      <c r="P54">
        <f>IFERROR(INDEX(PP_Grid[#Data],$DD54,14),0)</f>
        <v/>
      </c>
      <c r="Q54">
        <f>IFERROR(INDEX(PP_Grid[#Data],$DD54,15),0)</f>
        <v/>
      </c>
      <c r="R54">
        <f>IFERROR(INDEX(PP_Grid[#Data],$DD54,16),0)</f>
        <v/>
      </c>
      <c r="S54">
        <f>IFERROR(INDEX(PP_Grid[#Data],$DD54,17),0)</f>
        <v/>
      </c>
      <c r="T54">
        <f>IFERROR(INDEX(PP_Grid[#Data],$DD54,18),0)</f>
        <v/>
      </c>
      <c r="U54">
        <f>IFERROR(INDEX(PP_Grid[#Data],$DD54,19),0)</f>
        <v/>
      </c>
      <c r="V54">
        <f>IFERROR(INDEX(PP_Grid[#Data],$DD54,20),0)</f>
        <v/>
      </c>
      <c r="W54">
        <f>IFERROR(INDEX(PP_Grid[#Data],$DD54,21),0)</f>
        <v/>
      </c>
      <c r="X54">
        <f>IFERROR(INDEX(PP_Grid[#Data],$DD54,22),0)</f>
        <v/>
      </c>
      <c r="Y54">
        <f>IFERROR(INDEX(PP_Grid[#Data],$DD54,23),0)</f>
        <v/>
      </c>
      <c r="Z54">
        <f>IFERROR(INDEX(PP_Grid[#Data],$DD54,24),0)</f>
        <v/>
      </c>
      <c r="AA54">
        <f>IFERROR(INDEX(PP_Grid[#Data],$DD54,25),0)</f>
        <v/>
      </c>
      <c r="AB54">
        <f>IFERROR(INDEX(PP_Grid[#Data],$DD54,26),0)</f>
        <v/>
      </c>
      <c r="AC54">
        <f>IFERROR(INDEX(PP_Grid[#Data],$DD54,27),0)</f>
        <v/>
      </c>
      <c r="AD54">
        <f>IFERROR(INDEX(PP_Grid[#Data],$DD54,28),0)</f>
        <v/>
      </c>
      <c r="AE54">
        <f>IFERROR(INDEX(PP_Grid[#Data],$DD54,29),0)</f>
        <v/>
      </c>
      <c r="AF54">
        <f>IFERROR(INDEX(PP_Grid[#Data],$DD54,30),0)</f>
        <v/>
      </c>
      <c r="AG54">
        <f>IFERROR(INDEX(PP_Grid[#Data],$DD54,31),0)</f>
        <v/>
      </c>
      <c r="AH54">
        <f>IFERROR(INDEX(PP_Grid[#Data],$DD54,32),0)</f>
        <v/>
      </c>
      <c r="AI54">
        <f>IFERROR(INDEX(PP_Grid[#Data],$DD54,33),0)</f>
        <v/>
      </c>
      <c r="AJ54">
        <f>IFERROR(INDEX(PP_Grid[#Data],$DD54,34),0)</f>
        <v/>
      </c>
      <c r="AK54">
        <f>IFERROR(INDEX(PP_Grid[#Data],$DD54,35),0)</f>
        <v/>
      </c>
      <c r="AL54">
        <f>IFERROR(INDEX(PP_Grid[#Data],$DD54,36),0)</f>
        <v/>
      </c>
      <c r="AM54">
        <f>IFERROR(INDEX(PP_Grid[#Data],$DD54,37),0)</f>
        <v/>
      </c>
      <c r="AN54">
        <f>IFERROR(INDEX(PP_Grid[#Data],$DD54,38),0)</f>
        <v/>
      </c>
      <c r="AO54">
        <f>IFERROR(INDEX(PP_Grid[#Data],$DD54,39),0)</f>
        <v/>
      </c>
      <c r="AP54">
        <f>IFERROR(INDEX(PP_Grid[#Data],$DD54,40),0)</f>
        <v/>
      </c>
      <c r="AQ54">
        <f>IFERROR(INDEX(PP_Grid[#Data],$DD54,41),0)</f>
        <v/>
      </c>
      <c r="AR54">
        <f>IFERROR(INDEX(PP_Grid[#Data],$DD54,42),0)</f>
        <v/>
      </c>
      <c r="AS54">
        <f>IFERROR(INDEX(PP_Grid[#Data],$DD54,43),0)</f>
        <v/>
      </c>
      <c r="AT54">
        <f>IFERROR(INDEX(PP_Grid[#Data],$DD54,44),0)</f>
        <v/>
      </c>
      <c r="AU54">
        <f>IFERROR(INDEX(PP_Grid[#Data],$DD54,45),0)</f>
        <v/>
      </c>
      <c r="AV54">
        <f>IFERROR(INDEX(PP_Grid[#Data],$DD54,46),0)</f>
        <v/>
      </c>
      <c r="AW54">
        <f>IFERROR(INDEX(PP_Grid[#Data],$DD54,47),0)</f>
        <v/>
      </c>
      <c r="AX54">
        <f>IFERROR(INDEX(PP_Grid[#Data],$DD54,48),0)</f>
        <v/>
      </c>
      <c r="AY54">
        <f>IFERROR(INDEX(PP_Grid[#Data],$DD54,49),0)</f>
        <v/>
      </c>
      <c r="AZ54">
        <f>IFERROR(INDEX(PP_Grid[#Data],$DD54,50),0)</f>
        <v/>
      </c>
      <c r="BA54">
        <f>IFERROR(INDEX(PP_Grid[#Data],$DD54,51),0)</f>
        <v/>
      </c>
      <c r="BB54">
        <f>IFERROR(INDEX(PP_Grid[#Data],$DD54,52),0)</f>
        <v/>
      </c>
      <c r="BC54">
        <f>IFERROR(INDEX(PP_Grid[#Data],$DD54,53),0)</f>
        <v/>
      </c>
      <c r="BD54">
        <f>IFERROR(INDEX(PP_Grid[#Data],$DD54,54),0)</f>
        <v/>
      </c>
      <c r="BE54">
        <f>IFERROR(INDEX(PP_Grid[#Data],$DD54,55),0)</f>
        <v/>
      </c>
      <c r="BF54">
        <f>IFERROR(INDEX(PP_Grid[#Data],$DD54,56),0)</f>
        <v/>
      </c>
      <c r="BG54">
        <f>IFERROR(INDEX(PP_Grid[#Data],$DD54,57),0)</f>
        <v/>
      </c>
      <c r="BH54">
        <f>IFERROR(INDEX(PP_Grid[#Data],$DD54,58),0)</f>
        <v/>
      </c>
      <c r="BI54">
        <f>IFERROR(INDEX(PP_Grid[#Data],$DD54,59),0)</f>
        <v/>
      </c>
      <c r="BJ54">
        <f>IFERROR(INDEX(PP_Grid[#Data],$DD54,60),0)</f>
        <v/>
      </c>
      <c r="BK54">
        <f>IFERROR(INDEX(PP_Grid[#Data],$DD54,61),0)</f>
        <v/>
      </c>
      <c r="BL54">
        <f>IFERROR(INDEX(PP_Grid[#Data],$DD54,62),0)</f>
        <v/>
      </c>
      <c r="BM54">
        <f>IFERROR(INDEX(PP_Grid[#Data],$DD54,63),0)</f>
        <v/>
      </c>
      <c r="BN54">
        <f>IFERROR(INDEX(PP_Grid[#Data],$DD54,64),0)</f>
        <v/>
      </c>
      <c r="BO54">
        <f>IFERROR(INDEX(PP_Grid[#Data],$DD54,65),0)</f>
        <v/>
      </c>
      <c r="BP54">
        <f>IFERROR(INDEX(PP_Grid[#Data],$DD54,66),0)</f>
        <v/>
      </c>
      <c r="BQ54">
        <f>IFERROR(INDEX(PP_Grid[#Data],$DD54,67),0)</f>
        <v/>
      </c>
      <c r="BR54">
        <f>IFERROR(INDEX(PP_Grid[#Data],$DD54,68),0)</f>
        <v/>
      </c>
      <c r="BS54">
        <f>IFERROR(INDEX(PP_Grid[#Data],$DD54,69),0)</f>
        <v/>
      </c>
      <c r="BT54">
        <f>IFERROR(INDEX(PP_Grid[#Data],$DD54,70),0)</f>
        <v/>
      </c>
      <c r="BU54">
        <f>IFERROR(INDEX(PP_Grid[#Data],$DD54,71),0)</f>
        <v/>
      </c>
      <c r="BV54">
        <f>IFERROR(INDEX(PP_Grid[#Data],$DD54,72),0)</f>
        <v/>
      </c>
      <c r="BW54">
        <f>IFERROR(INDEX(PP_Grid[#Data],$DD54,73),0)</f>
        <v/>
      </c>
      <c r="BX54">
        <f>IFERROR(INDEX(PP_Grid[#Data],$DD54,74),0)</f>
        <v/>
      </c>
      <c r="BY54">
        <f>IFERROR(INDEX(PP_Grid[#Data],$DD54,75),0)</f>
        <v/>
      </c>
      <c r="BZ54">
        <f>IFERROR(INDEX(PP_Grid[#Data],$DD54,76),0)</f>
        <v/>
      </c>
      <c r="CA54">
        <f>IFERROR(INDEX(PP_Grid[#Data],$DD54,77),0)</f>
        <v/>
      </c>
      <c r="CB54">
        <f>IFERROR(INDEX(PP_Grid[#Data],$DD54,78),0)</f>
        <v/>
      </c>
      <c r="CC54">
        <f>IFERROR(INDEX(PP_Grid[#Data],$DD54,79),0)</f>
        <v/>
      </c>
      <c r="CD54">
        <f>IFERROR(INDEX(PP_Grid[#Data],$DD54,80),0)</f>
        <v/>
      </c>
      <c r="CE54">
        <f>IFERROR(INDEX(PP_Grid[#Data],$DD54,81),0)</f>
        <v/>
      </c>
      <c r="CF54">
        <f>IFERROR(INDEX(PP_Grid[#Data],$DD54,82),0)</f>
        <v/>
      </c>
      <c r="CG54">
        <f>IFERROR(INDEX(PP_Grid[#Data],$DD54,83),0)</f>
        <v/>
      </c>
      <c r="CH54">
        <f>IFERROR(INDEX(PP_Grid[#Data],$DD54,84),0)</f>
        <v/>
      </c>
      <c r="CI54">
        <f>IFERROR(INDEX(PP_Grid[#Data],$DD54,85),0)</f>
        <v/>
      </c>
      <c r="CJ54">
        <f>IFERROR(INDEX(PP_Grid[#Data],$DD54,86),0)</f>
        <v/>
      </c>
      <c r="CK54">
        <f>IFERROR(INDEX(PP_Grid[#Data],$DD54,87),0)</f>
        <v/>
      </c>
      <c r="CL54">
        <f>IFERROR(INDEX(PP_Grid[#Data],$DD54,88),0)</f>
        <v/>
      </c>
      <c r="CM54">
        <f>IFERROR(INDEX(PP_Grid[#Data],$DD54,89),0)</f>
        <v/>
      </c>
      <c r="CN54">
        <f>IFERROR(INDEX(PP_Grid[#Data],$DD54,90),0)</f>
        <v/>
      </c>
      <c r="CO54">
        <f>IFERROR(INDEX(PP_Grid[#Data],$DD54,91),0)</f>
        <v/>
      </c>
      <c r="CP54">
        <f>IFERROR(INDEX(PP_Grid[#Data],$DD54,92),0)</f>
        <v/>
      </c>
      <c r="CQ54">
        <f>IFERROR(INDEX(PP_Grid[#Data],$DD54,93),0)</f>
        <v/>
      </c>
      <c r="CR54">
        <f>IFERROR(INDEX(PP_Grid[#Data],$DD54,94),0)</f>
        <v/>
      </c>
      <c r="CS54">
        <f>IFERROR(INDEX(PP_Grid[#Data],$DD54,95),0)</f>
        <v/>
      </c>
      <c r="CT54">
        <f>IFERROR(INDEX(PP_Grid[#Data],$DD54,96),0)</f>
        <v/>
      </c>
      <c r="CU54">
        <f>IFERROR(INDEX(PP_Grid[#Data],$DD54,97),0)</f>
        <v/>
      </c>
      <c r="CV54">
        <f>IFERROR(INDEX(PP_Grid[#Data],$DD54,98),0)</f>
        <v/>
      </c>
      <c r="CW54">
        <f>IFERROR(INDEX(PP_Grid[#Data],$DD54,99),0)</f>
        <v/>
      </c>
      <c r="CX54">
        <f>IFERROR(INDEX(PP_Grid[#Data],$DD54,100),0)</f>
        <v/>
      </c>
      <c r="CY54">
        <f>IFERROR(INDEX(PP_Grid[#Data],$DD54,101),0)</f>
        <v/>
      </c>
      <c r="CZ54">
        <f>IFERROR(INDEX(PP_Grid[#Data],$DD54,102),0)</f>
        <v/>
      </c>
      <c r="DA54">
        <f>IFERROR(INDEX(PP_Grid[#Data],$DD54,103),0)</f>
        <v/>
      </c>
      <c r="DB54">
        <f>IFERROR(INDEX(PP_Grid[#Data],$DD54,104),0)</f>
        <v/>
      </c>
      <c r="DC54">
        <f>IFERROR(INDEX(PP_Grid[#Data],$DD54,105),0)</f>
        <v/>
      </c>
      <c r="DD54" s="7">
        <f>IFERROR(MATCH($B54,PP_Grid[Intermediate],0),99999)</f>
        <v/>
      </c>
    </row>
    <row r="55">
      <c r="B55" t="inlineStr">
        <is>
          <t>使用量(kg)</t>
        </is>
      </c>
      <c r="C55">
        <f>SUMIFS(M_BOM[RM_Qty_Per_Batch],M_BOM[Intermediate],$B54,M_BOM[Part Name],$A45)</f>
        <v/>
      </c>
      <c r="D55">
        <f>$C55*D54</f>
        <v/>
      </c>
      <c r="E55">
        <f>$C55*E54</f>
        <v/>
      </c>
      <c r="F55">
        <f>$C55*F54</f>
        <v/>
      </c>
      <c r="G55">
        <f>$C55*G54</f>
        <v/>
      </c>
      <c r="H55">
        <f>$C55*H54</f>
        <v/>
      </c>
      <c r="I55">
        <f>$C55*I54</f>
        <v/>
      </c>
      <c r="J55">
        <f>$C55*J54</f>
        <v/>
      </c>
      <c r="K55">
        <f>$C55*K54</f>
        <v/>
      </c>
      <c r="L55">
        <f>$C55*L54</f>
        <v/>
      </c>
      <c r="M55">
        <f>$C55*M54</f>
        <v/>
      </c>
      <c r="N55">
        <f>$C55*N54</f>
        <v/>
      </c>
      <c r="O55">
        <f>$C55*O54</f>
        <v/>
      </c>
      <c r="P55">
        <f>$C55*P54</f>
        <v/>
      </c>
      <c r="Q55">
        <f>$C55*Q54</f>
        <v/>
      </c>
      <c r="R55">
        <f>$C55*R54</f>
        <v/>
      </c>
      <c r="S55">
        <f>$C55*S54</f>
        <v/>
      </c>
      <c r="T55">
        <f>$C55*T54</f>
        <v/>
      </c>
      <c r="U55">
        <f>$C55*U54</f>
        <v/>
      </c>
      <c r="V55">
        <f>$C55*V54</f>
        <v/>
      </c>
      <c r="W55">
        <f>$C55*W54</f>
        <v/>
      </c>
      <c r="X55">
        <f>$C55*X54</f>
        <v/>
      </c>
      <c r="Y55">
        <f>$C55*Y54</f>
        <v/>
      </c>
      <c r="Z55">
        <f>$C55*Z54</f>
        <v/>
      </c>
      <c r="AA55">
        <f>$C55*AA54</f>
        <v/>
      </c>
      <c r="AB55">
        <f>$C55*AB54</f>
        <v/>
      </c>
      <c r="AC55">
        <f>$C55*AC54</f>
        <v/>
      </c>
      <c r="AD55">
        <f>$C55*AD54</f>
        <v/>
      </c>
      <c r="AE55">
        <f>$C55*AE54</f>
        <v/>
      </c>
      <c r="AF55">
        <f>$C55*AF54</f>
        <v/>
      </c>
      <c r="AG55">
        <f>$C55*AG54</f>
        <v/>
      </c>
      <c r="AH55">
        <f>$C55*AH54</f>
        <v/>
      </c>
      <c r="AI55">
        <f>$C55*AI54</f>
        <v/>
      </c>
      <c r="AJ55">
        <f>$C55*AJ54</f>
        <v/>
      </c>
      <c r="AK55">
        <f>$C55*AK54</f>
        <v/>
      </c>
      <c r="AL55">
        <f>$C55*AL54</f>
        <v/>
      </c>
      <c r="AM55">
        <f>$C55*AM54</f>
        <v/>
      </c>
      <c r="AN55">
        <f>$C55*AN54</f>
        <v/>
      </c>
      <c r="AO55">
        <f>$C55*AO54</f>
        <v/>
      </c>
      <c r="AP55">
        <f>$C55*AP54</f>
        <v/>
      </c>
      <c r="AQ55">
        <f>$C55*AQ54</f>
        <v/>
      </c>
      <c r="AR55">
        <f>$C55*AR54</f>
        <v/>
      </c>
      <c r="AS55">
        <f>$C55*AS54</f>
        <v/>
      </c>
      <c r="AT55">
        <f>$C55*AT54</f>
        <v/>
      </c>
      <c r="AU55">
        <f>$C55*AU54</f>
        <v/>
      </c>
      <c r="AV55">
        <f>$C55*AV54</f>
        <v/>
      </c>
      <c r="AW55">
        <f>$C55*AW54</f>
        <v/>
      </c>
      <c r="AX55">
        <f>$C55*AX54</f>
        <v/>
      </c>
      <c r="AY55">
        <f>$C55*AY54</f>
        <v/>
      </c>
      <c r="AZ55">
        <f>$C55*AZ54</f>
        <v/>
      </c>
      <c r="BA55">
        <f>$C55*BA54</f>
        <v/>
      </c>
      <c r="BB55">
        <f>$C55*BB54</f>
        <v/>
      </c>
      <c r="BC55">
        <f>$C55*BC54</f>
        <v/>
      </c>
      <c r="BD55">
        <f>$C55*BD54</f>
        <v/>
      </c>
      <c r="BE55">
        <f>$C55*BE54</f>
        <v/>
      </c>
      <c r="BF55">
        <f>$C55*BF54</f>
        <v/>
      </c>
      <c r="BG55">
        <f>$C55*BG54</f>
        <v/>
      </c>
      <c r="BH55">
        <f>$C55*BH54</f>
        <v/>
      </c>
      <c r="BI55">
        <f>$C55*BI54</f>
        <v/>
      </c>
      <c r="BJ55">
        <f>$C55*BJ54</f>
        <v/>
      </c>
      <c r="BK55">
        <f>$C55*BK54</f>
        <v/>
      </c>
      <c r="BL55">
        <f>$C55*BL54</f>
        <v/>
      </c>
      <c r="BM55">
        <f>$C55*BM54</f>
        <v/>
      </c>
      <c r="BN55">
        <f>$C55*BN54</f>
        <v/>
      </c>
      <c r="BO55">
        <f>$C55*BO54</f>
        <v/>
      </c>
      <c r="BP55">
        <f>$C55*BP54</f>
        <v/>
      </c>
      <c r="BQ55">
        <f>$C55*BQ54</f>
        <v/>
      </c>
      <c r="BR55">
        <f>$C55*BR54</f>
        <v/>
      </c>
      <c r="BS55">
        <f>$C55*BS54</f>
        <v/>
      </c>
      <c r="BT55">
        <f>$C55*BT54</f>
        <v/>
      </c>
      <c r="BU55">
        <f>$C55*BU54</f>
        <v/>
      </c>
      <c r="BV55">
        <f>$C55*BV54</f>
        <v/>
      </c>
      <c r="BW55">
        <f>$C55*BW54</f>
        <v/>
      </c>
      <c r="BX55">
        <f>$C55*BX54</f>
        <v/>
      </c>
      <c r="BY55">
        <f>$C55*BY54</f>
        <v/>
      </c>
      <c r="BZ55">
        <f>$C55*BZ54</f>
        <v/>
      </c>
      <c r="CA55">
        <f>$C55*CA54</f>
        <v/>
      </c>
      <c r="CB55">
        <f>$C55*CB54</f>
        <v/>
      </c>
      <c r="CC55">
        <f>$C55*CC54</f>
        <v/>
      </c>
      <c r="CD55">
        <f>$C55*CD54</f>
        <v/>
      </c>
      <c r="CE55">
        <f>$C55*CE54</f>
        <v/>
      </c>
      <c r="CF55">
        <f>$C55*CF54</f>
        <v/>
      </c>
      <c r="CG55">
        <f>$C55*CG54</f>
        <v/>
      </c>
      <c r="CH55">
        <f>$C55*CH54</f>
        <v/>
      </c>
      <c r="CI55">
        <f>$C55*CI54</f>
        <v/>
      </c>
      <c r="CJ55">
        <f>$C55*CJ54</f>
        <v/>
      </c>
      <c r="CK55">
        <f>$C55*CK54</f>
        <v/>
      </c>
      <c r="CL55">
        <f>$C55*CL54</f>
        <v/>
      </c>
      <c r="CM55">
        <f>$C55*CM54</f>
        <v/>
      </c>
      <c r="CN55">
        <f>$C55*CN54</f>
        <v/>
      </c>
      <c r="CO55">
        <f>$C55*CO54</f>
        <v/>
      </c>
      <c r="CP55">
        <f>$C55*CP54</f>
        <v/>
      </c>
      <c r="CQ55">
        <f>$C55*CQ54</f>
        <v/>
      </c>
      <c r="CR55">
        <f>$C55*CR54</f>
        <v/>
      </c>
      <c r="CS55">
        <f>$C55*CS54</f>
        <v/>
      </c>
      <c r="CT55">
        <f>$C55*CT54</f>
        <v/>
      </c>
      <c r="CU55">
        <f>$C55*CU54</f>
        <v/>
      </c>
      <c r="CV55">
        <f>$C55*CV54</f>
        <v/>
      </c>
      <c r="CW55">
        <f>$C55*CW54</f>
        <v/>
      </c>
      <c r="CX55">
        <f>$C55*CX54</f>
        <v/>
      </c>
      <c r="CY55">
        <f>$C55*CY54</f>
        <v/>
      </c>
      <c r="CZ55">
        <f>$C55*CZ54</f>
        <v/>
      </c>
      <c r="DA55">
        <f>$C55*DA54</f>
        <v/>
      </c>
      <c r="DB55">
        <f>$C55*DB54</f>
        <v/>
      </c>
      <c r="DC55">
        <f>$C55*DC54</f>
        <v/>
      </c>
    </row>
    <row r="56">
      <c r="B56" t="inlineStr">
        <is>
          <t>TSP-078</t>
        </is>
      </c>
      <c r="C56" t="inlineStr">
        <is>
          <t>No. of batches</t>
        </is>
      </c>
      <c r="D56">
        <f>IFERROR(INDEX(PP_Grid[#Data],$DD56,2),0)</f>
        <v/>
      </c>
      <c r="E56">
        <f>IFERROR(INDEX(PP_Grid[#Data],$DD56,3),0)</f>
        <v/>
      </c>
      <c r="F56">
        <f>IFERROR(INDEX(PP_Grid[#Data],$DD56,4),0)</f>
        <v/>
      </c>
      <c r="G56">
        <f>IFERROR(INDEX(PP_Grid[#Data],$DD56,5),0)</f>
        <v/>
      </c>
      <c r="H56">
        <f>IFERROR(INDEX(PP_Grid[#Data],$DD56,6),0)</f>
        <v/>
      </c>
      <c r="I56">
        <f>IFERROR(INDEX(PP_Grid[#Data],$DD56,7),0)</f>
        <v/>
      </c>
      <c r="J56">
        <f>IFERROR(INDEX(PP_Grid[#Data],$DD56,8),0)</f>
        <v/>
      </c>
      <c r="K56">
        <f>IFERROR(INDEX(PP_Grid[#Data],$DD56,9),0)</f>
        <v/>
      </c>
      <c r="L56">
        <f>IFERROR(INDEX(PP_Grid[#Data],$DD56,10),0)</f>
        <v/>
      </c>
      <c r="M56">
        <f>IFERROR(INDEX(PP_Grid[#Data],$DD56,11),0)</f>
        <v/>
      </c>
      <c r="N56">
        <f>IFERROR(INDEX(PP_Grid[#Data],$DD56,12),0)</f>
        <v/>
      </c>
      <c r="O56">
        <f>IFERROR(INDEX(PP_Grid[#Data],$DD56,13),0)</f>
        <v/>
      </c>
      <c r="P56">
        <f>IFERROR(INDEX(PP_Grid[#Data],$DD56,14),0)</f>
        <v/>
      </c>
      <c r="Q56">
        <f>IFERROR(INDEX(PP_Grid[#Data],$DD56,15),0)</f>
        <v/>
      </c>
      <c r="R56">
        <f>IFERROR(INDEX(PP_Grid[#Data],$DD56,16),0)</f>
        <v/>
      </c>
      <c r="S56">
        <f>IFERROR(INDEX(PP_Grid[#Data],$DD56,17),0)</f>
        <v/>
      </c>
      <c r="T56">
        <f>IFERROR(INDEX(PP_Grid[#Data],$DD56,18),0)</f>
        <v/>
      </c>
      <c r="U56">
        <f>IFERROR(INDEX(PP_Grid[#Data],$DD56,19),0)</f>
        <v/>
      </c>
      <c r="V56">
        <f>IFERROR(INDEX(PP_Grid[#Data],$DD56,20),0)</f>
        <v/>
      </c>
      <c r="W56">
        <f>IFERROR(INDEX(PP_Grid[#Data],$DD56,21),0)</f>
        <v/>
      </c>
      <c r="X56">
        <f>IFERROR(INDEX(PP_Grid[#Data],$DD56,22),0)</f>
        <v/>
      </c>
      <c r="Y56">
        <f>IFERROR(INDEX(PP_Grid[#Data],$DD56,23),0)</f>
        <v/>
      </c>
      <c r="Z56">
        <f>IFERROR(INDEX(PP_Grid[#Data],$DD56,24),0)</f>
        <v/>
      </c>
      <c r="AA56">
        <f>IFERROR(INDEX(PP_Grid[#Data],$DD56,25),0)</f>
        <v/>
      </c>
      <c r="AB56">
        <f>IFERROR(INDEX(PP_Grid[#Data],$DD56,26),0)</f>
        <v/>
      </c>
      <c r="AC56">
        <f>IFERROR(INDEX(PP_Grid[#Data],$DD56,27),0)</f>
        <v/>
      </c>
      <c r="AD56">
        <f>IFERROR(INDEX(PP_Grid[#Data],$DD56,28),0)</f>
        <v/>
      </c>
      <c r="AE56">
        <f>IFERROR(INDEX(PP_Grid[#Data],$DD56,29),0)</f>
        <v/>
      </c>
      <c r="AF56">
        <f>IFERROR(INDEX(PP_Grid[#Data],$DD56,30),0)</f>
        <v/>
      </c>
      <c r="AG56">
        <f>IFERROR(INDEX(PP_Grid[#Data],$DD56,31),0)</f>
        <v/>
      </c>
      <c r="AH56">
        <f>IFERROR(INDEX(PP_Grid[#Data],$DD56,32),0)</f>
        <v/>
      </c>
      <c r="AI56">
        <f>IFERROR(INDEX(PP_Grid[#Data],$DD56,33),0)</f>
        <v/>
      </c>
      <c r="AJ56">
        <f>IFERROR(INDEX(PP_Grid[#Data],$DD56,34),0)</f>
        <v/>
      </c>
      <c r="AK56">
        <f>IFERROR(INDEX(PP_Grid[#Data],$DD56,35),0)</f>
        <v/>
      </c>
      <c r="AL56">
        <f>IFERROR(INDEX(PP_Grid[#Data],$DD56,36),0)</f>
        <v/>
      </c>
      <c r="AM56">
        <f>IFERROR(INDEX(PP_Grid[#Data],$DD56,37),0)</f>
        <v/>
      </c>
      <c r="AN56">
        <f>IFERROR(INDEX(PP_Grid[#Data],$DD56,38),0)</f>
        <v/>
      </c>
      <c r="AO56">
        <f>IFERROR(INDEX(PP_Grid[#Data],$DD56,39),0)</f>
        <v/>
      </c>
      <c r="AP56">
        <f>IFERROR(INDEX(PP_Grid[#Data],$DD56,40),0)</f>
        <v/>
      </c>
      <c r="AQ56">
        <f>IFERROR(INDEX(PP_Grid[#Data],$DD56,41),0)</f>
        <v/>
      </c>
      <c r="AR56">
        <f>IFERROR(INDEX(PP_Grid[#Data],$DD56,42),0)</f>
        <v/>
      </c>
      <c r="AS56">
        <f>IFERROR(INDEX(PP_Grid[#Data],$DD56,43),0)</f>
        <v/>
      </c>
      <c r="AT56">
        <f>IFERROR(INDEX(PP_Grid[#Data],$DD56,44),0)</f>
        <v/>
      </c>
      <c r="AU56">
        <f>IFERROR(INDEX(PP_Grid[#Data],$DD56,45),0)</f>
        <v/>
      </c>
      <c r="AV56">
        <f>IFERROR(INDEX(PP_Grid[#Data],$DD56,46),0)</f>
        <v/>
      </c>
      <c r="AW56">
        <f>IFERROR(INDEX(PP_Grid[#Data],$DD56,47),0)</f>
        <v/>
      </c>
      <c r="AX56">
        <f>IFERROR(INDEX(PP_Grid[#Data],$DD56,48),0)</f>
        <v/>
      </c>
      <c r="AY56">
        <f>IFERROR(INDEX(PP_Grid[#Data],$DD56,49),0)</f>
        <v/>
      </c>
      <c r="AZ56">
        <f>IFERROR(INDEX(PP_Grid[#Data],$DD56,50),0)</f>
        <v/>
      </c>
      <c r="BA56">
        <f>IFERROR(INDEX(PP_Grid[#Data],$DD56,51),0)</f>
        <v/>
      </c>
      <c r="BB56">
        <f>IFERROR(INDEX(PP_Grid[#Data],$DD56,52),0)</f>
        <v/>
      </c>
      <c r="BC56">
        <f>IFERROR(INDEX(PP_Grid[#Data],$DD56,53),0)</f>
        <v/>
      </c>
      <c r="BD56">
        <f>IFERROR(INDEX(PP_Grid[#Data],$DD56,54),0)</f>
        <v/>
      </c>
      <c r="BE56">
        <f>IFERROR(INDEX(PP_Grid[#Data],$DD56,55),0)</f>
        <v/>
      </c>
      <c r="BF56">
        <f>IFERROR(INDEX(PP_Grid[#Data],$DD56,56),0)</f>
        <v/>
      </c>
      <c r="BG56">
        <f>IFERROR(INDEX(PP_Grid[#Data],$DD56,57),0)</f>
        <v/>
      </c>
      <c r="BH56">
        <f>IFERROR(INDEX(PP_Grid[#Data],$DD56,58),0)</f>
        <v/>
      </c>
      <c r="BI56">
        <f>IFERROR(INDEX(PP_Grid[#Data],$DD56,59),0)</f>
        <v/>
      </c>
      <c r="BJ56">
        <f>IFERROR(INDEX(PP_Grid[#Data],$DD56,60),0)</f>
        <v/>
      </c>
      <c r="BK56">
        <f>IFERROR(INDEX(PP_Grid[#Data],$DD56,61),0)</f>
        <v/>
      </c>
      <c r="BL56">
        <f>IFERROR(INDEX(PP_Grid[#Data],$DD56,62),0)</f>
        <v/>
      </c>
      <c r="BM56">
        <f>IFERROR(INDEX(PP_Grid[#Data],$DD56,63),0)</f>
        <v/>
      </c>
      <c r="BN56">
        <f>IFERROR(INDEX(PP_Grid[#Data],$DD56,64),0)</f>
        <v/>
      </c>
      <c r="BO56">
        <f>IFERROR(INDEX(PP_Grid[#Data],$DD56,65),0)</f>
        <v/>
      </c>
      <c r="BP56">
        <f>IFERROR(INDEX(PP_Grid[#Data],$DD56,66),0)</f>
        <v/>
      </c>
      <c r="BQ56">
        <f>IFERROR(INDEX(PP_Grid[#Data],$DD56,67),0)</f>
        <v/>
      </c>
      <c r="BR56">
        <f>IFERROR(INDEX(PP_Grid[#Data],$DD56,68),0)</f>
        <v/>
      </c>
      <c r="BS56">
        <f>IFERROR(INDEX(PP_Grid[#Data],$DD56,69),0)</f>
        <v/>
      </c>
      <c r="BT56">
        <f>IFERROR(INDEX(PP_Grid[#Data],$DD56,70),0)</f>
        <v/>
      </c>
      <c r="BU56">
        <f>IFERROR(INDEX(PP_Grid[#Data],$DD56,71),0)</f>
        <v/>
      </c>
      <c r="BV56">
        <f>IFERROR(INDEX(PP_Grid[#Data],$DD56,72),0)</f>
        <v/>
      </c>
      <c r="BW56">
        <f>IFERROR(INDEX(PP_Grid[#Data],$DD56,73),0)</f>
        <v/>
      </c>
      <c r="BX56">
        <f>IFERROR(INDEX(PP_Grid[#Data],$DD56,74),0)</f>
        <v/>
      </c>
      <c r="BY56">
        <f>IFERROR(INDEX(PP_Grid[#Data],$DD56,75),0)</f>
        <v/>
      </c>
      <c r="BZ56">
        <f>IFERROR(INDEX(PP_Grid[#Data],$DD56,76),0)</f>
        <v/>
      </c>
      <c r="CA56">
        <f>IFERROR(INDEX(PP_Grid[#Data],$DD56,77),0)</f>
        <v/>
      </c>
      <c r="CB56">
        <f>IFERROR(INDEX(PP_Grid[#Data],$DD56,78),0)</f>
        <v/>
      </c>
      <c r="CC56">
        <f>IFERROR(INDEX(PP_Grid[#Data],$DD56,79),0)</f>
        <v/>
      </c>
      <c r="CD56">
        <f>IFERROR(INDEX(PP_Grid[#Data],$DD56,80),0)</f>
        <v/>
      </c>
      <c r="CE56">
        <f>IFERROR(INDEX(PP_Grid[#Data],$DD56,81),0)</f>
        <v/>
      </c>
      <c r="CF56">
        <f>IFERROR(INDEX(PP_Grid[#Data],$DD56,82),0)</f>
        <v/>
      </c>
      <c r="CG56">
        <f>IFERROR(INDEX(PP_Grid[#Data],$DD56,83),0)</f>
        <v/>
      </c>
      <c r="CH56">
        <f>IFERROR(INDEX(PP_Grid[#Data],$DD56,84),0)</f>
        <v/>
      </c>
      <c r="CI56">
        <f>IFERROR(INDEX(PP_Grid[#Data],$DD56,85),0)</f>
        <v/>
      </c>
      <c r="CJ56">
        <f>IFERROR(INDEX(PP_Grid[#Data],$DD56,86),0)</f>
        <v/>
      </c>
      <c r="CK56">
        <f>IFERROR(INDEX(PP_Grid[#Data],$DD56,87),0)</f>
        <v/>
      </c>
      <c r="CL56">
        <f>IFERROR(INDEX(PP_Grid[#Data],$DD56,88),0)</f>
        <v/>
      </c>
      <c r="CM56">
        <f>IFERROR(INDEX(PP_Grid[#Data],$DD56,89),0)</f>
        <v/>
      </c>
      <c r="CN56">
        <f>IFERROR(INDEX(PP_Grid[#Data],$DD56,90),0)</f>
        <v/>
      </c>
      <c r="CO56">
        <f>IFERROR(INDEX(PP_Grid[#Data],$DD56,91),0)</f>
        <v/>
      </c>
      <c r="CP56">
        <f>IFERROR(INDEX(PP_Grid[#Data],$DD56,92),0)</f>
        <v/>
      </c>
      <c r="CQ56">
        <f>IFERROR(INDEX(PP_Grid[#Data],$DD56,93),0)</f>
        <v/>
      </c>
      <c r="CR56">
        <f>IFERROR(INDEX(PP_Grid[#Data],$DD56,94),0)</f>
        <v/>
      </c>
      <c r="CS56">
        <f>IFERROR(INDEX(PP_Grid[#Data],$DD56,95),0)</f>
        <v/>
      </c>
      <c r="CT56">
        <f>IFERROR(INDEX(PP_Grid[#Data],$DD56,96),0)</f>
        <v/>
      </c>
      <c r="CU56">
        <f>IFERROR(INDEX(PP_Grid[#Data],$DD56,97),0)</f>
        <v/>
      </c>
      <c r="CV56">
        <f>IFERROR(INDEX(PP_Grid[#Data],$DD56,98),0)</f>
        <v/>
      </c>
      <c r="CW56">
        <f>IFERROR(INDEX(PP_Grid[#Data],$DD56,99),0)</f>
        <v/>
      </c>
      <c r="CX56">
        <f>IFERROR(INDEX(PP_Grid[#Data],$DD56,100),0)</f>
        <v/>
      </c>
      <c r="CY56">
        <f>IFERROR(INDEX(PP_Grid[#Data],$DD56,101),0)</f>
        <v/>
      </c>
      <c r="CZ56">
        <f>IFERROR(INDEX(PP_Grid[#Data],$DD56,102),0)</f>
        <v/>
      </c>
      <c r="DA56">
        <f>IFERROR(INDEX(PP_Grid[#Data],$DD56,103),0)</f>
        <v/>
      </c>
      <c r="DB56">
        <f>IFERROR(INDEX(PP_Grid[#Data],$DD56,104),0)</f>
        <v/>
      </c>
      <c r="DC56">
        <f>IFERROR(INDEX(PP_Grid[#Data],$DD56,105),0)</f>
        <v/>
      </c>
      <c r="DD56" s="7">
        <f>IFERROR(MATCH($B56,PP_Grid[Intermediate],0),99999)</f>
        <v/>
      </c>
    </row>
    <row r="57">
      <c r="B57" t="inlineStr">
        <is>
          <t>使用量(kg)</t>
        </is>
      </c>
      <c r="C57">
        <f>SUMIFS(M_BOM[RM_Qty_Per_Batch],M_BOM[Intermediate],$B56,M_BOM[Part Name],$A45)</f>
        <v/>
      </c>
      <c r="D57">
        <f>$C57*D56</f>
        <v/>
      </c>
      <c r="E57">
        <f>$C57*E56</f>
        <v/>
      </c>
      <c r="F57">
        <f>$C57*F56</f>
        <v/>
      </c>
      <c r="G57">
        <f>$C57*G56</f>
        <v/>
      </c>
      <c r="H57">
        <f>$C57*H56</f>
        <v/>
      </c>
      <c r="I57">
        <f>$C57*I56</f>
        <v/>
      </c>
      <c r="J57">
        <f>$C57*J56</f>
        <v/>
      </c>
      <c r="K57">
        <f>$C57*K56</f>
        <v/>
      </c>
      <c r="L57">
        <f>$C57*L56</f>
        <v/>
      </c>
      <c r="M57">
        <f>$C57*M56</f>
        <v/>
      </c>
      <c r="N57">
        <f>$C57*N56</f>
        <v/>
      </c>
      <c r="O57">
        <f>$C57*O56</f>
        <v/>
      </c>
      <c r="P57">
        <f>$C57*P56</f>
        <v/>
      </c>
      <c r="Q57">
        <f>$C57*Q56</f>
        <v/>
      </c>
      <c r="R57">
        <f>$C57*R56</f>
        <v/>
      </c>
      <c r="S57">
        <f>$C57*S56</f>
        <v/>
      </c>
      <c r="T57">
        <f>$C57*T56</f>
        <v/>
      </c>
      <c r="U57">
        <f>$C57*U56</f>
        <v/>
      </c>
      <c r="V57">
        <f>$C57*V56</f>
        <v/>
      </c>
      <c r="W57">
        <f>$C57*W56</f>
        <v/>
      </c>
      <c r="X57">
        <f>$C57*X56</f>
        <v/>
      </c>
      <c r="Y57">
        <f>$C57*Y56</f>
        <v/>
      </c>
      <c r="Z57">
        <f>$C57*Z56</f>
        <v/>
      </c>
      <c r="AA57">
        <f>$C57*AA56</f>
        <v/>
      </c>
      <c r="AB57">
        <f>$C57*AB56</f>
        <v/>
      </c>
      <c r="AC57">
        <f>$C57*AC56</f>
        <v/>
      </c>
      <c r="AD57">
        <f>$C57*AD56</f>
        <v/>
      </c>
      <c r="AE57">
        <f>$C57*AE56</f>
        <v/>
      </c>
      <c r="AF57">
        <f>$C57*AF56</f>
        <v/>
      </c>
      <c r="AG57">
        <f>$C57*AG56</f>
        <v/>
      </c>
      <c r="AH57">
        <f>$C57*AH56</f>
        <v/>
      </c>
      <c r="AI57">
        <f>$C57*AI56</f>
        <v/>
      </c>
      <c r="AJ57">
        <f>$C57*AJ56</f>
        <v/>
      </c>
      <c r="AK57">
        <f>$C57*AK56</f>
        <v/>
      </c>
      <c r="AL57">
        <f>$C57*AL56</f>
        <v/>
      </c>
      <c r="AM57">
        <f>$C57*AM56</f>
        <v/>
      </c>
      <c r="AN57">
        <f>$C57*AN56</f>
        <v/>
      </c>
      <c r="AO57">
        <f>$C57*AO56</f>
        <v/>
      </c>
      <c r="AP57">
        <f>$C57*AP56</f>
        <v/>
      </c>
      <c r="AQ57">
        <f>$C57*AQ56</f>
        <v/>
      </c>
      <c r="AR57">
        <f>$C57*AR56</f>
        <v/>
      </c>
      <c r="AS57">
        <f>$C57*AS56</f>
        <v/>
      </c>
      <c r="AT57">
        <f>$C57*AT56</f>
        <v/>
      </c>
      <c r="AU57">
        <f>$C57*AU56</f>
        <v/>
      </c>
      <c r="AV57">
        <f>$C57*AV56</f>
        <v/>
      </c>
      <c r="AW57">
        <f>$C57*AW56</f>
        <v/>
      </c>
      <c r="AX57">
        <f>$C57*AX56</f>
        <v/>
      </c>
      <c r="AY57">
        <f>$C57*AY56</f>
        <v/>
      </c>
      <c r="AZ57">
        <f>$C57*AZ56</f>
        <v/>
      </c>
      <c r="BA57">
        <f>$C57*BA56</f>
        <v/>
      </c>
      <c r="BB57">
        <f>$C57*BB56</f>
        <v/>
      </c>
      <c r="BC57">
        <f>$C57*BC56</f>
        <v/>
      </c>
      <c r="BD57">
        <f>$C57*BD56</f>
        <v/>
      </c>
      <c r="BE57">
        <f>$C57*BE56</f>
        <v/>
      </c>
      <c r="BF57">
        <f>$C57*BF56</f>
        <v/>
      </c>
      <c r="BG57">
        <f>$C57*BG56</f>
        <v/>
      </c>
      <c r="BH57">
        <f>$C57*BH56</f>
        <v/>
      </c>
      <c r="BI57">
        <f>$C57*BI56</f>
        <v/>
      </c>
      <c r="BJ57">
        <f>$C57*BJ56</f>
        <v/>
      </c>
      <c r="BK57">
        <f>$C57*BK56</f>
        <v/>
      </c>
      <c r="BL57">
        <f>$C57*BL56</f>
        <v/>
      </c>
      <c r="BM57">
        <f>$C57*BM56</f>
        <v/>
      </c>
      <c r="BN57">
        <f>$C57*BN56</f>
        <v/>
      </c>
      <c r="BO57">
        <f>$C57*BO56</f>
        <v/>
      </c>
      <c r="BP57">
        <f>$C57*BP56</f>
        <v/>
      </c>
      <c r="BQ57">
        <f>$C57*BQ56</f>
        <v/>
      </c>
      <c r="BR57">
        <f>$C57*BR56</f>
        <v/>
      </c>
      <c r="BS57">
        <f>$C57*BS56</f>
        <v/>
      </c>
      <c r="BT57">
        <f>$C57*BT56</f>
        <v/>
      </c>
      <c r="BU57">
        <f>$C57*BU56</f>
        <v/>
      </c>
      <c r="BV57">
        <f>$C57*BV56</f>
        <v/>
      </c>
      <c r="BW57">
        <f>$C57*BW56</f>
        <v/>
      </c>
      <c r="BX57">
        <f>$C57*BX56</f>
        <v/>
      </c>
      <c r="BY57">
        <f>$C57*BY56</f>
        <v/>
      </c>
      <c r="BZ57">
        <f>$C57*BZ56</f>
        <v/>
      </c>
      <c r="CA57">
        <f>$C57*CA56</f>
        <v/>
      </c>
      <c r="CB57">
        <f>$C57*CB56</f>
        <v/>
      </c>
      <c r="CC57">
        <f>$C57*CC56</f>
        <v/>
      </c>
      <c r="CD57">
        <f>$C57*CD56</f>
        <v/>
      </c>
      <c r="CE57">
        <f>$C57*CE56</f>
        <v/>
      </c>
      <c r="CF57">
        <f>$C57*CF56</f>
        <v/>
      </c>
      <c r="CG57">
        <f>$C57*CG56</f>
        <v/>
      </c>
      <c r="CH57">
        <f>$C57*CH56</f>
        <v/>
      </c>
      <c r="CI57">
        <f>$C57*CI56</f>
        <v/>
      </c>
      <c r="CJ57">
        <f>$C57*CJ56</f>
        <v/>
      </c>
      <c r="CK57">
        <f>$C57*CK56</f>
        <v/>
      </c>
      <c r="CL57">
        <f>$C57*CL56</f>
        <v/>
      </c>
      <c r="CM57">
        <f>$C57*CM56</f>
        <v/>
      </c>
      <c r="CN57">
        <f>$C57*CN56</f>
        <v/>
      </c>
      <c r="CO57">
        <f>$C57*CO56</f>
        <v/>
      </c>
      <c r="CP57">
        <f>$C57*CP56</f>
        <v/>
      </c>
      <c r="CQ57">
        <f>$C57*CQ56</f>
        <v/>
      </c>
      <c r="CR57">
        <f>$C57*CR56</f>
        <v/>
      </c>
      <c r="CS57">
        <f>$C57*CS56</f>
        <v/>
      </c>
      <c r="CT57">
        <f>$C57*CT56</f>
        <v/>
      </c>
      <c r="CU57">
        <f>$C57*CU56</f>
        <v/>
      </c>
      <c r="CV57">
        <f>$C57*CV56</f>
        <v/>
      </c>
      <c r="CW57">
        <f>$C57*CW56</f>
        <v/>
      </c>
      <c r="CX57">
        <f>$C57*CX56</f>
        <v/>
      </c>
      <c r="CY57">
        <f>$C57*CY56</f>
        <v/>
      </c>
      <c r="CZ57">
        <f>$C57*CZ56</f>
        <v/>
      </c>
      <c r="DA57">
        <f>$C57*DA56</f>
        <v/>
      </c>
      <c r="DB57">
        <f>$C57*DB56</f>
        <v/>
      </c>
      <c r="DC57">
        <f>$C57*DC56</f>
        <v/>
      </c>
    </row>
    <row r="58">
      <c r="B58" t="inlineStr">
        <is>
          <t>TSP-080</t>
        </is>
      </c>
      <c r="C58" t="inlineStr">
        <is>
          <t>No. of batches</t>
        </is>
      </c>
      <c r="D58">
        <f>IFERROR(INDEX(PP_Grid[#Data],$DD58,2),0)</f>
        <v/>
      </c>
      <c r="E58">
        <f>IFERROR(INDEX(PP_Grid[#Data],$DD58,3),0)</f>
        <v/>
      </c>
      <c r="F58">
        <f>IFERROR(INDEX(PP_Grid[#Data],$DD58,4),0)</f>
        <v/>
      </c>
      <c r="G58">
        <f>IFERROR(INDEX(PP_Grid[#Data],$DD58,5),0)</f>
        <v/>
      </c>
      <c r="H58">
        <f>IFERROR(INDEX(PP_Grid[#Data],$DD58,6),0)</f>
        <v/>
      </c>
      <c r="I58">
        <f>IFERROR(INDEX(PP_Grid[#Data],$DD58,7),0)</f>
        <v/>
      </c>
      <c r="J58">
        <f>IFERROR(INDEX(PP_Grid[#Data],$DD58,8),0)</f>
        <v/>
      </c>
      <c r="K58">
        <f>IFERROR(INDEX(PP_Grid[#Data],$DD58,9),0)</f>
        <v/>
      </c>
      <c r="L58">
        <f>IFERROR(INDEX(PP_Grid[#Data],$DD58,10),0)</f>
        <v/>
      </c>
      <c r="M58">
        <f>IFERROR(INDEX(PP_Grid[#Data],$DD58,11),0)</f>
        <v/>
      </c>
      <c r="N58">
        <f>IFERROR(INDEX(PP_Grid[#Data],$DD58,12),0)</f>
        <v/>
      </c>
      <c r="O58">
        <f>IFERROR(INDEX(PP_Grid[#Data],$DD58,13),0)</f>
        <v/>
      </c>
      <c r="P58">
        <f>IFERROR(INDEX(PP_Grid[#Data],$DD58,14),0)</f>
        <v/>
      </c>
      <c r="Q58">
        <f>IFERROR(INDEX(PP_Grid[#Data],$DD58,15),0)</f>
        <v/>
      </c>
      <c r="R58">
        <f>IFERROR(INDEX(PP_Grid[#Data],$DD58,16),0)</f>
        <v/>
      </c>
      <c r="S58">
        <f>IFERROR(INDEX(PP_Grid[#Data],$DD58,17),0)</f>
        <v/>
      </c>
      <c r="T58">
        <f>IFERROR(INDEX(PP_Grid[#Data],$DD58,18),0)</f>
        <v/>
      </c>
      <c r="U58">
        <f>IFERROR(INDEX(PP_Grid[#Data],$DD58,19),0)</f>
        <v/>
      </c>
      <c r="V58">
        <f>IFERROR(INDEX(PP_Grid[#Data],$DD58,20),0)</f>
        <v/>
      </c>
      <c r="W58">
        <f>IFERROR(INDEX(PP_Grid[#Data],$DD58,21),0)</f>
        <v/>
      </c>
      <c r="X58">
        <f>IFERROR(INDEX(PP_Grid[#Data],$DD58,22),0)</f>
        <v/>
      </c>
      <c r="Y58">
        <f>IFERROR(INDEX(PP_Grid[#Data],$DD58,23),0)</f>
        <v/>
      </c>
      <c r="Z58">
        <f>IFERROR(INDEX(PP_Grid[#Data],$DD58,24),0)</f>
        <v/>
      </c>
      <c r="AA58">
        <f>IFERROR(INDEX(PP_Grid[#Data],$DD58,25),0)</f>
        <v/>
      </c>
      <c r="AB58">
        <f>IFERROR(INDEX(PP_Grid[#Data],$DD58,26),0)</f>
        <v/>
      </c>
      <c r="AC58">
        <f>IFERROR(INDEX(PP_Grid[#Data],$DD58,27),0)</f>
        <v/>
      </c>
      <c r="AD58">
        <f>IFERROR(INDEX(PP_Grid[#Data],$DD58,28),0)</f>
        <v/>
      </c>
      <c r="AE58">
        <f>IFERROR(INDEX(PP_Grid[#Data],$DD58,29),0)</f>
        <v/>
      </c>
      <c r="AF58">
        <f>IFERROR(INDEX(PP_Grid[#Data],$DD58,30),0)</f>
        <v/>
      </c>
      <c r="AG58">
        <f>IFERROR(INDEX(PP_Grid[#Data],$DD58,31),0)</f>
        <v/>
      </c>
      <c r="AH58">
        <f>IFERROR(INDEX(PP_Grid[#Data],$DD58,32),0)</f>
        <v/>
      </c>
      <c r="AI58">
        <f>IFERROR(INDEX(PP_Grid[#Data],$DD58,33),0)</f>
        <v/>
      </c>
      <c r="AJ58">
        <f>IFERROR(INDEX(PP_Grid[#Data],$DD58,34),0)</f>
        <v/>
      </c>
      <c r="AK58">
        <f>IFERROR(INDEX(PP_Grid[#Data],$DD58,35),0)</f>
        <v/>
      </c>
      <c r="AL58">
        <f>IFERROR(INDEX(PP_Grid[#Data],$DD58,36),0)</f>
        <v/>
      </c>
      <c r="AM58">
        <f>IFERROR(INDEX(PP_Grid[#Data],$DD58,37),0)</f>
        <v/>
      </c>
      <c r="AN58">
        <f>IFERROR(INDEX(PP_Grid[#Data],$DD58,38),0)</f>
        <v/>
      </c>
      <c r="AO58">
        <f>IFERROR(INDEX(PP_Grid[#Data],$DD58,39),0)</f>
        <v/>
      </c>
      <c r="AP58">
        <f>IFERROR(INDEX(PP_Grid[#Data],$DD58,40),0)</f>
        <v/>
      </c>
      <c r="AQ58">
        <f>IFERROR(INDEX(PP_Grid[#Data],$DD58,41),0)</f>
        <v/>
      </c>
      <c r="AR58">
        <f>IFERROR(INDEX(PP_Grid[#Data],$DD58,42),0)</f>
        <v/>
      </c>
      <c r="AS58">
        <f>IFERROR(INDEX(PP_Grid[#Data],$DD58,43),0)</f>
        <v/>
      </c>
      <c r="AT58">
        <f>IFERROR(INDEX(PP_Grid[#Data],$DD58,44),0)</f>
        <v/>
      </c>
      <c r="AU58">
        <f>IFERROR(INDEX(PP_Grid[#Data],$DD58,45),0)</f>
        <v/>
      </c>
      <c r="AV58">
        <f>IFERROR(INDEX(PP_Grid[#Data],$DD58,46),0)</f>
        <v/>
      </c>
      <c r="AW58">
        <f>IFERROR(INDEX(PP_Grid[#Data],$DD58,47),0)</f>
        <v/>
      </c>
      <c r="AX58">
        <f>IFERROR(INDEX(PP_Grid[#Data],$DD58,48),0)</f>
        <v/>
      </c>
      <c r="AY58">
        <f>IFERROR(INDEX(PP_Grid[#Data],$DD58,49),0)</f>
        <v/>
      </c>
      <c r="AZ58">
        <f>IFERROR(INDEX(PP_Grid[#Data],$DD58,50),0)</f>
        <v/>
      </c>
      <c r="BA58">
        <f>IFERROR(INDEX(PP_Grid[#Data],$DD58,51),0)</f>
        <v/>
      </c>
      <c r="BB58">
        <f>IFERROR(INDEX(PP_Grid[#Data],$DD58,52),0)</f>
        <v/>
      </c>
      <c r="BC58">
        <f>IFERROR(INDEX(PP_Grid[#Data],$DD58,53),0)</f>
        <v/>
      </c>
      <c r="BD58">
        <f>IFERROR(INDEX(PP_Grid[#Data],$DD58,54),0)</f>
        <v/>
      </c>
      <c r="BE58">
        <f>IFERROR(INDEX(PP_Grid[#Data],$DD58,55),0)</f>
        <v/>
      </c>
      <c r="BF58">
        <f>IFERROR(INDEX(PP_Grid[#Data],$DD58,56),0)</f>
        <v/>
      </c>
      <c r="BG58">
        <f>IFERROR(INDEX(PP_Grid[#Data],$DD58,57),0)</f>
        <v/>
      </c>
      <c r="BH58">
        <f>IFERROR(INDEX(PP_Grid[#Data],$DD58,58),0)</f>
        <v/>
      </c>
      <c r="BI58">
        <f>IFERROR(INDEX(PP_Grid[#Data],$DD58,59),0)</f>
        <v/>
      </c>
      <c r="BJ58">
        <f>IFERROR(INDEX(PP_Grid[#Data],$DD58,60),0)</f>
        <v/>
      </c>
      <c r="BK58">
        <f>IFERROR(INDEX(PP_Grid[#Data],$DD58,61),0)</f>
        <v/>
      </c>
      <c r="BL58">
        <f>IFERROR(INDEX(PP_Grid[#Data],$DD58,62),0)</f>
        <v/>
      </c>
      <c r="BM58">
        <f>IFERROR(INDEX(PP_Grid[#Data],$DD58,63),0)</f>
        <v/>
      </c>
      <c r="BN58">
        <f>IFERROR(INDEX(PP_Grid[#Data],$DD58,64),0)</f>
        <v/>
      </c>
      <c r="BO58">
        <f>IFERROR(INDEX(PP_Grid[#Data],$DD58,65),0)</f>
        <v/>
      </c>
      <c r="BP58">
        <f>IFERROR(INDEX(PP_Grid[#Data],$DD58,66),0)</f>
        <v/>
      </c>
      <c r="BQ58">
        <f>IFERROR(INDEX(PP_Grid[#Data],$DD58,67),0)</f>
        <v/>
      </c>
      <c r="BR58">
        <f>IFERROR(INDEX(PP_Grid[#Data],$DD58,68),0)</f>
        <v/>
      </c>
      <c r="BS58">
        <f>IFERROR(INDEX(PP_Grid[#Data],$DD58,69),0)</f>
        <v/>
      </c>
      <c r="BT58">
        <f>IFERROR(INDEX(PP_Grid[#Data],$DD58,70),0)</f>
        <v/>
      </c>
      <c r="BU58">
        <f>IFERROR(INDEX(PP_Grid[#Data],$DD58,71),0)</f>
        <v/>
      </c>
      <c r="BV58">
        <f>IFERROR(INDEX(PP_Grid[#Data],$DD58,72),0)</f>
        <v/>
      </c>
      <c r="BW58">
        <f>IFERROR(INDEX(PP_Grid[#Data],$DD58,73),0)</f>
        <v/>
      </c>
      <c r="BX58">
        <f>IFERROR(INDEX(PP_Grid[#Data],$DD58,74),0)</f>
        <v/>
      </c>
      <c r="BY58">
        <f>IFERROR(INDEX(PP_Grid[#Data],$DD58,75),0)</f>
        <v/>
      </c>
      <c r="BZ58">
        <f>IFERROR(INDEX(PP_Grid[#Data],$DD58,76),0)</f>
        <v/>
      </c>
      <c r="CA58">
        <f>IFERROR(INDEX(PP_Grid[#Data],$DD58,77),0)</f>
        <v/>
      </c>
      <c r="CB58">
        <f>IFERROR(INDEX(PP_Grid[#Data],$DD58,78),0)</f>
        <v/>
      </c>
      <c r="CC58">
        <f>IFERROR(INDEX(PP_Grid[#Data],$DD58,79),0)</f>
        <v/>
      </c>
      <c r="CD58">
        <f>IFERROR(INDEX(PP_Grid[#Data],$DD58,80),0)</f>
        <v/>
      </c>
      <c r="CE58">
        <f>IFERROR(INDEX(PP_Grid[#Data],$DD58,81),0)</f>
        <v/>
      </c>
      <c r="CF58">
        <f>IFERROR(INDEX(PP_Grid[#Data],$DD58,82),0)</f>
        <v/>
      </c>
      <c r="CG58">
        <f>IFERROR(INDEX(PP_Grid[#Data],$DD58,83),0)</f>
        <v/>
      </c>
      <c r="CH58">
        <f>IFERROR(INDEX(PP_Grid[#Data],$DD58,84),0)</f>
        <v/>
      </c>
      <c r="CI58">
        <f>IFERROR(INDEX(PP_Grid[#Data],$DD58,85),0)</f>
        <v/>
      </c>
      <c r="CJ58">
        <f>IFERROR(INDEX(PP_Grid[#Data],$DD58,86),0)</f>
        <v/>
      </c>
      <c r="CK58">
        <f>IFERROR(INDEX(PP_Grid[#Data],$DD58,87),0)</f>
        <v/>
      </c>
      <c r="CL58">
        <f>IFERROR(INDEX(PP_Grid[#Data],$DD58,88),0)</f>
        <v/>
      </c>
      <c r="CM58">
        <f>IFERROR(INDEX(PP_Grid[#Data],$DD58,89),0)</f>
        <v/>
      </c>
      <c r="CN58">
        <f>IFERROR(INDEX(PP_Grid[#Data],$DD58,90),0)</f>
        <v/>
      </c>
      <c r="CO58">
        <f>IFERROR(INDEX(PP_Grid[#Data],$DD58,91),0)</f>
        <v/>
      </c>
      <c r="CP58">
        <f>IFERROR(INDEX(PP_Grid[#Data],$DD58,92),0)</f>
        <v/>
      </c>
      <c r="CQ58">
        <f>IFERROR(INDEX(PP_Grid[#Data],$DD58,93),0)</f>
        <v/>
      </c>
      <c r="CR58">
        <f>IFERROR(INDEX(PP_Grid[#Data],$DD58,94),0)</f>
        <v/>
      </c>
      <c r="CS58">
        <f>IFERROR(INDEX(PP_Grid[#Data],$DD58,95),0)</f>
        <v/>
      </c>
      <c r="CT58">
        <f>IFERROR(INDEX(PP_Grid[#Data],$DD58,96),0)</f>
        <v/>
      </c>
      <c r="CU58">
        <f>IFERROR(INDEX(PP_Grid[#Data],$DD58,97),0)</f>
        <v/>
      </c>
      <c r="CV58">
        <f>IFERROR(INDEX(PP_Grid[#Data],$DD58,98),0)</f>
        <v/>
      </c>
      <c r="CW58">
        <f>IFERROR(INDEX(PP_Grid[#Data],$DD58,99),0)</f>
        <v/>
      </c>
      <c r="CX58">
        <f>IFERROR(INDEX(PP_Grid[#Data],$DD58,100),0)</f>
        <v/>
      </c>
      <c r="CY58">
        <f>IFERROR(INDEX(PP_Grid[#Data],$DD58,101),0)</f>
        <v/>
      </c>
      <c r="CZ58">
        <f>IFERROR(INDEX(PP_Grid[#Data],$DD58,102),0)</f>
        <v/>
      </c>
      <c r="DA58">
        <f>IFERROR(INDEX(PP_Grid[#Data],$DD58,103),0)</f>
        <v/>
      </c>
      <c r="DB58">
        <f>IFERROR(INDEX(PP_Grid[#Data],$DD58,104),0)</f>
        <v/>
      </c>
      <c r="DC58">
        <f>IFERROR(INDEX(PP_Grid[#Data],$DD58,105),0)</f>
        <v/>
      </c>
      <c r="DD58" s="7">
        <f>IFERROR(MATCH($B58,PP_Grid[Intermediate],0),99999)</f>
        <v/>
      </c>
    </row>
    <row r="59">
      <c r="B59" t="inlineStr">
        <is>
          <t>使用量(kg)</t>
        </is>
      </c>
      <c r="C59">
        <f>SUMIFS(M_BOM[RM_Qty_Per_Batch],M_BOM[Intermediate],$B58,M_BOM[Part Name],$A45)</f>
        <v/>
      </c>
      <c r="D59">
        <f>$C59*D58</f>
        <v/>
      </c>
      <c r="E59">
        <f>$C59*E58</f>
        <v/>
      </c>
      <c r="F59">
        <f>$C59*F58</f>
        <v/>
      </c>
      <c r="G59">
        <f>$C59*G58</f>
        <v/>
      </c>
      <c r="H59">
        <f>$C59*H58</f>
        <v/>
      </c>
      <c r="I59">
        <f>$C59*I58</f>
        <v/>
      </c>
      <c r="J59">
        <f>$C59*J58</f>
        <v/>
      </c>
      <c r="K59">
        <f>$C59*K58</f>
        <v/>
      </c>
      <c r="L59">
        <f>$C59*L58</f>
        <v/>
      </c>
      <c r="M59">
        <f>$C59*M58</f>
        <v/>
      </c>
      <c r="N59">
        <f>$C59*N58</f>
        <v/>
      </c>
      <c r="O59">
        <f>$C59*O58</f>
        <v/>
      </c>
      <c r="P59">
        <f>$C59*P58</f>
        <v/>
      </c>
      <c r="Q59">
        <f>$C59*Q58</f>
        <v/>
      </c>
      <c r="R59">
        <f>$C59*R58</f>
        <v/>
      </c>
      <c r="S59">
        <f>$C59*S58</f>
        <v/>
      </c>
      <c r="T59">
        <f>$C59*T58</f>
        <v/>
      </c>
      <c r="U59">
        <f>$C59*U58</f>
        <v/>
      </c>
      <c r="V59">
        <f>$C59*V58</f>
        <v/>
      </c>
      <c r="W59">
        <f>$C59*W58</f>
        <v/>
      </c>
      <c r="X59">
        <f>$C59*X58</f>
        <v/>
      </c>
      <c r="Y59">
        <f>$C59*Y58</f>
        <v/>
      </c>
      <c r="Z59">
        <f>$C59*Z58</f>
        <v/>
      </c>
      <c r="AA59">
        <f>$C59*AA58</f>
        <v/>
      </c>
      <c r="AB59">
        <f>$C59*AB58</f>
        <v/>
      </c>
      <c r="AC59">
        <f>$C59*AC58</f>
        <v/>
      </c>
      <c r="AD59">
        <f>$C59*AD58</f>
        <v/>
      </c>
      <c r="AE59">
        <f>$C59*AE58</f>
        <v/>
      </c>
      <c r="AF59">
        <f>$C59*AF58</f>
        <v/>
      </c>
      <c r="AG59">
        <f>$C59*AG58</f>
        <v/>
      </c>
      <c r="AH59">
        <f>$C59*AH58</f>
        <v/>
      </c>
      <c r="AI59">
        <f>$C59*AI58</f>
        <v/>
      </c>
      <c r="AJ59">
        <f>$C59*AJ58</f>
        <v/>
      </c>
      <c r="AK59">
        <f>$C59*AK58</f>
        <v/>
      </c>
      <c r="AL59">
        <f>$C59*AL58</f>
        <v/>
      </c>
      <c r="AM59">
        <f>$C59*AM58</f>
        <v/>
      </c>
      <c r="AN59">
        <f>$C59*AN58</f>
        <v/>
      </c>
      <c r="AO59">
        <f>$C59*AO58</f>
        <v/>
      </c>
      <c r="AP59">
        <f>$C59*AP58</f>
        <v/>
      </c>
      <c r="AQ59">
        <f>$C59*AQ58</f>
        <v/>
      </c>
      <c r="AR59">
        <f>$C59*AR58</f>
        <v/>
      </c>
      <c r="AS59">
        <f>$C59*AS58</f>
        <v/>
      </c>
      <c r="AT59">
        <f>$C59*AT58</f>
        <v/>
      </c>
      <c r="AU59">
        <f>$C59*AU58</f>
        <v/>
      </c>
      <c r="AV59">
        <f>$C59*AV58</f>
        <v/>
      </c>
      <c r="AW59">
        <f>$C59*AW58</f>
        <v/>
      </c>
      <c r="AX59">
        <f>$C59*AX58</f>
        <v/>
      </c>
      <c r="AY59">
        <f>$C59*AY58</f>
        <v/>
      </c>
      <c r="AZ59">
        <f>$C59*AZ58</f>
        <v/>
      </c>
      <c r="BA59">
        <f>$C59*BA58</f>
        <v/>
      </c>
      <c r="BB59">
        <f>$C59*BB58</f>
        <v/>
      </c>
      <c r="BC59">
        <f>$C59*BC58</f>
        <v/>
      </c>
      <c r="BD59">
        <f>$C59*BD58</f>
        <v/>
      </c>
      <c r="BE59">
        <f>$C59*BE58</f>
        <v/>
      </c>
      <c r="BF59">
        <f>$C59*BF58</f>
        <v/>
      </c>
      <c r="BG59">
        <f>$C59*BG58</f>
        <v/>
      </c>
      <c r="BH59">
        <f>$C59*BH58</f>
        <v/>
      </c>
      <c r="BI59">
        <f>$C59*BI58</f>
        <v/>
      </c>
      <c r="BJ59">
        <f>$C59*BJ58</f>
        <v/>
      </c>
      <c r="BK59">
        <f>$C59*BK58</f>
        <v/>
      </c>
      <c r="BL59">
        <f>$C59*BL58</f>
        <v/>
      </c>
      <c r="BM59">
        <f>$C59*BM58</f>
        <v/>
      </c>
      <c r="BN59">
        <f>$C59*BN58</f>
        <v/>
      </c>
      <c r="BO59">
        <f>$C59*BO58</f>
        <v/>
      </c>
      <c r="BP59">
        <f>$C59*BP58</f>
        <v/>
      </c>
      <c r="BQ59">
        <f>$C59*BQ58</f>
        <v/>
      </c>
      <c r="BR59">
        <f>$C59*BR58</f>
        <v/>
      </c>
      <c r="BS59">
        <f>$C59*BS58</f>
        <v/>
      </c>
      <c r="BT59">
        <f>$C59*BT58</f>
        <v/>
      </c>
      <c r="BU59">
        <f>$C59*BU58</f>
        <v/>
      </c>
      <c r="BV59">
        <f>$C59*BV58</f>
        <v/>
      </c>
      <c r="BW59">
        <f>$C59*BW58</f>
        <v/>
      </c>
      <c r="BX59">
        <f>$C59*BX58</f>
        <v/>
      </c>
      <c r="BY59">
        <f>$C59*BY58</f>
        <v/>
      </c>
      <c r="BZ59">
        <f>$C59*BZ58</f>
        <v/>
      </c>
      <c r="CA59">
        <f>$C59*CA58</f>
        <v/>
      </c>
      <c r="CB59">
        <f>$C59*CB58</f>
        <v/>
      </c>
      <c r="CC59">
        <f>$C59*CC58</f>
        <v/>
      </c>
      <c r="CD59">
        <f>$C59*CD58</f>
        <v/>
      </c>
      <c r="CE59">
        <f>$C59*CE58</f>
        <v/>
      </c>
      <c r="CF59">
        <f>$C59*CF58</f>
        <v/>
      </c>
      <c r="CG59">
        <f>$C59*CG58</f>
        <v/>
      </c>
      <c r="CH59">
        <f>$C59*CH58</f>
        <v/>
      </c>
      <c r="CI59">
        <f>$C59*CI58</f>
        <v/>
      </c>
      <c r="CJ59">
        <f>$C59*CJ58</f>
        <v/>
      </c>
      <c r="CK59">
        <f>$C59*CK58</f>
        <v/>
      </c>
      <c r="CL59">
        <f>$C59*CL58</f>
        <v/>
      </c>
      <c r="CM59">
        <f>$C59*CM58</f>
        <v/>
      </c>
      <c r="CN59">
        <f>$C59*CN58</f>
        <v/>
      </c>
      <c r="CO59">
        <f>$C59*CO58</f>
        <v/>
      </c>
      <c r="CP59">
        <f>$C59*CP58</f>
        <v/>
      </c>
      <c r="CQ59">
        <f>$C59*CQ58</f>
        <v/>
      </c>
      <c r="CR59">
        <f>$C59*CR58</f>
        <v/>
      </c>
      <c r="CS59">
        <f>$C59*CS58</f>
        <v/>
      </c>
      <c r="CT59">
        <f>$C59*CT58</f>
        <v/>
      </c>
      <c r="CU59">
        <f>$C59*CU58</f>
        <v/>
      </c>
      <c r="CV59">
        <f>$C59*CV58</f>
        <v/>
      </c>
      <c r="CW59">
        <f>$C59*CW58</f>
        <v/>
      </c>
      <c r="CX59">
        <f>$C59*CX58</f>
        <v/>
      </c>
      <c r="CY59">
        <f>$C59*CY58</f>
        <v/>
      </c>
      <c r="CZ59">
        <f>$C59*CZ58</f>
        <v/>
      </c>
      <c r="DA59">
        <f>$C59*DA58</f>
        <v/>
      </c>
      <c r="DB59">
        <f>$C59*DB58</f>
        <v/>
      </c>
      <c r="DC59">
        <f>$C59*DC58</f>
        <v/>
      </c>
    </row>
    <row r="60">
      <c r="B60" t="inlineStr">
        <is>
          <t>TSP-089</t>
        </is>
      </c>
      <c r="C60" t="inlineStr">
        <is>
          <t>No. of batches</t>
        </is>
      </c>
      <c r="D60">
        <f>IFERROR(INDEX(PP_Grid[#Data],$DD60,2),0)</f>
        <v/>
      </c>
      <c r="E60">
        <f>IFERROR(INDEX(PP_Grid[#Data],$DD60,3),0)</f>
        <v/>
      </c>
      <c r="F60">
        <f>IFERROR(INDEX(PP_Grid[#Data],$DD60,4),0)</f>
        <v/>
      </c>
      <c r="G60">
        <f>IFERROR(INDEX(PP_Grid[#Data],$DD60,5),0)</f>
        <v/>
      </c>
      <c r="H60">
        <f>IFERROR(INDEX(PP_Grid[#Data],$DD60,6),0)</f>
        <v/>
      </c>
      <c r="I60">
        <f>IFERROR(INDEX(PP_Grid[#Data],$DD60,7),0)</f>
        <v/>
      </c>
      <c r="J60">
        <f>IFERROR(INDEX(PP_Grid[#Data],$DD60,8),0)</f>
        <v/>
      </c>
      <c r="K60">
        <f>IFERROR(INDEX(PP_Grid[#Data],$DD60,9),0)</f>
        <v/>
      </c>
      <c r="L60">
        <f>IFERROR(INDEX(PP_Grid[#Data],$DD60,10),0)</f>
        <v/>
      </c>
      <c r="M60">
        <f>IFERROR(INDEX(PP_Grid[#Data],$DD60,11),0)</f>
        <v/>
      </c>
      <c r="N60">
        <f>IFERROR(INDEX(PP_Grid[#Data],$DD60,12),0)</f>
        <v/>
      </c>
      <c r="O60">
        <f>IFERROR(INDEX(PP_Grid[#Data],$DD60,13),0)</f>
        <v/>
      </c>
      <c r="P60">
        <f>IFERROR(INDEX(PP_Grid[#Data],$DD60,14),0)</f>
        <v/>
      </c>
      <c r="Q60">
        <f>IFERROR(INDEX(PP_Grid[#Data],$DD60,15),0)</f>
        <v/>
      </c>
      <c r="R60">
        <f>IFERROR(INDEX(PP_Grid[#Data],$DD60,16),0)</f>
        <v/>
      </c>
      <c r="S60">
        <f>IFERROR(INDEX(PP_Grid[#Data],$DD60,17),0)</f>
        <v/>
      </c>
      <c r="T60">
        <f>IFERROR(INDEX(PP_Grid[#Data],$DD60,18),0)</f>
        <v/>
      </c>
      <c r="U60">
        <f>IFERROR(INDEX(PP_Grid[#Data],$DD60,19),0)</f>
        <v/>
      </c>
      <c r="V60">
        <f>IFERROR(INDEX(PP_Grid[#Data],$DD60,20),0)</f>
        <v/>
      </c>
      <c r="W60">
        <f>IFERROR(INDEX(PP_Grid[#Data],$DD60,21),0)</f>
        <v/>
      </c>
      <c r="X60">
        <f>IFERROR(INDEX(PP_Grid[#Data],$DD60,22),0)</f>
        <v/>
      </c>
      <c r="Y60">
        <f>IFERROR(INDEX(PP_Grid[#Data],$DD60,23),0)</f>
        <v/>
      </c>
      <c r="Z60">
        <f>IFERROR(INDEX(PP_Grid[#Data],$DD60,24),0)</f>
        <v/>
      </c>
      <c r="AA60">
        <f>IFERROR(INDEX(PP_Grid[#Data],$DD60,25),0)</f>
        <v/>
      </c>
      <c r="AB60">
        <f>IFERROR(INDEX(PP_Grid[#Data],$DD60,26),0)</f>
        <v/>
      </c>
      <c r="AC60">
        <f>IFERROR(INDEX(PP_Grid[#Data],$DD60,27),0)</f>
        <v/>
      </c>
      <c r="AD60">
        <f>IFERROR(INDEX(PP_Grid[#Data],$DD60,28),0)</f>
        <v/>
      </c>
      <c r="AE60">
        <f>IFERROR(INDEX(PP_Grid[#Data],$DD60,29),0)</f>
        <v/>
      </c>
      <c r="AF60">
        <f>IFERROR(INDEX(PP_Grid[#Data],$DD60,30),0)</f>
        <v/>
      </c>
      <c r="AG60">
        <f>IFERROR(INDEX(PP_Grid[#Data],$DD60,31),0)</f>
        <v/>
      </c>
      <c r="AH60">
        <f>IFERROR(INDEX(PP_Grid[#Data],$DD60,32),0)</f>
        <v/>
      </c>
      <c r="AI60">
        <f>IFERROR(INDEX(PP_Grid[#Data],$DD60,33),0)</f>
        <v/>
      </c>
      <c r="AJ60">
        <f>IFERROR(INDEX(PP_Grid[#Data],$DD60,34),0)</f>
        <v/>
      </c>
      <c r="AK60">
        <f>IFERROR(INDEX(PP_Grid[#Data],$DD60,35),0)</f>
        <v/>
      </c>
      <c r="AL60">
        <f>IFERROR(INDEX(PP_Grid[#Data],$DD60,36),0)</f>
        <v/>
      </c>
      <c r="AM60">
        <f>IFERROR(INDEX(PP_Grid[#Data],$DD60,37),0)</f>
        <v/>
      </c>
      <c r="AN60">
        <f>IFERROR(INDEX(PP_Grid[#Data],$DD60,38),0)</f>
        <v/>
      </c>
      <c r="AO60">
        <f>IFERROR(INDEX(PP_Grid[#Data],$DD60,39),0)</f>
        <v/>
      </c>
      <c r="AP60">
        <f>IFERROR(INDEX(PP_Grid[#Data],$DD60,40),0)</f>
        <v/>
      </c>
      <c r="AQ60">
        <f>IFERROR(INDEX(PP_Grid[#Data],$DD60,41),0)</f>
        <v/>
      </c>
      <c r="AR60">
        <f>IFERROR(INDEX(PP_Grid[#Data],$DD60,42),0)</f>
        <v/>
      </c>
      <c r="AS60">
        <f>IFERROR(INDEX(PP_Grid[#Data],$DD60,43),0)</f>
        <v/>
      </c>
      <c r="AT60">
        <f>IFERROR(INDEX(PP_Grid[#Data],$DD60,44),0)</f>
        <v/>
      </c>
      <c r="AU60">
        <f>IFERROR(INDEX(PP_Grid[#Data],$DD60,45),0)</f>
        <v/>
      </c>
      <c r="AV60">
        <f>IFERROR(INDEX(PP_Grid[#Data],$DD60,46),0)</f>
        <v/>
      </c>
      <c r="AW60">
        <f>IFERROR(INDEX(PP_Grid[#Data],$DD60,47),0)</f>
        <v/>
      </c>
      <c r="AX60">
        <f>IFERROR(INDEX(PP_Grid[#Data],$DD60,48),0)</f>
        <v/>
      </c>
      <c r="AY60">
        <f>IFERROR(INDEX(PP_Grid[#Data],$DD60,49),0)</f>
        <v/>
      </c>
      <c r="AZ60">
        <f>IFERROR(INDEX(PP_Grid[#Data],$DD60,50),0)</f>
        <v/>
      </c>
      <c r="BA60">
        <f>IFERROR(INDEX(PP_Grid[#Data],$DD60,51),0)</f>
        <v/>
      </c>
      <c r="BB60">
        <f>IFERROR(INDEX(PP_Grid[#Data],$DD60,52),0)</f>
        <v/>
      </c>
      <c r="BC60">
        <f>IFERROR(INDEX(PP_Grid[#Data],$DD60,53),0)</f>
        <v/>
      </c>
      <c r="BD60">
        <f>IFERROR(INDEX(PP_Grid[#Data],$DD60,54),0)</f>
        <v/>
      </c>
      <c r="BE60">
        <f>IFERROR(INDEX(PP_Grid[#Data],$DD60,55),0)</f>
        <v/>
      </c>
      <c r="BF60">
        <f>IFERROR(INDEX(PP_Grid[#Data],$DD60,56),0)</f>
        <v/>
      </c>
      <c r="BG60">
        <f>IFERROR(INDEX(PP_Grid[#Data],$DD60,57),0)</f>
        <v/>
      </c>
      <c r="BH60">
        <f>IFERROR(INDEX(PP_Grid[#Data],$DD60,58),0)</f>
        <v/>
      </c>
      <c r="BI60">
        <f>IFERROR(INDEX(PP_Grid[#Data],$DD60,59),0)</f>
        <v/>
      </c>
      <c r="BJ60">
        <f>IFERROR(INDEX(PP_Grid[#Data],$DD60,60),0)</f>
        <v/>
      </c>
      <c r="BK60">
        <f>IFERROR(INDEX(PP_Grid[#Data],$DD60,61),0)</f>
        <v/>
      </c>
      <c r="BL60">
        <f>IFERROR(INDEX(PP_Grid[#Data],$DD60,62),0)</f>
        <v/>
      </c>
      <c r="BM60">
        <f>IFERROR(INDEX(PP_Grid[#Data],$DD60,63),0)</f>
        <v/>
      </c>
      <c r="BN60">
        <f>IFERROR(INDEX(PP_Grid[#Data],$DD60,64),0)</f>
        <v/>
      </c>
      <c r="BO60">
        <f>IFERROR(INDEX(PP_Grid[#Data],$DD60,65),0)</f>
        <v/>
      </c>
      <c r="BP60">
        <f>IFERROR(INDEX(PP_Grid[#Data],$DD60,66),0)</f>
        <v/>
      </c>
      <c r="BQ60">
        <f>IFERROR(INDEX(PP_Grid[#Data],$DD60,67),0)</f>
        <v/>
      </c>
      <c r="BR60">
        <f>IFERROR(INDEX(PP_Grid[#Data],$DD60,68),0)</f>
        <v/>
      </c>
      <c r="BS60">
        <f>IFERROR(INDEX(PP_Grid[#Data],$DD60,69),0)</f>
        <v/>
      </c>
      <c r="BT60">
        <f>IFERROR(INDEX(PP_Grid[#Data],$DD60,70),0)</f>
        <v/>
      </c>
      <c r="BU60">
        <f>IFERROR(INDEX(PP_Grid[#Data],$DD60,71),0)</f>
        <v/>
      </c>
      <c r="BV60">
        <f>IFERROR(INDEX(PP_Grid[#Data],$DD60,72),0)</f>
        <v/>
      </c>
      <c r="BW60">
        <f>IFERROR(INDEX(PP_Grid[#Data],$DD60,73),0)</f>
        <v/>
      </c>
      <c r="BX60">
        <f>IFERROR(INDEX(PP_Grid[#Data],$DD60,74),0)</f>
        <v/>
      </c>
      <c r="BY60">
        <f>IFERROR(INDEX(PP_Grid[#Data],$DD60,75),0)</f>
        <v/>
      </c>
      <c r="BZ60">
        <f>IFERROR(INDEX(PP_Grid[#Data],$DD60,76),0)</f>
        <v/>
      </c>
      <c r="CA60">
        <f>IFERROR(INDEX(PP_Grid[#Data],$DD60,77),0)</f>
        <v/>
      </c>
      <c r="CB60">
        <f>IFERROR(INDEX(PP_Grid[#Data],$DD60,78),0)</f>
        <v/>
      </c>
      <c r="CC60">
        <f>IFERROR(INDEX(PP_Grid[#Data],$DD60,79),0)</f>
        <v/>
      </c>
      <c r="CD60">
        <f>IFERROR(INDEX(PP_Grid[#Data],$DD60,80),0)</f>
        <v/>
      </c>
      <c r="CE60">
        <f>IFERROR(INDEX(PP_Grid[#Data],$DD60,81),0)</f>
        <v/>
      </c>
      <c r="CF60">
        <f>IFERROR(INDEX(PP_Grid[#Data],$DD60,82),0)</f>
        <v/>
      </c>
      <c r="CG60">
        <f>IFERROR(INDEX(PP_Grid[#Data],$DD60,83),0)</f>
        <v/>
      </c>
      <c r="CH60">
        <f>IFERROR(INDEX(PP_Grid[#Data],$DD60,84),0)</f>
        <v/>
      </c>
      <c r="CI60">
        <f>IFERROR(INDEX(PP_Grid[#Data],$DD60,85),0)</f>
        <v/>
      </c>
      <c r="CJ60">
        <f>IFERROR(INDEX(PP_Grid[#Data],$DD60,86),0)</f>
        <v/>
      </c>
      <c r="CK60">
        <f>IFERROR(INDEX(PP_Grid[#Data],$DD60,87),0)</f>
        <v/>
      </c>
      <c r="CL60">
        <f>IFERROR(INDEX(PP_Grid[#Data],$DD60,88),0)</f>
        <v/>
      </c>
      <c r="CM60">
        <f>IFERROR(INDEX(PP_Grid[#Data],$DD60,89),0)</f>
        <v/>
      </c>
      <c r="CN60">
        <f>IFERROR(INDEX(PP_Grid[#Data],$DD60,90),0)</f>
        <v/>
      </c>
      <c r="CO60">
        <f>IFERROR(INDEX(PP_Grid[#Data],$DD60,91),0)</f>
        <v/>
      </c>
      <c r="CP60">
        <f>IFERROR(INDEX(PP_Grid[#Data],$DD60,92),0)</f>
        <v/>
      </c>
      <c r="CQ60">
        <f>IFERROR(INDEX(PP_Grid[#Data],$DD60,93),0)</f>
        <v/>
      </c>
      <c r="CR60">
        <f>IFERROR(INDEX(PP_Grid[#Data],$DD60,94),0)</f>
        <v/>
      </c>
      <c r="CS60">
        <f>IFERROR(INDEX(PP_Grid[#Data],$DD60,95),0)</f>
        <v/>
      </c>
      <c r="CT60">
        <f>IFERROR(INDEX(PP_Grid[#Data],$DD60,96),0)</f>
        <v/>
      </c>
      <c r="CU60">
        <f>IFERROR(INDEX(PP_Grid[#Data],$DD60,97),0)</f>
        <v/>
      </c>
      <c r="CV60">
        <f>IFERROR(INDEX(PP_Grid[#Data],$DD60,98),0)</f>
        <v/>
      </c>
      <c r="CW60">
        <f>IFERROR(INDEX(PP_Grid[#Data],$DD60,99),0)</f>
        <v/>
      </c>
      <c r="CX60">
        <f>IFERROR(INDEX(PP_Grid[#Data],$DD60,100),0)</f>
        <v/>
      </c>
      <c r="CY60">
        <f>IFERROR(INDEX(PP_Grid[#Data],$DD60,101),0)</f>
        <v/>
      </c>
      <c r="CZ60">
        <f>IFERROR(INDEX(PP_Grid[#Data],$DD60,102),0)</f>
        <v/>
      </c>
      <c r="DA60">
        <f>IFERROR(INDEX(PP_Grid[#Data],$DD60,103),0)</f>
        <v/>
      </c>
      <c r="DB60">
        <f>IFERROR(INDEX(PP_Grid[#Data],$DD60,104),0)</f>
        <v/>
      </c>
      <c r="DC60">
        <f>IFERROR(INDEX(PP_Grid[#Data],$DD60,105),0)</f>
        <v/>
      </c>
      <c r="DD60" s="7">
        <f>IFERROR(MATCH($B60,PP_Grid[Intermediate],0),99999)</f>
        <v/>
      </c>
    </row>
    <row r="61">
      <c r="B61" t="inlineStr">
        <is>
          <t>使用量(kg)</t>
        </is>
      </c>
      <c r="C61">
        <f>SUMIFS(M_BOM[RM_Qty_Per_Batch],M_BOM[Intermediate],$B60,M_BOM[Part Name],$A45)</f>
        <v/>
      </c>
      <c r="D61">
        <f>$C61*D60</f>
        <v/>
      </c>
      <c r="E61">
        <f>$C61*E60</f>
        <v/>
      </c>
      <c r="F61">
        <f>$C61*F60</f>
        <v/>
      </c>
      <c r="G61">
        <f>$C61*G60</f>
        <v/>
      </c>
      <c r="H61">
        <f>$C61*H60</f>
        <v/>
      </c>
      <c r="I61">
        <f>$C61*I60</f>
        <v/>
      </c>
      <c r="J61">
        <f>$C61*J60</f>
        <v/>
      </c>
      <c r="K61">
        <f>$C61*K60</f>
        <v/>
      </c>
      <c r="L61">
        <f>$C61*L60</f>
        <v/>
      </c>
      <c r="M61">
        <f>$C61*M60</f>
        <v/>
      </c>
      <c r="N61">
        <f>$C61*N60</f>
        <v/>
      </c>
      <c r="O61">
        <f>$C61*O60</f>
        <v/>
      </c>
      <c r="P61">
        <f>$C61*P60</f>
        <v/>
      </c>
      <c r="Q61">
        <f>$C61*Q60</f>
        <v/>
      </c>
      <c r="R61">
        <f>$C61*R60</f>
        <v/>
      </c>
      <c r="S61">
        <f>$C61*S60</f>
        <v/>
      </c>
      <c r="T61">
        <f>$C61*T60</f>
        <v/>
      </c>
      <c r="U61">
        <f>$C61*U60</f>
        <v/>
      </c>
      <c r="V61">
        <f>$C61*V60</f>
        <v/>
      </c>
      <c r="W61">
        <f>$C61*W60</f>
        <v/>
      </c>
      <c r="X61">
        <f>$C61*X60</f>
        <v/>
      </c>
      <c r="Y61">
        <f>$C61*Y60</f>
        <v/>
      </c>
      <c r="Z61">
        <f>$C61*Z60</f>
        <v/>
      </c>
      <c r="AA61">
        <f>$C61*AA60</f>
        <v/>
      </c>
      <c r="AB61">
        <f>$C61*AB60</f>
        <v/>
      </c>
      <c r="AC61">
        <f>$C61*AC60</f>
        <v/>
      </c>
      <c r="AD61">
        <f>$C61*AD60</f>
        <v/>
      </c>
      <c r="AE61">
        <f>$C61*AE60</f>
        <v/>
      </c>
      <c r="AF61">
        <f>$C61*AF60</f>
        <v/>
      </c>
      <c r="AG61">
        <f>$C61*AG60</f>
        <v/>
      </c>
      <c r="AH61">
        <f>$C61*AH60</f>
        <v/>
      </c>
      <c r="AI61">
        <f>$C61*AI60</f>
        <v/>
      </c>
      <c r="AJ61">
        <f>$C61*AJ60</f>
        <v/>
      </c>
      <c r="AK61">
        <f>$C61*AK60</f>
        <v/>
      </c>
      <c r="AL61">
        <f>$C61*AL60</f>
        <v/>
      </c>
      <c r="AM61">
        <f>$C61*AM60</f>
        <v/>
      </c>
      <c r="AN61">
        <f>$C61*AN60</f>
        <v/>
      </c>
      <c r="AO61">
        <f>$C61*AO60</f>
        <v/>
      </c>
      <c r="AP61">
        <f>$C61*AP60</f>
        <v/>
      </c>
      <c r="AQ61">
        <f>$C61*AQ60</f>
        <v/>
      </c>
      <c r="AR61">
        <f>$C61*AR60</f>
        <v/>
      </c>
      <c r="AS61">
        <f>$C61*AS60</f>
        <v/>
      </c>
      <c r="AT61">
        <f>$C61*AT60</f>
        <v/>
      </c>
      <c r="AU61">
        <f>$C61*AU60</f>
        <v/>
      </c>
      <c r="AV61">
        <f>$C61*AV60</f>
        <v/>
      </c>
      <c r="AW61">
        <f>$C61*AW60</f>
        <v/>
      </c>
      <c r="AX61">
        <f>$C61*AX60</f>
        <v/>
      </c>
      <c r="AY61">
        <f>$C61*AY60</f>
        <v/>
      </c>
      <c r="AZ61">
        <f>$C61*AZ60</f>
        <v/>
      </c>
      <c r="BA61">
        <f>$C61*BA60</f>
        <v/>
      </c>
      <c r="BB61">
        <f>$C61*BB60</f>
        <v/>
      </c>
      <c r="BC61">
        <f>$C61*BC60</f>
        <v/>
      </c>
      <c r="BD61">
        <f>$C61*BD60</f>
        <v/>
      </c>
      <c r="BE61">
        <f>$C61*BE60</f>
        <v/>
      </c>
      <c r="BF61">
        <f>$C61*BF60</f>
        <v/>
      </c>
      <c r="BG61">
        <f>$C61*BG60</f>
        <v/>
      </c>
      <c r="BH61">
        <f>$C61*BH60</f>
        <v/>
      </c>
      <c r="BI61">
        <f>$C61*BI60</f>
        <v/>
      </c>
      <c r="BJ61">
        <f>$C61*BJ60</f>
        <v/>
      </c>
      <c r="BK61">
        <f>$C61*BK60</f>
        <v/>
      </c>
      <c r="BL61">
        <f>$C61*BL60</f>
        <v/>
      </c>
      <c r="BM61">
        <f>$C61*BM60</f>
        <v/>
      </c>
      <c r="BN61">
        <f>$C61*BN60</f>
        <v/>
      </c>
      <c r="BO61">
        <f>$C61*BO60</f>
        <v/>
      </c>
      <c r="BP61">
        <f>$C61*BP60</f>
        <v/>
      </c>
      <c r="BQ61">
        <f>$C61*BQ60</f>
        <v/>
      </c>
      <c r="BR61">
        <f>$C61*BR60</f>
        <v/>
      </c>
      <c r="BS61">
        <f>$C61*BS60</f>
        <v/>
      </c>
      <c r="BT61">
        <f>$C61*BT60</f>
        <v/>
      </c>
      <c r="BU61">
        <f>$C61*BU60</f>
        <v/>
      </c>
      <c r="BV61">
        <f>$C61*BV60</f>
        <v/>
      </c>
      <c r="BW61">
        <f>$C61*BW60</f>
        <v/>
      </c>
      <c r="BX61">
        <f>$C61*BX60</f>
        <v/>
      </c>
      <c r="BY61">
        <f>$C61*BY60</f>
        <v/>
      </c>
      <c r="BZ61">
        <f>$C61*BZ60</f>
        <v/>
      </c>
      <c r="CA61">
        <f>$C61*CA60</f>
        <v/>
      </c>
      <c r="CB61">
        <f>$C61*CB60</f>
        <v/>
      </c>
      <c r="CC61">
        <f>$C61*CC60</f>
        <v/>
      </c>
      <c r="CD61">
        <f>$C61*CD60</f>
        <v/>
      </c>
      <c r="CE61">
        <f>$C61*CE60</f>
        <v/>
      </c>
      <c r="CF61">
        <f>$C61*CF60</f>
        <v/>
      </c>
      <c r="CG61">
        <f>$C61*CG60</f>
        <v/>
      </c>
      <c r="CH61">
        <f>$C61*CH60</f>
        <v/>
      </c>
      <c r="CI61">
        <f>$C61*CI60</f>
        <v/>
      </c>
      <c r="CJ61">
        <f>$C61*CJ60</f>
        <v/>
      </c>
      <c r="CK61">
        <f>$C61*CK60</f>
        <v/>
      </c>
      <c r="CL61">
        <f>$C61*CL60</f>
        <v/>
      </c>
      <c r="CM61">
        <f>$C61*CM60</f>
        <v/>
      </c>
      <c r="CN61">
        <f>$C61*CN60</f>
        <v/>
      </c>
      <c r="CO61">
        <f>$C61*CO60</f>
        <v/>
      </c>
      <c r="CP61">
        <f>$C61*CP60</f>
        <v/>
      </c>
      <c r="CQ61">
        <f>$C61*CQ60</f>
        <v/>
      </c>
      <c r="CR61">
        <f>$C61*CR60</f>
        <v/>
      </c>
      <c r="CS61">
        <f>$C61*CS60</f>
        <v/>
      </c>
      <c r="CT61">
        <f>$C61*CT60</f>
        <v/>
      </c>
      <c r="CU61">
        <f>$C61*CU60</f>
        <v/>
      </c>
      <c r="CV61">
        <f>$C61*CV60</f>
        <v/>
      </c>
      <c r="CW61">
        <f>$C61*CW60</f>
        <v/>
      </c>
      <c r="CX61">
        <f>$C61*CX60</f>
        <v/>
      </c>
      <c r="CY61">
        <f>$C61*CY60</f>
        <v/>
      </c>
      <c r="CZ61">
        <f>$C61*CZ60</f>
        <v/>
      </c>
      <c r="DA61">
        <f>$C61*DA60</f>
        <v/>
      </c>
      <c r="DB61">
        <f>$C61*DB60</f>
        <v/>
      </c>
      <c r="DC61">
        <f>$C61*DC60</f>
        <v/>
      </c>
    </row>
    <row r="62">
      <c r="B62" t="inlineStr">
        <is>
          <t>TSP-104</t>
        </is>
      </c>
      <c r="C62" t="inlineStr">
        <is>
          <t>No. of batches</t>
        </is>
      </c>
      <c r="D62">
        <f>IFERROR(INDEX(PP_Grid[#Data],$DD62,2),0)</f>
        <v/>
      </c>
      <c r="E62">
        <f>IFERROR(INDEX(PP_Grid[#Data],$DD62,3),0)</f>
        <v/>
      </c>
      <c r="F62">
        <f>IFERROR(INDEX(PP_Grid[#Data],$DD62,4),0)</f>
        <v/>
      </c>
      <c r="G62">
        <f>IFERROR(INDEX(PP_Grid[#Data],$DD62,5),0)</f>
        <v/>
      </c>
      <c r="H62">
        <f>IFERROR(INDEX(PP_Grid[#Data],$DD62,6),0)</f>
        <v/>
      </c>
      <c r="I62">
        <f>IFERROR(INDEX(PP_Grid[#Data],$DD62,7),0)</f>
        <v/>
      </c>
      <c r="J62">
        <f>IFERROR(INDEX(PP_Grid[#Data],$DD62,8),0)</f>
        <v/>
      </c>
      <c r="K62">
        <f>IFERROR(INDEX(PP_Grid[#Data],$DD62,9),0)</f>
        <v/>
      </c>
      <c r="L62">
        <f>IFERROR(INDEX(PP_Grid[#Data],$DD62,10),0)</f>
        <v/>
      </c>
      <c r="M62">
        <f>IFERROR(INDEX(PP_Grid[#Data],$DD62,11),0)</f>
        <v/>
      </c>
      <c r="N62">
        <f>IFERROR(INDEX(PP_Grid[#Data],$DD62,12),0)</f>
        <v/>
      </c>
      <c r="O62">
        <f>IFERROR(INDEX(PP_Grid[#Data],$DD62,13),0)</f>
        <v/>
      </c>
      <c r="P62">
        <f>IFERROR(INDEX(PP_Grid[#Data],$DD62,14),0)</f>
        <v/>
      </c>
      <c r="Q62">
        <f>IFERROR(INDEX(PP_Grid[#Data],$DD62,15),0)</f>
        <v/>
      </c>
      <c r="R62">
        <f>IFERROR(INDEX(PP_Grid[#Data],$DD62,16),0)</f>
        <v/>
      </c>
      <c r="S62">
        <f>IFERROR(INDEX(PP_Grid[#Data],$DD62,17),0)</f>
        <v/>
      </c>
      <c r="T62">
        <f>IFERROR(INDEX(PP_Grid[#Data],$DD62,18),0)</f>
        <v/>
      </c>
      <c r="U62">
        <f>IFERROR(INDEX(PP_Grid[#Data],$DD62,19),0)</f>
        <v/>
      </c>
      <c r="V62">
        <f>IFERROR(INDEX(PP_Grid[#Data],$DD62,20),0)</f>
        <v/>
      </c>
      <c r="W62">
        <f>IFERROR(INDEX(PP_Grid[#Data],$DD62,21),0)</f>
        <v/>
      </c>
      <c r="X62">
        <f>IFERROR(INDEX(PP_Grid[#Data],$DD62,22),0)</f>
        <v/>
      </c>
      <c r="Y62">
        <f>IFERROR(INDEX(PP_Grid[#Data],$DD62,23),0)</f>
        <v/>
      </c>
      <c r="Z62">
        <f>IFERROR(INDEX(PP_Grid[#Data],$DD62,24),0)</f>
        <v/>
      </c>
      <c r="AA62">
        <f>IFERROR(INDEX(PP_Grid[#Data],$DD62,25),0)</f>
        <v/>
      </c>
      <c r="AB62">
        <f>IFERROR(INDEX(PP_Grid[#Data],$DD62,26),0)</f>
        <v/>
      </c>
      <c r="AC62">
        <f>IFERROR(INDEX(PP_Grid[#Data],$DD62,27),0)</f>
        <v/>
      </c>
      <c r="AD62">
        <f>IFERROR(INDEX(PP_Grid[#Data],$DD62,28),0)</f>
        <v/>
      </c>
      <c r="AE62">
        <f>IFERROR(INDEX(PP_Grid[#Data],$DD62,29),0)</f>
        <v/>
      </c>
      <c r="AF62">
        <f>IFERROR(INDEX(PP_Grid[#Data],$DD62,30),0)</f>
        <v/>
      </c>
      <c r="AG62">
        <f>IFERROR(INDEX(PP_Grid[#Data],$DD62,31),0)</f>
        <v/>
      </c>
      <c r="AH62">
        <f>IFERROR(INDEX(PP_Grid[#Data],$DD62,32),0)</f>
        <v/>
      </c>
      <c r="AI62">
        <f>IFERROR(INDEX(PP_Grid[#Data],$DD62,33),0)</f>
        <v/>
      </c>
      <c r="AJ62">
        <f>IFERROR(INDEX(PP_Grid[#Data],$DD62,34),0)</f>
        <v/>
      </c>
      <c r="AK62">
        <f>IFERROR(INDEX(PP_Grid[#Data],$DD62,35),0)</f>
        <v/>
      </c>
      <c r="AL62">
        <f>IFERROR(INDEX(PP_Grid[#Data],$DD62,36),0)</f>
        <v/>
      </c>
      <c r="AM62">
        <f>IFERROR(INDEX(PP_Grid[#Data],$DD62,37),0)</f>
        <v/>
      </c>
      <c r="AN62">
        <f>IFERROR(INDEX(PP_Grid[#Data],$DD62,38),0)</f>
        <v/>
      </c>
      <c r="AO62">
        <f>IFERROR(INDEX(PP_Grid[#Data],$DD62,39),0)</f>
        <v/>
      </c>
      <c r="AP62">
        <f>IFERROR(INDEX(PP_Grid[#Data],$DD62,40),0)</f>
        <v/>
      </c>
      <c r="AQ62">
        <f>IFERROR(INDEX(PP_Grid[#Data],$DD62,41),0)</f>
        <v/>
      </c>
      <c r="AR62">
        <f>IFERROR(INDEX(PP_Grid[#Data],$DD62,42),0)</f>
        <v/>
      </c>
      <c r="AS62">
        <f>IFERROR(INDEX(PP_Grid[#Data],$DD62,43),0)</f>
        <v/>
      </c>
      <c r="AT62">
        <f>IFERROR(INDEX(PP_Grid[#Data],$DD62,44),0)</f>
        <v/>
      </c>
      <c r="AU62">
        <f>IFERROR(INDEX(PP_Grid[#Data],$DD62,45),0)</f>
        <v/>
      </c>
      <c r="AV62">
        <f>IFERROR(INDEX(PP_Grid[#Data],$DD62,46),0)</f>
        <v/>
      </c>
      <c r="AW62">
        <f>IFERROR(INDEX(PP_Grid[#Data],$DD62,47),0)</f>
        <v/>
      </c>
      <c r="AX62">
        <f>IFERROR(INDEX(PP_Grid[#Data],$DD62,48),0)</f>
        <v/>
      </c>
      <c r="AY62">
        <f>IFERROR(INDEX(PP_Grid[#Data],$DD62,49),0)</f>
        <v/>
      </c>
      <c r="AZ62">
        <f>IFERROR(INDEX(PP_Grid[#Data],$DD62,50),0)</f>
        <v/>
      </c>
      <c r="BA62">
        <f>IFERROR(INDEX(PP_Grid[#Data],$DD62,51),0)</f>
        <v/>
      </c>
      <c r="BB62">
        <f>IFERROR(INDEX(PP_Grid[#Data],$DD62,52),0)</f>
        <v/>
      </c>
      <c r="BC62">
        <f>IFERROR(INDEX(PP_Grid[#Data],$DD62,53),0)</f>
        <v/>
      </c>
      <c r="BD62">
        <f>IFERROR(INDEX(PP_Grid[#Data],$DD62,54),0)</f>
        <v/>
      </c>
      <c r="BE62">
        <f>IFERROR(INDEX(PP_Grid[#Data],$DD62,55),0)</f>
        <v/>
      </c>
      <c r="BF62">
        <f>IFERROR(INDEX(PP_Grid[#Data],$DD62,56),0)</f>
        <v/>
      </c>
      <c r="BG62">
        <f>IFERROR(INDEX(PP_Grid[#Data],$DD62,57),0)</f>
        <v/>
      </c>
      <c r="BH62">
        <f>IFERROR(INDEX(PP_Grid[#Data],$DD62,58),0)</f>
        <v/>
      </c>
      <c r="BI62">
        <f>IFERROR(INDEX(PP_Grid[#Data],$DD62,59),0)</f>
        <v/>
      </c>
      <c r="BJ62">
        <f>IFERROR(INDEX(PP_Grid[#Data],$DD62,60),0)</f>
        <v/>
      </c>
      <c r="BK62">
        <f>IFERROR(INDEX(PP_Grid[#Data],$DD62,61),0)</f>
        <v/>
      </c>
      <c r="BL62">
        <f>IFERROR(INDEX(PP_Grid[#Data],$DD62,62),0)</f>
        <v/>
      </c>
      <c r="BM62">
        <f>IFERROR(INDEX(PP_Grid[#Data],$DD62,63),0)</f>
        <v/>
      </c>
      <c r="BN62">
        <f>IFERROR(INDEX(PP_Grid[#Data],$DD62,64),0)</f>
        <v/>
      </c>
      <c r="BO62">
        <f>IFERROR(INDEX(PP_Grid[#Data],$DD62,65),0)</f>
        <v/>
      </c>
      <c r="BP62">
        <f>IFERROR(INDEX(PP_Grid[#Data],$DD62,66),0)</f>
        <v/>
      </c>
      <c r="BQ62">
        <f>IFERROR(INDEX(PP_Grid[#Data],$DD62,67),0)</f>
        <v/>
      </c>
      <c r="BR62">
        <f>IFERROR(INDEX(PP_Grid[#Data],$DD62,68),0)</f>
        <v/>
      </c>
      <c r="BS62">
        <f>IFERROR(INDEX(PP_Grid[#Data],$DD62,69),0)</f>
        <v/>
      </c>
      <c r="BT62">
        <f>IFERROR(INDEX(PP_Grid[#Data],$DD62,70),0)</f>
        <v/>
      </c>
      <c r="BU62">
        <f>IFERROR(INDEX(PP_Grid[#Data],$DD62,71),0)</f>
        <v/>
      </c>
      <c r="BV62">
        <f>IFERROR(INDEX(PP_Grid[#Data],$DD62,72),0)</f>
        <v/>
      </c>
      <c r="BW62">
        <f>IFERROR(INDEX(PP_Grid[#Data],$DD62,73),0)</f>
        <v/>
      </c>
      <c r="BX62">
        <f>IFERROR(INDEX(PP_Grid[#Data],$DD62,74),0)</f>
        <v/>
      </c>
      <c r="BY62">
        <f>IFERROR(INDEX(PP_Grid[#Data],$DD62,75),0)</f>
        <v/>
      </c>
      <c r="BZ62">
        <f>IFERROR(INDEX(PP_Grid[#Data],$DD62,76),0)</f>
        <v/>
      </c>
      <c r="CA62">
        <f>IFERROR(INDEX(PP_Grid[#Data],$DD62,77),0)</f>
        <v/>
      </c>
      <c r="CB62">
        <f>IFERROR(INDEX(PP_Grid[#Data],$DD62,78),0)</f>
        <v/>
      </c>
      <c r="CC62">
        <f>IFERROR(INDEX(PP_Grid[#Data],$DD62,79),0)</f>
        <v/>
      </c>
      <c r="CD62">
        <f>IFERROR(INDEX(PP_Grid[#Data],$DD62,80),0)</f>
        <v/>
      </c>
      <c r="CE62">
        <f>IFERROR(INDEX(PP_Grid[#Data],$DD62,81),0)</f>
        <v/>
      </c>
      <c r="CF62">
        <f>IFERROR(INDEX(PP_Grid[#Data],$DD62,82),0)</f>
        <v/>
      </c>
      <c r="CG62">
        <f>IFERROR(INDEX(PP_Grid[#Data],$DD62,83),0)</f>
        <v/>
      </c>
      <c r="CH62">
        <f>IFERROR(INDEX(PP_Grid[#Data],$DD62,84),0)</f>
        <v/>
      </c>
      <c r="CI62">
        <f>IFERROR(INDEX(PP_Grid[#Data],$DD62,85),0)</f>
        <v/>
      </c>
      <c r="CJ62">
        <f>IFERROR(INDEX(PP_Grid[#Data],$DD62,86),0)</f>
        <v/>
      </c>
      <c r="CK62">
        <f>IFERROR(INDEX(PP_Grid[#Data],$DD62,87),0)</f>
        <v/>
      </c>
      <c r="CL62">
        <f>IFERROR(INDEX(PP_Grid[#Data],$DD62,88),0)</f>
        <v/>
      </c>
      <c r="CM62">
        <f>IFERROR(INDEX(PP_Grid[#Data],$DD62,89),0)</f>
        <v/>
      </c>
      <c r="CN62">
        <f>IFERROR(INDEX(PP_Grid[#Data],$DD62,90),0)</f>
        <v/>
      </c>
      <c r="CO62">
        <f>IFERROR(INDEX(PP_Grid[#Data],$DD62,91),0)</f>
        <v/>
      </c>
      <c r="CP62">
        <f>IFERROR(INDEX(PP_Grid[#Data],$DD62,92),0)</f>
        <v/>
      </c>
      <c r="CQ62">
        <f>IFERROR(INDEX(PP_Grid[#Data],$DD62,93),0)</f>
        <v/>
      </c>
      <c r="CR62">
        <f>IFERROR(INDEX(PP_Grid[#Data],$DD62,94),0)</f>
        <v/>
      </c>
      <c r="CS62">
        <f>IFERROR(INDEX(PP_Grid[#Data],$DD62,95),0)</f>
        <v/>
      </c>
      <c r="CT62">
        <f>IFERROR(INDEX(PP_Grid[#Data],$DD62,96),0)</f>
        <v/>
      </c>
      <c r="CU62">
        <f>IFERROR(INDEX(PP_Grid[#Data],$DD62,97),0)</f>
        <v/>
      </c>
      <c r="CV62">
        <f>IFERROR(INDEX(PP_Grid[#Data],$DD62,98),0)</f>
        <v/>
      </c>
      <c r="CW62">
        <f>IFERROR(INDEX(PP_Grid[#Data],$DD62,99),0)</f>
        <v/>
      </c>
      <c r="CX62">
        <f>IFERROR(INDEX(PP_Grid[#Data],$DD62,100),0)</f>
        <v/>
      </c>
      <c r="CY62">
        <f>IFERROR(INDEX(PP_Grid[#Data],$DD62,101),0)</f>
        <v/>
      </c>
      <c r="CZ62">
        <f>IFERROR(INDEX(PP_Grid[#Data],$DD62,102),0)</f>
        <v/>
      </c>
      <c r="DA62">
        <f>IFERROR(INDEX(PP_Grid[#Data],$DD62,103),0)</f>
        <v/>
      </c>
      <c r="DB62">
        <f>IFERROR(INDEX(PP_Grid[#Data],$DD62,104),0)</f>
        <v/>
      </c>
      <c r="DC62">
        <f>IFERROR(INDEX(PP_Grid[#Data],$DD62,105),0)</f>
        <v/>
      </c>
      <c r="DD62" s="7">
        <f>IFERROR(MATCH($B62,PP_Grid[Intermediate],0),99999)</f>
        <v/>
      </c>
    </row>
    <row r="63">
      <c r="B63" t="inlineStr">
        <is>
          <t>使用量(kg)</t>
        </is>
      </c>
      <c r="C63">
        <f>SUMIFS(M_BOM[RM_Qty_Per_Batch],M_BOM[Intermediate],$B62,M_BOM[Part Name],$A45)</f>
        <v/>
      </c>
      <c r="D63">
        <f>$C63*D62</f>
        <v/>
      </c>
      <c r="E63">
        <f>$C63*E62</f>
        <v/>
      </c>
      <c r="F63">
        <f>$C63*F62</f>
        <v/>
      </c>
      <c r="G63">
        <f>$C63*G62</f>
        <v/>
      </c>
      <c r="H63">
        <f>$C63*H62</f>
        <v/>
      </c>
      <c r="I63">
        <f>$C63*I62</f>
        <v/>
      </c>
      <c r="J63">
        <f>$C63*J62</f>
        <v/>
      </c>
      <c r="K63">
        <f>$C63*K62</f>
        <v/>
      </c>
      <c r="L63">
        <f>$C63*L62</f>
        <v/>
      </c>
      <c r="M63">
        <f>$C63*M62</f>
        <v/>
      </c>
      <c r="N63">
        <f>$C63*N62</f>
        <v/>
      </c>
      <c r="O63">
        <f>$C63*O62</f>
        <v/>
      </c>
      <c r="P63">
        <f>$C63*P62</f>
        <v/>
      </c>
      <c r="Q63">
        <f>$C63*Q62</f>
        <v/>
      </c>
      <c r="R63">
        <f>$C63*R62</f>
        <v/>
      </c>
      <c r="S63">
        <f>$C63*S62</f>
        <v/>
      </c>
      <c r="T63">
        <f>$C63*T62</f>
        <v/>
      </c>
      <c r="U63">
        <f>$C63*U62</f>
        <v/>
      </c>
      <c r="V63">
        <f>$C63*V62</f>
        <v/>
      </c>
      <c r="W63">
        <f>$C63*W62</f>
        <v/>
      </c>
      <c r="X63">
        <f>$C63*X62</f>
        <v/>
      </c>
      <c r="Y63">
        <f>$C63*Y62</f>
        <v/>
      </c>
      <c r="Z63">
        <f>$C63*Z62</f>
        <v/>
      </c>
      <c r="AA63">
        <f>$C63*AA62</f>
        <v/>
      </c>
      <c r="AB63">
        <f>$C63*AB62</f>
        <v/>
      </c>
      <c r="AC63">
        <f>$C63*AC62</f>
        <v/>
      </c>
      <c r="AD63">
        <f>$C63*AD62</f>
        <v/>
      </c>
      <c r="AE63">
        <f>$C63*AE62</f>
        <v/>
      </c>
      <c r="AF63">
        <f>$C63*AF62</f>
        <v/>
      </c>
      <c r="AG63">
        <f>$C63*AG62</f>
        <v/>
      </c>
      <c r="AH63">
        <f>$C63*AH62</f>
        <v/>
      </c>
      <c r="AI63">
        <f>$C63*AI62</f>
        <v/>
      </c>
      <c r="AJ63">
        <f>$C63*AJ62</f>
        <v/>
      </c>
      <c r="AK63">
        <f>$C63*AK62</f>
        <v/>
      </c>
      <c r="AL63">
        <f>$C63*AL62</f>
        <v/>
      </c>
      <c r="AM63">
        <f>$C63*AM62</f>
        <v/>
      </c>
      <c r="AN63">
        <f>$C63*AN62</f>
        <v/>
      </c>
      <c r="AO63">
        <f>$C63*AO62</f>
        <v/>
      </c>
      <c r="AP63">
        <f>$C63*AP62</f>
        <v/>
      </c>
      <c r="AQ63">
        <f>$C63*AQ62</f>
        <v/>
      </c>
      <c r="AR63">
        <f>$C63*AR62</f>
        <v/>
      </c>
      <c r="AS63">
        <f>$C63*AS62</f>
        <v/>
      </c>
      <c r="AT63">
        <f>$C63*AT62</f>
        <v/>
      </c>
      <c r="AU63">
        <f>$C63*AU62</f>
        <v/>
      </c>
      <c r="AV63">
        <f>$C63*AV62</f>
        <v/>
      </c>
      <c r="AW63">
        <f>$C63*AW62</f>
        <v/>
      </c>
      <c r="AX63">
        <f>$C63*AX62</f>
        <v/>
      </c>
      <c r="AY63">
        <f>$C63*AY62</f>
        <v/>
      </c>
      <c r="AZ63">
        <f>$C63*AZ62</f>
        <v/>
      </c>
      <c r="BA63">
        <f>$C63*BA62</f>
        <v/>
      </c>
      <c r="BB63">
        <f>$C63*BB62</f>
        <v/>
      </c>
      <c r="BC63">
        <f>$C63*BC62</f>
        <v/>
      </c>
      <c r="BD63">
        <f>$C63*BD62</f>
        <v/>
      </c>
      <c r="BE63">
        <f>$C63*BE62</f>
        <v/>
      </c>
      <c r="BF63">
        <f>$C63*BF62</f>
        <v/>
      </c>
      <c r="BG63">
        <f>$C63*BG62</f>
        <v/>
      </c>
      <c r="BH63">
        <f>$C63*BH62</f>
        <v/>
      </c>
      <c r="BI63">
        <f>$C63*BI62</f>
        <v/>
      </c>
      <c r="BJ63">
        <f>$C63*BJ62</f>
        <v/>
      </c>
      <c r="BK63">
        <f>$C63*BK62</f>
        <v/>
      </c>
      <c r="BL63">
        <f>$C63*BL62</f>
        <v/>
      </c>
      <c r="BM63">
        <f>$C63*BM62</f>
        <v/>
      </c>
      <c r="BN63">
        <f>$C63*BN62</f>
        <v/>
      </c>
      <c r="BO63">
        <f>$C63*BO62</f>
        <v/>
      </c>
      <c r="BP63">
        <f>$C63*BP62</f>
        <v/>
      </c>
      <c r="BQ63">
        <f>$C63*BQ62</f>
        <v/>
      </c>
      <c r="BR63">
        <f>$C63*BR62</f>
        <v/>
      </c>
      <c r="BS63">
        <f>$C63*BS62</f>
        <v/>
      </c>
      <c r="BT63">
        <f>$C63*BT62</f>
        <v/>
      </c>
      <c r="BU63">
        <f>$C63*BU62</f>
        <v/>
      </c>
      <c r="BV63">
        <f>$C63*BV62</f>
        <v/>
      </c>
      <c r="BW63">
        <f>$C63*BW62</f>
        <v/>
      </c>
      <c r="BX63">
        <f>$C63*BX62</f>
        <v/>
      </c>
      <c r="BY63">
        <f>$C63*BY62</f>
        <v/>
      </c>
      <c r="BZ63">
        <f>$C63*BZ62</f>
        <v/>
      </c>
      <c r="CA63">
        <f>$C63*CA62</f>
        <v/>
      </c>
      <c r="CB63">
        <f>$C63*CB62</f>
        <v/>
      </c>
      <c r="CC63">
        <f>$C63*CC62</f>
        <v/>
      </c>
      <c r="CD63">
        <f>$C63*CD62</f>
        <v/>
      </c>
      <c r="CE63">
        <f>$C63*CE62</f>
        <v/>
      </c>
      <c r="CF63">
        <f>$C63*CF62</f>
        <v/>
      </c>
      <c r="CG63">
        <f>$C63*CG62</f>
        <v/>
      </c>
      <c r="CH63">
        <f>$C63*CH62</f>
        <v/>
      </c>
      <c r="CI63">
        <f>$C63*CI62</f>
        <v/>
      </c>
      <c r="CJ63">
        <f>$C63*CJ62</f>
        <v/>
      </c>
      <c r="CK63">
        <f>$C63*CK62</f>
        <v/>
      </c>
      <c r="CL63">
        <f>$C63*CL62</f>
        <v/>
      </c>
      <c r="CM63">
        <f>$C63*CM62</f>
        <v/>
      </c>
      <c r="CN63">
        <f>$C63*CN62</f>
        <v/>
      </c>
      <c r="CO63">
        <f>$C63*CO62</f>
        <v/>
      </c>
      <c r="CP63">
        <f>$C63*CP62</f>
        <v/>
      </c>
      <c r="CQ63">
        <f>$C63*CQ62</f>
        <v/>
      </c>
      <c r="CR63">
        <f>$C63*CR62</f>
        <v/>
      </c>
      <c r="CS63">
        <f>$C63*CS62</f>
        <v/>
      </c>
      <c r="CT63">
        <f>$C63*CT62</f>
        <v/>
      </c>
      <c r="CU63">
        <f>$C63*CU62</f>
        <v/>
      </c>
      <c r="CV63">
        <f>$C63*CV62</f>
        <v/>
      </c>
      <c r="CW63">
        <f>$C63*CW62</f>
        <v/>
      </c>
      <c r="CX63">
        <f>$C63*CX62</f>
        <v/>
      </c>
      <c r="CY63">
        <f>$C63*CY62</f>
        <v/>
      </c>
      <c r="CZ63">
        <f>$C63*CZ62</f>
        <v/>
      </c>
      <c r="DA63">
        <f>$C63*DA62</f>
        <v/>
      </c>
      <c r="DB63">
        <f>$C63*DB62</f>
        <v/>
      </c>
      <c r="DC63">
        <f>$C63*DC62</f>
        <v/>
      </c>
    </row>
    <row r="64">
      <c r="B64" t="inlineStr">
        <is>
          <t>TSP-105</t>
        </is>
      </c>
      <c r="C64" t="inlineStr">
        <is>
          <t>No. of batches</t>
        </is>
      </c>
      <c r="D64">
        <f>IFERROR(INDEX(PP_Grid[#Data],$DD64,2),0)</f>
        <v/>
      </c>
      <c r="E64">
        <f>IFERROR(INDEX(PP_Grid[#Data],$DD64,3),0)</f>
        <v/>
      </c>
      <c r="F64">
        <f>IFERROR(INDEX(PP_Grid[#Data],$DD64,4),0)</f>
        <v/>
      </c>
      <c r="G64">
        <f>IFERROR(INDEX(PP_Grid[#Data],$DD64,5),0)</f>
        <v/>
      </c>
      <c r="H64">
        <f>IFERROR(INDEX(PP_Grid[#Data],$DD64,6),0)</f>
        <v/>
      </c>
      <c r="I64">
        <f>IFERROR(INDEX(PP_Grid[#Data],$DD64,7),0)</f>
        <v/>
      </c>
      <c r="J64">
        <f>IFERROR(INDEX(PP_Grid[#Data],$DD64,8),0)</f>
        <v/>
      </c>
      <c r="K64">
        <f>IFERROR(INDEX(PP_Grid[#Data],$DD64,9),0)</f>
        <v/>
      </c>
      <c r="L64">
        <f>IFERROR(INDEX(PP_Grid[#Data],$DD64,10),0)</f>
        <v/>
      </c>
      <c r="M64">
        <f>IFERROR(INDEX(PP_Grid[#Data],$DD64,11),0)</f>
        <v/>
      </c>
      <c r="N64">
        <f>IFERROR(INDEX(PP_Grid[#Data],$DD64,12),0)</f>
        <v/>
      </c>
      <c r="O64">
        <f>IFERROR(INDEX(PP_Grid[#Data],$DD64,13),0)</f>
        <v/>
      </c>
      <c r="P64">
        <f>IFERROR(INDEX(PP_Grid[#Data],$DD64,14),0)</f>
        <v/>
      </c>
      <c r="Q64">
        <f>IFERROR(INDEX(PP_Grid[#Data],$DD64,15),0)</f>
        <v/>
      </c>
      <c r="R64">
        <f>IFERROR(INDEX(PP_Grid[#Data],$DD64,16),0)</f>
        <v/>
      </c>
      <c r="S64">
        <f>IFERROR(INDEX(PP_Grid[#Data],$DD64,17),0)</f>
        <v/>
      </c>
      <c r="T64">
        <f>IFERROR(INDEX(PP_Grid[#Data],$DD64,18),0)</f>
        <v/>
      </c>
      <c r="U64">
        <f>IFERROR(INDEX(PP_Grid[#Data],$DD64,19),0)</f>
        <v/>
      </c>
      <c r="V64">
        <f>IFERROR(INDEX(PP_Grid[#Data],$DD64,20),0)</f>
        <v/>
      </c>
      <c r="W64">
        <f>IFERROR(INDEX(PP_Grid[#Data],$DD64,21),0)</f>
        <v/>
      </c>
      <c r="X64">
        <f>IFERROR(INDEX(PP_Grid[#Data],$DD64,22),0)</f>
        <v/>
      </c>
      <c r="Y64">
        <f>IFERROR(INDEX(PP_Grid[#Data],$DD64,23),0)</f>
        <v/>
      </c>
      <c r="Z64">
        <f>IFERROR(INDEX(PP_Grid[#Data],$DD64,24),0)</f>
        <v/>
      </c>
      <c r="AA64">
        <f>IFERROR(INDEX(PP_Grid[#Data],$DD64,25),0)</f>
        <v/>
      </c>
      <c r="AB64">
        <f>IFERROR(INDEX(PP_Grid[#Data],$DD64,26),0)</f>
        <v/>
      </c>
      <c r="AC64">
        <f>IFERROR(INDEX(PP_Grid[#Data],$DD64,27),0)</f>
        <v/>
      </c>
      <c r="AD64">
        <f>IFERROR(INDEX(PP_Grid[#Data],$DD64,28),0)</f>
        <v/>
      </c>
      <c r="AE64">
        <f>IFERROR(INDEX(PP_Grid[#Data],$DD64,29),0)</f>
        <v/>
      </c>
      <c r="AF64">
        <f>IFERROR(INDEX(PP_Grid[#Data],$DD64,30),0)</f>
        <v/>
      </c>
      <c r="AG64">
        <f>IFERROR(INDEX(PP_Grid[#Data],$DD64,31),0)</f>
        <v/>
      </c>
      <c r="AH64">
        <f>IFERROR(INDEX(PP_Grid[#Data],$DD64,32),0)</f>
        <v/>
      </c>
      <c r="AI64">
        <f>IFERROR(INDEX(PP_Grid[#Data],$DD64,33),0)</f>
        <v/>
      </c>
      <c r="AJ64">
        <f>IFERROR(INDEX(PP_Grid[#Data],$DD64,34),0)</f>
        <v/>
      </c>
      <c r="AK64">
        <f>IFERROR(INDEX(PP_Grid[#Data],$DD64,35),0)</f>
        <v/>
      </c>
      <c r="AL64">
        <f>IFERROR(INDEX(PP_Grid[#Data],$DD64,36),0)</f>
        <v/>
      </c>
      <c r="AM64">
        <f>IFERROR(INDEX(PP_Grid[#Data],$DD64,37),0)</f>
        <v/>
      </c>
      <c r="AN64">
        <f>IFERROR(INDEX(PP_Grid[#Data],$DD64,38),0)</f>
        <v/>
      </c>
      <c r="AO64">
        <f>IFERROR(INDEX(PP_Grid[#Data],$DD64,39),0)</f>
        <v/>
      </c>
      <c r="AP64">
        <f>IFERROR(INDEX(PP_Grid[#Data],$DD64,40),0)</f>
        <v/>
      </c>
      <c r="AQ64">
        <f>IFERROR(INDEX(PP_Grid[#Data],$DD64,41),0)</f>
        <v/>
      </c>
      <c r="AR64">
        <f>IFERROR(INDEX(PP_Grid[#Data],$DD64,42),0)</f>
        <v/>
      </c>
      <c r="AS64">
        <f>IFERROR(INDEX(PP_Grid[#Data],$DD64,43),0)</f>
        <v/>
      </c>
      <c r="AT64">
        <f>IFERROR(INDEX(PP_Grid[#Data],$DD64,44),0)</f>
        <v/>
      </c>
      <c r="AU64">
        <f>IFERROR(INDEX(PP_Grid[#Data],$DD64,45),0)</f>
        <v/>
      </c>
      <c r="AV64">
        <f>IFERROR(INDEX(PP_Grid[#Data],$DD64,46),0)</f>
        <v/>
      </c>
      <c r="AW64">
        <f>IFERROR(INDEX(PP_Grid[#Data],$DD64,47),0)</f>
        <v/>
      </c>
      <c r="AX64">
        <f>IFERROR(INDEX(PP_Grid[#Data],$DD64,48),0)</f>
        <v/>
      </c>
      <c r="AY64">
        <f>IFERROR(INDEX(PP_Grid[#Data],$DD64,49),0)</f>
        <v/>
      </c>
      <c r="AZ64">
        <f>IFERROR(INDEX(PP_Grid[#Data],$DD64,50),0)</f>
        <v/>
      </c>
      <c r="BA64">
        <f>IFERROR(INDEX(PP_Grid[#Data],$DD64,51),0)</f>
        <v/>
      </c>
      <c r="BB64">
        <f>IFERROR(INDEX(PP_Grid[#Data],$DD64,52),0)</f>
        <v/>
      </c>
      <c r="BC64">
        <f>IFERROR(INDEX(PP_Grid[#Data],$DD64,53),0)</f>
        <v/>
      </c>
      <c r="BD64">
        <f>IFERROR(INDEX(PP_Grid[#Data],$DD64,54),0)</f>
        <v/>
      </c>
      <c r="BE64">
        <f>IFERROR(INDEX(PP_Grid[#Data],$DD64,55),0)</f>
        <v/>
      </c>
      <c r="BF64">
        <f>IFERROR(INDEX(PP_Grid[#Data],$DD64,56),0)</f>
        <v/>
      </c>
      <c r="BG64">
        <f>IFERROR(INDEX(PP_Grid[#Data],$DD64,57),0)</f>
        <v/>
      </c>
      <c r="BH64">
        <f>IFERROR(INDEX(PP_Grid[#Data],$DD64,58),0)</f>
        <v/>
      </c>
      <c r="BI64">
        <f>IFERROR(INDEX(PP_Grid[#Data],$DD64,59),0)</f>
        <v/>
      </c>
      <c r="BJ64">
        <f>IFERROR(INDEX(PP_Grid[#Data],$DD64,60),0)</f>
        <v/>
      </c>
      <c r="BK64">
        <f>IFERROR(INDEX(PP_Grid[#Data],$DD64,61),0)</f>
        <v/>
      </c>
      <c r="BL64">
        <f>IFERROR(INDEX(PP_Grid[#Data],$DD64,62),0)</f>
        <v/>
      </c>
      <c r="BM64">
        <f>IFERROR(INDEX(PP_Grid[#Data],$DD64,63),0)</f>
        <v/>
      </c>
      <c r="BN64">
        <f>IFERROR(INDEX(PP_Grid[#Data],$DD64,64),0)</f>
        <v/>
      </c>
      <c r="BO64">
        <f>IFERROR(INDEX(PP_Grid[#Data],$DD64,65),0)</f>
        <v/>
      </c>
      <c r="BP64">
        <f>IFERROR(INDEX(PP_Grid[#Data],$DD64,66),0)</f>
        <v/>
      </c>
      <c r="BQ64">
        <f>IFERROR(INDEX(PP_Grid[#Data],$DD64,67),0)</f>
        <v/>
      </c>
      <c r="BR64">
        <f>IFERROR(INDEX(PP_Grid[#Data],$DD64,68),0)</f>
        <v/>
      </c>
      <c r="BS64">
        <f>IFERROR(INDEX(PP_Grid[#Data],$DD64,69),0)</f>
        <v/>
      </c>
      <c r="BT64">
        <f>IFERROR(INDEX(PP_Grid[#Data],$DD64,70),0)</f>
        <v/>
      </c>
      <c r="BU64">
        <f>IFERROR(INDEX(PP_Grid[#Data],$DD64,71),0)</f>
        <v/>
      </c>
      <c r="BV64">
        <f>IFERROR(INDEX(PP_Grid[#Data],$DD64,72),0)</f>
        <v/>
      </c>
      <c r="BW64">
        <f>IFERROR(INDEX(PP_Grid[#Data],$DD64,73),0)</f>
        <v/>
      </c>
      <c r="BX64">
        <f>IFERROR(INDEX(PP_Grid[#Data],$DD64,74),0)</f>
        <v/>
      </c>
      <c r="BY64">
        <f>IFERROR(INDEX(PP_Grid[#Data],$DD64,75),0)</f>
        <v/>
      </c>
      <c r="BZ64">
        <f>IFERROR(INDEX(PP_Grid[#Data],$DD64,76),0)</f>
        <v/>
      </c>
      <c r="CA64">
        <f>IFERROR(INDEX(PP_Grid[#Data],$DD64,77),0)</f>
        <v/>
      </c>
      <c r="CB64">
        <f>IFERROR(INDEX(PP_Grid[#Data],$DD64,78),0)</f>
        <v/>
      </c>
      <c r="CC64">
        <f>IFERROR(INDEX(PP_Grid[#Data],$DD64,79),0)</f>
        <v/>
      </c>
      <c r="CD64">
        <f>IFERROR(INDEX(PP_Grid[#Data],$DD64,80),0)</f>
        <v/>
      </c>
      <c r="CE64">
        <f>IFERROR(INDEX(PP_Grid[#Data],$DD64,81),0)</f>
        <v/>
      </c>
      <c r="CF64">
        <f>IFERROR(INDEX(PP_Grid[#Data],$DD64,82),0)</f>
        <v/>
      </c>
      <c r="CG64">
        <f>IFERROR(INDEX(PP_Grid[#Data],$DD64,83),0)</f>
        <v/>
      </c>
      <c r="CH64">
        <f>IFERROR(INDEX(PP_Grid[#Data],$DD64,84),0)</f>
        <v/>
      </c>
      <c r="CI64">
        <f>IFERROR(INDEX(PP_Grid[#Data],$DD64,85),0)</f>
        <v/>
      </c>
      <c r="CJ64">
        <f>IFERROR(INDEX(PP_Grid[#Data],$DD64,86),0)</f>
        <v/>
      </c>
      <c r="CK64">
        <f>IFERROR(INDEX(PP_Grid[#Data],$DD64,87),0)</f>
        <v/>
      </c>
      <c r="CL64">
        <f>IFERROR(INDEX(PP_Grid[#Data],$DD64,88),0)</f>
        <v/>
      </c>
      <c r="CM64">
        <f>IFERROR(INDEX(PP_Grid[#Data],$DD64,89),0)</f>
        <v/>
      </c>
      <c r="CN64">
        <f>IFERROR(INDEX(PP_Grid[#Data],$DD64,90),0)</f>
        <v/>
      </c>
      <c r="CO64">
        <f>IFERROR(INDEX(PP_Grid[#Data],$DD64,91),0)</f>
        <v/>
      </c>
      <c r="CP64">
        <f>IFERROR(INDEX(PP_Grid[#Data],$DD64,92),0)</f>
        <v/>
      </c>
      <c r="CQ64">
        <f>IFERROR(INDEX(PP_Grid[#Data],$DD64,93),0)</f>
        <v/>
      </c>
      <c r="CR64">
        <f>IFERROR(INDEX(PP_Grid[#Data],$DD64,94),0)</f>
        <v/>
      </c>
      <c r="CS64">
        <f>IFERROR(INDEX(PP_Grid[#Data],$DD64,95),0)</f>
        <v/>
      </c>
      <c r="CT64">
        <f>IFERROR(INDEX(PP_Grid[#Data],$DD64,96),0)</f>
        <v/>
      </c>
      <c r="CU64">
        <f>IFERROR(INDEX(PP_Grid[#Data],$DD64,97),0)</f>
        <v/>
      </c>
      <c r="CV64">
        <f>IFERROR(INDEX(PP_Grid[#Data],$DD64,98),0)</f>
        <v/>
      </c>
      <c r="CW64">
        <f>IFERROR(INDEX(PP_Grid[#Data],$DD64,99),0)</f>
        <v/>
      </c>
      <c r="CX64">
        <f>IFERROR(INDEX(PP_Grid[#Data],$DD64,100),0)</f>
        <v/>
      </c>
      <c r="CY64">
        <f>IFERROR(INDEX(PP_Grid[#Data],$DD64,101),0)</f>
        <v/>
      </c>
      <c r="CZ64">
        <f>IFERROR(INDEX(PP_Grid[#Data],$DD64,102),0)</f>
        <v/>
      </c>
      <c r="DA64">
        <f>IFERROR(INDEX(PP_Grid[#Data],$DD64,103),0)</f>
        <v/>
      </c>
      <c r="DB64">
        <f>IFERROR(INDEX(PP_Grid[#Data],$DD64,104),0)</f>
        <v/>
      </c>
      <c r="DC64">
        <f>IFERROR(INDEX(PP_Grid[#Data],$DD64,105),0)</f>
        <v/>
      </c>
      <c r="DD64" s="7">
        <f>IFERROR(MATCH($B64,PP_Grid[Intermediate],0),99999)</f>
        <v/>
      </c>
    </row>
    <row r="65">
      <c r="B65" t="inlineStr">
        <is>
          <t>使用量(kg)</t>
        </is>
      </c>
      <c r="C65">
        <f>SUMIFS(M_BOM[RM_Qty_Per_Batch],M_BOM[Intermediate],$B64,M_BOM[Part Name],$A45)</f>
        <v/>
      </c>
      <c r="D65">
        <f>$C65*D64</f>
        <v/>
      </c>
      <c r="E65">
        <f>$C65*E64</f>
        <v/>
      </c>
      <c r="F65">
        <f>$C65*F64</f>
        <v/>
      </c>
      <c r="G65">
        <f>$C65*G64</f>
        <v/>
      </c>
      <c r="H65">
        <f>$C65*H64</f>
        <v/>
      </c>
      <c r="I65">
        <f>$C65*I64</f>
        <v/>
      </c>
      <c r="J65">
        <f>$C65*J64</f>
        <v/>
      </c>
      <c r="K65">
        <f>$C65*K64</f>
        <v/>
      </c>
      <c r="L65">
        <f>$C65*L64</f>
        <v/>
      </c>
      <c r="M65">
        <f>$C65*M64</f>
        <v/>
      </c>
      <c r="N65">
        <f>$C65*N64</f>
        <v/>
      </c>
      <c r="O65">
        <f>$C65*O64</f>
        <v/>
      </c>
      <c r="P65">
        <f>$C65*P64</f>
        <v/>
      </c>
      <c r="Q65">
        <f>$C65*Q64</f>
        <v/>
      </c>
      <c r="R65">
        <f>$C65*R64</f>
        <v/>
      </c>
      <c r="S65">
        <f>$C65*S64</f>
        <v/>
      </c>
      <c r="T65">
        <f>$C65*T64</f>
        <v/>
      </c>
      <c r="U65">
        <f>$C65*U64</f>
        <v/>
      </c>
      <c r="V65">
        <f>$C65*V64</f>
        <v/>
      </c>
      <c r="W65">
        <f>$C65*W64</f>
        <v/>
      </c>
      <c r="X65">
        <f>$C65*X64</f>
        <v/>
      </c>
      <c r="Y65">
        <f>$C65*Y64</f>
        <v/>
      </c>
      <c r="Z65">
        <f>$C65*Z64</f>
        <v/>
      </c>
      <c r="AA65">
        <f>$C65*AA64</f>
        <v/>
      </c>
      <c r="AB65">
        <f>$C65*AB64</f>
        <v/>
      </c>
      <c r="AC65">
        <f>$C65*AC64</f>
        <v/>
      </c>
      <c r="AD65">
        <f>$C65*AD64</f>
        <v/>
      </c>
      <c r="AE65">
        <f>$C65*AE64</f>
        <v/>
      </c>
      <c r="AF65">
        <f>$C65*AF64</f>
        <v/>
      </c>
      <c r="AG65">
        <f>$C65*AG64</f>
        <v/>
      </c>
      <c r="AH65">
        <f>$C65*AH64</f>
        <v/>
      </c>
      <c r="AI65">
        <f>$C65*AI64</f>
        <v/>
      </c>
      <c r="AJ65">
        <f>$C65*AJ64</f>
        <v/>
      </c>
      <c r="AK65">
        <f>$C65*AK64</f>
        <v/>
      </c>
      <c r="AL65">
        <f>$C65*AL64</f>
        <v/>
      </c>
      <c r="AM65">
        <f>$C65*AM64</f>
        <v/>
      </c>
      <c r="AN65">
        <f>$C65*AN64</f>
        <v/>
      </c>
      <c r="AO65">
        <f>$C65*AO64</f>
        <v/>
      </c>
      <c r="AP65">
        <f>$C65*AP64</f>
        <v/>
      </c>
      <c r="AQ65">
        <f>$C65*AQ64</f>
        <v/>
      </c>
      <c r="AR65">
        <f>$C65*AR64</f>
        <v/>
      </c>
      <c r="AS65">
        <f>$C65*AS64</f>
        <v/>
      </c>
      <c r="AT65">
        <f>$C65*AT64</f>
        <v/>
      </c>
      <c r="AU65">
        <f>$C65*AU64</f>
        <v/>
      </c>
      <c r="AV65">
        <f>$C65*AV64</f>
        <v/>
      </c>
      <c r="AW65">
        <f>$C65*AW64</f>
        <v/>
      </c>
      <c r="AX65">
        <f>$C65*AX64</f>
        <v/>
      </c>
      <c r="AY65">
        <f>$C65*AY64</f>
        <v/>
      </c>
      <c r="AZ65">
        <f>$C65*AZ64</f>
        <v/>
      </c>
      <c r="BA65">
        <f>$C65*BA64</f>
        <v/>
      </c>
      <c r="BB65">
        <f>$C65*BB64</f>
        <v/>
      </c>
      <c r="BC65">
        <f>$C65*BC64</f>
        <v/>
      </c>
      <c r="BD65">
        <f>$C65*BD64</f>
        <v/>
      </c>
      <c r="BE65">
        <f>$C65*BE64</f>
        <v/>
      </c>
      <c r="BF65">
        <f>$C65*BF64</f>
        <v/>
      </c>
      <c r="BG65">
        <f>$C65*BG64</f>
        <v/>
      </c>
      <c r="BH65">
        <f>$C65*BH64</f>
        <v/>
      </c>
      <c r="BI65">
        <f>$C65*BI64</f>
        <v/>
      </c>
      <c r="BJ65">
        <f>$C65*BJ64</f>
        <v/>
      </c>
      <c r="BK65">
        <f>$C65*BK64</f>
        <v/>
      </c>
      <c r="BL65">
        <f>$C65*BL64</f>
        <v/>
      </c>
      <c r="BM65">
        <f>$C65*BM64</f>
        <v/>
      </c>
      <c r="BN65">
        <f>$C65*BN64</f>
        <v/>
      </c>
      <c r="BO65">
        <f>$C65*BO64</f>
        <v/>
      </c>
      <c r="BP65">
        <f>$C65*BP64</f>
        <v/>
      </c>
      <c r="BQ65">
        <f>$C65*BQ64</f>
        <v/>
      </c>
      <c r="BR65">
        <f>$C65*BR64</f>
        <v/>
      </c>
      <c r="BS65">
        <f>$C65*BS64</f>
        <v/>
      </c>
      <c r="BT65">
        <f>$C65*BT64</f>
        <v/>
      </c>
      <c r="BU65">
        <f>$C65*BU64</f>
        <v/>
      </c>
      <c r="BV65">
        <f>$C65*BV64</f>
        <v/>
      </c>
      <c r="BW65">
        <f>$C65*BW64</f>
        <v/>
      </c>
      <c r="BX65">
        <f>$C65*BX64</f>
        <v/>
      </c>
      <c r="BY65">
        <f>$C65*BY64</f>
        <v/>
      </c>
      <c r="BZ65">
        <f>$C65*BZ64</f>
        <v/>
      </c>
      <c r="CA65">
        <f>$C65*CA64</f>
        <v/>
      </c>
      <c r="CB65">
        <f>$C65*CB64</f>
        <v/>
      </c>
      <c r="CC65">
        <f>$C65*CC64</f>
        <v/>
      </c>
      <c r="CD65">
        <f>$C65*CD64</f>
        <v/>
      </c>
      <c r="CE65">
        <f>$C65*CE64</f>
        <v/>
      </c>
      <c r="CF65">
        <f>$C65*CF64</f>
        <v/>
      </c>
      <c r="CG65">
        <f>$C65*CG64</f>
        <v/>
      </c>
      <c r="CH65">
        <f>$C65*CH64</f>
        <v/>
      </c>
      <c r="CI65">
        <f>$C65*CI64</f>
        <v/>
      </c>
      <c r="CJ65">
        <f>$C65*CJ64</f>
        <v/>
      </c>
      <c r="CK65">
        <f>$C65*CK64</f>
        <v/>
      </c>
      <c r="CL65">
        <f>$C65*CL64</f>
        <v/>
      </c>
      <c r="CM65">
        <f>$C65*CM64</f>
        <v/>
      </c>
      <c r="CN65">
        <f>$C65*CN64</f>
        <v/>
      </c>
      <c r="CO65">
        <f>$C65*CO64</f>
        <v/>
      </c>
      <c r="CP65">
        <f>$C65*CP64</f>
        <v/>
      </c>
      <c r="CQ65">
        <f>$C65*CQ64</f>
        <v/>
      </c>
      <c r="CR65">
        <f>$C65*CR64</f>
        <v/>
      </c>
      <c r="CS65">
        <f>$C65*CS64</f>
        <v/>
      </c>
      <c r="CT65">
        <f>$C65*CT64</f>
        <v/>
      </c>
      <c r="CU65">
        <f>$C65*CU64</f>
        <v/>
      </c>
      <c r="CV65">
        <f>$C65*CV64</f>
        <v/>
      </c>
      <c r="CW65">
        <f>$C65*CW64</f>
        <v/>
      </c>
      <c r="CX65">
        <f>$C65*CX64</f>
        <v/>
      </c>
      <c r="CY65">
        <f>$C65*CY64</f>
        <v/>
      </c>
      <c r="CZ65">
        <f>$C65*CZ64</f>
        <v/>
      </c>
      <c r="DA65">
        <f>$C65*DA64</f>
        <v/>
      </c>
      <c r="DB65">
        <f>$C65*DB64</f>
        <v/>
      </c>
      <c r="DC65">
        <f>$C65*DC64</f>
        <v/>
      </c>
    </row>
    <row r="66">
      <c r="B66" t="inlineStr">
        <is>
          <t>TSP-199</t>
        </is>
      </c>
      <c r="C66" t="inlineStr">
        <is>
          <t>No. of batches</t>
        </is>
      </c>
      <c r="D66">
        <f>IFERROR(INDEX(PP_Grid[#Data],$DD66,2),0)</f>
        <v/>
      </c>
      <c r="E66">
        <f>IFERROR(INDEX(PP_Grid[#Data],$DD66,3),0)</f>
        <v/>
      </c>
      <c r="F66">
        <f>IFERROR(INDEX(PP_Grid[#Data],$DD66,4),0)</f>
        <v/>
      </c>
      <c r="G66">
        <f>IFERROR(INDEX(PP_Grid[#Data],$DD66,5),0)</f>
        <v/>
      </c>
      <c r="H66">
        <f>IFERROR(INDEX(PP_Grid[#Data],$DD66,6),0)</f>
        <v/>
      </c>
      <c r="I66">
        <f>IFERROR(INDEX(PP_Grid[#Data],$DD66,7),0)</f>
        <v/>
      </c>
      <c r="J66">
        <f>IFERROR(INDEX(PP_Grid[#Data],$DD66,8),0)</f>
        <v/>
      </c>
      <c r="K66">
        <f>IFERROR(INDEX(PP_Grid[#Data],$DD66,9),0)</f>
        <v/>
      </c>
      <c r="L66">
        <f>IFERROR(INDEX(PP_Grid[#Data],$DD66,10),0)</f>
        <v/>
      </c>
      <c r="M66">
        <f>IFERROR(INDEX(PP_Grid[#Data],$DD66,11),0)</f>
        <v/>
      </c>
      <c r="N66">
        <f>IFERROR(INDEX(PP_Grid[#Data],$DD66,12),0)</f>
        <v/>
      </c>
      <c r="O66">
        <f>IFERROR(INDEX(PP_Grid[#Data],$DD66,13),0)</f>
        <v/>
      </c>
      <c r="P66">
        <f>IFERROR(INDEX(PP_Grid[#Data],$DD66,14),0)</f>
        <v/>
      </c>
      <c r="Q66">
        <f>IFERROR(INDEX(PP_Grid[#Data],$DD66,15),0)</f>
        <v/>
      </c>
      <c r="R66">
        <f>IFERROR(INDEX(PP_Grid[#Data],$DD66,16),0)</f>
        <v/>
      </c>
      <c r="S66">
        <f>IFERROR(INDEX(PP_Grid[#Data],$DD66,17),0)</f>
        <v/>
      </c>
      <c r="T66">
        <f>IFERROR(INDEX(PP_Grid[#Data],$DD66,18),0)</f>
        <v/>
      </c>
      <c r="U66">
        <f>IFERROR(INDEX(PP_Grid[#Data],$DD66,19),0)</f>
        <v/>
      </c>
      <c r="V66">
        <f>IFERROR(INDEX(PP_Grid[#Data],$DD66,20),0)</f>
        <v/>
      </c>
      <c r="W66">
        <f>IFERROR(INDEX(PP_Grid[#Data],$DD66,21),0)</f>
        <v/>
      </c>
      <c r="X66">
        <f>IFERROR(INDEX(PP_Grid[#Data],$DD66,22),0)</f>
        <v/>
      </c>
      <c r="Y66">
        <f>IFERROR(INDEX(PP_Grid[#Data],$DD66,23),0)</f>
        <v/>
      </c>
      <c r="Z66">
        <f>IFERROR(INDEX(PP_Grid[#Data],$DD66,24),0)</f>
        <v/>
      </c>
      <c r="AA66">
        <f>IFERROR(INDEX(PP_Grid[#Data],$DD66,25),0)</f>
        <v/>
      </c>
      <c r="AB66">
        <f>IFERROR(INDEX(PP_Grid[#Data],$DD66,26),0)</f>
        <v/>
      </c>
      <c r="AC66">
        <f>IFERROR(INDEX(PP_Grid[#Data],$DD66,27),0)</f>
        <v/>
      </c>
      <c r="AD66">
        <f>IFERROR(INDEX(PP_Grid[#Data],$DD66,28),0)</f>
        <v/>
      </c>
      <c r="AE66">
        <f>IFERROR(INDEX(PP_Grid[#Data],$DD66,29),0)</f>
        <v/>
      </c>
      <c r="AF66">
        <f>IFERROR(INDEX(PP_Grid[#Data],$DD66,30),0)</f>
        <v/>
      </c>
      <c r="AG66">
        <f>IFERROR(INDEX(PP_Grid[#Data],$DD66,31),0)</f>
        <v/>
      </c>
      <c r="AH66">
        <f>IFERROR(INDEX(PP_Grid[#Data],$DD66,32),0)</f>
        <v/>
      </c>
      <c r="AI66">
        <f>IFERROR(INDEX(PP_Grid[#Data],$DD66,33),0)</f>
        <v/>
      </c>
      <c r="AJ66">
        <f>IFERROR(INDEX(PP_Grid[#Data],$DD66,34),0)</f>
        <v/>
      </c>
      <c r="AK66">
        <f>IFERROR(INDEX(PP_Grid[#Data],$DD66,35),0)</f>
        <v/>
      </c>
      <c r="AL66">
        <f>IFERROR(INDEX(PP_Grid[#Data],$DD66,36),0)</f>
        <v/>
      </c>
      <c r="AM66">
        <f>IFERROR(INDEX(PP_Grid[#Data],$DD66,37),0)</f>
        <v/>
      </c>
      <c r="AN66">
        <f>IFERROR(INDEX(PP_Grid[#Data],$DD66,38),0)</f>
        <v/>
      </c>
      <c r="AO66">
        <f>IFERROR(INDEX(PP_Grid[#Data],$DD66,39),0)</f>
        <v/>
      </c>
      <c r="AP66">
        <f>IFERROR(INDEX(PP_Grid[#Data],$DD66,40),0)</f>
        <v/>
      </c>
      <c r="AQ66">
        <f>IFERROR(INDEX(PP_Grid[#Data],$DD66,41),0)</f>
        <v/>
      </c>
      <c r="AR66">
        <f>IFERROR(INDEX(PP_Grid[#Data],$DD66,42),0)</f>
        <v/>
      </c>
      <c r="AS66">
        <f>IFERROR(INDEX(PP_Grid[#Data],$DD66,43),0)</f>
        <v/>
      </c>
      <c r="AT66">
        <f>IFERROR(INDEX(PP_Grid[#Data],$DD66,44),0)</f>
        <v/>
      </c>
      <c r="AU66">
        <f>IFERROR(INDEX(PP_Grid[#Data],$DD66,45),0)</f>
        <v/>
      </c>
      <c r="AV66">
        <f>IFERROR(INDEX(PP_Grid[#Data],$DD66,46),0)</f>
        <v/>
      </c>
      <c r="AW66">
        <f>IFERROR(INDEX(PP_Grid[#Data],$DD66,47),0)</f>
        <v/>
      </c>
      <c r="AX66">
        <f>IFERROR(INDEX(PP_Grid[#Data],$DD66,48),0)</f>
        <v/>
      </c>
      <c r="AY66">
        <f>IFERROR(INDEX(PP_Grid[#Data],$DD66,49),0)</f>
        <v/>
      </c>
      <c r="AZ66">
        <f>IFERROR(INDEX(PP_Grid[#Data],$DD66,50),0)</f>
        <v/>
      </c>
      <c r="BA66">
        <f>IFERROR(INDEX(PP_Grid[#Data],$DD66,51),0)</f>
        <v/>
      </c>
      <c r="BB66">
        <f>IFERROR(INDEX(PP_Grid[#Data],$DD66,52),0)</f>
        <v/>
      </c>
      <c r="BC66">
        <f>IFERROR(INDEX(PP_Grid[#Data],$DD66,53),0)</f>
        <v/>
      </c>
      <c r="BD66">
        <f>IFERROR(INDEX(PP_Grid[#Data],$DD66,54),0)</f>
        <v/>
      </c>
      <c r="BE66">
        <f>IFERROR(INDEX(PP_Grid[#Data],$DD66,55),0)</f>
        <v/>
      </c>
      <c r="BF66">
        <f>IFERROR(INDEX(PP_Grid[#Data],$DD66,56),0)</f>
        <v/>
      </c>
      <c r="BG66">
        <f>IFERROR(INDEX(PP_Grid[#Data],$DD66,57),0)</f>
        <v/>
      </c>
      <c r="BH66">
        <f>IFERROR(INDEX(PP_Grid[#Data],$DD66,58),0)</f>
        <v/>
      </c>
      <c r="BI66">
        <f>IFERROR(INDEX(PP_Grid[#Data],$DD66,59),0)</f>
        <v/>
      </c>
      <c r="BJ66">
        <f>IFERROR(INDEX(PP_Grid[#Data],$DD66,60),0)</f>
        <v/>
      </c>
      <c r="BK66">
        <f>IFERROR(INDEX(PP_Grid[#Data],$DD66,61),0)</f>
        <v/>
      </c>
      <c r="BL66">
        <f>IFERROR(INDEX(PP_Grid[#Data],$DD66,62),0)</f>
        <v/>
      </c>
      <c r="BM66">
        <f>IFERROR(INDEX(PP_Grid[#Data],$DD66,63),0)</f>
        <v/>
      </c>
      <c r="BN66">
        <f>IFERROR(INDEX(PP_Grid[#Data],$DD66,64),0)</f>
        <v/>
      </c>
      <c r="BO66">
        <f>IFERROR(INDEX(PP_Grid[#Data],$DD66,65),0)</f>
        <v/>
      </c>
      <c r="BP66">
        <f>IFERROR(INDEX(PP_Grid[#Data],$DD66,66),0)</f>
        <v/>
      </c>
      <c r="BQ66">
        <f>IFERROR(INDEX(PP_Grid[#Data],$DD66,67),0)</f>
        <v/>
      </c>
      <c r="BR66">
        <f>IFERROR(INDEX(PP_Grid[#Data],$DD66,68),0)</f>
        <v/>
      </c>
      <c r="BS66">
        <f>IFERROR(INDEX(PP_Grid[#Data],$DD66,69),0)</f>
        <v/>
      </c>
      <c r="BT66">
        <f>IFERROR(INDEX(PP_Grid[#Data],$DD66,70),0)</f>
        <v/>
      </c>
      <c r="BU66">
        <f>IFERROR(INDEX(PP_Grid[#Data],$DD66,71),0)</f>
        <v/>
      </c>
      <c r="BV66">
        <f>IFERROR(INDEX(PP_Grid[#Data],$DD66,72),0)</f>
        <v/>
      </c>
      <c r="BW66">
        <f>IFERROR(INDEX(PP_Grid[#Data],$DD66,73),0)</f>
        <v/>
      </c>
      <c r="BX66">
        <f>IFERROR(INDEX(PP_Grid[#Data],$DD66,74),0)</f>
        <v/>
      </c>
      <c r="BY66">
        <f>IFERROR(INDEX(PP_Grid[#Data],$DD66,75),0)</f>
        <v/>
      </c>
      <c r="BZ66">
        <f>IFERROR(INDEX(PP_Grid[#Data],$DD66,76),0)</f>
        <v/>
      </c>
      <c r="CA66">
        <f>IFERROR(INDEX(PP_Grid[#Data],$DD66,77),0)</f>
        <v/>
      </c>
      <c r="CB66">
        <f>IFERROR(INDEX(PP_Grid[#Data],$DD66,78),0)</f>
        <v/>
      </c>
      <c r="CC66">
        <f>IFERROR(INDEX(PP_Grid[#Data],$DD66,79),0)</f>
        <v/>
      </c>
      <c r="CD66">
        <f>IFERROR(INDEX(PP_Grid[#Data],$DD66,80),0)</f>
        <v/>
      </c>
      <c r="CE66">
        <f>IFERROR(INDEX(PP_Grid[#Data],$DD66,81),0)</f>
        <v/>
      </c>
      <c r="CF66">
        <f>IFERROR(INDEX(PP_Grid[#Data],$DD66,82),0)</f>
        <v/>
      </c>
      <c r="CG66">
        <f>IFERROR(INDEX(PP_Grid[#Data],$DD66,83),0)</f>
        <v/>
      </c>
      <c r="CH66">
        <f>IFERROR(INDEX(PP_Grid[#Data],$DD66,84),0)</f>
        <v/>
      </c>
      <c r="CI66">
        <f>IFERROR(INDEX(PP_Grid[#Data],$DD66,85),0)</f>
        <v/>
      </c>
      <c r="CJ66">
        <f>IFERROR(INDEX(PP_Grid[#Data],$DD66,86),0)</f>
        <v/>
      </c>
      <c r="CK66">
        <f>IFERROR(INDEX(PP_Grid[#Data],$DD66,87),0)</f>
        <v/>
      </c>
      <c r="CL66">
        <f>IFERROR(INDEX(PP_Grid[#Data],$DD66,88),0)</f>
        <v/>
      </c>
      <c r="CM66">
        <f>IFERROR(INDEX(PP_Grid[#Data],$DD66,89),0)</f>
        <v/>
      </c>
      <c r="CN66">
        <f>IFERROR(INDEX(PP_Grid[#Data],$DD66,90),0)</f>
        <v/>
      </c>
      <c r="CO66">
        <f>IFERROR(INDEX(PP_Grid[#Data],$DD66,91),0)</f>
        <v/>
      </c>
      <c r="CP66">
        <f>IFERROR(INDEX(PP_Grid[#Data],$DD66,92),0)</f>
        <v/>
      </c>
      <c r="CQ66">
        <f>IFERROR(INDEX(PP_Grid[#Data],$DD66,93),0)</f>
        <v/>
      </c>
      <c r="CR66">
        <f>IFERROR(INDEX(PP_Grid[#Data],$DD66,94),0)</f>
        <v/>
      </c>
      <c r="CS66">
        <f>IFERROR(INDEX(PP_Grid[#Data],$DD66,95),0)</f>
        <v/>
      </c>
      <c r="CT66">
        <f>IFERROR(INDEX(PP_Grid[#Data],$DD66,96),0)</f>
        <v/>
      </c>
      <c r="CU66">
        <f>IFERROR(INDEX(PP_Grid[#Data],$DD66,97),0)</f>
        <v/>
      </c>
      <c r="CV66">
        <f>IFERROR(INDEX(PP_Grid[#Data],$DD66,98),0)</f>
        <v/>
      </c>
      <c r="CW66">
        <f>IFERROR(INDEX(PP_Grid[#Data],$DD66,99),0)</f>
        <v/>
      </c>
      <c r="CX66">
        <f>IFERROR(INDEX(PP_Grid[#Data],$DD66,100),0)</f>
        <v/>
      </c>
      <c r="CY66">
        <f>IFERROR(INDEX(PP_Grid[#Data],$DD66,101),0)</f>
        <v/>
      </c>
      <c r="CZ66">
        <f>IFERROR(INDEX(PP_Grid[#Data],$DD66,102),0)</f>
        <v/>
      </c>
      <c r="DA66">
        <f>IFERROR(INDEX(PP_Grid[#Data],$DD66,103),0)</f>
        <v/>
      </c>
      <c r="DB66">
        <f>IFERROR(INDEX(PP_Grid[#Data],$DD66,104),0)</f>
        <v/>
      </c>
      <c r="DC66">
        <f>IFERROR(INDEX(PP_Grid[#Data],$DD66,105),0)</f>
        <v/>
      </c>
      <c r="DD66" s="7">
        <f>IFERROR(MATCH($B66,PP_Grid[Intermediate],0),99999)</f>
        <v/>
      </c>
    </row>
    <row r="67">
      <c r="B67" t="inlineStr">
        <is>
          <t>使用量(kg)</t>
        </is>
      </c>
      <c r="C67">
        <f>SUMIFS(M_BOM[RM_Qty_Per_Batch],M_BOM[Intermediate],$B66,M_BOM[Part Name],$A45)</f>
        <v/>
      </c>
      <c r="D67">
        <f>$C67*D66</f>
        <v/>
      </c>
      <c r="E67">
        <f>$C67*E66</f>
        <v/>
      </c>
      <c r="F67">
        <f>$C67*F66</f>
        <v/>
      </c>
      <c r="G67">
        <f>$C67*G66</f>
        <v/>
      </c>
      <c r="H67">
        <f>$C67*H66</f>
        <v/>
      </c>
      <c r="I67">
        <f>$C67*I66</f>
        <v/>
      </c>
      <c r="J67">
        <f>$C67*J66</f>
        <v/>
      </c>
      <c r="K67">
        <f>$C67*K66</f>
        <v/>
      </c>
      <c r="L67">
        <f>$C67*L66</f>
        <v/>
      </c>
      <c r="M67">
        <f>$C67*M66</f>
        <v/>
      </c>
      <c r="N67">
        <f>$C67*N66</f>
        <v/>
      </c>
      <c r="O67">
        <f>$C67*O66</f>
        <v/>
      </c>
      <c r="P67">
        <f>$C67*P66</f>
        <v/>
      </c>
      <c r="Q67">
        <f>$C67*Q66</f>
        <v/>
      </c>
      <c r="R67">
        <f>$C67*R66</f>
        <v/>
      </c>
      <c r="S67">
        <f>$C67*S66</f>
        <v/>
      </c>
      <c r="T67">
        <f>$C67*T66</f>
        <v/>
      </c>
      <c r="U67">
        <f>$C67*U66</f>
        <v/>
      </c>
      <c r="V67">
        <f>$C67*V66</f>
        <v/>
      </c>
      <c r="W67">
        <f>$C67*W66</f>
        <v/>
      </c>
      <c r="X67">
        <f>$C67*X66</f>
        <v/>
      </c>
      <c r="Y67">
        <f>$C67*Y66</f>
        <v/>
      </c>
      <c r="Z67">
        <f>$C67*Z66</f>
        <v/>
      </c>
      <c r="AA67">
        <f>$C67*AA66</f>
        <v/>
      </c>
      <c r="AB67">
        <f>$C67*AB66</f>
        <v/>
      </c>
      <c r="AC67">
        <f>$C67*AC66</f>
        <v/>
      </c>
      <c r="AD67">
        <f>$C67*AD66</f>
        <v/>
      </c>
      <c r="AE67">
        <f>$C67*AE66</f>
        <v/>
      </c>
      <c r="AF67">
        <f>$C67*AF66</f>
        <v/>
      </c>
      <c r="AG67">
        <f>$C67*AG66</f>
        <v/>
      </c>
      <c r="AH67">
        <f>$C67*AH66</f>
        <v/>
      </c>
      <c r="AI67">
        <f>$C67*AI66</f>
        <v/>
      </c>
      <c r="AJ67">
        <f>$C67*AJ66</f>
        <v/>
      </c>
      <c r="AK67">
        <f>$C67*AK66</f>
        <v/>
      </c>
      <c r="AL67">
        <f>$C67*AL66</f>
        <v/>
      </c>
      <c r="AM67">
        <f>$C67*AM66</f>
        <v/>
      </c>
      <c r="AN67">
        <f>$C67*AN66</f>
        <v/>
      </c>
      <c r="AO67">
        <f>$C67*AO66</f>
        <v/>
      </c>
      <c r="AP67">
        <f>$C67*AP66</f>
        <v/>
      </c>
      <c r="AQ67">
        <f>$C67*AQ66</f>
        <v/>
      </c>
      <c r="AR67">
        <f>$C67*AR66</f>
        <v/>
      </c>
      <c r="AS67">
        <f>$C67*AS66</f>
        <v/>
      </c>
      <c r="AT67">
        <f>$C67*AT66</f>
        <v/>
      </c>
      <c r="AU67">
        <f>$C67*AU66</f>
        <v/>
      </c>
      <c r="AV67">
        <f>$C67*AV66</f>
        <v/>
      </c>
      <c r="AW67">
        <f>$C67*AW66</f>
        <v/>
      </c>
      <c r="AX67">
        <f>$C67*AX66</f>
        <v/>
      </c>
      <c r="AY67">
        <f>$C67*AY66</f>
        <v/>
      </c>
      <c r="AZ67">
        <f>$C67*AZ66</f>
        <v/>
      </c>
      <c r="BA67">
        <f>$C67*BA66</f>
        <v/>
      </c>
      <c r="BB67">
        <f>$C67*BB66</f>
        <v/>
      </c>
      <c r="BC67">
        <f>$C67*BC66</f>
        <v/>
      </c>
      <c r="BD67">
        <f>$C67*BD66</f>
        <v/>
      </c>
      <c r="BE67">
        <f>$C67*BE66</f>
        <v/>
      </c>
      <c r="BF67">
        <f>$C67*BF66</f>
        <v/>
      </c>
      <c r="BG67">
        <f>$C67*BG66</f>
        <v/>
      </c>
      <c r="BH67">
        <f>$C67*BH66</f>
        <v/>
      </c>
      <c r="BI67">
        <f>$C67*BI66</f>
        <v/>
      </c>
      <c r="BJ67">
        <f>$C67*BJ66</f>
        <v/>
      </c>
      <c r="BK67">
        <f>$C67*BK66</f>
        <v/>
      </c>
      <c r="BL67">
        <f>$C67*BL66</f>
        <v/>
      </c>
      <c r="BM67">
        <f>$C67*BM66</f>
        <v/>
      </c>
      <c r="BN67">
        <f>$C67*BN66</f>
        <v/>
      </c>
      <c r="BO67">
        <f>$C67*BO66</f>
        <v/>
      </c>
      <c r="BP67">
        <f>$C67*BP66</f>
        <v/>
      </c>
      <c r="BQ67">
        <f>$C67*BQ66</f>
        <v/>
      </c>
      <c r="BR67">
        <f>$C67*BR66</f>
        <v/>
      </c>
      <c r="BS67">
        <f>$C67*BS66</f>
        <v/>
      </c>
      <c r="BT67">
        <f>$C67*BT66</f>
        <v/>
      </c>
      <c r="BU67">
        <f>$C67*BU66</f>
        <v/>
      </c>
      <c r="BV67">
        <f>$C67*BV66</f>
        <v/>
      </c>
      <c r="BW67">
        <f>$C67*BW66</f>
        <v/>
      </c>
      <c r="BX67">
        <f>$C67*BX66</f>
        <v/>
      </c>
      <c r="BY67">
        <f>$C67*BY66</f>
        <v/>
      </c>
      <c r="BZ67">
        <f>$C67*BZ66</f>
        <v/>
      </c>
      <c r="CA67">
        <f>$C67*CA66</f>
        <v/>
      </c>
      <c r="CB67">
        <f>$C67*CB66</f>
        <v/>
      </c>
      <c r="CC67">
        <f>$C67*CC66</f>
        <v/>
      </c>
      <c r="CD67">
        <f>$C67*CD66</f>
        <v/>
      </c>
      <c r="CE67">
        <f>$C67*CE66</f>
        <v/>
      </c>
      <c r="CF67">
        <f>$C67*CF66</f>
        <v/>
      </c>
      <c r="CG67">
        <f>$C67*CG66</f>
        <v/>
      </c>
      <c r="CH67">
        <f>$C67*CH66</f>
        <v/>
      </c>
      <c r="CI67">
        <f>$C67*CI66</f>
        <v/>
      </c>
      <c r="CJ67">
        <f>$C67*CJ66</f>
        <v/>
      </c>
      <c r="CK67">
        <f>$C67*CK66</f>
        <v/>
      </c>
      <c r="CL67">
        <f>$C67*CL66</f>
        <v/>
      </c>
      <c r="CM67">
        <f>$C67*CM66</f>
        <v/>
      </c>
      <c r="CN67">
        <f>$C67*CN66</f>
        <v/>
      </c>
      <c r="CO67">
        <f>$C67*CO66</f>
        <v/>
      </c>
      <c r="CP67">
        <f>$C67*CP66</f>
        <v/>
      </c>
      <c r="CQ67">
        <f>$C67*CQ66</f>
        <v/>
      </c>
      <c r="CR67">
        <f>$C67*CR66</f>
        <v/>
      </c>
      <c r="CS67">
        <f>$C67*CS66</f>
        <v/>
      </c>
      <c r="CT67">
        <f>$C67*CT66</f>
        <v/>
      </c>
      <c r="CU67">
        <f>$C67*CU66</f>
        <v/>
      </c>
      <c r="CV67">
        <f>$C67*CV66</f>
        <v/>
      </c>
      <c r="CW67">
        <f>$C67*CW66</f>
        <v/>
      </c>
      <c r="CX67">
        <f>$C67*CX66</f>
        <v/>
      </c>
      <c r="CY67">
        <f>$C67*CY66</f>
        <v/>
      </c>
      <c r="CZ67">
        <f>$C67*CZ66</f>
        <v/>
      </c>
      <c r="DA67">
        <f>$C67*DA66</f>
        <v/>
      </c>
      <c r="DB67">
        <f>$C67*DB66</f>
        <v/>
      </c>
      <c r="DC67">
        <f>$C67*DC66</f>
        <v/>
      </c>
    </row>
    <row r="68">
      <c r="B68" t="inlineStr">
        <is>
          <t>TSP-205</t>
        </is>
      </c>
      <c r="C68" t="inlineStr">
        <is>
          <t>No. of batches</t>
        </is>
      </c>
      <c r="D68">
        <f>IFERROR(INDEX(PP_Grid[#Data],$DD68,2),0)</f>
        <v/>
      </c>
      <c r="E68">
        <f>IFERROR(INDEX(PP_Grid[#Data],$DD68,3),0)</f>
        <v/>
      </c>
      <c r="F68">
        <f>IFERROR(INDEX(PP_Grid[#Data],$DD68,4),0)</f>
        <v/>
      </c>
      <c r="G68">
        <f>IFERROR(INDEX(PP_Grid[#Data],$DD68,5),0)</f>
        <v/>
      </c>
      <c r="H68">
        <f>IFERROR(INDEX(PP_Grid[#Data],$DD68,6),0)</f>
        <v/>
      </c>
      <c r="I68">
        <f>IFERROR(INDEX(PP_Grid[#Data],$DD68,7),0)</f>
        <v/>
      </c>
      <c r="J68">
        <f>IFERROR(INDEX(PP_Grid[#Data],$DD68,8),0)</f>
        <v/>
      </c>
      <c r="K68">
        <f>IFERROR(INDEX(PP_Grid[#Data],$DD68,9),0)</f>
        <v/>
      </c>
      <c r="L68">
        <f>IFERROR(INDEX(PP_Grid[#Data],$DD68,10),0)</f>
        <v/>
      </c>
      <c r="M68">
        <f>IFERROR(INDEX(PP_Grid[#Data],$DD68,11),0)</f>
        <v/>
      </c>
      <c r="N68">
        <f>IFERROR(INDEX(PP_Grid[#Data],$DD68,12),0)</f>
        <v/>
      </c>
      <c r="O68">
        <f>IFERROR(INDEX(PP_Grid[#Data],$DD68,13),0)</f>
        <v/>
      </c>
      <c r="P68">
        <f>IFERROR(INDEX(PP_Grid[#Data],$DD68,14),0)</f>
        <v/>
      </c>
      <c r="Q68">
        <f>IFERROR(INDEX(PP_Grid[#Data],$DD68,15),0)</f>
        <v/>
      </c>
      <c r="R68">
        <f>IFERROR(INDEX(PP_Grid[#Data],$DD68,16),0)</f>
        <v/>
      </c>
      <c r="S68">
        <f>IFERROR(INDEX(PP_Grid[#Data],$DD68,17),0)</f>
        <v/>
      </c>
      <c r="T68">
        <f>IFERROR(INDEX(PP_Grid[#Data],$DD68,18),0)</f>
        <v/>
      </c>
      <c r="U68">
        <f>IFERROR(INDEX(PP_Grid[#Data],$DD68,19),0)</f>
        <v/>
      </c>
      <c r="V68">
        <f>IFERROR(INDEX(PP_Grid[#Data],$DD68,20),0)</f>
        <v/>
      </c>
      <c r="W68">
        <f>IFERROR(INDEX(PP_Grid[#Data],$DD68,21),0)</f>
        <v/>
      </c>
      <c r="X68">
        <f>IFERROR(INDEX(PP_Grid[#Data],$DD68,22),0)</f>
        <v/>
      </c>
      <c r="Y68">
        <f>IFERROR(INDEX(PP_Grid[#Data],$DD68,23),0)</f>
        <v/>
      </c>
      <c r="Z68">
        <f>IFERROR(INDEX(PP_Grid[#Data],$DD68,24),0)</f>
        <v/>
      </c>
      <c r="AA68">
        <f>IFERROR(INDEX(PP_Grid[#Data],$DD68,25),0)</f>
        <v/>
      </c>
      <c r="AB68">
        <f>IFERROR(INDEX(PP_Grid[#Data],$DD68,26),0)</f>
        <v/>
      </c>
      <c r="AC68">
        <f>IFERROR(INDEX(PP_Grid[#Data],$DD68,27),0)</f>
        <v/>
      </c>
      <c r="AD68">
        <f>IFERROR(INDEX(PP_Grid[#Data],$DD68,28),0)</f>
        <v/>
      </c>
      <c r="AE68">
        <f>IFERROR(INDEX(PP_Grid[#Data],$DD68,29),0)</f>
        <v/>
      </c>
      <c r="AF68">
        <f>IFERROR(INDEX(PP_Grid[#Data],$DD68,30),0)</f>
        <v/>
      </c>
      <c r="AG68">
        <f>IFERROR(INDEX(PP_Grid[#Data],$DD68,31),0)</f>
        <v/>
      </c>
      <c r="AH68">
        <f>IFERROR(INDEX(PP_Grid[#Data],$DD68,32),0)</f>
        <v/>
      </c>
      <c r="AI68">
        <f>IFERROR(INDEX(PP_Grid[#Data],$DD68,33),0)</f>
        <v/>
      </c>
      <c r="AJ68">
        <f>IFERROR(INDEX(PP_Grid[#Data],$DD68,34),0)</f>
        <v/>
      </c>
      <c r="AK68">
        <f>IFERROR(INDEX(PP_Grid[#Data],$DD68,35),0)</f>
        <v/>
      </c>
      <c r="AL68">
        <f>IFERROR(INDEX(PP_Grid[#Data],$DD68,36),0)</f>
        <v/>
      </c>
      <c r="AM68">
        <f>IFERROR(INDEX(PP_Grid[#Data],$DD68,37),0)</f>
        <v/>
      </c>
      <c r="AN68">
        <f>IFERROR(INDEX(PP_Grid[#Data],$DD68,38),0)</f>
        <v/>
      </c>
      <c r="AO68">
        <f>IFERROR(INDEX(PP_Grid[#Data],$DD68,39),0)</f>
        <v/>
      </c>
      <c r="AP68">
        <f>IFERROR(INDEX(PP_Grid[#Data],$DD68,40),0)</f>
        <v/>
      </c>
      <c r="AQ68">
        <f>IFERROR(INDEX(PP_Grid[#Data],$DD68,41),0)</f>
        <v/>
      </c>
      <c r="AR68">
        <f>IFERROR(INDEX(PP_Grid[#Data],$DD68,42),0)</f>
        <v/>
      </c>
      <c r="AS68">
        <f>IFERROR(INDEX(PP_Grid[#Data],$DD68,43),0)</f>
        <v/>
      </c>
      <c r="AT68">
        <f>IFERROR(INDEX(PP_Grid[#Data],$DD68,44),0)</f>
        <v/>
      </c>
      <c r="AU68">
        <f>IFERROR(INDEX(PP_Grid[#Data],$DD68,45),0)</f>
        <v/>
      </c>
      <c r="AV68">
        <f>IFERROR(INDEX(PP_Grid[#Data],$DD68,46),0)</f>
        <v/>
      </c>
      <c r="AW68">
        <f>IFERROR(INDEX(PP_Grid[#Data],$DD68,47),0)</f>
        <v/>
      </c>
      <c r="AX68">
        <f>IFERROR(INDEX(PP_Grid[#Data],$DD68,48),0)</f>
        <v/>
      </c>
      <c r="AY68">
        <f>IFERROR(INDEX(PP_Grid[#Data],$DD68,49),0)</f>
        <v/>
      </c>
      <c r="AZ68">
        <f>IFERROR(INDEX(PP_Grid[#Data],$DD68,50),0)</f>
        <v/>
      </c>
      <c r="BA68">
        <f>IFERROR(INDEX(PP_Grid[#Data],$DD68,51),0)</f>
        <v/>
      </c>
      <c r="BB68">
        <f>IFERROR(INDEX(PP_Grid[#Data],$DD68,52),0)</f>
        <v/>
      </c>
      <c r="BC68">
        <f>IFERROR(INDEX(PP_Grid[#Data],$DD68,53),0)</f>
        <v/>
      </c>
      <c r="BD68">
        <f>IFERROR(INDEX(PP_Grid[#Data],$DD68,54),0)</f>
        <v/>
      </c>
      <c r="BE68">
        <f>IFERROR(INDEX(PP_Grid[#Data],$DD68,55),0)</f>
        <v/>
      </c>
      <c r="BF68">
        <f>IFERROR(INDEX(PP_Grid[#Data],$DD68,56),0)</f>
        <v/>
      </c>
      <c r="BG68">
        <f>IFERROR(INDEX(PP_Grid[#Data],$DD68,57),0)</f>
        <v/>
      </c>
      <c r="BH68">
        <f>IFERROR(INDEX(PP_Grid[#Data],$DD68,58),0)</f>
        <v/>
      </c>
      <c r="BI68">
        <f>IFERROR(INDEX(PP_Grid[#Data],$DD68,59),0)</f>
        <v/>
      </c>
      <c r="BJ68">
        <f>IFERROR(INDEX(PP_Grid[#Data],$DD68,60),0)</f>
        <v/>
      </c>
      <c r="BK68">
        <f>IFERROR(INDEX(PP_Grid[#Data],$DD68,61),0)</f>
        <v/>
      </c>
      <c r="BL68">
        <f>IFERROR(INDEX(PP_Grid[#Data],$DD68,62),0)</f>
        <v/>
      </c>
      <c r="BM68">
        <f>IFERROR(INDEX(PP_Grid[#Data],$DD68,63),0)</f>
        <v/>
      </c>
      <c r="BN68">
        <f>IFERROR(INDEX(PP_Grid[#Data],$DD68,64),0)</f>
        <v/>
      </c>
      <c r="BO68">
        <f>IFERROR(INDEX(PP_Grid[#Data],$DD68,65),0)</f>
        <v/>
      </c>
      <c r="BP68">
        <f>IFERROR(INDEX(PP_Grid[#Data],$DD68,66),0)</f>
        <v/>
      </c>
      <c r="BQ68">
        <f>IFERROR(INDEX(PP_Grid[#Data],$DD68,67),0)</f>
        <v/>
      </c>
      <c r="BR68">
        <f>IFERROR(INDEX(PP_Grid[#Data],$DD68,68),0)</f>
        <v/>
      </c>
      <c r="BS68">
        <f>IFERROR(INDEX(PP_Grid[#Data],$DD68,69),0)</f>
        <v/>
      </c>
      <c r="BT68">
        <f>IFERROR(INDEX(PP_Grid[#Data],$DD68,70),0)</f>
        <v/>
      </c>
      <c r="BU68">
        <f>IFERROR(INDEX(PP_Grid[#Data],$DD68,71),0)</f>
        <v/>
      </c>
      <c r="BV68">
        <f>IFERROR(INDEX(PP_Grid[#Data],$DD68,72),0)</f>
        <v/>
      </c>
      <c r="BW68">
        <f>IFERROR(INDEX(PP_Grid[#Data],$DD68,73),0)</f>
        <v/>
      </c>
      <c r="BX68">
        <f>IFERROR(INDEX(PP_Grid[#Data],$DD68,74),0)</f>
        <v/>
      </c>
      <c r="BY68">
        <f>IFERROR(INDEX(PP_Grid[#Data],$DD68,75),0)</f>
        <v/>
      </c>
      <c r="BZ68">
        <f>IFERROR(INDEX(PP_Grid[#Data],$DD68,76),0)</f>
        <v/>
      </c>
      <c r="CA68">
        <f>IFERROR(INDEX(PP_Grid[#Data],$DD68,77),0)</f>
        <v/>
      </c>
      <c r="CB68">
        <f>IFERROR(INDEX(PP_Grid[#Data],$DD68,78),0)</f>
        <v/>
      </c>
      <c r="CC68">
        <f>IFERROR(INDEX(PP_Grid[#Data],$DD68,79),0)</f>
        <v/>
      </c>
      <c r="CD68">
        <f>IFERROR(INDEX(PP_Grid[#Data],$DD68,80),0)</f>
        <v/>
      </c>
      <c r="CE68">
        <f>IFERROR(INDEX(PP_Grid[#Data],$DD68,81),0)</f>
        <v/>
      </c>
      <c r="CF68">
        <f>IFERROR(INDEX(PP_Grid[#Data],$DD68,82),0)</f>
        <v/>
      </c>
      <c r="CG68">
        <f>IFERROR(INDEX(PP_Grid[#Data],$DD68,83),0)</f>
        <v/>
      </c>
      <c r="CH68">
        <f>IFERROR(INDEX(PP_Grid[#Data],$DD68,84),0)</f>
        <v/>
      </c>
      <c r="CI68">
        <f>IFERROR(INDEX(PP_Grid[#Data],$DD68,85),0)</f>
        <v/>
      </c>
      <c r="CJ68">
        <f>IFERROR(INDEX(PP_Grid[#Data],$DD68,86),0)</f>
        <v/>
      </c>
      <c r="CK68">
        <f>IFERROR(INDEX(PP_Grid[#Data],$DD68,87),0)</f>
        <v/>
      </c>
      <c r="CL68">
        <f>IFERROR(INDEX(PP_Grid[#Data],$DD68,88),0)</f>
        <v/>
      </c>
      <c r="CM68">
        <f>IFERROR(INDEX(PP_Grid[#Data],$DD68,89),0)</f>
        <v/>
      </c>
      <c r="CN68">
        <f>IFERROR(INDEX(PP_Grid[#Data],$DD68,90),0)</f>
        <v/>
      </c>
      <c r="CO68">
        <f>IFERROR(INDEX(PP_Grid[#Data],$DD68,91),0)</f>
        <v/>
      </c>
      <c r="CP68">
        <f>IFERROR(INDEX(PP_Grid[#Data],$DD68,92),0)</f>
        <v/>
      </c>
      <c r="CQ68">
        <f>IFERROR(INDEX(PP_Grid[#Data],$DD68,93),0)</f>
        <v/>
      </c>
      <c r="CR68">
        <f>IFERROR(INDEX(PP_Grid[#Data],$DD68,94),0)</f>
        <v/>
      </c>
      <c r="CS68">
        <f>IFERROR(INDEX(PP_Grid[#Data],$DD68,95),0)</f>
        <v/>
      </c>
      <c r="CT68">
        <f>IFERROR(INDEX(PP_Grid[#Data],$DD68,96),0)</f>
        <v/>
      </c>
      <c r="CU68">
        <f>IFERROR(INDEX(PP_Grid[#Data],$DD68,97),0)</f>
        <v/>
      </c>
      <c r="CV68">
        <f>IFERROR(INDEX(PP_Grid[#Data],$DD68,98),0)</f>
        <v/>
      </c>
      <c r="CW68">
        <f>IFERROR(INDEX(PP_Grid[#Data],$DD68,99),0)</f>
        <v/>
      </c>
      <c r="CX68">
        <f>IFERROR(INDEX(PP_Grid[#Data],$DD68,100),0)</f>
        <v/>
      </c>
      <c r="CY68">
        <f>IFERROR(INDEX(PP_Grid[#Data],$DD68,101),0)</f>
        <v/>
      </c>
      <c r="CZ68">
        <f>IFERROR(INDEX(PP_Grid[#Data],$DD68,102),0)</f>
        <v/>
      </c>
      <c r="DA68">
        <f>IFERROR(INDEX(PP_Grid[#Data],$DD68,103),0)</f>
        <v/>
      </c>
      <c r="DB68">
        <f>IFERROR(INDEX(PP_Grid[#Data],$DD68,104),0)</f>
        <v/>
      </c>
      <c r="DC68">
        <f>IFERROR(INDEX(PP_Grid[#Data],$DD68,105),0)</f>
        <v/>
      </c>
      <c r="DD68" s="7">
        <f>IFERROR(MATCH($B68,PP_Grid[Intermediate],0),99999)</f>
        <v/>
      </c>
    </row>
    <row r="69">
      <c r="B69" t="inlineStr">
        <is>
          <t>使用量(kg)</t>
        </is>
      </c>
      <c r="C69">
        <f>SUMIFS(M_BOM[RM_Qty_Per_Batch],M_BOM[Intermediate],$B68,M_BOM[Part Name],$A45)</f>
        <v/>
      </c>
      <c r="D69">
        <f>$C69*D68</f>
        <v/>
      </c>
      <c r="E69">
        <f>$C69*E68</f>
        <v/>
      </c>
      <c r="F69">
        <f>$C69*F68</f>
        <v/>
      </c>
      <c r="G69">
        <f>$C69*G68</f>
        <v/>
      </c>
      <c r="H69">
        <f>$C69*H68</f>
        <v/>
      </c>
      <c r="I69">
        <f>$C69*I68</f>
        <v/>
      </c>
      <c r="J69">
        <f>$C69*J68</f>
        <v/>
      </c>
      <c r="K69">
        <f>$C69*K68</f>
        <v/>
      </c>
      <c r="L69">
        <f>$C69*L68</f>
        <v/>
      </c>
      <c r="M69">
        <f>$C69*M68</f>
        <v/>
      </c>
      <c r="N69">
        <f>$C69*N68</f>
        <v/>
      </c>
      <c r="O69">
        <f>$C69*O68</f>
        <v/>
      </c>
      <c r="P69">
        <f>$C69*P68</f>
        <v/>
      </c>
      <c r="Q69">
        <f>$C69*Q68</f>
        <v/>
      </c>
      <c r="R69">
        <f>$C69*R68</f>
        <v/>
      </c>
      <c r="S69">
        <f>$C69*S68</f>
        <v/>
      </c>
      <c r="T69">
        <f>$C69*T68</f>
        <v/>
      </c>
      <c r="U69">
        <f>$C69*U68</f>
        <v/>
      </c>
      <c r="V69">
        <f>$C69*V68</f>
        <v/>
      </c>
      <c r="W69">
        <f>$C69*W68</f>
        <v/>
      </c>
      <c r="X69">
        <f>$C69*X68</f>
        <v/>
      </c>
      <c r="Y69">
        <f>$C69*Y68</f>
        <v/>
      </c>
      <c r="Z69">
        <f>$C69*Z68</f>
        <v/>
      </c>
      <c r="AA69">
        <f>$C69*AA68</f>
        <v/>
      </c>
      <c r="AB69">
        <f>$C69*AB68</f>
        <v/>
      </c>
      <c r="AC69">
        <f>$C69*AC68</f>
        <v/>
      </c>
      <c r="AD69">
        <f>$C69*AD68</f>
        <v/>
      </c>
      <c r="AE69">
        <f>$C69*AE68</f>
        <v/>
      </c>
      <c r="AF69">
        <f>$C69*AF68</f>
        <v/>
      </c>
      <c r="AG69">
        <f>$C69*AG68</f>
        <v/>
      </c>
      <c r="AH69">
        <f>$C69*AH68</f>
        <v/>
      </c>
      <c r="AI69">
        <f>$C69*AI68</f>
        <v/>
      </c>
      <c r="AJ69">
        <f>$C69*AJ68</f>
        <v/>
      </c>
      <c r="AK69">
        <f>$C69*AK68</f>
        <v/>
      </c>
      <c r="AL69">
        <f>$C69*AL68</f>
        <v/>
      </c>
      <c r="AM69">
        <f>$C69*AM68</f>
        <v/>
      </c>
      <c r="AN69">
        <f>$C69*AN68</f>
        <v/>
      </c>
      <c r="AO69">
        <f>$C69*AO68</f>
        <v/>
      </c>
      <c r="AP69">
        <f>$C69*AP68</f>
        <v/>
      </c>
      <c r="AQ69">
        <f>$C69*AQ68</f>
        <v/>
      </c>
      <c r="AR69">
        <f>$C69*AR68</f>
        <v/>
      </c>
      <c r="AS69">
        <f>$C69*AS68</f>
        <v/>
      </c>
      <c r="AT69">
        <f>$C69*AT68</f>
        <v/>
      </c>
      <c r="AU69">
        <f>$C69*AU68</f>
        <v/>
      </c>
      <c r="AV69">
        <f>$C69*AV68</f>
        <v/>
      </c>
      <c r="AW69">
        <f>$C69*AW68</f>
        <v/>
      </c>
      <c r="AX69">
        <f>$C69*AX68</f>
        <v/>
      </c>
      <c r="AY69">
        <f>$C69*AY68</f>
        <v/>
      </c>
      <c r="AZ69">
        <f>$C69*AZ68</f>
        <v/>
      </c>
      <c r="BA69">
        <f>$C69*BA68</f>
        <v/>
      </c>
      <c r="BB69">
        <f>$C69*BB68</f>
        <v/>
      </c>
      <c r="BC69">
        <f>$C69*BC68</f>
        <v/>
      </c>
      <c r="BD69">
        <f>$C69*BD68</f>
        <v/>
      </c>
      <c r="BE69">
        <f>$C69*BE68</f>
        <v/>
      </c>
      <c r="BF69">
        <f>$C69*BF68</f>
        <v/>
      </c>
      <c r="BG69">
        <f>$C69*BG68</f>
        <v/>
      </c>
      <c r="BH69">
        <f>$C69*BH68</f>
        <v/>
      </c>
      <c r="BI69">
        <f>$C69*BI68</f>
        <v/>
      </c>
      <c r="BJ69">
        <f>$C69*BJ68</f>
        <v/>
      </c>
      <c r="BK69">
        <f>$C69*BK68</f>
        <v/>
      </c>
      <c r="BL69">
        <f>$C69*BL68</f>
        <v/>
      </c>
      <c r="BM69">
        <f>$C69*BM68</f>
        <v/>
      </c>
      <c r="BN69">
        <f>$C69*BN68</f>
        <v/>
      </c>
      <c r="BO69">
        <f>$C69*BO68</f>
        <v/>
      </c>
      <c r="BP69">
        <f>$C69*BP68</f>
        <v/>
      </c>
      <c r="BQ69">
        <f>$C69*BQ68</f>
        <v/>
      </c>
      <c r="BR69">
        <f>$C69*BR68</f>
        <v/>
      </c>
      <c r="BS69">
        <f>$C69*BS68</f>
        <v/>
      </c>
      <c r="BT69">
        <f>$C69*BT68</f>
        <v/>
      </c>
      <c r="BU69">
        <f>$C69*BU68</f>
        <v/>
      </c>
      <c r="BV69">
        <f>$C69*BV68</f>
        <v/>
      </c>
      <c r="BW69">
        <f>$C69*BW68</f>
        <v/>
      </c>
      <c r="BX69">
        <f>$C69*BX68</f>
        <v/>
      </c>
      <c r="BY69">
        <f>$C69*BY68</f>
        <v/>
      </c>
      <c r="BZ69">
        <f>$C69*BZ68</f>
        <v/>
      </c>
      <c r="CA69">
        <f>$C69*CA68</f>
        <v/>
      </c>
      <c r="CB69">
        <f>$C69*CB68</f>
        <v/>
      </c>
      <c r="CC69">
        <f>$C69*CC68</f>
        <v/>
      </c>
      <c r="CD69">
        <f>$C69*CD68</f>
        <v/>
      </c>
      <c r="CE69">
        <f>$C69*CE68</f>
        <v/>
      </c>
      <c r="CF69">
        <f>$C69*CF68</f>
        <v/>
      </c>
      <c r="CG69">
        <f>$C69*CG68</f>
        <v/>
      </c>
      <c r="CH69">
        <f>$C69*CH68</f>
        <v/>
      </c>
      <c r="CI69">
        <f>$C69*CI68</f>
        <v/>
      </c>
      <c r="CJ69">
        <f>$C69*CJ68</f>
        <v/>
      </c>
      <c r="CK69">
        <f>$C69*CK68</f>
        <v/>
      </c>
      <c r="CL69">
        <f>$C69*CL68</f>
        <v/>
      </c>
      <c r="CM69">
        <f>$C69*CM68</f>
        <v/>
      </c>
      <c r="CN69">
        <f>$C69*CN68</f>
        <v/>
      </c>
      <c r="CO69">
        <f>$C69*CO68</f>
        <v/>
      </c>
      <c r="CP69">
        <f>$C69*CP68</f>
        <v/>
      </c>
      <c r="CQ69">
        <f>$C69*CQ68</f>
        <v/>
      </c>
      <c r="CR69">
        <f>$C69*CR68</f>
        <v/>
      </c>
      <c r="CS69">
        <f>$C69*CS68</f>
        <v/>
      </c>
      <c r="CT69">
        <f>$C69*CT68</f>
        <v/>
      </c>
      <c r="CU69">
        <f>$C69*CU68</f>
        <v/>
      </c>
      <c r="CV69">
        <f>$C69*CV68</f>
        <v/>
      </c>
      <c r="CW69">
        <f>$C69*CW68</f>
        <v/>
      </c>
      <c r="CX69">
        <f>$C69*CX68</f>
        <v/>
      </c>
      <c r="CY69">
        <f>$C69*CY68</f>
        <v/>
      </c>
      <c r="CZ69">
        <f>$C69*CZ68</f>
        <v/>
      </c>
      <c r="DA69">
        <f>$C69*DA68</f>
        <v/>
      </c>
      <c r="DB69">
        <f>$C69*DB68</f>
        <v/>
      </c>
      <c r="DC69">
        <f>$C69*DC68</f>
        <v/>
      </c>
    </row>
    <row r="70">
      <c r="B70" t="inlineStr">
        <is>
          <t>TSP-206</t>
        </is>
      </c>
      <c r="C70" t="inlineStr">
        <is>
          <t>No. of batches</t>
        </is>
      </c>
      <c r="D70">
        <f>IFERROR(INDEX(PP_Grid[#Data],$DD70,2),0)</f>
        <v/>
      </c>
      <c r="E70">
        <f>IFERROR(INDEX(PP_Grid[#Data],$DD70,3),0)</f>
        <v/>
      </c>
      <c r="F70">
        <f>IFERROR(INDEX(PP_Grid[#Data],$DD70,4),0)</f>
        <v/>
      </c>
      <c r="G70">
        <f>IFERROR(INDEX(PP_Grid[#Data],$DD70,5),0)</f>
        <v/>
      </c>
      <c r="H70">
        <f>IFERROR(INDEX(PP_Grid[#Data],$DD70,6),0)</f>
        <v/>
      </c>
      <c r="I70">
        <f>IFERROR(INDEX(PP_Grid[#Data],$DD70,7),0)</f>
        <v/>
      </c>
      <c r="J70">
        <f>IFERROR(INDEX(PP_Grid[#Data],$DD70,8),0)</f>
        <v/>
      </c>
      <c r="K70">
        <f>IFERROR(INDEX(PP_Grid[#Data],$DD70,9),0)</f>
        <v/>
      </c>
      <c r="L70">
        <f>IFERROR(INDEX(PP_Grid[#Data],$DD70,10),0)</f>
        <v/>
      </c>
      <c r="M70">
        <f>IFERROR(INDEX(PP_Grid[#Data],$DD70,11),0)</f>
        <v/>
      </c>
      <c r="N70">
        <f>IFERROR(INDEX(PP_Grid[#Data],$DD70,12),0)</f>
        <v/>
      </c>
      <c r="O70">
        <f>IFERROR(INDEX(PP_Grid[#Data],$DD70,13),0)</f>
        <v/>
      </c>
      <c r="P70">
        <f>IFERROR(INDEX(PP_Grid[#Data],$DD70,14),0)</f>
        <v/>
      </c>
      <c r="Q70">
        <f>IFERROR(INDEX(PP_Grid[#Data],$DD70,15),0)</f>
        <v/>
      </c>
      <c r="R70">
        <f>IFERROR(INDEX(PP_Grid[#Data],$DD70,16),0)</f>
        <v/>
      </c>
      <c r="S70">
        <f>IFERROR(INDEX(PP_Grid[#Data],$DD70,17),0)</f>
        <v/>
      </c>
      <c r="T70">
        <f>IFERROR(INDEX(PP_Grid[#Data],$DD70,18),0)</f>
        <v/>
      </c>
      <c r="U70">
        <f>IFERROR(INDEX(PP_Grid[#Data],$DD70,19),0)</f>
        <v/>
      </c>
      <c r="V70">
        <f>IFERROR(INDEX(PP_Grid[#Data],$DD70,20),0)</f>
        <v/>
      </c>
      <c r="W70">
        <f>IFERROR(INDEX(PP_Grid[#Data],$DD70,21),0)</f>
        <v/>
      </c>
      <c r="X70">
        <f>IFERROR(INDEX(PP_Grid[#Data],$DD70,22),0)</f>
        <v/>
      </c>
      <c r="Y70">
        <f>IFERROR(INDEX(PP_Grid[#Data],$DD70,23),0)</f>
        <v/>
      </c>
      <c r="Z70">
        <f>IFERROR(INDEX(PP_Grid[#Data],$DD70,24),0)</f>
        <v/>
      </c>
      <c r="AA70">
        <f>IFERROR(INDEX(PP_Grid[#Data],$DD70,25),0)</f>
        <v/>
      </c>
      <c r="AB70">
        <f>IFERROR(INDEX(PP_Grid[#Data],$DD70,26),0)</f>
        <v/>
      </c>
      <c r="AC70">
        <f>IFERROR(INDEX(PP_Grid[#Data],$DD70,27),0)</f>
        <v/>
      </c>
      <c r="AD70">
        <f>IFERROR(INDEX(PP_Grid[#Data],$DD70,28),0)</f>
        <v/>
      </c>
      <c r="AE70">
        <f>IFERROR(INDEX(PP_Grid[#Data],$DD70,29),0)</f>
        <v/>
      </c>
      <c r="AF70">
        <f>IFERROR(INDEX(PP_Grid[#Data],$DD70,30),0)</f>
        <v/>
      </c>
      <c r="AG70">
        <f>IFERROR(INDEX(PP_Grid[#Data],$DD70,31),0)</f>
        <v/>
      </c>
      <c r="AH70">
        <f>IFERROR(INDEX(PP_Grid[#Data],$DD70,32),0)</f>
        <v/>
      </c>
      <c r="AI70">
        <f>IFERROR(INDEX(PP_Grid[#Data],$DD70,33),0)</f>
        <v/>
      </c>
      <c r="AJ70">
        <f>IFERROR(INDEX(PP_Grid[#Data],$DD70,34),0)</f>
        <v/>
      </c>
      <c r="AK70">
        <f>IFERROR(INDEX(PP_Grid[#Data],$DD70,35),0)</f>
        <v/>
      </c>
      <c r="AL70">
        <f>IFERROR(INDEX(PP_Grid[#Data],$DD70,36),0)</f>
        <v/>
      </c>
      <c r="AM70">
        <f>IFERROR(INDEX(PP_Grid[#Data],$DD70,37),0)</f>
        <v/>
      </c>
      <c r="AN70">
        <f>IFERROR(INDEX(PP_Grid[#Data],$DD70,38),0)</f>
        <v/>
      </c>
      <c r="AO70">
        <f>IFERROR(INDEX(PP_Grid[#Data],$DD70,39),0)</f>
        <v/>
      </c>
      <c r="AP70">
        <f>IFERROR(INDEX(PP_Grid[#Data],$DD70,40),0)</f>
        <v/>
      </c>
      <c r="AQ70">
        <f>IFERROR(INDEX(PP_Grid[#Data],$DD70,41),0)</f>
        <v/>
      </c>
      <c r="AR70">
        <f>IFERROR(INDEX(PP_Grid[#Data],$DD70,42),0)</f>
        <v/>
      </c>
      <c r="AS70">
        <f>IFERROR(INDEX(PP_Grid[#Data],$DD70,43),0)</f>
        <v/>
      </c>
      <c r="AT70">
        <f>IFERROR(INDEX(PP_Grid[#Data],$DD70,44),0)</f>
        <v/>
      </c>
      <c r="AU70">
        <f>IFERROR(INDEX(PP_Grid[#Data],$DD70,45),0)</f>
        <v/>
      </c>
      <c r="AV70">
        <f>IFERROR(INDEX(PP_Grid[#Data],$DD70,46),0)</f>
        <v/>
      </c>
      <c r="AW70">
        <f>IFERROR(INDEX(PP_Grid[#Data],$DD70,47),0)</f>
        <v/>
      </c>
      <c r="AX70">
        <f>IFERROR(INDEX(PP_Grid[#Data],$DD70,48),0)</f>
        <v/>
      </c>
      <c r="AY70">
        <f>IFERROR(INDEX(PP_Grid[#Data],$DD70,49),0)</f>
        <v/>
      </c>
      <c r="AZ70">
        <f>IFERROR(INDEX(PP_Grid[#Data],$DD70,50),0)</f>
        <v/>
      </c>
      <c r="BA70">
        <f>IFERROR(INDEX(PP_Grid[#Data],$DD70,51),0)</f>
        <v/>
      </c>
      <c r="BB70">
        <f>IFERROR(INDEX(PP_Grid[#Data],$DD70,52),0)</f>
        <v/>
      </c>
      <c r="BC70">
        <f>IFERROR(INDEX(PP_Grid[#Data],$DD70,53),0)</f>
        <v/>
      </c>
      <c r="BD70">
        <f>IFERROR(INDEX(PP_Grid[#Data],$DD70,54),0)</f>
        <v/>
      </c>
      <c r="BE70">
        <f>IFERROR(INDEX(PP_Grid[#Data],$DD70,55),0)</f>
        <v/>
      </c>
      <c r="BF70">
        <f>IFERROR(INDEX(PP_Grid[#Data],$DD70,56),0)</f>
        <v/>
      </c>
      <c r="BG70">
        <f>IFERROR(INDEX(PP_Grid[#Data],$DD70,57),0)</f>
        <v/>
      </c>
      <c r="BH70">
        <f>IFERROR(INDEX(PP_Grid[#Data],$DD70,58),0)</f>
        <v/>
      </c>
      <c r="BI70">
        <f>IFERROR(INDEX(PP_Grid[#Data],$DD70,59),0)</f>
        <v/>
      </c>
      <c r="BJ70">
        <f>IFERROR(INDEX(PP_Grid[#Data],$DD70,60),0)</f>
        <v/>
      </c>
      <c r="BK70">
        <f>IFERROR(INDEX(PP_Grid[#Data],$DD70,61),0)</f>
        <v/>
      </c>
      <c r="BL70">
        <f>IFERROR(INDEX(PP_Grid[#Data],$DD70,62),0)</f>
        <v/>
      </c>
      <c r="BM70">
        <f>IFERROR(INDEX(PP_Grid[#Data],$DD70,63),0)</f>
        <v/>
      </c>
      <c r="BN70">
        <f>IFERROR(INDEX(PP_Grid[#Data],$DD70,64),0)</f>
        <v/>
      </c>
      <c r="BO70">
        <f>IFERROR(INDEX(PP_Grid[#Data],$DD70,65),0)</f>
        <v/>
      </c>
      <c r="BP70">
        <f>IFERROR(INDEX(PP_Grid[#Data],$DD70,66),0)</f>
        <v/>
      </c>
      <c r="BQ70">
        <f>IFERROR(INDEX(PP_Grid[#Data],$DD70,67),0)</f>
        <v/>
      </c>
      <c r="BR70">
        <f>IFERROR(INDEX(PP_Grid[#Data],$DD70,68),0)</f>
        <v/>
      </c>
      <c r="BS70">
        <f>IFERROR(INDEX(PP_Grid[#Data],$DD70,69),0)</f>
        <v/>
      </c>
      <c r="BT70">
        <f>IFERROR(INDEX(PP_Grid[#Data],$DD70,70),0)</f>
        <v/>
      </c>
      <c r="BU70">
        <f>IFERROR(INDEX(PP_Grid[#Data],$DD70,71),0)</f>
        <v/>
      </c>
      <c r="BV70">
        <f>IFERROR(INDEX(PP_Grid[#Data],$DD70,72),0)</f>
        <v/>
      </c>
      <c r="BW70">
        <f>IFERROR(INDEX(PP_Grid[#Data],$DD70,73),0)</f>
        <v/>
      </c>
      <c r="BX70">
        <f>IFERROR(INDEX(PP_Grid[#Data],$DD70,74),0)</f>
        <v/>
      </c>
      <c r="BY70">
        <f>IFERROR(INDEX(PP_Grid[#Data],$DD70,75),0)</f>
        <v/>
      </c>
      <c r="BZ70">
        <f>IFERROR(INDEX(PP_Grid[#Data],$DD70,76),0)</f>
        <v/>
      </c>
      <c r="CA70">
        <f>IFERROR(INDEX(PP_Grid[#Data],$DD70,77),0)</f>
        <v/>
      </c>
      <c r="CB70">
        <f>IFERROR(INDEX(PP_Grid[#Data],$DD70,78),0)</f>
        <v/>
      </c>
      <c r="CC70">
        <f>IFERROR(INDEX(PP_Grid[#Data],$DD70,79),0)</f>
        <v/>
      </c>
      <c r="CD70">
        <f>IFERROR(INDEX(PP_Grid[#Data],$DD70,80),0)</f>
        <v/>
      </c>
      <c r="CE70">
        <f>IFERROR(INDEX(PP_Grid[#Data],$DD70,81),0)</f>
        <v/>
      </c>
      <c r="CF70">
        <f>IFERROR(INDEX(PP_Grid[#Data],$DD70,82),0)</f>
        <v/>
      </c>
      <c r="CG70">
        <f>IFERROR(INDEX(PP_Grid[#Data],$DD70,83),0)</f>
        <v/>
      </c>
      <c r="CH70">
        <f>IFERROR(INDEX(PP_Grid[#Data],$DD70,84),0)</f>
        <v/>
      </c>
      <c r="CI70">
        <f>IFERROR(INDEX(PP_Grid[#Data],$DD70,85),0)</f>
        <v/>
      </c>
      <c r="CJ70">
        <f>IFERROR(INDEX(PP_Grid[#Data],$DD70,86),0)</f>
        <v/>
      </c>
      <c r="CK70">
        <f>IFERROR(INDEX(PP_Grid[#Data],$DD70,87),0)</f>
        <v/>
      </c>
      <c r="CL70">
        <f>IFERROR(INDEX(PP_Grid[#Data],$DD70,88),0)</f>
        <v/>
      </c>
      <c r="CM70">
        <f>IFERROR(INDEX(PP_Grid[#Data],$DD70,89),0)</f>
        <v/>
      </c>
      <c r="CN70">
        <f>IFERROR(INDEX(PP_Grid[#Data],$DD70,90),0)</f>
        <v/>
      </c>
      <c r="CO70">
        <f>IFERROR(INDEX(PP_Grid[#Data],$DD70,91),0)</f>
        <v/>
      </c>
      <c r="CP70">
        <f>IFERROR(INDEX(PP_Grid[#Data],$DD70,92),0)</f>
        <v/>
      </c>
      <c r="CQ70">
        <f>IFERROR(INDEX(PP_Grid[#Data],$DD70,93),0)</f>
        <v/>
      </c>
      <c r="CR70">
        <f>IFERROR(INDEX(PP_Grid[#Data],$DD70,94),0)</f>
        <v/>
      </c>
      <c r="CS70">
        <f>IFERROR(INDEX(PP_Grid[#Data],$DD70,95),0)</f>
        <v/>
      </c>
      <c r="CT70">
        <f>IFERROR(INDEX(PP_Grid[#Data],$DD70,96),0)</f>
        <v/>
      </c>
      <c r="CU70">
        <f>IFERROR(INDEX(PP_Grid[#Data],$DD70,97),0)</f>
        <v/>
      </c>
      <c r="CV70">
        <f>IFERROR(INDEX(PP_Grid[#Data],$DD70,98),0)</f>
        <v/>
      </c>
      <c r="CW70">
        <f>IFERROR(INDEX(PP_Grid[#Data],$DD70,99),0)</f>
        <v/>
      </c>
      <c r="CX70">
        <f>IFERROR(INDEX(PP_Grid[#Data],$DD70,100),0)</f>
        <v/>
      </c>
      <c r="CY70">
        <f>IFERROR(INDEX(PP_Grid[#Data],$DD70,101),0)</f>
        <v/>
      </c>
      <c r="CZ70">
        <f>IFERROR(INDEX(PP_Grid[#Data],$DD70,102),0)</f>
        <v/>
      </c>
      <c r="DA70">
        <f>IFERROR(INDEX(PP_Grid[#Data],$DD70,103),0)</f>
        <v/>
      </c>
      <c r="DB70">
        <f>IFERROR(INDEX(PP_Grid[#Data],$DD70,104),0)</f>
        <v/>
      </c>
      <c r="DC70">
        <f>IFERROR(INDEX(PP_Grid[#Data],$DD70,105),0)</f>
        <v/>
      </c>
      <c r="DD70" s="7">
        <f>IFERROR(MATCH($B70,PP_Grid[Intermediate],0),99999)</f>
        <v/>
      </c>
    </row>
    <row r="71">
      <c r="B71" t="inlineStr">
        <is>
          <t>使用量(kg)</t>
        </is>
      </c>
      <c r="C71">
        <f>SUMIFS(M_BOM[RM_Qty_Per_Batch],M_BOM[Intermediate],$B70,M_BOM[Part Name],$A45)</f>
        <v/>
      </c>
      <c r="D71">
        <f>$C71*D70</f>
        <v/>
      </c>
      <c r="E71">
        <f>$C71*E70</f>
        <v/>
      </c>
      <c r="F71">
        <f>$C71*F70</f>
        <v/>
      </c>
      <c r="G71">
        <f>$C71*G70</f>
        <v/>
      </c>
      <c r="H71">
        <f>$C71*H70</f>
        <v/>
      </c>
      <c r="I71">
        <f>$C71*I70</f>
        <v/>
      </c>
      <c r="J71">
        <f>$C71*J70</f>
        <v/>
      </c>
      <c r="K71">
        <f>$C71*K70</f>
        <v/>
      </c>
      <c r="L71">
        <f>$C71*L70</f>
        <v/>
      </c>
      <c r="M71">
        <f>$C71*M70</f>
        <v/>
      </c>
      <c r="N71">
        <f>$C71*N70</f>
        <v/>
      </c>
      <c r="O71">
        <f>$C71*O70</f>
        <v/>
      </c>
      <c r="P71">
        <f>$C71*P70</f>
        <v/>
      </c>
      <c r="Q71">
        <f>$C71*Q70</f>
        <v/>
      </c>
      <c r="R71">
        <f>$C71*R70</f>
        <v/>
      </c>
      <c r="S71">
        <f>$C71*S70</f>
        <v/>
      </c>
      <c r="T71">
        <f>$C71*T70</f>
        <v/>
      </c>
      <c r="U71">
        <f>$C71*U70</f>
        <v/>
      </c>
      <c r="V71">
        <f>$C71*V70</f>
        <v/>
      </c>
      <c r="W71">
        <f>$C71*W70</f>
        <v/>
      </c>
      <c r="X71">
        <f>$C71*X70</f>
        <v/>
      </c>
      <c r="Y71">
        <f>$C71*Y70</f>
        <v/>
      </c>
      <c r="Z71">
        <f>$C71*Z70</f>
        <v/>
      </c>
      <c r="AA71">
        <f>$C71*AA70</f>
        <v/>
      </c>
      <c r="AB71">
        <f>$C71*AB70</f>
        <v/>
      </c>
      <c r="AC71">
        <f>$C71*AC70</f>
        <v/>
      </c>
      <c r="AD71">
        <f>$C71*AD70</f>
        <v/>
      </c>
      <c r="AE71">
        <f>$C71*AE70</f>
        <v/>
      </c>
      <c r="AF71">
        <f>$C71*AF70</f>
        <v/>
      </c>
      <c r="AG71">
        <f>$C71*AG70</f>
        <v/>
      </c>
      <c r="AH71">
        <f>$C71*AH70</f>
        <v/>
      </c>
      <c r="AI71">
        <f>$C71*AI70</f>
        <v/>
      </c>
      <c r="AJ71">
        <f>$C71*AJ70</f>
        <v/>
      </c>
      <c r="AK71">
        <f>$C71*AK70</f>
        <v/>
      </c>
      <c r="AL71">
        <f>$C71*AL70</f>
        <v/>
      </c>
      <c r="AM71">
        <f>$C71*AM70</f>
        <v/>
      </c>
      <c r="AN71">
        <f>$C71*AN70</f>
        <v/>
      </c>
      <c r="AO71">
        <f>$C71*AO70</f>
        <v/>
      </c>
      <c r="AP71">
        <f>$C71*AP70</f>
        <v/>
      </c>
      <c r="AQ71">
        <f>$C71*AQ70</f>
        <v/>
      </c>
      <c r="AR71">
        <f>$C71*AR70</f>
        <v/>
      </c>
      <c r="AS71">
        <f>$C71*AS70</f>
        <v/>
      </c>
      <c r="AT71">
        <f>$C71*AT70</f>
        <v/>
      </c>
      <c r="AU71">
        <f>$C71*AU70</f>
        <v/>
      </c>
      <c r="AV71">
        <f>$C71*AV70</f>
        <v/>
      </c>
      <c r="AW71">
        <f>$C71*AW70</f>
        <v/>
      </c>
      <c r="AX71">
        <f>$C71*AX70</f>
        <v/>
      </c>
      <c r="AY71">
        <f>$C71*AY70</f>
        <v/>
      </c>
      <c r="AZ71">
        <f>$C71*AZ70</f>
        <v/>
      </c>
      <c r="BA71">
        <f>$C71*BA70</f>
        <v/>
      </c>
      <c r="BB71">
        <f>$C71*BB70</f>
        <v/>
      </c>
      <c r="BC71">
        <f>$C71*BC70</f>
        <v/>
      </c>
      <c r="BD71">
        <f>$C71*BD70</f>
        <v/>
      </c>
      <c r="BE71">
        <f>$C71*BE70</f>
        <v/>
      </c>
      <c r="BF71">
        <f>$C71*BF70</f>
        <v/>
      </c>
      <c r="BG71">
        <f>$C71*BG70</f>
        <v/>
      </c>
      <c r="BH71">
        <f>$C71*BH70</f>
        <v/>
      </c>
      <c r="BI71">
        <f>$C71*BI70</f>
        <v/>
      </c>
      <c r="BJ71">
        <f>$C71*BJ70</f>
        <v/>
      </c>
      <c r="BK71">
        <f>$C71*BK70</f>
        <v/>
      </c>
      <c r="BL71">
        <f>$C71*BL70</f>
        <v/>
      </c>
      <c r="BM71">
        <f>$C71*BM70</f>
        <v/>
      </c>
      <c r="BN71">
        <f>$C71*BN70</f>
        <v/>
      </c>
      <c r="BO71">
        <f>$C71*BO70</f>
        <v/>
      </c>
      <c r="BP71">
        <f>$C71*BP70</f>
        <v/>
      </c>
      <c r="BQ71">
        <f>$C71*BQ70</f>
        <v/>
      </c>
      <c r="BR71">
        <f>$C71*BR70</f>
        <v/>
      </c>
      <c r="BS71">
        <f>$C71*BS70</f>
        <v/>
      </c>
      <c r="BT71">
        <f>$C71*BT70</f>
        <v/>
      </c>
      <c r="BU71">
        <f>$C71*BU70</f>
        <v/>
      </c>
      <c r="BV71">
        <f>$C71*BV70</f>
        <v/>
      </c>
      <c r="BW71">
        <f>$C71*BW70</f>
        <v/>
      </c>
      <c r="BX71">
        <f>$C71*BX70</f>
        <v/>
      </c>
      <c r="BY71">
        <f>$C71*BY70</f>
        <v/>
      </c>
      <c r="BZ71">
        <f>$C71*BZ70</f>
        <v/>
      </c>
      <c r="CA71">
        <f>$C71*CA70</f>
        <v/>
      </c>
      <c r="CB71">
        <f>$C71*CB70</f>
        <v/>
      </c>
      <c r="CC71">
        <f>$C71*CC70</f>
        <v/>
      </c>
      <c r="CD71">
        <f>$C71*CD70</f>
        <v/>
      </c>
      <c r="CE71">
        <f>$C71*CE70</f>
        <v/>
      </c>
      <c r="CF71">
        <f>$C71*CF70</f>
        <v/>
      </c>
      <c r="CG71">
        <f>$C71*CG70</f>
        <v/>
      </c>
      <c r="CH71">
        <f>$C71*CH70</f>
        <v/>
      </c>
      <c r="CI71">
        <f>$C71*CI70</f>
        <v/>
      </c>
      <c r="CJ71">
        <f>$C71*CJ70</f>
        <v/>
      </c>
      <c r="CK71">
        <f>$C71*CK70</f>
        <v/>
      </c>
      <c r="CL71">
        <f>$C71*CL70</f>
        <v/>
      </c>
      <c r="CM71">
        <f>$C71*CM70</f>
        <v/>
      </c>
      <c r="CN71">
        <f>$C71*CN70</f>
        <v/>
      </c>
      <c r="CO71">
        <f>$C71*CO70</f>
        <v/>
      </c>
      <c r="CP71">
        <f>$C71*CP70</f>
        <v/>
      </c>
      <c r="CQ71">
        <f>$C71*CQ70</f>
        <v/>
      </c>
      <c r="CR71">
        <f>$C71*CR70</f>
        <v/>
      </c>
      <c r="CS71">
        <f>$C71*CS70</f>
        <v/>
      </c>
      <c r="CT71">
        <f>$C71*CT70</f>
        <v/>
      </c>
      <c r="CU71">
        <f>$C71*CU70</f>
        <v/>
      </c>
      <c r="CV71">
        <f>$C71*CV70</f>
        <v/>
      </c>
      <c r="CW71">
        <f>$C71*CW70</f>
        <v/>
      </c>
      <c r="CX71">
        <f>$C71*CX70</f>
        <v/>
      </c>
      <c r="CY71">
        <f>$C71*CY70</f>
        <v/>
      </c>
      <c r="CZ71">
        <f>$C71*CZ70</f>
        <v/>
      </c>
      <c r="DA71">
        <f>$C71*DA70</f>
        <v/>
      </c>
      <c r="DB71">
        <f>$C71*DB70</f>
        <v/>
      </c>
      <c r="DC71">
        <f>$C71*DC70</f>
        <v/>
      </c>
    </row>
    <row r="72">
      <c r="B72" t="inlineStr">
        <is>
          <t>TSP-218</t>
        </is>
      </c>
      <c r="C72" t="inlineStr">
        <is>
          <t>No. of batches</t>
        </is>
      </c>
      <c r="D72">
        <f>IFERROR(INDEX(PP_Grid[#Data],$DD72,2),0)</f>
        <v/>
      </c>
      <c r="E72">
        <f>IFERROR(INDEX(PP_Grid[#Data],$DD72,3),0)</f>
        <v/>
      </c>
      <c r="F72">
        <f>IFERROR(INDEX(PP_Grid[#Data],$DD72,4),0)</f>
        <v/>
      </c>
      <c r="G72">
        <f>IFERROR(INDEX(PP_Grid[#Data],$DD72,5),0)</f>
        <v/>
      </c>
      <c r="H72">
        <f>IFERROR(INDEX(PP_Grid[#Data],$DD72,6),0)</f>
        <v/>
      </c>
      <c r="I72">
        <f>IFERROR(INDEX(PP_Grid[#Data],$DD72,7),0)</f>
        <v/>
      </c>
      <c r="J72">
        <f>IFERROR(INDEX(PP_Grid[#Data],$DD72,8),0)</f>
        <v/>
      </c>
      <c r="K72">
        <f>IFERROR(INDEX(PP_Grid[#Data],$DD72,9),0)</f>
        <v/>
      </c>
      <c r="L72">
        <f>IFERROR(INDEX(PP_Grid[#Data],$DD72,10),0)</f>
        <v/>
      </c>
      <c r="M72">
        <f>IFERROR(INDEX(PP_Grid[#Data],$DD72,11),0)</f>
        <v/>
      </c>
      <c r="N72">
        <f>IFERROR(INDEX(PP_Grid[#Data],$DD72,12),0)</f>
        <v/>
      </c>
      <c r="O72">
        <f>IFERROR(INDEX(PP_Grid[#Data],$DD72,13),0)</f>
        <v/>
      </c>
      <c r="P72">
        <f>IFERROR(INDEX(PP_Grid[#Data],$DD72,14),0)</f>
        <v/>
      </c>
      <c r="Q72">
        <f>IFERROR(INDEX(PP_Grid[#Data],$DD72,15),0)</f>
        <v/>
      </c>
      <c r="R72">
        <f>IFERROR(INDEX(PP_Grid[#Data],$DD72,16),0)</f>
        <v/>
      </c>
      <c r="S72">
        <f>IFERROR(INDEX(PP_Grid[#Data],$DD72,17),0)</f>
        <v/>
      </c>
      <c r="T72">
        <f>IFERROR(INDEX(PP_Grid[#Data],$DD72,18),0)</f>
        <v/>
      </c>
      <c r="U72">
        <f>IFERROR(INDEX(PP_Grid[#Data],$DD72,19),0)</f>
        <v/>
      </c>
      <c r="V72">
        <f>IFERROR(INDEX(PP_Grid[#Data],$DD72,20),0)</f>
        <v/>
      </c>
      <c r="W72">
        <f>IFERROR(INDEX(PP_Grid[#Data],$DD72,21),0)</f>
        <v/>
      </c>
      <c r="X72">
        <f>IFERROR(INDEX(PP_Grid[#Data],$DD72,22),0)</f>
        <v/>
      </c>
      <c r="Y72">
        <f>IFERROR(INDEX(PP_Grid[#Data],$DD72,23),0)</f>
        <v/>
      </c>
      <c r="Z72">
        <f>IFERROR(INDEX(PP_Grid[#Data],$DD72,24),0)</f>
        <v/>
      </c>
      <c r="AA72">
        <f>IFERROR(INDEX(PP_Grid[#Data],$DD72,25),0)</f>
        <v/>
      </c>
      <c r="AB72">
        <f>IFERROR(INDEX(PP_Grid[#Data],$DD72,26),0)</f>
        <v/>
      </c>
      <c r="AC72">
        <f>IFERROR(INDEX(PP_Grid[#Data],$DD72,27),0)</f>
        <v/>
      </c>
      <c r="AD72">
        <f>IFERROR(INDEX(PP_Grid[#Data],$DD72,28),0)</f>
        <v/>
      </c>
      <c r="AE72">
        <f>IFERROR(INDEX(PP_Grid[#Data],$DD72,29),0)</f>
        <v/>
      </c>
      <c r="AF72">
        <f>IFERROR(INDEX(PP_Grid[#Data],$DD72,30),0)</f>
        <v/>
      </c>
      <c r="AG72">
        <f>IFERROR(INDEX(PP_Grid[#Data],$DD72,31),0)</f>
        <v/>
      </c>
      <c r="AH72">
        <f>IFERROR(INDEX(PP_Grid[#Data],$DD72,32),0)</f>
        <v/>
      </c>
      <c r="AI72">
        <f>IFERROR(INDEX(PP_Grid[#Data],$DD72,33),0)</f>
        <v/>
      </c>
      <c r="AJ72">
        <f>IFERROR(INDEX(PP_Grid[#Data],$DD72,34),0)</f>
        <v/>
      </c>
      <c r="AK72">
        <f>IFERROR(INDEX(PP_Grid[#Data],$DD72,35),0)</f>
        <v/>
      </c>
      <c r="AL72">
        <f>IFERROR(INDEX(PP_Grid[#Data],$DD72,36),0)</f>
        <v/>
      </c>
      <c r="AM72">
        <f>IFERROR(INDEX(PP_Grid[#Data],$DD72,37),0)</f>
        <v/>
      </c>
      <c r="AN72">
        <f>IFERROR(INDEX(PP_Grid[#Data],$DD72,38),0)</f>
        <v/>
      </c>
      <c r="AO72">
        <f>IFERROR(INDEX(PP_Grid[#Data],$DD72,39),0)</f>
        <v/>
      </c>
      <c r="AP72">
        <f>IFERROR(INDEX(PP_Grid[#Data],$DD72,40),0)</f>
        <v/>
      </c>
      <c r="AQ72">
        <f>IFERROR(INDEX(PP_Grid[#Data],$DD72,41),0)</f>
        <v/>
      </c>
      <c r="AR72">
        <f>IFERROR(INDEX(PP_Grid[#Data],$DD72,42),0)</f>
        <v/>
      </c>
      <c r="AS72">
        <f>IFERROR(INDEX(PP_Grid[#Data],$DD72,43),0)</f>
        <v/>
      </c>
      <c r="AT72">
        <f>IFERROR(INDEX(PP_Grid[#Data],$DD72,44),0)</f>
        <v/>
      </c>
      <c r="AU72">
        <f>IFERROR(INDEX(PP_Grid[#Data],$DD72,45),0)</f>
        <v/>
      </c>
      <c r="AV72">
        <f>IFERROR(INDEX(PP_Grid[#Data],$DD72,46),0)</f>
        <v/>
      </c>
      <c r="AW72">
        <f>IFERROR(INDEX(PP_Grid[#Data],$DD72,47),0)</f>
        <v/>
      </c>
      <c r="AX72">
        <f>IFERROR(INDEX(PP_Grid[#Data],$DD72,48),0)</f>
        <v/>
      </c>
      <c r="AY72">
        <f>IFERROR(INDEX(PP_Grid[#Data],$DD72,49),0)</f>
        <v/>
      </c>
      <c r="AZ72">
        <f>IFERROR(INDEX(PP_Grid[#Data],$DD72,50),0)</f>
        <v/>
      </c>
      <c r="BA72">
        <f>IFERROR(INDEX(PP_Grid[#Data],$DD72,51),0)</f>
        <v/>
      </c>
      <c r="BB72">
        <f>IFERROR(INDEX(PP_Grid[#Data],$DD72,52),0)</f>
        <v/>
      </c>
      <c r="BC72">
        <f>IFERROR(INDEX(PP_Grid[#Data],$DD72,53),0)</f>
        <v/>
      </c>
      <c r="BD72">
        <f>IFERROR(INDEX(PP_Grid[#Data],$DD72,54),0)</f>
        <v/>
      </c>
      <c r="BE72">
        <f>IFERROR(INDEX(PP_Grid[#Data],$DD72,55),0)</f>
        <v/>
      </c>
      <c r="BF72">
        <f>IFERROR(INDEX(PP_Grid[#Data],$DD72,56),0)</f>
        <v/>
      </c>
      <c r="BG72">
        <f>IFERROR(INDEX(PP_Grid[#Data],$DD72,57),0)</f>
        <v/>
      </c>
      <c r="BH72">
        <f>IFERROR(INDEX(PP_Grid[#Data],$DD72,58),0)</f>
        <v/>
      </c>
      <c r="BI72">
        <f>IFERROR(INDEX(PP_Grid[#Data],$DD72,59),0)</f>
        <v/>
      </c>
      <c r="BJ72">
        <f>IFERROR(INDEX(PP_Grid[#Data],$DD72,60),0)</f>
        <v/>
      </c>
      <c r="BK72">
        <f>IFERROR(INDEX(PP_Grid[#Data],$DD72,61),0)</f>
        <v/>
      </c>
      <c r="BL72">
        <f>IFERROR(INDEX(PP_Grid[#Data],$DD72,62),0)</f>
        <v/>
      </c>
      <c r="BM72">
        <f>IFERROR(INDEX(PP_Grid[#Data],$DD72,63),0)</f>
        <v/>
      </c>
      <c r="BN72">
        <f>IFERROR(INDEX(PP_Grid[#Data],$DD72,64),0)</f>
        <v/>
      </c>
      <c r="BO72">
        <f>IFERROR(INDEX(PP_Grid[#Data],$DD72,65),0)</f>
        <v/>
      </c>
      <c r="BP72">
        <f>IFERROR(INDEX(PP_Grid[#Data],$DD72,66),0)</f>
        <v/>
      </c>
      <c r="BQ72">
        <f>IFERROR(INDEX(PP_Grid[#Data],$DD72,67),0)</f>
        <v/>
      </c>
      <c r="BR72">
        <f>IFERROR(INDEX(PP_Grid[#Data],$DD72,68),0)</f>
        <v/>
      </c>
      <c r="BS72">
        <f>IFERROR(INDEX(PP_Grid[#Data],$DD72,69),0)</f>
        <v/>
      </c>
      <c r="BT72">
        <f>IFERROR(INDEX(PP_Grid[#Data],$DD72,70),0)</f>
        <v/>
      </c>
      <c r="BU72">
        <f>IFERROR(INDEX(PP_Grid[#Data],$DD72,71),0)</f>
        <v/>
      </c>
      <c r="BV72">
        <f>IFERROR(INDEX(PP_Grid[#Data],$DD72,72),0)</f>
        <v/>
      </c>
      <c r="BW72">
        <f>IFERROR(INDEX(PP_Grid[#Data],$DD72,73),0)</f>
        <v/>
      </c>
      <c r="BX72">
        <f>IFERROR(INDEX(PP_Grid[#Data],$DD72,74),0)</f>
        <v/>
      </c>
      <c r="BY72">
        <f>IFERROR(INDEX(PP_Grid[#Data],$DD72,75),0)</f>
        <v/>
      </c>
      <c r="BZ72">
        <f>IFERROR(INDEX(PP_Grid[#Data],$DD72,76),0)</f>
        <v/>
      </c>
      <c r="CA72">
        <f>IFERROR(INDEX(PP_Grid[#Data],$DD72,77),0)</f>
        <v/>
      </c>
      <c r="CB72">
        <f>IFERROR(INDEX(PP_Grid[#Data],$DD72,78),0)</f>
        <v/>
      </c>
      <c r="CC72">
        <f>IFERROR(INDEX(PP_Grid[#Data],$DD72,79),0)</f>
        <v/>
      </c>
      <c r="CD72">
        <f>IFERROR(INDEX(PP_Grid[#Data],$DD72,80),0)</f>
        <v/>
      </c>
      <c r="CE72">
        <f>IFERROR(INDEX(PP_Grid[#Data],$DD72,81),0)</f>
        <v/>
      </c>
      <c r="CF72">
        <f>IFERROR(INDEX(PP_Grid[#Data],$DD72,82),0)</f>
        <v/>
      </c>
      <c r="CG72">
        <f>IFERROR(INDEX(PP_Grid[#Data],$DD72,83),0)</f>
        <v/>
      </c>
      <c r="CH72">
        <f>IFERROR(INDEX(PP_Grid[#Data],$DD72,84),0)</f>
        <v/>
      </c>
      <c r="CI72">
        <f>IFERROR(INDEX(PP_Grid[#Data],$DD72,85),0)</f>
        <v/>
      </c>
      <c r="CJ72">
        <f>IFERROR(INDEX(PP_Grid[#Data],$DD72,86),0)</f>
        <v/>
      </c>
      <c r="CK72">
        <f>IFERROR(INDEX(PP_Grid[#Data],$DD72,87),0)</f>
        <v/>
      </c>
      <c r="CL72">
        <f>IFERROR(INDEX(PP_Grid[#Data],$DD72,88),0)</f>
        <v/>
      </c>
      <c r="CM72">
        <f>IFERROR(INDEX(PP_Grid[#Data],$DD72,89),0)</f>
        <v/>
      </c>
      <c r="CN72">
        <f>IFERROR(INDEX(PP_Grid[#Data],$DD72,90),0)</f>
        <v/>
      </c>
      <c r="CO72">
        <f>IFERROR(INDEX(PP_Grid[#Data],$DD72,91),0)</f>
        <v/>
      </c>
      <c r="CP72">
        <f>IFERROR(INDEX(PP_Grid[#Data],$DD72,92),0)</f>
        <v/>
      </c>
      <c r="CQ72">
        <f>IFERROR(INDEX(PP_Grid[#Data],$DD72,93),0)</f>
        <v/>
      </c>
      <c r="CR72">
        <f>IFERROR(INDEX(PP_Grid[#Data],$DD72,94),0)</f>
        <v/>
      </c>
      <c r="CS72">
        <f>IFERROR(INDEX(PP_Grid[#Data],$DD72,95),0)</f>
        <v/>
      </c>
      <c r="CT72">
        <f>IFERROR(INDEX(PP_Grid[#Data],$DD72,96),0)</f>
        <v/>
      </c>
      <c r="CU72">
        <f>IFERROR(INDEX(PP_Grid[#Data],$DD72,97),0)</f>
        <v/>
      </c>
      <c r="CV72">
        <f>IFERROR(INDEX(PP_Grid[#Data],$DD72,98),0)</f>
        <v/>
      </c>
      <c r="CW72">
        <f>IFERROR(INDEX(PP_Grid[#Data],$DD72,99),0)</f>
        <v/>
      </c>
      <c r="CX72">
        <f>IFERROR(INDEX(PP_Grid[#Data],$DD72,100),0)</f>
        <v/>
      </c>
      <c r="CY72">
        <f>IFERROR(INDEX(PP_Grid[#Data],$DD72,101),0)</f>
        <v/>
      </c>
      <c r="CZ72">
        <f>IFERROR(INDEX(PP_Grid[#Data],$DD72,102),0)</f>
        <v/>
      </c>
      <c r="DA72">
        <f>IFERROR(INDEX(PP_Grid[#Data],$DD72,103),0)</f>
        <v/>
      </c>
      <c r="DB72">
        <f>IFERROR(INDEX(PP_Grid[#Data],$DD72,104),0)</f>
        <v/>
      </c>
      <c r="DC72">
        <f>IFERROR(INDEX(PP_Grid[#Data],$DD72,105),0)</f>
        <v/>
      </c>
      <c r="DD72" s="7">
        <f>IFERROR(MATCH($B72,PP_Grid[Intermediate],0),99999)</f>
        <v/>
      </c>
    </row>
    <row r="73">
      <c r="B73" t="inlineStr">
        <is>
          <t>使用量(kg)</t>
        </is>
      </c>
      <c r="C73">
        <f>SUMIFS(M_BOM[RM_Qty_Per_Batch],M_BOM[Intermediate],$B72,M_BOM[Part Name],$A45)</f>
        <v/>
      </c>
      <c r="D73">
        <f>$C73*D72</f>
        <v/>
      </c>
      <c r="E73">
        <f>$C73*E72</f>
        <v/>
      </c>
      <c r="F73">
        <f>$C73*F72</f>
        <v/>
      </c>
      <c r="G73">
        <f>$C73*G72</f>
        <v/>
      </c>
      <c r="H73">
        <f>$C73*H72</f>
        <v/>
      </c>
      <c r="I73">
        <f>$C73*I72</f>
        <v/>
      </c>
      <c r="J73">
        <f>$C73*J72</f>
        <v/>
      </c>
      <c r="K73">
        <f>$C73*K72</f>
        <v/>
      </c>
      <c r="L73">
        <f>$C73*L72</f>
        <v/>
      </c>
      <c r="M73">
        <f>$C73*M72</f>
        <v/>
      </c>
      <c r="N73">
        <f>$C73*N72</f>
        <v/>
      </c>
      <c r="O73">
        <f>$C73*O72</f>
        <v/>
      </c>
      <c r="P73">
        <f>$C73*P72</f>
        <v/>
      </c>
      <c r="Q73">
        <f>$C73*Q72</f>
        <v/>
      </c>
      <c r="R73">
        <f>$C73*R72</f>
        <v/>
      </c>
      <c r="S73">
        <f>$C73*S72</f>
        <v/>
      </c>
      <c r="T73">
        <f>$C73*T72</f>
        <v/>
      </c>
      <c r="U73">
        <f>$C73*U72</f>
        <v/>
      </c>
      <c r="V73">
        <f>$C73*V72</f>
        <v/>
      </c>
      <c r="W73">
        <f>$C73*W72</f>
        <v/>
      </c>
      <c r="X73">
        <f>$C73*X72</f>
        <v/>
      </c>
      <c r="Y73">
        <f>$C73*Y72</f>
        <v/>
      </c>
      <c r="Z73">
        <f>$C73*Z72</f>
        <v/>
      </c>
      <c r="AA73">
        <f>$C73*AA72</f>
        <v/>
      </c>
      <c r="AB73">
        <f>$C73*AB72</f>
        <v/>
      </c>
      <c r="AC73">
        <f>$C73*AC72</f>
        <v/>
      </c>
      <c r="AD73">
        <f>$C73*AD72</f>
        <v/>
      </c>
      <c r="AE73">
        <f>$C73*AE72</f>
        <v/>
      </c>
      <c r="AF73">
        <f>$C73*AF72</f>
        <v/>
      </c>
      <c r="AG73">
        <f>$C73*AG72</f>
        <v/>
      </c>
      <c r="AH73">
        <f>$C73*AH72</f>
        <v/>
      </c>
      <c r="AI73">
        <f>$C73*AI72</f>
        <v/>
      </c>
      <c r="AJ73">
        <f>$C73*AJ72</f>
        <v/>
      </c>
      <c r="AK73">
        <f>$C73*AK72</f>
        <v/>
      </c>
      <c r="AL73">
        <f>$C73*AL72</f>
        <v/>
      </c>
      <c r="AM73">
        <f>$C73*AM72</f>
        <v/>
      </c>
      <c r="AN73">
        <f>$C73*AN72</f>
        <v/>
      </c>
      <c r="AO73">
        <f>$C73*AO72</f>
        <v/>
      </c>
      <c r="AP73">
        <f>$C73*AP72</f>
        <v/>
      </c>
      <c r="AQ73">
        <f>$C73*AQ72</f>
        <v/>
      </c>
      <c r="AR73">
        <f>$C73*AR72</f>
        <v/>
      </c>
      <c r="AS73">
        <f>$C73*AS72</f>
        <v/>
      </c>
      <c r="AT73">
        <f>$C73*AT72</f>
        <v/>
      </c>
      <c r="AU73">
        <f>$C73*AU72</f>
        <v/>
      </c>
      <c r="AV73">
        <f>$C73*AV72</f>
        <v/>
      </c>
      <c r="AW73">
        <f>$C73*AW72</f>
        <v/>
      </c>
      <c r="AX73">
        <f>$C73*AX72</f>
        <v/>
      </c>
      <c r="AY73">
        <f>$C73*AY72</f>
        <v/>
      </c>
      <c r="AZ73">
        <f>$C73*AZ72</f>
        <v/>
      </c>
      <c r="BA73">
        <f>$C73*BA72</f>
        <v/>
      </c>
      <c r="BB73">
        <f>$C73*BB72</f>
        <v/>
      </c>
      <c r="BC73">
        <f>$C73*BC72</f>
        <v/>
      </c>
      <c r="BD73">
        <f>$C73*BD72</f>
        <v/>
      </c>
      <c r="BE73">
        <f>$C73*BE72</f>
        <v/>
      </c>
      <c r="BF73">
        <f>$C73*BF72</f>
        <v/>
      </c>
      <c r="BG73">
        <f>$C73*BG72</f>
        <v/>
      </c>
      <c r="BH73">
        <f>$C73*BH72</f>
        <v/>
      </c>
      <c r="BI73">
        <f>$C73*BI72</f>
        <v/>
      </c>
      <c r="BJ73">
        <f>$C73*BJ72</f>
        <v/>
      </c>
      <c r="BK73">
        <f>$C73*BK72</f>
        <v/>
      </c>
      <c r="BL73">
        <f>$C73*BL72</f>
        <v/>
      </c>
      <c r="BM73">
        <f>$C73*BM72</f>
        <v/>
      </c>
      <c r="BN73">
        <f>$C73*BN72</f>
        <v/>
      </c>
      <c r="BO73">
        <f>$C73*BO72</f>
        <v/>
      </c>
      <c r="BP73">
        <f>$C73*BP72</f>
        <v/>
      </c>
      <c r="BQ73">
        <f>$C73*BQ72</f>
        <v/>
      </c>
      <c r="BR73">
        <f>$C73*BR72</f>
        <v/>
      </c>
      <c r="BS73">
        <f>$C73*BS72</f>
        <v/>
      </c>
      <c r="BT73">
        <f>$C73*BT72</f>
        <v/>
      </c>
      <c r="BU73">
        <f>$C73*BU72</f>
        <v/>
      </c>
      <c r="BV73">
        <f>$C73*BV72</f>
        <v/>
      </c>
      <c r="BW73">
        <f>$C73*BW72</f>
        <v/>
      </c>
      <c r="BX73">
        <f>$C73*BX72</f>
        <v/>
      </c>
      <c r="BY73">
        <f>$C73*BY72</f>
        <v/>
      </c>
      <c r="BZ73">
        <f>$C73*BZ72</f>
        <v/>
      </c>
      <c r="CA73">
        <f>$C73*CA72</f>
        <v/>
      </c>
      <c r="CB73">
        <f>$C73*CB72</f>
        <v/>
      </c>
      <c r="CC73">
        <f>$C73*CC72</f>
        <v/>
      </c>
      <c r="CD73">
        <f>$C73*CD72</f>
        <v/>
      </c>
      <c r="CE73">
        <f>$C73*CE72</f>
        <v/>
      </c>
      <c r="CF73">
        <f>$C73*CF72</f>
        <v/>
      </c>
      <c r="CG73">
        <f>$C73*CG72</f>
        <v/>
      </c>
      <c r="CH73">
        <f>$C73*CH72</f>
        <v/>
      </c>
      <c r="CI73">
        <f>$C73*CI72</f>
        <v/>
      </c>
      <c r="CJ73">
        <f>$C73*CJ72</f>
        <v/>
      </c>
      <c r="CK73">
        <f>$C73*CK72</f>
        <v/>
      </c>
      <c r="CL73">
        <f>$C73*CL72</f>
        <v/>
      </c>
      <c r="CM73">
        <f>$C73*CM72</f>
        <v/>
      </c>
      <c r="CN73">
        <f>$C73*CN72</f>
        <v/>
      </c>
      <c r="CO73">
        <f>$C73*CO72</f>
        <v/>
      </c>
      <c r="CP73">
        <f>$C73*CP72</f>
        <v/>
      </c>
      <c r="CQ73">
        <f>$C73*CQ72</f>
        <v/>
      </c>
      <c r="CR73">
        <f>$C73*CR72</f>
        <v/>
      </c>
      <c r="CS73">
        <f>$C73*CS72</f>
        <v/>
      </c>
      <c r="CT73">
        <f>$C73*CT72</f>
        <v/>
      </c>
      <c r="CU73">
        <f>$C73*CU72</f>
        <v/>
      </c>
      <c r="CV73">
        <f>$C73*CV72</f>
        <v/>
      </c>
      <c r="CW73">
        <f>$C73*CW72</f>
        <v/>
      </c>
      <c r="CX73">
        <f>$C73*CX72</f>
        <v/>
      </c>
      <c r="CY73">
        <f>$C73*CY72</f>
        <v/>
      </c>
      <c r="CZ73">
        <f>$C73*CZ72</f>
        <v/>
      </c>
      <c r="DA73">
        <f>$C73*DA72</f>
        <v/>
      </c>
      <c r="DB73">
        <f>$C73*DB72</f>
        <v/>
      </c>
      <c r="DC73">
        <f>$C73*DC72</f>
        <v/>
      </c>
    </row>
    <row r="74">
      <c r="B74" t="inlineStr">
        <is>
          <t>TSP-219</t>
        </is>
      </c>
      <c r="C74" t="inlineStr">
        <is>
          <t>No. of batches</t>
        </is>
      </c>
      <c r="D74">
        <f>IFERROR(INDEX(PP_Grid[#Data],$DD74,2),0)</f>
        <v/>
      </c>
      <c r="E74">
        <f>IFERROR(INDEX(PP_Grid[#Data],$DD74,3),0)</f>
        <v/>
      </c>
      <c r="F74">
        <f>IFERROR(INDEX(PP_Grid[#Data],$DD74,4),0)</f>
        <v/>
      </c>
      <c r="G74">
        <f>IFERROR(INDEX(PP_Grid[#Data],$DD74,5),0)</f>
        <v/>
      </c>
      <c r="H74">
        <f>IFERROR(INDEX(PP_Grid[#Data],$DD74,6),0)</f>
        <v/>
      </c>
      <c r="I74">
        <f>IFERROR(INDEX(PP_Grid[#Data],$DD74,7),0)</f>
        <v/>
      </c>
      <c r="J74">
        <f>IFERROR(INDEX(PP_Grid[#Data],$DD74,8),0)</f>
        <v/>
      </c>
      <c r="K74">
        <f>IFERROR(INDEX(PP_Grid[#Data],$DD74,9),0)</f>
        <v/>
      </c>
      <c r="L74">
        <f>IFERROR(INDEX(PP_Grid[#Data],$DD74,10),0)</f>
        <v/>
      </c>
      <c r="M74">
        <f>IFERROR(INDEX(PP_Grid[#Data],$DD74,11),0)</f>
        <v/>
      </c>
      <c r="N74">
        <f>IFERROR(INDEX(PP_Grid[#Data],$DD74,12),0)</f>
        <v/>
      </c>
      <c r="O74">
        <f>IFERROR(INDEX(PP_Grid[#Data],$DD74,13),0)</f>
        <v/>
      </c>
      <c r="P74">
        <f>IFERROR(INDEX(PP_Grid[#Data],$DD74,14),0)</f>
        <v/>
      </c>
      <c r="Q74">
        <f>IFERROR(INDEX(PP_Grid[#Data],$DD74,15),0)</f>
        <v/>
      </c>
      <c r="R74">
        <f>IFERROR(INDEX(PP_Grid[#Data],$DD74,16),0)</f>
        <v/>
      </c>
      <c r="S74">
        <f>IFERROR(INDEX(PP_Grid[#Data],$DD74,17),0)</f>
        <v/>
      </c>
      <c r="T74">
        <f>IFERROR(INDEX(PP_Grid[#Data],$DD74,18),0)</f>
        <v/>
      </c>
      <c r="U74">
        <f>IFERROR(INDEX(PP_Grid[#Data],$DD74,19),0)</f>
        <v/>
      </c>
      <c r="V74">
        <f>IFERROR(INDEX(PP_Grid[#Data],$DD74,20),0)</f>
        <v/>
      </c>
      <c r="W74">
        <f>IFERROR(INDEX(PP_Grid[#Data],$DD74,21),0)</f>
        <v/>
      </c>
      <c r="X74">
        <f>IFERROR(INDEX(PP_Grid[#Data],$DD74,22),0)</f>
        <v/>
      </c>
      <c r="Y74">
        <f>IFERROR(INDEX(PP_Grid[#Data],$DD74,23),0)</f>
        <v/>
      </c>
      <c r="Z74">
        <f>IFERROR(INDEX(PP_Grid[#Data],$DD74,24),0)</f>
        <v/>
      </c>
      <c r="AA74">
        <f>IFERROR(INDEX(PP_Grid[#Data],$DD74,25),0)</f>
        <v/>
      </c>
      <c r="AB74">
        <f>IFERROR(INDEX(PP_Grid[#Data],$DD74,26),0)</f>
        <v/>
      </c>
      <c r="AC74">
        <f>IFERROR(INDEX(PP_Grid[#Data],$DD74,27),0)</f>
        <v/>
      </c>
      <c r="AD74">
        <f>IFERROR(INDEX(PP_Grid[#Data],$DD74,28),0)</f>
        <v/>
      </c>
      <c r="AE74">
        <f>IFERROR(INDEX(PP_Grid[#Data],$DD74,29),0)</f>
        <v/>
      </c>
      <c r="AF74">
        <f>IFERROR(INDEX(PP_Grid[#Data],$DD74,30),0)</f>
        <v/>
      </c>
      <c r="AG74">
        <f>IFERROR(INDEX(PP_Grid[#Data],$DD74,31),0)</f>
        <v/>
      </c>
      <c r="AH74">
        <f>IFERROR(INDEX(PP_Grid[#Data],$DD74,32),0)</f>
        <v/>
      </c>
      <c r="AI74">
        <f>IFERROR(INDEX(PP_Grid[#Data],$DD74,33),0)</f>
        <v/>
      </c>
      <c r="AJ74">
        <f>IFERROR(INDEX(PP_Grid[#Data],$DD74,34),0)</f>
        <v/>
      </c>
      <c r="AK74">
        <f>IFERROR(INDEX(PP_Grid[#Data],$DD74,35),0)</f>
        <v/>
      </c>
      <c r="AL74">
        <f>IFERROR(INDEX(PP_Grid[#Data],$DD74,36),0)</f>
        <v/>
      </c>
      <c r="AM74">
        <f>IFERROR(INDEX(PP_Grid[#Data],$DD74,37),0)</f>
        <v/>
      </c>
      <c r="AN74">
        <f>IFERROR(INDEX(PP_Grid[#Data],$DD74,38),0)</f>
        <v/>
      </c>
      <c r="AO74">
        <f>IFERROR(INDEX(PP_Grid[#Data],$DD74,39),0)</f>
        <v/>
      </c>
      <c r="AP74">
        <f>IFERROR(INDEX(PP_Grid[#Data],$DD74,40),0)</f>
        <v/>
      </c>
      <c r="AQ74">
        <f>IFERROR(INDEX(PP_Grid[#Data],$DD74,41),0)</f>
        <v/>
      </c>
      <c r="AR74">
        <f>IFERROR(INDEX(PP_Grid[#Data],$DD74,42),0)</f>
        <v/>
      </c>
      <c r="AS74">
        <f>IFERROR(INDEX(PP_Grid[#Data],$DD74,43),0)</f>
        <v/>
      </c>
      <c r="AT74">
        <f>IFERROR(INDEX(PP_Grid[#Data],$DD74,44),0)</f>
        <v/>
      </c>
      <c r="AU74">
        <f>IFERROR(INDEX(PP_Grid[#Data],$DD74,45),0)</f>
        <v/>
      </c>
      <c r="AV74">
        <f>IFERROR(INDEX(PP_Grid[#Data],$DD74,46),0)</f>
        <v/>
      </c>
      <c r="AW74">
        <f>IFERROR(INDEX(PP_Grid[#Data],$DD74,47),0)</f>
        <v/>
      </c>
      <c r="AX74">
        <f>IFERROR(INDEX(PP_Grid[#Data],$DD74,48),0)</f>
        <v/>
      </c>
      <c r="AY74">
        <f>IFERROR(INDEX(PP_Grid[#Data],$DD74,49),0)</f>
        <v/>
      </c>
      <c r="AZ74">
        <f>IFERROR(INDEX(PP_Grid[#Data],$DD74,50),0)</f>
        <v/>
      </c>
      <c r="BA74">
        <f>IFERROR(INDEX(PP_Grid[#Data],$DD74,51),0)</f>
        <v/>
      </c>
      <c r="BB74">
        <f>IFERROR(INDEX(PP_Grid[#Data],$DD74,52),0)</f>
        <v/>
      </c>
      <c r="BC74">
        <f>IFERROR(INDEX(PP_Grid[#Data],$DD74,53),0)</f>
        <v/>
      </c>
      <c r="BD74">
        <f>IFERROR(INDEX(PP_Grid[#Data],$DD74,54),0)</f>
        <v/>
      </c>
      <c r="BE74">
        <f>IFERROR(INDEX(PP_Grid[#Data],$DD74,55),0)</f>
        <v/>
      </c>
      <c r="BF74">
        <f>IFERROR(INDEX(PP_Grid[#Data],$DD74,56),0)</f>
        <v/>
      </c>
      <c r="BG74">
        <f>IFERROR(INDEX(PP_Grid[#Data],$DD74,57),0)</f>
        <v/>
      </c>
      <c r="BH74">
        <f>IFERROR(INDEX(PP_Grid[#Data],$DD74,58),0)</f>
        <v/>
      </c>
      <c r="BI74">
        <f>IFERROR(INDEX(PP_Grid[#Data],$DD74,59),0)</f>
        <v/>
      </c>
      <c r="BJ74">
        <f>IFERROR(INDEX(PP_Grid[#Data],$DD74,60),0)</f>
        <v/>
      </c>
      <c r="BK74">
        <f>IFERROR(INDEX(PP_Grid[#Data],$DD74,61),0)</f>
        <v/>
      </c>
      <c r="BL74">
        <f>IFERROR(INDEX(PP_Grid[#Data],$DD74,62),0)</f>
        <v/>
      </c>
      <c r="BM74">
        <f>IFERROR(INDEX(PP_Grid[#Data],$DD74,63),0)</f>
        <v/>
      </c>
      <c r="BN74">
        <f>IFERROR(INDEX(PP_Grid[#Data],$DD74,64),0)</f>
        <v/>
      </c>
      <c r="BO74">
        <f>IFERROR(INDEX(PP_Grid[#Data],$DD74,65),0)</f>
        <v/>
      </c>
      <c r="BP74">
        <f>IFERROR(INDEX(PP_Grid[#Data],$DD74,66),0)</f>
        <v/>
      </c>
      <c r="BQ74">
        <f>IFERROR(INDEX(PP_Grid[#Data],$DD74,67),0)</f>
        <v/>
      </c>
      <c r="BR74">
        <f>IFERROR(INDEX(PP_Grid[#Data],$DD74,68),0)</f>
        <v/>
      </c>
      <c r="BS74">
        <f>IFERROR(INDEX(PP_Grid[#Data],$DD74,69),0)</f>
        <v/>
      </c>
      <c r="BT74">
        <f>IFERROR(INDEX(PP_Grid[#Data],$DD74,70),0)</f>
        <v/>
      </c>
      <c r="BU74">
        <f>IFERROR(INDEX(PP_Grid[#Data],$DD74,71),0)</f>
        <v/>
      </c>
      <c r="BV74">
        <f>IFERROR(INDEX(PP_Grid[#Data],$DD74,72),0)</f>
        <v/>
      </c>
      <c r="BW74">
        <f>IFERROR(INDEX(PP_Grid[#Data],$DD74,73),0)</f>
        <v/>
      </c>
      <c r="BX74">
        <f>IFERROR(INDEX(PP_Grid[#Data],$DD74,74),0)</f>
        <v/>
      </c>
      <c r="BY74">
        <f>IFERROR(INDEX(PP_Grid[#Data],$DD74,75),0)</f>
        <v/>
      </c>
      <c r="BZ74">
        <f>IFERROR(INDEX(PP_Grid[#Data],$DD74,76),0)</f>
        <v/>
      </c>
      <c r="CA74">
        <f>IFERROR(INDEX(PP_Grid[#Data],$DD74,77),0)</f>
        <v/>
      </c>
      <c r="CB74">
        <f>IFERROR(INDEX(PP_Grid[#Data],$DD74,78),0)</f>
        <v/>
      </c>
      <c r="CC74">
        <f>IFERROR(INDEX(PP_Grid[#Data],$DD74,79),0)</f>
        <v/>
      </c>
      <c r="CD74">
        <f>IFERROR(INDEX(PP_Grid[#Data],$DD74,80),0)</f>
        <v/>
      </c>
      <c r="CE74">
        <f>IFERROR(INDEX(PP_Grid[#Data],$DD74,81),0)</f>
        <v/>
      </c>
      <c r="CF74">
        <f>IFERROR(INDEX(PP_Grid[#Data],$DD74,82),0)</f>
        <v/>
      </c>
      <c r="CG74">
        <f>IFERROR(INDEX(PP_Grid[#Data],$DD74,83),0)</f>
        <v/>
      </c>
      <c r="CH74">
        <f>IFERROR(INDEX(PP_Grid[#Data],$DD74,84),0)</f>
        <v/>
      </c>
      <c r="CI74">
        <f>IFERROR(INDEX(PP_Grid[#Data],$DD74,85),0)</f>
        <v/>
      </c>
      <c r="CJ74">
        <f>IFERROR(INDEX(PP_Grid[#Data],$DD74,86),0)</f>
        <v/>
      </c>
      <c r="CK74">
        <f>IFERROR(INDEX(PP_Grid[#Data],$DD74,87),0)</f>
        <v/>
      </c>
      <c r="CL74">
        <f>IFERROR(INDEX(PP_Grid[#Data],$DD74,88),0)</f>
        <v/>
      </c>
      <c r="CM74">
        <f>IFERROR(INDEX(PP_Grid[#Data],$DD74,89),0)</f>
        <v/>
      </c>
      <c r="CN74">
        <f>IFERROR(INDEX(PP_Grid[#Data],$DD74,90),0)</f>
        <v/>
      </c>
      <c r="CO74">
        <f>IFERROR(INDEX(PP_Grid[#Data],$DD74,91),0)</f>
        <v/>
      </c>
      <c r="CP74">
        <f>IFERROR(INDEX(PP_Grid[#Data],$DD74,92),0)</f>
        <v/>
      </c>
      <c r="CQ74">
        <f>IFERROR(INDEX(PP_Grid[#Data],$DD74,93),0)</f>
        <v/>
      </c>
      <c r="CR74">
        <f>IFERROR(INDEX(PP_Grid[#Data],$DD74,94),0)</f>
        <v/>
      </c>
      <c r="CS74">
        <f>IFERROR(INDEX(PP_Grid[#Data],$DD74,95),0)</f>
        <v/>
      </c>
      <c r="CT74">
        <f>IFERROR(INDEX(PP_Grid[#Data],$DD74,96),0)</f>
        <v/>
      </c>
      <c r="CU74">
        <f>IFERROR(INDEX(PP_Grid[#Data],$DD74,97),0)</f>
        <v/>
      </c>
      <c r="CV74">
        <f>IFERROR(INDEX(PP_Grid[#Data],$DD74,98),0)</f>
        <v/>
      </c>
      <c r="CW74">
        <f>IFERROR(INDEX(PP_Grid[#Data],$DD74,99),0)</f>
        <v/>
      </c>
      <c r="CX74">
        <f>IFERROR(INDEX(PP_Grid[#Data],$DD74,100),0)</f>
        <v/>
      </c>
      <c r="CY74">
        <f>IFERROR(INDEX(PP_Grid[#Data],$DD74,101),0)</f>
        <v/>
      </c>
      <c r="CZ74">
        <f>IFERROR(INDEX(PP_Grid[#Data],$DD74,102),0)</f>
        <v/>
      </c>
      <c r="DA74">
        <f>IFERROR(INDEX(PP_Grid[#Data],$DD74,103),0)</f>
        <v/>
      </c>
      <c r="DB74">
        <f>IFERROR(INDEX(PP_Grid[#Data],$DD74,104),0)</f>
        <v/>
      </c>
      <c r="DC74">
        <f>IFERROR(INDEX(PP_Grid[#Data],$DD74,105),0)</f>
        <v/>
      </c>
      <c r="DD74" s="7">
        <f>IFERROR(MATCH($B74,PP_Grid[Intermediate],0),99999)</f>
        <v/>
      </c>
    </row>
    <row r="75">
      <c r="B75" t="inlineStr">
        <is>
          <t>使用量(kg)</t>
        </is>
      </c>
      <c r="C75">
        <f>SUMIFS(M_BOM[RM_Qty_Per_Batch],M_BOM[Intermediate],$B74,M_BOM[Part Name],$A45)</f>
        <v/>
      </c>
      <c r="D75">
        <f>$C75*D74</f>
        <v/>
      </c>
      <c r="E75">
        <f>$C75*E74</f>
        <v/>
      </c>
      <c r="F75">
        <f>$C75*F74</f>
        <v/>
      </c>
      <c r="G75">
        <f>$C75*G74</f>
        <v/>
      </c>
      <c r="H75">
        <f>$C75*H74</f>
        <v/>
      </c>
      <c r="I75">
        <f>$C75*I74</f>
        <v/>
      </c>
      <c r="J75">
        <f>$C75*J74</f>
        <v/>
      </c>
      <c r="K75">
        <f>$C75*K74</f>
        <v/>
      </c>
      <c r="L75">
        <f>$C75*L74</f>
        <v/>
      </c>
      <c r="M75">
        <f>$C75*M74</f>
        <v/>
      </c>
      <c r="N75">
        <f>$C75*N74</f>
        <v/>
      </c>
      <c r="O75">
        <f>$C75*O74</f>
        <v/>
      </c>
      <c r="P75">
        <f>$C75*P74</f>
        <v/>
      </c>
      <c r="Q75">
        <f>$C75*Q74</f>
        <v/>
      </c>
      <c r="R75">
        <f>$C75*R74</f>
        <v/>
      </c>
      <c r="S75">
        <f>$C75*S74</f>
        <v/>
      </c>
      <c r="T75">
        <f>$C75*T74</f>
        <v/>
      </c>
      <c r="U75">
        <f>$C75*U74</f>
        <v/>
      </c>
      <c r="V75">
        <f>$C75*V74</f>
        <v/>
      </c>
      <c r="W75">
        <f>$C75*W74</f>
        <v/>
      </c>
      <c r="X75">
        <f>$C75*X74</f>
        <v/>
      </c>
      <c r="Y75">
        <f>$C75*Y74</f>
        <v/>
      </c>
      <c r="Z75">
        <f>$C75*Z74</f>
        <v/>
      </c>
      <c r="AA75">
        <f>$C75*AA74</f>
        <v/>
      </c>
      <c r="AB75">
        <f>$C75*AB74</f>
        <v/>
      </c>
      <c r="AC75">
        <f>$C75*AC74</f>
        <v/>
      </c>
      <c r="AD75">
        <f>$C75*AD74</f>
        <v/>
      </c>
      <c r="AE75">
        <f>$C75*AE74</f>
        <v/>
      </c>
      <c r="AF75">
        <f>$C75*AF74</f>
        <v/>
      </c>
      <c r="AG75">
        <f>$C75*AG74</f>
        <v/>
      </c>
      <c r="AH75">
        <f>$C75*AH74</f>
        <v/>
      </c>
      <c r="AI75">
        <f>$C75*AI74</f>
        <v/>
      </c>
      <c r="AJ75">
        <f>$C75*AJ74</f>
        <v/>
      </c>
      <c r="AK75">
        <f>$C75*AK74</f>
        <v/>
      </c>
      <c r="AL75">
        <f>$C75*AL74</f>
        <v/>
      </c>
      <c r="AM75">
        <f>$C75*AM74</f>
        <v/>
      </c>
      <c r="AN75">
        <f>$C75*AN74</f>
        <v/>
      </c>
      <c r="AO75">
        <f>$C75*AO74</f>
        <v/>
      </c>
      <c r="AP75">
        <f>$C75*AP74</f>
        <v/>
      </c>
      <c r="AQ75">
        <f>$C75*AQ74</f>
        <v/>
      </c>
      <c r="AR75">
        <f>$C75*AR74</f>
        <v/>
      </c>
      <c r="AS75">
        <f>$C75*AS74</f>
        <v/>
      </c>
      <c r="AT75">
        <f>$C75*AT74</f>
        <v/>
      </c>
      <c r="AU75">
        <f>$C75*AU74</f>
        <v/>
      </c>
      <c r="AV75">
        <f>$C75*AV74</f>
        <v/>
      </c>
      <c r="AW75">
        <f>$C75*AW74</f>
        <v/>
      </c>
      <c r="AX75">
        <f>$C75*AX74</f>
        <v/>
      </c>
      <c r="AY75">
        <f>$C75*AY74</f>
        <v/>
      </c>
      <c r="AZ75">
        <f>$C75*AZ74</f>
        <v/>
      </c>
      <c r="BA75">
        <f>$C75*BA74</f>
        <v/>
      </c>
      <c r="BB75">
        <f>$C75*BB74</f>
        <v/>
      </c>
      <c r="BC75">
        <f>$C75*BC74</f>
        <v/>
      </c>
      <c r="BD75">
        <f>$C75*BD74</f>
        <v/>
      </c>
      <c r="BE75">
        <f>$C75*BE74</f>
        <v/>
      </c>
      <c r="BF75">
        <f>$C75*BF74</f>
        <v/>
      </c>
      <c r="BG75">
        <f>$C75*BG74</f>
        <v/>
      </c>
      <c r="BH75">
        <f>$C75*BH74</f>
        <v/>
      </c>
      <c r="BI75">
        <f>$C75*BI74</f>
        <v/>
      </c>
      <c r="BJ75">
        <f>$C75*BJ74</f>
        <v/>
      </c>
      <c r="BK75">
        <f>$C75*BK74</f>
        <v/>
      </c>
      <c r="BL75">
        <f>$C75*BL74</f>
        <v/>
      </c>
      <c r="BM75">
        <f>$C75*BM74</f>
        <v/>
      </c>
      <c r="BN75">
        <f>$C75*BN74</f>
        <v/>
      </c>
      <c r="BO75">
        <f>$C75*BO74</f>
        <v/>
      </c>
      <c r="BP75">
        <f>$C75*BP74</f>
        <v/>
      </c>
      <c r="BQ75">
        <f>$C75*BQ74</f>
        <v/>
      </c>
      <c r="BR75">
        <f>$C75*BR74</f>
        <v/>
      </c>
      <c r="BS75">
        <f>$C75*BS74</f>
        <v/>
      </c>
      <c r="BT75">
        <f>$C75*BT74</f>
        <v/>
      </c>
      <c r="BU75">
        <f>$C75*BU74</f>
        <v/>
      </c>
      <c r="BV75">
        <f>$C75*BV74</f>
        <v/>
      </c>
      <c r="BW75">
        <f>$C75*BW74</f>
        <v/>
      </c>
      <c r="BX75">
        <f>$C75*BX74</f>
        <v/>
      </c>
      <c r="BY75">
        <f>$C75*BY74</f>
        <v/>
      </c>
      <c r="BZ75">
        <f>$C75*BZ74</f>
        <v/>
      </c>
      <c r="CA75">
        <f>$C75*CA74</f>
        <v/>
      </c>
      <c r="CB75">
        <f>$C75*CB74</f>
        <v/>
      </c>
      <c r="CC75">
        <f>$C75*CC74</f>
        <v/>
      </c>
      <c r="CD75">
        <f>$C75*CD74</f>
        <v/>
      </c>
      <c r="CE75">
        <f>$C75*CE74</f>
        <v/>
      </c>
      <c r="CF75">
        <f>$C75*CF74</f>
        <v/>
      </c>
      <c r="CG75">
        <f>$C75*CG74</f>
        <v/>
      </c>
      <c r="CH75">
        <f>$C75*CH74</f>
        <v/>
      </c>
      <c r="CI75">
        <f>$C75*CI74</f>
        <v/>
      </c>
      <c r="CJ75">
        <f>$C75*CJ74</f>
        <v/>
      </c>
      <c r="CK75">
        <f>$C75*CK74</f>
        <v/>
      </c>
      <c r="CL75">
        <f>$C75*CL74</f>
        <v/>
      </c>
      <c r="CM75">
        <f>$C75*CM74</f>
        <v/>
      </c>
      <c r="CN75">
        <f>$C75*CN74</f>
        <v/>
      </c>
      <c r="CO75">
        <f>$C75*CO74</f>
        <v/>
      </c>
      <c r="CP75">
        <f>$C75*CP74</f>
        <v/>
      </c>
      <c r="CQ75">
        <f>$C75*CQ74</f>
        <v/>
      </c>
      <c r="CR75">
        <f>$C75*CR74</f>
        <v/>
      </c>
      <c r="CS75">
        <f>$C75*CS74</f>
        <v/>
      </c>
      <c r="CT75">
        <f>$C75*CT74</f>
        <v/>
      </c>
      <c r="CU75">
        <f>$C75*CU74</f>
        <v/>
      </c>
      <c r="CV75">
        <f>$C75*CV74</f>
        <v/>
      </c>
      <c r="CW75">
        <f>$C75*CW74</f>
        <v/>
      </c>
      <c r="CX75">
        <f>$C75*CX74</f>
        <v/>
      </c>
      <c r="CY75">
        <f>$C75*CY74</f>
        <v/>
      </c>
      <c r="CZ75">
        <f>$C75*CZ74</f>
        <v/>
      </c>
      <c r="DA75">
        <f>$C75*DA74</f>
        <v/>
      </c>
      <c r="DB75">
        <f>$C75*DB74</f>
        <v/>
      </c>
      <c r="DC75">
        <f>$C75*DC74</f>
        <v/>
      </c>
    </row>
    <row r="76">
      <c r="B76" t="inlineStr">
        <is>
          <t>TSP-224</t>
        </is>
      </c>
      <c r="C76" t="inlineStr">
        <is>
          <t>No. of batches</t>
        </is>
      </c>
      <c r="D76">
        <f>IFERROR(INDEX(PP_Grid[#Data],$DD76,2),0)</f>
        <v/>
      </c>
      <c r="E76">
        <f>IFERROR(INDEX(PP_Grid[#Data],$DD76,3),0)</f>
        <v/>
      </c>
      <c r="F76">
        <f>IFERROR(INDEX(PP_Grid[#Data],$DD76,4),0)</f>
        <v/>
      </c>
      <c r="G76">
        <f>IFERROR(INDEX(PP_Grid[#Data],$DD76,5),0)</f>
        <v/>
      </c>
      <c r="H76">
        <f>IFERROR(INDEX(PP_Grid[#Data],$DD76,6),0)</f>
        <v/>
      </c>
      <c r="I76">
        <f>IFERROR(INDEX(PP_Grid[#Data],$DD76,7),0)</f>
        <v/>
      </c>
      <c r="J76">
        <f>IFERROR(INDEX(PP_Grid[#Data],$DD76,8),0)</f>
        <v/>
      </c>
      <c r="K76">
        <f>IFERROR(INDEX(PP_Grid[#Data],$DD76,9),0)</f>
        <v/>
      </c>
      <c r="L76">
        <f>IFERROR(INDEX(PP_Grid[#Data],$DD76,10),0)</f>
        <v/>
      </c>
      <c r="M76">
        <f>IFERROR(INDEX(PP_Grid[#Data],$DD76,11),0)</f>
        <v/>
      </c>
      <c r="N76">
        <f>IFERROR(INDEX(PP_Grid[#Data],$DD76,12),0)</f>
        <v/>
      </c>
      <c r="O76">
        <f>IFERROR(INDEX(PP_Grid[#Data],$DD76,13),0)</f>
        <v/>
      </c>
      <c r="P76">
        <f>IFERROR(INDEX(PP_Grid[#Data],$DD76,14),0)</f>
        <v/>
      </c>
      <c r="Q76">
        <f>IFERROR(INDEX(PP_Grid[#Data],$DD76,15),0)</f>
        <v/>
      </c>
      <c r="R76">
        <f>IFERROR(INDEX(PP_Grid[#Data],$DD76,16),0)</f>
        <v/>
      </c>
      <c r="S76">
        <f>IFERROR(INDEX(PP_Grid[#Data],$DD76,17),0)</f>
        <v/>
      </c>
      <c r="T76">
        <f>IFERROR(INDEX(PP_Grid[#Data],$DD76,18),0)</f>
        <v/>
      </c>
      <c r="U76">
        <f>IFERROR(INDEX(PP_Grid[#Data],$DD76,19),0)</f>
        <v/>
      </c>
      <c r="V76">
        <f>IFERROR(INDEX(PP_Grid[#Data],$DD76,20),0)</f>
        <v/>
      </c>
      <c r="W76">
        <f>IFERROR(INDEX(PP_Grid[#Data],$DD76,21),0)</f>
        <v/>
      </c>
      <c r="X76">
        <f>IFERROR(INDEX(PP_Grid[#Data],$DD76,22),0)</f>
        <v/>
      </c>
      <c r="Y76">
        <f>IFERROR(INDEX(PP_Grid[#Data],$DD76,23),0)</f>
        <v/>
      </c>
      <c r="Z76">
        <f>IFERROR(INDEX(PP_Grid[#Data],$DD76,24),0)</f>
        <v/>
      </c>
      <c r="AA76">
        <f>IFERROR(INDEX(PP_Grid[#Data],$DD76,25),0)</f>
        <v/>
      </c>
      <c r="AB76">
        <f>IFERROR(INDEX(PP_Grid[#Data],$DD76,26),0)</f>
        <v/>
      </c>
      <c r="AC76">
        <f>IFERROR(INDEX(PP_Grid[#Data],$DD76,27),0)</f>
        <v/>
      </c>
      <c r="AD76">
        <f>IFERROR(INDEX(PP_Grid[#Data],$DD76,28),0)</f>
        <v/>
      </c>
      <c r="AE76">
        <f>IFERROR(INDEX(PP_Grid[#Data],$DD76,29),0)</f>
        <v/>
      </c>
      <c r="AF76">
        <f>IFERROR(INDEX(PP_Grid[#Data],$DD76,30),0)</f>
        <v/>
      </c>
      <c r="AG76">
        <f>IFERROR(INDEX(PP_Grid[#Data],$DD76,31),0)</f>
        <v/>
      </c>
      <c r="AH76">
        <f>IFERROR(INDEX(PP_Grid[#Data],$DD76,32),0)</f>
        <v/>
      </c>
      <c r="AI76">
        <f>IFERROR(INDEX(PP_Grid[#Data],$DD76,33),0)</f>
        <v/>
      </c>
      <c r="AJ76">
        <f>IFERROR(INDEX(PP_Grid[#Data],$DD76,34),0)</f>
        <v/>
      </c>
      <c r="AK76">
        <f>IFERROR(INDEX(PP_Grid[#Data],$DD76,35),0)</f>
        <v/>
      </c>
      <c r="AL76">
        <f>IFERROR(INDEX(PP_Grid[#Data],$DD76,36),0)</f>
        <v/>
      </c>
      <c r="AM76">
        <f>IFERROR(INDEX(PP_Grid[#Data],$DD76,37),0)</f>
        <v/>
      </c>
      <c r="AN76">
        <f>IFERROR(INDEX(PP_Grid[#Data],$DD76,38),0)</f>
        <v/>
      </c>
      <c r="AO76">
        <f>IFERROR(INDEX(PP_Grid[#Data],$DD76,39),0)</f>
        <v/>
      </c>
      <c r="AP76">
        <f>IFERROR(INDEX(PP_Grid[#Data],$DD76,40),0)</f>
        <v/>
      </c>
      <c r="AQ76">
        <f>IFERROR(INDEX(PP_Grid[#Data],$DD76,41),0)</f>
        <v/>
      </c>
      <c r="AR76">
        <f>IFERROR(INDEX(PP_Grid[#Data],$DD76,42),0)</f>
        <v/>
      </c>
      <c r="AS76">
        <f>IFERROR(INDEX(PP_Grid[#Data],$DD76,43),0)</f>
        <v/>
      </c>
      <c r="AT76">
        <f>IFERROR(INDEX(PP_Grid[#Data],$DD76,44),0)</f>
        <v/>
      </c>
      <c r="AU76">
        <f>IFERROR(INDEX(PP_Grid[#Data],$DD76,45),0)</f>
        <v/>
      </c>
      <c r="AV76">
        <f>IFERROR(INDEX(PP_Grid[#Data],$DD76,46),0)</f>
        <v/>
      </c>
      <c r="AW76">
        <f>IFERROR(INDEX(PP_Grid[#Data],$DD76,47),0)</f>
        <v/>
      </c>
      <c r="AX76">
        <f>IFERROR(INDEX(PP_Grid[#Data],$DD76,48),0)</f>
        <v/>
      </c>
      <c r="AY76">
        <f>IFERROR(INDEX(PP_Grid[#Data],$DD76,49),0)</f>
        <v/>
      </c>
      <c r="AZ76">
        <f>IFERROR(INDEX(PP_Grid[#Data],$DD76,50),0)</f>
        <v/>
      </c>
      <c r="BA76">
        <f>IFERROR(INDEX(PP_Grid[#Data],$DD76,51),0)</f>
        <v/>
      </c>
      <c r="BB76">
        <f>IFERROR(INDEX(PP_Grid[#Data],$DD76,52),0)</f>
        <v/>
      </c>
      <c r="BC76">
        <f>IFERROR(INDEX(PP_Grid[#Data],$DD76,53),0)</f>
        <v/>
      </c>
      <c r="BD76">
        <f>IFERROR(INDEX(PP_Grid[#Data],$DD76,54),0)</f>
        <v/>
      </c>
      <c r="BE76">
        <f>IFERROR(INDEX(PP_Grid[#Data],$DD76,55),0)</f>
        <v/>
      </c>
      <c r="BF76">
        <f>IFERROR(INDEX(PP_Grid[#Data],$DD76,56),0)</f>
        <v/>
      </c>
      <c r="BG76">
        <f>IFERROR(INDEX(PP_Grid[#Data],$DD76,57),0)</f>
        <v/>
      </c>
      <c r="BH76">
        <f>IFERROR(INDEX(PP_Grid[#Data],$DD76,58),0)</f>
        <v/>
      </c>
      <c r="BI76">
        <f>IFERROR(INDEX(PP_Grid[#Data],$DD76,59),0)</f>
        <v/>
      </c>
      <c r="BJ76">
        <f>IFERROR(INDEX(PP_Grid[#Data],$DD76,60),0)</f>
        <v/>
      </c>
      <c r="BK76">
        <f>IFERROR(INDEX(PP_Grid[#Data],$DD76,61),0)</f>
        <v/>
      </c>
      <c r="BL76">
        <f>IFERROR(INDEX(PP_Grid[#Data],$DD76,62),0)</f>
        <v/>
      </c>
      <c r="BM76">
        <f>IFERROR(INDEX(PP_Grid[#Data],$DD76,63),0)</f>
        <v/>
      </c>
      <c r="BN76">
        <f>IFERROR(INDEX(PP_Grid[#Data],$DD76,64),0)</f>
        <v/>
      </c>
      <c r="BO76">
        <f>IFERROR(INDEX(PP_Grid[#Data],$DD76,65),0)</f>
        <v/>
      </c>
      <c r="BP76">
        <f>IFERROR(INDEX(PP_Grid[#Data],$DD76,66),0)</f>
        <v/>
      </c>
      <c r="BQ76">
        <f>IFERROR(INDEX(PP_Grid[#Data],$DD76,67),0)</f>
        <v/>
      </c>
      <c r="BR76">
        <f>IFERROR(INDEX(PP_Grid[#Data],$DD76,68),0)</f>
        <v/>
      </c>
      <c r="BS76">
        <f>IFERROR(INDEX(PP_Grid[#Data],$DD76,69),0)</f>
        <v/>
      </c>
      <c r="BT76">
        <f>IFERROR(INDEX(PP_Grid[#Data],$DD76,70),0)</f>
        <v/>
      </c>
      <c r="BU76">
        <f>IFERROR(INDEX(PP_Grid[#Data],$DD76,71),0)</f>
        <v/>
      </c>
      <c r="BV76">
        <f>IFERROR(INDEX(PP_Grid[#Data],$DD76,72),0)</f>
        <v/>
      </c>
      <c r="BW76">
        <f>IFERROR(INDEX(PP_Grid[#Data],$DD76,73),0)</f>
        <v/>
      </c>
      <c r="BX76">
        <f>IFERROR(INDEX(PP_Grid[#Data],$DD76,74),0)</f>
        <v/>
      </c>
      <c r="BY76">
        <f>IFERROR(INDEX(PP_Grid[#Data],$DD76,75),0)</f>
        <v/>
      </c>
      <c r="BZ76">
        <f>IFERROR(INDEX(PP_Grid[#Data],$DD76,76),0)</f>
        <v/>
      </c>
      <c r="CA76">
        <f>IFERROR(INDEX(PP_Grid[#Data],$DD76,77),0)</f>
        <v/>
      </c>
      <c r="CB76">
        <f>IFERROR(INDEX(PP_Grid[#Data],$DD76,78),0)</f>
        <v/>
      </c>
      <c r="CC76">
        <f>IFERROR(INDEX(PP_Grid[#Data],$DD76,79),0)</f>
        <v/>
      </c>
      <c r="CD76">
        <f>IFERROR(INDEX(PP_Grid[#Data],$DD76,80),0)</f>
        <v/>
      </c>
      <c r="CE76">
        <f>IFERROR(INDEX(PP_Grid[#Data],$DD76,81),0)</f>
        <v/>
      </c>
      <c r="CF76">
        <f>IFERROR(INDEX(PP_Grid[#Data],$DD76,82),0)</f>
        <v/>
      </c>
      <c r="CG76">
        <f>IFERROR(INDEX(PP_Grid[#Data],$DD76,83),0)</f>
        <v/>
      </c>
      <c r="CH76">
        <f>IFERROR(INDEX(PP_Grid[#Data],$DD76,84),0)</f>
        <v/>
      </c>
      <c r="CI76">
        <f>IFERROR(INDEX(PP_Grid[#Data],$DD76,85),0)</f>
        <v/>
      </c>
      <c r="CJ76">
        <f>IFERROR(INDEX(PP_Grid[#Data],$DD76,86),0)</f>
        <v/>
      </c>
      <c r="CK76">
        <f>IFERROR(INDEX(PP_Grid[#Data],$DD76,87),0)</f>
        <v/>
      </c>
      <c r="CL76">
        <f>IFERROR(INDEX(PP_Grid[#Data],$DD76,88),0)</f>
        <v/>
      </c>
      <c r="CM76">
        <f>IFERROR(INDEX(PP_Grid[#Data],$DD76,89),0)</f>
        <v/>
      </c>
      <c r="CN76">
        <f>IFERROR(INDEX(PP_Grid[#Data],$DD76,90),0)</f>
        <v/>
      </c>
      <c r="CO76">
        <f>IFERROR(INDEX(PP_Grid[#Data],$DD76,91),0)</f>
        <v/>
      </c>
      <c r="CP76">
        <f>IFERROR(INDEX(PP_Grid[#Data],$DD76,92),0)</f>
        <v/>
      </c>
      <c r="CQ76">
        <f>IFERROR(INDEX(PP_Grid[#Data],$DD76,93),0)</f>
        <v/>
      </c>
      <c r="CR76">
        <f>IFERROR(INDEX(PP_Grid[#Data],$DD76,94),0)</f>
        <v/>
      </c>
      <c r="CS76">
        <f>IFERROR(INDEX(PP_Grid[#Data],$DD76,95),0)</f>
        <v/>
      </c>
      <c r="CT76">
        <f>IFERROR(INDEX(PP_Grid[#Data],$DD76,96),0)</f>
        <v/>
      </c>
      <c r="CU76">
        <f>IFERROR(INDEX(PP_Grid[#Data],$DD76,97),0)</f>
        <v/>
      </c>
      <c r="CV76">
        <f>IFERROR(INDEX(PP_Grid[#Data],$DD76,98),0)</f>
        <v/>
      </c>
      <c r="CW76">
        <f>IFERROR(INDEX(PP_Grid[#Data],$DD76,99),0)</f>
        <v/>
      </c>
      <c r="CX76">
        <f>IFERROR(INDEX(PP_Grid[#Data],$DD76,100),0)</f>
        <v/>
      </c>
      <c r="CY76">
        <f>IFERROR(INDEX(PP_Grid[#Data],$DD76,101),0)</f>
        <v/>
      </c>
      <c r="CZ76">
        <f>IFERROR(INDEX(PP_Grid[#Data],$DD76,102),0)</f>
        <v/>
      </c>
      <c r="DA76">
        <f>IFERROR(INDEX(PP_Grid[#Data],$DD76,103),0)</f>
        <v/>
      </c>
      <c r="DB76">
        <f>IFERROR(INDEX(PP_Grid[#Data],$DD76,104),0)</f>
        <v/>
      </c>
      <c r="DC76">
        <f>IFERROR(INDEX(PP_Grid[#Data],$DD76,105),0)</f>
        <v/>
      </c>
      <c r="DD76" s="7">
        <f>IFERROR(MATCH($B76,PP_Grid[Intermediate],0),99999)</f>
        <v/>
      </c>
    </row>
    <row r="77">
      <c r="B77" t="inlineStr">
        <is>
          <t>使用量(kg)</t>
        </is>
      </c>
      <c r="C77">
        <f>SUMIFS(M_BOM[RM_Qty_Per_Batch],M_BOM[Intermediate],$B76,M_BOM[Part Name],$A45)</f>
        <v/>
      </c>
      <c r="D77">
        <f>$C77*D76</f>
        <v/>
      </c>
      <c r="E77">
        <f>$C77*E76</f>
        <v/>
      </c>
      <c r="F77">
        <f>$C77*F76</f>
        <v/>
      </c>
      <c r="G77">
        <f>$C77*G76</f>
        <v/>
      </c>
      <c r="H77">
        <f>$C77*H76</f>
        <v/>
      </c>
      <c r="I77">
        <f>$C77*I76</f>
        <v/>
      </c>
      <c r="J77">
        <f>$C77*J76</f>
        <v/>
      </c>
      <c r="K77">
        <f>$C77*K76</f>
        <v/>
      </c>
      <c r="L77">
        <f>$C77*L76</f>
        <v/>
      </c>
      <c r="M77">
        <f>$C77*M76</f>
        <v/>
      </c>
      <c r="N77">
        <f>$C77*N76</f>
        <v/>
      </c>
      <c r="O77">
        <f>$C77*O76</f>
        <v/>
      </c>
      <c r="P77">
        <f>$C77*P76</f>
        <v/>
      </c>
      <c r="Q77">
        <f>$C77*Q76</f>
        <v/>
      </c>
      <c r="R77">
        <f>$C77*R76</f>
        <v/>
      </c>
      <c r="S77">
        <f>$C77*S76</f>
        <v/>
      </c>
      <c r="T77">
        <f>$C77*T76</f>
        <v/>
      </c>
      <c r="U77">
        <f>$C77*U76</f>
        <v/>
      </c>
      <c r="V77">
        <f>$C77*V76</f>
        <v/>
      </c>
      <c r="W77">
        <f>$C77*W76</f>
        <v/>
      </c>
      <c r="X77">
        <f>$C77*X76</f>
        <v/>
      </c>
      <c r="Y77">
        <f>$C77*Y76</f>
        <v/>
      </c>
      <c r="Z77">
        <f>$C77*Z76</f>
        <v/>
      </c>
      <c r="AA77">
        <f>$C77*AA76</f>
        <v/>
      </c>
      <c r="AB77">
        <f>$C77*AB76</f>
        <v/>
      </c>
      <c r="AC77">
        <f>$C77*AC76</f>
        <v/>
      </c>
      <c r="AD77">
        <f>$C77*AD76</f>
        <v/>
      </c>
      <c r="AE77">
        <f>$C77*AE76</f>
        <v/>
      </c>
      <c r="AF77">
        <f>$C77*AF76</f>
        <v/>
      </c>
      <c r="AG77">
        <f>$C77*AG76</f>
        <v/>
      </c>
      <c r="AH77">
        <f>$C77*AH76</f>
        <v/>
      </c>
      <c r="AI77">
        <f>$C77*AI76</f>
        <v/>
      </c>
      <c r="AJ77">
        <f>$C77*AJ76</f>
        <v/>
      </c>
      <c r="AK77">
        <f>$C77*AK76</f>
        <v/>
      </c>
      <c r="AL77">
        <f>$C77*AL76</f>
        <v/>
      </c>
      <c r="AM77">
        <f>$C77*AM76</f>
        <v/>
      </c>
      <c r="AN77">
        <f>$C77*AN76</f>
        <v/>
      </c>
      <c r="AO77">
        <f>$C77*AO76</f>
        <v/>
      </c>
      <c r="AP77">
        <f>$C77*AP76</f>
        <v/>
      </c>
      <c r="AQ77">
        <f>$C77*AQ76</f>
        <v/>
      </c>
      <c r="AR77">
        <f>$C77*AR76</f>
        <v/>
      </c>
      <c r="AS77">
        <f>$C77*AS76</f>
        <v/>
      </c>
      <c r="AT77">
        <f>$C77*AT76</f>
        <v/>
      </c>
      <c r="AU77">
        <f>$C77*AU76</f>
        <v/>
      </c>
      <c r="AV77">
        <f>$C77*AV76</f>
        <v/>
      </c>
      <c r="AW77">
        <f>$C77*AW76</f>
        <v/>
      </c>
      <c r="AX77">
        <f>$C77*AX76</f>
        <v/>
      </c>
      <c r="AY77">
        <f>$C77*AY76</f>
        <v/>
      </c>
      <c r="AZ77">
        <f>$C77*AZ76</f>
        <v/>
      </c>
      <c r="BA77">
        <f>$C77*BA76</f>
        <v/>
      </c>
      <c r="BB77">
        <f>$C77*BB76</f>
        <v/>
      </c>
      <c r="BC77">
        <f>$C77*BC76</f>
        <v/>
      </c>
      <c r="BD77">
        <f>$C77*BD76</f>
        <v/>
      </c>
      <c r="BE77">
        <f>$C77*BE76</f>
        <v/>
      </c>
      <c r="BF77">
        <f>$C77*BF76</f>
        <v/>
      </c>
      <c r="BG77">
        <f>$C77*BG76</f>
        <v/>
      </c>
      <c r="BH77">
        <f>$C77*BH76</f>
        <v/>
      </c>
      <c r="BI77">
        <f>$C77*BI76</f>
        <v/>
      </c>
      <c r="BJ77">
        <f>$C77*BJ76</f>
        <v/>
      </c>
      <c r="BK77">
        <f>$C77*BK76</f>
        <v/>
      </c>
      <c r="BL77">
        <f>$C77*BL76</f>
        <v/>
      </c>
      <c r="BM77">
        <f>$C77*BM76</f>
        <v/>
      </c>
      <c r="BN77">
        <f>$C77*BN76</f>
        <v/>
      </c>
      <c r="BO77">
        <f>$C77*BO76</f>
        <v/>
      </c>
      <c r="BP77">
        <f>$C77*BP76</f>
        <v/>
      </c>
      <c r="BQ77">
        <f>$C77*BQ76</f>
        <v/>
      </c>
      <c r="BR77">
        <f>$C77*BR76</f>
        <v/>
      </c>
      <c r="BS77">
        <f>$C77*BS76</f>
        <v/>
      </c>
      <c r="BT77">
        <f>$C77*BT76</f>
        <v/>
      </c>
      <c r="BU77">
        <f>$C77*BU76</f>
        <v/>
      </c>
      <c r="BV77">
        <f>$C77*BV76</f>
        <v/>
      </c>
      <c r="BW77">
        <f>$C77*BW76</f>
        <v/>
      </c>
      <c r="BX77">
        <f>$C77*BX76</f>
        <v/>
      </c>
      <c r="BY77">
        <f>$C77*BY76</f>
        <v/>
      </c>
      <c r="BZ77">
        <f>$C77*BZ76</f>
        <v/>
      </c>
      <c r="CA77">
        <f>$C77*CA76</f>
        <v/>
      </c>
      <c r="CB77">
        <f>$C77*CB76</f>
        <v/>
      </c>
      <c r="CC77">
        <f>$C77*CC76</f>
        <v/>
      </c>
      <c r="CD77">
        <f>$C77*CD76</f>
        <v/>
      </c>
      <c r="CE77">
        <f>$C77*CE76</f>
        <v/>
      </c>
      <c r="CF77">
        <f>$C77*CF76</f>
        <v/>
      </c>
      <c r="CG77">
        <f>$C77*CG76</f>
        <v/>
      </c>
      <c r="CH77">
        <f>$C77*CH76</f>
        <v/>
      </c>
      <c r="CI77">
        <f>$C77*CI76</f>
        <v/>
      </c>
      <c r="CJ77">
        <f>$C77*CJ76</f>
        <v/>
      </c>
      <c r="CK77">
        <f>$C77*CK76</f>
        <v/>
      </c>
      <c r="CL77">
        <f>$C77*CL76</f>
        <v/>
      </c>
      <c r="CM77">
        <f>$C77*CM76</f>
        <v/>
      </c>
      <c r="CN77">
        <f>$C77*CN76</f>
        <v/>
      </c>
      <c r="CO77">
        <f>$C77*CO76</f>
        <v/>
      </c>
      <c r="CP77">
        <f>$C77*CP76</f>
        <v/>
      </c>
      <c r="CQ77">
        <f>$C77*CQ76</f>
        <v/>
      </c>
      <c r="CR77">
        <f>$C77*CR76</f>
        <v/>
      </c>
      <c r="CS77">
        <f>$C77*CS76</f>
        <v/>
      </c>
      <c r="CT77">
        <f>$C77*CT76</f>
        <v/>
      </c>
      <c r="CU77">
        <f>$C77*CU76</f>
        <v/>
      </c>
      <c r="CV77">
        <f>$C77*CV76</f>
        <v/>
      </c>
      <c r="CW77">
        <f>$C77*CW76</f>
        <v/>
      </c>
      <c r="CX77">
        <f>$C77*CX76</f>
        <v/>
      </c>
      <c r="CY77">
        <f>$C77*CY76</f>
        <v/>
      </c>
      <c r="CZ77">
        <f>$C77*CZ76</f>
        <v/>
      </c>
      <c r="DA77">
        <f>$C77*DA76</f>
        <v/>
      </c>
      <c r="DB77">
        <f>$C77*DB76</f>
        <v/>
      </c>
      <c r="DC77">
        <f>$C77*DC76</f>
        <v/>
      </c>
    </row>
    <row r="78">
      <c r="B78" t="inlineStr">
        <is>
          <t>TSP-225</t>
        </is>
      </c>
      <c r="C78" t="inlineStr">
        <is>
          <t>No. of batches</t>
        </is>
      </c>
      <c r="D78">
        <f>IFERROR(INDEX(PP_Grid[#Data],$DD78,2),0)</f>
        <v/>
      </c>
      <c r="E78">
        <f>IFERROR(INDEX(PP_Grid[#Data],$DD78,3),0)</f>
        <v/>
      </c>
      <c r="F78">
        <f>IFERROR(INDEX(PP_Grid[#Data],$DD78,4),0)</f>
        <v/>
      </c>
      <c r="G78">
        <f>IFERROR(INDEX(PP_Grid[#Data],$DD78,5),0)</f>
        <v/>
      </c>
      <c r="H78">
        <f>IFERROR(INDEX(PP_Grid[#Data],$DD78,6),0)</f>
        <v/>
      </c>
      <c r="I78">
        <f>IFERROR(INDEX(PP_Grid[#Data],$DD78,7),0)</f>
        <v/>
      </c>
      <c r="J78">
        <f>IFERROR(INDEX(PP_Grid[#Data],$DD78,8),0)</f>
        <v/>
      </c>
      <c r="K78">
        <f>IFERROR(INDEX(PP_Grid[#Data],$DD78,9),0)</f>
        <v/>
      </c>
      <c r="L78">
        <f>IFERROR(INDEX(PP_Grid[#Data],$DD78,10),0)</f>
        <v/>
      </c>
      <c r="M78">
        <f>IFERROR(INDEX(PP_Grid[#Data],$DD78,11),0)</f>
        <v/>
      </c>
      <c r="N78">
        <f>IFERROR(INDEX(PP_Grid[#Data],$DD78,12),0)</f>
        <v/>
      </c>
      <c r="O78">
        <f>IFERROR(INDEX(PP_Grid[#Data],$DD78,13),0)</f>
        <v/>
      </c>
      <c r="P78">
        <f>IFERROR(INDEX(PP_Grid[#Data],$DD78,14),0)</f>
        <v/>
      </c>
      <c r="Q78">
        <f>IFERROR(INDEX(PP_Grid[#Data],$DD78,15),0)</f>
        <v/>
      </c>
      <c r="R78">
        <f>IFERROR(INDEX(PP_Grid[#Data],$DD78,16),0)</f>
        <v/>
      </c>
      <c r="S78">
        <f>IFERROR(INDEX(PP_Grid[#Data],$DD78,17),0)</f>
        <v/>
      </c>
      <c r="T78">
        <f>IFERROR(INDEX(PP_Grid[#Data],$DD78,18),0)</f>
        <v/>
      </c>
      <c r="U78">
        <f>IFERROR(INDEX(PP_Grid[#Data],$DD78,19),0)</f>
        <v/>
      </c>
      <c r="V78">
        <f>IFERROR(INDEX(PP_Grid[#Data],$DD78,20),0)</f>
        <v/>
      </c>
      <c r="W78">
        <f>IFERROR(INDEX(PP_Grid[#Data],$DD78,21),0)</f>
        <v/>
      </c>
      <c r="X78">
        <f>IFERROR(INDEX(PP_Grid[#Data],$DD78,22),0)</f>
        <v/>
      </c>
      <c r="Y78">
        <f>IFERROR(INDEX(PP_Grid[#Data],$DD78,23),0)</f>
        <v/>
      </c>
      <c r="Z78">
        <f>IFERROR(INDEX(PP_Grid[#Data],$DD78,24),0)</f>
        <v/>
      </c>
      <c r="AA78">
        <f>IFERROR(INDEX(PP_Grid[#Data],$DD78,25),0)</f>
        <v/>
      </c>
      <c r="AB78">
        <f>IFERROR(INDEX(PP_Grid[#Data],$DD78,26),0)</f>
        <v/>
      </c>
      <c r="AC78">
        <f>IFERROR(INDEX(PP_Grid[#Data],$DD78,27),0)</f>
        <v/>
      </c>
      <c r="AD78">
        <f>IFERROR(INDEX(PP_Grid[#Data],$DD78,28),0)</f>
        <v/>
      </c>
      <c r="AE78">
        <f>IFERROR(INDEX(PP_Grid[#Data],$DD78,29),0)</f>
        <v/>
      </c>
      <c r="AF78">
        <f>IFERROR(INDEX(PP_Grid[#Data],$DD78,30),0)</f>
        <v/>
      </c>
      <c r="AG78">
        <f>IFERROR(INDEX(PP_Grid[#Data],$DD78,31),0)</f>
        <v/>
      </c>
      <c r="AH78">
        <f>IFERROR(INDEX(PP_Grid[#Data],$DD78,32),0)</f>
        <v/>
      </c>
      <c r="AI78">
        <f>IFERROR(INDEX(PP_Grid[#Data],$DD78,33),0)</f>
        <v/>
      </c>
      <c r="AJ78">
        <f>IFERROR(INDEX(PP_Grid[#Data],$DD78,34),0)</f>
        <v/>
      </c>
      <c r="AK78">
        <f>IFERROR(INDEX(PP_Grid[#Data],$DD78,35),0)</f>
        <v/>
      </c>
      <c r="AL78">
        <f>IFERROR(INDEX(PP_Grid[#Data],$DD78,36),0)</f>
        <v/>
      </c>
      <c r="AM78">
        <f>IFERROR(INDEX(PP_Grid[#Data],$DD78,37),0)</f>
        <v/>
      </c>
      <c r="AN78">
        <f>IFERROR(INDEX(PP_Grid[#Data],$DD78,38),0)</f>
        <v/>
      </c>
      <c r="AO78">
        <f>IFERROR(INDEX(PP_Grid[#Data],$DD78,39),0)</f>
        <v/>
      </c>
      <c r="AP78">
        <f>IFERROR(INDEX(PP_Grid[#Data],$DD78,40),0)</f>
        <v/>
      </c>
      <c r="AQ78">
        <f>IFERROR(INDEX(PP_Grid[#Data],$DD78,41),0)</f>
        <v/>
      </c>
      <c r="AR78">
        <f>IFERROR(INDEX(PP_Grid[#Data],$DD78,42),0)</f>
        <v/>
      </c>
      <c r="AS78">
        <f>IFERROR(INDEX(PP_Grid[#Data],$DD78,43),0)</f>
        <v/>
      </c>
      <c r="AT78">
        <f>IFERROR(INDEX(PP_Grid[#Data],$DD78,44),0)</f>
        <v/>
      </c>
      <c r="AU78">
        <f>IFERROR(INDEX(PP_Grid[#Data],$DD78,45),0)</f>
        <v/>
      </c>
      <c r="AV78">
        <f>IFERROR(INDEX(PP_Grid[#Data],$DD78,46),0)</f>
        <v/>
      </c>
      <c r="AW78">
        <f>IFERROR(INDEX(PP_Grid[#Data],$DD78,47),0)</f>
        <v/>
      </c>
      <c r="AX78">
        <f>IFERROR(INDEX(PP_Grid[#Data],$DD78,48),0)</f>
        <v/>
      </c>
      <c r="AY78">
        <f>IFERROR(INDEX(PP_Grid[#Data],$DD78,49),0)</f>
        <v/>
      </c>
      <c r="AZ78">
        <f>IFERROR(INDEX(PP_Grid[#Data],$DD78,50),0)</f>
        <v/>
      </c>
      <c r="BA78">
        <f>IFERROR(INDEX(PP_Grid[#Data],$DD78,51),0)</f>
        <v/>
      </c>
      <c r="BB78">
        <f>IFERROR(INDEX(PP_Grid[#Data],$DD78,52),0)</f>
        <v/>
      </c>
      <c r="BC78">
        <f>IFERROR(INDEX(PP_Grid[#Data],$DD78,53),0)</f>
        <v/>
      </c>
      <c r="BD78">
        <f>IFERROR(INDEX(PP_Grid[#Data],$DD78,54),0)</f>
        <v/>
      </c>
      <c r="BE78">
        <f>IFERROR(INDEX(PP_Grid[#Data],$DD78,55),0)</f>
        <v/>
      </c>
      <c r="BF78">
        <f>IFERROR(INDEX(PP_Grid[#Data],$DD78,56),0)</f>
        <v/>
      </c>
      <c r="BG78">
        <f>IFERROR(INDEX(PP_Grid[#Data],$DD78,57),0)</f>
        <v/>
      </c>
      <c r="BH78">
        <f>IFERROR(INDEX(PP_Grid[#Data],$DD78,58),0)</f>
        <v/>
      </c>
      <c r="BI78">
        <f>IFERROR(INDEX(PP_Grid[#Data],$DD78,59),0)</f>
        <v/>
      </c>
      <c r="BJ78">
        <f>IFERROR(INDEX(PP_Grid[#Data],$DD78,60),0)</f>
        <v/>
      </c>
      <c r="BK78">
        <f>IFERROR(INDEX(PP_Grid[#Data],$DD78,61),0)</f>
        <v/>
      </c>
      <c r="BL78">
        <f>IFERROR(INDEX(PP_Grid[#Data],$DD78,62),0)</f>
        <v/>
      </c>
      <c r="BM78">
        <f>IFERROR(INDEX(PP_Grid[#Data],$DD78,63),0)</f>
        <v/>
      </c>
      <c r="BN78">
        <f>IFERROR(INDEX(PP_Grid[#Data],$DD78,64),0)</f>
        <v/>
      </c>
      <c r="BO78">
        <f>IFERROR(INDEX(PP_Grid[#Data],$DD78,65),0)</f>
        <v/>
      </c>
      <c r="BP78">
        <f>IFERROR(INDEX(PP_Grid[#Data],$DD78,66),0)</f>
        <v/>
      </c>
      <c r="BQ78">
        <f>IFERROR(INDEX(PP_Grid[#Data],$DD78,67),0)</f>
        <v/>
      </c>
      <c r="BR78">
        <f>IFERROR(INDEX(PP_Grid[#Data],$DD78,68),0)</f>
        <v/>
      </c>
      <c r="BS78">
        <f>IFERROR(INDEX(PP_Grid[#Data],$DD78,69),0)</f>
        <v/>
      </c>
      <c r="BT78">
        <f>IFERROR(INDEX(PP_Grid[#Data],$DD78,70),0)</f>
        <v/>
      </c>
      <c r="BU78">
        <f>IFERROR(INDEX(PP_Grid[#Data],$DD78,71),0)</f>
        <v/>
      </c>
      <c r="BV78">
        <f>IFERROR(INDEX(PP_Grid[#Data],$DD78,72),0)</f>
        <v/>
      </c>
      <c r="BW78">
        <f>IFERROR(INDEX(PP_Grid[#Data],$DD78,73),0)</f>
        <v/>
      </c>
      <c r="BX78">
        <f>IFERROR(INDEX(PP_Grid[#Data],$DD78,74),0)</f>
        <v/>
      </c>
      <c r="BY78">
        <f>IFERROR(INDEX(PP_Grid[#Data],$DD78,75),0)</f>
        <v/>
      </c>
      <c r="BZ78">
        <f>IFERROR(INDEX(PP_Grid[#Data],$DD78,76),0)</f>
        <v/>
      </c>
      <c r="CA78">
        <f>IFERROR(INDEX(PP_Grid[#Data],$DD78,77),0)</f>
        <v/>
      </c>
      <c r="CB78">
        <f>IFERROR(INDEX(PP_Grid[#Data],$DD78,78),0)</f>
        <v/>
      </c>
      <c r="CC78">
        <f>IFERROR(INDEX(PP_Grid[#Data],$DD78,79),0)</f>
        <v/>
      </c>
      <c r="CD78">
        <f>IFERROR(INDEX(PP_Grid[#Data],$DD78,80),0)</f>
        <v/>
      </c>
      <c r="CE78">
        <f>IFERROR(INDEX(PP_Grid[#Data],$DD78,81),0)</f>
        <v/>
      </c>
      <c r="CF78">
        <f>IFERROR(INDEX(PP_Grid[#Data],$DD78,82),0)</f>
        <v/>
      </c>
      <c r="CG78">
        <f>IFERROR(INDEX(PP_Grid[#Data],$DD78,83),0)</f>
        <v/>
      </c>
      <c r="CH78">
        <f>IFERROR(INDEX(PP_Grid[#Data],$DD78,84),0)</f>
        <v/>
      </c>
      <c r="CI78">
        <f>IFERROR(INDEX(PP_Grid[#Data],$DD78,85),0)</f>
        <v/>
      </c>
      <c r="CJ78">
        <f>IFERROR(INDEX(PP_Grid[#Data],$DD78,86),0)</f>
        <v/>
      </c>
      <c r="CK78">
        <f>IFERROR(INDEX(PP_Grid[#Data],$DD78,87),0)</f>
        <v/>
      </c>
      <c r="CL78">
        <f>IFERROR(INDEX(PP_Grid[#Data],$DD78,88),0)</f>
        <v/>
      </c>
      <c r="CM78">
        <f>IFERROR(INDEX(PP_Grid[#Data],$DD78,89),0)</f>
        <v/>
      </c>
      <c r="CN78">
        <f>IFERROR(INDEX(PP_Grid[#Data],$DD78,90),0)</f>
        <v/>
      </c>
      <c r="CO78">
        <f>IFERROR(INDEX(PP_Grid[#Data],$DD78,91),0)</f>
        <v/>
      </c>
      <c r="CP78">
        <f>IFERROR(INDEX(PP_Grid[#Data],$DD78,92),0)</f>
        <v/>
      </c>
      <c r="CQ78">
        <f>IFERROR(INDEX(PP_Grid[#Data],$DD78,93),0)</f>
        <v/>
      </c>
      <c r="CR78">
        <f>IFERROR(INDEX(PP_Grid[#Data],$DD78,94),0)</f>
        <v/>
      </c>
      <c r="CS78">
        <f>IFERROR(INDEX(PP_Grid[#Data],$DD78,95),0)</f>
        <v/>
      </c>
      <c r="CT78">
        <f>IFERROR(INDEX(PP_Grid[#Data],$DD78,96),0)</f>
        <v/>
      </c>
      <c r="CU78">
        <f>IFERROR(INDEX(PP_Grid[#Data],$DD78,97),0)</f>
        <v/>
      </c>
      <c r="CV78">
        <f>IFERROR(INDEX(PP_Grid[#Data],$DD78,98),0)</f>
        <v/>
      </c>
      <c r="CW78">
        <f>IFERROR(INDEX(PP_Grid[#Data],$DD78,99),0)</f>
        <v/>
      </c>
      <c r="CX78">
        <f>IFERROR(INDEX(PP_Grid[#Data],$DD78,100),0)</f>
        <v/>
      </c>
      <c r="CY78">
        <f>IFERROR(INDEX(PP_Grid[#Data],$DD78,101),0)</f>
        <v/>
      </c>
      <c r="CZ78">
        <f>IFERROR(INDEX(PP_Grid[#Data],$DD78,102),0)</f>
        <v/>
      </c>
      <c r="DA78">
        <f>IFERROR(INDEX(PP_Grid[#Data],$DD78,103),0)</f>
        <v/>
      </c>
      <c r="DB78">
        <f>IFERROR(INDEX(PP_Grid[#Data],$DD78,104),0)</f>
        <v/>
      </c>
      <c r="DC78">
        <f>IFERROR(INDEX(PP_Grid[#Data],$DD78,105),0)</f>
        <v/>
      </c>
      <c r="DD78" s="7">
        <f>IFERROR(MATCH($B78,PP_Grid[Intermediate],0),99999)</f>
        <v/>
      </c>
    </row>
    <row r="79">
      <c r="B79" t="inlineStr">
        <is>
          <t>使用量(kg)</t>
        </is>
      </c>
      <c r="C79">
        <f>SUMIFS(M_BOM[RM_Qty_Per_Batch],M_BOM[Intermediate],$B78,M_BOM[Part Name],$A45)</f>
        <v/>
      </c>
      <c r="D79">
        <f>$C79*D78</f>
        <v/>
      </c>
      <c r="E79">
        <f>$C79*E78</f>
        <v/>
      </c>
      <c r="F79">
        <f>$C79*F78</f>
        <v/>
      </c>
      <c r="G79">
        <f>$C79*G78</f>
        <v/>
      </c>
      <c r="H79">
        <f>$C79*H78</f>
        <v/>
      </c>
      <c r="I79">
        <f>$C79*I78</f>
        <v/>
      </c>
      <c r="J79">
        <f>$C79*J78</f>
        <v/>
      </c>
      <c r="K79">
        <f>$C79*K78</f>
        <v/>
      </c>
      <c r="L79">
        <f>$C79*L78</f>
        <v/>
      </c>
      <c r="M79">
        <f>$C79*M78</f>
        <v/>
      </c>
      <c r="N79">
        <f>$C79*N78</f>
        <v/>
      </c>
      <c r="O79">
        <f>$C79*O78</f>
        <v/>
      </c>
      <c r="P79">
        <f>$C79*P78</f>
        <v/>
      </c>
      <c r="Q79">
        <f>$C79*Q78</f>
        <v/>
      </c>
      <c r="R79">
        <f>$C79*R78</f>
        <v/>
      </c>
      <c r="S79">
        <f>$C79*S78</f>
        <v/>
      </c>
      <c r="T79">
        <f>$C79*T78</f>
        <v/>
      </c>
      <c r="U79">
        <f>$C79*U78</f>
        <v/>
      </c>
      <c r="V79">
        <f>$C79*V78</f>
        <v/>
      </c>
      <c r="W79">
        <f>$C79*W78</f>
        <v/>
      </c>
      <c r="X79">
        <f>$C79*X78</f>
        <v/>
      </c>
      <c r="Y79">
        <f>$C79*Y78</f>
        <v/>
      </c>
      <c r="Z79">
        <f>$C79*Z78</f>
        <v/>
      </c>
      <c r="AA79">
        <f>$C79*AA78</f>
        <v/>
      </c>
      <c r="AB79">
        <f>$C79*AB78</f>
        <v/>
      </c>
      <c r="AC79">
        <f>$C79*AC78</f>
        <v/>
      </c>
      <c r="AD79">
        <f>$C79*AD78</f>
        <v/>
      </c>
      <c r="AE79">
        <f>$C79*AE78</f>
        <v/>
      </c>
      <c r="AF79">
        <f>$C79*AF78</f>
        <v/>
      </c>
      <c r="AG79">
        <f>$C79*AG78</f>
        <v/>
      </c>
      <c r="AH79">
        <f>$C79*AH78</f>
        <v/>
      </c>
      <c r="AI79">
        <f>$C79*AI78</f>
        <v/>
      </c>
      <c r="AJ79">
        <f>$C79*AJ78</f>
        <v/>
      </c>
      <c r="AK79">
        <f>$C79*AK78</f>
        <v/>
      </c>
      <c r="AL79">
        <f>$C79*AL78</f>
        <v/>
      </c>
      <c r="AM79">
        <f>$C79*AM78</f>
        <v/>
      </c>
      <c r="AN79">
        <f>$C79*AN78</f>
        <v/>
      </c>
      <c r="AO79">
        <f>$C79*AO78</f>
        <v/>
      </c>
      <c r="AP79">
        <f>$C79*AP78</f>
        <v/>
      </c>
      <c r="AQ79">
        <f>$C79*AQ78</f>
        <v/>
      </c>
      <c r="AR79">
        <f>$C79*AR78</f>
        <v/>
      </c>
      <c r="AS79">
        <f>$C79*AS78</f>
        <v/>
      </c>
      <c r="AT79">
        <f>$C79*AT78</f>
        <v/>
      </c>
      <c r="AU79">
        <f>$C79*AU78</f>
        <v/>
      </c>
      <c r="AV79">
        <f>$C79*AV78</f>
        <v/>
      </c>
      <c r="AW79">
        <f>$C79*AW78</f>
        <v/>
      </c>
      <c r="AX79">
        <f>$C79*AX78</f>
        <v/>
      </c>
      <c r="AY79">
        <f>$C79*AY78</f>
        <v/>
      </c>
      <c r="AZ79">
        <f>$C79*AZ78</f>
        <v/>
      </c>
      <c r="BA79">
        <f>$C79*BA78</f>
        <v/>
      </c>
      <c r="BB79">
        <f>$C79*BB78</f>
        <v/>
      </c>
      <c r="BC79">
        <f>$C79*BC78</f>
        <v/>
      </c>
      <c r="BD79">
        <f>$C79*BD78</f>
        <v/>
      </c>
      <c r="BE79">
        <f>$C79*BE78</f>
        <v/>
      </c>
      <c r="BF79">
        <f>$C79*BF78</f>
        <v/>
      </c>
      <c r="BG79">
        <f>$C79*BG78</f>
        <v/>
      </c>
      <c r="BH79">
        <f>$C79*BH78</f>
        <v/>
      </c>
      <c r="BI79">
        <f>$C79*BI78</f>
        <v/>
      </c>
      <c r="BJ79">
        <f>$C79*BJ78</f>
        <v/>
      </c>
      <c r="BK79">
        <f>$C79*BK78</f>
        <v/>
      </c>
      <c r="BL79">
        <f>$C79*BL78</f>
        <v/>
      </c>
      <c r="BM79">
        <f>$C79*BM78</f>
        <v/>
      </c>
      <c r="BN79">
        <f>$C79*BN78</f>
        <v/>
      </c>
      <c r="BO79">
        <f>$C79*BO78</f>
        <v/>
      </c>
      <c r="BP79">
        <f>$C79*BP78</f>
        <v/>
      </c>
      <c r="BQ79">
        <f>$C79*BQ78</f>
        <v/>
      </c>
      <c r="BR79">
        <f>$C79*BR78</f>
        <v/>
      </c>
      <c r="BS79">
        <f>$C79*BS78</f>
        <v/>
      </c>
      <c r="BT79">
        <f>$C79*BT78</f>
        <v/>
      </c>
      <c r="BU79">
        <f>$C79*BU78</f>
        <v/>
      </c>
      <c r="BV79">
        <f>$C79*BV78</f>
        <v/>
      </c>
      <c r="BW79">
        <f>$C79*BW78</f>
        <v/>
      </c>
      <c r="BX79">
        <f>$C79*BX78</f>
        <v/>
      </c>
      <c r="BY79">
        <f>$C79*BY78</f>
        <v/>
      </c>
      <c r="BZ79">
        <f>$C79*BZ78</f>
        <v/>
      </c>
      <c r="CA79">
        <f>$C79*CA78</f>
        <v/>
      </c>
      <c r="CB79">
        <f>$C79*CB78</f>
        <v/>
      </c>
      <c r="CC79">
        <f>$C79*CC78</f>
        <v/>
      </c>
      <c r="CD79">
        <f>$C79*CD78</f>
        <v/>
      </c>
      <c r="CE79">
        <f>$C79*CE78</f>
        <v/>
      </c>
      <c r="CF79">
        <f>$C79*CF78</f>
        <v/>
      </c>
      <c r="CG79">
        <f>$C79*CG78</f>
        <v/>
      </c>
      <c r="CH79">
        <f>$C79*CH78</f>
        <v/>
      </c>
      <c r="CI79">
        <f>$C79*CI78</f>
        <v/>
      </c>
      <c r="CJ79">
        <f>$C79*CJ78</f>
        <v/>
      </c>
      <c r="CK79">
        <f>$C79*CK78</f>
        <v/>
      </c>
      <c r="CL79">
        <f>$C79*CL78</f>
        <v/>
      </c>
      <c r="CM79">
        <f>$C79*CM78</f>
        <v/>
      </c>
      <c r="CN79">
        <f>$C79*CN78</f>
        <v/>
      </c>
      <c r="CO79">
        <f>$C79*CO78</f>
        <v/>
      </c>
      <c r="CP79">
        <f>$C79*CP78</f>
        <v/>
      </c>
      <c r="CQ79">
        <f>$C79*CQ78</f>
        <v/>
      </c>
      <c r="CR79">
        <f>$C79*CR78</f>
        <v/>
      </c>
      <c r="CS79">
        <f>$C79*CS78</f>
        <v/>
      </c>
      <c r="CT79">
        <f>$C79*CT78</f>
        <v/>
      </c>
      <c r="CU79">
        <f>$C79*CU78</f>
        <v/>
      </c>
      <c r="CV79">
        <f>$C79*CV78</f>
        <v/>
      </c>
      <c r="CW79">
        <f>$C79*CW78</f>
        <v/>
      </c>
      <c r="CX79">
        <f>$C79*CX78</f>
        <v/>
      </c>
      <c r="CY79">
        <f>$C79*CY78</f>
        <v/>
      </c>
      <c r="CZ79">
        <f>$C79*CZ78</f>
        <v/>
      </c>
      <c r="DA79">
        <f>$C79*DA78</f>
        <v/>
      </c>
      <c r="DB79">
        <f>$C79*DB78</f>
        <v/>
      </c>
      <c r="DC79">
        <f>$C79*DC78</f>
        <v/>
      </c>
    </row>
    <row r="80">
      <c r="B80" t="inlineStr">
        <is>
          <t>TSP-360</t>
        </is>
      </c>
      <c r="C80" t="inlineStr">
        <is>
          <t>No. of batches</t>
        </is>
      </c>
      <c r="D80">
        <f>IFERROR(INDEX(PP_Grid[#Data],$DD80,2),0)</f>
        <v/>
      </c>
      <c r="E80">
        <f>IFERROR(INDEX(PP_Grid[#Data],$DD80,3),0)</f>
        <v/>
      </c>
      <c r="F80">
        <f>IFERROR(INDEX(PP_Grid[#Data],$DD80,4),0)</f>
        <v/>
      </c>
      <c r="G80">
        <f>IFERROR(INDEX(PP_Grid[#Data],$DD80,5),0)</f>
        <v/>
      </c>
      <c r="H80">
        <f>IFERROR(INDEX(PP_Grid[#Data],$DD80,6),0)</f>
        <v/>
      </c>
      <c r="I80">
        <f>IFERROR(INDEX(PP_Grid[#Data],$DD80,7),0)</f>
        <v/>
      </c>
      <c r="J80">
        <f>IFERROR(INDEX(PP_Grid[#Data],$DD80,8),0)</f>
        <v/>
      </c>
      <c r="K80">
        <f>IFERROR(INDEX(PP_Grid[#Data],$DD80,9),0)</f>
        <v/>
      </c>
      <c r="L80">
        <f>IFERROR(INDEX(PP_Grid[#Data],$DD80,10),0)</f>
        <v/>
      </c>
      <c r="M80">
        <f>IFERROR(INDEX(PP_Grid[#Data],$DD80,11),0)</f>
        <v/>
      </c>
      <c r="N80">
        <f>IFERROR(INDEX(PP_Grid[#Data],$DD80,12),0)</f>
        <v/>
      </c>
      <c r="O80">
        <f>IFERROR(INDEX(PP_Grid[#Data],$DD80,13),0)</f>
        <v/>
      </c>
      <c r="P80">
        <f>IFERROR(INDEX(PP_Grid[#Data],$DD80,14),0)</f>
        <v/>
      </c>
      <c r="Q80">
        <f>IFERROR(INDEX(PP_Grid[#Data],$DD80,15),0)</f>
        <v/>
      </c>
      <c r="R80">
        <f>IFERROR(INDEX(PP_Grid[#Data],$DD80,16),0)</f>
        <v/>
      </c>
      <c r="S80">
        <f>IFERROR(INDEX(PP_Grid[#Data],$DD80,17),0)</f>
        <v/>
      </c>
      <c r="T80">
        <f>IFERROR(INDEX(PP_Grid[#Data],$DD80,18),0)</f>
        <v/>
      </c>
      <c r="U80">
        <f>IFERROR(INDEX(PP_Grid[#Data],$DD80,19),0)</f>
        <v/>
      </c>
      <c r="V80">
        <f>IFERROR(INDEX(PP_Grid[#Data],$DD80,20),0)</f>
        <v/>
      </c>
      <c r="W80">
        <f>IFERROR(INDEX(PP_Grid[#Data],$DD80,21),0)</f>
        <v/>
      </c>
      <c r="X80">
        <f>IFERROR(INDEX(PP_Grid[#Data],$DD80,22),0)</f>
        <v/>
      </c>
      <c r="Y80">
        <f>IFERROR(INDEX(PP_Grid[#Data],$DD80,23),0)</f>
        <v/>
      </c>
      <c r="Z80">
        <f>IFERROR(INDEX(PP_Grid[#Data],$DD80,24),0)</f>
        <v/>
      </c>
      <c r="AA80">
        <f>IFERROR(INDEX(PP_Grid[#Data],$DD80,25),0)</f>
        <v/>
      </c>
      <c r="AB80">
        <f>IFERROR(INDEX(PP_Grid[#Data],$DD80,26),0)</f>
        <v/>
      </c>
      <c r="AC80">
        <f>IFERROR(INDEX(PP_Grid[#Data],$DD80,27),0)</f>
        <v/>
      </c>
      <c r="AD80">
        <f>IFERROR(INDEX(PP_Grid[#Data],$DD80,28),0)</f>
        <v/>
      </c>
      <c r="AE80">
        <f>IFERROR(INDEX(PP_Grid[#Data],$DD80,29),0)</f>
        <v/>
      </c>
      <c r="AF80">
        <f>IFERROR(INDEX(PP_Grid[#Data],$DD80,30),0)</f>
        <v/>
      </c>
      <c r="AG80">
        <f>IFERROR(INDEX(PP_Grid[#Data],$DD80,31),0)</f>
        <v/>
      </c>
      <c r="AH80">
        <f>IFERROR(INDEX(PP_Grid[#Data],$DD80,32),0)</f>
        <v/>
      </c>
      <c r="AI80">
        <f>IFERROR(INDEX(PP_Grid[#Data],$DD80,33),0)</f>
        <v/>
      </c>
      <c r="AJ80">
        <f>IFERROR(INDEX(PP_Grid[#Data],$DD80,34),0)</f>
        <v/>
      </c>
      <c r="AK80">
        <f>IFERROR(INDEX(PP_Grid[#Data],$DD80,35),0)</f>
        <v/>
      </c>
      <c r="AL80">
        <f>IFERROR(INDEX(PP_Grid[#Data],$DD80,36),0)</f>
        <v/>
      </c>
      <c r="AM80">
        <f>IFERROR(INDEX(PP_Grid[#Data],$DD80,37),0)</f>
        <v/>
      </c>
      <c r="AN80">
        <f>IFERROR(INDEX(PP_Grid[#Data],$DD80,38),0)</f>
        <v/>
      </c>
      <c r="AO80">
        <f>IFERROR(INDEX(PP_Grid[#Data],$DD80,39),0)</f>
        <v/>
      </c>
      <c r="AP80">
        <f>IFERROR(INDEX(PP_Grid[#Data],$DD80,40),0)</f>
        <v/>
      </c>
      <c r="AQ80">
        <f>IFERROR(INDEX(PP_Grid[#Data],$DD80,41),0)</f>
        <v/>
      </c>
      <c r="AR80">
        <f>IFERROR(INDEX(PP_Grid[#Data],$DD80,42),0)</f>
        <v/>
      </c>
      <c r="AS80">
        <f>IFERROR(INDEX(PP_Grid[#Data],$DD80,43),0)</f>
        <v/>
      </c>
      <c r="AT80">
        <f>IFERROR(INDEX(PP_Grid[#Data],$DD80,44),0)</f>
        <v/>
      </c>
      <c r="AU80">
        <f>IFERROR(INDEX(PP_Grid[#Data],$DD80,45),0)</f>
        <v/>
      </c>
      <c r="AV80">
        <f>IFERROR(INDEX(PP_Grid[#Data],$DD80,46),0)</f>
        <v/>
      </c>
      <c r="AW80">
        <f>IFERROR(INDEX(PP_Grid[#Data],$DD80,47),0)</f>
        <v/>
      </c>
      <c r="AX80">
        <f>IFERROR(INDEX(PP_Grid[#Data],$DD80,48),0)</f>
        <v/>
      </c>
      <c r="AY80">
        <f>IFERROR(INDEX(PP_Grid[#Data],$DD80,49),0)</f>
        <v/>
      </c>
      <c r="AZ80">
        <f>IFERROR(INDEX(PP_Grid[#Data],$DD80,50),0)</f>
        <v/>
      </c>
      <c r="BA80">
        <f>IFERROR(INDEX(PP_Grid[#Data],$DD80,51),0)</f>
        <v/>
      </c>
      <c r="BB80">
        <f>IFERROR(INDEX(PP_Grid[#Data],$DD80,52),0)</f>
        <v/>
      </c>
      <c r="BC80">
        <f>IFERROR(INDEX(PP_Grid[#Data],$DD80,53),0)</f>
        <v/>
      </c>
      <c r="BD80">
        <f>IFERROR(INDEX(PP_Grid[#Data],$DD80,54),0)</f>
        <v/>
      </c>
      <c r="BE80">
        <f>IFERROR(INDEX(PP_Grid[#Data],$DD80,55),0)</f>
        <v/>
      </c>
      <c r="BF80">
        <f>IFERROR(INDEX(PP_Grid[#Data],$DD80,56),0)</f>
        <v/>
      </c>
      <c r="BG80">
        <f>IFERROR(INDEX(PP_Grid[#Data],$DD80,57),0)</f>
        <v/>
      </c>
      <c r="BH80">
        <f>IFERROR(INDEX(PP_Grid[#Data],$DD80,58),0)</f>
        <v/>
      </c>
      <c r="BI80">
        <f>IFERROR(INDEX(PP_Grid[#Data],$DD80,59),0)</f>
        <v/>
      </c>
      <c r="BJ80">
        <f>IFERROR(INDEX(PP_Grid[#Data],$DD80,60),0)</f>
        <v/>
      </c>
      <c r="BK80">
        <f>IFERROR(INDEX(PP_Grid[#Data],$DD80,61),0)</f>
        <v/>
      </c>
      <c r="BL80">
        <f>IFERROR(INDEX(PP_Grid[#Data],$DD80,62),0)</f>
        <v/>
      </c>
      <c r="BM80">
        <f>IFERROR(INDEX(PP_Grid[#Data],$DD80,63),0)</f>
        <v/>
      </c>
      <c r="BN80">
        <f>IFERROR(INDEX(PP_Grid[#Data],$DD80,64),0)</f>
        <v/>
      </c>
      <c r="BO80">
        <f>IFERROR(INDEX(PP_Grid[#Data],$DD80,65),0)</f>
        <v/>
      </c>
      <c r="BP80">
        <f>IFERROR(INDEX(PP_Grid[#Data],$DD80,66),0)</f>
        <v/>
      </c>
      <c r="BQ80">
        <f>IFERROR(INDEX(PP_Grid[#Data],$DD80,67),0)</f>
        <v/>
      </c>
      <c r="BR80">
        <f>IFERROR(INDEX(PP_Grid[#Data],$DD80,68),0)</f>
        <v/>
      </c>
      <c r="BS80">
        <f>IFERROR(INDEX(PP_Grid[#Data],$DD80,69),0)</f>
        <v/>
      </c>
      <c r="BT80">
        <f>IFERROR(INDEX(PP_Grid[#Data],$DD80,70),0)</f>
        <v/>
      </c>
      <c r="BU80">
        <f>IFERROR(INDEX(PP_Grid[#Data],$DD80,71),0)</f>
        <v/>
      </c>
      <c r="BV80">
        <f>IFERROR(INDEX(PP_Grid[#Data],$DD80,72),0)</f>
        <v/>
      </c>
      <c r="BW80">
        <f>IFERROR(INDEX(PP_Grid[#Data],$DD80,73),0)</f>
        <v/>
      </c>
      <c r="BX80">
        <f>IFERROR(INDEX(PP_Grid[#Data],$DD80,74),0)</f>
        <v/>
      </c>
      <c r="BY80">
        <f>IFERROR(INDEX(PP_Grid[#Data],$DD80,75),0)</f>
        <v/>
      </c>
      <c r="BZ80">
        <f>IFERROR(INDEX(PP_Grid[#Data],$DD80,76),0)</f>
        <v/>
      </c>
      <c r="CA80">
        <f>IFERROR(INDEX(PP_Grid[#Data],$DD80,77),0)</f>
        <v/>
      </c>
      <c r="CB80">
        <f>IFERROR(INDEX(PP_Grid[#Data],$DD80,78),0)</f>
        <v/>
      </c>
      <c r="CC80">
        <f>IFERROR(INDEX(PP_Grid[#Data],$DD80,79),0)</f>
        <v/>
      </c>
      <c r="CD80">
        <f>IFERROR(INDEX(PP_Grid[#Data],$DD80,80),0)</f>
        <v/>
      </c>
      <c r="CE80">
        <f>IFERROR(INDEX(PP_Grid[#Data],$DD80,81),0)</f>
        <v/>
      </c>
      <c r="CF80">
        <f>IFERROR(INDEX(PP_Grid[#Data],$DD80,82),0)</f>
        <v/>
      </c>
      <c r="CG80">
        <f>IFERROR(INDEX(PP_Grid[#Data],$DD80,83),0)</f>
        <v/>
      </c>
      <c r="CH80">
        <f>IFERROR(INDEX(PP_Grid[#Data],$DD80,84),0)</f>
        <v/>
      </c>
      <c r="CI80">
        <f>IFERROR(INDEX(PP_Grid[#Data],$DD80,85),0)</f>
        <v/>
      </c>
      <c r="CJ80">
        <f>IFERROR(INDEX(PP_Grid[#Data],$DD80,86),0)</f>
        <v/>
      </c>
      <c r="CK80">
        <f>IFERROR(INDEX(PP_Grid[#Data],$DD80,87),0)</f>
        <v/>
      </c>
      <c r="CL80">
        <f>IFERROR(INDEX(PP_Grid[#Data],$DD80,88),0)</f>
        <v/>
      </c>
      <c r="CM80">
        <f>IFERROR(INDEX(PP_Grid[#Data],$DD80,89),0)</f>
        <v/>
      </c>
      <c r="CN80">
        <f>IFERROR(INDEX(PP_Grid[#Data],$DD80,90),0)</f>
        <v/>
      </c>
      <c r="CO80">
        <f>IFERROR(INDEX(PP_Grid[#Data],$DD80,91),0)</f>
        <v/>
      </c>
      <c r="CP80">
        <f>IFERROR(INDEX(PP_Grid[#Data],$DD80,92),0)</f>
        <v/>
      </c>
      <c r="CQ80">
        <f>IFERROR(INDEX(PP_Grid[#Data],$DD80,93),0)</f>
        <v/>
      </c>
      <c r="CR80">
        <f>IFERROR(INDEX(PP_Grid[#Data],$DD80,94),0)</f>
        <v/>
      </c>
      <c r="CS80">
        <f>IFERROR(INDEX(PP_Grid[#Data],$DD80,95),0)</f>
        <v/>
      </c>
      <c r="CT80">
        <f>IFERROR(INDEX(PP_Grid[#Data],$DD80,96),0)</f>
        <v/>
      </c>
      <c r="CU80">
        <f>IFERROR(INDEX(PP_Grid[#Data],$DD80,97),0)</f>
        <v/>
      </c>
      <c r="CV80">
        <f>IFERROR(INDEX(PP_Grid[#Data],$DD80,98),0)</f>
        <v/>
      </c>
      <c r="CW80">
        <f>IFERROR(INDEX(PP_Grid[#Data],$DD80,99),0)</f>
        <v/>
      </c>
      <c r="CX80">
        <f>IFERROR(INDEX(PP_Grid[#Data],$DD80,100),0)</f>
        <v/>
      </c>
      <c r="CY80">
        <f>IFERROR(INDEX(PP_Grid[#Data],$DD80,101),0)</f>
        <v/>
      </c>
      <c r="CZ80">
        <f>IFERROR(INDEX(PP_Grid[#Data],$DD80,102),0)</f>
        <v/>
      </c>
      <c r="DA80">
        <f>IFERROR(INDEX(PP_Grid[#Data],$DD80,103),0)</f>
        <v/>
      </c>
      <c r="DB80">
        <f>IFERROR(INDEX(PP_Grid[#Data],$DD80,104),0)</f>
        <v/>
      </c>
      <c r="DC80">
        <f>IFERROR(INDEX(PP_Grid[#Data],$DD80,105),0)</f>
        <v/>
      </c>
      <c r="DD80" s="7">
        <f>IFERROR(MATCH($B80,PP_Grid[Intermediate],0),99999)</f>
        <v/>
      </c>
    </row>
    <row r="81">
      <c r="B81" t="inlineStr">
        <is>
          <t>使用量(kg)</t>
        </is>
      </c>
      <c r="C81">
        <f>SUMIFS(M_BOM[RM_Qty_Per_Batch],M_BOM[Intermediate],$B80,M_BOM[Part Name],$A45)</f>
        <v/>
      </c>
      <c r="D81">
        <f>$C81*D80</f>
        <v/>
      </c>
      <c r="E81">
        <f>$C81*E80</f>
        <v/>
      </c>
      <c r="F81">
        <f>$C81*F80</f>
        <v/>
      </c>
      <c r="G81">
        <f>$C81*G80</f>
        <v/>
      </c>
      <c r="H81">
        <f>$C81*H80</f>
        <v/>
      </c>
      <c r="I81">
        <f>$C81*I80</f>
        <v/>
      </c>
      <c r="J81">
        <f>$C81*J80</f>
        <v/>
      </c>
      <c r="K81">
        <f>$C81*K80</f>
        <v/>
      </c>
      <c r="L81">
        <f>$C81*L80</f>
        <v/>
      </c>
      <c r="M81">
        <f>$C81*M80</f>
        <v/>
      </c>
      <c r="N81">
        <f>$C81*N80</f>
        <v/>
      </c>
      <c r="O81">
        <f>$C81*O80</f>
        <v/>
      </c>
      <c r="P81">
        <f>$C81*P80</f>
        <v/>
      </c>
      <c r="Q81">
        <f>$C81*Q80</f>
        <v/>
      </c>
      <c r="R81">
        <f>$C81*R80</f>
        <v/>
      </c>
      <c r="S81">
        <f>$C81*S80</f>
        <v/>
      </c>
      <c r="T81">
        <f>$C81*T80</f>
        <v/>
      </c>
      <c r="U81">
        <f>$C81*U80</f>
        <v/>
      </c>
      <c r="V81">
        <f>$C81*V80</f>
        <v/>
      </c>
      <c r="W81">
        <f>$C81*W80</f>
        <v/>
      </c>
      <c r="X81">
        <f>$C81*X80</f>
        <v/>
      </c>
      <c r="Y81">
        <f>$C81*Y80</f>
        <v/>
      </c>
      <c r="Z81">
        <f>$C81*Z80</f>
        <v/>
      </c>
      <c r="AA81">
        <f>$C81*AA80</f>
        <v/>
      </c>
      <c r="AB81">
        <f>$C81*AB80</f>
        <v/>
      </c>
      <c r="AC81">
        <f>$C81*AC80</f>
        <v/>
      </c>
      <c r="AD81">
        <f>$C81*AD80</f>
        <v/>
      </c>
      <c r="AE81">
        <f>$C81*AE80</f>
        <v/>
      </c>
      <c r="AF81">
        <f>$C81*AF80</f>
        <v/>
      </c>
      <c r="AG81">
        <f>$C81*AG80</f>
        <v/>
      </c>
      <c r="AH81">
        <f>$C81*AH80</f>
        <v/>
      </c>
      <c r="AI81">
        <f>$C81*AI80</f>
        <v/>
      </c>
      <c r="AJ81">
        <f>$C81*AJ80</f>
        <v/>
      </c>
      <c r="AK81">
        <f>$C81*AK80</f>
        <v/>
      </c>
      <c r="AL81">
        <f>$C81*AL80</f>
        <v/>
      </c>
      <c r="AM81">
        <f>$C81*AM80</f>
        <v/>
      </c>
      <c r="AN81">
        <f>$C81*AN80</f>
        <v/>
      </c>
      <c r="AO81">
        <f>$C81*AO80</f>
        <v/>
      </c>
      <c r="AP81">
        <f>$C81*AP80</f>
        <v/>
      </c>
      <c r="AQ81">
        <f>$C81*AQ80</f>
        <v/>
      </c>
      <c r="AR81">
        <f>$C81*AR80</f>
        <v/>
      </c>
      <c r="AS81">
        <f>$C81*AS80</f>
        <v/>
      </c>
      <c r="AT81">
        <f>$C81*AT80</f>
        <v/>
      </c>
      <c r="AU81">
        <f>$C81*AU80</f>
        <v/>
      </c>
      <c r="AV81">
        <f>$C81*AV80</f>
        <v/>
      </c>
      <c r="AW81">
        <f>$C81*AW80</f>
        <v/>
      </c>
      <c r="AX81">
        <f>$C81*AX80</f>
        <v/>
      </c>
      <c r="AY81">
        <f>$C81*AY80</f>
        <v/>
      </c>
      <c r="AZ81">
        <f>$C81*AZ80</f>
        <v/>
      </c>
      <c r="BA81">
        <f>$C81*BA80</f>
        <v/>
      </c>
      <c r="BB81">
        <f>$C81*BB80</f>
        <v/>
      </c>
      <c r="BC81">
        <f>$C81*BC80</f>
        <v/>
      </c>
      <c r="BD81">
        <f>$C81*BD80</f>
        <v/>
      </c>
      <c r="BE81">
        <f>$C81*BE80</f>
        <v/>
      </c>
      <c r="BF81">
        <f>$C81*BF80</f>
        <v/>
      </c>
      <c r="BG81">
        <f>$C81*BG80</f>
        <v/>
      </c>
      <c r="BH81">
        <f>$C81*BH80</f>
        <v/>
      </c>
      <c r="BI81">
        <f>$C81*BI80</f>
        <v/>
      </c>
      <c r="BJ81">
        <f>$C81*BJ80</f>
        <v/>
      </c>
      <c r="BK81">
        <f>$C81*BK80</f>
        <v/>
      </c>
      <c r="BL81">
        <f>$C81*BL80</f>
        <v/>
      </c>
      <c r="BM81">
        <f>$C81*BM80</f>
        <v/>
      </c>
      <c r="BN81">
        <f>$C81*BN80</f>
        <v/>
      </c>
      <c r="BO81">
        <f>$C81*BO80</f>
        <v/>
      </c>
      <c r="BP81">
        <f>$C81*BP80</f>
        <v/>
      </c>
      <c r="BQ81">
        <f>$C81*BQ80</f>
        <v/>
      </c>
      <c r="BR81">
        <f>$C81*BR80</f>
        <v/>
      </c>
      <c r="BS81">
        <f>$C81*BS80</f>
        <v/>
      </c>
      <c r="BT81">
        <f>$C81*BT80</f>
        <v/>
      </c>
      <c r="BU81">
        <f>$C81*BU80</f>
        <v/>
      </c>
      <c r="BV81">
        <f>$C81*BV80</f>
        <v/>
      </c>
      <c r="BW81">
        <f>$C81*BW80</f>
        <v/>
      </c>
      <c r="BX81">
        <f>$C81*BX80</f>
        <v/>
      </c>
      <c r="BY81">
        <f>$C81*BY80</f>
        <v/>
      </c>
      <c r="BZ81">
        <f>$C81*BZ80</f>
        <v/>
      </c>
      <c r="CA81">
        <f>$C81*CA80</f>
        <v/>
      </c>
      <c r="CB81">
        <f>$C81*CB80</f>
        <v/>
      </c>
      <c r="CC81">
        <f>$C81*CC80</f>
        <v/>
      </c>
      <c r="CD81">
        <f>$C81*CD80</f>
        <v/>
      </c>
      <c r="CE81">
        <f>$C81*CE80</f>
        <v/>
      </c>
      <c r="CF81">
        <f>$C81*CF80</f>
        <v/>
      </c>
      <c r="CG81">
        <f>$C81*CG80</f>
        <v/>
      </c>
      <c r="CH81">
        <f>$C81*CH80</f>
        <v/>
      </c>
      <c r="CI81">
        <f>$C81*CI80</f>
        <v/>
      </c>
      <c r="CJ81">
        <f>$C81*CJ80</f>
        <v/>
      </c>
      <c r="CK81">
        <f>$C81*CK80</f>
        <v/>
      </c>
      <c r="CL81">
        <f>$C81*CL80</f>
        <v/>
      </c>
      <c r="CM81">
        <f>$C81*CM80</f>
        <v/>
      </c>
      <c r="CN81">
        <f>$C81*CN80</f>
        <v/>
      </c>
      <c r="CO81">
        <f>$C81*CO80</f>
        <v/>
      </c>
      <c r="CP81">
        <f>$C81*CP80</f>
        <v/>
      </c>
      <c r="CQ81">
        <f>$C81*CQ80</f>
        <v/>
      </c>
      <c r="CR81">
        <f>$C81*CR80</f>
        <v/>
      </c>
      <c r="CS81">
        <f>$C81*CS80</f>
        <v/>
      </c>
      <c r="CT81">
        <f>$C81*CT80</f>
        <v/>
      </c>
      <c r="CU81">
        <f>$C81*CU80</f>
        <v/>
      </c>
      <c r="CV81">
        <f>$C81*CV80</f>
        <v/>
      </c>
      <c r="CW81">
        <f>$C81*CW80</f>
        <v/>
      </c>
      <c r="CX81">
        <f>$C81*CX80</f>
        <v/>
      </c>
      <c r="CY81">
        <f>$C81*CY80</f>
        <v/>
      </c>
      <c r="CZ81">
        <f>$C81*CZ80</f>
        <v/>
      </c>
      <c r="DA81">
        <f>$C81*DA80</f>
        <v/>
      </c>
      <c r="DB81">
        <f>$C81*DB80</f>
        <v/>
      </c>
      <c r="DC81">
        <f>$C81*DC80</f>
        <v/>
      </c>
    </row>
    <row r="82">
      <c r="B82" t="inlineStr">
        <is>
          <t>TSP-367</t>
        </is>
      </c>
      <c r="C82" t="inlineStr">
        <is>
          <t>No. of batches</t>
        </is>
      </c>
      <c r="D82">
        <f>IFERROR(INDEX(PP_Grid[#Data],$DD82,2),0)</f>
        <v/>
      </c>
      <c r="E82">
        <f>IFERROR(INDEX(PP_Grid[#Data],$DD82,3),0)</f>
        <v/>
      </c>
      <c r="F82">
        <f>IFERROR(INDEX(PP_Grid[#Data],$DD82,4),0)</f>
        <v/>
      </c>
      <c r="G82">
        <f>IFERROR(INDEX(PP_Grid[#Data],$DD82,5),0)</f>
        <v/>
      </c>
      <c r="H82">
        <f>IFERROR(INDEX(PP_Grid[#Data],$DD82,6),0)</f>
        <v/>
      </c>
      <c r="I82">
        <f>IFERROR(INDEX(PP_Grid[#Data],$DD82,7),0)</f>
        <v/>
      </c>
      <c r="J82">
        <f>IFERROR(INDEX(PP_Grid[#Data],$DD82,8),0)</f>
        <v/>
      </c>
      <c r="K82">
        <f>IFERROR(INDEX(PP_Grid[#Data],$DD82,9),0)</f>
        <v/>
      </c>
      <c r="L82">
        <f>IFERROR(INDEX(PP_Grid[#Data],$DD82,10),0)</f>
        <v/>
      </c>
      <c r="M82">
        <f>IFERROR(INDEX(PP_Grid[#Data],$DD82,11),0)</f>
        <v/>
      </c>
      <c r="N82">
        <f>IFERROR(INDEX(PP_Grid[#Data],$DD82,12),0)</f>
        <v/>
      </c>
      <c r="O82">
        <f>IFERROR(INDEX(PP_Grid[#Data],$DD82,13),0)</f>
        <v/>
      </c>
      <c r="P82">
        <f>IFERROR(INDEX(PP_Grid[#Data],$DD82,14),0)</f>
        <v/>
      </c>
      <c r="Q82">
        <f>IFERROR(INDEX(PP_Grid[#Data],$DD82,15),0)</f>
        <v/>
      </c>
      <c r="R82">
        <f>IFERROR(INDEX(PP_Grid[#Data],$DD82,16),0)</f>
        <v/>
      </c>
      <c r="S82">
        <f>IFERROR(INDEX(PP_Grid[#Data],$DD82,17),0)</f>
        <v/>
      </c>
      <c r="T82">
        <f>IFERROR(INDEX(PP_Grid[#Data],$DD82,18),0)</f>
        <v/>
      </c>
      <c r="U82">
        <f>IFERROR(INDEX(PP_Grid[#Data],$DD82,19),0)</f>
        <v/>
      </c>
      <c r="V82">
        <f>IFERROR(INDEX(PP_Grid[#Data],$DD82,20),0)</f>
        <v/>
      </c>
      <c r="W82">
        <f>IFERROR(INDEX(PP_Grid[#Data],$DD82,21),0)</f>
        <v/>
      </c>
      <c r="X82">
        <f>IFERROR(INDEX(PP_Grid[#Data],$DD82,22),0)</f>
        <v/>
      </c>
      <c r="Y82">
        <f>IFERROR(INDEX(PP_Grid[#Data],$DD82,23),0)</f>
        <v/>
      </c>
      <c r="Z82">
        <f>IFERROR(INDEX(PP_Grid[#Data],$DD82,24),0)</f>
        <v/>
      </c>
      <c r="AA82">
        <f>IFERROR(INDEX(PP_Grid[#Data],$DD82,25),0)</f>
        <v/>
      </c>
      <c r="AB82">
        <f>IFERROR(INDEX(PP_Grid[#Data],$DD82,26),0)</f>
        <v/>
      </c>
      <c r="AC82">
        <f>IFERROR(INDEX(PP_Grid[#Data],$DD82,27),0)</f>
        <v/>
      </c>
      <c r="AD82">
        <f>IFERROR(INDEX(PP_Grid[#Data],$DD82,28),0)</f>
        <v/>
      </c>
      <c r="AE82">
        <f>IFERROR(INDEX(PP_Grid[#Data],$DD82,29),0)</f>
        <v/>
      </c>
      <c r="AF82">
        <f>IFERROR(INDEX(PP_Grid[#Data],$DD82,30),0)</f>
        <v/>
      </c>
      <c r="AG82">
        <f>IFERROR(INDEX(PP_Grid[#Data],$DD82,31),0)</f>
        <v/>
      </c>
      <c r="AH82">
        <f>IFERROR(INDEX(PP_Grid[#Data],$DD82,32),0)</f>
        <v/>
      </c>
      <c r="AI82">
        <f>IFERROR(INDEX(PP_Grid[#Data],$DD82,33),0)</f>
        <v/>
      </c>
      <c r="AJ82">
        <f>IFERROR(INDEX(PP_Grid[#Data],$DD82,34),0)</f>
        <v/>
      </c>
      <c r="AK82">
        <f>IFERROR(INDEX(PP_Grid[#Data],$DD82,35),0)</f>
        <v/>
      </c>
      <c r="AL82">
        <f>IFERROR(INDEX(PP_Grid[#Data],$DD82,36),0)</f>
        <v/>
      </c>
      <c r="AM82">
        <f>IFERROR(INDEX(PP_Grid[#Data],$DD82,37),0)</f>
        <v/>
      </c>
      <c r="AN82">
        <f>IFERROR(INDEX(PP_Grid[#Data],$DD82,38),0)</f>
        <v/>
      </c>
      <c r="AO82">
        <f>IFERROR(INDEX(PP_Grid[#Data],$DD82,39),0)</f>
        <v/>
      </c>
      <c r="AP82">
        <f>IFERROR(INDEX(PP_Grid[#Data],$DD82,40),0)</f>
        <v/>
      </c>
      <c r="AQ82">
        <f>IFERROR(INDEX(PP_Grid[#Data],$DD82,41),0)</f>
        <v/>
      </c>
      <c r="AR82">
        <f>IFERROR(INDEX(PP_Grid[#Data],$DD82,42),0)</f>
        <v/>
      </c>
      <c r="AS82">
        <f>IFERROR(INDEX(PP_Grid[#Data],$DD82,43),0)</f>
        <v/>
      </c>
      <c r="AT82">
        <f>IFERROR(INDEX(PP_Grid[#Data],$DD82,44),0)</f>
        <v/>
      </c>
      <c r="AU82">
        <f>IFERROR(INDEX(PP_Grid[#Data],$DD82,45),0)</f>
        <v/>
      </c>
      <c r="AV82">
        <f>IFERROR(INDEX(PP_Grid[#Data],$DD82,46),0)</f>
        <v/>
      </c>
      <c r="AW82">
        <f>IFERROR(INDEX(PP_Grid[#Data],$DD82,47),0)</f>
        <v/>
      </c>
      <c r="AX82">
        <f>IFERROR(INDEX(PP_Grid[#Data],$DD82,48),0)</f>
        <v/>
      </c>
      <c r="AY82">
        <f>IFERROR(INDEX(PP_Grid[#Data],$DD82,49),0)</f>
        <v/>
      </c>
      <c r="AZ82">
        <f>IFERROR(INDEX(PP_Grid[#Data],$DD82,50),0)</f>
        <v/>
      </c>
      <c r="BA82">
        <f>IFERROR(INDEX(PP_Grid[#Data],$DD82,51),0)</f>
        <v/>
      </c>
      <c r="BB82">
        <f>IFERROR(INDEX(PP_Grid[#Data],$DD82,52),0)</f>
        <v/>
      </c>
      <c r="BC82">
        <f>IFERROR(INDEX(PP_Grid[#Data],$DD82,53),0)</f>
        <v/>
      </c>
      <c r="BD82">
        <f>IFERROR(INDEX(PP_Grid[#Data],$DD82,54),0)</f>
        <v/>
      </c>
      <c r="BE82">
        <f>IFERROR(INDEX(PP_Grid[#Data],$DD82,55),0)</f>
        <v/>
      </c>
      <c r="BF82">
        <f>IFERROR(INDEX(PP_Grid[#Data],$DD82,56),0)</f>
        <v/>
      </c>
      <c r="BG82">
        <f>IFERROR(INDEX(PP_Grid[#Data],$DD82,57),0)</f>
        <v/>
      </c>
      <c r="BH82">
        <f>IFERROR(INDEX(PP_Grid[#Data],$DD82,58),0)</f>
        <v/>
      </c>
      <c r="BI82">
        <f>IFERROR(INDEX(PP_Grid[#Data],$DD82,59),0)</f>
        <v/>
      </c>
      <c r="BJ82">
        <f>IFERROR(INDEX(PP_Grid[#Data],$DD82,60),0)</f>
        <v/>
      </c>
      <c r="BK82">
        <f>IFERROR(INDEX(PP_Grid[#Data],$DD82,61),0)</f>
        <v/>
      </c>
      <c r="BL82">
        <f>IFERROR(INDEX(PP_Grid[#Data],$DD82,62),0)</f>
        <v/>
      </c>
      <c r="BM82">
        <f>IFERROR(INDEX(PP_Grid[#Data],$DD82,63),0)</f>
        <v/>
      </c>
      <c r="BN82">
        <f>IFERROR(INDEX(PP_Grid[#Data],$DD82,64),0)</f>
        <v/>
      </c>
      <c r="BO82">
        <f>IFERROR(INDEX(PP_Grid[#Data],$DD82,65),0)</f>
        <v/>
      </c>
      <c r="BP82">
        <f>IFERROR(INDEX(PP_Grid[#Data],$DD82,66),0)</f>
        <v/>
      </c>
      <c r="BQ82">
        <f>IFERROR(INDEX(PP_Grid[#Data],$DD82,67),0)</f>
        <v/>
      </c>
      <c r="BR82">
        <f>IFERROR(INDEX(PP_Grid[#Data],$DD82,68),0)</f>
        <v/>
      </c>
      <c r="BS82">
        <f>IFERROR(INDEX(PP_Grid[#Data],$DD82,69),0)</f>
        <v/>
      </c>
      <c r="BT82">
        <f>IFERROR(INDEX(PP_Grid[#Data],$DD82,70),0)</f>
        <v/>
      </c>
      <c r="BU82">
        <f>IFERROR(INDEX(PP_Grid[#Data],$DD82,71),0)</f>
        <v/>
      </c>
      <c r="BV82">
        <f>IFERROR(INDEX(PP_Grid[#Data],$DD82,72),0)</f>
        <v/>
      </c>
      <c r="BW82">
        <f>IFERROR(INDEX(PP_Grid[#Data],$DD82,73),0)</f>
        <v/>
      </c>
      <c r="BX82">
        <f>IFERROR(INDEX(PP_Grid[#Data],$DD82,74),0)</f>
        <v/>
      </c>
      <c r="BY82">
        <f>IFERROR(INDEX(PP_Grid[#Data],$DD82,75),0)</f>
        <v/>
      </c>
      <c r="BZ82">
        <f>IFERROR(INDEX(PP_Grid[#Data],$DD82,76),0)</f>
        <v/>
      </c>
      <c r="CA82">
        <f>IFERROR(INDEX(PP_Grid[#Data],$DD82,77),0)</f>
        <v/>
      </c>
      <c r="CB82">
        <f>IFERROR(INDEX(PP_Grid[#Data],$DD82,78),0)</f>
        <v/>
      </c>
      <c r="CC82">
        <f>IFERROR(INDEX(PP_Grid[#Data],$DD82,79),0)</f>
        <v/>
      </c>
      <c r="CD82">
        <f>IFERROR(INDEX(PP_Grid[#Data],$DD82,80),0)</f>
        <v/>
      </c>
      <c r="CE82">
        <f>IFERROR(INDEX(PP_Grid[#Data],$DD82,81),0)</f>
        <v/>
      </c>
      <c r="CF82">
        <f>IFERROR(INDEX(PP_Grid[#Data],$DD82,82),0)</f>
        <v/>
      </c>
      <c r="CG82">
        <f>IFERROR(INDEX(PP_Grid[#Data],$DD82,83),0)</f>
        <v/>
      </c>
      <c r="CH82">
        <f>IFERROR(INDEX(PP_Grid[#Data],$DD82,84),0)</f>
        <v/>
      </c>
      <c r="CI82">
        <f>IFERROR(INDEX(PP_Grid[#Data],$DD82,85),0)</f>
        <v/>
      </c>
      <c r="CJ82">
        <f>IFERROR(INDEX(PP_Grid[#Data],$DD82,86),0)</f>
        <v/>
      </c>
      <c r="CK82">
        <f>IFERROR(INDEX(PP_Grid[#Data],$DD82,87),0)</f>
        <v/>
      </c>
      <c r="CL82">
        <f>IFERROR(INDEX(PP_Grid[#Data],$DD82,88),0)</f>
        <v/>
      </c>
      <c r="CM82">
        <f>IFERROR(INDEX(PP_Grid[#Data],$DD82,89),0)</f>
        <v/>
      </c>
      <c r="CN82">
        <f>IFERROR(INDEX(PP_Grid[#Data],$DD82,90),0)</f>
        <v/>
      </c>
      <c r="CO82">
        <f>IFERROR(INDEX(PP_Grid[#Data],$DD82,91),0)</f>
        <v/>
      </c>
      <c r="CP82">
        <f>IFERROR(INDEX(PP_Grid[#Data],$DD82,92),0)</f>
        <v/>
      </c>
      <c r="CQ82">
        <f>IFERROR(INDEX(PP_Grid[#Data],$DD82,93),0)</f>
        <v/>
      </c>
      <c r="CR82">
        <f>IFERROR(INDEX(PP_Grid[#Data],$DD82,94),0)</f>
        <v/>
      </c>
      <c r="CS82">
        <f>IFERROR(INDEX(PP_Grid[#Data],$DD82,95),0)</f>
        <v/>
      </c>
      <c r="CT82">
        <f>IFERROR(INDEX(PP_Grid[#Data],$DD82,96),0)</f>
        <v/>
      </c>
      <c r="CU82">
        <f>IFERROR(INDEX(PP_Grid[#Data],$DD82,97),0)</f>
        <v/>
      </c>
      <c r="CV82">
        <f>IFERROR(INDEX(PP_Grid[#Data],$DD82,98),0)</f>
        <v/>
      </c>
      <c r="CW82">
        <f>IFERROR(INDEX(PP_Grid[#Data],$DD82,99),0)</f>
        <v/>
      </c>
      <c r="CX82">
        <f>IFERROR(INDEX(PP_Grid[#Data],$DD82,100),0)</f>
        <v/>
      </c>
      <c r="CY82">
        <f>IFERROR(INDEX(PP_Grid[#Data],$DD82,101),0)</f>
        <v/>
      </c>
      <c r="CZ82">
        <f>IFERROR(INDEX(PP_Grid[#Data],$DD82,102),0)</f>
        <v/>
      </c>
      <c r="DA82">
        <f>IFERROR(INDEX(PP_Grid[#Data],$DD82,103),0)</f>
        <v/>
      </c>
      <c r="DB82">
        <f>IFERROR(INDEX(PP_Grid[#Data],$DD82,104),0)</f>
        <v/>
      </c>
      <c r="DC82">
        <f>IFERROR(INDEX(PP_Grid[#Data],$DD82,105),0)</f>
        <v/>
      </c>
      <c r="DD82" s="7">
        <f>IFERROR(MATCH($B82,PP_Grid[Intermediate],0),99999)</f>
        <v/>
      </c>
    </row>
    <row r="83">
      <c r="B83" t="inlineStr">
        <is>
          <t>使用量(kg)</t>
        </is>
      </c>
      <c r="C83">
        <f>SUMIFS(M_BOM[RM_Qty_Per_Batch],M_BOM[Intermediate],$B82,M_BOM[Part Name],$A45)</f>
        <v/>
      </c>
      <c r="D83">
        <f>$C83*D82</f>
        <v/>
      </c>
      <c r="E83">
        <f>$C83*E82</f>
        <v/>
      </c>
      <c r="F83">
        <f>$C83*F82</f>
        <v/>
      </c>
      <c r="G83">
        <f>$C83*G82</f>
        <v/>
      </c>
      <c r="H83">
        <f>$C83*H82</f>
        <v/>
      </c>
      <c r="I83">
        <f>$C83*I82</f>
        <v/>
      </c>
      <c r="J83">
        <f>$C83*J82</f>
        <v/>
      </c>
      <c r="K83">
        <f>$C83*K82</f>
        <v/>
      </c>
      <c r="L83">
        <f>$C83*L82</f>
        <v/>
      </c>
      <c r="M83">
        <f>$C83*M82</f>
        <v/>
      </c>
      <c r="N83">
        <f>$C83*N82</f>
        <v/>
      </c>
      <c r="O83">
        <f>$C83*O82</f>
        <v/>
      </c>
      <c r="P83">
        <f>$C83*P82</f>
        <v/>
      </c>
      <c r="Q83">
        <f>$C83*Q82</f>
        <v/>
      </c>
      <c r="R83">
        <f>$C83*R82</f>
        <v/>
      </c>
      <c r="S83">
        <f>$C83*S82</f>
        <v/>
      </c>
      <c r="T83">
        <f>$C83*T82</f>
        <v/>
      </c>
      <c r="U83">
        <f>$C83*U82</f>
        <v/>
      </c>
      <c r="V83">
        <f>$C83*V82</f>
        <v/>
      </c>
      <c r="W83">
        <f>$C83*W82</f>
        <v/>
      </c>
      <c r="X83">
        <f>$C83*X82</f>
        <v/>
      </c>
      <c r="Y83">
        <f>$C83*Y82</f>
        <v/>
      </c>
      <c r="Z83">
        <f>$C83*Z82</f>
        <v/>
      </c>
      <c r="AA83">
        <f>$C83*AA82</f>
        <v/>
      </c>
      <c r="AB83">
        <f>$C83*AB82</f>
        <v/>
      </c>
      <c r="AC83">
        <f>$C83*AC82</f>
        <v/>
      </c>
      <c r="AD83">
        <f>$C83*AD82</f>
        <v/>
      </c>
      <c r="AE83">
        <f>$C83*AE82</f>
        <v/>
      </c>
      <c r="AF83">
        <f>$C83*AF82</f>
        <v/>
      </c>
      <c r="AG83">
        <f>$C83*AG82</f>
        <v/>
      </c>
      <c r="AH83">
        <f>$C83*AH82</f>
        <v/>
      </c>
      <c r="AI83">
        <f>$C83*AI82</f>
        <v/>
      </c>
      <c r="AJ83">
        <f>$C83*AJ82</f>
        <v/>
      </c>
      <c r="AK83">
        <f>$C83*AK82</f>
        <v/>
      </c>
      <c r="AL83">
        <f>$C83*AL82</f>
        <v/>
      </c>
      <c r="AM83">
        <f>$C83*AM82</f>
        <v/>
      </c>
      <c r="AN83">
        <f>$C83*AN82</f>
        <v/>
      </c>
      <c r="AO83">
        <f>$C83*AO82</f>
        <v/>
      </c>
      <c r="AP83">
        <f>$C83*AP82</f>
        <v/>
      </c>
      <c r="AQ83">
        <f>$C83*AQ82</f>
        <v/>
      </c>
      <c r="AR83">
        <f>$C83*AR82</f>
        <v/>
      </c>
      <c r="AS83">
        <f>$C83*AS82</f>
        <v/>
      </c>
      <c r="AT83">
        <f>$C83*AT82</f>
        <v/>
      </c>
      <c r="AU83">
        <f>$C83*AU82</f>
        <v/>
      </c>
      <c r="AV83">
        <f>$C83*AV82</f>
        <v/>
      </c>
      <c r="AW83">
        <f>$C83*AW82</f>
        <v/>
      </c>
      <c r="AX83">
        <f>$C83*AX82</f>
        <v/>
      </c>
      <c r="AY83">
        <f>$C83*AY82</f>
        <v/>
      </c>
      <c r="AZ83">
        <f>$C83*AZ82</f>
        <v/>
      </c>
      <c r="BA83">
        <f>$C83*BA82</f>
        <v/>
      </c>
      <c r="BB83">
        <f>$C83*BB82</f>
        <v/>
      </c>
      <c r="BC83">
        <f>$C83*BC82</f>
        <v/>
      </c>
      <c r="BD83">
        <f>$C83*BD82</f>
        <v/>
      </c>
      <c r="BE83">
        <f>$C83*BE82</f>
        <v/>
      </c>
      <c r="BF83">
        <f>$C83*BF82</f>
        <v/>
      </c>
      <c r="BG83">
        <f>$C83*BG82</f>
        <v/>
      </c>
      <c r="BH83">
        <f>$C83*BH82</f>
        <v/>
      </c>
      <c r="BI83">
        <f>$C83*BI82</f>
        <v/>
      </c>
      <c r="BJ83">
        <f>$C83*BJ82</f>
        <v/>
      </c>
      <c r="BK83">
        <f>$C83*BK82</f>
        <v/>
      </c>
      <c r="BL83">
        <f>$C83*BL82</f>
        <v/>
      </c>
      <c r="BM83">
        <f>$C83*BM82</f>
        <v/>
      </c>
      <c r="BN83">
        <f>$C83*BN82</f>
        <v/>
      </c>
      <c r="BO83">
        <f>$C83*BO82</f>
        <v/>
      </c>
      <c r="BP83">
        <f>$C83*BP82</f>
        <v/>
      </c>
      <c r="BQ83">
        <f>$C83*BQ82</f>
        <v/>
      </c>
      <c r="BR83">
        <f>$C83*BR82</f>
        <v/>
      </c>
      <c r="BS83">
        <f>$C83*BS82</f>
        <v/>
      </c>
      <c r="BT83">
        <f>$C83*BT82</f>
        <v/>
      </c>
      <c r="BU83">
        <f>$C83*BU82</f>
        <v/>
      </c>
      <c r="BV83">
        <f>$C83*BV82</f>
        <v/>
      </c>
      <c r="BW83">
        <f>$C83*BW82</f>
        <v/>
      </c>
      <c r="BX83">
        <f>$C83*BX82</f>
        <v/>
      </c>
      <c r="BY83">
        <f>$C83*BY82</f>
        <v/>
      </c>
      <c r="BZ83">
        <f>$C83*BZ82</f>
        <v/>
      </c>
      <c r="CA83">
        <f>$C83*CA82</f>
        <v/>
      </c>
      <c r="CB83">
        <f>$C83*CB82</f>
        <v/>
      </c>
      <c r="CC83">
        <f>$C83*CC82</f>
        <v/>
      </c>
      <c r="CD83">
        <f>$C83*CD82</f>
        <v/>
      </c>
      <c r="CE83">
        <f>$C83*CE82</f>
        <v/>
      </c>
      <c r="CF83">
        <f>$C83*CF82</f>
        <v/>
      </c>
      <c r="CG83">
        <f>$C83*CG82</f>
        <v/>
      </c>
      <c r="CH83">
        <f>$C83*CH82</f>
        <v/>
      </c>
      <c r="CI83">
        <f>$C83*CI82</f>
        <v/>
      </c>
      <c r="CJ83">
        <f>$C83*CJ82</f>
        <v/>
      </c>
      <c r="CK83">
        <f>$C83*CK82</f>
        <v/>
      </c>
      <c r="CL83">
        <f>$C83*CL82</f>
        <v/>
      </c>
      <c r="CM83">
        <f>$C83*CM82</f>
        <v/>
      </c>
      <c r="CN83">
        <f>$C83*CN82</f>
        <v/>
      </c>
      <c r="CO83">
        <f>$C83*CO82</f>
        <v/>
      </c>
      <c r="CP83">
        <f>$C83*CP82</f>
        <v/>
      </c>
      <c r="CQ83">
        <f>$C83*CQ82</f>
        <v/>
      </c>
      <c r="CR83">
        <f>$C83*CR82</f>
        <v/>
      </c>
      <c r="CS83">
        <f>$C83*CS82</f>
        <v/>
      </c>
      <c r="CT83">
        <f>$C83*CT82</f>
        <v/>
      </c>
      <c r="CU83">
        <f>$C83*CU82</f>
        <v/>
      </c>
      <c r="CV83">
        <f>$C83*CV82</f>
        <v/>
      </c>
      <c r="CW83">
        <f>$C83*CW82</f>
        <v/>
      </c>
      <c r="CX83">
        <f>$C83*CX82</f>
        <v/>
      </c>
      <c r="CY83">
        <f>$C83*CY82</f>
        <v/>
      </c>
      <c r="CZ83">
        <f>$C83*CZ82</f>
        <v/>
      </c>
      <c r="DA83">
        <f>$C83*DA82</f>
        <v/>
      </c>
      <c r="DB83">
        <f>$C83*DB82</f>
        <v/>
      </c>
      <c r="DC83">
        <f>$C83*DC82</f>
        <v/>
      </c>
    </row>
    <row r="84">
      <c r="B84" t="inlineStr">
        <is>
          <t>TSP-369</t>
        </is>
      </c>
      <c r="C84" t="inlineStr">
        <is>
          <t>No. of batches</t>
        </is>
      </c>
      <c r="D84">
        <f>IFERROR(INDEX(PP_Grid[#Data],$DD84,2),0)</f>
        <v/>
      </c>
      <c r="E84">
        <f>IFERROR(INDEX(PP_Grid[#Data],$DD84,3),0)</f>
        <v/>
      </c>
      <c r="F84">
        <f>IFERROR(INDEX(PP_Grid[#Data],$DD84,4),0)</f>
        <v/>
      </c>
      <c r="G84">
        <f>IFERROR(INDEX(PP_Grid[#Data],$DD84,5),0)</f>
        <v/>
      </c>
      <c r="H84">
        <f>IFERROR(INDEX(PP_Grid[#Data],$DD84,6),0)</f>
        <v/>
      </c>
      <c r="I84">
        <f>IFERROR(INDEX(PP_Grid[#Data],$DD84,7),0)</f>
        <v/>
      </c>
      <c r="J84">
        <f>IFERROR(INDEX(PP_Grid[#Data],$DD84,8),0)</f>
        <v/>
      </c>
      <c r="K84">
        <f>IFERROR(INDEX(PP_Grid[#Data],$DD84,9),0)</f>
        <v/>
      </c>
      <c r="L84">
        <f>IFERROR(INDEX(PP_Grid[#Data],$DD84,10),0)</f>
        <v/>
      </c>
      <c r="M84">
        <f>IFERROR(INDEX(PP_Grid[#Data],$DD84,11),0)</f>
        <v/>
      </c>
      <c r="N84">
        <f>IFERROR(INDEX(PP_Grid[#Data],$DD84,12),0)</f>
        <v/>
      </c>
      <c r="O84">
        <f>IFERROR(INDEX(PP_Grid[#Data],$DD84,13),0)</f>
        <v/>
      </c>
      <c r="P84">
        <f>IFERROR(INDEX(PP_Grid[#Data],$DD84,14),0)</f>
        <v/>
      </c>
      <c r="Q84">
        <f>IFERROR(INDEX(PP_Grid[#Data],$DD84,15),0)</f>
        <v/>
      </c>
      <c r="R84">
        <f>IFERROR(INDEX(PP_Grid[#Data],$DD84,16),0)</f>
        <v/>
      </c>
      <c r="S84">
        <f>IFERROR(INDEX(PP_Grid[#Data],$DD84,17),0)</f>
        <v/>
      </c>
      <c r="T84">
        <f>IFERROR(INDEX(PP_Grid[#Data],$DD84,18),0)</f>
        <v/>
      </c>
      <c r="U84">
        <f>IFERROR(INDEX(PP_Grid[#Data],$DD84,19),0)</f>
        <v/>
      </c>
      <c r="V84">
        <f>IFERROR(INDEX(PP_Grid[#Data],$DD84,20),0)</f>
        <v/>
      </c>
      <c r="W84">
        <f>IFERROR(INDEX(PP_Grid[#Data],$DD84,21),0)</f>
        <v/>
      </c>
      <c r="X84">
        <f>IFERROR(INDEX(PP_Grid[#Data],$DD84,22),0)</f>
        <v/>
      </c>
      <c r="Y84">
        <f>IFERROR(INDEX(PP_Grid[#Data],$DD84,23),0)</f>
        <v/>
      </c>
      <c r="Z84">
        <f>IFERROR(INDEX(PP_Grid[#Data],$DD84,24),0)</f>
        <v/>
      </c>
      <c r="AA84">
        <f>IFERROR(INDEX(PP_Grid[#Data],$DD84,25),0)</f>
        <v/>
      </c>
      <c r="AB84">
        <f>IFERROR(INDEX(PP_Grid[#Data],$DD84,26),0)</f>
        <v/>
      </c>
      <c r="AC84">
        <f>IFERROR(INDEX(PP_Grid[#Data],$DD84,27),0)</f>
        <v/>
      </c>
      <c r="AD84">
        <f>IFERROR(INDEX(PP_Grid[#Data],$DD84,28),0)</f>
        <v/>
      </c>
      <c r="AE84">
        <f>IFERROR(INDEX(PP_Grid[#Data],$DD84,29),0)</f>
        <v/>
      </c>
      <c r="AF84">
        <f>IFERROR(INDEX(PP_Grid[#Data],$DD84,30),0)</f>
        <v/>
      </c>
      <c r="AG84">
        <f>IFERROR(INDEX(PP_Grid[#Data],$DD84,31),0)</f>
        <v/>
      </c>
      <c r="AH84">
        <f>IFERROR(INDEX(PP_Grid[#Data],$DD84,32),0)</f>
        <v/>
      </c>
      <c r="AI84">
        <f>IFERROR(INDEX(PP_Grid[#Data],$DD84,33),0)</f>
        <v/>
      </c>
      <c r="AJ84">
        <f>IFERROR(INDEX(PP_Grid[#Data],$DD84,34),0)</f>
        <v/>
      </c>
      <c r="AK84">
        <f>IFERROR(INDEX(PP_Grid[#Data],$DD84,35),0)</f>
        <v/>
      </c>
      <c r="AL84">
        <f>IFERROR(INDEX(PP_Grid[#Data],$DD84,36),0)</f>
        <v/>
      </c>
      <c r="AM84">
        <f>IFERROR(INDEX(PP_Grid[#Data],$DD84,37),0)</f>
        <v/>
      </c>
      <c r="AN84">
        <f>IFERROR(INDEX(PP_Grid[#Data],$DD84,38),0)</f>
        <v/>
      </c>
      <c r="AO84">
        <f>IFERROR(INDEX(PP_Grid[#Data],$DD84,39),0)</f>
        <v/>
      </c>
      <c r="AP84">
        <f>IFERROR(INDEX(PP_Grid[#Data],$DD84,40),0)</f>
        <v/>
      </c>
      <c r="AQ84">
        <f>IFERROR(INDEX(PP_Grid[#Data],$DD84,41),0)</f>
        <v/>
      </c>
      <c r="AR84">
        <f>IFERROR(INDEX(PP_Grid[#Data],$DD84,42),0)</f>
        <v/>
      </c>
      <c r="AS84">
        <f>IFERROR(INDEX(PP_Grid[#Data],$DD84,43),0)</f>
        <v/>
      </c>
      <c r="AT84">
        <f>IFERROR(INDEX(PP_Grid[#Data],$DD84,44),0)</f>
        <v/>
      </c>
      <c r="AU84">
        <f>IFERROR(INDEX(PP_Grid[#Data],$DD84,45),0)</f>
        <v/>
      </c>
      <c r="AV84">
        <f>IFERROR(INDEX(PP_Grid[#Data],$DD84,46),0)</f>
        <v/>
      </c>
      <c r="AW84">
        <f>IFERROR(INDEX(PP_Grid[#Data],$DD84,47),0)</f>
        <v/>
      </c>
      <c r="AX84">
        <f>IFERROR(INDEX(PP_Grid[#Data],$DD84,48),0)</f>
        <v/>
      </c>
      <c r="AY84">
        <f>IFERROR(INDEX(PP_Grid[#Data],$DD84,49),0)</f>
        <v/>
      </c>
      <c r="AZ84">
        <f>IFERROR(INDEX(PP_Grid[#Data],$DD84,50),0)</f>
        <v/>
      </c>
      <c r="BA84">
        <f>IFERROR(INDEX(PP_Grid[#Data],$DD84,51),0)</f>
        <v/>
      </c>
      <c r="BB84">
        <f>IFERROR(INDEX(PP_Grid[#Data],$DD84,52),0)</f>
        <v/>
      </c>
      <c r="BC84">
        <f>IFERROR(INDEX(PP_Grid[#Data],$DD84,53),0)</f>
        <v/>
      </c>
      <c r="BD84">
        <f>IFERROR(INDEX(PP_Grid[#Data],$DD84,54),0)</f>
        <v/>
      </c>
      <c r="BE84">
        <f>IFERROR(INDEX(PP_Grid[#Data],$DD84,55),0)</f>
        <v/>
      </c>
      <c r="BF84">
        <f>IFERROR(INDEX(PP_Grid[#Data],$DD84,56),0)</f>
        <v/>
      </c>
      <c r="BG84">
        <f>IFERROR(INDEX(PP_Grid[#Data],$DD84,57),0)</f>
        <v/>
      </c>
      <c r="BH84">
        <f>IFERROR(INDEX(PP_Grid[#Data],$DD84,58),0)</f>
        <v/>
      </c>
      <c r="BI84">
        <f>IFERROR(INDEX(PP_Grid[#Data],$DD84,59),0)</f>
        <v/>
      </c>
      <c r="BJ84">
        <f>IFERROR(INDEX(PP_Grid[#Data],$DD84,60),0)</f>
        <v/>
      </c>
      <c r="BK84">
        <f>IFERROR(INDEX(PP_Grid[#Data],$DD84,61),0)</f>
        <v/>
      </c>
      <c r="BL84">
        <f>IFERROR(INDEX(PP_Grid[#Data],$DD84,62),0)</f>
        <v/>
      </c>
      <c r="BM84">
        <f>IFERROR(INDEX(PP_Grid[#Data],$DD84,63),0)</f>
        <v/>
      </c>
      <c r="BN84">
        <f>IFERROR(INDEX(PP_Grid[#Data],$DD84,64),0)</f>
        <v/>
      </c>
      <c r="BO84">
        <f>IFERROR(INDEX(PP_Grid[#Data],$DD84,65),0)</f>
        <v/>
      </c>
      <c r="BP84">
        <f>IFERROR(INDEX(PP_Grid[#Data],$DD84,66),0)</f>
        <v/>
      </c>
      <c r="BQ84">
        <f>IFERROR(INDEX(PP_Grid[#Data],$DD84,67),0)</f>
        <v/>
      </c>
      <c r="BR84">
        <f>IFERROR(INDEX(PP_Grid[#Data],$DD84,68),0)</f>
        <v/>
      </c>
      <c r="BS84">
        <f>IFERROR(INDEX(PP_Grid[#Data],$DD84,69),0)</f>
        <v/>
      </c>
      <c r="BT84">
        <f>IFERROR(INDEX(PP_Grid[#Data],$DD84,70),0)</f>
        <v/>
      </c>
      <c r="BU84">
        <f>IFERROR(INDEX(PP_Grid[#Data],$DD84,71),0)</f>
        <v/>
      </c>
      <c r="BV84">
        <f>IFERROR(INDEX(PP_Grid[#Data],$DD84,72),0)</f>
        <v/>
      </c>
      <c r="BW84">
        <f>IFERROR(INDEX(PP_Grid[#Data],$DD84,73),0)</f>
        <v/>
      </c>
      <c r="BX84">
        <f>IFERROR(INDEX(PP_Grid[#Data],$DD84,74),0)</f>
        <v/>
      </c>
      <c r="BY84">
        <f>IFERROR(INDEX(PP_Grid[#Data],$DD84,75),0)</f>
        <v/>
      </c>
      <c r="BZ84">
        <f>IFERROR(INDEX(PP_Grid[#Data],$DD84,76),0)</f>
        <v/>
      </c>
      <c r="CA84">
        <f>IFERROR(INDEX(PP_Grid[#Data],$DD84,77),0)</f>
        <v/>
      </c>
      <c r="CB84">
        <f>IFERROR(INDEX(PP_Grid[#Data],$DD84,78),0)</f>
        <v/>
      </c>
      <c r="CC84">
        <f>IFERROR(INDEX(PP_Grid[#Data],$DD84,79),0)</f>
        <v/>
      </c>
      <c r="CD84">
        <f>IFERROR(INDEX(PP_Grid[#Data],$DD84,80),0)</f>
        <v/>
      </c>
      <c r="CE84">
        <f>IFERROR(INDEX(PP_Grid[#Data],$DD84,81),0)</f>
        <v/>
      </c>
      <c r="CF84">
        <f>IFERROR(INDEX(PP_Grid[#Data],$DD84,82),0)</f>
        <v/>
      </c>
      <c r="CG84">
        <f>IFERROR(INDEX(PP_Grid[#Data],$DD84,83),0)</f>
        <v/>
      </c>
      <c r="CH84">
        <f>IFERROR(INDEX(PP_Grid[#Data],$DD84,84),0)</f>
        <v/>
      </c>
      <c r="CI84">
        <f>IFERROR(INDEX(PP_Grid[#Data],$DD84,85),0)</f>
        <v/>
      </c>
      <c r="CJ84">
        <f>IFERROR(INDEX(PP_Grid[#Data],$DD84,86),0)</f>
        <v/>
      </c>
      <c r="CK84">
        <f>IFERROR(INDEX(PP_Grid[#Data],$DD84,87),0)</f>
        <v/>
      </c>
      <c r="CL84">
        <f>IFERROR(INDEX(PP_Grid[#Data],$DD84,88),0)</f>
        <v/>
      </c>
      <c r="CM84">
        <f>IFERROR(INDEX(PP_Grid[#Data],$DD84,89),0)</f>
        <v/>
      </c>
      <c r="CN84">
        <f>IFERROR(INDEX(PP_Grid[#Data],$DD84,90),0)</f>
        <v/>
      </c>
      <c r="CO84">
        <f>IFERROR(INDEX(PP_Grid[#Data],$DD84,91),0)</f>
        <v/>
      </c>
      <c r="CP84">
        <f>IFERROR(INDEX(PP_Grid[#Data],$DD84,92),0)</f>
        <v/>
      </c>
      <c r="CQ84">
        <f>IFERROR(INDEX(PP_Grid[#Data],$DD84,93),0)</f>
        <v/>
      </c>
      <c r="CR84">
        <f>IFERROR(INDEX(PP_Grid[#Data],$DD84,94),0)</f>
        <v/>
      </c>
      <c r="CS84">
        <f>IFERROR(INDEX(PP_Grid[#Data],$DD84,95),0)</f>
        <v/>
      </c>
      <c r="CT84">
        <f>IFERROR(INDEX(PP_Grid[#Data],$DD84,96),0)</f>
        <v/>
      </c>
      <c r="CU84">
        <f>IFERROR(INDEX(PP_Grid[#Data],$DD84,97),0)</f>
        <v/>
      </c>
      <c r="CV84">
        <f>IFERROR(INDEX(PP_Grid[#Data],$DD84,98),0)</f>
        <v/>
      </c>
      <c r="CW84">
        <f>IFERROR(INDEX(PP_Grid[#Data],$DD84,99),0)</f>
        <v/>
      </c>
      <c r="CX84">
        <f>IFERROR(INDEX(PP_Grid[#Data],$DD84,100),0)</f>
        <v/>
      </c>
      <c r="CY84">
        <f>IFERROR(INDEX(PP_Grid[#Data],$DD84,101),0)</f>
        <v/>
      </c>
      <c r="CZ84">
        <f>IFERROR(INDEX(PP_Grid[#Data],$DD84,102),0)</f>
        <v/>
      </c>
      <c r="DA84">
        <f>IFERROR(INDEX(PP_Grid[#Data],$DD84,103),0)</f>
        <v/>
      </c>
      <c r="DB84">
        <f>IFERROR(INDEX(PP_Grid[#Data],$DD84,104),0)</f>
        <v/>
      </c>
      <c r="DC84">
        <f>IFERROR(INDEX(PP_Grid[#Data],$DD84,105),0)</f>
        <v/>
      </c>
      <c r="DD84" s="7">
        <f>IFERROR(MATCH($B84,PP_Grid[Intermediate],0),99999)</f>
        <v/>
      </c>
    </row>
    <row r="85">
      <c r="B85" t="inlineStr">
        <is>
          <t>使用量(kg)</t>
        </is>
      </c>
      <c r="C85">
        <f>SUMIFS(M_BOM[RM_Qty_Per_Batch],M_BOM[Intermediate],$B84,M_BOM[Part Name],$A45)</f>
        <v/>
      </c>
      <c r="D85">
        <f>$C85*D84</f>
        <v/>
      </c>
      <c r="E85">
        <f>$C85*E84</f>
        <v/>
      </c>
      <c r="F85">
        <f>$C85*F84</f>
        <v/>
      </c>
      <c r="G85">
        <f>$C85*G84</f>
        <v/>
      </c>
      <c r="H85">
        <f>$C85*H84</f>
        <v/>
      </c>
      <c r="I85">
        <f>$C85*I84</f>
        <v/>
      </c>
      <c r="J85">
        <f>$C85*J84</f>
        <v/>
      </c>
      <c r="K85">
        <f>$C85*K84</f>
        <v/>
      </c>
      <c r="L85">
        <f>$C85*L84</f>
        <v/>
      </c>
      <c r="M85">
        <f>$C85*M84</f>
        <v/>
      </c>
      <c r="N85">
        <f>$C85*N84</f>
        <v/>
      </c>
      <c r="O85">
        <f>$C85*O84</f>
        <v/>
      </c>
      <c r="P85">
        <f>$C85*P84</f>
        <v/>
      </c>
      <c r="Q85">
        <f>$C85*Q84</f>
        <v/>
      </c>
      <c r="R85">
        <f>$C85*R84</f>
        <v/>
      </c>
      <c r="S85">
        <f>$C85*S84</f>
        <v/>
      </c>
      <c r="T85">
        <f>$C85*T84</f>
        <v/>
      </c>
      <c r="U85">
        <f>$C85*U84</f>
        <v/>
      </c>
      <c r="V85">
        <f>$C85*V84</f>
        <v/>
      </c>
      <c r="W85">
        <f>$C85*W84</f>
        <v/>
      </c>
      <c r="X85">
        <f>$C85*X84</f>
        <v/>
      </c>
      <c r="Y85">
        <f>$C85*Y84</f>
        <v/>
      </c>
      <c r="Z85">
        <f>$C85*Z84</f>
        <v/>
      </c>
      <c r="AA85">
        <f>$C85*AA84</f>
        <v/>
      </c>
      <c r="AB85">
        <f>$C85*AB84</f>
        <v/>
      </c>
      <c r="AC85">
        <f>$C85*AC84</f>
        <v/>
      </c>
      <c r="AD85">
        <f>$C85*AD84</f>
        <v/>
      </c>
      <c r="AE85">
        <f>$C85*AE84</f>
        <v/>
      </c>
      <c r="AF85">
        <f>$C85*AF84</f>
        <v/>
      </c>
      <c r="AG85">
        <f>$C85*AG84</f>
        <v/>
      </c>
      <c r="AH85">
        <f>$C85*AH84</f>
        <v/>
      </c>
      <c r="AI85">
        <f>$C85*AI84</f>
        <v/>
      </c>
      <c r="AJ85">
        <f>$C85*AJ84</f>
        <v/>
      </c>
      <c r="AK85">
        <f>$C85*AK84</f>
        <v/>
      </c>
      <c r="AL85">
        <f>$C85*AL84</f>
        <v/>
      </c>
      <c r="AM85">
        <f>$C85*AM84</f>
        <v/>
      </c>
      <c r="AN85">
        <f>$C85*AN84</f>
        <v/>
      </c>
      <c r="AO85">
        <f>$C85*AO84</f>
        <v/>
      </c>
      <c r="AP85">
        <f>$C85*AP84</f>
        <v/>
      </c>
      <c r="AQ85">
        <f>$C85*AQ84</f>
        <v/>
      </c>
      <c r="AR85">
        <f>$C85*AR84</f>
        <v/>
      </c>
      <c r="AS85">
        <f>$C85*AS84</f>
        <v/>
      </c>
      <c r="AT85">
        <f>$C85*AT84</f>
        <v/>
      </c>
      <c r="AU85">
        <f>$C85*AU84</f>
        <v/>
      </c>
      <c r="AV85">
        <f>$C85*AV84</f>
        <v/>
      </c>
      <c r="AW85">
        <f>$C85*AW84</f>
        <v/>
      </c>
      <c r="AX85">
        <f>$C85*AX84</f>
        <v/>
      </c>
      <c r="AY85">
        <f>$C85*AY84</f>
        <v/>
      </c>
      <c r="AZ85">
        <f>$C85*AZ84</f>
        <v/>
      </c>
      <c r="BA85">
        <f>$C85*BA84</f>
        <v/>
      </c>
      <c r="BB85">
        <f>$C85*BB84</f>
        <v/>
      </c>
      <c r="BC85">
        <f>$C85*BC84</f>
        <v/>
      </c>
      <c r="BD85">
        <f>$C85*BD84</f>
        <v/>
      </c>
      <c r="BE85">
        <f>$C85*BE84</f>
        <v/>
      </c>
      <c r="BF85">
        <f>$C85*BF84</f>
        <v/>
      </c>
      <c r="BG85">
        <f>$C85*BG84</f>
        <v/>
      </c>
      <c r="BH85">
        <f>$C85*BH84</f>
        <v/>
      </c>
      <c r="BI85">
        <f>$C85*BI84</f>
        <v/>
      </c>
      <c r="BJ85">
        <f>$C85*BJ84</f>
        <v/>
      </c>
      <c r="BK85">
        <f>$C85*BK84</f>
        <v/>
      </c>
      <c r="BL85">
        <f>$C85*BL84</f>
        <v/>
      </c>
      <c r="BM85">
        <f>$C85*BM84</f>
        <v/>
      </c>
      <c r="BN85">
        <f>$C85*BN84</f>
        <v/>
      </c>
      <c r="BO85">
        <f>$C85*BO84</f>
        <v/>
      </c>
      <c r="BP85">
        <f>$C85*BP84</f>
        <v/>
      </c>
      <c r="BQ85">
        <f>$C85*BQ84</f>
        <v/>
      </c>
      <c r="BR85">
        <f>$C85*BR84</f>
        <v/>
      </c>
      <c r="BS85">
        <f>$C85*BS84</f>
        <v/>
      </c>
      <c r="BT85">
        <f>$C85*BT84</f>
        <v/>
      </c>
      <c r="BU85">
        <f>$C85*BU84</f>
        <v/>
      </c>
      <c r="BV85">
        <f>$C85*BV84</f>
        <v/>
      </c>
      <c r="BW85">
        <f>$C85*BW84</f>
        <v/>
      </c>
      <c r="BX85">
        <f>$C85*BX84</f>
        <v/>
      </c>
      <c r="BY85">
        <f>$C85*BY84</f>
        <v/>
      </c>
      <c r="BZ85">
        <f>$C85*BZ84</f>
        <v/>
      </c>
      <c r="CA85">
        <f>$C85*CA84</f>
        <v/>
      </c>
      <c r="CB85">
        <f>$C85*CB84</f>
        <v/>
      </c>
      <c r="CC85">
        <f>$C85*CC84</f>
        <v/>
      </c>
      <c r="CD85">
        <f>$C85*CD84</f>
        <v/>
      </c>
      <c r="CE85">
        <f>$C85*CE84</f>
        <v/>
      </c>
      <c r="CF85">
        <f>$C85*CF84</f>
        <v/>
      </c>
      <c r="CG85">
        <f>$C85*CG84</f>
        <v/>
      </c>
      <c r="CH85">
        <f>$C85*CH84</f>
        <v/>
      </c>
      <c r="CI85">
        <f>$C85*CI84</f>
        <v/>
      </c>
      <c r="CJ85">
        <f>$C85*CJ84</f>
        <v/>
      </c>
      <c r="CK85">
        <f>$C85*CK84</f>
        <v/>
      </c>
      <c r="CL85">
        <f>$C85*CL84</f>
        <v/>
      </c>
      <c r="CM85">
        <f>$C85*CM84</f>
        <v/>
      </c>
      <c r="CN85">
        <f>$C85*CN84</f>
        <v/>
      </c>
      <c r="CO85">
        <f>$C85*CO84</f>
        <v/>
      </c>
      <c r="CP85">
        <f>$C85*CP84</f>
        <v/>
      </c>
      <c r="CQ85">
        <f>$C85*CQ84</f>
        <v/>
      </c>
      <c r="CR85">
        <f>$C85*CR84</f>
        <v/>
      </c>
      <c r="CS85">
        <f>$C85*CS84</f>
        <v/>
      </c>
      <c r="CT85">
        <f>$C85*CT84</f>
        <v/>
      </c>
      <c r="CU85">
        <f>$C85*CU84</f>
        <v/>
      </c>
      <c r="CV85">
        <f>$C85*CV84</f>
        <v/>
      </c>
      <c r="CW85">
        <f>$C85*CW84</f>
        <v/>
      </c>
      <c r="CX85">
        <f>$C85*CX84</f>
        <v/>
      </c>
      <c r="CY85">
        <f>$C85*CY84</f>
        <v/>
      </c>
      <c r="CZ85">
        <f>$C85*CZ84</f>
        <v/>
      </c>
      <c r="DA85">
        <f>$C85*DA84</f>
        <v/>
      </c>
      <c r="DB85">
        <f>$C85*DB84</f>
        <v/>
      </c>
      <c r="DC85">
        <f>$C85*DC84</f>
        <v/>
      </c>
    </row>
    <row r="86">
      <c r="B86" t="inlineStr">
        <is>
          <t>TSP-390</t>
        </is>
      </c>
      <c r="C86" t="inlineStr">
        <is>
          <t>No. of batches</t>
        </is>
      </c>
      <c r="D86">
        <f>IFERROR(INDEX(PP_Grid[#Data],$DD86,2),0)</f>
        <v/>
      </c>
      <c r="E86">
        <f>IFERROR(INDEX(PP_Grid[#Data],$DD86,3),0)</f>
        <v/>
      </c>
      <c r="F86">
        <f>IFERROR(INDEX(PP_Grid[#Data],$DD86,4),0)</f>
        <v/>
      </c>
      <c r="G86">
        <f>IFERROR(INDEX(PP_Grid[#Data],$DD86,5),0)</f>
        <v/>
      </c>
      <c r="H86">
        <f>IFERROR(INDEX(PP_Grid[#Data],$DD86,6),0)</f>
        <v/>
      </c>
      <c r="I86">
        <f>IFERROR(INDEX(PP_Grid[#Data],$DD86,7),0)</f>
        <v/>
      </c>
      <c r="J86">
        <f>IFERROR(INDEX(PP_Grid[#Data],$DD86,8),0)</f>
        <v/>
      </c>
      <c r="K86">
        <f>IFERROR(INDEX(PP_Grid[#Data],$DD86,9),0)</f>
        <v/>
      </c>
      <c r="L86">
        <f>IFERROR(INDEX(PP_Grid[#Data],$DD86,10),0)</f>
        <v/>
      </c>
      <c r="M86">
        <f>IFERROR(INDEX(PP_Grid[#Data],$DD86,11),0)</f>
        <v/>
      </c>
      <c r="N86">
        <f>IFERROR(INDEX(PP_Grid[#Data],$DD86,12),0)</f>
        <v/>
      </c>
      <c r="O86">
        <f>IFERROR(INDEX(PP_Grid[#Data],$DD86,13),0)</f>
        <v/>
      </c>
      <c r="P86">
        <f>IFERROR(INDEX(PP_Grid[#Data],$DD86,14),0)</f>
        <v/>
      </c>
      <c r="Q86">
        <f>IFERROR(INDEX(PP_Grid[#Data],$DD86,15),0)</f>
        <v/>
      </c>
      <c r="R86">
        <f>IFERROR(INDEX(PP_Grid[#Data],$DD86,16),0)</f>
        <v/>
      </c>
      <c r="S86">
        <f>IFERROR(INDEX(PP_Grid[#Data],$DD86,17),0)</f>
        <v/>
      </c>
      <c r="T86">
        <f>IFERROR(INDEX(PP_Grid[#Data],$DD86,18),0)</f>
        <v/>
      </c>
      <c r="U86">
        <f>IFERROR(INDEX(PP_Grid[#Data],$DD86,19),0)</f>
        <v/>
      </c>
      <c r="V86">
        <f>IFERROR(INDEX(PP_Grid[#Data],$DD86,20),0)</f>
        <v/>
      </c>
      <c r="W86">
        <f>IFERROR(INDEX(PP_Grid[#Data],$DD86,21),0)</f>
        <v/>
      </c>
      <c r="X86">
        <f>IFERROR(INDEX(PP_Grid[#Data],$DD86,22),0)</f>
        <v/>
      </c>
      <c r="Y86">
        <f>IFERROR(INDEX(PP_Grid[#Data],$DD86,23),0)</f>
        <v/>
      </c>
      <c r="Z86">
        <f>IFERROR(INDEX(PP_Grid[#Data],$DD86,24),0)</f>
        <v/>
      </c>
      <c r="AA86">
        <f>IFERROR(INDEX(PP_Grid[#Data],$DD86,25),0)</f>
        <v/>
      </c>
      <c r="AB86">
        <f>IFERROR(INDEX(PP_Grid[#Data],$DD86,26),0)</f>
        <v/>
      </c>
      <c r="AC86">
        <f>IFERROR(INDEX(PP_Grid[#Data],$DD86,27),0)</f>
        <v/>
      </c>
      <c r="AD86">
        <f>IFERROR(INDEX(PP_Grid[#Data],$DD86,28),0)</f>
        <v/>
      </c>
      <c r="AE86">
        <f>IFERROR(INDEX(PP_Grid[#Data],$DD86,29),0)</f>
        <v/>
      </c>
      <c r="AF86">
        <f>IFERROR(INDEX(PP_Grid[#Data],$DD86,30),0)</f>
        <v/>
      </c>
      <c r="AG86">
        <f>IFERROR(INDEX(PP_Grid[#Data],$DD86,31),0)</f>
        <v/>
      </c>
      <c r="AH86">
        <f>IFERROR(INDEX(PP_Grid[#Data],$DD86,32),0)</f>
        <v/>
      </c>
      <c r="AI86">
        <f>IFERROR(INDEX(PP_Grid[#Data],$DD86,33),0)</f>
        <v/>
      </c>
      <c r="AJ86">
        <f>IFERROR(INDEX(PP_Grid[#Data],$DD86,34),0)</f>
        <v/>
      </c>
      <c r="AK86">
        <f>IFERROR(INDEX(PP_Grid[#Data],$DD86,35),0)</f>
        <v/>
      </c>
      <c r="AL86">
        <f>IFERROR(INDEX(PP_Grid[#Data],$DD86,36),0)</f>
        <v/>
      </c>
      <c r="AM86">
        <f>IFERROR(INDEX(PP_Grid[#Data],$DD86,37),0)</f>
        <v/>
      </c>
      <c r="AN86">
        <f>IFERROR(INDEX(PP_Grid[#Data],$DD86,38),0)</f>
        <v/>
      </c>
      <c r="AO86">
        <f>IFERROR(INDEX(PP_Grid[#Data],$DD86,39),0)</f>
        <v/>
      </c>
      <c r="AP86">
        <f>IFERROR(INDEX(PP_Grid[#Data],$DD86,40),0)</f>
        <v/>
      </c>
      <c r="AQ86">
        <f>IFERROR(INDEX(PP_Grid[#Data],$DD86,41),0)</f>
        <v/>
      </c>
      <c r="AR86">
        <f>IFERROR(INDEX(PP_Grid[#Data],$DD86,42),0)</f>
        <v/>
      </c>
      <c r="AS86">
        <f>IFERROR(INDEX(PP_Grid[#Data],$DD86,43),0)</f>
        <v/>
      </c>
      <c r="AT86">
        <f>IFERROR(INDEX(PP_Grid[#Data],$DD86,44),0)</f>
        <v/>
      </c>
      <c r="AU86">
        <f>IFERROR(INDEX(PP_Grid[#Data],$DD86,45),0)</f>
        <v/>
      </c>
      <c r="AV86">
        <f>IFERROR(INDEX(PP_Grid[#Data],$DD86,46),0)</f>
        <v/>
      </c>
      <c r="AW86">
        <f>IFERROR(INDEX(PP_Grid[#Data],$DD86,47),0)</f>
        <v/>
      </c>
      <c r="AX86">
        <f>IFERROR(INDEX(PP_Grid[#Data],$DD86,48),0)</f>
        <v/>
      </c>
      <c r="AY86">
        <f>IFERROR(INDEX(PP_Grid[#Data],$DD86,49),0)</f>
        <v/>
      </c>
      <c r="AZ86">
        <f>IFERROR(INDEX(PP_Grid[#Data],$DD86,50),0)</f>
        <v/>
      </c>
      <c r="BA86">
        <f>IFERROR(INDEX(PP_Grid[#Data],$DD86,51),0)</f>
        <v/>
      </c>
      <c r="BB86">
        <f>IFERROR(INDEX(PP_Grid[#Data],$DD86,52),0)</f>
        <v/>
      </c>
      <c r="BC86">
        <f>IFERROR(INDEX(PP_Grid[#Data],$DD86,53),0)</f>
        <v/>
      </c>
      <c r="BD86">
        <f>IFERROR(INDEX(PP_Grid[#Data],$DD86,54),0)</f>
        <v/>
      </c>
      <c r="BE86">
        <f>IFERROR(INDEX(PP_Grid[#Data],$DD86,55),0)</f>
        <v/>
      </c>
      <c r="BF86">
        <f>IFERROR(INDEX(PP_Grid[#Data],$DD86,56),0)</f>
        <v/>
      </c>
      <c r="BG86">
        <f>IFERROR(INDEX(PP_Grid[#Data],$DD86,57),0)</f>
        <v/>
      </c>
      <c r="BH86">
        <f>IFERROR(INDEX(PP_Grid[#Data],$DD86,58),0)</f>
        <v/>
      </c>
      <c r="BI86">
        <f>IFERROR(INDEX(PP_Grid[#Data],$DD86,59),0)</f>
        <v/>
      </c>
      <c r="BJ86">
        <f>IFERROR(INDEX(PP_Grid[#Data],$DD86,60),0)</f>
        <v/>
      </c>
      <c r="BK86">
        <f>IFERROR(INDEX(PP_Grid[#Data],$DD86,61),0)</f>
        <v/>
      </c>
      <c r="BL86">
        <f>IFERROR(INDEX(PP_Grid[#Data],$DD86,62),0)</f>
        <v/>
      </c>
      <c r="BM86">
        <f>IFERROR(INDEX(PP_Grid[#Data],$DD86,63),0)</f>
        <v/>
      </c>
      <c r="BN86">
        <f>IFERROR(INDEX(PP_Grid[#Data],$DD86,64),0)</f>
        <v/>
      </c>
      <c r="BO86">
        <f>IFERROR(INDEX(PP_Grid[#Data],$DD86,65),0)</f>
        <v/>
      </c>
      <c r="BP86">
        <f>IFERROR(INDEX(PP_Grid[#Data],$DD86,66),0)</f>
        <v/>
      </c>
      <c r="BQ86">
        <f>IFERROR(INDEX(PP_Grid[#Data],$DD86,67),0)</f>
        <v/>
      </c>
      <c r="BR86">
        <f>IFERROR(INDEX(PP_Grid[#Data],$DD86,68),0)</f>
        <v/>
      </c>
      <c r="BS86">
        <f>IFERROR(INDEX(PP_Grid[#Data],$DD86,69),0)</f>
        <v/>
      </c>
      <c r="BT86">
        <f>IFERROR(INDEX(PP_Grid[#Data],$DD86,70),0)</f>
        <v/>
      </c>
      <c r="BU86">
        <f>IFERROR(INDEX(PP_Grid[#Data],$DD86,71),0)</f>
        <v/>
      </c>
      <c r="BV86">
        <f>IFERROR(INDEX(PP_Grid[#Data],$DD86,72),0)</f>
        <v/>
      </c>
      <c r="BW86">
        <f>IFERROR(INDEX(PP_Grid[#Data],$DD86,73),0)</f>
        <v/>
      </c>
      <c r="BX86">
        <f>IFERROR(INDEX(PP_Grid[#Data],$DD86,74),0)</f>
        <v/>
      </c>
      <c r="BY86">
        <f>IFERROR(INDEX(PP_Grid[#Data],$DD86,75),0)</f>
        <v/>
      </c>
      <c r="BZ86">
        <f>IFERROR(INDEX(PP_Grid[#Data],$DD86,76),0)</f>
        <v/>
      </c>
      <c r="CA86">
        <f>IFERROR(INDEX(PP_Grid[#Data],$DD86,77),0)</f>
        <v/>
      </c>
      <c r="CB86">
        <f>IFERROR(INDEX(PP_Grid[#Data],$DD86,78),0)</f>
        <v/>
      </c>
      <c r="CC86">
        <f>IFERROR(INDEX(PP_Grid[#Data],$DD86,79),0)</f>
        <v/>
      </c>
      <c r="CD86">
        <f>IFERROR(INDEX(PP_Grid[#Data],$DD86,80),0)</f>
        <v/>
      </c>
      <c r="CE86">
        <f>IFERROR(INDEX(PP_Grid[#Data],$DD86,81),0)</f>
        <v/>
      </c>
      <c r="CF86">
        <f>IFERROR(INDEX(PP_Grid[#Data],$DD86,82),0)</f>
        <v/>
      </c>
      <c r="CG86">
        <f>IFERROR(INDEX(PP_Grid[#Data],$DD86,83),0)</f>
        <v/>
      </c>
      <c r="CH86">
        <f>IFERROR(INDEX(PP_Grid[#Data],$DD86,84),0)</f>
        <v/>
      </c>
      <c r="CI86">
        <f>IFERROR(INDEX(PP_Grid[#Data],$DD86,85),0)</f>
        <v/>
      </c>
      <c r="CJ86">
        <f>IFERROR(INDEX(PP_Grid[#Data],$DD86,86),0)</f>
        <v/>
      </c>
      <c r="CK86">
        <f>IFERROR(INDEX(PP_Grid[#Data],$DD86,87),0)</f>
        <v/>
      </c>
      <c r="CL86">
        <f>IFERROR(INDEX(PP_Grid[#Data],$DD86,88),0)</f>
        <v/>
      </c>
      <c r="CM86">
        <f>IFERROR(INDEX(PP_Grid[#Data],$DD86,89),0)</f>
        <v/>
      </c>
      <c r="CN86">
        <f>IFERROR(INDEX(PP_Grid[#Data],$DD86,90),0)</f>
        <v/>
      </c>
      <c r="CO86">
        <f>IFERROR(INDEX(PP_Grid[#Data],$DD86,91),0)</f>
        <v/>
      </c>
      <c r="CP86">
        <f>IFERROR(INDEX(PP_Grid[#Data],$DD86,92),0)</f>
        <v/>
      </c>
      <c r="CQ86">
        <f>IFERROR(INDEX(PP_Grid[#Data],$DD86,93),0)</f>
        <v/>
      </c>
      <c r="CR86">
        <f>IFERROR(INDEX(PP_Grid[#Data],$DD86,94),0)</f>
        <v/>
      </c>
      <c r="CS86">
        <f>IFERROR(INDEX(PP_Grid[#Data],$DD86,95),0)</f>
        <v/>
      </c>
      <c r="CT86">
        <f>IFERROR(INDEX(PP_Grid[#Data],$DD86,96),0)</f>
        <v/>
      </c>
      <c r="CU86">
        <f>IFERROR(INDEX(PP_Grid[#Data],$DD86,97),0)</f>
        <v/>
      </c>
      <c r="CV86">
        <f>IFERROR(INDEX(PP_Grid[#Data],$DD86,98),0)</f>
        <v/>
      </c>
      <c r="CW86">
        <f>IFERROR(INDEX(PP_Grid[#Data],$DD86,99),0)</f>
        <v/>
      </c>
      <c r="CX86">
        <f>IFERROR(INDEX(PP_Grid[#Data],$DD86,100),0)</f>
        <v/>
      </c>
      <c r="CY86">
        <f>IFERROR(INDEX(PP_Grid[#Data],$DD86,101),0)</f>
        <v/>
      </c>
      <c r="CZ86">
        <f>IFERROR(INDEX(PP_Grid[#Data],$DD86,102),0)</f>
        <v/>
      </c>
      <c r="DA86">
        <f>IFERROR(INDEX(PP_Grid[#Data],$DD86,103),0)</f>
        <v/>
      </c>
      <c r="DB86">
        <f>IFERROR(INDEX(PP_Grid[#Data],$DD86,104),0)</f>
        <v/>
      </c>
      <c r="DC86">
        <f>IFERROR(INDEX(PP_Grid[#Data],$DD86,105),0)</f>
        <v/>
      </c>
      <c r="DD86" s="7">
        <f>IFERROR(MATCH($B86,PP_Grid[Intermediate],0),99999)</f>
        <v/>
      </c>
    </row>
    <row r="87">
      <c r="B87" t="inlineStr">
        <is>
          <t>使用量(kg)</t>
        </is>
      </c>
      <c r="C87">
        <f>SUMIFS(M_BOM[RM_Qty_Per_Batch],M_BOM[Intermediate],$B86,M_BOM[Part Name],$A45)</f>
        <v/>
      </c>
      <c r="D87">
        <f>$C87*D86</f>
        <v/>
      </c>
      <c r="E87">
        <f>$C87*E86</f>
        <v/>
      </c>
      <c r="F87">
        <f>$C87*F86</f>
        <v/>
      </c>
      <c r="G87">
        <f>$C87*G86</f>
        <v/>
      </c>
      <c r="H87">
        <f>$C87*H86</f>
        <v/>
      </c>
      <c r="I87">
        <f>$C87*I86</f>
        <v/>
      </c>
      <c r="J87">
        <f>$C87*J86</f>
        <v/>
      </c>
      <c r="K87">
        <f>$C87*K86</f>
        <v/>
      </c>
      <c r="L87">
        <f>$C87*L86</f>
        <v/>
      </c>
      <c r="M87">
        <f>$C87*M86</f>
        <v/>
      </c>
      <c r="N87">
        <f>$C87*N86</f>
        <v/>
      </c>
      <c r="O87">
        <f>$C87*O86</f>
        <v/>
      </c>
      <c r="P87">
        <f>$C87*P86</f>
        <v/>
      </c>
      <c r="Q87">
        <f>$C87*Q86</f>
        <v/>
      </c>
      <c r="R87">
        <f>$C87*R86</f>
        <v/>
      </c>
      <c r="S87">
        <f>$C87*S86</f>
        <v/>
      </c>
      <c r="T87">
        <f>$C87*T86</f>
        <v/>
      </c>
      <c r="U87">
        <f>$C87*U86</f>
        <v/>
      </c>
      <c r="V87">
        <f>$C87*V86</f>
        <v/>
      </c>
      <c r="W87">
        <f>$C87*W86</f>
        <v/>
      </c>
      <c r="X87">
        <f>$C87*X86</f>
        <v/>
      </c>
      <c r="Y87">
        <f>$C87*Y86</f>
        <v/>
      </c>
      <c r="Z87">
        <f>$C87*Z86</f>
        <v/>
      </c>
      <c r="AA87">
        <f>$C87*AA86</f>
        <v/>
      </c>
      <c r="AB87">
        <f>$C87*AB86</f>
        <v/>
      </c>
      <c r="AC87">
        <f>$C87*AC86</f>
        <v/>
      </c>
      <c r="AD87">
        <f>$C87*AD86</f>
        <v/>
      </c>
      <c r="AE87">
        <f>$C87*AE86</f>
        <v/>
      </c>
      <c r="AF87">
        <f>$C87*AF86</f>
        <v/>
      </c>
      <c r="AG87">
        <f>$C87*AG86</f>
        <v/>
      </c>
      <c r="AH87">
        <f>$C87*AH86</f>
        <v/>
      </c>
      <c r="AI87">
        <f>$C87*AI86</f>
        <v/>
      </c>
      <c r="AJ87">
        <f>$C87*AJ86</f>
        <v/>
      </c>
      <c r="AK87">
        <f>$C87*AK86</f>
        <v/>
      </c>
      <c r="AL87">
        <f>$C87*AL86</f>
        <v/>
      </c>
      <c r="AM87">
        <f>$C87*AM86</f>
        <v/>
      </c>
      <c r="AN87">
        <f>$C87*AN86</f>
        <v/>
      </c>
      <c r="AO87">
        <f>$C87*AO86</f>
        <v/>
      </c>
      <c r="AP87">
        <f>$C87*AP86</f>
        <v/>
      </c>
      <c r="AQ87">
        <f>$C87*AQ86</f>
        <v/>
      </c>
      <c r="AR87">
        <f>$C87*AR86</f>
        <v/>
      </c>
      <c r="AS87">
        <f>$C87*AS86</f>
        <v/>
      </c>
      <c r="AT87">
        <f>$C87*AT86</f>
        <v/>
      </c>
      <c r="AU87">
        <f>$C87*AU86</f>
        <v/>
      </c>
      <c r="AV87">
        <f>$C87*AV86</f>
        <v/>
      </c>
      <c r="AW87">
        <f>$C87*AW86</f>
        <v/>
      </c>
      <c r="AX87">
        <f>$C87*AX86</f>
        <v/>
      </c>
      <c r="AY87">
        <f>$C87*AY86</f>
        <v/>
      </c>
      <c r="AZ87">
        <f>$C87*AZ86</f>
        <v/>
      </c>
      <c r="BA87">
        <f>$C87*BA86</f>
        <v/>
      </c>
      <c r="BB87">
        <f>$C87*BB86</f>
        <v/>
      </c>
      <c r="BC87">
        <f>$C87*BC86</f>
        <v/>
      </c>
      <c r="BD87">
        <f>$C87*BD86</f>
        <v/>
      </c>
      <c r="BE87">
        <f>$C87*BE86</f>
        <v/>
      </c>
      <c r="BF87">
        <f>$C87*BF86</f>
        <v/>
      </c>
      <c r="BG87">
        <f>$C87*BG86</f>
        <v/>
      </c>
      <c r="BH87">
        <f>$C87*BH86</f>
        <v/>
      </c>
      <c r="BI87">
        <f>$C87*BI86</f>
        <v/>
      </c>
      <c r="BJ87">
        <f>$C87*BJ86</f>
        <v/>
      </c>
      <c r="BK87">
        <f>$C87*BK86</f>
        <v/>
      </c>
      <c r="BL87">
        <f>$C87*BL86</f>
        <v/>
      </c>
      <c r="BM87">
        <f>$C87*BM86</f>
        <v/>
      </c>
      <c r="BN87">
        <f>$C87*BN86</f>
        <v/>
      </c>
      <c r="BO87">
        <f>$C87*BO86</f>
        <v/>
      </c>
      <c r="BP87">
        <f>$C87*BP86</f>
        <v/>
      </c>
      <c r="BQ87">
        <f>$C87*BQ86</f>
        <v/>
      </c>
      <c r="BR87">
        <f>$C87*BR86</f>
        <v/>
      </c>
      <c r="BS87">
        <f>$C87*BS86</f>
        <v/>
      </c>
      <c r="BT87">
        <f>$C87*BT86</f>
        <v/>
      </c>
      <c r="BU87">
        <f>$C87*BU86</f>
        <v/>
      </c>
      <c r="BV87">
        <f>$C87*BV86</f>
        <v/>
      </c>
      <c r="BW87">
        <f>$C87*BW86</f>
        <v/>
      </c>
      <c r="BX87">
        <f>$C87*BX86</f>
        <v/>
      </c>
      <c r="BY87">
        <f>$C87*BY86</f>
        <v/>
      </c>
      <c r="BZ87">
        <f>$C87*BZ86</f>
        <v/>
      </c>
      <c r="CA87">
        <f>$C87*CA86</f>
        <v/>
      </c>
      <c r="CB87">
        <f>$C87*CB86</f>
        <v/>
      </c>
      <c r="CC87">
        <f>$C87*CC86</f>
        <v/>
      </c>
      <c r="CD87">
        <f>$C87*CD86</f>
        <v/>
      </c>
      <c r="CE87">
        <f>$C87*CE86</f>
        <v/>
      </c>
      <c r="CF87">
        <f>$C87*CF86</f>
        <v/>
      </c>
      <c r="CG87">
        <f>$C87*CG86</f>
        <v/>
      </c>
      <c r="CH87">
        <f>$C87*CH86</f>
        <v/>
      </c>
      <c r="CI87">
        <f>$C87*CI86</f>
        <v/>
      </c>
      <c r="CJ87">
        <f>$C87*CJ86</f>
        <v/>
      </c>
      <c r="CK87">
        <f>$C87*CK86</f>
        <v/>
      </c>
      <c r="CL87">
        <f>$C87*CL86</f>
        <v/>
      </c>
      <c r="CM87">
        <f>$C87*CM86</f>
        <v/>
      </c>
      <c r="CN87">
        <f>$C87*CN86</f>
        <v/>
      </c>
      <c r="CO87">
        <f>$C87*CO86</f>
        <v/>
      </c>
      <c r="CP87">
        <f>$C87*CP86</f>
        <v/>
      </c>
      <c r="CQ87">
        <f>$C87*CQ86</f>
        <v/>
      </c>
      <c r="CR87">
        <f>$C87*CR86</f>
        <v/>
      </c>
      <c r="CS87">
        <f>$C87*CS86</f>
        <v/>
      </c>
      <c r="CT87">
        <f>$C87*CT86</f>
        <v/>
      </c>
      <c r="CU87">
        <f>$C87*CU86</f>
        <v/>
      </c>
      <c r="CV87">
        <f>$C87*CV86</f>
        <v/>
      </c>
      <c r="CW87">
        <f>$C87*CW86</f>
        <v/>
      </c>
      <c r="CX87">
        <f>$C87*CX86</f>
        <v/>
      </c>
      <c r="CY87">
        <f>$C87*CY86</f>
        <v/>
      </c>
      <c r="CZ87">
        <f>$C87*CZ86</f>
        <v/>
      </c>
      <c r="DA87">
        <f>$C87*DA86</f>
        <v/>
      </c>
      <c r="DB87">
        <f>$C87*DB86</f>
        <v/>
      </c>
      <c r="DC87">
        <f>$C87*DC86</f>
        <v/>
      </c>
    </row>
    <row r="88">
      <c r="B88" t="inlineStr">
        <is>
          <t>TSP-399</t>
        </is>
      </c>
      <c r="C88" t="inlineStr">
        <is>
          <t>No. of batches</t>
        </is>
      </c>
      <c r="D88">
        <f>IFERROR(INDEX(PP_Grid[#Data],$DD88,2),0)</f>
        <v/>
      </c>
      <c r="E88">
        <f>IFERROR(INDEX(PP_Grid[#Data],$DD88,3),0)</f>
        <v/>
      </c>
      <c r="F88">
        <f>IFERROR(INDEX(PP_Grid[#Data],$DD88,4),0)</f>
        <v/>
      </c>
      <c r="G88">
        <f>IFERROR(INDEX(PP_Grid[#Data],$DD88,5),0)</f>
        <v/>
      </c>
      <c r="H88">
        <f>IFERROR(INDEX(PP_Grid[#Data],$DD88,6),0)</f>
        <v/>
      </c>
      <c r="I88">
        <f>IFERROR(INDEX(PP_Grid[#Data],$DD88,7),0)</f>
        <v/>
      </c>
      <c r="J88">
        <f>IFERROR(INDEX(PP_Grid[#Data],$DD88,8),0)</f>
        <v/>
      </c>
      <c r="K88">
        <f>IFERROR(INDEX(PP_Grid[#Data],$DD88,9),0)</f>
        <v/>
      </c>
      <c r="L88">
        <f>IFERROR(INDEX(PP_Grid[#Data],$DD88,10),0)</f>
        <v/>
      </c>
      <c r="M88">
        <f>IFERROR(INDEX(PP_Grid[#Data],$DD88,11),0)</f>
        <v/>
      </c>
      <c r="N88">
        <f>IFERROR(INDEX(PP_Grid[#Data],$DD88,12),0)</f>
        <v/>
      </c>
      <c r="O88">
        <f>IFERROR(INDEX(PP_Grid[#Data],$DD88,13),0)</f>
        <v/>
      </c>
      <c r="P88">
        <f>IFERROR(INDEX(PP_Grid[#Data],$DD88,14),0)</f>
        <v/>
      </c>
      <c r="Q88">
        <f>IFERROR(INDEX(PP_Grid[#Data],$DD88,15),0)</f>
        <v/>
      </c>
      <c r="R88">
        <f>IFERROR(INDEX(PP_Grid[#Data],$DD88,16),0)</f>
        <v/>
      </c>
      <c r="S88">
        <f>IFERROR(INDEX(PP_Grid[#Data],$DD88,17),0)</f>
        <v/>
      </c>
      <c r="T88">
        <f>IFERROR(INDEX(PP_Grid[#Data],$DD88,18),0)</f>
        <v/>
      </c>
      <c r="U88">
        <f>IFERROR(INDEX(PP_Grid[#Data],$DD88,19),0)</f>
        <v/>
      </c>
      <c r="V88">
        <f>IFERROR(INDEX(PP_Grid[#Data],$DD88,20),0)</f>
        <v/>
      </c>
      <c r="W88">
        <f>IFERROR(INDEX(PP_Grid[#Data],$DD88,21),0)</f>
        <v/>
      </c>
      <c r="X88">
        <f>IFERROR(INDEX(PP_Grid[#Data],$DD88,22),0)</f>
        <v/>
      </c>
      <c r="Y88">
        <f>IFERROR(INDEX(PP_Grid[#Data],$DD88,23),0)</f>
        <v/>
      </c>
      <c r="Z88">
        <f>IFERROR(INDEX(PP_Grid[#Data],$DD88,24),0)</f>
        <v/>
      </c>
      <c r="AA88">
        <f>IFERROR(INDEX(PP_Grid[#Data],$DD88,25),0)</f>
        <v/>
      </c>
      <c r="AB88">
        <f>IFERROR(INDEX(PP_Grid[#Data],$DD88,26),0)</f>
        <v/>
      </c>
      <c r="AC88">
        <f>IFERROR(INDEX(PP_Grid[#Data],$DD88,27),0)</f>
        <v/>
      </c>
      <c r="AD88">
        <f>IFERROR(INDEX(PP_Grid[#Data],$DD88,28),0)</f>
        <v/>
      </c>
      <c r="AE88">
        <f>IFERROR(INDEX(PP_Grid[#Data],$DD88,29),0)</f>
        <v/>
      </c>
      <c r="AF88">
        <f>IFERROR(INDEX(PP_Grid[#Data],$DD88,30),0)</f>
        <v/>
      </c>
      <c r="AG88">
        <f>IFERROR(INDEX(PP_Grid[#Data],$DD88,31),0)</f>
        <v/>
      </c>
      <c r="AH88">
        <f>IFERROR(INDEX(PP_Grid[#Data],$DD88,32),0)</f>
        <v/>
      </c>
      <c r="AI88">
        <f>IFERROR(INDEX(PP_Grid[#Data],$DD88,33),0)</f>
        <v/>
      </c>
      <c r="AJ88">
        <f>IFERROR(INDEX(PP_Grid[#Data],$DD88,34),0)</f>
        <v/>
      </c>
      <c r="AK88">
        <f>IFERROR(INDEX(PP_Grid[#Data],$DD88,35),0)</f>
        <v/>
      </c>
      <c r="AL88">
        <f>IFERROR(INDEX(PP_Grid[#Data],$DD88,36),0)</f>
        <v/>
      </c>
      <c r="AM88">
        <f>IFERROR(INDEX(PP_Grid[#Data],$DD88,37),0)</f>
        <v/>
      </c>
      <c r="AN88">
        <f>IFERROR(INDEX(PP_Grid[#Data],$DD88,38),0)</f>
        <v/>
      </c>
      <c r="AO88">
        <f>IFERROR(INDEX(PP_Grid[#Data],$DD88,39),0)</f>
        <v/>
      </c>
      <c r="AP88">
        <f>IFERROR(INDEX(PP_Grid[#Data],$DD88,40),0)</f>
        <v/>
      </c>
      <c r="AQ88">
        <f>IFERROR(INDEX(PP_Grid[#Data],$DD88,41),0)</f>
        <v/>
      </c>
      <c r="AR88">
        <f>IFERROR(INDEX(PP_Grid[#Data],$DD88,42),0)</f>
        <v/>
      </c>
      <c r="AS88">
        <f>IFERROR(INDEX(PP_Grid[#Data],$DD88,43),0)</f>
        <v/>
      </c>
      <c r="AT88">
        <f>IFERROR(INDEX(PP_Grid[#Data],$DD88,44),0)</f>
        <v/>
      </c>
      <c r="AU88">
        <f>IFERROR(INDEX(PP_Grid[#Data],$DD88,45),0)</f>
        <v/>
      </c>
      <c r="AV88">
        <f>IFERROR(INDEX(PP_Grid[#Data],$DD88,46),0)</f>
        <v/>
      </c>
      <c r="AW88">
        <f>IFERROR(INDEX(PP_Grid[#Data],$DD88,47),0)</f>
        <v/>
      </c>
      <c r="AX88">
        <f>IFERROR(INDEX(PP_Grid[#Data],$DD88,48),0)</f>
        <v/>
      </c>
      <c r="AY88">
        <f>IFERROR(INDEX(PP_Grid[#Data],$DD88,49),0)</f>
        <v/>
      </c>
      <c r="AZ88">
        <f>IFERROR(INDEX(PP_Grid[#Data],$DD88,50),0)</f>
        <v/>
      </c>
      <c r="BA88">
        <f>IFERROR(INDEX(PP_Grid[#Data],$DD88,51),0)</f>
        <v/>
      </c>
      <c r="BB88">
        <f>IFERROR(INDEX(PP_Grid[#Data],$DD88,52),0)</f>
        <v/>
      </c>
      <c r="BC88">
        <f>IFERROR(INDEX(PP_Grid[#Data],$DD88,53),0)</f>
        <v/>
      </c>
      <c r="BD88">
        <f>IFERROR(INDEX(PP_Grid[#Data],$DD88,54),0)</f>
        <v/>
      </c>
      <c r="BE88">
        <f>IFERROR(INDEX(PP_Grid[#Data],$DD88,55),0)</f>
        <v/>
      </c>
      <c r="BF88">
        <f>IFERROR(INDEX(PP_Grid[#Data],$DD88,56),0)</f>
        <v/>
      </c>
      <c r="BG88">
        <f>IFERROR(INDEX(PP_Grid[#Data],$DD88,57),0)</f>
        <v/>
      </c>
      <c r="BH88">
        <f>IFERROR(INDEX(PP_Grid[#Data],$DD88,58),0)</f>
        <v/>
      </c>
      <c r="BI88">
        <f>IFERROR(INDEX(PP_Grid[#Data],$DD88,59),0)</f>
        <v/>
      </c>
      <c r="BJ88">
        <f>IFERROR(INDEX(PP_Grid[#Data],$DD88,60),0)</f>
        <v/>
      </c>
      <c r="BK88">
        <f>IFERROR(INDEX(PP_Grid[#Data],$DD88,61),0)</f>
        <v/>
      </c>
      <c r="BL88">
        <f>IFERROR(INDEX(PP_Grid[#Data],$DD88,62),0)</f>
        <v/>
      </c>
      <c r="BM88">
        <f>IFERROR(INDEX(PP_Grid[#Data],$DD88,63),0)</f>
        <v/>
      </c>
      <c r="BN88">
        <f>IFERROR(INDEX(PP_Grid[#Data],$DD88,64),0)</f>
        <v/>
      </c>
      <c r="BO88">
        <f>IFERROR(INDEX(PP_Grid[#Data],$DD88,65),0)</f>
        <v/>
      </c>
      <c r="BP88">
        <f>IFERROR(INDEX(PP_Grid[#Data],$DD88,66),0)</f>
        <v/>
      </c>
      <c r="BQ88">
        <f>IFERROR(INDEX(PP_Grid[#Data],$DD88,67),0)</f>
        <v/>
      </c>
      <c r="BR88">
        <f>IFERROR(INDEX(PP_Grid[#Data],$DD88,68),0)</f>
        <v/>
      </c>
      <c r="BS88">
        <f>IFERROR(INDEX(PP_Grid[#Data],$DD88,69),0)</f>
        <v/>
      </c>
      <c r="BT88">
        <f>IFERROR(INDEX(PP_Grid[#Data],$DD88,70),0)</f>
        <v/>
      </c>
      <c r="BU88">
        <f>IFERROR(INDEX(PP_Grid[#Data],$DD88,71),0)</f>
        <v/>
      </c>
      <c r="BV88">
        <f>IFERROR(INDEX(PP_Grid[#Data],$DD88,72),0)</f>
        <v/>
      </c>
      <c r="BW88">
        <f>IFERROR(INDEX(PP_Grid[#Data],$DD88,73),0)</f>
        <v/>
      </c>
      <c r="BX88">
        <f>IFERROR(INDEX(PP_Grid[#Data],$DD88,74),0)</f>
        <v/>
      </c>
      <c r="BY88">
        <f>IFERROR(INDEX(PP_Grid[#Data],$DD88,75),0)</f>
        <v/>
      </c>
      <c r="BZ88">
        <f>IFERROR(INDEX(PP_Grid[#Data],$DD88,76),0)</f>
        <v/>
      </c>
      <c r="CA88">
        <f>IFERROR(INDEX(PP_Grid[#Data],$DD88,77),0)</f>
        <v/>
      </c>
      <c r="CB88">
        <f>IFERROR(INDEX(PP_Grid[#Data],$DD88,78),0)</f>
        <v/>
      </c>
      <c r="CC88">
        <f>IFERROR(INDEX(PP_Grid[#Data],$DD88,79),0)</f>
        <v/>
      </c>
      <c r="CD88">
        <f>IFERROR(INDEX(PP_Grid[#Data],$DD88,80),0)</f>
        <v/>
      </c>
      <c r="CE88">
        <f>IFERROR(INDEX(PP_Grid[#Data],$DD88,81),0)</f>
        <v/>
      </c>
      <c r="CF88">
        <f>IFERROR(INDEX(PP_Grid[#Data],$DD88,82),0)</f>
        <v/>
      </c>
      <c r="CG88">
        <f>IFERROR(INDEX(PP_Grid[#Data],$DD88,83),0)</f>
        <v/>
      </c>
      <c r="CH88">
        <f>IFERROR(INDEX(PP_Grid[#Data],$DD88,84),0)</f>
        <v/>
      </c>
      <c r="CI88">
        <f>IFERROR(INDEX(PP_Grid[#Data],$DD88,85),0)</f>
        <v/>
      </c>
      <c r="CJ88">
        <f>IFERROR(INDEX(PP_Grid[#Data],$DD88,86),0)</f>
        <v/>
      </c>
      <c r="CK88">
        <f>IFERROR(INDEX(PP_Grid[#Data],$DD88,87),0)</f>
        <v/>
      </c>
      <c r="CL88">
        <f>IFERROR(INDEX(PP_Grid[#Data],$DD88,88),0)</f>
        <v/>
      </c>
      <c r="CM88">
        <f>IFERROR(INDEX(PP_Grid[#Data],$DD88,89),0)</f>
        <v/>
      </c>
      <c r="CN88">
        <f>IFERROR(INDEX(PP_Grid[#Data],$DD88,90),0)</f>
        <v/>
      </c>
      <c r="CO88">
        <f>IFERROR(INDEX(PP_Grid[#Data],$DD88,91),0)</f>
        <v/>
      </c>
      <c r="CP88">
        <f>IFERROR(INDEX(PP_Grid[#Data],$DD88,92),0)</f>
        <v/>
      </c>
      <c r="CQ88">
        <f>IFERROR(INDEX(PP_Grid[#Data],$DD88,93),0)</f>
        <v/>
      </c>
      <c r="CR88">
        <f>IFERROR(INDEX(PP_Grid[#Data],$DD88,94),0)</f>
        <v/>
      </c>
      <c r="CS88">
        <f>IFERROR(INDEX(PP_Grid[#Data],$DD88,95),0)</f>
        <v/>
      </c>
      <c r="CT88">
        <f>IFERROR(INDEX(PP_Grid[#Data],$DD88,96),0)</f>
        <v/>
      </c>
      <c r="CU88">
        <f>IFERROR(INDEX(PP_Grid[#Data],$DD88,97),0)</f>
        <v/>
      </c>
      <c r="CV88">
        <f>IFERROR(INDEX(PP_Grid[#Data],$DD88,98),0)</f>
        <v/>
      </c>
      <c r="CW88">
        <f>IFERROR(INDEX(PP_Grid[#Data],$DD88,99),0)</f>
        <v/>
      </c>
      <c r="CX88">
        <f>IFERROR(INDEX(PP_Grid[#Data],$DD88,100),0)</f>
        <v/>
      </c>
      <c r="CY88">
        <f>IFERROR(INDEX(PP_Grid[#Data],$DD88,101),0)</f>
        <v/>
      </c>
      <c r="CZ88">
        <f>IFERROR(INDEX(PP_Grid[#Data],$DD88,102),0)</f>
        <v/>
      </c>
      <c r="DA88">
        <f>IFERROR(INDEX(PP_Grid[#Data],$DD88,103),0)</f>
        <v/>
      </c>
      <c r="DB88">
        <f>IFERROR(INDEX(PP_Grid[#Data],$DD88,104),0)</f>
        <v/>
      </c>
      <c r="DC88">
        <f>IFERROR(INDEX(PP_Grid[#Data],$DD88,105),0)</f>
        <v/>
      </c>
      <c r="DD88" s="7">
        <f>IFERROR(MATCH($B88,PP_Grid[Intermediate],0),99999)</f>
        <v/>
      </c>
    </row>
    <row r="89">
      <c r="B89" t="inlineStr">
        <is>
          <t>使用量(kg)</t>
        </is>
      </c>
      <c r="C89">
        <f>SUMIFS(M_BOM[RM_Qty_Per_Batch],M_BOM[Intermediate],$B88,M_BOM[Part Name],$A45)</f>
        <v/>
      </c>
      <c r="D89">
        <f>$C89*D88</f>
        <v/>
      </c>
      <c r="E89">
        <f>$C89*E88</f>
        <v/>
      </c>
      <c r="F89">
        <f>$C89*F88</f>
        <v/>
      </c>
      <c r="G89">
        <f>$C89*G88</f>
        <v/>
      </c>
      <c r="H89">
        <f>$C89*H88</f>
        <v/>
      </c>
      <c r="I89">
        <f>$C89*I88</f>
        <v/>
      </c>
      <c r="J89">
        <f>$C89*J88</f>
        <v/>
      </c>
      <c r="K89">
        <f>$C89*K88</f>
        <v/>
      </c>
      <c r="L89">
        <f>$C89*L88</f>
        <v/>
      </c>
      <c r="M89">
        <f>$C89*M88</f>
        <v/>
      </c>
      <c r="N89">
        <f>$C89*N88</f>
        <v/>
      </c>
      <c r="O89">
        <f>$C89*O88</f>
        <v/>
      </c>
      <c r="P89">
        <f>$C89*P88</f>
        <v/>
      </c>
      <c r="Q89">
        <f>$C89*Q88</f>
        <v/>
      </c>
      <c r="R89">
        <f>$C89*R88</f>
        <v/>
      </c>
      <c r="S89">
        <f>$C89*S88</f>
        <v/>
      </c>
      <c r="T89">
        <f>$C89*T88</f>
        <v/>
      </c>
      <c r="U89">
        <f>$C89*U88</f>
        <v/>
      </c>
      <c r="V89">
        <f>$C89*V88</f>
        <v/>
      </c>
      <c r="W89">
        <f>$C89*W88</f>
        <v/>
      </c>
      <c r="X89">
        <f>$C89*X88</f>
        <v/>
      </c>
      <c r="Y89">
        <f>$C89*Y88</f>
        <v/>
      </c>
      <c r="Z89">
        <f>$C89*Z88</f>
        <v/>
      </c>
      <c r="AA89">
        <f>$C89*AA88</f>
        <v/>
      </c>
      <c r="AB89">
        <f>$C89*AB88</f>
        <v/>
      </c>
      <c r="AC89">
        <f>$C89*AC88</f>
        <v/>
      </c>
      <c r="AD89">
        <f>$C89*AD88</f>
        <v/>
      </c>
      <c r="AE89">
        <f>$C89*AE88</f>
        <v/>
      </c>
      <c r="AF89">
        <f>$C89*AF88</f>
        <v/>
      </c>
      <c r="AG89">
        <f>$C89*AG88</f>
        <v/>
      </c>
      <c r="AH89">
        <f>$C89*AH88</f>
        <v/>
      </c>
      <c r="AI89">
        <f>$C89*AI88</f>
        <v/>
      </c>
      <c r="AJ89">
        <f>$C89*AJ88</f>
        <v/>
      </c>
      <c r="AK89">
        <f>$C89*AK88</f>
        <v/>
      </c>
      <c r="AL89">
        <f>$C89*AL88</f>
        <v/>
      </c>
      <c r="AM89">
        <f>$C89*AM88</f>
        <v/>
      </c>
      <c r="AN89">
        <f>$C89*AN88</f>
        <v/>
      </c>
      <c r="AO89">
        <f>$C89*AO88</f>
        <v/>
      </c>
      <c r="AP89">
        <f>$C89*AP88</f>
        <v/>
      </c>
      <c r="AQ89">
        <f>$C89*AQ88</f>
        <v/>
      </c>
      <c r="AR89">
        <f>$C89*AR88</f>
        <v/>
      </c>
      <c r="AS89">
        <f>$C89*AS88</f>
        <v/>
      </c>
      <c r="AT89">
        <f>$C89*AT88</f>
        <v/>
      </c>
      <c r="AU89">
        <f>$C89*AU88</f>
        <v/>
      </c>
      <c r="AV89">
        <f>$C89*AV88</f>
        <v/>
      </c>
      <c r="AW89">
        <f>$C89*AW88</f>
        <v/>
      </c>
      <c r="AX89">
        <f>$C89*AX88</f>
        <v/>
      </c>
      <c r="AY89">
        <f>$C89*AY88</f>
        <v/>
      </c>
      <c r="AZ89">
        <f>$C89*AZ88</f>
        <v/>
      </c>
      <c r="BA89">
        <f>$C89*BA88</f>
        <v/>
      </c>
      <c r="BB89">
        <f>$C89*BB88</f>
        <v/>
      </c>
      <c r="BC89">
        <f>$C89*BC88</f>
        <v/>
      </c>
      <c r="BD89">
        <f>$C89*BD88</f>
        <v/>
      </c>
      <c r="BE89">
        <f>$C89*BE88</f>
        <v/>
      </c>
      <c r="BF89">
        <f>$C89*BF88</f>
        <v/>
      </c>
      <c r="BG89">
        <f>$C89*BG88</f>
        <v/>
      </c>
      <c r="BH89">
        <f>$C89*BH88</f>
        <v/>
      </c>
      <c r="BI89">
        <f>$C89*BI88</f>
        <v/>
      </c>
      <c r="BJ89">
        <f>$C89*BJ88</f>
        <v/>
      </c>
      <c r="BK89">
        <f>$C89*BK88</f>
        <v/>
      </c>
      <c r="BL89">
        <f>$C89*BL88</f>
        <v/>
      </c>
      <c r="BM89">
        <f>$C89*BM88</f>
        <v/>
      </c>
      <c r="BN89">
        <f>$C89*BN88</f>
        <v/>
      </c>
      <c r="BO89">
        <f>$C89*BO88</f>
        <v/>
      </c>
      <c r="BP89">
        <f>$C89*BP88</f>
        <v/>
      </c>
      <c r="BQ89">
        <f>$C89*BQ88</f>
        <v/>
      </c>
      <c r="BR89">
        <f>$C89*BR88</f>
        <v/>
      </c>
      <c r="BS89">
        <f>$C89*BS88</f>
        <v/>
      </c>
      <c r="BT89">
        <f>$C89*BT88</f>
        <v/>
      </c>
      <c r="BU89">
        <f>$C89*BU88</f>
        <v/>
      </c>
      <c r="BV89">
        <f>$C89*BV88</f>
        <v/>
      </c>
      <c r="BW89">
        <f>$C89*BW88</f>
        <v/>
      </c>
      <c r="BX89">
        <f>$C89*BX88</f>
        <v/>
      </c>
      <c r="BY89">
        <f>$C89*BY88</f>
        <v/>
      </c>
      <c r="BZ89">
        <f>$C89*BZ88</f>
        <v/>
      </c>
      <c r="CA89">
        <f>$C89*CA88</f>
        <v/>
      </c>
      <c r="CB89">
        <f>$C89*CB88</f>
        <v/>
      </c>
      <c r="CC89">
        <f>$C89*CC88</f>
        <v/>
      </c>
      <c r="CD89">
        <f>$C89*CD88</f>
        <v/>
      </c>
      <c r="CE89">
        <f>$C89*CE88</f>
        <v/>
      </c>
      <c r="CF89">
        <f>$C89*CF88</f>
        <v/>
      </c>
      <c r="CG89">
        <f>$C89*CG88</f>
        <v/>
      </c>
      <c r="CH89">
        <f>$C89*CH88</f>
        <v/>
      </c>
      <c r="CI89">
        <f>$C89*CI88</f>
        <v/>
      </c>
      <c r="CJ89">
        <f>$C89*CJ88</f>
        <v/>
      </c>
      <c r="CK89">
        <f>$C89*CK88</f>
        <v/>
      </c>
      <c r="CL89">
        <f>$C89*CL88</f>
        <v/>
      </c>
      <c r="CM89">
        <f>$C89*CM88</f>
        <v/>
      </c>
      <c r="CN89">
        <f>$C89*CN88</f>
        <v/>
      </c>
      <c r="CO89">
        <f>$C89*CO88</f>
        <v/>
      </c>
      <c r="CP89">
        <f>$C89*CP88</f>
        <v/>
      </c>
      <c r="CQ89">
        <f>$C89*CQ88</f>
        <v/>
      </c>
      <c r="CR89">
        <f>$C89*CR88</f>
        <v/>
      </c>
      <c r="CS89">
        <f>$C89*CS88</f>
        <v/>
      </c>
      <c r="CT89">
        <f>$C89*CT88</f>
        <v/>
      </c>
      <c r="CU89">
        <f>$C89*CU88</f>
        <v/>
      </c>
      <c r="CV89">
        <f>$C89*CV88</f>
        <v/>
      </c>
      <c r="CW89">
        <f>$C89*CW88</f>
        <v/>
      </c>
      <c r="CX89">
        <f>$C89*CX88</f>
        <v/>
      </c>
      <c r="CY89">
        <f>$C89*CY88</f>
        <v/>
      </c>
      <c r="CZ89">
        <f>$C89*CZ88</f>
        <v/>
      </c>
      <c r="DA89">
        <f>$C89*DA88</f>
        <v/>
      </c>
      <c r="DB89">
        <f>$C89*DB88</f>
        <v/>
      </c>
      <c r="DC89">
        <f>$C89*DC88</f>
        <v/>
      </c>
    </row>
    <row r="90">
      <c r="B90" t="inlineStr">
        <is>
          <t>TSP-402</t>
        </is>
      </c>
      <c r="C90" t="inlineStr">
        <is>
          <t>No. of batches</t>
        </is>
      </c>
      <c r="D90">
        <f>IFERROR(INDEX(PP_Grid[#Data],$DD90,2),0)</f>
        <v/>
      </c>
      <c r="E90">
        <f>IFERROR(INDEX(PP_Grid[#Data],$DD90,3),0)</f>
        <v/>
      </c>
      <c r="F90">
        <f>IFERROR(INDEX(PP_Grid[#Data],$DD90,4),0)</f>
        <v/>
      </c>
      <c r="G90">
        <f>IFERROR(INDEX(PP_Grid[#Data],$DD90,5),0)</f>
        <v/>
      </c>
      <c r="H90">
        <f>IFERROR(INDEX(PP_Grid[#Data],$DD90,6),0)</f>
        <v/>
      </c>
      <c r="I90">
        <f>IFERROR(INDEX(PP_Grid[#Data],$DD90,7),0)</f>
        <v/>
      </c>
      <c r="J90">
        <f>IFERROR(INDEX(PP_Grid[#Data],$DD90,8),0)</f>
        <v/>
      </c>
      <c r="K90">
        <f>IFERROR(INDEX(PP_Grid[#Data],$DD90,9),0)</f>
        <v/>
      </c>
      <c r="L90">
        <f>IFERROR(INDEX(PP_Grid[#Data],$DD90,10),0)</f>
        <v/>
      </c>
      <c r="M90">
        <f>IFERROR(INDEX(PP_Grid[#Data],$DD90,11),0)</f>
        <v/>
      </c>
      <c r="N90">
        <f>IFERROR(INDEX(PP_Grid[#Data],$DD90,12),0)</f>
        <v/>
      </c>
      <c r="O90">
        <f>IFERROR(INDEX(PP_Grid[#Data],$DD90,13),0)</f>
        <v/>
      </c>
      <c r="P90">
        <f>IFERROR(INDEX(PP_Grid[#Data],$DD90,14),0)</f>
        <v/>
      </c>
      <c r="Q90">
        <f>IFERROR(INDEX(PP_Grid[#Data],$DD90,15),0)</f>
        <v/>
      </c>
      <c r="R90">
        <f>IFERROR(INDEX(PP_Grid[#Data],$DD90,16),0)</f>
        <v/>
      </c>
      <c r="S90">
        <f>IFERROR(INDEX(PP_Grid[#Data],$DD90,17),0)</f>
        <v/>
      </c>
      <c r="T90">
        <f>IFERROR(INDEX(PP_Grid[#Data],$DD90,18),0)</f>
        <v/>
      </c>
      <c r="U90">
        <f>IFERROR(INDEX(PP_Grid[#Data],$DD90,19),0)</f>
        <v/>
      </c>
      <c r="V90">
        <f>IFERROR(INDEX(PP_Grid[#Data],$DD90,20),0)</f>
        <v/>
      </c>
      <c r="W90">
        <f>IFERROR(INDEX(PP_Grid[#Data],$DD90,21),0)</f>
        <v/>
      </c>
      <c r="X90">
        <f>IFERROR(INDEX(PP_Grid[#Data],$DD90,22),0)</f>
        <v/>
      </c>
      <c r="Y90">
        <f>IFERROR(INDEX(PP_Grid[#Data],$DD90,23),0)</f>
        <v/>
      </c>
      <c r="Z90">
        <f>IFERROR(INDEX(PP_Grid[#Data],$DD90,24),0)</f>
        <v/>
      </c>
      <c r="AA90">
        <f>IFERROR(INDEX(PP_Grid[#Data],$DD90,25),0)</f>
        <v/>
      </c>
      <c r="AB90">
        <f>IFERROR(INDEX(PP_Grid[#Data],$DD90,26),0)</f>
        <v/>
      </c>
      <c r="AC90">
        <f>IFERROR(INDEX(PP_Grid[#Data],$DD90,27),0)</f>
        <v/>
      </c>
      <c r="AD90">
        <f>IFERROR(INDEX(PP_Grid[#Data],$DD90,28),0)</f>
        <v/>
      </c>
      <c r="AE90">
        <f>IFERROR(INDEX(PP_Grid[#Data],$DD90,29),0)</f>
        <v/>
      </c>
      <c r="AF90">
        <f>IFERROR(INDEX(PP_Grid[#Data],$DD90,30),0)</f>
        <v/>
      </c>
      <c r="AG90">
        <f>IFERROR(INDEX(PP_Grid[#Data],$DD90,31),0)</f>
        <v/>
      </c>
      <c r="AH90">
        <f>IFERROR(INDEX(PP_Grid[#Data],$DD90,32),0)</f>
        <v/>
      </c>
      <c r="AI90">
        <f>IFERROR(INDEX(PP_Grid[#Data],$DD90,33),0)</f>
        <v/>
      </c>
      <c r="AJ90">
        <f>IFERROR(INDEX(PP_Grid[#Data],$DD90,34),0)</f>
        <v/>
      </c>
      <c r="AK90">
        <f>IFERROR(INDEX(PP_Grid[#Data],$DD90,35),0)</f>
        <v/>
      </c>
      <c r="AL90">
        <f>IFERROR(INDEX(PP_Grid[#Data],$DD90,36),0)</f>
        <v/>
      </c>
      <c r="AM90">
        <f>IFERROR(INDEX(PP_Grid[#Data],$DD90,37),0)</f>
        <v/>
      </c>
      <c r="AN90">
        <f>IFERROR(INDEX(PP_Grid[#Data],$DD90,38),0)</f>
        <v/>
      </c>
      <c r="AO90">
        <f>IFERROR(INDEX(PP_Grid[#Data],$DD90,39),0)</f>
        <v/>
      </c>
      <c r="AP90">
        <f>IFERROR(INDEX(PP_Grid[#Data],$DD90,40),0)</f>
        <v/>
      </c>
      <c r="AQ90">
        <f>IFERROR(INDEX(PP_Grid[#Data],$DD90,41),0)</f>
        <v/>
      </c>
      <c r="AR90">
        <f>IFERROR(INDEX(PP_Grid[#Data],$DD90,42),0)</f>
        <v/>
      </c>
      <c r="AS90">
        <f>IFERROR(INDEX(PP_Grid[#Data],$DD90,43),0)</f>
        <v/>
      </c>
      <c r="AT90">
        <f>IFERROR(INDEX(PP_Grid[#Data],$DD90,44),0)</f>
        <v/>
      </c>
      <c r="AU90">
        <f>IFERROR(INDEX(PP_Grid[#Data],$DD90,45),0)</f>
        <v/>
      </c>
      <c r="AV90">
        <f>IFERROR(INDEX(PP_Grid[#Data],$DD90,46),0)</f>
        <v/>
      </c>
      <c r="AW90">
        <f>IFERROR(INDEX(PP_Grid[#Data],$DD90,47),0)</f>
        <v/>
      </c>
      <c r="AX90">
        <f>IFERROR(INDEX(PP_Grid[#Data],$DD90,48),0)</f>
        <v/>
      </c>
      <c r="AY90">
        <f>IFERROR(INDEX(PP_Grid[#Data],$DD90,49),0)</f>
        <v/>
      </c>
      <c r="AZ90">
        <f>IFERROR(INDEX(PP_Grid[#Data],$DD90,50),0)</f>
        <v/>
      </c>
      <c r="BA90">
        <f>IFERROR(INDEX(PP_Grid[#Data],$DD90,51),0)</f>
        <v/>
      </c>
      <c r="BB90">
        <f>IFERROR(INDEX(PP_Grid[#Data],$DD90,52),0)</f>
        <v/>
      </c>
      <c r="BC90">
        <f>IFERROR(INDEX(PP_Grid[#Data],$DD90,53),0)</f>
        <v/>
      </c>
      <c r="BD90">
        <f>IFERROR(INDEX(PP_Grid[#Data],$DD90,54),0)</f>
        <v/>
      </c>
      <c r="BE90">
        <f>IFERROR(INDEX(PP_Grid[#Data],$DD90,55),0)</f>
        <v/>
      </c>
      <c r="BF90">
        <f>IFERROR(INDEX(PP_Grid[#Data],$DD90,56),0)</f>
        <v/>
      </c>
      <c r="BG90">
        <f>IFERROR(INDEX(PP_Grid[#Data],$DD90,57),0)</f>
        <v/>
      </c>
      <c r="BH90">
        <f>IFERROR(INDEX(PP_Grid[#Data],$DD90,58),0)</f>
        <v/>
      </c>
      <c r="BI90">
        <f>IFERROR(INDEX(PP_Grid[#Data],$DD90,59),0)</f>
        <v/>
      </c>
      <c r="BJ90">
        <f>IFERROR(INDEX(PP_Grid[#Data],$DD90,60),0)</f>
        <v/>
      </c>
      <c r="BK90">
        <f>IFERROR(INDEX(PP_Grid[#Data],$DD90,61),0)</f>
        <v/>
      </c>
      <c r="BL90">
        <f>IFERROR(INDEX(PP_Grid[#Data],$DD90,62),0)</f>
        <v/>
      </c>
      <c r="BM90">
        <f>IFERROR(INDEX(PP_Grid[#Data],$DD90,63),0)</f>
        <v/>
      </c>
      <c r="BN90">
        <f>IFERROR(INDEX(PP_Grid[#Data],$DD90,64),0)</f>
        <v/>
      </c>
      <c r="BO90">
        <f>IFERROR(INDEX(PP_Grid[#Data],$DD90,65),0)</f>
        <v/>
      </c>
      <c r="BP90">
        <f>IFERROR(INDEX(PP_Grid[#Data],$DD90,66),0)</f>
        <v/>
      </c>
      <c r="BQ90">
        <f>IFERROR(INDEX(PP_Grid[#Data],$DD90,67),0)</f>
        <v/>
      </c>
      <c r="BR90">
        <f>IFERROR(INDEX(PP_Grid[#Data],$DD90,68),0)</f>
        <v/>
      </c>
      <c r="BS90">
        <f>IFERROR(INDEX(PP_Grid[#Data],$DD90,69),0)</f>
        <v/>
      </c>
      <c r="BT90">
        <f>IFERROR(INDEX(PP_Grid[#Data],$DD90,70),0)</f>
        <v/>
      </c>
      <c r="BU90">
        <f>IFERROR(INDEX(PP_Grid[#Data],$DD90,71),0)</f>
        <v/>
      </c>
      <c r="BV90">
        <f>IFERROR(INDEX(PP_Grid[#Data],$DD90,72),0)</f>
        <v/>
      </c>
      <c r="BW90">
        <f>IFERROR(INDEX(PP_Grid[#Data],$DD90,73),0)</f>
        <v/>
      </c>
      <c r="BX90">
        <f>IFERROR(INDEX(PP_Grid[#Data],$DD90,74),0)</f>
        <v/>
      </c>
      <c r="BY90">
        <f>IFERROR(INDEX(PP_Grid[#Data],$DD90,75),0)</f>
        <v/>
      </c>
      <c r="BZ90">
        <f>IFERROR(INDEX(PP_Grid[#Data],$DD90,76),0)</f>
        <v/>
      </c>
      <c r="CA90">
        <f>IFERROR(INDEX(PP_Grid[#Data],$DD90,77),0)</f>
        <v/>
      </c>
      <c r="CB90">
        <f>IFERROR(INDEX(PP_Grid[#Data],$DD90,78),0)</f>
        <v/>
      </c>
      <c r="CC90">
        <f>IFERROR(INDEX(PP_Grid[#Data],$DD90,79),0)</f>
        <v/>
      </c>
      <c r="CD90">
        <f>IFERROR(INDEX(PP_Grid[#Data],$DD90,80),0)</f>
        <v/>
      </c>
      <c r="CE90">
        <f>IFERROR(INDEX(PP_Grid[#Data],$DD90,81),0)</f>
        <v/>
      </c>
      <c r="CF90">
        <f>IFERROR(INDEX(PP_Grid[#Data],$DD90,82),0)</f>
        <v/>
      </c>
      <c r="CG90">
        <f>IFERROR(INDEX(PP_Grid[#Data],$DD90,83),0)</f>
        <v/>
      </c>
      <c r="CH90">
        <f>IFERROR(INDEX(PP_Grid[#Data],$DD90,84),0)</f>
        <v/>
      </c>
      <c r="CI90">
        <f>IFERROR(INDEX(PP_Grid[#Data],$DD90,85),0)</f>
        <v/>
      </c>
      <c r="CJ90">
        <f>IFERROR(INDEX(PP_Grid[#Data],$DD90,86),0)</f>
        <v/>
      </c>
      <c r="CK90">
        <f>IFERROR(INDEX(PP_Grid[#Data],$DD90,87),0)</f>
        <v/>
      </c>
      <c r="CL90">
        <f>IFERROR(INDEX(PP_Grid[#Data],$DD90,88),0)</f>
        <v/>
      </c>
      <c r="CM90">
        <f>IFERROR(INDEX(PP_Grid[#Data],$DD90,89),0)</f>
        <v/>
      </c>
      <c r="CN90">
        <f>IFERROR(INDEX(PP_Grid[#Data],$DD90,90),0)</f>
        <v/>
      </c>
      <c r="CO90">
        <f>IFERROR(INDEX(PP_Grid[#Data],$DD90,91),0)</f>
        <v/>
      </c>
      <c r="CP90">
        <f>IFERROR(INDEX(PP_Grid[#Data],$DD90,92),0)</f>
        <v/>
      </c>
      <c r="CQ90">
        <f>IFERROR(INDEX(PP_Grid[#Data],$DD90,93),0)</f>
        <v/>
      </c>
      <c r="CR90">
        <f>IFERROR(INDEX(PP_Grid[#Data],$DD90,94),0)</f>
        <v/>
      </c>
      <c r="CS90">
        <f>IFERROR(INDEX(PP_Grid[#Data],$DD90,95),0)</f>
        <v/>
      </c>
      <c r="CT90">
        <f>IFERROR(INDEX(PP_Grid[#Data],$DD90,96),0)</f>
        <v/>
      </c>
      <c r="CU90">
        <f>IFERROR(INDEX(PP_Grid[#Data],$DD90,97),0)</f>
        <v/>
      </c>
      <c r="CV90">
        <f>IFERROR(INDEX(PP_Grid[#Data],$DD90,98),0)</f>
        <v/>
      </c>
      <c r="CW90">
        <f>IFERROR(INDEX(PP_Grid[#Data],$DD90,99),0)</f>
        <v/>
      </c>
      <c r="CX90">
        <f>IFERROR(INDEX(PP_Grid[#Data],$DD90,100),0)</f>
        <v/>
      </c>
      <c r="CY90">
        <f>IFERROR(INDEX(PP_Grid[#Data],$DD90,101),0)</f>
        <v/>
      </c>
      <c r="CZ90">
        <f>IFERROR(INDEX(PP_Grid[#Data],$DD90,102),0)</f>
        <v/>
      </c>
      <c r="DA90">
        <f>IFERROR(INDEX(PP_Grid[#Data],$DD90,103),0)</f>
        <v/>
      </c>
      <c r="DB90">
        <f>IFERROR(INDEX(PP_Grid[#Data],$DD90,104),0)</f>
        <v/>
      </c>
      <c r="DC90">
        <f>IFERROR(INDEX(PP_Grid[#Data],$DD90,105),0)</f>
        <v/>
      </c>
      <c r="DD90" s="7">
        <f>IFERROR(MATCH($B90,PP_Grid[Intermediate],0),99999)</f>
        <v/>
      </c>
    </row>
    <row r="91">
      <c r="B91" t="inlineStr">
        <is>
          <t>使用量(kg)</t>
        </is>
      </c>
      <c r="C91">
        <f>SUMIFS(M_BOM[RM_Qty_Per_Batch],M_BOM[Intermediate],$B90,M_BOM[Part Name],$A45)</f>
        <v/>
      </c>
      <c r="D91">
        <f>$C91*D90</f>
        <v/>
      </c>
      <c r="E91">
        <f>$C91*E90</f>
        <v/>
      </c>
      <c r="F91">
        <f>$C91*F90</f>
        <v/>
      </c>
      <c r="G91">
        <f>$C91*G90</f>
        <v/>
      </c>
      <c r="H91">
        <f>$C91*H90</f>
        <v/>
      </c>
      <c r="I91">
        <f>$C91*I90</f>
        <v/>
      </c>
      <c r="J91">
        <f>$C91*J90</f>
        <v/>
      </c>
      <c r="K91">
        <f>$C91*K90</f>
        <v/>
      </c>
      <c r="L91">
        <f>$C91*L90</f>
        <v/>
      </c>
      <c r="M91">
        <f>$C91*M90</f>
        <v/>
      </c>
      <c r="N91">
        <f>$C91*N90</f>
        <v/>
      </c>
      <c r="O91">
        <f>$C91*O90</f>
        <v/>
      </c>
      <c r="P91">
        <f>$C91*P90</f>
        <v/>
      </c>
      <c r="Q91">
        <f>$C91*Q90</f>
        <v/>
      </c>
      <c r="R91">
        <f>$C91*R90</f>
        <v/>
      </c>
      <c r="S91">
        <f>$C91*S90</f>
        <v/>
      </c>
      <c r="T91">
        <f>$C91*T90</f>
        <v/>
      </c>
      <c r="U91">
        <f>$C91*U90</f>
        <v/>
      </c>
      <c r="V91">
        <f>$C91*V90</f>
        <v/>
      </c>
      <c r="W91">
        <f>$C91*W90</f>
        <v/>
      </c>
      <c r="X91">
        <f>$C91*X90</f>
        <v/>
      </c>
      <c r="Y91">
        <f>$C91*Y90</f>
        <v/>
      </c>
      <c r="Z91">
        <f>$C91*Z90</f>
        <v/>
      </c>
      <c r="AA91">
        <f>$C91*AA90</f>
        <v/>
      </c>
      <c r="AB91">
        <f>$C91*AB90</f>
        <v/>
      </c>
      <c r="AC91">
        <f>$C91*AC90</f>
        <v/>
      </c>
      <c r="AD91">
        <f>$C91*AD90</f>
        <v/>
      </c>
      <c r="AE91">
        <f>$C91*AE90</f>
        <v/>
      </c>
      <c r="AF91">
        <f>$C91*AF90</f>
        <v/>
      </c>
      <c r="AG91">
        <f>$C91*AG90</f>
        <v/>
      </c>
      <c r="AH91">
        <f>$C91*AH90</f>
        <v/>
      </c>
      <c r="AI91">
        <f>$C91*AI90</f>
        <v/>
      </c>
      <c r="AJ91">
        <f>$C91*AJ90</f>
        <v/>
      </c>
      <c r="AK91">
        <f>$C91*AK90</f>
        <v/>
      </c>
      <c r="AL91">
        <f>$C91*AL90</f>
        <v/>
      </c>
      <c r="AM91">
        <f>$C91*AM90</f>
        <v/>
      </c>
      <c r="AN91">
        <f>$C91*AN90</f>
        <v/>
      </c>
      <c r="AO91">
        <f>$C91*AO90</f>
        <v/>
      </c>
      <c r="AP91">
        <f>$C91*AP90</f>
        <v/>
      </c>
      <c r="AQ91">
        <f>$C91*AQ90</f>
        <v/>
      </c>
      <c r="AR91">
        <f>$C91*AR90</f>
        <v/>
      </c>
      <c r="AS91">
        <f>$C91*AS90</f>
        <v/>
      </c>
      <c r="AT91">
        <f>$C91*AT90</f>
        <v/>
      </c>
      <c r="AU91">
        <f>$C91*AU90</f>
        <v/>
      </c>
      <c r="AV91">
        <f>$C91*AV90</f>
        <v/>
      </c>
      <c r="AW91">
        <f>$C91*AW90</f>
        <v/>
      </c>
      <c r="AX91">
        <f>$C91*AX90</f>
        <v/>
      </c>
      <c r="AY91">
        <f>$C91*AY90</f>
        <v/>
      </c>
      <c r="AZ91">
        <f>$C91*AZ90</f>
        <v/>
      </c>
      <c r="BA91">
        <f>$C91*BA90</f>
        <v/>
      </c>
      <c r="BB91">
        <f>$C91*BB90</f>
        <v/>
      </c>
      <c r="BC91">
        <f>$C91*BC90</f>
        <v/>
      </c>
      <c r="BD91">
        <f>$C91*BD90</f>
        <v/>
      </c>
      <c r="BE91">
        <f>$C91*BE90</f>
        <v/>
      </c>
      <c r="BF91">
        <f>$C91*BF90</f>
        <v/>
      </c>
      <c r="BG91">
        <f>$C91*BG90</f>
        <v/>
      </c>
      <c r="BH91">
        <f>$C91*BH90</f>
        <v/>
      </c>
      <c r="BI91">
        <f>$C91*BI90</f>
        <v/>
      </c>
      <c r="BJ91">
        <f>$C91*BJ90</f>
        <v/>
      </c>
      <c r="BK91">
        <f>$C91*BK90</f>
        <v/>
      </c>
      <c r="BL91">
        <f>$C91*BL90</f>
        <v/>
      </c>
      <c r="BM91">
        <f>$C91*BM90</f>
        <v/>
      </c>
      <c r="BN91">
        <f>$C91*BN90</f>
        <v/>
      </c>
      <c r="BO91">
        <f>$C91*BO90</f>
        <v/>
      </c>
      <c r="BP91">
        <f>$C91*BP90</f>
        <v/>
      </c>
      <c r="BQ91">
        <f>$C91*BQ90</f>
        <v/>
      </c>
      <c r="BR91">
        <f>$C91*BR90</f>
        <v/>
      </c>
      <c r="BS91">
        <f>$C91*BS90</f>
        <v/>
      </c>
      <c r="BT91">
        <f>$C91*BT90</f>
        <v/>
      </c>
      <c r="BU91">
        <f>$C91*BU90</f>
        <v/>
      </c>
      <c r="BV91">
        <f>$C91*BV90</f>
        <v/>
      </c>
      <c r="BW91">
        <f>$C91*BW90</f>
        <v/>
      </c>
      <c r="BX91">
        <f>$C91*BX90</f>
        <v/>
      </c>
      <c r="BY91">
        <f>$C91*BY90</f>
        <v/>
      </c>
      <c r="BZ91">
        <f>$C91*BZ90</f>
        <v/>
      </c>
      <c r="CA91">
        <f>$C91*CA90</f>
        <v/>
      </c>
      <c r="CB91">
        <f>$C91*CB90</f>
        <v/>
      </c>
      <c r="CC91">
        <f>$C91*CC90</f>
        <v/>
      </c>
      <c r="CD91">
        <f>$C91*CD90</f>
        <v/>
      </c>
      <c r="CE91">
        <f>$C91*CE90</f>
        <v/>
      </c>
      <c r="CF91">
        <f>$C91*CF90</f>
        <v/>
      </c>
      <c r="CG91">
        <f>$C91*CG90</f>
        <v/>
      </c>
      <c r="CH91">
        <f>$C91*CH90</f>
        <v/>
      </c>
      <c r="CI91">
        <f>$C91*CI90</f>
        <v/>
      </c>
      <c r="CJ91">
        <f>$C91*CJ90</f>
        <v/>
      </c>
      <c r="CK91">
        <f>$C91*CK90</f>
        <v/>
      </c>
      <c r="CL91">
        <f>$C91*CL90</f>
        <v/>
      </c>
      <c r="CM91">
        <f>$C91*CM90</f>
        <v/>
      </c>
      <c r="CN91">
        <f>$C91*CN90</f>
        <v/>
      </c>
      <c r="CO91">
        <f>$C91*CO90</f>
        <v/>
      </c>
      <c r="CP91">
        <f>$C91*CP90</f>
        <v/>
      </c>
      <c r="CQ91">
        <f>$C91*CQ90</f>
        <v/>
      </c>
      <c r="CR91">
        <f>$C91*CR90</f>
        <v/>
      </c>
      <c r="CS91">
        <f>$C91*CS90</f>
        <v/>
      </c>
      <c r="CT91">
        <f>$C91*CT90</f>
        <v/>
      </c>
      <c r="CU91">
        <f>$C91*CU90</f>
        <v/>
      </c>
      <c r="CV91">
        <f>$C91*CV90</f>
        <v/>
      </c>
      <c r="CW91">
        <f>$C91*CW90</f>
        <v/>
      </c>
      <c r="CX91">
        <f>$C91*CX90</f>
        <v/>
      </c>
      <c r="CY91">
        <f>$C91*CY90</f>
        <v/>
      </c>
      <c r="CZ91">
        <f>$C91*CZ90</f>
        <v/>
      </c>
      <c r="DA91">
        <f>$C91*DA90</f>
        <v/>
      </c>
      <c r="DB91">
        <f>$C91*DB90</f>
        <v/>
      </c>
      <c r="DC91">
        <f>$C91*DC90</f>
        <v/>
      </c>
    </row>
    <row r="92">
      <c r="B92" t="inlineStr">
        <is>
          <t>TSP-403</t>
        </is>
      </c>
      <c r="C92" t="inlineStr">
        <is>
          <t>No. of batches</t>
        </is>
      </c>
      <c r="D92">
        <f>IFERROR(INDEX(PP_Grid[#Data],$DD92,2),0)</f>
        <v/>
      </c>
      <c r="E92">
        <f>IFERROR(INDEX(PP_Grid[#Data],$DD92,3),0)</f>
        <v/>
      </c>
      <c r="F92">
        <f>IFERROR(INDEX(PP_Grid[#Data],$DD92,4),0)</f>
        <v/>
      </c>
      <c r="G92">
        <f>IFERROR(INDEX(PP_Grid[#Data],$DD92,5),0)</f>
        <v/>
      </c>
      <c r="H92">
        <f>IFERROR(INDEX(PP_Grid[#Data],$DD92,6),0)</f>
        <v/>
      </c>
      <c r="I92">
        <f>IFERROR(INDEX(PP_Grid[#Data],$DD92,7),0)</f>
        <v/>
      </c>
      <c r="J92">
        <f>IFERROR(INDEX(PP_Grid[#Data],$DD92,8),0)</f>
        <v/>
      </c>
      <c r="K92">
        <f>IFERROR(INDEX(PP_Grid[#Data],$DD92,9),0)</f>
        <v/>
      </c>
      <c r="L92">
        <f>IFERROR(INDEX(PP_Grid[#Data],$DD92,10),0)</f>
        <v/>
      </c>
      <c r="M92">
        <f>IFERROR(INDEX(PP_Grid[#Data],$DD92,11),0)</f>
        <v/>
      </c>
      <c r="N92">
        <f>IFERROR(INDEX(PP_Grid[#Data],$DD92,12),0)</f>
        <v/>
      </c>
      <c r="O92">
        <f>IFERROR(INDEX(PP_Grid[#Data],$DD92,13),0)</f>
        <v/>
      </c>
      <c r="P92">
        <f>IFERROR(INDEX(PP_Grid[#Data],$DD92,14),0)</f>
        <v/>
      </c>
      <c r="Q92">
        <f>IFERROR(INDEX(PP_Grid[#Data],$DD92,15),0)</f>
        <v/>
      </c>
      <c r="R92">
        <f>IFERROR(INDEX(PP_Grid[#Data],$DD92,16),0)</f>
        <v/>
      </c>
      <c r="S92">
        <f>IFERROR(INDEX(PP_Grid[#Data],$DD92,17),0)</f>
        <v/>
      </c>
      <c r="T92">
        <f>IFERROR(INDEX(PP_Grid[#Data],$DD92,18),0)</f>
        <v/>
      </c>
      <c r="U92">
        <f>IFERROR(INDEX(PP_Grid[#Data],$DD92,19),0)</f>
        <v/>
      </c>
      <c r="V92">
        <f>IFERROR(INDEX(PP_Grid[#Data],$DD92,20),0)</f>
        <v/>
      </c>
      <c r="W92">
        <f>IFERROR(INDEX(PP_Grid[#Data],$DD92,21),0)</f>
        <v/>
      </c>
      <c r="X92">
        <f>IFERROR(INDEX(PP_Grid[#Data],$DD92,22),0)</f>
        <v/>
      </c>
      <c r="Y92">
        <f>IFERROR(INDEX(PP_Grid[#Data],$DD92,23),0)</f>
        <v/>
      </c>
      <c r="Z92">
        <f>IFERROR(INDEX(PP_Grid[#Data],$DD92,24),0)</f>
        <v/>
      </c>
      <c r="AA92">
        <f>IFERROR(INDEX(PP_Grid[#Data],$DD92,25),0)</f>
        <v/>
      </c>
      <c r="AB92">
        <f>IFERROR(INDEX(PP_Grid[#Data],$DD92,26),0)</f>
        <v/>
      </c>
      <c r="AC92">
        <f>IFERROR(INDEX(PP_Grid[#Data],$DD92,27),0)</f>
        <v/>
      </c>
      <c r="AD92">
        <f>IFERROR(INDEX(PP_Grid[#Data],$DD92,28),0)</f>
        <v/>
      </c>
      <c r="AE92">
        <f>IFERROR(INDEX(PP_Grid[#Data],$DD92,29),0)</f>
        <v/>
      </c>
      <c r="AF92">
        <f>IFERROR(INDEX(PP_Grid[#Data],$DD92,30),0)</f>
        <v/>
      </c>
      <c r="AG92">
        <f>IFERROR(INDEX(PP_Grid[#Data],$DD92,31),0)</f>
        <v/>
      </c>
      <c r="AH92">
        <f>IFERROR(INDEX(PP_Grid[#Data],$DD92,32),0)</f>
        <v/>
      </c>
      <c r="AI92">
        <f>IFERROR(INDEX(PP_Grid[#Data],$DD92,33),0)</f>
        <v/>
      </c>
      <c r="AJ92">
        <f>IFERROR(INDEX(PP_Grid[#Data],$DD92,34),0)</f>
        <v/>
      </c>
      <c r="AK92">
        <f>IFERROR(INDEX(PP_Grid[#Data],$DD92,35),0)</f>
        <v/>
      </c>
      <c r="AL92">
        <f>IFERROR(INDEX(PP_Grid[#Data],$DD92,36),0)</f>
        <v/>
      </c>
      <c r="AM92">
        <f>IFERROR(INDEX(PP_Grid[#Data],$DD92,37),0)</f>
        <v/>
      </c>
      <c r="AN92">
        <f>IFERROR(INDEX(PP_Grid[#Data],$DD92,38),0)</f>
        <v/>
      </c>
      <c r="AO92">
        <f>IFERROR(INDEX(PP_Grid[#Data],$DD92,39),0)</f>
        <v/>
      </c>
      <c r="AP92">
        <f>IFERROR(INDEX(PP_Grid[#Data],$DD92,40),0)</f>
        <v/>
      </c>
      <c r="AQ92">
        <f>IFERROR(INDEX(PP_Grid[#Data],$DD92,41),0)</f>
        <v/>
      </c>
      <c r="AR92">
        <f>IFERROR(INDEX(PP_Grid[#Data],$DD92,42),0)</f>
        <v/>
      </c>
      <c r="AS92">
        <f>IFERROR(INDEX(PP_Grid[#Data],$DD92,43),0)</f>
        <v/>
      </c>
      <c r="AT92">
        <f>IFERROR(INDEX(PP_Grid[#Data],$DD92,44),0)</f>
        <v/>
      </c>
      <c r="AU92">
        <f>IFERROR(INDEX(PP_Grid[#Data],$DD92,45),0)</f>
        <v/>
      </c>
      <c r="AV92">
        <f>IFERROR(INDEX(PP_Grid[#Data],$DD92,46),0)</f>
        <v/>
      </c>
      <c r="AW92">
        <f>IFERROR(INDEX(PP_Grid[#Data],$DD92,47),0)</f>
        <v/>
      </c>
      <c r="AX92">
        <f>IFERROR(INDEX(PP_Grid[#Data],$DD92,48),0)</f>
        <v/>
      </c>
      <c r="AY92">
        <f>IFERROR(INDEX(PP_Grid[#Data],$DD92,49),0)</f>
        <v/>
      </c>
      <c r="AZ92">
        <f>IFERROR(INDEX(PP_Grid[#Data],$DD92,50),0)</f>
        <v/>
      </c>
      <c r="BA92">
        <f>IFERROR(INDEX(PP_Grid[#Data],$DD92,51),0)</f>
        <v/>
      </c>
      <c r="BB92">
        <f>IFERROR(INDEX(PP_Grid[#Data],$DD92,52),0)</f>
        <v/>
      </c>
      <c r="BC92">
        <f>IFERROR(INDEX(PP_Grid[#Data],$DD92,53),0)</f>
        <v/>
      </c>
      <c r="BD92">
        <f>IFERROR(INDEX(PP_Grid[#Data],$DD92,54),0)</f>
        <v/>
      </c>
      <c r="BE92">
        <f>IFERROR(INDEX(PP_Grid[#Data],$DD92,55),0)</f>
        <v/>
      </c>
      <c r="BF92">
        <f>IFERROR(INDEX(PP_Grid[#Data],$DD92,56),0)</f>
        <v/>
      </c>
      <c r="BG92">
        <f>IFERROR(INDEX(PP_Grid[#Data],$DD92,57),0)</f>
        <v/>
      </c>
      <c r="BH92">
        <f>IFERROR(INDEX(PP_Grid[#Data],$DD92,58),0)</f>
        <v/>
      </c>
      <c r="BI92">
        <f>IFERROR(INDEX(PP_Grid[#Data],$DD92,59),0)</f>
        <v/>
      </c>
      <c r="BJ92">
        <f>IFERROR(INDEX(PP_Grid[#Data],$DD92,60),0)</f>
        <v/>
      </c>
      <c r="BK92">
        <f>IFERROR(INDEX(PP_Grid[#Data],$DD92,61),0)</f>
        <v/>
      </c>
      <c r="BL92">
        <f>IFERROR(INDEX(PP_Grid[#Data],$DD92,62),0)</f>
        <v/>
      </c>
      <c r="BM92">
        <f>IFERROR(INDEX(PP_Grid[#Data],$DD92,63),0)</f>
        <v/>
      </c>
      <c r="BN92">
        <f>IFERROR(INDEX(PP_Grid[#Data],$DD92,64),0)</f>
        <v/>
      </c>
      <c r="BO92">
        <f>IFERROR(INDEX(PP_Grid[#Data],$DD92,65),0)</f>
        <v/>
      </c>
      <c r="BP92">
        <f>IFERROR(INDEX(PP_Grid[#Data],$DD92,66),0)</f>
        <v/>
      </c>
      <c r="BQ92">
        <f>IFERROR(INDEX(PP_Grid[#Data],$DD92,67),0)</f>
        <v/>
      </c>
      <c r="BR92">
        <f>IFERROR(INDEX(PP_Grid[#Data],$DD92,68),0)</f>
        <v/>
      </c>
      <c r="BS92">
        <f>IFERROR(INDEX(PP_Grid[#Data],$DD92,69),0)</f>
        <v/>
      </c>
      <c r="BT92">
        <f>IFERROR(INDEX(PP_Grid[#Data],$DD92,70),0)</f>
        <v/>
      </c>
      <c r="BU92">
        <f>IFERROR(INDEX(PP_Grid[#Data],$DD92,71),0)</f>
        <v/>
      </c>
      <c r="BV92">
        <f>IFERROR(INDEX(PP_Grid[#Data],$DD92,72),0)</f>
        <v/>
      </c>
      <c r="BW92">
        <f>IFERROR(INDEX(PP_Grid[#Data],$DD92,73),0)</f>
        <v/>
      </c>
      <c r="BX92">
        <f>IFERROR(INDEX(PP_Grid[#Data],$DD92,74),0)</f>
        <v/>
      </c>
      <c r="BY92">
        <f>IFERROR(INDEX(PP_Grid[#Data],$DD92,75),0)</f>
        <v/>
      </c>
      <c r="BZ92">
        <f>IFERROR(INDEX(PP_Grid[#Data],$DD92,76),0)</f>
        <v/>
      </c>
      <c r="CA92">
        <f>IFERROR(INDEX(PP_Grid[#Data],$DD92,77),0)</f>
        <v/>
      </c>
      <c r="CB92">
        <f>IFERROR(INDEX(PP_Grid[#Data],$DD92,78),0)</f>
        <v/>
      </c>
      <c r="CC92">
        <f>IFERROR(INDEX(PP_Grid[#Data],$DD92,79),0)</f>
        <v/>
      </c>
      <c r="CD92">
        <f>IFERROR(INDEX(PP_Grid[#Data],$DD92,80),0)</f>
        <v/>
      </c>
      <c r="CE92">
        <f>IFERROR(INDEX(PP_Grid[#Data],$DD92,81),0)</f>
        <v/>
      </c>
      <c r="CF92">
        <f>IFERROR(INDEX(PP_Grid[#Data],$DD92,82),0)</f>
        <v/>
      </c>
      <c r="CG92">
        <f>IFERROR(INDEX(PP_Grid[#Data],$DD92,83),0)</f>
        <v/>
      </c>
      <c r="CH92">
        <f>IFERROR(INDEX(PP_Grid[#Data],$DD92,84),0)</f>
        <v/>
      </c>
      <c r="CI92">
        <f>IFERROR(INDEX(PP_Grid[#Data],$DD92,85),0)</f>
        <v/>
      </c>
      <c r="CJ92">
        <f>IFERROR(INDEX(PP_Grid[#Data],$DD92,86),0)</f>
        <v/>
      </c>
      <c r="CK92">
        <f>IFERROR(INDEX(PP_Grid[#Data],$DD92,87),0)</f>
        <v/>
      </c>
      <c r="CL92">
        <f>IFERROR(INDEX(PP_Grid[#Data],$DD92,88),0)</f>
        <v/>
      </c>
      <c r="CM92">
        <f>IFERROR(INDEX(PP_Grid[#Data],$DD92,89),0)</f>
        <v/>
      </c>
      <c r="CN92">
        <f>IFERROR(INDEX(PP_Grid[#Data],$DD92,90),0)</f>
        <v/>
      </c>
      <c r="CO92">
        <f>IFERROR(INDEX(PP_Grid[#Data],$DD92,91),0)</f>
        <v/>
      </c>
      <c r="CP92">
        <f>IFERROR(INDEX(PP_Grid[#Data],$DD92,92),0)</f>
        <v/>
      </c>
      <c r="CQ92">
        <f>IFERROR(INDEX(PP_Grid[#Data],$DD92,93),0)</f>
        <v/>
      </c>
      <c r="CR92">
        <f>IFERROR(INDEX(PP_Grid[#Data],$DD92,94),0)</f>
        <v/>
      </c>
      <c r="CS92">
        <f>IFERROR(INDEX(PP_Grid[#Data],$DD92,95),0)</f>
        <v/>
      </c>
      <c r="CT92">
        <f>IFERROR(INDEX(PP_Grid[#Data],$DD92,96),0)</f>
        <v/>
      </c>
      <c r="CU92">
        <f>IFERROR(INDEX(PP_Grid[#Data],$DD92,97),0)</f>
        <v/>
      </c>
      <c r="CV92">
        <f>IFERROR(INDEX(PP_Grid[#Data],$DD92,98),0)</f>
        <v/>
      </c>
      <c r="CW92">
        <f>IFERROR(INDEX(PP_Grid[#Data],$DD92,99),0)</f>
        <v/>
      </c>
      <c r="CX92">
        <f>IFERROR(INDEX(PP_Grid[#Data],$DD92,100),0)</f>
        <v/>
      </c>
      <c r="CY92">
        <f>IFERROR(INDEX(PP_Grid[#Data],$DD92,101),0)</f>
        <v/>
      </c>
      <c r="CZ92">
        <f>IFERROR(INDEX(PP_Grid[#Data],$DD92,102),0)</f>
        <v/>
      </c>
      <c r="DA92">
        <f>IFERROR(INDEX(PP_Grid[#Data],$DD92,103),0)</f>
        <v/>
      </c>
      <c r="DB92">
        <f>IFERROR(INDEX(PP_Grid[#Data],$DD92,104),0)</f>
        <v/>
      </c>
      <c r="DC92">
        <f>IFERROR(INDEX(PP_Grid[#Data],$DD92,105),0)</f>
        <v/>
      </c>
      <c r="DD92" s="7">
        <f>IFERROR(MATCH($B92,PP_Grid[Intermediate],0),99999)</f>
        <v/>
      </c>
    </row>
    <row r="93">
      <c r="B93" t="inlineStr">
        <is>
          <t>使用量(kg)</t>
        </is>
      </c>
      <c r="C93">
        <f>SUMIFS(M_BOM[RM_Qty_Per_Batch],M_BOM[Intermediate],$B92,M_BOM[Part Name],$A45)</f>
        <v/>
      </c>
      <c r="D93">
        <f>$C93*D92</f>
        <v/>
      </c>
      <c r="E93">
        <f>$C93*E92</f>
        <v/>
      </c>
      <c r="F93">
        <f>$C93*F92</f>
        <v/>
      </c>
      <c r="G93">
        <f>$C93*G92</f>
        <v/>
      </c>
      <c r="H93">
        <f>$C93*H92</f>
        <v/>
      </c>
      <c r="I93">
        <f>$C93*I92</f>
        <v/>
      </c>
      <c r="J93">
        <f>$C93*J92</f>
        <v/>
      </c>
      <c r="K93">
        <f>$C93*K92</f>
        <v/>
      </c>
      <c r="L93">
        <f>$C93*L92</f>
        <v/>
      </c>
      <c r="M93">
        <f>$C93*M92</f>
        <v/>
      </c>
      <c r="N93">
        <f>$C93*N92</f>
        <v/>
      </c>
      <c r="O93">
        <f>$C93*O92</f>
        <v/>
      </c>
      <c r="P93">
        <f>$C93*P92</f>
        <v/>
      </c>
      <c r="Q93">
        <f>$C93*Q92</f>
        <v/>
      </c>
      <c r="R93">
        <f>$C93*R92</f>
        <v/>
      </c>
      <c r="S93">
        <f>$C93*S92</f>
        <v/>
      </c>
      <c r="T93">
        <f>$C93*T92</f>
        <v/>
      </c>
      <c r="U93">
        <f>$C93*U92</f>
        <v/>
      </c>
      <c r="V93">
        <f>$C93*V92</f>
        <v/>
      </c>
      <c r="W93">
        <f>$C93*W92</f>
        <v/>
      </c>
      <c r="X93">
        <f>$C93*X92</f>
        <v/>
      </c>
      <c r="Y93">
        <f>$C93*Y92</f>
        <v/>
      </c>
      <c r="Z93">
        <f>$C93*Z92</f>
        <v/>
      </c>
      <c r="AA93">
        <f>$C93*AA92</f>
        <v/>
      </c>
      <c r="AB93">
        <f>$C93*AB92</f>
        <v/>
      </c>
      <c r="AC93">
        <f>$C93*AC92</f>
        <v/>
      </c>
      <c r="AD93">
        <f>$C93*AD92</f>
        <v/>
      </c>
      <c r="AE93">
        <f>$C93*AE92</f>
        <v/>
      </c>
      <c r="AF93">
        <f>$C93*AF92</f>
        <v/>
      </c>
      <c r="AG93">
        <f>$C93*AG92</f>
        <v/>
      </c>
      <c r="AH93">
        <f>$C93*AH92</f>
        <v/>
      </c>
      <c r="AI93">
        <f>$C93*AI92</f>
        <v/>
      </c>
      <c r="AJ93">
        <f>$C93*AJ92</f>
        <v/>
      </c>
      <c r="AK93">
        <f>$C93*AK92</f>
        <v/>
      </c>
      <c r="AL93">
        <f>$C93*AL92</f>
        <v/>
      </c>
      <c r="AM93">
        <f>$C93*AM92</f>
        <v/>
      </c>
      <c r="AN93">
        <f>$C93*AN92</f>
        <v/>
      </c>
      <c r="AO93">
        <f>$C93*AO92</f>
        <v/>
      </c>
      <c r="AP93">
        <f>$C93*AP92</f>
        <v/>
      </c>
      <c r="AQ93">
        <f>$C93*AQ92</f>
        <v/>
      </c>
      <c r="AR93">
        <f>$C93*AR92</f>
        <v/>
      </c>
      <c r="AS93">
        <f>$C93*AS92</f>
        <v/>
      </c>
      <c r="AT93">
        <f>$C93*AT92</f>
        <v/>
      </c>
      <c r="AU93">
        <f>$C93*AU92</f>
        <v/>
      </c>
      <c r="AV93">
        <f>$C93*AV92</f>
        <v/>
      </c>
      <c r="AW93">
        <f>$C93*AW92</f>
        <v/>
      </c>
      <c r="AX93">
        <f>$C93*AX92</f>
        <v/>
      </c>
      <c r="AY93">
        <f>$C93*AY92</f>
        <v/>
      </c>
      <c r="AZ93">
        <f>$C93*AZ92</f>
        <v/>
      </c>
      <c r="BA93">
        <f>$C93*BA92</f>
        <v/>
      </c>
      <c r="BB93">
        <f>$C93*BB92</f>
        <v/>
      </c>
      <c r="BC93">
        <f>$C93*BC92</f>
        <v/>
      </c>
      <c r="BD93">
        <f>$C93*BD92</f>
        <v/>
      </c>
      <c r="BE93">
        <f>$C93*BE92</f>
        <v/>
      </c>
      <c r="BF93">
        <f>$C93*BF92</f>
        <v/>
      </c>
      <c r="BG93">
        <f>$C93*BG92</f>
        <v/>
      </c>
      <c r="BH93">
        <f>$C93*BH92</f>
        <v/>
      </c>
      <c r="BI93">
        <f>$C93*BI92</f>
        <v/>
      </c>
      <c r="BJ93">
        <f>$C93*BJ92</f>
        <v/>
      </c>
      <c r="BK93">
        <f>$C93*BK92</f>
        <v/>
      </c>
      <c r="BL93">
        <f>$C93*BL92</f>
        <v/>
      </c>
      <c r="BM93">
        <f>$C93*BM92</f>
        <v/>
      </c>
      <c r="BN93">
        <f>$C93*BN92</f>
        <v/>
      </c>
      <c r="BO93">
        <f>$C93*BO92</f>
        <v/>
      </c>
      <c r="BP93">
        <f>$C93*BP92</f>
        <v/>
      </c>
      <c r="BQ93">
        <f>$C93*BQ92</f>
        <v/>
      </c>
      <c r="BR93">
        <f>$C93*BR92</f>
        <v/>
      </c>
      <c r="BS93">
        <f>$C93*BS92</f>
        <v/>
      </c>
      <c r="BT93">
        <f>$C93*BT92</f>
        <v/>
      </c>
      <c r="BU93">
        <f>$C93*BU92</f>
        <v/>
      </c>
      <c r="BV93">
        <f>$C93*BV92</f>
        <v/>
      </c>
      <c r="BW93">
        <f>$C93*BW92</f>
        <v/>
      </c>
      <c r="BX93">
        <f>$C93*BX92</f>
        <v/>
      </c>
      <c r="BY93">
        <f>$C93*BY92</f>
        <v/>
      </c>
      <c r="BZ93">
        <f>$C93*BZ92</f>
        <v/>
      </c>
      <c r="CA93">
        <f>$C93*CA92</f>
        <v/>
      </c>
      <c r="CB93">
        <f>$C93*CB92</f>
        <v/>
      </c>
      <c r="CC93">
        <f>$C93*CC92</f>
        <v/>
      </c>
      <c r="CD93">
        <f>$C93*CD92</f>
        <v/>
      </c>
      <c r="CE93">
        <f>$C93*CE92</f>
        <v/>
      </c>
      <c r="CF93">
        <f>$C93*CF92</f>
        <v/>
      </c>
      <c r="CG93">
        <f>$C93*CG92</f>
        <v/>
      </c>
      <c r="CH93">
        <f>$C93*CH92</f>
        <v/>
      </c>
      <c r="CI93">
        <f>$C93*CI92</f>
        <v/>
      </c>
      <c r="CJ93">
        <f>$C93*CJ92</f>
        <v/>
      </c>
      <c r="CK93">
        <f>$C93*CK92</f>
        <v/>
      </c>
      <c r="CL93">
        <f>$C93*CL92</f>
        <v/>
      </c>
      <c r="CM93">
        <f>$C93*CM92</f>
        <v/>
      </c>
      <c r="CN93">
        <f>$C93*CN92</f>
        <v/>
      </c>
      <c r="CO93">
        <f>$C93*CO92</f>
        <v/>
      </c>
      <c r="CP93">
        <f>$C93*CP92</f>
        <v/>
      </c>
      <c r="CQ93">
        <f>$C93*CQ92</f>
        <v/>
      </c>
      <c r="CR93">
        <f>$C93*CR92</f>
        <v/>
      </c>
      <c r="CS93">
        <f>$C93*CS92</f>
        <v/>
      </c>
      <c r="CT93">
        <f>$C93*CT92</f>
        <v/>
      </c>
      <c r="CU93">
        <f>$C93*CU92</f>
        <v/>
      </c>
      <c r="CV93">
        <f>$C93*CV92</f>
        <v/>
      </c>
      <c r="CW93">
        <f>$C93*CW92</f>
        <v/>
      </c>
      <c r="CX93">
        <f>$C93*CX92</f>
        <v/>
      </c>
      <c r="CY93">
        <f>$C93*CY92</f>
        <v/>
      </c>
      <c r="CZ93">
        <f>$C93*CZ92</f>
        <v/>
      </c>
      <c r="DA93">
        <f>$C93*DA92</f>
        <v/>
      </c>
      <c r="DB93">
        <f>$C93*DB92</f>
        <v/>
      </c>
      <c r="DC93">
        <f>$C93*DC92</f>
        <v/>
      </c>
    </row>
    <row r="94">
      <c r="B94" t="inlineStr">
        <is>
          <t>TSP-404</t>
        </is>
      </c>
      <c r="C94" t="inlineStr">
        <is>
          <t>No. of batches</t>
        </is>
      </c>
      <c r="D94">
        <f>IFERROR(INDEX(PP_Grid[#Data],$DD94,2),0)</f>
        <v/>
      </c>
      <c r="E94">
        <f>IFERROR(INDEX(PP_Grid[#Data],$DD94,3),0)</f>
        <v/>
      </c>
      <c r="F94">
        <f>IFERROR(INDEX(PP_Grid[#Data],$DD94,4),0)</f>
        <v/>
      </c>
      <c r="G94">
        <f>IFERROR(INDEX(PP_Grid[#Data],$DD94,5),0)</f>
        <v/>
      </c>
      <c r="H94">
        <f>IFERROR(INDEX(PP_Grid[#Data],$DD94,6),0)</f>
        <v/>
      </c>
      <c r="I94">
        <f>IFERROR(INDEX(PP_Grid[#Data],$DD94,7),0)</f>
        <v/>
      </c>
      <c r="J94">
        <f>IFERROR(INDEX(PP_Grid[#Data],$DD94,8),0)</f>
        <v/>
      </c>
      <c r="K94">
        <f>IFERROR(INDEX(PP_Grid[#Data],$DD94,9),0)</f>
        <v/>
      </c>
      <c r="L94">
        <f>IFERROR(INDEX(PP_Grid[#Data],$DD94,10),0)</f>
        <v/>
      </c>
      <c r="M94">
        <f>IFERROR(INDEX(PP_Grid[#Data],$DD94,11),0)</f>
        <v/>
      </c>
      <c r="N94">
        <f>IFERROR(INDEX(PP_Grid[#Data],$DD94,12),0)</f>
        <v/>
      </c>
      <c r="O94">
        <f>IFERROR(INDEX(PP_Grid[#Data],$DD94,13),0)</f>
        <v/>
      </c>
      <c r="P94">
        <f>IFERROR(INDEX(PP_Grid[#Data],$DD94,14),0)</f>
        <v/>
      </c>
      <c r="Q94">
        <f>IFERROR(INDEX(PP_Grid[#Data],$DD94,15),0)</f>
        <v/>
      </c>
      <c r="R94">
        <f>IFERROR(INDEX(PP_Grid[#Data],$DD94,16),0)</f>
        <v/>
      </c>
      <c r="S94">
        <f>IFERROR(INDEX(PP_Grid[#Data],$DD94,17),0)</f>
        <v/>
      </c>
      <c r="T94">
        <f>IFERROR(INDEX(PP_Grid[#Data],$DD94,18),0)</f>
        <v/>
      </c>
      <c r="U94">
        <f>IFERROR(INDEX(PP_Grid[#Data],$DD94,19),0)</f>
        <v/>
      </c>
      <c r="V94">
        <f>IFERROR(INDEX(PP_Grid[#Data],$DD94,20),0)</f>
        <v/>
      </c>
      <c r="W94">
        <f>IFERROR(INDEX(PP_Grid[#Data],$DD94,21),0)</f>
        <v/>
      </c>
      <c r="X94">
        <f>IFERROR(INDEX(PP_Grid[#Data],$DD94,22),0)</f>
        <v/>
      </c>
      <c r="Y94">
        <f>IFERROR(INDEX(PP_Grid[#Data],$DD94,23),0)</f>
        <v/>
      </c>
      <c r="Z94">
        <f>IFERROR(INDEX(PP_Grid[#Data],$DD94,24),0)</f>
        <v/>
      </c>
      <c r="AA94">
        <f>IFERROR(INDEX(PP_Grid[#Data],$DD94,25),0)</f>
        <v/>
      </c>
      <c r="AB94">
        <f>IFERROR(INDEX(PP_Grid[#Data],$DD94,26),0)</f>
        <v/>
      </c>
      <c r="AC94">
        <f>IFERROR(INDEX(PP_Grid[#Data],$DD94,27),0)</f>
        <v/>
      </c>
      <c r="AD94">
        <f>IFERROR(INDEX(PP_Grid[#Data],$DD94,28),0)</f>
        <v/>
      </c>
      <c r="AE94">
        <f>IFERROR(INDEX(PP_Grid[#Data],$DD94,29),0)</f>
        <v/>
      </c>
      <c r="AF94">
        <f>IFERROR(INDEX(PP_Grid[#Data],$DD94,30),0)</f>
        <v/>
      </c>
      <c r="AG94">
        <f>IFERROR(INDEX(PP_Grid[#Data],$DD94,31),0)</f>
        <v/>
      </c>
      <c r="AH94">
        <f>IFERROR(INDEX(PP_Grid[#Data],$DD94,32),0)</f>
        <v/>
      </c>
      <c r="AI94">
        <f>IFERROR(INDEX(PP_Grid[#Data],$DD94,33),0)</f>
        <v/>
      </c>
      <c r="AJ94">
        <f>IFERROR(INDEX(PP_Grid[#Data],$DD94,34),0)</f>
        <v/>
      </c>
      <c r="AK94">
        <f>IFERROR(INDEX(PP_Grid[#Data],$DD94,35),0)</f>
        <v/>
      </c>
      <c r="AL94">
        <f>IFERROR(INDEX(PP_Grid[#Data],$DD94,36),0)</f>
        <v/>
      </c>
      <c r="AM94">
        <f>IFERROR(INDEX(PP_Grid[#Data],$DD94,37),0)</f>
        <v/>
      </c>
      <c r="AN94">
        <f>IFERROR(INDEX(PP_Grid[#Data],$DD94,38),0)</f>
        <v/>
      </c>
      <c r="AO94">
        <f>IFERROR(INDEX(PP_Grid[#Data],$DD94,39),0)</f>
        <v/>
      </c>
      <c r="AP94">
        <f>IFERROR(INDEX(PP_Grid[#Data],$DD94,40),0)</f>
        <v/>
      </c>
      <c r="AQ94">
        <f>IFERROR(INDEX(PP_Grid[#Data],$DD94,41),0)</f>
        <v/>
      </c>
      <c r="AR94">
        <f>IFERROR(INDEX(PP_Grid[#Data],$DD94,42),0)</f>
        <v/>
      </c>
      <c r="AS94">
        <f>IFERROR(INDEX(PP_Grid[#Data],$DD94,43),0)</f>
        <v/>
      </c>
      <c r="AT94">
        <f>IFERROR(INDEX(PP_Grid[#Data],$DD94,44),0)</f>
        <v/>
      </c>
      <c r="AU94">
        <f>IFERROR(INDEX(PP_Grid[#Data],$DD94,45),0)</f>
        <v/>
      </c>
      <c r="AV94">
        <f>IFERROR(INDEX(PP_Grid[#Data],$DD94,46),0)</f>
        <v/>
      </c>
      <c r="AW94">
        <f>IFERROR(INDEX(PP_Grid[#Data],$DD94,47),0)</f>
        <v/>
      </c>
      <c r="AX94">
        <f>IFERROR(INDEX(PP_Grid[#Data],$DD94,48),0)</f>
        <v/>
      </c>
      <c r="AY94">
        <f>IFERROR(INDEX(PP_Grid[#Data],$DD94,49),0)</f>
        <v/>
      </c>
      <c r="AZ94">
        <f>IFERROR(INDEX(PP_Grid[#Data],$DD94,50),0)</f>
        <v/>
      </c>
      <c r="BA94">
        <f>IFERROR(INDEX(PP_Grid[#Data],$DD94,51),0)</f>
        <v/>
      </c>
      <c r="BB94">
        <f>IFERROR(INDEX(PP_Grid[#Data],$DD94,52),0)</f>
        <v/>
      </c>
      <c r="BC94">
        <f>IFERROR(INDEX(PP_Grid[#Data],$DD94,53),0)</f>
        <v/>
      </c>
      <c r="BD94">
        <f>IFERROR(INDEX(PP_Grid[#Data],$DD94,54),0)</f>
        <v/>
      </c>
      <c r="BE94">
        <f>IFERROR(INDEX(PP_Grid[#Data],$DD94,55),0)</f>
        <v/>
      </c>
      <c r="BF94">
        <f>IFERROR(INDEX(PP_Grid[#Data],$DD94,56),0)</f>
        <v/>
      </c>
      <c r="BG94">
        <f>IFERROR(INDEX(PP_Grid[#Data],$DD94,57),0)</f>
        <v/>
      </c>
      <c r="BH94">
        <f>IFERROR(INDEX(PP_Grid[#Data],$DD94,58),0)</f>
        <v/>
      </c>
      <c r="BI94">
        <f>IFERROR(INDEX(PP_Grid[#Data],$DD94,59),0)</f>
        <v/>
      </c>
      <c r="BJ94">
        <f>IFERROR(INDEX(PP_Grid[#Data],$DD94,60),0)</f>
        <v/>
      </c>
      <c r="BK94">
        <f>IFERROR(INDEX(PP_Grid[#Data],$DD94,61),0)</f>
        <v/>
      </c>
      <c r="BL94">
        <f>IFERROR(INDEX(PP_Grid[#Data],$DD94,62),0)</f>
        <v/>
      </c>
      <c r="BM94">
        <f>IFERROR(INDEX(PP_Grid[#Data],$DD94,63),0)</f>
        <v/>
      </c>
      <c r="BN94">
        <f>IFERROR(INDEX(PP_Grid[#Data],$DD94,64),0)</f>
        <v/>
      </c>
      <c r="BO94">
        <f>IFERROR(INDEX(PP_Grid[#Data],$DD94,65),0)</f>
        <v/>
      </c>
      <c r="BP94">
        <f>IFERROR(INDEX(PP_Grid[#Data],$DD94,66),0)</f>
        <v/>
      </c>
      <c r="BQ94">
        <f>IFERROR(INDEX(PP_Grid[#Data],$DD94,67),0)</f>
        <v/>
      </c>
      <c r="BR94">
        <f>IFERROR(INDEX(PP_Grid[#Data],$DD94,68),0)</f>
        <v/>
      </c>
      <c r="BS94">
        <f>IFERROR(INDEX(PP_Grid[#Data],$DD94,69),0)</f>
        <v/>
      </c>
      <c r="BT94">
        <f>IFERROR(INDEX(PP_Grid[#Data],$DD94,70),0)</f>
        <v/>
      </c>
      <c r="BU94">
        <f>IFERROR(INDEX(PP_Grid[#Data],$DD94,71),0)</f>
        <v/>
      </c>
      <c r="BV94">
        <f>IFERROR(INDEX(PP_Grid[#Data],$DD94,72),0)</f>
        <v/>
      </c>
      <c r="BW94">
        <f>IFERROR(INDEX(PP_Grid[#Data],$DD94,73),0)</f>
        <v/>
      </c>
      <c r="BX94">
        <f>IFERROR(INDEX(PP_Grid[#Data],$DD94,74),0)</f>
        <v/>
      </c>
      <c r="BY94">
        <f>IFERROR(INDEX(PP_Grid[#Data],$DD94,75),0)</f>
        <v/>
      </c>
      <c r="BZ94">
        <f>IFERROR(INDEX(PP_Grid[#Data],$DD94,76),0)</f>
        <v/>
      </c>
      <c r="CA94">
        <f>IFERROR(INDEX(PP_Grid[#Data],$DD94,77),0)</f>
        <v/>
      </c>
      <c r="CB94">
        <f>IFERROR(INDEX(PP_Grid[#Data],$DD94,78),0)</f>
        <v/>
      </c>
      <c r="CC94">
        <f>IFERROR(INDEX(PP_Grid[#Data],$DD94,79),0)</f>
        <v/>
      </c>
      <c r="CD94">
        <f>IFERROR(INDEX(PP_Grid[#Data],$DD94,80),0)</f>
        <v/>
      </c>
      <c r="CE94">
        <f>IFERROR(INDEX(PP_Grid[#Data],$DD94,81),0)</f>
        <v/>
      </c>
      <c r="CF94">
        <f>IFERROR(INDEX(PP_Grid[#Data],$DD94,82),0)</f>
        <v/>
      </c>
      <c r="CG94">
        <f>IFERROR(INDEX(PP_Grid[#Data],$DD94,83),0)</f>
        <v/>
      </c>
      <c r="CH94">
        <f>IFERROR(INDEX(PP_Grid[#Data],$DD94,84),0)</f>
        <v/>
      </c>
      <c r="CI94">
        <f>IFERROR(INDEX(PP_Grid[#Data],$DD94,85),0)</f>
        <v/>
      </c>
      <c r="CJ94">
        <f>IFERROR(INDEX(PP_Grid[#Data],$DD94,86),0)</f>
        <v/>
      </c>
      <c r="CK94">
        <f>IFERROR(INDEX(PP_Grid[#Data],$DD94,87),0)</f>
        <v/>
      </c>
      <c r="CL94">
        <f>IFERROR(INDEX(PP_Grid[#Data],$DD94,88),0)</f>
        <v/>
      </c>
      <c r="CM94">
        <f>IFERROR(INDEX(PP_Grid[#Data],$DD94,89),0)</f>
        <v/>
      </c>
      <c r="CN94">
        <f>IFERROR(INDEX(PP_Grid[#Data],$DD94,90),0)</f>
        <v/>
      </c>
      <c r="CO94">
        <f>IFERROR(INDEX(PP_Grid[#Data],$DD94,91),0)</f>
        <v/>
      </c>
      <c r="CP94">
        <f>IFERROR(INDEX(PP_Grid[#Data],$DD94,92),0)</f>
        <v/>
      </c>
      <c r="CQ94">
        <f>IFERROR(INDEX(PP_Grid[#Data],$DD94,93),0)</f>
        <v/>
      </c>
      <c r="CR94">
        <f>IFERROR(INDEX(PP_Grid[#Data],$DD94,94),0)</f>
        <v/>
      </c>
      <c r="CS94">
        <f>IFERROR(INDEX(PP_Grid[#Data],$DD94,95),0)</f>
        <v/>
      </c>
      <c r="CT94">
        <f>IFERROR(INDEX(PP_Grid[#Data],$DD94,96),0)</f>
        <v/>
      </c>
      <c r="CU94">
        <f>IFERROR(INDEX(PP_Grid[#Data],$DD94,97),0)</f>
        <v/>
      </c>
      <c r="CV94">
        <f>IFERROR(INDEX(PP_Grid[#Data],$DD94,98),0)</f>
        <v/>
      </c>
      <c r="CW94">
        <f>IFERROR(INDEX(PP_Grid[#Data],$DD94,99),0)</f>
        <v/>
      </c>
      <c r="CX94">
        <f>IFERROR(INDEX(PP_Grid[#Data],$DD94,100),0)</f>
        <v/>
      </c>
      <c r="CY94">
        <f>IFERROR(INDEX(PP_Grid[#Data],$DD94,101),0)</f>
        <v/>
      </c>
      <c r="CZ94">
        <f>IFERROR(INDEX(PP_Grid[#Data],$DD94,102),0)</f>
        <v/>
      </c>
      <c r="DA94">
        <f>IFERROR(INDEX(PP_Grid[#Data],$DD94,103),0)</f>
        <v/>
      </c>
      <c r="DB94">
        <f>IFERROR(INDEX(PP_Grid[#Data],$DD94,104),0)</f>
        <v/>
      </c>
      <c r="DC94">
        <f>IFERROR(INDEX(PP_Grid[#Data],$DD94,105),0)</f>
        <v/>
      </c>
      <c r="DD94" s="7">
        <f>IFERROR(MATCH($B94,PP_Grid[Intermediate],0),99999)</f>
        <v/>
      </c>
    </row>
    <row r="95">
      <c r="B95" t="inlineStr">
        <is>
          <t>使用量(kg)</t>
        </is>
      </c>
      <c r="C95">
        <f>SUMIFS(M_BOM[RM_Qty_Per_Batch],M_BOM[Intermediate],$B94,M_BOM[Part Name],$A45)</f>
        <v/>
      </c>
      <c r="D95">
        <f>$C95*D94</f>
        <v/>
      </c>
      <c r="E95">
        <f>$C95*E94</f>
        <v/>
      </c>
      <c r="F95">
        <f>$C95*F94</f>
        <v/>
      </c>
      <c r="G95">
        <f>$C95*G94</f>
        <v/>
      </c>
      <c r="H95">
        <f>$C95*H94</f>
        <v/>
      </c>
      <c r="I95">
        <f>$C95*I94</f>
        <v/>
      </c>
      <c r="J95">
        <f>$C95*J94</f>
        <v/>
      </c>
      <c r="K95">
        <f>$C95*K94</f>
        <v/>
      </c>
      <c r="L95">
        <f>$C95*L94</f>
        <v/>
      </c>
      <c r="M95">
        <f>$C95*M94</f>
        <v/>
      </c>
      <c r="N95">
        <f>$C95*N94</f>
        <v/>
      </c>
      <c r="O95">
        <f>$C95*O94</f>
        <v/>
      </c>
      <c r="P95">
        <f>$C95*P94</f>
        <v/>
      </c>
      <c r="Q95">
        <f>$C95*Q94</f>
        <v/>
      </c>
      <c r="R95">
        <f>$C95*R94</f>
        <v/>
      </c>
      <c r="S95">
        <f>$C95*S94</f>
        <v/>
      </c>
      <c r="T95">
        <f>$C95*T94</f>
        <v/>
      </c>
      <c r="U95">
        <f>$C95*U94</f>
        <v/>
      </c>
      <c r="V95">
        <f>$C95*V94</f>
        <v/>
      </c>
      <c r="W95">
        <f>$C95*W94</f>
        <v/>
      </c>
      <c r="X95">
        <f>$C95*X94</f>
        <v/>
      </c>
      <c r="Y95">
        <f>$C95*Y94</f>
        <v/>
      </c>
      <c r="Z95">
        <f>$C95*Z94</f>
        <v/>
      </c>
      <c r="AA95">
        <f>$C95*AA94</f>
        <v/>
      </c>
      <c r="AB95">
        <f>$C95*AB94</f>
        <v/>
      </c>
      <c r="AC95">
        <f>$C95*AC94</f>
        <v/>
      </c>
      <c r="AD95">
        <f>$C95*AD94</f>
        <v/>
      </c>
      <c r="AE95">
        <f>$C95*AE94</f>
        <v/>
      </c>
      <c r="AF95">
        <f>$C95*AF94</f>
        <v/>
      </c>
      <c r="AG95">
        <f>$C95*AG94</f>
        <v/>
      </c>
      <c r="AH95">
        <f>$C95*AH94</f>
        <v/>
      </c>
      <c r="AI95">
        <f>$C95*AI94</f>
        <v/>
      </c>
      <c r="AJ95">
        <f>$C95*AJ94</f>
        <v/>
      </c>
      <c r="AK95">
        <f>$C95*AK94</f>
        <v/>
      </c>
      <c r="AL95">
        <f>$C95*AL94</f>
        <v/>
      </c>
      <c r="AM95">
        <f>$C95*AM94</f>
        <v/>
      </c>
      <c r="AN95">
        <f>$C95*AN94</f>
        <v/>
      </c>
      <c r="AO95">
        <f>$C95*AO94</f>
        <v/>
      </c>
      <c r="AP95">
        <f>$C95*AP94</f>
        <v/>
      </c>
      <c r="AQ95">
        <f>$C95*AQ94</f>
        <v/>
      </c>
      <c r="AR95">
        <f>$C95*AR94</f>
        <v/>
      </c>
      <c r="AS95">
        <f>$C95*AS94</f>
        <v/>
      </c>
      <c r="AT95">
        <f>$C95*AT94</f>
        <v/>
      </c>
      <c r="AU95">
        <f>$C95*AU94</f>
        <v/>
      </c>
      <c r="AV95">
        <f>$C95*AV94</f>
        <v/>
      </c>
      <c r="AW95">
        <f>$C95*AW94</f>
        <v/>
      </c>
      <c r="AX95">
        <f>$C95*AX94</f>
        <v/>
      </c>
      <c r="AY95">
        <f>$C95*AY94</f>
        <v/>
      </c>
      <c r="AZ95">
        <f>$C95*AZ94</f>
        <v/>
      </c>
      <c r="BA95">
        <f>$C95*BA94</f>
        <v/>
      </c>
      <c r="BB95">
        <f>$C95*BB94</f>
        <v/>
      </c>
      <c r="BC95">
        <f>$C95*BC94</f>
        <v/>
      </c>
      <c r="BD95">
        <f>$C95*BD94</f>
        <v/>
      </c>
      <c r="BE95">
        <f>$C95*BE94</f>
        <v/>
      </c>
      <c r="BF95">
        <f>$C95*BF94</f>
        <v/>
      </c>
      <c r="BG95">
        <f>$C95*BG94</f>
        <v/>
      </c>
      <c r="BH95">
        <f>$C95*BH94</f>
        <v/>
      </c>
      <c r="BI95">
        <f>$C95*BI94</f>
        <v/>
      </c>
      <c r="BJ95">
        <f>$C95*BJ94</f>
        <v/>
      </c>
      <c r="BK95">
        <f>$C95*BK94</f>
        <v/>
      </c>
      <c r="BL95">
        <f>$C95*BL94</f>
        <v/>
      </c>
      <c r="BM95">
        <f>$C95*BM94</f>
        <v/>
      </c>
      <c r="BN95">
        <f>$C95*BN94</f>
        <v/>
      </c>
      <c r="BO95">
        <f>$C95*BO94</f>
        <v/>
      </c>
      <c r="BP95">
        <f>$C95*BP94</f>
        <v/>
      </c>
      <c r="BQ95">
        <f>$C95*BQ94</f>
        <v/>
      </c>
      <c r="BR95">
        <f>$C95*BR94</f>
        <v/>
      </c>
      <c r="BS95">
        <f>$C95*BS94</f>
        <v/>
      </c>
      <c r="BT95">
        <f>$C95*BT94</f>
        <v/>
      </c>
      <c r="BU95">
        <f>$C95*BU94</f>
        <v/>
      </c>
      <c r="BV95">
        <f>$C95*BV94</f>
        <v/>
      </c>
      <c r="BW95">
        <f>$C95*BW94</f>
        <v/>
      </c>
      <c r="BX95">
        <f>$C95*BX94</f>
        <v/>
      </c>
      <c r="BY95">
        <f>$C95*BY94</f>
        <v/>
      </c>
      <c r="BZ95">
        <f>$C95*BZ94</f>
        <v/>
      </c>
      <c r="CA95">
        <f>$C95*CA94</f>
        <v/>
      </c>
      <c r="CB95">
        <f>$C95*CB94</f>
        <v/>
      </c>
      <c r="CC95">
        <f>$C95*CC94</f>
        <v/>
      </c>
      <c r="CD95">
        <f>$C95*CD94</f>
        <v/>
      </c>
      <c r="CE95">
        <f>$C95*CE94</f>
        <v/>
      </c>
      <c r="CF95">
        <f>$C95*CF94</f>
        <v/>
      </c>
      <c r="CG95">
        <f>$C95*CG94</f>
        <v/>
      </c>
      <c r="CH95">
        <f>$C95*CH94</f>
        <v/>
      </c>
      <c r="CI95">
        <f>$C95*CI94</f>
        <v/>
      </c>
      <c r="CJ95">
        <f>$C95*CJ94</f>
        <v/>
      </c>
      <c r="CK95">
        <f>$C95*CK94</f>
        <v/>
      </c>
      <c r="CL95">
        <f>$C95*CL94</f>
        <v/>
      </c>
      <c r="CM95">
        <f>$C95*CM94</f>
        <v/>
      </c>
      <c r="CN95">
        <f>$C95*CN94</f>
        <v/>
      </c>
      <c r="CO95">
        <f>$C95*CO94</f>
        <v/>
      </c>
      <c r="CP95">
        <f>$C95*CP94</f>
        <v/>
      </c>
      <c r="CQ95">
        <f>$C95*CQ94</f>
        <v/>
      </c>
      <c r="CR95">
        <f>$C95*CR94</f>
        <v/>
      </c>
      <c r="CS95">
        <f>$C95*CS94</f>
        <v/>
      </c>
      <c r="CT95">
        <f>$C95*CT94</f>
        <v/>
      </c>
      <c r="CU95">
        <f>$C95*CU94</f>
        <v/>
      </c>
      <c r="CV95">
        <f>$C95*CV94</f>
        <v/>
      </c>
      <c r="CW95">
        <f>$C95*CW94</f>
        <v/>
      </c>
      <c r="CX95">
        <f>$C95*CX94</f>
        <v/>
      </c>
      <c r="CY95">
        <f>$C95*CY94</f>
        <v/>
      </c>
      <c r="CZ95">
        <f>$C95*CZ94</f>
        <v/>
      </c>
      <c r="DA95">
        <f>$C95*DA94</f>
        <v/>
      </c>
      <c r="DB95">
        <f>$C95*DB94</f>
        <v/>
      </c>
      <c r="DC95">
        <f>$C95*DC94</f>
        <v/>
      </c>
    </row>
    <row r="96">
      <c r="B96" t="inlineStr">
        <is>
          <t>TSP-405</t>
        </is>
      </c>
      <c r="C96" t="inlineStr">
        <is>
          <t>No. of batches</t>
        </is>
      </c>
      <c r="D96">
        <f>IFERROR(INDEX(PP_Grid[#Data],$DD96,2),0)</f>
        <v/>
      </c>
      <c r="E96">
        <f>IFERROR(INDEX(PP_Grid[#Data],$DD96,3),0)</f>
        <v/>
      </c>
      <c r="F96">
        <f>IFERROR(INDEX(PP_Grid[#Data],$DD96,4),0)</f>
        <v/>
      </c>
      <c r="G96">
        <f>IFERROR(INDEX(PP_Grid[#Data],$DD96,5),0)</f>
        <v/>
      </c>
      <c r="H96">
        <f>IFERROR(INDEX(PP_Grid[#Data],$DD96,6),0)</f>
        <v/>
      </c>
      <c r="I96">
        <f>IFERROR(INDEX(PP_Grid[#Data],$DD96,7),0)</f>
        <v/>
      </c>
      <c r="J96">
        <f>IFERROR(INDEX(PP_Grid[#Data],$DD96,8),0)</f>
        <v/>
      </c>
      <c r="K96">
        <f>IFERROR(INDEX(PP_Grid[#Data],$DD96,9),0)</f>
        <v/>
      </c>
      <c r="L96">
        <f>IFERROR(INDEX(PP_Grid[#Data],$DD96,10),0)</f>
        <v/>
      </c>
      <c r="M96">
        <f>IFERROR(INDEX(PP_Grid[#Data],$DD96,11),0)</f>
        <v/>
      </c>
      <c r="N96">
        <f>IFERROR(INDEX(PP_Grid[#Data],$DD96,12),0)</f>
        <v/>
      </c>
      <c r="O96">
        <f>IFERROR(INDEX(PP_Grid[#Data],$DD96,13),0)</f>
        <v/>
      </c>
      <c r="P96">
        <f>IFERROR(INDEX(PP_Grid[#Data],$DD96,14),0)</f>
        <v/>
      </c>
      <c r="Q96">
        <f>IFERROR(INDEX(PP_Grid[#Data],$DD96,15),0)</f>
        <v/>
      </c>
      <c r="R96">
        <f>IFERROR(INDEX(PP_Grid[#Data],$DD96,16),0)</f>
        <v/>
      </c>
      <c r="S96">
        <f>IFERROR(INDEX(PP_Grid[#Data],$DD96,17),0)</f>
        <v/>
      </c>
      <c r="T96">
        <f>IFERROR(INDEX(PP_Grid[#Data],$DD96,18),0)</f>
        <v/>
      </c>
      <c r="U96">
        <f>IFERROR(INDEX(PP_Grid[#Data],$DD96,19),0)</f>
        <v/>
      </c>
      <c r="V96">
        <f>IFERROR(INDEX(PP_Grid[#Data],$DD96,20),0)</f>
        <v/>
      </c>
      <c r="W96">
        <f>IFERROR(INDEX(PP_Grid[#Data],$DD96,21),0)</f>
        <v/>
      </c>
      <c r="X96">
        <f>IFERROR(INDEX(PP_Grid[#Data],$DD96,22),0)</f>
        <v/>
      </c>
      <c r="Y96">
        <f>IFERROR(INDEX(PP_Grid[#Data],$DD96,23),0)</f>
        <v/>
      </c>
      <c r="Z96">
        <f>IFERROR(INDEX(PP_Grid[#Data],$DD96,24),0)</f>
        <v/>
      </c>
      <c r="AA96">
        <f>IFERROR(INDEX(PP_Grid[#Data],$DD96,25),0)</f>
        <v/>
      </c>
      <c r="AB96">
        <f>IFERROR(INDEX(PP_Grid[#Data],$DD96,26),0)</f>
        <v/>
      </c>
      <c r="AC96">
        <f>IFERROR(INDEX(PP_Grid[#Data],$DD96,27),0)</f>
        <v/>
      </c>
      <c r="AD96">
        <f>IFERROR(INDEX(PP_Grid[#Data],$DD96,28),0)</f>
        <v/>
      </c>
      <c r="AE96">
        <f>IFERROR(INDEX(PP_Grid[#Data],$DD96,29),0)</f>
        <v/>
      </c>
      <c r="AF96">
        <f>IFERROR(INDEX(PP_Grid[#Data],$DD96,30),0)</f>
        <v/>
      </c>
      <c r="AG96">
        <f>IFERROR(INDEX(PP_Grid[#Data],$DD96,31),0)</f>
        <v/>
      </c>
      <c r="AH96">
        <f>IFERROR(INDEX(PP_Grid[#Data],$DD96,32),0)</f>
        <v/>
      </c>
      <c r="AI96">
        <f>IFERROR(INDEX(PP_Grid[#Data],$DD96,33),0)</f>
        <v/>
      </c>
      <c r="AJ96">
        <f>IFERROR(INDEX(PP_Grid[#Data],$DD96,34),0)</f>
        <v/>
      </c>
      <c r="AK96">
        <f>IFERROR(INDEX(PP_Grid[#Data],$DD96,35),0)</f>
        <v/>
      </c>
      <c r="AL96">
        <f>IFERROR(INDEX(PP_Grid[#Data],$DD96,36),0)</f>
        <v/>
      </c>
      <c r="AM96">
        <f>IFERROR(INDEX(PP_Grid[#Data],$DD96,37),0)</f>
        <v/>
      </c>
      <c r="AN96">
        <f>IFERROR(INDEX(PP_Grid[#Data],$DD96,38),0)</f>
        <v/>
      </c>
      <c r="AO96">
        <f>IFERROR(INDEX(PP_Grid[#Data],$DD96,39),0)</f>
        <v/>
      </c>
      <c r="AP96">
        <f>IFERROR(INDEX(PP_Grid[#Data],$DD96,40),0)</f>
        <v/>
      </c>
      <c r="AQ96">
        <f>IFERROR(INDEX(PP_Grid[#Data],$DD96,41),0)</f>
        <v/>
      </c>
      <c r="AR96">
        <f>IFERROR(INDEX(PP_Grid[#Data],$DD96,42),0)</f>
        <v/>
      </c>
      <c r="AS96">
        <f>IFERROR(INDEX(PP_Grid[#Data],$DD96,43),0)</f>
        <v/>
      </c>
      <c r="AT96">
        <f>IFERROR(INDEX(PP_Grid[#Data],$DD96,44),0)</f>
        <v/>
      </c>
      <c r="AU96">
        <f>IFERROR(INDEX(PP_Grid[#Data],$DD96,45),0)</f>
        <v/>
      </c>
      <c r="AV96">
        <f>IFERROR(INDEX(PP_Grid[#Data],$DD96,46),0)</f>
        <v/>
      </c>
      <c r="AW96">
        <f>IFERROR(INDEX(PP_Grid[#Data],$DD96,47),0)</f>
        <v/>
      </c>
      <c r="AX96">
        <f>IFERROR(INDEX(PP_Grid[#Data],$DD96,48),0)</f>
        <v/>
      </c>
      <c r="AY96">
        <f>IFERROR(INDEX(PP_Grid[#Data],$DD96,49),0)</f>
        <v/>
      </c>
      <c r="AZ96">
        <f>IFERROR(INDEX(PP_Grid[#Data],$DD96,50),0)</f>
        <v/>
      </c>
      <c r="BA96">
        <f>IFERROR(INDEX(PP_Grid[#Data],$DD96,51),0)</f>
        <v/>
      </c>
      <c r="BB96">
        <f>IFERROR(INDEX(PP_Grid[#Data],$DD96,52),0)</f>
        <v/>
      </c>
      <c r="BC96">
        <f>IFERROR(INDEX(PP_Grid[#Data],$DD96,53),0)</f>
        <v/>
      </c>
      <c r="BD96">
        <f>IFERROR(INDEX(PP_Grid[#Data],$DD96,54),0)</f>
        <v/>
      </c>
      <c r="BE96">
        <f>IFERROR(INDEX(PP_Grid[#Data],$DD96,55),0)</f>
        <v/>
      </c>
      <c r="BF96">
        <f>IFERROR(INDEX(PP_Grid[#Data],$DD96,56),0)</f>
        <v/>
      </c>
      <c r="BG96">
        <f>IFERROR(INDEX(PP_Grid[#Data],$DD96,57),0)</f>
        <v/>
      </c>
      <c r="BH96">
        <f>IFERROR(INDEX(PP_Grid[#Data],$DD96,58),0)</f>
        <v/>
      </c>
      <c r="BI96">
        <f>IFERROR(INDEX(PP_Grid[#Data],$DD96,59),0)</f>
        <v/>
      </c>
      <c r="BJ96">
        <f>IFERROR(INDEX(PP_Grid[#Data],$DD96,60),0)</f>
        <v/>
      </c>
      <c r="BK96">
        <f>IFERROR(INDEX(PP_Grid[#Data],$DD96,61),0)</f>
        <v/>
      </c>
      <c r="BL96">
        <f>IFERROR(INDEX(PP_Grid[#Data],$DD96,62),0)</f>
        <v/>
      </c>
      <c r="BM96">
        <f>IFERROR(INDEX(PP_Grid[#Data],$DD96,63),0)</f>
        <v/>
      </c>
      <c r="BN96">
        <f>IFERROR(INDEX(PP_Grid[#Data],$DD96,64),0)</f>
        <v/>
      </c>
      <c r="BO96">
        <f>IFERROR(INDEX(PP_Grid[#Data],$DD96,65),0)</f>
        <v/>
      </c>
      <c r="BP96">
        <f>IFERROR(INDEX(PP_Grid[#Data],$DD96,66),0)</f>
        <v/>
      </c>
      <c r="BQ96">
        <f>IFERROR(INDEX(PP_Grid[#Data],$DD96,67),0)</f>
        <v/>
      </c>
      <c r="BR96">
        <f>IFERROR(INDEX(PP_Grid[#Data],$DD96,68),0)</f>
        <v/>
      </c>
      <c r="BS96">
        <f>IFERROR(INDEX(PP_Grid[#Data],$DD96,69),0)</f>
        <v/>
      </c>
      <c r="BT96">
        <f>IFERROR(INDEX(PP_Grid[#Data],$DD96,70),0)</f>
        <v/>
      </c>
      <c r="BU96">
        <f>IFERROR(INDEX(PP_Grid[#Data],$DD96,71),0)</f>
        <v/>
      </c>
      <c r="BV96">
        <f>IFERROR(INDEX(PP_Grid[#Data],$DD96,72),0)</f>
        <v/>
      </c>
      <c r="BW96">
        <f>IFERROR(INDEX(PP_Grid[#Data],$DD96,73),0)</f>
        <v/>
      </c>
      <c r="BX96">
        <f>IFERROR(INDEX(PP_Grid[#Data],$DD96,74),0)</f>
        <v/>
      </c>
      <c r="BY96">
        <f>IFERROR(INDEX(PP_Grid[#Data],$DD96,75),0)</f>
        <v/>
      </c>
      <c r="BZ96">
        <f>IFERROR(INDEX(PP_Grid[#Data],$DD96,76),0)</f>
        <v/>
      </c>
      <c r="CA96">
        <f>IFERROR(INDEX(PP_Grid[#Data],$DD96,77),0)</f>
        <v/>
      </c>
      <c r="CB96">
        <f>IFERROR(INDEX(PP_Grid[#Data],$DD96,78),0)</f>
        <v/>
      </c>
      <c r="CC96">
        <f>IFERROR(INDEX(PP_Grid[#Data],$DD96,79),0)</f>
        <v/>
      </c>
      <c r="CD96">
        <f>IFERROR(INDEX(PP_Grid[#Data],$DD96,80),0)</f>
        <v/>
      </c>
      <c r="CE96">
        <f>IFERROR(INDEX(PP_Grid[#Data],$DD96,81),0)</f>
        <v/>
      </c>
      <c r="CF96">
        <f>IFERROR(INDEX(PP_Grid[#Data],$DD96,82),0)</f>
        <v/>
      </c>
      <c r="CG96">
        <f>IFERROR(INDEX(PP_Grid[#Data],$DD96,83),0)</f>
        <v/>
      </c>
      <c r="CH96">
        <f>IFERROR(INDEX(PP_Grid[#Data],$DD96,84),0)</f>
        <v/>
      </c>
      <c r="CI96">
        <f>IFERROR(INDEX(PP_Grid[#Data],$DD96,85),0)</f>
        <v/>
      </c>
      <c r="CJ96">
        <f>IFERROR(INDEX(PP_Grid[#Data],$DD96,86),0)</f>
        <v/>
      </c>
      <c r="CK96">
        <f>IFERROR(INDEX(PP_Grid[#Data],$DD96,87),0)</f>
        <v/>
      </c>
      <c r="CL96">
        <f>IFERROR(INDEX(PP_Grid[#Data],$DD96,88),0)</f>
        <v/>
      </c>
      <c r="CM96">
        <f>IFERROR(INDEX(PP_Grid[#Data],$DD96,89),0)</f>
        <v/>
      </c>
      <c r="CN96">
        <f>IFERROR(INDEX(PP_Grid[#Data],$DD96,90),0)</f>
        <v/>
      </c>
      <c r="CO96">
        <f>IFERROR(INDEX(PP_Grid[#Data],$DD96,91),0)</f>
        <v/>
      </c>
      <c r="CP96">
        <f>IFERROR(INDEX(PP_Grid[#Data],$DD96,92),0)</f>
        <v/>
      </c>
      <c r="CQ96">
        <f>IFERROR(INDEX(PP_Grid[#Data],$DD96,93),0)</f>
        <v/>
      </c>
      <c r="CR96">
        <f>IFERROR(INDEX(PP_Grid[#Data],$DD96,94),0)</f>
        <v/>
      </c>
      <c r="CS96">
        <f>IFERROR(INDEX(PP_Grid[#Data],$DD96,95),0)</f>
        <v/>
      </c>
      <c r="CT96">
        <f>IFERROR(INDEX(PP_Grid[#Data],$DD96,96),0)</f>
        <v/>
      </c>
      <c r="CU96">
        <f>IFERROR(INDEX(PP_Grid[#Data],$DD96,97),0)</f>
        <v/>
      </c>
      <c r="CV96">
        <f>IFERROR(INDEX(PP_Grid[#Data],$DD96,98),0)</f>
        <v/>
      </c>
      <c r="CW96">
        <f>IFERROR(INDEX(PP_Grid[#Data],$DD96,99),0)</f>
        <v/>
      </c>
      <c r="CX96">
        <f>IFERROR(INDEX(PP_Grid[#Data],$DD96,100),0)</f>
        <v/>
      </c>
      <c r="CY96">
        <f>IFERROR(INDEX(PP_Grid[#Data],$DD96,101),0)</f>
        <v/>
      </c>
      <c r="CZ96">
        <f>IFERROR(INDEX(PP_Grid[#Data],$DD96,102),0)</f>
        <v/>
      </c>
      <c r="DA96">
        <f>IFERROR(INDEX(PP_Grid[#Data],$DD96,103),0)</f>
        <v/>
      </c>
      <c r="DB96">
        <f>IFERROR(INDEX(PP_Grid[#Data],$DD96,104),0)</f>
        <v/>
      </c>
      <c r="DC96">
        <f>IFERROR(INDEX(PP_Grid[#Data],$DD96,105),0)</f>
        <v/>
      </c>
      <c r="DD96" s="7">
        <f>IFERROR(MATCH($B96,PP_Grid[Intermediate],0),99999)</f>
        <v/>
      </c>
    </row>
    <row r="97">
      <c r="B97" t="inlineStr">
        <is>
          <t>使用量(kg)</t>
        </is>
      </c>
      <c r="C97">
        <f>SUMIFS(M_BOM[RM_Qty_Per_Batch],M_BOM[Intermediate],$B96,M_BOM[Part Name],$A45)</f>
        <v/>
      </c>
      <c r="D97">
        <f>$C97*D96</f>
        <v/>
      </c>
      <c r="E97">
        <f>$C97*E96</f>
        <v/>
      </c>
      <c r="F97">
        <f>$C97*F96</f>
        <v/>
      </c>
      <c r="G97">
        <f>$C97*G96</f>
        <v/>
      </c>
      <c r="H97">
        <f>$C97*H96</f>
        <v/>
      </c>
      <c r="I97">
        <f>$C97*I96</f>
        <v/>
      </c>
      <c r="J97">
        <f>$C97*J96</f>
        <v/>
      </c>
      <c r="K97">
        <f>$C97*K96</f>
        <v/>
      </c>
      <c r="L97">
        <f>$C97*L96</f>
        <v/>
      </c>
      <c r="M97">
        <f>$C97*M96</f>
        <v/>
      </c>
      <c r="N97">
        <f>$C97*N96</f>
        <v/>
      </c>
      <c r="O97">
        <f>$C97*O96</f>
        <v/>
      </c>
      <c r="P97">
        <f>$C97*P96</f>
        <v/>
      </c>
      <c r="Q97">
        <f>$C97*Q96</f>
        <v/>
      </c>
      <c r="R97">
        <f>$C97*R96</f>
        <v/>
      </c>
      <c r="S97">
        <f>$C97*S96</f>
        <v/>
      </c>
      <c r="T97">
        <f>$C97*T96</f>
        <v/>
      </c>
      <c r="U97">
        <f>$C97*U96</f>
        <v/>
      </c>
      <c r="V97">
        <f>$C97*V96</f>
        <v/>
      </c>
      <c r="W97">
        <f>$C97*W96</f>
        <v/>
      </c>
      <c r="X97">
        <f>$C97*X96</f>
        <v/>
      </c>
      <c r="Y97">
        <f>$C97*Y96</f>
        <v/>
      </c>
      <c r="Z97">
        <f>$C97*Z96</f>
        <v/>
      </c>
      <c r="AA97">
        <f>$C97*AA96</f>
        <v/>
      </c>
      <c r="AB97">
        <f>$C97*AB96</f>
        <v/>
      </c>
      <c r="AC97">
        <f>$C97*AC96</f>
        <v/>
      </c>
      <c r="AD97">
        <f>$C97*AD96</f>
        <v/>
      </c>
      <c r="AE97">
        <f>$C97*AE96</f>
        <v/>
      </c>
      <c r="AF97">
        <f>$C97*AF96</f>
        <v/>
      </c>
      <c r="AG97">
        <f>$C97*AG96</f>
        <v/>
      </c>
      <c r="AH97">
        <f>$C97*AH96</f>
        <v/>
      </c>
      <c r="AI97">
        <f>$C97*AI96</f>
        <v/>
      </c>
      <c r="AJ97">
        <f>$C97*AJ96</f>
        <v/>
      </c>
      <c r="AK97">
        <f>$C97*AK96</f>
        <v/>
      </c>
      <c r="AL97">
        <f>$C97*AL96</f>
        <v/>
      </c>
      <c r="AM97">
        <f>$C97*AM96</f>
        <v/>
      </c>
      <c r="AN97">
        <f>$C97*AN96</f>
        <v/>
      </c>
      <c r="AO97">
        <f>$C97*AO96</f>
        <v/>
      </c>
      <c r="AP97">
        <f>$C97*AP96</f>
        <v/>
      </c>
      <c r="AQ97">
        <f>$C97*AQ96</f>
        <v/>
      </c>
      <c r="AR97">
        <f>$C97*AR96</f>
        <v/>
      </c>
      <c r="AS97">
        <f>$C97*AS96</f>
        <v/>
      </c>
      <c r="AT97">
        <f>$C97*AT96</f>
        <v/>
      </c>
      <c r="AU97">
        <f>$C97*AU96</f>
        <v/>
      </c>
      <c r="AV97">
        <f>$C97*AV96</f>
        <v/>
      </c>
      <c r="AW97">
        <f>$C97*AW96</f>
        <v/>
      </c>
      <c r="AX97">
        <f>$C97*AX96</f>
        <v/>
      </c>
      <c r="AY97">
        <f>$C97*AY96</f>
        <v/>
      </c>
      <c r="AZ97">
        <f>$C97*AZ96</f>
        <v/>
      </c>
      <c r="BA97">
        <f>$C97*BA96</f>
        <v/>
      </c>
      <c r="BB97">
        <f>$C97*BB96</f>
        <v/>
      </c>
      <c r="BC97">
        <f>$C97*BC96</f>
        <v/>
      </c>
      <c r="BD97">
        <f>$C97*BD96</f>
        <v/>
      </c>
      <c r="BE97">
        <f>$C97*BE96</f>
        <v/>
      </c>
      <c r="BF97">
        <f>$C97*BF96</f>
        <v/>
      </c>
      <c r="BG97">
        <f>$C97*BG96</f>
        <v/>
      </c>
      <c r="BH97">
        <f>$C97*BH96</f>
        <v/>
      </c>
      <c r="BI97">
        <f>$C97*BI96</f>
        <v/>
      </c>
      <c r="BJ97">
        <f>$C97*BJ96</f>
        <v/>
      </c>
      <c r="BK97">
        <f>$C97*BK96</f>
        <v/>
      </c>
      <c r="BL97">
        <f>$C97*BL96</f>
        <v/>
      </c>
      <c r="BM97">
        <f>$C97*BM96</f>
        <v/>
      </c>
      <c r="BN97">
        <f>$C97*BN96</f>
        <v/>
      </c>
      <c r="BO97">
        <f>$C97*BO96</f>
        <v/>
      </c>
      <c r="BP97">
        <f>$C97*BP96</f>
        <v/>
      </c>
      <c r="BQ97">
        <f>$C97*BQ96</f>
        <v/>
      </c>
      <c r="BR97">
        <f>$C97*BR96</f>
        <v/>
      </c>
      <c r="BS97">
        <f>$C97*BS96</f>
        <v/>
      </c>
      <c r="BT97">
        <f>$C97*BT96</f>
        <v/>
      </c>
      <c r="BU97">
        <f>$C97*BU96</f>
        <v/>
      </c>
      <c r="BV97">
        <f>$C97*BV96</f>
        <v/>
      </c>
      <c r="BW97">
        <f>$C97*BW96</f>
        <v/>
      </c>
      <c r="BX97">
        <f>$C97*BX96</f>
        <v/>
      </c>
      <c r="BY97">
        <f>$C97*BY96</f>
        <v/>
      </c>
      <c r="BZ97">
        <f>$C97*BZ96</f>
        <v/>
      </c>
      <c r="CA97">
        <f>$C97*CA96</f>
        <v/>
      </c>
      <c r="CB97">
        <f>$C97*CB96</f>
        <v/>
      </c>
      <c r="CC97">
        <f>$C97*CC96</f>
        <v/>
      </c>
      <c r="CD97">
        <f>$C97*CD96</f>
        <v/>
      </c>
      <c r="CE97">
        <f>$C97*CE96</f>
        <v/>
      </c>
      <c r="CF97">
        <f>$C97*CF96</f>
        <v/>
      </c>
      <c r="CG97">
        <f>$C97*CG96</f>
        <v/>
      </c>
      <c r="CH97">
        <f>$C97*CH96</f>
        <v/>
      </c>
      <c r="CI97">
        <f>$C97*CI96</f>
        <v/>
      </c>
      <c r="CJ97">
        <f>$C97*CJ96</f>
        <v/>
      </c>
      <c r="CK97">
        <f>$C97*CK96</f>
        <v/>
      </c>
      <c r="CL97">
        <f>$C97*CL96</f>
        <v/>
      </c>
      <c r="CM97">
        <f>$C97*CM96</f>
        <v/>
      </c>
      <c r="CN97">
        <f>$C97*CN96</f>
        <v/>
      </c>
      <c r="CO97">
        <f>$C97*CO96</f>
        <v/>
      </c>
      <c r="CP97">
        <f>$C97*CP96</f>
        <v/>
      </c>
      <c r="CQ97">
        <f>$C97*CQ96</f>
        <v/>
      </c>
      <c r="CR97">
        <f>$C97*CR96</f>
        <v/>
      </c>
      <c r="CS97">
        <f>$C97*CS96</f>
        <v/>
      </c>
      <c r="CT97">
        <f>$C97*CT96</f>
        <v/>
      </c>
      <c r="CU97">
        <f>$C97*CU96</f>
        <v/>
      </c>
      <c r="CV97">
        <f>$C97*CV96</f>
        <v/>
      </c>
      <c r="CW97">
        <f>$C97*CW96</f>
        <v/>
      </c>
      <c r="CX97">
        <f>$C97*CX96</f>
        <v/>
      </c>
      <c r="CY97">
        <f>$C97*CY96</f>
        <v/>
      </c>
      <c r="CZ97">
        <f>$C97*CZ96</f>
        <v/>
      </c>
      <c r="DA97">
        <f>$C97*DA96</f>
        <v/>
      </c>
      <c r="DB97">
        <f>$C97*DB96</f>
        <v/>
      </c>
      <c r="DC97">
        <f>$C97*DC96</f>
        <v/>
      </c>
    </row>
    <row r="98">
      <c r="B98" t="inlineStr">
        <is>
          <t>TSP-544</t>
        </is>
      </c>
      <c r="C98" t="inlineStr">
        <is>
          <t>No. of batches</t>
        </is>
      </c>
      <c r="D98">
        <f>IFERROR(INDEX(PP_Grid[#Data],$DD98,2),0)</f>
        <v/>
      </c>
      <c r="E98">
        <f>IFERROR(INDEX(PP_Grid[#Data],$DD98,3),0)</f>
        <v/>
      </c>
      <c r="F98">
        <f>IFERROR(INDEX(PP_Grid[#Data],$DD98,4),0)</f>
        <v/>
      </c>
      <c r="G98">
        <f>IFERROR(INDEX(PP_Grid[#Data],$DD98,5),0)</f>
        <v/>
      </c>
      <c r="H98">
        <f>IFERROR(INDEX(PP_Grid[#Data],$DD98,6),0)</f>
        <v/>
      </c>
      <c r="I98">
        <f>IFERROR(INDEX(PP_Grid[#Data],$DD98,7),0)</f>
        <v/>
      </c>
      <c r="J98">
        <f>IFERROR(INDEX(PP_Grid[#Data],$DD98,8),0)</f>
        <v/>
      </c>
      <c r="K98">
        <f>IFERROR(INDEX(PP_Grid[#Data],$DD98,9),0)</f>
        <v/>
      </c>
      <c r="L98">
        <f>IFERROR(INDEX(PP_Grid[#Data],$DD98,10),0)</f>
        <v/>
      </c>
      <c r="M98">
        <f>IFERROR(INDEX(PP_Grid[#Data],$DD98,11),0)</f>
        <v/>
      </c>
      <c r="N98">
        <f>IFERROR(INDEX(PP_Grid[#Data],$DD98,12),0)</f>
        <v/>
      </c>
      <c r="O98">
        <f>IFERROR(INDEX(PP_Grid[#Data],$DD98,13),0)</f>
        <v/>
      </c>
      <c r="P98">
        <f>IFERROR(INDEX(PP_Grid[#Data],$DD98,14),0)</f>
        <v/>
      </c>
      <c r="Q98">
        <f>IFERROR(INDEX(PP_Grid[#Data],$DD98,15),0)</f>
        <v/>
      </c>
      <c r="R98">
        <f>IFERROR(INDEX(PP_Grid[#Data],$DD98,16),0)</f>
        <v/>
      </c>
      <c r="S98">
        <f>IFERROR(INDEX(PP_Grid[#Data],$DD98,17),0)</f>
        <v/>
      </c>
      <c r="T98">
        <f>IFERROR(INDEX(PP_Grid[#Data],$DD98,18),0)</f>
        <v/>
      </c>
      <c r="U98">
        <f>IFERROR(INDEX(PP_Grid[#Data],$DD98,19),0)</f>
        <v/>
      </c>
      <c r="V98">
        <f>IFERROR(INDEX(PP_Grid[#Data],$DD98,20),0)</f>
        <v/>
      </c>
      <c r="W98">
        <f>IFERROR(INDEX(PP_Grid[#Data],$DD98,21),0)</f>
        <v/>
      </c>
      <c r="X98">
        <f>IFERROR(INDEX(PP_Grid[#Data],$DD98,22),0)</f>
        <v/>
      </c>
      <c r="Y98">
        <f>IFERROR(INDEX(PP_Grid[#Data],$DD98,23),0)</f>
        <v/>
      </c>
      <c r="Z98">
        <f>IFERROR(INDEX(PP_Grid[#Data],$DD98,24),0)</f>
        <v/>
      </c>
      <c r="AA98">
        <f>IFERROR(INDEX(PP_Grid[#Data],$DD98,25),0)</f>
        <v/>
      </c>
      <c r="AB98">
        <f>IFERROR(INDEX(PP_Grid[#Data],$DD98,26),0)</f>
        <v/>
      </c>
      <c r="AC98">
        <f>IFERROR(INDEX(PP_Grid[#Data],$DD98,27),0)</f>
        <v/>
      </c>
      <c r="AD98">
        <f>IFERROR(INDEX(PP_Grid[#Data],$DD98,28),0)</f>
        <v/>
      </c>
      <c r="AE98">
        <f>IFERROR(INDEX(PP_Grid[#Data],$DD98,29),0)</f>
        <v/>
      </c>
      <c r="AF98">
        <f>IFERROR(INDEX(PP_Grid[#Data],$DD98,30),0)</f>
        <v/>
      </c>
      <c r="AG98">
        <f>IFERROR(INDEX(PP_Grid[#Data],$DD98,31),0)</f>
        <v/>
      </c>
      <c r="AH98">
        <f>IFERROR(INDEX(PP_Grid[#Data],$DD98,32),0)</f>
        <v/>
      </c>
      <c r="AI98">
        <f>IFERROR(INDEX(PP_Grid[#Data],$DD98,33),0)</f>
        <v/>
      </c>
      <c r="AJ98">
        <f>IFERROR(INDEX(PP_Grid[#Data],$DD98,34),0)</f>
        <v/>
      </c>
      <c r="AK98">
        <f>IFERROR(INDEX(PP_Grid[#Data],$DD98,35),0)</f>
        <v/>
      </c>
      <c r="AL98">
        <f>IFERROR(INDEX(PP_Grid[#Data],$DD98,36),0)</f>
        <v/>
      </c>
      <c r="AM98">
        <f>IFERROR(INDEX(PP_Grid[#Data],$DD98,37),0)</f>
        <v/>
      </c>
      <c r="AN98">
        <f>IFERROR(INDEX(PP_Grid[#Data],$DD98,38),0)</f>
        <v/>
      </c>
      <c r="AO98">
        <f>IFERROR(INDEX(PP_Grid[#Data],$DD98,39),0)</f>
        <v/>
      </c>
      <c r="AP98">
        <f>IFERROR(INDEX(PP_Grid[#Data],$DD98,40),0)</f>
        <v/>
      </c>
      <c r="AQ98">
        <f>IFERROR(INDEX(PP_Grid[#Data],$DD98,41),0)</f>
        <v/>
      </c>
      <c r="AR98">
        <f>IFERROR(INDEX(PP_Grid[#Data],$DD98,42),0)</f>
        <v/>
      </c>
      <c r="AS98">
        <f>IFERROR(INDEX(PP_Grid[#Data],$DD98,43),0)</f>
        <v/>
      </c>
      <c r="AT98">
        <f>IFERROR(INDEX(PP_Grid[#Data],$DD98,44),0)</f>
        <v/>
      </c>
      <c r="AU98">
        <f>IFERROR(INDEX(PP_Grid[#Data],$DD98,45),0)</f>
        <v/>
      </c>
      <c r="AV98">
        <f>IFERROR(INDEX(PP_Grid[#Data],$DD98,46),0)</f>
        <v/>
      </c>
      <c r="AW98">
        <f>IFERROR(INDEX(PP_Grid[#Data],$DD98,47),0)</f>
        <v/>
      </c>
      <c r="AX98">
        <f>IFERROR(INDEX(PP_Grid[#Data],$DD98,48),0)</f>
        <v/>
      </c>
      <c r="AY98">
        <f>IFERROR(INDEX(PP_Grid[#Data],$DD98,49),0)</f>
        <v/>
      </c>
      <c r="AZ98">
        <f>IFERROR(INDEX(PP_Grid[#Data],$DD98,50),0)</f>
        <v/>
      </c>
      <c r="BA98">
        <f>IFERROR(INDEX(PP_Grid[#Data],$DD98,51),0)</f>
        <v/>
      </c>
      <c r="BB98">
        <f>IFERROR(INDEX(PP_Grid[#Data],$DD98,52),0)</f>
        <v/>
      </c>
      <c r="BC98">
        <f>IFERROR(INDEX(PP_Grid[#Data],$DD98,53),0)</f>
        <v/>
      </c>
      <c r="BD98">
        <f>IFERROR(INDEX(PP_Grid[#Data],$DD98,54),0)</f>
        <v/>
      </c>
      <c r="BE98">
        <f>IFERROR(INDEX(PP_Grid[#Data],$DD98,55),0)</f>
        <v/>
      </c>
      <c r="BF98">
        <f>IFERROR(INDEX(PP_Grid[#Data],$DD98,56),0)</f>
        <v/>
      </c>
      <c r="BG98">
        <f>IFERROR(INDEX(PP_Grid[#Data],$DD98,57),0)</f>
        <v/>
      </c>
      <c r="BH98">
        <f>IFERROR(INDEX(PP_Grid[#Data],$DD98,58),0)</f>
        <v/>
      </c>
      <c r="BI98">
        <f>IFERROR(INDEX(PP_Grid[#Data],$DD98,59),0)</f>
        <v/>
      </c>
      <c r="BJ98">
        <f>IFERROR(INDEX(PP_Grid[#Data],$DD98,60),0)</f>
        <v/>
      </c>
      <c r="BK98">
        <f>IFERROR(INDEX(PP_Grid[#Data],$DD98,61),0)</f>
        <v/>
      </c>
      <c r="BL98">
        <f>IFERROR(INDEX(PP_Grid[#Data],$DD98,62),0)</f>
        <v/>
      </c>
      <c r="BM98">
        <f>IFERROR(INDEX(PP_Grid[#Data],$DD98,63),0)</f>
        <v/>
      </c>
      <c r="BN98">
        <f>IFERROR(INDEX(PP_Grid[#Data],$DD98,64),0)</f>
        <v/>
      </c>
      <c r="BO98">
        <f>IFERROR(INDEX(PP_Grid[#Data],$DD98,65),0)</f>
        <v/>
      </c>
      <c r="BP98">
        <f>IFERROR(INDEX(PP_Grid[#Data],$DD98,66),0)</f>
        <v/>
      </c>
      <c r="BQ98">
        <f>IFERROR(INDEX(PP_Grid[#Data],$DD98,67),0)</f>
        <v/>
      </c>
      <c r="BR98">
        <f>IFERROR(INDEX(PP_Grid[#Data],$DD98,68),0)</f>
        <v/>
      </c>
      <c r="BS98">
        <f>IFERROR(INDEX(PP_Grid[#Data],$DD98,69),0)</f>
        <v/>
      </c>
      <c r="BT98">
        <f>IFERROR(INDEX(PP_Grid[#Data],$DD98,70),0)</f>
        <v/>
      </c>
      <c r="BU98">
        <f>IFERROR(INDEX(PP_Grid[#Data],$DD98,71),0)</f>
        <v/>
      </c>
      <c r="BV98">
        <f>IFERROR(INDEX(PP_Grid[#Data],$DD98,72),0)</f>
        <v/>
      </c>
      <c r="BW98">
        <f>IFERROR(INDEX(PP_Grid[#Data],$DD98,73),0)</f>
        <v/>
      </c>
      <c r="BX98">
        <f>IFERROR(INDEX(PP_Grid[#Data],$DD98,74),0)</f>
        <v/>
      </c>
      <c r="BY98">
        <f>IFERROR(INDEX(PP_Grid[#Data],$DD98,75),0)</f>
        <v/>
      </c>
      <c r="BZ98">
        <f>IFERROR(INDEX(PP_Grid[#Data],$DD98,76),0)</f>
        <v/>
      </c>
      <c r="CA98">
        <f>IFERROR(INDEX(PP_Grid[#Data],$DD98,77),0)</f>
        <v/>
      </c>
      <c r="CB98">
        <f>IFERROR(INDEX(PP_Grid[#Data],$DD98,78),0)</f>
        <v/>
      </c>
      <c r="CC98">
        <f>IFERROR(INDEX(PP_Grid[#Data],$DD98,79),0)</f>
        <v/>
      </c>
      <c r="CD98">
        <f>IFERROR(INDEX(PP_Grid[#Data],$DD98,80),0)</f>
        <v/>
      </c>
      <c r="CE98">
        <f>IFERROR(INDEX(PP_Grid[#Data],$DD98,81),0)</f>
        <v/>
      </c>
      <c r="CF98">
        <f>IFERROR(INDEX(PP_Grid[#Data],$DD98,82),0)</f>
        <v/>
      </c>
      <c r="CG98">
        <f>IFERROR(INDEX(PP_Grid[#Data],$DD98,83),0)</f>
        <v/>
      </c>
      <c r="CH98">
        <f>IFERROR(INDEX(PP_Grid[#Data],$DD98,84),0)</f>
        <v/>
      </c>
      <c r="CI98">
        <f>IFERROR(INDEX(PP_Grid[#Data],$DD98,85),0)</f>
        <v/>
      </c>
      <c r="CJ98">
        <f>IFERROR(INDEX(PP_Grid[#Data],$DD98,86),0)</f>
        <v/>
      </c>
      <c r="CK98">
        <f>IFERROR(INDEX(PP_Grid[#Data],$DD98,87),0)</f>
        <v/>
      </c>
      <c r="CL98">
        <f>IFERROR(INDEX(PP_Grid[#Data],$DD98,88),0)</f>
        <v/>
      </c>
      <c r="CM98">
        <f>IFERROR(INDEX(PP_Grid[#Data],$DD98,89),0)</f>
        <v/>
      </c>
      <c r="CN98">
        <f>IFERROR(INDEX(PP_Grid[#Data],$DD98,90),0)</f>
        <v/>
      </c>
      <c r="CO98">
        <f>IFERROR(INDEX(PP_Grid[#Data],$DD98,91),0)</f>
        <v/>
      </c>
      <c r="CP98">
        <f>IFERROR(INDEX(PP_Grid[#Data],$DD98,92),0)</f>
        <v/>
      </c>
      <c r="CQ98">
        <f>IFERROR(INDEX(PP_Grid[#Data],$DD98,93),0)</f>
        <v/>
      </c>
      <c r="CR98">
        <f>IFERROR(INDEX(PP_Grid[#Data],$DD98,94),0)</f>
        <v/>
      </c>
      <c r="CS98">
        <f>IFERROR(INDEX(PP_Grid[#Data],$DD98,95),0)</f>
        <v/>
      </c>
      <c r="CT98">
        <f>IFERROR(INDEX(PP_Grid[#Data],$DD98,96),0)</f>
        <v/>
      </c>
      <c r="CU98">
        <f>IFERROR(INDEX(PP_Grid[#Data],$DD98,97),0)</f>
        <v/>
      </c>
      <c r="CV98">
        <f>IFERROR(INDEX(PP_Grid[#Data],$DD98,98),0)</f>
        <v/>
      </c>
      <c r="CW98">
        <f>IFERROR(INDEX(PP_Grid[#Data],$DD98,99),0)</f>
        <v/>
      </c>
      <c r="CX98">
        <f>IFERROR(INDEX(PP_Grid[#Data],$DD98,100),0)</f>
        <v/>
      </c>
      <c r="CY98">
        <f>IFERROR(INDEX(PP_Grid[#Data],$DD98,101),0)</f>
        <v/>
      </c>
      <c r="CZ98">
        <f>IFERROR(INDEX(PP_Grid[#Data],$DD98,102),0)</f>
        <v/>
      </c>
      <c r="DA98">
        <f>IFERROR(INDEX(PP_Grid[#Data],$DD98,103),0)</f>
        <v/>
      </c>
      <c r="DB98">
        <f>IFERROR(INDEX(PP_Grid[#Data],$DD98,104),0)</f>
        <v/>
      </c>
      <c r="DC98">
        <f>IFERROR(INDEX(PP_Grid[#Data],$DD98,105),0)</f>
        <v/>
      </c>
      <c r="DD98" s="7">
        <f>IFERROR(MATCH($B98,PP_Grid[Intermediate],0),99999)</f>
        <v/>
      </c>
    </row>
    <row r="99">
      <c r="B99" t="inlineStr">
        <is>
          <t>使用量(kg)</t>
        </is>
      </c>
      <c r="C99">
        <f>SUMIFS(M_BOM[RM_Qty_Per_Batch],M_BOM[Intermediate],$B98,M_BOM[Part Name],$A45)</f>
        <v/>
      </c>
      <c r="D99">
        <f>$C99*D98</f>
        <v/>
      </c>
      <c r="E99">
        <f>$C99*E98</f>
        <v/>
      </c>
      <c r="F99">
        <f>$C99*F98</f>
        <v/>
      </c>
      <c r="G99">
        <f>$C99*G98</f>
        <v/>
      </c>
      <c r="H99">
        <f>$C99*H98</f>
        <v/>
      </c>
      <c r="I99">
        <f>$C99*I98</f>
        <v/>
      </c>
      <c r="J99">
        <f>$C99*J98</f>
        <v/>
      </c>
      <c r="K99">
        <f>$C99*K98</f>
        <v/>
      </c>
      <c r="L99">
        <f>$C99*L98</f>
        <v/>
      </c>
      <c r="M99">
        <f>$C99*M98</f>
        <v/>
      </c>
      <c r="N99">
        <f>$C99*N98</f>
        <v/>
      </c>
      <c r="O99">
        <f>$C99*O98</f>
        <v/>
      </c>
      <c r="P99">
        <f>$C99*P98</f>
        <v/>
      </c>
      <c r="Q99">
        <f>$C99*Q98</f>
        <v/>
      </c>
      <c r="R99">
        <f>$C99*R98</f>
        <v/>
      </c>
      <c r="S99">
        <f>$C99*S98</f>
        <v/>
      </c>
      <c r="T99">
        <f>$C99*T98</f>
        <v/>
      </c>
      <c r="U99">
        <f>$C99*U98</f>
        <v/>
      </c>
      <c r="V99">
        <f>$C99*V98</f>
        <v/>
      </c>
      <c r="W99">
        <f>$C99*W98</f>
        <v/>
      </c>
      <c r="X99">
        <f>$C99*X98</f>
        <v/>
      </c>
      <c r="Y99">
        <f>$C99*Y98</f>
        <v/>
      </c>
      <c r="Z99">
        <f>$C99*Z98</f>
        <v/>
      </c>
      <c r="AA99">
        <f>$C99*AA98</f>
        <v/>
      </c>
      <c r="AB99">
        <f>$C99*AB98</f>
        <v/>
      </c>
      <c r="AC99">
        <f>$C99*AC98</f>
        <v/>
      </c>
      <c r="AD99">
        <f>$C99*AD98</f>
        <v/>
      </c>
      <c r="AE99">
        <f>$C99*AE98</f>
        <v/>
      </c>
      <c r="AF99">
        <f>$C99*AF98</f>
        <v/>
      </c>
      <c r="AG99">
        <f>$C99*AG98</f>
        <v/>
      </c>
      <c r="AH99">
        <f>$C99*AH98</f>
        <v/>
      </c>
      <c r="AI99">
        <f>$C99*AI98</f>
        <v/>
      </c>
      <c r="AJ99">
        <f>$C99*AJ98</f>
        <v/>
      </c>
      <c r="AK99">
        <f>$C99*AK98</f>
        <v/>
      </c>
      <c r="AL99">
        <f>$C99*AL98</f>
        <v/>
      </c>
      <c r="AM99">
        <f>$C99*AM98</f>
        <v/>
      </c>
      <c r="AN99">
        <f>$C99*AN98</f>
        <v/>
      </c>
      <c r="AO99">
        <f>$C99*AO98</f>
        <v/>
      </c>
      <c r="AP99">
        <f>$C99*AP98</f>
        <v/>
      </c>
      <c r="AQ99">
        <f>$C99*AQ98</f>
        <v/>
      </c>
      <c r="AR99">
        <f>$C99*AR98</f>
        <v/>
      </c>
      <c r="AS99">
        <f>$C99*AS98</f>
        <v/>
      </c>
      <c r="AT99">
        <f>$C99*AT98</f>
        <v/>
      </c>
      <c r="AU99">
        <f>$C99*AU98</f>
        <v/>
      </c>
      <c r="AV99">
        <f>$C99*AV98</f>
        <v/>
      </c>
      <c r="AW99">
        <f>$C99*AW98</f>
        <v/>
      </c>
      <c r="AX99">
        <f>$C99*AX98</f>
        <v/>
      </c>
      <c r="AY99">
        <f>$C99*AY98</f>
        <v/>
      </c>
      <c r="AZ99">
        <f>$C99*AZ98</f>
        <v/>
      </c>
      <c r="BA99">
        <f>$C99*BA98</f>
        <v/>
      </c>
      <c r="BB99">
        <f>$C99*BB98</f>
        <v/>
      </c>
      <c r="BC99">
        <f>$C99*BC98</f>
        <v/>
      </c>
      <c r="BD99">
        <f>$C99*BD98</f>
        <v/>
      </c>
      <c r="BE99">
        <f>$C99*BE98</f>
        <v/>
      </c>
      <c r="BF99">
        <f>$C99*BF98</f>
        <v/>
      </c>
      <c r="BG99">
        <f>$C99*BG98</f>
        <v/>
      </c>
      <c r="BH99">
        <f>$C99*BH98</f>
        <v/>
      </c>
      <c r="BI99">
        <f>$C99*BI98</f>
        <v/>
      </c>
      <c r="BJ99">
        <f>$C99*BJ98</f>
        <v/>
      </c>
      <c r="BK99">
        <f>$C99*BK98</f>
        <v/>
      </c>
      <c r="BL99">
        <f>$C99*BL98</f>
        <v/>
      </c>
      <c r="BM99">
        <f>$C99*BM98</f>
        <v/>
      </c>
      <c r="BN99">
        <f>$C99*BN98</f>
        <v/>
      </c>
      <c r="BO99">
        <f>$C99*BO98</f>
        <v/>
      </c>
      <c r="BP99">
        <f>$C99*BP98</f>
        <v/>
      </c>
      <c r="BQ99">
        <f>$C99*BQ98</f>
        <v/>
      </c>
      <c r="BR99">
        <f>$C99*BR98</f>
        <v/>
      </c>
      <c r="BS99">
        <f>$C99*BS98</f>
        <v/>
      </c>
      <c r="BT99">
        <f>$C99*BT98</f>
        <v/>
      </c>
      <c r="BU99">
        <f>$C99*BU98</f>
        <v/>
      </c>
      <c r="BV99">
        <f>$C99*BV98</f>
        <v/>
      </c>
      <c r="BW99">
        <f>$C99*BW98</f>
        <v/>
      </c>
      <c r="BX99">
        <f>$C99*BX98</f>
        <v/>
      </c>
      <c r="BY99">
        <f>$C99*BY98</f>
        <v/>
      </c>
      <c r="BZ99">
        <f>$C99*BZ98</f>
        <v/>
      </c>
      <c r="CA99">
        <f>$C99*CA98</f>
        <v/>
      </c>
      <c r="CB99">
        <f>$C99*CB98</f>
        <v/>
      </c>
      <c r="CC99">
        <f>$C99*CC98</f>
        <v/>
      </c>
      <c r="CD99">
        <f>$C99*CD98</f>
        <v/>
      </c>
      <c r="CE99">
        <f>$C99*CE98</f>
        <v/>
      </c>
      <c r="CF99">
        <f>$C99*CF98</f>
        <v/>
      </c>
      <c r="CG99">
        <f>$C99*CG98</f>
        <v/>
      </c>
      <c r="CH99">
        <f>$C99*CH98</f>
        <v/>
      </c>
      <c r="CI99">
        <f>$C99*CI98</f>
        <v/>
      </c>
      <c r="CJ99">
        <f>$C99*CJ98</f>
        <v/>
      </c>
      <c r="CK99">
        <f>$C99*CK98</f>
        <v/>
      </c>
      <c r="CL99">
        <f>$C99*CL98</f>
        <v/>
      </c>
      <c r="CM99">
        <f>$C99*CM98</f>
        <v/>
      </c>
      <c r="CN99">
        <f>$C99*CN98</f>
        <v/>
      </c>
      <c r="CO99">
        <f>$C99*CO98</f>
        <v/>
      </c>
      <c r="CP99">
        <f>$C99*CP98</f>
        <v/>
      </c>
      <c r="CQ99">
        <f>$C99*CQ98</f>
        <v/>
      </c>
      <c r="CR99">
        <f>$C99*CR98</f>
        <v/>
      </c>
      <c r="CS99">
        <f>$C99*CS98</f>
        <v/>
      </c>
      <c r="CT99">
        <f>$C99*CT98</f>
        <v/>
      </c>
      <c r="CU99">
        <f>$C99*CU98</f>
        <v/>
      </c>
      <c r="CV99">
        <f>$C99*CV98</f>
        <v/>
      </c>
      <c r="CW99">
        <f>$C99*CW98</f>
        <v/>
      </c>
      <c r="CX99">
        <f>$C99*CX98</f>
        <v/>
      </c>
      <c r="CY99">
        <f>$C99*CY98</f>
        <v/>
      </c>
      <c r="CZ99">
        <f>$C99*CZ98</f>
        <v/>
      </c>
      <c r="DA99">
        <f>$C99*DA98</f>
        <v/>
      </c>
      <c r="DB99">
        <f>$C99*DB98</f>
        <v/>
      </c>
      <c r="DC99">
        <f>$C99*DC98</f>
        <v/>
      </c>
    </row>
    <row r="100">
      <c r="B100" t="inlineStr">
        <is>
          <t>TSP-558</t>
        </is>
      </c>
      <c r="C100" t="inlineStr">
        <is>
          <t>No. of batches</t>
        </is>
      </c>
      <c r="D100">
        <f>IFERROR(INDEX(PP_Grid[#Data],$DD100,2),0)</f>
        <v/>
      </c>
      <c r="E100">
        <f>IFERROR(INDEX(PP_Grid[#Data],$DD100,3),0)</f>
        <v/>
      </c>
      <c r="F100">
        <f>IFERROR(INDEX(PP_Grid[#Data],$DD100,4),0)</f>
        <v/>
      </c>
      <c r="G100">
        <f>IFERROR(INDEX(PP_Grid[#Data],$DD100,5),0)</f>
        <v/>
      </c>
      <c r="H100">
        <f>IFERROR(INDEX(PP_Grid[#Data],$DD100,6),0)</f>
        <v/>
      </c>
      <c r="I100">
        <f>IFERROR(INDEX(PP_Grid[#Data],$DD100,7),0)</f>
        <v/>
      </c>
      <c r="J100">
        <f>IFERROR(INDEX(PP_Grid[#Data],$DD100,8),0)</f>
        <v/>
      </c>
      <c r="K100">
        <f>IFERROR(INDEX(PP_Grid[#Data],$DD100,9),0)</f>
        <v/>
      </c>
      <c r="L100">
        <f>IFERROR(INDEX(PP_Grid[#Data],$DD100,10),0)</f>
        <v/>
      </c>
      <c r="M100">
        <f>IFERROR(INDEX(PP_Grid[#Data],$DD100,11),0)</f>
        <v/>
      </c>
      <c r="N100">
        <f>IFERROR(INDEX(PP_Grid[#Data],$DD100,12),0)</f>
        <v/>
      </c>
      <c r="O100">
        <f>IFERROR(INDEX(PP_Grid[#Data],$DD100,13),0)</f>
        <v/>
      </c>
      <c r="P100">
        <f>IFERROR(INDEX(PP_Grid[#Data],$DD100,14),0)</f>
        <v/>
      </c>
      <c r="Q100">
        <f>IFERROR(INDEX(PP_Grid[#Data],$DD100,15),0)</f>
        <v/>
      </c>
      <c r="R100">
        <f>IFERROR(INDEX(PP_Grid[#Data],$DD100,16),0)</f>
        <v/>
      </c>
      <c r="S100">
        <f>IFERROR(INDEX(PP_Grid[#Data],$DD100,17),0)</f>
        <v/>
      </c>
      <c r="T100">
        <f>IFERROR(INDEX(PP_Grid[#Data],$DD100,18),0)</f>
        <v/>
      </c>
      <c r="U100">
        <f>IFERROR(INDEX(PP_Grid[#Data],$DD100,19),0)</f>
        <v/>
      </c>
      <c r="V100">
        <f>IFERROR(INDEX(PP_Grid[#Data],$DD100,20),0)</f>
        <v/>
      </c>
      <c r="W100">
        <f>IFERROR(INDEX(PP_Grid[#Data],$DD100,21),0)</f>
        <v/>
      </c>
      <c r="X100">
        <f>IFERROR(INDEX(PP_Grid[#Data],$DD100,22),0)</f>
        <v/>
      </c>
      <c r="Y100">
        <f>IFERROR(INDEX(PP_Grid[#Data],$DD100,23),0)</f>
        <v/>
      </c>
      <c r="Z100">
        <f>IFERROR(INDEX(PP_Grid[#Data],$DD100,24),0)</f>
        <v/>
      </c>
      <c r="AA100">
        <f>IFERROR(INDEX(PP_Grid[#Data],$DD100,25),0)</f>
        <v/>
      </c>
      <c r="AB100">
        <f>IFERROR(INDEX(PP_Grid[#Data],$DD100,26),0)</f>
        <v/>
      </c>
      <c r="AC100">
        <f>IFERROR(INDEX(PP_Grid[#Data],$DD100,27),0)</f>
        <v/>
      </c>
      <c r="AD100">
        <f>IFERROR(INDEX(PP_Grid[#Data],$DD100,28),0)</f>
        <v/>
      </c>
      <c r="AE100">
        <f>IFERROR(INDEX(PP_Grid[#Data],$DD100,29),0)</f>
        <v/>
      </c>
      <c r="AF100">
        <f>IFERROR(INDEX(PP_Grid[#Data],$DD100,30),0)</f>
        <v/>
      </c>
      <c r="AG100">
        <f>IFERROR(INDEX(PP_Grid[#Data],$DD100,31),0)</f>
        <v/>
      </c>
      <c r="AH100">
        <f>IFERROR(INDEX(PP_Grid[#Data],$DD100,32),0)</f>
        <v/>
      </c>
      <c r="AI100">
        <f>IFERROR(INDEX(PP_Grid[#Data],$DD100,33),0)</f>
        <v/>
      </c>
      <c r="AJ100">
        <f>IFERROR(INDEX(PP_Grid[#Data],$DD100,34),0)</f>
        <v/>
      </c>
      <c r="AK100">
        <f>IFERROR(INDEX(PP_Grid[#Data],$DD100,35),0)</f>
        <v/>
      </c>
      <c r="AL100">
        <f>IFERROR(INDEX(PP_Grid[#Data],$DD100,36),0)</f>
        <v/>
      </c>
      <c r="AM100">
        <f>IFERROR(INDEX(PP_Grid[#Data],$DD100,37),0)</f>
        <v/>
      </c>
      <c r="AN100">
        <f>IFERROR(INDEX(PP_Grid[#Data],$DD100,38),0)</f>
        <v/>
      </c>
      <c r="AO100">
        <f>IFERROR(INDEX(PP_Grid[#Data],$DD100,39),0)</f>
        <v/>
      </c>
      <c r="AP100">
        <f>IFERROR(INDEX(PP_Grid[#Data],$DD100,40),0)</f>
        <v/>
      </c>
      <c r="AQ100">
        <f>IFERROR(INDEX(PP_Grid[#Data],$DD100,41),0)</f>
        <v/>
      </c>
      <c r="AR100">
        <f>IFERROR(INDEX(PP_Grid[#Data],$DD100,42),0)</f>
        <v/>
      </c>
      <c r="AS100">
        <f>IFERROR(INDEX(PP_Grid[#Data],$DD100,43),0)</f>
        <v/>
      </c>
      <c r="AT100">
        <f>IFERROR(INDEX(PP_Grid[#Data],$DD100,44),0)</f>
        <v/>
      </c>
      <c r="AU100">
        <f>IFERROR(INDEX(PP_Grid[#Data],$DD100,45),0)</f>
        <v/>
      </c>
      <c r="AV100">
        <f>IFERROR(INDEX(PP_Grid[#Data],$DD100,46),0)</f>
        <v/>
      </c>
      <c r="AW100">
        <f>IFERROR(INDEX(PP_Grid[#Data],$DD100,47),0)</f>
        <v/>
      </c>
      <c r="AX100">
        <f>IFERROR(INDEX(PP_Grid[#Data],$DD100,48),0)</f>
        <v/>
      </c>
      <c r="AY100">
        <f>IFERROR(INDEX(PP_Grid[#Data],$DD100,49),0)</f>
        <v/>
      </c>
      <c r="AZ100">
        <f>IFERROR(INDEX(PP_Grid[#Data],$DD100,50),0)</f>
        <v/>
      </c>
      <c r="BA100">
        <f>IFERROR(INDEX(PP_Grid[#Data],$DD100,51),0)</f>
        <v/>
      </c>
      <c r="BB100">
        <f>IFERROR(INDEX(PP_Grid[#Data],$DD100,52),0)</f>
        <v/>
      </c>
      <c r="BC100">
        <f>IFERROR(INDEX(PP_Grid[#Data],$DD100,53),0)</f>
        <v/>
      </c>
      <c r="BD100">
        <f>IFERROR(INDEX(PP_Grid[#Data],$DD100,54),0)</f>
        <v/>
      </c>
      <c r="BE100">
        <f>IFERROR(INDEX(PP_Grid[#Data],$DD100,55),0)</f>
        <v/>
      </c>
      <c r="BF100">
        <f>IFERROR(INDEX(PP_Grid[#Data],$DD100,56),0)</f>
        <v/>
      </c>
      <c r="BG100">
        <f>IFERROR(INDEX(PP_Grid[#Data],$DD100,57),0)</f>
        <v/>
      </c>
      <c r="BH100">
        <f>IFERROR(INDEX(PP_Grid[#Data],$DD100,58),0)</f>
        <v/>
      </c>
      <c r="BI100">
        <f>IFERROR(INDEX(PP_Grid[#Data],$DD100,59),0)</f>
        <v/>
      </c>
      <c r="BJ100">
        <f>IFERROR(INDEX(PP_Grid[#Data],$DD100,60),0)</f>
        <v/>
      </c>
      <c r="BK100">
        <f>IFERROR(INDEX(PP_Grid[#Data],$DD100,61),0)</f>
        <v/>
      </c>
      <c r="BL100">
        <f>IFERROR(INDEX(PP_Grid[#Data],$DD100,62),0)</f>
        <v/>
      </c>
      <c r="BM100">
        <f>IFERROR(INDEX(PP_Grid[#Data],$DD100,63),0)</f>
        <v/>
      </c>
      <c r="BN100">
        <f>IFERROR(INDEX(PP_Grid[#Data],$DD100,64),0)</f>
        <v/>
      </c>
      <c r="BO100">
        <f>IFERROR(INDEX(PP_Grid[#Data],$DD100,65),0)</f>
        <v/>
      </c>
      <c r="BP100">
        <f>IFERROR(INDEX(PP_Grid[#Data],$DD100,66),0)</f>
        <v/>
      </c>
      <c r="BQ100">
        <f>IFERROR(INDEX(PP_Grid[#Data],$DD100,67),0)</f>
        <v/>
      </c>
      <c r="BR100">
        <f>IFERROR(INDEX(PP_Grid[#Data],$DD100,68),0)</f>
        <v/>
      </c>
      <c r="BS100">
        <f>IFERROR(INDEX(PP_Grid[#Data],$DD100,69),0)</f>
        <v/>
      </c>
      <c r="BT100">
        <f>IFERROR(INDEX(PP_Grid[#Data],$DD100,70),0)</f>
        <v/>
      </c>
      <c r="BU100">
        <f>IFERROR(INDEX(PP_Grid[#Data],$DD100,71),0)</f>
        <v/>
      </c>
      <c r="BV100">
        <f>IFERROR(INDEX(PP_Grid[#Data],$DD100,72),0)</f>
        <v/>
      </c>
      <c r="BW100">
        <f>IFERROR(INDEX(PP_Grid[#Data],$DD100,73),0)</f>
        <v/>
      </c>
      <c r="BX100">
        <f>IFERROR(INDEX(PP_Grid[#Data],$DD100,74),0)</f>
        <v/>
      </c>
      <c r="BY100">
        <f>IFERROR(INDEX(PP_Grid[#Data],$DD100,75),0)</f>
        <v/>
      </c>
      <c r="BZ100">
        <f>IFERROR(INDEX(PP_Grid[#Data],$DD100,76),0)</f>
        <v/>
      </c>
      <c r="CA100">
        <f>IFERROR(INDEX(PP_Grid[#Data],$DD100,77),0)</f>
        <v/>
      </c>
      <c r="CB100">
        <f>IFERROR(INDEX(PP_Grid[#Data],$DD100,78),0)</f>
        <v/>
      </c>
      <c r="CC100">
        <f>IFERROR(INDEX(PP_Grid[#Data],$DD100,79),0)</f>
        <v/>
      </c>
      <c r="CD100">
        <f>IFERROR(INDEX(PP_Grid[#Data],$DD100,80),0)</f>
        <v/>
      </c>
      <c r="CE100">
        <f>IFERROR(INDEX(PP_Grid[#Data],$DD100,81),0)</f>
        <v/>
      </c>
      <c r="CF100">
        <f>IFERROR(INDEX(PP_Grid[#Data],$DD100,82),0)</f>
        <v/>
      </c>
      <c r="CG100">
        <f>IFERROR(INDEX(PP_Grid[#Data],$DD100,83),0)</f>
        <v/>
      </c>
      <c r="CH100">
        <f>IFERROR(INDEX(PP_Grid[#Data],$DD100,84),0)</f>
        <v/>
      </c>
      <c r="CI100">
        <f>IFERROR(INDEX(PP_Grid[#Data],$DD100,85),0)</f>
        <v/>
      </c>
      <c r="CJ100">
        <f>IFERROR(INDEX(PP_Grid[#Data],$DD100,86),0)</f>
        <v/>
      </c>
      <c r="CK100">
        <f>IFERROR(INDEX(PP_Grid[#Data],$DD100,87),0)</f>
        <v/>
      </c>
      <c r="CL100">
        <f>IFERROR(INDEX(PP_Grid[#Data],$DD100,88),0)</f>
        <v/>
      </c>
      <c r="CM100">
        <f>IFERROR(INDEX(PP_Grid[#Data],$DD100,89),0)</f>
        <v/>
      </c>
      <c r="CN100">
        <f>IFERROR(INDEX(PP_Grid[#Data],$DD100,90),0)</f>
        <v/>
      </c>
      <c r="CO100">
        <f>IFERROR(INDEX(PP_Grid[#Data],$DD100,91),0)</f>
        <v/>
      </c>
      <c r="CP100">
        <f>IFERROR(INDEX(PP_Grid[#Data],$DD100,92),0)</f>
        <v/>
      </c>
      <c r="CQ100">
        <f>IFERROR(INDEX(PP_Grid[#Data],$DD100,93),0)</f>
        <v/>
      </c>
      <c r="CR100">
        <f>IFERROR(INDEX(PP_Grid[#Data],$DD100,94),0)</f>
        <v/>
      </c>
      <c r="CS100">
        <f>IFERROR(INDEX(PP_Grid[#Data],$DD100,95),0)</f>
        <v/>
      </c>
      <c r="CT100">
        <f>IFERROR(INDEX(PP_Grid[#Data],$DD100,96),0)</f>
        <v/>
      </c>
      <c r="CU100">
        <f>IFERROR(INDEX(PP_Grid[#Data],$DD100,97),0)</f>
        <v/>
      </c>
      <c r="CV100">
        <f>IFERROR(INDEX(PP_Grid[#Data],$DD100,98),0)</f>
        <v/>
      </c>
      <c r="CW100">
        <f>IFERROR(INDEX(PP_Grid[#Data],$DD100,99),0)</f>
        <v/>
      </c>
      <c r="CX100">
        <f>IFERROR(INDEX(PP_Grid[#Data],$DD100,100),0)</f>
        <v/>
      </c>
      <c r="CY100">
        <f>IFERROR(INDEX(PP_Grid[#Data],$DD100,101),0)</f>
        <v/>
      </c>
      <c r="CZ100">
        <f>IFERROR(INDEX(PP_Grid[#Data],$DD100,102),0)</f>
        <v/>
      </c>
      <c r="DA100">
        <f>IFERROR(INDEX(PP_Grid[#Data],$DD100,103),0)</f>
        <v/>
      </c>
      <c r="DB100">
        <f>IFERROR(INDEX(PP_Grid[#Data],$DD100,104),0)</f>
        <v/>
      </c>
      <c r="DC100">
        <f>IFERROR(INDEX(PP_Grid[#Data],$DD100,105),0)</f>
        <v/>
      </c>
      <c r="DD100" s="7">
        <f>IFERROR(MATCH($B100,PP_Grid[Intermediate],0),99999)</f>
        <v/>
      </c>
    </row>
    <row r="101">
      <c r="B101" t="inlineStr">
        <is>
          <t>使用量(kg)</t>
        </is>
      </c>
      <c r="C101">
        <f>SUMIFS(M_BOM[RM_Qty_Per_Batch],M_BOM[Intermediate],$B100,M_BOM[Part Name],$A45)</f>
        <v/>
      </c>
      <c r="D101">
        <f>$C101*D100</f>
        <v/>
      </c>
      <c r="E101">
        <f>$C101*E100</f>
        <v/>
      </c>
      <c r="F101">
        <f>$C101*F100</f>
        <v/>
      </c>
      <c r="G101">
        <f>$C101*G100</f>
        <v/>
      </c>
      <c r="H101">
        <f>$C101*H100</f>
        <v/>
      </c>
      <c r="I101">
        <f>$C101*I100</f>
        <v/>
      </c>
      <c r="J101">
        <f>$C101*J100</f>
        <v/>
      </c>
      <c r="K101">
        <f>$C101*K100</f>
        <v/>
      </c>
      <c r="L101">
        <f>$C101*L100</f>
        <v/>
      </c>
      <c r="M101">
        <f>$C101*M100</f>
        <v/>
      </c>
      <c r="N101">
        <f>$C101*N100</f>
        <v/>
      </c>
      <c r="O101">
        <f>$C101*O100</f>
        <v/>
      </c>
      <c r="P101">
        <f>$C101*P100</f>
        <v/>
      </c>
      <c r="Q101">
        <f>$C101*Q100</f>
        <v/>
      </c>
      <c r="R101">
        <f>$C101*R100</f>
        <v/>
      </c>
      <c r="S101">
        <f>$C101*S100</f>
        <v/>
      </c>
      <c r="T101">
        <f>$C101*T100</f>
        <v/>
      </c>
      <c r="U101">
        <f>$C101*U100</f>
        <v/>
      </c>
      <c r="V101">
        <f>$C101*V100</f>
        <v/>
      </c>
      <c r="W101">
        <f>$C101*W100</f>
        <v/>
      </c>
      <c r="X101">
        <f>$C101*X100</f>
        <v/>
      </c>
      <c r="Y101">
        <f>$C101*Y100</f>
        <v/>
      </c>
      <c r="Z101">
        <f>$C101*Z100</f>
        <v/>
      </c>
      <c r="AA101">
        <f>$C101*AA100</f>
        <v/>
      </c>
      <c r="AB101">
        <f>$C101*AB100</f>
        <v/>
      </c>
      <c r="AC101">
        <f>$C101*AC100</f>
        <v/>
      </c>
      <c r="AD101">
        <f>$C101*AD100</f>
        <v/>
      </c>
      <c r="AE101">
        <f>$C101*AE100</f>
        <v/>
      </c>
      <c r="AF101">
        <f>$C101*AF100</f>
        <v/>
      </c>
      <c r="AG101">
        <f>$C101*AG100</f>
        <v/>
      </c>
      <c r="AH101">
        <f>$C101*AH100</f>
        <v/>
      </c>
      <c r="AI101">
        <f>$C101*AI100</f>
        <v/>
      </c>
      <c r="AJ101">
        <f>$C101*AJ100</f>
        <v/>
      </c>
      <c r="AK101">
        <f>$C101*AK100</f>
        <v/>
      </c>
      <c r="AL101">
        <f>$C101*AL100</f>
        <v/>
      </c>
      <c r="AM101">
        <f>$C101*AM100</f>
        <v/>
      </c>
      <c r="AN101">
        <f>$C101*AN100</f>
        <v/>
      </c>
      <c r="AO101">
        <f>$C101*AO100</f>
        <v/>
      </c>
      <c r="AP101">
        <f>$C101*AP100</f>
        <v/>
      </c>
      <c r="AQ101">
        <f>$C101*AQ100</f>
        <v/>
      </c>
      <c r="AR101">
        <f>$C101*AR100</f>
        <v/>
      </c>
      <c r="AS101">
        <f>$C101*AS100</f>
        <v/>
      </c>
      <c r="AT101">
        <f>$C101*AT100</f>
        <v/>
      </c>
      <c r="AU101">
        <f>$C101*AU100</f>
        <v/>
      </c>
      <c r="AV101">
        <f>$C101*AV100</f>
        <v/>
      </c>
      <c r="AW101">
        <f>$C101*AW100</f>
        <v/>
      </c>
      <c r="AX101">
        <f>$C101*AX100</f>
        <v/>
      </c>
      <c r="AY101">
        <f>$C101*AY100</f>
        <v/>
      </c>
      <c r="AZ101">
        <f>$C101*AZ100</f>
        <v/>
      </c>
      <c r="BA101">
        <f>$C101*BA100</f>
        <v/>
      </c>
      <c r="BB101">
        <f>$C101*BB100</f>
        <v/>
      </c>
      <c r="BC101">
        <f>$C101*BC100</f>
        <v/>
      </c>
      <c r="BD101">
        <f>$C101*BD100</f>
        <v/>
      </c>
      <c r="BE101">
        <f>$C101*BE100</f>
        <v/>
      </c>
      <c r="BF101">
        <f>$C101*BF100</f>
        <v/>
      </c>
      <c r="BG101">
        <f>$C101*BG100</f>
        <v/>
      </c>
      <c r="BH101">
        <f>$C101*BH100</f>
        <v/>
      </c>
      <c r="BI101">
        <f>$C101*BI100</f>
        <v/>
      </c>
      <c r="BJ101">
        <f>$C101*BJ100</f>
        <v/>
      </c>
      <c r="BK101">
        <f>$C101*BK100</f>
        <v/>
      </c>
      <c r="BL101">
        <f>$C101*BL100</f>
        <v/>
      </c>
      <c r="BM101">
        <f>$C101*BM100</f>
        <v/>
      </c>
      <c r="BN101">
        <f>$C101*BN100</f>
        <v/>
      </c>
      <c r="BO101">
        <f>$C101*BO100</f>
        <v/>
      </c>
      <c r="BP101">
        <f>$C101*BP100</f>
        <v/>
      </c>
      <c r="BQ101">
        <f>$C101*BQ100</f>
        <v/>
      </c>
      <c r="BR101">
        <f>$C101*BR100</f>
        <v/>
      </c>
      <c r="BS101">
        <f>$C101*BS100</f>
        <v/>
      </c>
      <c r="BT101">
        <f>$C101*BT100</f>
        <v/>
      </c>
      <c r="BU101">
        <f>$C101*BU100</f>
        <v/>
      </c>
      <c r="BV101">
        <f>$C101*BV100</f>
        <v/>
      </c>
      <c r="BW101">
        <f>$C101*BW100</f>
        <v/>
      </c>
      <c r="BX101">
        <f>$C101*BX100</f>
        <v/>
      </c>
      <c r="BY101">
        <f>$C101*BY100</f>
        <v/>
      </c>
      <c r="BZ101">
        <f>$C101*BZ100</f>
        <v/>
      </c>
      <c r="CA101">
        <f>$C101*CA100</f>
        <v/>
      </c>
      <c r="CB101">
        <f>$C101*CB100</f>
        <v/>
      </c>
      <c r="CC101">
        <f>$C101*CC100</f>
        <v/>
      </c>
      <c r="CD101">
        <f>$C101*CD100</f>
        <v/>
      </c>
      <c r="CE101">
        <f>$C101*CE100</f>
        <v/>
      </c>
      <c r="CF101">
        <f>$C101*CF100</f>
        <v/>
      </c>
      <c r="CG101">
        <f>$C101*CG100</f>
        <v/>
      </c>
      <c r="CH101">
        <f>$C101*CH100</f>
        <v/>
      </c>
      <c r="CI101">
        <f>$C101*CI100</f>
        <v/>
      </c>
      <c r="CJ101">
        <f>$C101*CJ100</f>
        <v/>
      </c>
      <c r="CK101">
        <f>$C101*CK100</f>
        <v/>
      </c>
      <c r="CL101">
        <f>$C101*CL100</f>
        <v/>
      </c>
      <c r="CM101">
        <f>$C101*CM100</f>
        <v/>
      </c>
      <c r="CN101">
        <f>$C101*CN100</f>
        <v/>
      </c>
      <c r="CO101">
        <f>$C101*CO100</f>
        <v/>
      </c>
      <c r="CP101">
        <f>$C101*CP100</f>
        <v/>
      </c>
      <c r="CQ101">
        <f>$C101*CQ100</f>
        <v/>
      </c>
      <c r="CR101">
        <f>$C101*CR100</f>
        <v/>
      </c>
      <c r="CS101">
        <f>$C101*CS100</f>
        <v/>
      </c>
      <c r="CT101">
        <f>$C101*CT100</f>
        <v/>
      </c>
      <c r="CU101">
        <f>$C101*CU100</f>
        <v/>
      </c>
      <c r="CV101">
        <f>$C101*CV100</f>
        <v/>
      </c>
      <c r="CW101">
        <f>$C101*CW100</f>
        <v/>
      </c>
      <c r="CX101">
        <f>$C101*CX100</f>
        <v/>
      </c>
      <c r="CY101">
        <f>$C101*CY100</f>
        <v/>
      </c>
      <c r="CZ101">
        <f>$C101*CZ100</f>
        <v/>
      </c>
      <c r="DA101">
        <f>$C101*DA100</f>
        <v/>
      </c>
      <c r="DB101">
        <f>$C101*DB100</f>
        <v/>
      </c>
      <c r="DC101">
        <f>$C101*DC100</f>
        <v/>
      </c>
    </row>
    <row r="102">
      <c r="B102" t="inlineStr">
        <is>
          <t>TSP-618</t>
        </is>
      </c>
      <c r="C102" t="inlineStr">
        <is>
          <t>No. of batches</t>
        </is>
      </c>
      <c r="D102">
        <f>IFERROR(INDEX(PP_Grid[#Data],$DD102,2),0)</f>
        <v/>
      </c>
      <c r="E102">
        <f>IFERROR(INDEX(PP_Grid[#Data],$DD102,3),0)</f>
        <v/>
      </c>
      <c r="F102">
        <f>IFERROR(INDEX(PP_Grid[#Data],$DD102,4),0)</f>
        <v/>
      </c>
      <c r="G102">
        <f>IFERROR(INDEX(PP_Grid[#Data],$DD102,5),0)</f>
        <v/>
      </c>
      <c r="H102">
        <f>IFERROR(INDEX(PP_Grid[#Data],$DD102,6),0)</f>
        <v/>
      </c>
      <c r="I102">
        <f>IFERROR(INDEX(PP_Grid[#Data],$DD102,7),0)</f>
        <v/>
      </c>
      <c r="J102">
        <f>IFERROR(INDEX(PP_Grid[#Data],$DD102,8),0)</f>
        <v/>
      </c>
      <c r="K102">
        <f>IFERROR(INDEX(PP_Grid[#Data],$DD102,9),0)</f>
        <v/>
      </c>
      <c r="L102">
        <f>IFERROR(INDEX(PP_Grid[#Data],$DD102,10),0)</f>
        <v/>
      </c>
      <c r="M102">
        <f>IFERROR(INDEX(PP_Grid[#Data],$DD102,11),0)</f>
        <v/>
      </c>
      <c r="N102">
        <f>IFERROR(INDEX(PP_Grid[#Data],$DD102,12),0)</f>
        <v/>
      </c>
      <c r="O102">
        <f>IFERROR(INDEX(PP_Grid[#Data],$DD102,13),0)</f>
        <v/>
      </c>
      <c r="P102">
        <f>IFERROR(INDEX(PP_Grid[#Data],$DD102,14),0)</f>
        <v/>
      </c>
      <c r="Q102">
        <f>IFERROR(INDEX(PP_Grid[#Data],$DD102,15),0)</f>
        <v/>
      </c>
      <c r="R102">
        <f>IFERROR(INDEX(PP_Grid[#Data],$DD102,16),0)</f>
        <v/>
      </c>
      <c r="S102">
        <f>IFERROR(INDEX(PP_Grid[#Data],$DD102,17),0)</f>
        <v/>
      </c>
      <c r="T102">
        <f>IFERROR(INDEX(PP_Grid[#Data],$DD102,18),0)</f>
        <v/>
      </c>
      <c r="U102">
        <f>IFERROR(INDEX(PP_Grid[#Data],$DD102,19),0)</f>
        <v/>
      </c>
      <c r="V102">
        <f>IFERROR(INDEX(PP_Grid[#Data],$DD102,20),0)</f>
        <v/>
      </c>
      <c r="W102">
        <f>IFERROR(INDEX(PP_Grid[#Data],$DD102,21),0)</f>
        <v/>
      </c>
      <c r="X102">
        <f>IFERROR(INDEX(PP_Grid[#Data],$DD102,22),0)</f>
        <v/>
      </c>
      <c r="Y102">
        <f>IFERROR(INDEX(PP_Grid[#Data],$DD102,23),0)</f>
        <v/>
      </c>
      <c r="Z102">
        <f>IFERROR(INDEX(PP_Grid[#Data],$DD102,24),0)</f>
        <v/>
      </c>
      <c r="AA102">
        <f>IFERROR(INDEX(PP_Grid[#Data],$DD102,25),0)</f>
        <v/>
      </c>
      <c r="AB102">
        <f>IFERROR(INDEX(PP_Grid[#Data],$DD102,26),0)</f>
        <v/>
      </c>
      <c r="AC102">
        <f>IFERROR(INDEX(PP_Grid[#Data],$DD102,27),0)</f>
        <v/>
      </c>
      <c r="AD102">
        <f>IFERROR(INDEX(PP_Grid[#Data],$DD102,28),0)</f>
        <v/>
      </c>
      <c r="AE102">
        <f>IFERROR(INDEX(PP_Grid[#Data],$DD102,29),0)</f>
        <v/>
      </c>
      <c r="AF102">
        <f>IFERROR(INDEX(PP_Grid[#Data],$DD102,30),0)</f>
        <v/>
      </c>
      <c r="AG102">
        <f>IFERROR(INDEX(PP_Grid[#Data],$DD102,31),0)</f>
        <v/>
      </c>
      <c r="AH102">
        <f>IFERROR(INDEX(PP_Grid[#Data],$DD102,32),0)</f>
        <v/>
      </c>
      <c r="AI102">
        <f>IFERROR(INDEX(PP_Grid[#Data],$DD102,33),0)</f>
        <v/>
      </c>
      <c r="AJ102">
        <f>IFERROR(INDEX(PP_Grid[#Data],$DD102,34),0)</f>
        <v/>
      </c>
      <c r="AK102">
        <f>IFERROR(INDEX(PP_Grid[#Data],$DD102,35),0)</f>
        <v/>
      </c>
      <c r="AL102">
        <f>IFERROR(INDEX(PP_Grid[#Data],$DD102,36),0)</f>
        <v/>
      </c>
      <c r="AM102">
        <f>IFERROR(INDEX(PP_Grid[#Data],$DD102,37),0)</f>
        <v/>
      </c>
      <c r="AN102">
        <f>IFERROR(INDEX(PP_Grid[#Data],$DD102,38),0)</f>
        <v/>
      </c>
      <c r="AO102">
        <f>IFERROR(INDEX(PP_Grid[#Data],$DD102,39),0)</f>
        <v/>
      </c>
      <c r="AP102">
        <f>IFERROR(INDEX(PP_Grid[#Data],$DD102,40),0)</f>
        <v/>
      </c>
      <c r="AQ102">
        <f>IFERROR(INDEX(PP_Grid[#Data],$DD102,41),0)</f>
        <v/>
      </c>
      <c r="AR102">
        <f>IFERROR(INDEX(PP_Grid[#Data],$DD102,42),0)</f>
        <v/>
      </c>
      <c r="AS102">
        <f>IFERROR(INDEX(PP_Grid[#Data],$DD102,43),0)</f>
        <v/>
      </c>
      <c r="AT102">
        <f>IFERROR(INDEX(PP_Grid[#Data],$DD102,44),0)</f>
        <v/>
      </c>
      <c r="AU102">
        <f>IFERROR(INDEX(PP_Grid[#Data],$DD102,45),0)</f>
        <v/>
      </c>
      <c r="AV102">
        <f>IFERROR(INDEX(PP_Grid[#Data],$DD102,46),0)</f>
        <v/>
      </c>
      <c r="AW102">
        <f>IFERROR(INDEX(PP_Grid[#Data],$DD102,47),0)</f>
        <v/>
      </c>
      <c r="AX102">
        <f>IFERROR(INDEX(PP_Grid[#Data],$DD102,48),0)</f>
        <v/>
      </c>
      <c r="AY102">
        <f>IFERROR(INDEX(PP_Grid[#Data],$DD102,49),0)</f>
        <v/>
      </c>
      <c r="AZ102">
        <f>IFERROR(INDEX(PP_Grid[#Data],$DD102,50),0)</f>
        <v/>
      </c>
      <c r="BA102">
        <f>IFERROR(INDEX(PP_Grid[#Data],$DD102,51),0)</f>
        <v/>
      </c>
      <c r="BB102">
        <f>IFERROR(INDEX(PP_Grid[#Data],$DD102,52),0)</f>
        <v/>
      </c>
      <c r="BC102">
        <f>IFERROR(INDEX(PP_Grid[#Data],$DD102,53),0)</f>
        <v/>
      </c>
      <c r="BD102">
        <f>IFERROR(INDEX(PP_Grid[#Data],$DD102,54),0)</f>
        <v/>
      </c>
      <c r="BE102">
        <f>IFERROR(INDEX(PP_Grid[#Data],$DD102,55),0)</f>
        <v/>
      </c>
      <c r="BF102">
        <f>IFERROR(INDEX(PP_Grid[#Data],$DD102,56),0)</f>
        <v/>
      </c>
      <c r="BG102">
        <f>IFERROR(INDEX(PP_Grid[#Data],$DD102,57),0)</f>
        <v/>
      </c>
      <c r="BH102">
        <f>IFERROR(INDEX(PP_Grid[#Data],$DD102,58),0)</f>
        <v/>
      </c>
      <c r="BI102">
        <f>IFERROR(INDEX(PP_Grid[#Data],$DD102,59),0)</f>
        <v/>
      </c>
      <c r="BJ102">
        <f>IFERROR(INDEX(PP_Grid[#Data],$DD102,60),0)</f>
        <v/>
      </c>
      <c r="BK102">
        <f>IFERROR(INDEX(PP_Grid[#Data],$DD102,61),0)</f>
        <v/>
      </c>
      <c r="BL102">
        <f>IFERROR(INDEX(PP_Grid[#Data],$DD102,62),0)</f>
        <v/>
      </c>
      <c r="BM102">
        <f>IFERROR(INDEX(PP_Grid[#Data],$DD102,63),0)</f>
        <v/>
      </c>
      <c r="BN102">
        <f>IFERROR(INDEX(PP_Grid[#Data],$DD102,64),0)</f>
        <v/>
      </c>
      <c r="BO102">
        <f>IFERROR(INDEX(PP_Grid[#Data],$DD102,65),0)</f>
        <v/>
      </c>
      <c r="BP102">
        <f>IFERROR(INDEX(PP_Grid[#Data],$DD102,66),0)</f>
        <v/>
      </c>
      <c r="BQ102">
        <f>IFERROR(INDEX(PP_Grid[#Data],$DD102,67),0)</f>
        <v/>
      </c>
      <c r="BR102">
        <f>IFERROR(INDEX(PP_Grid[#Data],$DD102,68),0)</f>
        <v/>
      </c>
      <c r="BS102">
        <f>IFERROR(INDEX(PP_Grid[#Data],$DD102,69),0)</f>
        <v/>
      </c>
      <c r="BT102">
        <f>IFERROR(INDEX(PP_Grid[#Data],$DD102,70),0)</f>
        <v/>
      </c>
      <c r="BU102">
        <f>IFERROR(INDEX(PP_Grid[#Data],$DD102,71),0)</f>
        <v/>
      </c>
      <c r="BV102">
        <f>IFERROR(INDEX(PP_Grid[#Data],$DD102,72),0)</f>
        <v/>
      </c>
      <c r="BW102">
        <f>IFERROR(INDEX(PP_Grid[#Data],$DD102,73),0)</f>
        <v/>
      </c>
      <c r="BX102">
        <f>IFERROR(INDEX(PP_Grid[#Data],$DD102,74),0)</f>
        <v/>
      </c>
      <c r="BY102">
        <f>IFERROR(INDEX(PP_Grid[#Data],$DD102,75),0)</f>
        <v/>
      </c>
      <c r="BZ102">
        <f>IFERROR(INDEX(PP_Grid[#Data],$DD102,76),0)</f>
        <v/>
      </c>
      <c r="CA102">
        <f>IFERROR(INDEX(PP_Grid[#Data],$DD102,77),0)</f>
        <v/>
      </c>
      <c r="CB102">
        <f>IFERROR(INDEX(PP_Grid[#Data],$DD102,78),0)</f>
        <v/>
      </c>
      <c r="CC102">
        <f>IFERROR(INDEX(PP_Grid[#Data],$DD102,79),0)</f>
        <v/>
      </c>
      <c r="CD102">
        <f>IFERROR(INDEX(PP_Grid[#Data],$DD102,80),0)</f>
        <v/>
      </c>
      <c r="CE102">
        <f>IFERROR(INDEX(PP_Grid[#Data],$DD102,81),0)</f>
        <v/>
      </c>
      <c r="CF102">
        <f>IFERROR(INDEX(PP_Grid[#Data],$DD102,82),0)</f>
        <v/>
      </c>
      <c r="CG102">
        <f>IFERROR(INDEX(PP_Grid[#Data],$DD102,83),0)</f>
        <v/>
      </c>
      <c r="CH102">
        <f>IFERROR(INDEX(PP_Grid[#Data],$DD102,84),0)</f>
        <v/>
      </c>
      <c r="CI102">
        <f>IFERROR(INDEX(PP_Grid[#Data],$DD102,85),0)</f>
        <v/>
      </c>
      <c r="CJ102">
        <f>IFERROR(INDEX(PP_Grid[#Data],$DD102,86),0)</f>
        <v/>
      </c>
      <c r="CK102">
        <f>IFERROR(INDEX(PP_Grid[#Data],$DD102,87),0)</f>
        <v/>
      </c>
      <c r="CL102">
        <f>IFERROR(INDEX(PP_Grid[#Data],$DD102,88),0)</f>
        <v/>
      </c>
      <c r="CM102">
        <f>IFERROR(INDEX(PP_Grid[#Data],$DD102,89),0)</f>
        <v/>
      </c>
      <c r="CN102">
        <f>IFERROR(INDEX(PP_Grid[#Data],$DD102,90),0)</f>
        <v/>
      </c>
      <c r="CO102">
        <f>IFERROR(INDEX(PP_Grid[#Data],$DD102,91),0)</f>
        <v/>
      </c>
      <c r="CP102">
        <f>IFERROR(INDEX(PP_Grid[#Data],$DD102,92),0)</f>
        <v/>
      </c>
      <c r="CQ102">
        <f>IFERROR(INDEX(PP_Grid[#Data],$DD102,93),0)</f>
        <v/>
      </c>
      <c r="CR102">
        <f>IFERROR(INDEX(PP_Grid[#Data],$DD102,94),0)</f>
        <v/>
      </c>
      <c r="CS102">
        <f>IFERROR(INDEX(PP_Grid[#Data],$DD102,95),0)</f>
        <v/>
      </c>
      <c r="CT102">
        <f>IFERROR(INDEX(PP_Grid[#Data],$DD102,96),0)</f>
        <v/>
      </c>
      <c r="CU102">
        <f>IFERROR(INDEX(PP_Grid[#Data],$DD102,97),0)</f>
        <v/>
      </c>
      <c r="CV102">
        <f>IFERROR(INDEX(PP_Grid[#Data],$DD102,98),0)</f>
        <v/>
      </c>
      <c r="CW102">
        <f>IFERROR(INDEX(PP_Grid[#Data],$DD102,99),0)</f>
        <v/>
      </c>
      <c r="CX102">
        <f>IFERROR(INDEX(PP_Grid[#Data],$DD102,100),0)</f>
        <v/>
      </c>
      <c r="CY102">
        <f>IFERROR(INDEX(PP_Grid[#Data],$DD102,101),0)</f>
        <v/>
      </c>
      <c r="CZ102">
        <f>IFERROR(INDEX(PP_Grid[#Data],$DD102,102),0)</f>
        <v/>
      </c>
      <c r="DA102">
        <f>IFERROR(INDEX(PP_Grid[#Data],$DD102,103),0)</f>
        <v/>
      </c>
      <c r="DB102">
        <f>IFERROR(INDEX(PP_Grid[#Data],$DD102,104),0)</f>
        <v/>
      </c>
      <c r="DC102">
        <f>IFERROR(INDEX(PP_Grid[#Data],$DD102,105),0)</f>
        <v/>
      </c>
      <c r="DD102" s="7">
        <f>IFERROR(MATCH($B102,PP_Grid[Intermediate],0),99999)</f>
        <v/>
      </c>
    </row>
    <row r="103">
      <c r="B103" t="inlineStr">
        <is>
          <t>使用量(kg)</t>
        </is>
      </c>
      <c r="C103">
        <f>SUMIFS(M_BOM[RM_Qty_Per_Batch],M_BOM[Intermediate],$B102,M_BOM[Part Name],$A45)</f>
        <v/>
      </c>
      <c r="D103">
        <f>$C103*D102</f>
        <v/>
      </c>
      <c r="E103">
        <f>$C103*E102</f>
        <v/>
      </c>
      <c r="F103">
        <f>$C103*F102</f>
        <v/>
      </c>
      <c r="G103">
        <f>$C103*G102</f>
        <v/>
      </c>
      <c r="H103">
        <f>$C103*H102</f>
        <v/>
      </c>
      <c r="I103">
        <f>$C103*I102</f>
        <v/>
      </c>
      <c r="J103">
        <f>$C103*J102</f>
        <v/>
      </c>
      <c r="K103">
        <f>$C103*K102</f>
        <v/>
      </c>
      <c r="L103">
        <f>$C103*L102</f>
        <v/>
      </c>
      <c r="M103">
        <f>$C103*M102</f>
        <v/>
      </c>
      <c r="N103">
        <f>$C103*N102</f>
        <v/>
      </c>
      <c r="O103">
        <f>$C103*O102</f>
        <v/>
      </c>
      <c r="P103">
        <f>$C103*P102</f>
        <v/>
      </c>
      <c r="Q103">
        <f>$C103*Q102</f>
        <v/>
      </c>
      <c r="R103">
        <f>$C103*R102</f>
        <v/>
      </c>
      <c r="S103">
        <f>$C103*S102</f>
        <v/>
      </c>
      <c r="T103">
        <f>$C103*T102</f>
        <v/>
      </c>
      <c r="U103">
        <f>$C103*U102</f>
        <v/>
      </c>
      <c r="V103">
        <f>$C103*V102</f>
        <v/>
      </c>
      <c r="W103">
        <f>$C103*W102</f>
        <v/>
      </c>
      <c r="X103">
        <f>$C103*X102</f>
        <v/>
      </c>
      <c r="Y103">
        <f>$C103*Y102</f>
        <v/>
      </c>
      <c r="Z103">
        <f>$C103*Z102</f>
        <v/>
      </c>
      <c r="AA103">
        <f>$C103*AA102</f>
        <v/>
      </c>
      <c r="AB103">
        <f>$C103*AB102</f>
        <v/>
      </c>
      <c r="AC103">
        <f>$C103*AC102</f>
        <v/>
      </c>
      <c r="AD103">
        <f>$C103*AD102</f>
        <v/>
      </c>
      <c r="AE103">
        <f>$C103*AE102</f>
        <v/>
      </c>
      <c r="AF103">
        <f>$C103*AF102</f>
        <v/>
      </c>
      <c r="AG103">
        <f>$C103*AG102</f>
        <v/>
      </c>
      <c r="AH103">
        <f>$C103*AH102</f>
        <v/>
      </c>
      <c r="AI103">
        <f>$C103*AI102</f>
        <v/>
      </c>
      <c r="AJ103">
        <f>$C103*AJ102</f>
        <v/>
      </c>
      <c r="AK103">
        <f>$C103*AK102</f>
        <v/>
      </c>
      <c r="AL103">
        <f>$C103*AL102</f>
        <v/>
      </c>
      <c r="AM103">
        <f>$C103*AM102</f>
        <v/>
      </c>
      <c r="AN103">
        <f>$C103*AN102</f>
        <v/>
      </c>
      <c r="AO103">
        <f>$C103*AO102</f>
        <v/>
      </c>
      <c r="AP103">
        <f>$C103*AP102</f>
        <v/>
      </c>
      <c r="AQ103">
        <f>$C103*AQ102</f>
        <v/>
      </c>
      <c r="AR103">
        <f>$C103*AR102</f>
        <v/>
      </c>
      <c r="AS103">
        <f>$C103*AS102</f>
        <v/>
      </c>
      <c r="AT103">
        <f>$C103*AT102</f>
        <v/>
      </c>
      <c r="AU103">
        <f>$C103*AU102</f>
        <v/>
      </c>
      <c r="AV103">
        <f>$C103*AV102</f>
        <v/>
      </c>
      <c r="AW103">
        <f>$C103*AW102</f>
        <v/>
      </c>
      <c r="AX103">
        <f>$C103*AX102</f>
        <v/>
      </c>
      <c r="AY103">
        <f>$C103*AY102</f>
        <v/>
      </c>
      <c r="AZ103">
        <f>$C103*AZ102</f>
        <v/>
      </c>
      <c r="BA103">
        <f>$C103*BA102</f>
        <v/>
      </c>
      <c r="BB103">
        <f>$C103*BB102</f>
        <v/>
      </c>
      <c r="BC103">
        <f>$C103*BC102</f>
        <v/>
      </c>
      <c r="BD103">
        <f>$C103*BD102</f>
        <v/>
      </c>
      <c r="BE103">
        <f>$C103*BE102</f>
        <v/>
      </c>
      <c r="BF103">
        <f>$C103*BF102</f>
        <v/>
      </c>
      <c r="BG103">
        <f>$C103*BG102</f>
        <v/>
      </c>
      <c r="BH103">
        <f>$C103*BH102</f>
        <v/>
      </c>
      <c r="BI103">
        <f>$C103*BI102</f>
        <v/>
      </c>
      <c r="BJ103">
        <f>$C103*BJ102</f>
        <v/>
      </c>
      <c r="BK103">
        <f>$C103*BK102</f>
        <v/>
      </c>
      <c r="BL103">
        <f>$C103*BL102</f>
        <v/>
      </c>
      <c r="BM103">
        <f>$C103*BM102</f>
        <v/>
      </c>
      <c r="BN103">
        <f>$C103*BN102</f>
        <v/>
      </c>
      <c r="BO103">
        <f>$C103*BO102</f>
        <v/>
      </c>
      <c r="BP103">
        <f>$C103*BP102</f>
        <v/>
      </c>
      <c r="BQ103">
        <f>$C103*BQ102</f>
        <v/>
      </c>
      <c r="BR103">
        <f>$C103*BR102</f>
        <v/>
      </c>
      <c r="BS103">
        <f>$C103*BS102</f>
        <v/>
      </c>
      <c r="BT103">
        <f>$C103*BT102</f>
        <v/>
      </c>
      <c r="BU103">
        <f>$C103*BU102</f>
        <v/>
      </c>
      <c r="BV103">
        <f>$C103*BV102</f>
        <v/>
      </c>
      <c r="BW103">
        <f>$C103*BW102</f>
        <v/>
      </c>
      <c r="BX103">
        <f>$C103*BX102</f>
        <v/>
      </c>
      <c r="BY103">
        <f>$C103*BY102</f>
        <v/>
      </c>
      <c r="BZ103">
        <f>$C103*BZ102</f>
        <v/>
      </c>
      <c r="CA103">
        <f>$C103*CA102</f>
        <v/>
      </c>
      <c r="CB103">
        <f>$C103*CB102</f>
        <v/>
      </c>
      <c r="CC103">
        <f>$C103*CC102</f>
        <v/>
      </c>
      <c r="CD103">
        <f>$C103*CD102</f>
        <v/>
      </c>
      <c r="CE103">
        <f>$C103*CE102</f>
        <v/>
      </c>
      <c r="CF103">
        <f>$C103*CF102</f>
        <v/>
      </c>
      <c r="CG103">
        <f>$C103*CG102</f>
        <v/>
      </c>
      <c r="CH103">
        <f>$C103*CH102</f>
        <v/>
      </c>
      <c r="CI103">
        <f>$C103*CI102</f>
        <v/>
      </c>
      <c r="CJ103">
        <f>$C103*CJ102</f>
        <v/>
      </c>
      <c r="CK103">
        <f>$C103*CK102</f>
        <v/>
      </c>
      <c r="CL103">
        <f>$C103*CL102</f>
        <v/>
      </c>
      <c r="CM103">
        <f>$C103*CM102</f>
        <v/>
      </c>
      <c r="CN103">
        <f>$C103*CN102</f>
        <v/>
      </c>
      <c r="CO103">
        <f>$C103*CO102</f>
        <v/>
      </c>
      <c r="CP103">
        <f>$C103*CP102</f>
        <v/>
      </c>
      <c r="CQ103">
        <f>$C103*CQ102</f>
        <v/>
      </c>
      <c r="CR103">
        <f>$C103*CR102</f>
        <v/>
      </c>
      <c r="CS103">
        <f>$C103*CS102</f>
        <v/>
      </c>
      <c r="CT103">
        <f>$C103*CT102</f>
        <v/>
      </c>
      <c r="CU103">
        <f>$C103*CU102</f>
        <v/>
      </c>
      <c r="CV103">
        <f>$C103*CV102</f>
        <v/>
      </c>
      <c r="CW103">
        <f>$C103*CW102</f>
        <v/>
      </c>
      <c r="CX103">
        <f>$C103*CX102</f>
        <v/>
      </c>
      <c r="CY103">
        <f>$C103*CY102</f>
        <v/>
      </c>
      <c r="CZ103">
        <f>$C103*CZ102</f>
        <v/>
      </c>
      <c r="DA103">
        <f>$C103*DA102</f>
        <v/>
      </c>
      <c r="DB103">
        <f>$C103*DB102</f>
        <v/>
      </c>
      <c r="DC103">
        <f>$C103*DC102</f>
        <v/>
      </c>
    </row>
    <row r="104">
      <c r="B104" t="inlineStr">
        <is>
          <t>TSP-620</t>
        </is>
      </c>
      <c r="C104" t="inlineStr">
        <is>
          <t>No. of batches</t>
        </is>
      </c>
      <c r="D104">
        <f>IFERROR(INDEX(PP_Grid[#Data],$DD104,2),0)</f>
        <v/>
      </c>
      <c r="E104">
        <f>IFERROR(INDEX(PP_Grid[#Data],$DD104,3),0)</f>
        <v/>
      </c>
      <c r="F104">
        <f>IFERROR(INDEX(PP_Grid[#Data],$DD104,4),0)</f>
        <v/>
      </c>
      <c r="G104">
        <f>IFERROR(INDEX(PP_Grid[#Data],$DD104,5),0)</f>
        <v/>
      </c>
      <c r="H104">
        <f>IFERROR(INDEX(PP_Grid[#Data],$DD104,6),0)</f>
        <v/>
      </c>
      <c r="I104">
        <f>IFERROR(INDEX(PP_Grid[#Data],$DD104,7),0)</f>
        <v/>
      </c>
      <c r="J104">
        <f>IFERROR(INDEX(PP_Grid[#Data],$DD104,8),0)</f>
        <v/>
      </c>
      <c r="K104">
        <f>IFERROR(INDEX(PP_Grid[#Data],$DD104,9),0)</f>
        <v/>
      </c>
      <c r="L104">
        <f>IFERROR(INDEX(PP_Grid[#Data],$DD104,10),0)</f>
        <v/>
      </c>
      <c r="M104">
        <f>IFERROR(INDEX(PP_Grid[#Data],$DD104,11),0)</f>
        <v/>
      </c>
      <c r="N104">
        <f>IFERROR(INDEX(PP_Grid[#Data],$DD104,12),0)</f>
        <v/>
      </c>
      <c r="O104">
        <f>IFERROR(INDEX(PP_Grid[#Data],$DD104,13),0)</f>
        <v/>
      </c>
      <c r="P104">
        <f>IFERROR(INDEX(PP_Grid[#Data],$DD104,14),0)</f>
        <v/>
      </c>
      <c r="Q104">
        <f>IFERROR(INDEX(PP_Grid[#Data],$DD104,15),0)</f>
        <v/>
      </c>
      <c r="R104">
        <f>IFERROR(INDEX(PP_Grid[#Data],$DD104,16),0)</f>
        <v/>
      </c>
      <c r="S104">
        <f>IFERROR(INDEX(PP_Grid[#Data],$DD104,17),0)</f>
        <v/>
      </c>
      <c r="T104">
        <f>IFERROR(INDEX(PP_Grid[#Data],$DD104,18),0)</f>
        <v/>
      </c>
      <c r="U104">
        <f>IFERROR(INDEX(PP_Grid[#Data],$DD104,19),0)</f>
        <v/>
      </c>
      <c r="V104">
        <f>IFERROR(INDEX(PP_Grid[#Data],$DD104,20),0)</f>
        <v/>
      </c>
      <c r="W104">
        <f>IFERROR(INDEX(PP_Grid[#Data],$DD104,21),0)</f>
        <v/>
      </c>
      <c r="X104">
        <f>IFERROR(INDEX(PP_Grid[#Data],$DD104,22),0)</f>
        <v/>
      </c>
      <c r="Y104">
        <f>IFERROR(INDEX(PP_Grid[#Data],$DD104,23),0)</f>
        <v/>
      </c>
      <c r="Z104">
        <f>IFERROR(INDEX(PP_Grid[#Data],$DD104,24),0)</f>
        <v/>
      </c>
      <c r="AA104">
        <f>IFERROR(INDEX(PP_Grid[#Data],$DD104,25),0)</f>
        <v/>
      </c>
      <c r="AB104">
        <f>IFERROR(INDEX(PP_Grid[#Data],$DD104,26),0)</f>
        <v/>
      </c>
      <c r="AC104">
        <f>IFERROR(INDEX(PP_Grid[#Data],$DD104,27),0)</f>
        <v/>
      </c>
      <c r="AD104">
        <f>IFERROR(INDEX(PP_Grid[#Data],$DD104,28),0)</f>
        <v/>
      </c>
      <c r="AE104">
        <f>IFERROR(INDEX(PP_Grid[#Data],$DD104,29),0)</f>
        <v/>
      </c>
      <c r="AF104">
        <f>IFERROR(INDEX(PP_Grid[#Data],$DD104,30),0)</f>
        <v/>
      </c>
      <c r="AG104">
        <f>IFERROR(INDEX(PP_Grid[#Data],$DD104,31),0)</f>
        <v/>
      </c>
      <c r="AH104">
        <f>IFERROR(INDEX(PP_Grid[#Data],$DD104,32),0)</f>
        <v/>
      </c>
      <c r="AI104">
        <f>IFERROR(INDEX(PP_Grid[#Data],$DD104,33),0)</f>
        <v/>
      </c>
      <c r="AJ104">
        <f>IFERROR(INDEX(PP_Grid[#Data],$DD104,34),0)</f>
        <v/>
      </c>
      <c r="AK104">
        <f>IFERROR(INDEX(PP_Grid[#Data],$DD104,35),0)</f>
        <v/>
      </c>
      <c r="AL104">
        <f>IFERROR(INDEX(PP_Grid[#Data],$DD104,36),0)</f>
        <v/>
      </c>
      <c r="AM104">
        <f>IFERROR(INDEX(PP_Grid[#Data],$DD104,37),0)</f>
        <v/>
      </c>
      <c r="AN104">
        <f>IFERROR(INDEX(PP_Grid[#Data],$DD104,38),0)</f>
        <v/>
      </c>
      <c r="AO104">
        <f>IFERROR(INDEX(PP_Grid[#Data],$DD104,39),0)</f>
        <v/>
      </c>
      <c r="AP104">
        <f>IFERROR(INDEX(PP_Grid[#Data],$DD104,40),0)</f>
        <v/>
      </c>
      <c r="AQ104">
        <f>IFERROR(INDEX(PP_Grid[#Data],$DD104,41),0)</f>
        <v/>
      </c>
      <c r="AR104">
        <f>IFERROR(INDEX(PP_Grid[#Data],$DD104,42),0)</f>
        <v/>
      </c>
      <c r="AS104">
        <f>IFERROR(INDEX(PP_Grid[#Data],$DD104,43),0)</f>
        <v/>
      </c>
      <c r="AT104">
        <f>IFERROR(INDEX(PP_Grid[#Data],$DD104,44),0)</f>
        <v/>
      </c>
      <c r="AU104">
        <f>IFERROR(INDEX(PP_Grid[#Data],$DD104,45),0)</f>
        <v/>
      </c>
      <c r="AV104">
        <f>IFERROR(INDEX(PP_Grid[#Data],$DD104,46),0)</f>
        <v/>
      </c>
      <c r="AW104">
        <f>IFERROR(INDEX(PP_Grid[#Data],$DD104,47),0)</f>
        <v/>
      </c>
      <c r="AX104">
        <f>IFERROR(INDEX(PP_Grid[#Data],$DD104,48),0)</f>
        <v/>
      </c>
      <c r="AY104">
        <f>IFERROR(INDEX(PP_Grid[#Data],$DD104,49),0)</f>
        <v/>
      </c>
      <c r="AZ104">
        <f>IFERROR(INDEX(PP_Grid[#Data],$DD104,50),0)</f>
        <v/>
      </c>
      <c r="BA104">
        <f>IFERROR(INDEX(PP_Grid[#Data],$DD104,51),0)</f>
        <v/>
      </c>
      <c r="BB104">
        <f>IFERROR(INDEX(PP_Grid[#Data],$DD104,52),0)</f>
        <v/>
      </c>
      <c r="BC104">
        <f>IFERROR(INDEX(PP_Grid[#Data],$DD104,53),0)</f>
        <v/>
      </c>
      <c r="BD104">
        <f>IFERROR(INDEX(PP_Grid[#Data],$DD104,54),0)</f>
        <v/>
      </c>
      <c r="BE104">
        <f>IFERROR(INDEX(PP_Grid[#Data],$DD104,55),0)</f>
        <v/>
      </c>
      <c r="BF104">
        <f>IFERROR(INDEX(PP_Grid[#Data],$DD104,56),0)</f>
        <v/>
      </c>
      <c r="BG104">
        <f>IFERROR(INDEX(PP_Grid[#Data],$DD104,57),0)</f>
        <v/>
      </c>
      <c r="BH104">
        <f>IFERROR(INDEX(PP_Grid[#Data],$DD104,58),0)</f>
        <v/>
      </c>
      <c r="BI104">
        <f>IFERROR(INDEX(PP_Grid[#Data],$DD104,59),0)</f>
        <v/>
      </c>
      <c r="BJ104">
        <f>IFERROR(INDEX(PP_Grid[#Data],$DD104,60),0)</f>
        <v/>
      </c>
      <c r="BK104">
        <f>IFERROR(INDEX(PP_Grid[#Data],$DD104,61),0)</f>
        <v/>
      </c>
      <c r="BL104">
        <f>IFERROR(INDEX(PP_Grid[#Data],$DD104,62),0)</f>
        <v/>
      </c>
      <c r="BM104">
        <f>IFERROR(INDEX(PP_Grid[#Data],$DD104,63),0)</f>
        <v/>
      </c>
      <c r="BN104">
        <f>IFERROR(INDEX(PP_Grid[#Data],$DD104,64),0)</f>
        <v/>
      </c>
      <c r="BO104">
        <f>IFERROR(INDEX(PP_Grid[#Data],$DD104,65),0)</f>
        <v/>
      </c>
      <c r="BP104">
        <f>IFERROR(INDEX(PP_Grid[#Data],$DD104,66),0)</f>
        <v/>
      </c>
      <c r="BQ104">
        <f>IFERROR(INDEX(PP_Grid[#Data],$DD104,67),0)</f>
        <v/>
      </c>
      <c r="BR104">
        <f>IFERROR(INDEX(PP_Grid[#Data],$DD104,68),0)</f>
        <v/>
      </c>
      <c r="BS104">
        <f>IFERROR(INDEX(PP_Grid[#Data],$DD104,69),0)</f>
        <v/>
      </c>
      <c r="BT104">
        <f>IFERROR(INDEX(PP_Grid[#Data],$DD104,70),0)</f>
        <v/>
      </c>
      <c r="BU104">
        <f>IFERROR(INDEX(PP_Grid[#Data],$DD104,71),0)</f>
        <v/>
      </c>
      <c r="BV104">
        <f>IFERROR(INDEX(PP_Grid[#Data],$DD104,72),0)</f>
        <v/>
      </c>
      <c r="BW104">
        <f>IFERROR(INDEX(PP_Grid[#Data],$DD104,73),0)</f>
        <v/>
      </c>
      <c r="BX104">
        <f>IFERROR(INDEX(PP_Grid[#Data],$DD104,74),0)</f>
        <v/>
      </c>
      <c r="BY104">
        <f>IFERROR(INDEX(PP_Grid[#Data],$DD104,75),0)</f>
        <v/>
      </c>
      <c r="BZ104">
        <f>IFERROR(INDEX(PP_Grid[#Data],$DD104,76),0)</f>
        <v/>
      </c>
      <c r="CA104">
        <f>IFERROR(INDEX(PP_Grid[#Data],$DD104,77),0)</f>
        <v/>
      </c>
      <c r="CB104">
        <f>IFERROR(INDEX(PP_Grid[#Data],$DD104,78),0)</f>
        <v/>
      </c>
      <c r="CC104">
        <f>IFERROR(INDEX(PP_Grid[#Data],$DD104,79),0)</f>
        <v/>
      </c>
      <c r="CD104">
        <f>IFERROR(INDEX(PP_Grid[#Data],$DD104,80),0)</f>
        <v/>
      </c>
      <c r="CE104">
        <f>IFERROR(INDEX(PP_Grid[#Data],$DD104,81),0)</f>
        <v/>
      </c>
      <c r="CF104">
        <f>IFERROR(INDEX(PP_Grid[#Data],$DD104,82),0)</f>
        <v/>
      </c>
      <c r="CG104">
        <f>IFERROR(INDEX(PP_Grid[#Data],$DD104,83),0)</f>
        <v/>
      </c>
      <c r="CH104">
        <f>IFERROR(INDEX(PP_Grid[#Data],$DD104,84),0)</f>
        <v/>
      </c>
      <c r="CI104">
        <f>IFERROR(INDEX(PP_Grid[#Data],$DD104,85),0)</f>
        <v/>
      </c>
      <c r="CJ104">
        <f>IFERROR(INDEX(PP_Grid[#Data],$DD104,86),0)</f>
        <v/>
      </c>
      <c r="CK104">
        <f>IFERROR(INDEX(PP_Grid[#Data],$DD104,87),0)</f>
        <v/>
      </c>
      <c r="CL104">
        <f>IFERROR(INDEX(PP_Grid[#Data],$DD104,88),0)</f>
        <v/>
      </c>
      <c r="CM104">
        <f>IFERROR(INDEX(PP_Grid[#Data],$DD104,89),0)</f>
        <v/>
      </c>
      <c r="CN104">
        <f>IFERROR(INDEX(PP_Grid[#Data],$DD104,90),0)</f>
        <v/>
      </c>
      <c r="CO104">
        <f>IFERROR(INDEX(PP_Grid[#Data],$DD104,91),0)</f>
        <v/>
      </c>
      <c r="CP104">
        <f>IFERROR(INDEX(PP_Grid[#Data],$DD104,92),0)</f>
        <v/>
      </c>
      <c r="CQ104">
        <f>IFERROR(INDEX(PP_Grid[#Data],$DD104,93),0)</f>
        <v/>
      </c>
      <c r="CR104">
        <f>IFERROR(INDEX(PP_Grid[#Data],$DD104,94),0)</f>
        <v/>
      </c>
      <c r="CS104">
        <f>IFERROR(INDEX(PP_Grid[#Data],$DD104,95),0)</f>
        <v/>
      </c>
      <c r="CT104">
        <f>IFERROR(INDEX(PP_Grid[#Data],$DD104,96),0)</f>
        <v/>
      </c>
      <c r="CU104">
        <f>IFERROR(INDEX(PP_Grid[#Data],$DD104,97),0)</f>
        <v/>
      </c>
      <c r="CV104">
        <f>IFERROR(INDEX(PP_Grid[#Data],$DD104,98),0)</f>
        <v/>
      </c>
      <c r="CW104">
        <f>IFERROR(INDEX(PP_Grid[#Data],$DD104,99),0)</f>
        <v/>
      </c>
      <c r="CX104">
        <f>IFERROR(INDEX(PP_Grid[#Data],$DD104,100),0)</f>
        <v/>
      </c>
      <c r="CY104">
        <f>IFERROR(INDEX(PP_Grid[#Data],$DD104,101),0)</f>
        <v/>
      </c>
      <c r="CZ104">
        <f>IFERROR(INDEX(PP_Grid[#Data],$DD104,102),0)</f>
        <v/>
      </c>
      <c r="DA104">
        <f>IFERROR(INDEX(PP_Grid[#Data],$DD104,103),0)</f>
        <v/>
      </c>
      <c r="DB104">
        <f>IFERROR(INDEX(PP_Grid[#Data],$DD104,104),0)</f>
        <v/>
      </c>
      <c r="DC104">
        <f>IFERROR(INDEX(PP_Grid[#Data],$DD104,105),0)</f>
        <v/>
      </c>
      <c r="DD104" s="7">
        <f>IFERROR(MATCH($B104,PP_Grid[Intermediate],0),99999)</f>
        <v/>
      </c>
    </row>
    <row r="105">
      <c r="B105" t="inlineStr">
        <is>
          <t>使用量(kg)</t>
        </is>
      </c>
      <c r="C105">
        <f>SUMIFS(M_BOM[RM_Qty_Per_Batch],M_BOM[Intermediate],$B104,M_BOM[Part Name],$A45)</f>
        <v/>
      </c>
      <c r="D105">
        <f>$C105*D104</f>
        <v/>
      </c>
      <c r="E105">
        <f>$C105*E104</f>
        <v/>
      </c>
      <c r="F105">
        <f>$C105*F104</f>
        <v/>
      </c>
      <c r="G105">
        <f>$C105*G104</f>
        <v/>
      </c>
      <c r="H105">
        <f>$C105*H104</f>
        <v/>
      </c>
      <c r="I105">
        <f>$C105*I104</f>
        <v/>
      </c>
      <c r="J105">
        <f>$C105*J104</f>
        <v/>
      </c>
      <c r="K105">
        <f>$C105*K104</f>
        <v/>
      </c>
      <c r="L105">
        <f>$C105*L104</f>
        <v/>
      </c>
      <c r="M105">
        <f>$C105*M104</f>
        <v/>
      </c>
      <c r="N105">
        <f>$C105*N104</f>
        <v/>
      </c>
      <c r="O105">
        <f>$C105*O104</f>
        <v/>
      </c>
      <c r="P105">
        <f>$C105*P104</f>
        <v/>
      </c>
      <c r="Q105">
        <f>$C105*Q104</f>
        <v/>
      </c>
      <c r="R105">
        <f>$C105*R104</f>
        <v/>
      </c>
      <c r="S105">
        <f>$C105*S104</f>
        <v/>
      </c>
      <c r="T105">
        <f>$C105*T104</f>
        <v/>
      </c>
      <c r="U105">
        <f>$C105*U104</f>
        <v/>
      </c>
      <c r="V105">
        <f>$C105*V104</f>
        <v/>
      </c>
      <c r="W105">
        <f>$C105*W104</f>
        <v/>
      </c>
      <c r="X105">
        <f>$C105*X104</f>
        <v/>
      </c>
      <c r="Y105">
        <f>$C105*Y104</f>
        <v/>
      </c>
      <c r="Z105">
        <f>$C105*Z104</f>
        <v/>
      </c>
      <c r="AA105">
        <f>$C105*AA104</f>
        <v/>
      </c>
      <c r="AB105">
        <f>$C105*AB104</f>
        <v/>
      </c>
      <c r="AC105">
        <f>$C105*AC104</f>
        <v/>
      </c>
      <c r="AD105">
        <f>$C105*AD104</f>
        <v/>
      </c>
      <c r="AE105">
        <f>$C105*AE104</f>
        <v/>
      </c>
      <c r="AF105">
        <f>$C105*AF104</f>
        <v/>
      </c>
      <c r="AG105">
        <f>$C105*AG104</f>
        <v/>
      </c>
      <c r="AH105">
        <f>$C105*AH104</f>
        <v/>
      </c>
      <c r="AI105">
        <f>$C105*AI104</f>
        <v/>
      </c>
      <c r="AJ105">
        <f>$C105*AJ104</f>
        <v/>
      </c>
      <c r="AK105">
        <f>$C105*AK104</f>
        <v/>
      </c>
      <c r="AL105">
        <f>$C105*AL104</f>
        <v/>
      </c>
      <c r="AM105">
        <f>$C105*AM104</f>
        <v/>
      </c>
      <c r="AN105">
        <f>$C105*AN104</f>
        <v/>
      </c>
      <c r="AO105">
        <f>$C105*AO104</f>
        <v/>
      </c>
      <c r="AP105">
        <f>$C105*AP104</f>
        <v/>
      </c>
      <c r="AQ105">
        <f>$C105*AQ104</f>
        <v/>
      </c>
      <c r="AR105">
        <f>$C105*AR104</f>
        <v/>
      </c>
      <c r="AS105">
        <f>$C105*AS104</f>
        <v/>
      </c>
      <c r="AT105">
        <f>$C105*AT104</f>
        <v/>
      </c>
      <c r="AU105">
        <f>$C105*AU104</f>
        <v/>
      </c>
      <c r="AV105">
        <f>$C105*AV104</f>
        <v/>
      </c>
      <c r="AW105">
        <f>$C105*AW104</f>
        <v/>
      </c>
      <c r="AX105">
        <f>$C105*AX104</f>
        <v/>
      </c>
      <c r="AY105">
        <f>$C105*AY104</f>
        <v/>
      </c>
      <c r="AZ105">
        <f>$C105*AZ104</f>
        <v/>
      </c>
      <c r="BA105">
        <f>$C105*BA104</f>
        <v/>
      </c>
      <c r="BB105">
        <f>$C105*BB104</f>
        <v/>
      </c>
      <c r="BC105">
        <f>$C105*BC104</f>
        <v/>
      </c>
      <c r="BD105">
        <f>$C105*BD104</f>
        <v/>
      </c>
      <c r="BE105">
        <f>$C105*BE104</f>
        <v/>
      </c>
      <c r="BF105">
        <f>$C105*BF104</f>
        <v/>
      </c>
      <c r="BG105">
        <f>$C105*BG104</f>
        <v/>
      </c>
      <c r="BH105">
        <f>$C105*BH104</f>
        <v/>
      </c>
      <c r="BI105">
        <f>$C105*BI104</f>
        <v/>
      </c>
      <c r="BJ105">
        <f>$C105*BJ104</f>
        <v/>
      </c>
      <c r="BK105">
        <f>$C105*BK104</f>
        <v/>
      </c>
      <c r="BL105">
        <f>$C105*BL104</f>
        <v/>
      </c>
      <c r="BM105">
        <f>$C105*BM104</f>
        <v/>
      </c>
      <c r="BN105">
        <f>$C105*BN104</f>
        <v/>
      </c>
      <c r="BO105">
        <f>$C105*BO104</f>
        <v/>
      </c>
      <c r="BP105">
        <f>$C105*BP104</f>
        <v/>
      </c>
      <c r="BQ105">
        <f>$C105*BQ104</f>
        <v/>
      </c>
      <c r="BR105">
        <f>$C105*BR104</f>
        <v/>
      </c>
      <c r="BS105">
        <f>$C105*BS104</f>
        <v/>
      </c>
      <c r="BT105">
        <f>$C105*BT104</f>
        <v/>
      </c>
      <c r="BU105">
        <f>$C105*BU104</f>
        <v/>
      </c>
      <c r="BV105">
        <f>$C105*BV104</f>
        <v/>
      </c>
      <c r="BW105">
        <f>$C105*BW104</f>
        <v/>
      </c>
      <c r="BX105">
        <f>$C105*BX104</f>
        <v/>
      </c>
      <c r="BY105">
        <f>$C105*BY104</f>
        <v/>
      </c>
      <c r="BZ105">
        <f>$C105*BZ104</f>
        <v/>
      </c>
      <c r="CA105">
        <f>$C105*CA104</f>
        <v/>
      </c>
      <c r="CB105">
        <f>$C105*CB104</f>
        <v/>
      </c>
      <c r="CC105">
        <f>$C105*CC104</f>
        <v/>
      </c>
      <c r="CD105">
        <f>$C105*CD104</f>
        <v/>
      </c>
      <c r="CE105">
        <f>$C105*CE104</f>
        <v/>
      </c>
      <c r="CF105">
        <f>$C105*CF104</f>
        <v/>
      </c>
      <c r="CG105">
        <f>$C105*CG104</f>
        <v/>
      </c>
      <c r="CH105">
        <f>$C105*CH104</f>
        <v/>
      </c>
      <c r="CI105">
        <f>$C105*CI104</f>
        <v/>
      </c>
      <c r="CJ105">
        <f>$C105*CJ104</f>
        <v/>
      </c>
      <c r="CK105">
        <f>$C105*CK104</f>
        <v/>
      </c>
      <c r="CL105">
        <f>$C105*CL104</f>
        <v/>
      </c>
      <c r="CM105">
        <f>$C105*CM104</f>
        <v/>
      </c>
      <c r="CN105">
        <f>$C105*CN104</f>
        <v/>
      </c>
      <c r="CO105">
        <f>$C105*CO104</f>
        <v/>
      </c>
      <c r="CP105">
        <f>$C105*CP104</f>
        <v/>
      </c>
      <c r="CQ105">
        <f>$C105*CQ104</f>
        <v/>
      </c>
      <c r="CR105">
        <f>$C105*CR104</f>
        <v/>
      </c>
      <c r="CS105">
        <f>$C105*CS104</f>
        <v/>
      </c>
      <c r="CT105">
        <f>$C105*CT104</f>
        <v/>
      </c>
      <c r="CU105">
        <f>$C105*CU104</f>
        <v/>
      </c>
      <c r="CV105">
        <f>$C105*CV104</f>
        <v/>
      </c>
      <c r="CW105">
        <f>$C105*CW104</f>
        <v/>
      </c>
      <c r="CX105">
        <f>$C105*CX104</f>
        <v/>
      </c>
      <c r="CY105">
        <f>$C105*CY104</f>
        <v/>
      </c>
      <c r="CZ105">
        <f>$C105*CZ104</f>
        <v/>
      </c>
      <c r="DA105">
        <f>$C105*DA104</f>
        <v/>
      </c>
      <c r="DB105">
        <f>$C105*DB104</f>
        <v/>
      </c>
      <c r="DC105">
        <f>$C105*DC104</f>
        <v/>
      </c>
    </row>
    <row r="106">
      <c r="B106" t="inlineStr">
        <is>
          <t>TSP-623</t>
        </is>
      </c>
      <c r="C106" t="inlineStr">
        <is>
          <t>No. of batches</t>
        </is>
      </c>
      <c r="D106">
        <f>IFERROR(INDEX(PP_Grid[#Data],$DD106,2),0)</f>
        <v/>
      </c>
      <c r="E106">
        <f>IFERROR(INDEX(PP_Grid[#Data],$DD106,3),0)</f>
        <v/>
      </c>
      <c r="F106">
        <f>IFERROR(INDEX(PP_Grid[#Data],$DD106,4),0)</f>
        <v/>
      </c>
      <c r="G106">
        <f>IFERROR(INDEX(PP_Grid[#Data],$DD106,5),0)</f>
        <v/>
      </c>
      <c r="H106">
        <f>IFERROR(INDEX(PP_Grid[#Data],$DD106,6),0)</f>
        <v/>
      </c>
      <c r="I106">
        <f>IFERROR(INDEX(PP_Grid[#Data],$DD106,7),0)</f>
        <v/>
      </c>
      <c r="J106">
        <f>IFERROR(INDEX(PP_Grid[#Data],$DD106,8),0)</f>
        <v/>
      </c>
      <c r="K106">
        <f>IFERROR(INDEX(PP_Grid[#Data],$DD106,9),0)</f>
        <v/>
      </c>
      <c r="L106">
        <f>IFERROR(INDEX(PP_Grid[#Data],$DD106,10),0)</f>
        <v/>
      </c>
      <c r="M106">
        <f>IFERROR(INDEX(PP_Grid[#Data],$DD106,11),0)</f>
        <v/>
      </c>
      <c r="N106">
        <f>IFERROR(INDEX(PP_Grid[#Data],$DD106,12),0)</f>
        <v/>
      </c>
      <c r="O106">
        <f>IFERROR(INDEX(PP_Grid[#Data],$DD106,13),0)</f>
        <v/>
      </c>
      <c r="P106">
        <f>IFERROR(INDEX(PP_Grid[#Data],$DD106,14),0)</f>
        <v/>
      </c>
      <c r="Q106">
        <f>IFERROR(INDEX(PP_Grid[#Data],$DD106,15),0)</f>
        <v/>
      </c>
      <c r="R106">
        <f>IFERROR(INDEX(PP_Grid[#Data],$DD106,16),0)</f>
        <v/>
      </c>
      <c r="S106">
        <f>IFERROR(INDEX(PP_Grid[#Data],$DD106,17),0)</f>
        <v/>
      </c>
      <c r="T106">
        <f>IFERROR(INDEX(PP_Grid[#Data],$DD106,18),0)</f>
        <v/>
      </c>
      <c r="U106">
        <f>IFERROR(INDEX(PP_Grid[#Data],$DD106,19),0)</f>
        <v/>
      </c>
      <c r="V106">
        <f>IFERROR(INDEX(PP_Grid[#Data],$DD106,20),0)</f>
        <v/>
      </c>
      <c r="W106">
        <f>IFERROR(INDEX(PP_Grid[#Data],$DD106,21),0)</f>
        <v/>
      </c>
      <c r="X106">
        <f>IFERROR(INDEX(PP_Grid[#Data],$DD106,22),0)</f>
        <v/>
      </c>
      <c r="Y106">
        <f>IFERROR(INDEX(PP_Grid[#Data],$DD106,23),0)</f>
        <v/>
      </c>
      <c r="Z106">
        <f>IFERROR(INDEX(PP_Grid[#Data],$DD106,24),0)</f>
        <v/>
      </c>
      <c r="AA106">
        <f>IFERROR(INDEX(PP_Grid[#Data],$DD106,25),0)</f>
        <v/>
      </c>
      <c r="AB106">
        <f>IFERROR(INDEX(PP_Grid[#Data],$DD106,26),0)</f>
        <v/>
      </c>
      <c r="AC106">
        <f>IFERROR(INDEX(PP_Grid[#Data],$DD106,27),0)</f>
        <v/>
      </c>
      <c r="AD106">
        <f>IFERROR(INDEX(PP_Grid[#Data],$DD106,28),0)</f>
        <v/>
      </c>
      <c r="AE106">
        <f>IFERROR(INDEX(PP_Grid[#Data],$DD106,29),0)</f>
        <v/>
      </c>
      <c r="AF106">
        <f>IFERROR(INDEX(PP_Grid[#Data],$DD106,30),0)</f>
        <v/>
      </c>
      <c r="AG106">
        <f>IFERROR(INDEX(PP_Grid[#Data],$DD106,31),0)</f>
        <v/>
      </c>
      <c r="AH106">
        <f>IFERROR(INDEX(PP_Grid[#Data],$DD106,32),0)</f>
        <v/>
      </c>
      <c r="AI106">
        <f>IFERROR(INDEX(PP_Grid[#Data],$DD106,33),0)</f>
        <v/>
      </c>
      <c r="AJ106">
        <f>IFERROR(INDEX(PP_Grid[#Data],$DD106,34),0)</f>
        <v/>
      </c>
      <c r="AK106">
        <f>IFERROR(INDEX(PP_Grid[#Data],$DD106,35),0)</f>
        <v/>
      </c>
      <c r="AL106">
        <f>IFERROR(INDEX(PP_Grid[#Data],$DD106,36),0)</f>
        <v/>
      </c>
      <c r="AM106">
        <f>IFERROR(INDEX(PP_Grid[#Data],$DD106,37),0)</f>
        <v/>
      </c>
      <c r="AN106">
        <f>IFERROR(INDEX(PP_Grid[#Data],$DD106,38),0)</f>
        <v/>
      </c>
      <c r="AO106">
        <f>IFERROR(INDEX(PP_Grid[#Data],$DD106,39),0)</f>
        <v/>
      </c>
      <c r="AP106">
        <f>IFERROR(INDEX(PP_Grid[#Data],$DD106,40),0)</f>
        <v/>
      </c>
      <c r="AQ106">
        <f>IFERROR(INDEX(PP_Grid[#Data],$DD106,41),0)</f>
        <v/>
      </c>
      <c r="AR106">
        <f>IFERROR(INDEX(PP_Grid[#Data],$DD106,42),0)</f>
        <v/>
      </c>
      <c r="AS106">
        <f>IFERROR(INDEX(PP_Grid[#Data],$DD106,43),0)</f>
        <v/>
      </c>
      <c r="AT106">
        <f>IFERROR(INDEX(PP_Grid[#Data],$DD106,44),0)</f>
        <v/>
      </c>
      <c r="AU106">
        <f>IFERROR(INDEX(PP_Grid[#Data],$DD106,45),0)</f>
        <v/>
      </c>
      <c r="AV106">
        <f>IFERROR(INDEX(PP_Grid[#Data],$DD106,46),0)</f>
        <v/>
      </c>
      <c r="AW106">
        <f>IFERROR(INDEX(PP_Grid[#Data],$DD106,47),0)</f>
        <v/>
      </c>
      <c r="AX106">
        <f>IFERROR(INDEX(PP_Grid[#Data],$DD106,48),0)</f>
        <v/>
      </c>
      <c r="AY106">
        <f>IFERROR(INDEX(PP_Grid[#Data],$DD106,49),0)</f>
        <v/>
      </c>
      <c r="AZ106">
        <f>IFERROR(INDEX(PP_Grid[#Data],$DD106,50),0)</f>
        <v/>
      </c>
      <c r="BA106">
        <f>IFERROR(INDEX(PP_Grid[#Data],$DD106,51),0)</f>
        <v/>
      </c>
      <c r="BB106">
        <f>IFERROR(INDEX(PP_Grid[#Data],$DD106,52),0)</f>
        <v/>
      </c>
      <c r="BC106">
        <f>IFERROR(INDEX(PP_Grid[#Data],$DD106,53),0)</f>
        <v/>
      </c>
      <c r="BD106">
        <f>IFERROR(INDEX(PP_Grid[#Data],$DD106,54),0)</f>
        <v/>
      </c>
      <c r="BE106">
        <f>IFERROR(INDEX(PP_Grid[#Data],$DD106,55),0)</f>
        <v/>
      </c>
      <c r="BF106">
        <f>IFERROR(INDEX(PP_Grid[#Data],$DD106,56),0)</f>
        <v/>
      </c>
      <c r="BG106">
        <f>IFERROR(INDEX(PP_Grid[#Data],$DD106,57),0)</f>
        <v/>
      </c>
      <c r="BH106">
        <f>IFERROR(INDEX(PP_Grid[#Data],$DD106,58),0)</f>
        <v/>
      </c>
      <c r="BI106">
        <f>IFERROR(INDEX(PP_Grid[#Data],$DD106,59),0)</f>
        <v/>
      </c>
      <c r="BJ106">
        <f>IFERROR(INDEX(PP_Grid[#Data],$DD106,60),0)</f>
        <v/>
      </c>
      <c r="BK106">
        <f>IFERROR(INDEX(PP_Grid[#Data],$DD106,61),0)</f>
        <v/>
      </c>
      <c r="BL106">
        <f>IFERROR(INDEX(PP_Grid[#Data],$DD106,62),0)</f>
        <v/>
      </c>
      <c r="BM106">
        <f>IFERROR(INDEX(PP_Grid[#Data],$DD106,63),0)</f>
        <v/>
      </c>
      <c r="BN106">
        <f>IFERROR(INDEX(PP_Grid[#Data],$DD106,64),0)</f>
        <v/>
      </c>
      <c r="BO106">
        <f>IFERROR(INDEX(PP_Grid[#Data],$DD106,65),0)</f>
        <v/>
      </c>
      <c r="BP106">
        <f>IFERROR(INDEX(PP_Grid[#Data],$DD106,66),0)</f>
        <v/>
      </c>
      <c r="BQ106">
        <f>IFERROR(INDEX(PP_Grid[#Data],$DD106,67),0)</f>
        <v/>
      </c>
      <c r="BR106">
        <f>IFERROR(INDEX(PP_Grid[#Data],$DD106,68),0)</f>
        <v/>
      </c>
      <c r="BS106">
        <f>IFERROR(INDEX(PP_Grid[#Data],$DD106,69),0)</f>
        <v/>
      </c>
      <c r="BT106">
        <f>IFERROR(INDEX(PP_Grid[#Data],$DD106,70),0)</f>
        <v/>
      </c>
      <c r="BU106">
        <f>IFERROR(INDEX(PP_Grid[#Data],$DD106,71),0)</f>
        <v/>
      </c>
      <c r="BV106">
        <f>IFERROR(INDEX(PP_Grid[#Data],$DD106,72),0)</f>
        <v/>
      </c>
      <c r="BW106">
        <f>IFERROR(INDEX(PP_Grid[#Data],$DD106,73),0)</f>
        <v/>
      </c>
      <c r="BX106">
        <f>IFERROR(INDEX(PP_Grid[#Data],$DD106,74),0)</f>
        <v/>
      </c>
      <c r="BY106">
        <f>IFERROR(INDEX(PP_Grid[#Data],$DD106,75),0)</f>
        <v/>
      </c>
      <c r="BZ106">
        <f>IFERROR(INDEX(PP_Grid[#Data],$DD106,76),0)</f>
        <v/>
      </c>
      <c r="CA106">
        <f>IFERROR(INDEX(PP_Grid[#Data],$DD106,77),0)</f>
        <v/>
      </c>
      <c r="CB106">
        <f>IFERROR(INDEX(PP_Grid[#Data],$DD106,78),0)</f>
        <v/>
      </c>
      <c r="CC106">
        <f>IFERROR(INDEX(PP_Grid[#Data],$DD106,79),0)</f>
        <v/>
      </c>
      <c r="CD106">
        <f>IFERROR(INDEX(PP_Grid[#Data],$DD106,80),0)</f>
        <v/>
      </c>
      <c r="CE106">
        <f>IFERROR(INDEX(PP_Grid[#Data],$DD106,81),0)</f>
        <v/>
      </c>
      <c r="CF106">
        <f>IFERROR(INDEX(PP_Grid[#Data],$DD106,82),0)</f>
        <v/>
      </c>
      <c r="CG106">
        <f>IFERROR(INDEX(PP_Grid[#Data],$DD106,83),0)</f>
        <v/>
      </c>
      <c r="CH106">
        <f>IFERROR(INDEX(PP_Grid[#Data],$DD106,84),0)</f>
        <v/>
      </c>
      <c r="CI106">
        <f>IFERROR(INDEX(PP_Grid[#Data],$DD106,85),0)</f>
        <v/>
      </c>
      <c r="CJ106">
        <f>IFERROR(INDEX(PP_Grid[#Data],$DD106,86),0)</f>
        <v/>
      </c>
      <c r="CK106">
        <f>IFERROR(INDEX(PP_Grid[#Data],$DD106,87),0)</f>
        <v/>
      </c>
      <c r="CL106">
        <f>IFERROR(INDEX(PP_Grid[#Data],$DD106,88),0)</f>
        <v/>
      </c>
      <c r="CM106">
        <f>IFERROR(INDEX(PP_Grid[#Data],$DD106,89),0)</f>
        <v/>
      </c>
      <c r="CN106">
        <f>IFERROR(INDEX(PP_Grid[#Data],$DD106,90),0)</f>
        <v/>
      </c>
      <c r="CO106">
        <f>IFERROR(INDEX(PP_Grid[#Data],$DD106,91),0)</f>
        <v/>
      </c>
      <c r="CP106">
        <f>IFERROR(INDEX(PP_Grid[#Data],$DD106,92),0)</f>
        <v/>
      </c>
      <c r="CQ106">
        <f>IFERROR(INDEX(PP_Grid[#Data],$DD106,93),0)</f>
        <v/>
      </c>
      <c r="CR106">
        <f>IFERROR(INDEX(PP_Grid[#Data],$DD106,94),0)</f>
        <v/>
      </c>
      <c r="CS106">
        <f>IFERROR(INDEX(PP_Grid[#Data],$DD106,95),0)</f>
        <v/>
      </c>
      <c r="CT106">
        <f>IFERROR(INDEX(PP_Grid[#Data],$DD106,96),0)</f>
        <v/>
      </c>
      <c r="CU106">
        <f>IFERROR(INDEX(PP_Grid[#Data],$DD106,97),0)</f>
        <v/>
      </c>
      <c r="CV106">
        <f>IFERROR(INDEX(PP_Grid[#Data],$DD106,98),0)</f>
        <v/>
      </c>
      <c r="CW106">
        <f>IFERROR(INDEX(PP_Grid[#Data],$DD106,99),0)</f>
        <v/>
      </c>
      <c r="CX106">
        <f>IFERROR(INDEX(PP_Grid[#Data],$DD106,100),0)</f>
        <v/>
      </c>
      <c r="CY106">
        <f>IFERROR(INDEX(PP_Grid[#Data],$DD106,101),0)</f>
        <v/>
      </c>
      <c r="CZ106">
        <f>IFERROR(INDEX(PP_Grid[#Data],$DD106,102),0)</f>
        <v/>
      </c>
      <c r="DA106">
        <f>IFERROR(INDEX(PP_Grid[#Data],$DD106,103),0)</f>
        <v/>
      </c>
      <c r="DB106">
        <f>IFERROR(INDEX(PP_Grid[#Data],$DD106,104),0)</f>
        <v/>
      </c>
      <c r="DC106">
        <f>IFERROR(INDEX(PP_Grid[#Data],$DD106,105),0)</f>
        <v/>
      </c>
      <c r="DD106" s="7">
        <f>IFERROR(MATCH($B106,PP_Grid[Intermediate],0),99999)</f>
        <v/>
      </c>
    </row>
    <row r="107">
      <c r="B107" t="inlineStr">
        <is>
          <t>使用量(kg)</t>
        </is>
      </c>
      <c r="C107">
        <f>SUMIFS(M_BOM[RM_Qty_Per_Batch],M_BOM[Intermediate],$B106,M_BOM[Part Name],$A45)</f>
        <v/>
      </c>
      <c r="D107">
        <f>$C107*D106</f>
        <v/>
      </c>
      <c r="E107">
        <f>$C107*E106</f>
        <v/>
      </c>
      <c r="F107">
        <f>$C107*F106</f>
        <v/>
      </c>
      <c r="G107">
        <f>$C107*G106</f>
        <v/>
      </c>
      <c r="H107">
        <f>$C107*H106</f>
        <v/>
      </c>
      <c r="I107">
        <f>$C107*I106</f>
        <v/>
      </c>
      <c r="J107">
        <f>$C107*J106</f>
        <v/>
      </c>
      <c r="K107">
        <f>$C107*K106</f>
        <v/>
      </c>
      <c r="L107">
        <f>$C107*L106</f>
        <v/>
      </c>
      <c r="M107">
        <f>$C107*M106</f>
        <v/>
      </c>
      <c r="N107">
        <f>$C107*N106</f>
        <v/>
      </c>
      <c r="O107">
        <f>$C107*O106</f>
        <v/>
      </c>
      <c r="P107">
        <f>$C107*P106</f>
        <v/>
      </c>
      <c r="Q107">
        <f>$C107*Q106</f>
        <v/>
      </c>
      <c r="R107">
        <f>$C107*R106</f>
        <v/>
      </c>
      <c r="S107">
        <f>$C107*S106</f>
        <v/>
      </c>
      <c r="T107">
        <f>$C107*T106</f>
        <v/>
      </c>
      <c r="U107">
        <f>$C107*U106</f>
        <v/>
      </c>
      <c r="V107">
        <f>$C107*V106</f>
        <v/>
      </c>
      <c r="W107">
        <f>$C107*W106</f>
        <v/>
      </c>
      <c r="X107">
        <f>$C107*X106</f>
        <v/>
      </c>
      <c r="Y107">
        <f>$C107*Y106</f>
        <v/>
      </c>
      <c r="Z107">
        <f>$C107*Z106</f>
        <v/>
      </c>
      <c r="AA107">
        <f>$C107*AA106</f>
        <v/>
      </c>
      <c r="AB107">
        <f>$C107*AB106</f>
        <v/>
      </c>
      <c r="AC107">
        <f>$C107*AC106</f>
        <v/>
      </c>
      <c r="AD107">
        <f>$C107*AD106</f>
        <v/>
      </c>
      <c r="AE107">
        <f>$C107*AE106</f>
        <v/>
      </c>
      <c r="AF107">
        <f>$C107*AF106</f>
        <v/>
      </c>
      <c r="AG107">
        <f>$C107*AG106</f>
        <v/>
      </c>
      <c r="AH107">
        <f>$C107*AH106</f>
        <v/>
      </c>
      <c r="AI107">
        <f>$C107*AI106</f>
        <v/>
      </c>
      <c r="AJ107">
        <f>$C107*AJ106</f>
        <v/>
      </c>
      <c r="AK107">
        <f>$C107*AK106</f>
        <v/>
      </c>
      <c r="AL107">
        <f>$C107*AL106</f>
        <v/>
      </c>
      <c r="AM107">
        <f>$C107*AM106</f>
        <v/>
      </c>
      <c r="AN107">
        <f>$C107*AN106</f>
        <v/>
      </c>
      <c r="AO107">
        <f>$C107*AO106</f>
        <v/>
      </c>
      <c r="AP107">
        <f>$C107*AP106</f>
        <v/>
      </c>
      <c r="AQ107">
        <f>$C107*AQ106</f>
        <v/>
      </c>
      <c r="AR107">
        <f>$C107*AR106</f>
        <v/>
      </c>
      <c r="AS107">
        <f>$C107*AS106</f>
        <v/>
      </c>
      <c r="AT107">
        <f>$C107*AT106</f>
        <v/>
      </c>
      <c r="AU107">
        <f>$C107*AU106</f>
        <v/>
      </c>
      <c r="AV107">
        <f>$C107*AV106</f>
        <v/>
      </c>
      <c r="AW107">
        <f>$C107*AW106</f>
        <v/>
      </c>
      <c r="AX107">
        <f>$C107*AX106</f>
        <v/>
      </c>
      <c r="AY107">
        <f>$C107*AY106</f>
        <v/>
      </c>
      <c r="AZ107">
        <f>$C107*AZ106</f>
        <v/>
      </c>
      <c r="BA107">
        <f>$C107*BA106</f>
        <v/>
      </c>
      <c r="BB107">
        <f>$C107*BB106</f>
        <v/>
      </c>
      <c r="BC107">
        <f>$C107*BC106</f>
        <v/>
      </c>
      <c r="BD107">
        <f>$C107*BD106</f>
        <v/>
      </c>
      <c r="BE107">
        <f>$C107*BE106</f>
        <v/>
      </c>
      <c r="BF107">
        <f>$C107*BF106</f>
        <v/>
      </c>
      <c r="BG107">
        <f>$C107*BG106</f>
        <v/>
      </c>
      <c r="BH107">
        <f>$C107*BH106</f>
        <v/>
      </c>
      <c r="BI107">
        <f>$C107*BI106</f>
        <v/>
      </c>
      <c r="BJ107">
        <f>$C107*BJ106</f>
        <v/>
      </c>
      <c r="BK107">
        <f>$C107*BK106</f>
        <v/>
      </c>
      <c r="BL107">
        <f>$C107*BL106</f>
        <v/>
      </c>
      <c r="BM107">
        <f>$C107*BM106</f>
        <v/>
      </c>
      <c r="BN107">
        <f>$C107*BN106</f>
        <v/>
      </c>
      <c r="BO107">
        <f>$C107*BO106</f>
        <v/>
      </c>
      <c r="BP107">
        <f>$C107*BP106</f>
        <v/>
      </c>
      <c r="BQ107">
        <f>$C107*BQ106</f>
        <v/>
      </c>
      <c r="BR107">
        <f>$C107*BR106</f>
        <v/>
      </c>
      <c r="BS107">
        <f>$C107*BS106</f>
        <v/>
      </c>
      <c r="BT107">
        <f>$C107*BT106</f>
        <v/>
      </c>
      <c r="BU107">
        <f>$C107*BU106</f>
        <v/>
      </c>
      <c r="BV107">
        <f>$C107*BV106</f>
        <v/>
      </c>
      <c r="BW107">
        <f>$C107*BW106</f>
        <v/>
      </c>
      <c r="BX107">
        <f>$C107*BX106</f>
        <v/>
      </c>
      <c r="BY107">
        <f>$C107*BY106</f>
        <v/>
      </c>
      <c r="BZ107">
        <f>$C107*BZ106</f>
        <v/>
      </c>
      <c r="CA107">
        <f>$C107*CA106</f>
        <v/>
      </c>
      <c r="CB107">
        <f>$C107*CB106</f>
        <v/>
      </c>
      <c r="CC107">
        <f>$C107*CC106</f>
        <v/>
      </c>
      <c r="CD107">
        <f>$C107*CD106</f>
        <v/>
      </c>
      <c r="CE107">
        <f>$C107*CE106</f>
        <v/>
      </c>
      <c r="CF107">
        <f>$C107*CF106</f>
        <v/>
      </c>
      <c r="CG107">
        <f>$C107*CG106</f>
        <v/>
      </c>
      <c r="CH107">
        <f>$C107*CH106</f>
        <v/>
      </c>
      <c r="CI107">
        <f>$C107*CI106</f>
        <v/>
      </c>
      <c r="CJ107">
        <f>$C107*CJ106</f>
        <v/>
      </c>
      <c r="CK107">
        <f>$C107*CK106</f>
        <v/>
      </c>
      <c r="CL107">
        <f>$C107*CL106</f>
        <v/>
      </c>
      <c r="CM107">
        <f>$C107*CM106</f>
        <v/>
      </c>
      <c r="CN107">
        <f>$C107*CN106</f>
        <v/>
      </c>
      <c r="CO107">
        <f>$C107*CO106</f>
        <v/>
      </c>
      <c r="CP107">
        <f>$C107*CP106</f>
        <v/>
      </c>
      <c r="CQ107">
        <f>$C107*CQ106</f>
        <v/>
      </c>
      <c r="CR107">
        <f>$C107*CR106</f>
        <v/>
      </c>
      <c r="CS107">
        <f>$C107*CS106</f>
        <v/>
      </c>
      <c r="CT107">
        <f>$C107*CT106</f>
        <v/>
      </c>
      <c r="CU107">
        <f>$C107*CU106</f>
        <v/>
      </c>
      <c r="CV107">
        <f>$C107*CV106</f>
        <v/>
      </c>
      <c r="CW107">
        <f>$C107*CW106</f>
        <v/>
      </c>
      <c r="CX107">
        <f>$C107*CX106</f>
        <v/>
      </c>
      <c r="CY107">
        <f>$C107*CY106</f>
        <v/>
      </c>
      <c r="CZ107">
        <f>$C107*CZ106</f>
        <v/>
      </c>
      <c r="DA107">
        <f>$C107*DA106</f>
        <v/>
      </c>
      <c r="DB107">
        <f>$C107*DB106</f>
        <v/>
      </c>
      <c r="DC107">
        <f>$C107*DC106</f>
        <v/>
      </c>
    </row>
    <row r="108">
      <c r="B108" t="inlineStr">
        <is>
          <t>TSP-655</t>
        </is>
      </c>
      <c r="C108" t="inlineStr">
        <is>
          <t>No. of batches</t>
        </is>
      </c>
      <c r="D108">
        <f>IFERROR(INDEX(PP_Grid[#Data],$DD108,2),0)</f>
        <v/>
      </c>
      <c r="E108">
        <f>IFERROR(INDEX(PP_Grid[#Data],$DD108,3),0)</f>
        <v/>
      </c>
      <c r="F108">
        <f>IFERROR(INDEX(PP_Grid[#Data],$DD108,4),0)</f>
        <v/>
      </c>
      <c r="G108">
        <f>IFERROR(INDEX(PP_Grid[#Data],$DD108,5),0)</f>
        <v/>
      </c>
      <c r="H108">
        <f>IFERROR(INDEX(PP_Grid[#Data],$DD108,6),0)</f>
        <v/>
      </c>
      <c r="I108">
        <f>IFERROR(INDEX(PP_Grid[#Data],$DD108,7),0)</f>
        <v/>
      </c>
      <c r="J108">
        <f>IFERROR(INDEX(PP_Grid[#Data],$DD108,8),0)</f>
        <v/>
      </c>
      <c r="K108">
        <f>IFERROR(INDEX(PP_Grid[#Data],$DD108,9),0)</f>
        <v/>
      </c>
      <c r="L108">
        <f>IFERROR(INDEX(PP_Grid[#Data],$DD108,10),0)</f>
        <v/>
      </c>
      <c r="M108">
        <f>IFERROR(INDEX(PP_Grid[#Data],$DD108,11),0)</f>
        <v/>
      </c>
      <c r="N108">
        <f>IFERROR(INDEX(PP_Grid[#Data],$DD108,12),0)</f>
        <v/>
      </c>
      <c r="O108">
        <f>IFERROR(INDEX(PP_Grid[#Data],$DD108,13),0)</f>
        <v/>
      </c>
      <c r="P108">
        <f>IFERROR(INDEX(PP_Grid[#Data],$DD108,14),0)</f>
        <v/>
      </c>
      <c r="Q108">
        <f>IFERROR(INDEX(PP_Grid[#Data],$DD108,15),0)</f>
        <v/>
      </c>
      <c r="R108">
        <f>IFERROR(INDEX(PP_Grid[#Data],$DD108,16),0)</f>
        <v/>
      </c>
      <c r="S108">
        <f>IFERROR(INDEX(PP_Grid[#Data],$DD108,17),0)</f>
        <v/>
      </c>
      <c r="T108">
        <f>IFERROR(INDEX(PP_Grid[#Data],$DD108,18),0)</f>
        <v/>
      </c>
      <c r="U108">
        <f>IFERROR(INDEX(PP_Grid[#Data],$DD108,19),0)</f>
        <v/>
      </c>
      <c r="V108">
        <f>IFERROR(INDEX(PP_Grid[#Data],$DD108,20),0)</f>
        <v/>
      </c>
      <c r="W108">
        <f>IFERROR(INDEX(PP_Grid[#Data],$DD108,21),0)</f>
        <v/>
      </c>
      <c r="X108">
        <f>IFERROR(INDEX(PP_Grid[#Data],$DD108,22),0)</f>
        <v/>
      </c>
      <c r="Y108">
        <f>IFERROR(INDEX(PP_Grid[#Data],$DD108,23),0)</f>
        <v/>
      </c>
      <c r="Z108">
        <f>IFERROR(INDEX(PP_Grid[#Data],$DD108,24),0)</f>
        <v/>
      </c>
      <c r="AA108">
        <f>IFERROR(INDEX(PP_Grid[#Data],$DD108,25),0)</f>
        <v/>
      </c>
      <c r="AB108">
        <f>IFERROR(INDEX(PP_Grid[#Data],$DD108,26),0)</f>
        <v/>
      </c>
      <c r="AC108">
        <f>IFERROR(INDEX(PP_Grid[#Data],$DD108,27),0)</f>
        <v/>
      </c>
      <c r="AD108">
        <f>IFERROR(INDEX(PP_Grid[#Data],$DD108,28),0)</f>
        <v/>
      </c>
      <c r="AE108">
        <f>IFERROR(INDEX(PP_Grid[#Data],$DD108,29),0)</f>
        <v/>
      </c>
      <c r="AF108">
        <f>IFERROR(INDEX(PP_Grid[#Data],$DD108,30),0)</f>
        <v/>
      </c>
      <c r="AG108">
        <f>IFERROR(INDEX(PP_Grid[#Data],$DD108,31),0)</f>
        <v/>
      </c>
      <c r="AH108">
        <f>IFERROR(INDEX(PP_Grid[#Data],$DD108,32),0)</f>
        <v/>
      </c>
      <c r="AI108">
        <f>IFERROR(INDEX(PP_Grid[#Data],$DD108,33),0)</f>
        <v/>
      </c>
      <c r="AJ108">
        <f>IFERROR(INDEX(PP_Grid[#Data],$DD108,34),0)</f>
        <v/>
      </c>
      <c r="AK108">
        <f>IFERROR(INDEX(PP_Grid[#Data],$DD108,35),0)</f>
        <v/>
      </c>
      <c r="AL108">
        <f>IFERROR(INDEX(PP_Grid[#Data],$DD108,36),0)</f>
        <v/>
      </c>
      <c r="AM108">
        <f>IFERROR(INDEX(PP_Grid[#Data],$DD108,37),0)</f>
        <v/>
      </c>
      <c r="AN108">
        <f>IFERROR(INDEX(PP_Grid[#Data],$DD108,38),0)</f>
        <v/>
      </c>
      <c r="AO108">
        <f>IFERROR(INDEX(PP_Grid[#Data],$DD108,39),0)</f>
        <v/>
      </c>
      <c r="AP108">
        <f>IFERROR(INDEX(PP_Grid[#Data],$DD108,40),0)</f>
        <v/>
      </c>
      <c r="AQ108">
        <f>IFERROR(INDEX(PP_Grid[#Data],$DD108,41),0)</f>
        <v/>
      </c>
      <c r="AR108">
        <f>IFERROR(INDEX(PP_Grid[#Data],$DD108,42),0)</f>
        <v/>
      </c>
      <c r="AS108">
        <f>IFERROR(INDEX(PP_Grid[#Data],$DD108,43),0)</f>
        <v/>
      </c>
      <c r="AT108">
        <f>IFERROR(INDEX(PP_Grid[#Data],$DD108,44),0)</f>
        <v/>
      </c>
      <c r="AU108">
        <f>IFERROR(INDEX(PP_Grid[#Data],$DD108,45),0)</f>
        <v/>
      </c>
      <c r="AV108">
        <f>IFERROR(INDEX(PP_Grid[#Data],$DD108,46),0)</f>
        <v/>
      </c>
      <c r="AW108">
        <f>IFERROR(INDEX(PP_Grid[#Data],$DD108,47),0)</f>
        <v/>
      </c>
      <c r="AX108">
        <f>IFERROR(INDEX(PP_Grid[#Data],$DD108,48),0)</f>
        <v/>
      </c>
      <c r="AY108">
        <f>IFERROR(INDEX(PP_Grid[#Data],$DD108,49),0)</f>
        <v/>
      </c>
      <c r="AZ108">
        <f>IFERROR(INDEX(PP_Grid[#Data],$DD108,50),0)</f>
        <v/>
      </c>
      <c r="BA108">
        <f>IFERROR(INDEX(PP_Grid[#Data],$DD108,51),0)</f>
        <v/>
      </c>
      <c r="BB108">
        <f>IFERROR(INDEX(PP_Grid[#Data],$DD108,52),0)</f>
        <v/>
      </c>
      <c r="BC108">
        <f>IFERROR(INDEX(PP_Grid[#Data],$DD108,53),0)</f>
        <v/>
      </c>
      <c r="BD108">
        <f>IFERROR(INDEX(PP_Grid[#Data],$DD108,54),0)</f>
        <v/>
      </c>
      <c r="BE108">
        <f>IFERROR(INDEX(PP_Grid[#Data],$DD108,55),0)</f>
        <v/>
      </c>
      <c r="BF108">
        <f>IFERROR(INDEX(PP_Grid[#Data],$DD108,56),0)</f>
        <v/>
      </c>
      <c r="BG108">
        <f>IFERROR(INDEX(PP_Grid[#Data],$DD108,57),0)</f>
        <v/>
      </c>
      <c r="BH108">
        <f>IFERROR(INDEX(PP_Grid[#Data],$DD108,58),0)</f>
        <v/>
      </c>
      <c r="BI108">
        <f>IFERROR(INDEX(PP_Grid[#Data],$DD108,59),0)</f>
        <v/>
      </c>
      <c r="BJ108">
        <f>IFERROR(INDEX(PP_Grid[#Data],$DD108,60),0)</f>
        <v/>
      </c>
      <c r="BK108">
        <f>IFERROR(INDEX(PP_Grid[#Data],$DD108,61),0)</f>
        <v/>
      </c>
      <c r="BL108">
        <f>IFERROR(INDEX(PP_Grid[#Data],$DD108,62),0)</f>
        <v/>
      </c>
      <c r="BM108">
        <f>IFERROR(INDEX(PP_Grid[#Data],$DD108,63),0)</f>
        <v/>
      </c>
      <c r="BN108">
        <f>IFERROR(INDEX(PP_Grid[#Data],$DD108,64),0)</f>
        <v/>
      </c>
      <c r="BO108">
        <f>IFERROR(INDEX(PP_Grid[#Data],$DD108,65),0)</f>
        <v/>
      </c>
      <c r="BP108">
        <f>IFERROR(INDEX(PP_Grid[#Data],$DD108,66),0)</f>
        <v/>
      </c>
      <c r="BQ108">
        <f>IFERROR(INDEX(PP_Grid[#Data],$DD108,67),0)</f>
        <v/>
      </c>
      <c r="BR108">
        <f>IFERROR(INDEX(PP_Grid[#Data],$DD108,68),0)</f>
        <v/>
      </c>
      <c r="BS108">
        <f>IFERROR(INDEX(PP_Grid[#Data],$DD108,69),0)</f>
        <v/>
      </c>
      <c r="BT108">
        <f>IFERROR(INDEX(PP_Grid[#Data],$DD108,70),0)</f>
        <v/>
      </c>
      <c r="BU108">
        <f>IFERROR(INDEX(PP_Grid[#Data],$DD108,71),0)</f>
        <v/>
      </c>
      <c r="BV108">
        <f>IFERROR(INDEX(PP_Grid[#Data],$DD108,72),0)</f>
        <v/>
      </c>
      <c r="BW108">
        <f>IFERROR(INDEX(PP_Grid[#Data],$DD108,73),0)</f>
        <v/>
      </c>
      <c r="BX108">
        <f>IFERROR(INDEX(PP_Grid[#Data],$DD108,74),0)</f>
        <v/>
      </c>
      <c r="BY108">
        <f>IFERROR(INDEX(PP_Grid[#Data],$DD108,75),0)</f>
        <v/>
      </c>
      <c r="BZ108">
        <f>IFERROR(INDEX(PP_Grid[#Data],$DD108,76),0)</f>
        <v/>
      </c>
      <c r="CA108">
        <f>IFERROR(INDEX(PP_Grid[#Data],$DD108,77),0)</f>
        <v/>
      </c>
      <c r="CB108">
        <f>IFERROR(INDEX(PP_Grid[#Data],$DD108,78),0)</f>
        <v/>
      </c>
      <c r="CC108">
        <f>IFERROR(INDEX(PP_Grid[#Data],$DD108,79),0)</f>
        <v/>
      </c>
      <c r="CD108">
        <f>IFERROR(INDEX(PP_Grid[#Data],$DD108,80),0)</f>
        <v/>
      </c>
      <c r="CE108">
        <f>IFERROR(INDEX(PP_Grid[#Data],$DD108,81),0)</f>
        <v/>
      </c>
      <c r="CF108">
        <f>IFERROR(INDEX(PP_Grid[#Data],$DD108,82),0)</f>
        <v/>
      </c>
      <c r="CG108">
        <f>IFERROR(INDEX(PP_Grid[#Data],$DD108,83),0)</f>
        <v/>
      </c>
      <c r="CH108">
        <f>IFERROR(INDEX(PP_Grid[#Data],$DD108,84),0)</f>
        <v/>
      </c>
      <c r="CI108">
        <f>IFERROR(INDEX(PP_Grid[#Data],$DD108,85),0)</f>
        <v/>
      </c>
      <c r="CJ108">
        <f>IFERROR(INDEX(PP_Grid[#Data],$DD108,86),0)</f>
        <v/>
      </c>
      <c r="CK108">
        <f>IFERROR(INDEX(PP_Grid[#Data],$DD108,87),0)</f>
        <v/>
      </c>
      <c r="CL108">
        <f>IFERROR(INDEX(PP_Grid[#Data],$DD108,88),0)</f>
        <v/>
      </c>
      <c r="CM108">
        <f>IFERROR(INDEX(PP_Grid[#Data],$DD108,89),0)</f>
        <v/>
      </c>
      <c r="CN108">
        <f>IFERROR(INDEX(PP_Grid[#Data],$DD108,90),0)</f>
        <v/>
      </c>
      <c r="CO108">
        <f>IFERROR(INDEX(PP_Grid[#Data],$DD108,91),0)</f>
        <v/>
      </c>
      <c r="CP108">
        <f>IFERROR(INDEX(PP_Grid[#Data],$DD108,92),0)</f>
        <v/>
      </c>
      <c r="CQ108">
        <f>IFERROR(INDEX(PP_Grid[#Data],$DD108,93),0)</f>
        <v/>
      </c>
      <c r="CR108">
        <f>IFERROR(INDEX(PP_Grid[#Data],$DD108,94),0)</f>
        <v/>
      </c>
      <c r="CS108">
        <f>IFERROR(INDEX(PP_Grid[#Data],$DD108,95),0)</f>
        <v/>
      </c>
      <c r="CT108">
        <f>IFERROR(INDEX(PP_Grid[#Data],$DD108,96),0)</f>
        <v/>
      </c>
      <c r="CU108">
        <f>IFERROR(INDEX(PP_Grid[#Data],$DD108,97),0)</f>
        <v/>
      </c>
      <c r="CV108">
        <f>IFERROR(INDEX(PP_Grid[#Data],$DD108,98),0)</f>
        <v/>
      </c>
      <c r="CW108">
        <f>IFERROR(INDEX(PP_Grid[#Data],$DD108,99),0)</f>
        <v/>
      </c>
      <c r="CX108">
        <f>IFERROR(INDEX(PP_Grid[#Data],$DD108,100),0)</f>
        <v/>
      </c>
      <c r="CY108">
        <f>IFERROR(INDEX(PP_Grid[#Data],$DD108,101),0)</f>
        <v/>
      </c>
      <c r="CZ108">
        <f>IFERROR(INDEX(PP_Grid[#Data],$DD108,102),0)</f>
        <v/>
      </c>
      <c r="DA108">
        <f>IFERROR(INDEX(PP_Grid[#Data],$DD108,103),0)</f>
        <v/>
      </c>
      <c r="DB108">
        <f>IFERROR(INDEX(PP_Grid[#Data],$DD108,104),0)</f>
        <v/>
      </c>
      <c r="DC108">
        <f>IFERROR(INDEX(PP_Grid[#Data],$DD108,105),0)</f>
        <v/>
      </c>
      <c r="DD108" s="7">
        <f>IFERROR(MATCH($B108,PP_Grid[Intermediate],0),99999)</f>
        <v/>
      </c>
    </row>
    <row r="109">
      <c r="B109" t="inlineStr">
        <is>
          <t>使用量(kg)</t>
        </is>
      </c>
      <c r="C109">
        <f>SUMIFS(M_BOM[RM_Qty_Per_Batch],M_BOM[Intermediate],$B108,M_BOM[Part Name],$A45)</f>
        <v/>
      </c>
      <c r="D109">
        <f>$C109*D108</f>
        <v/>
      </c>
      <c r="E109">
        <f>$C109*E108</f>
        <v/>
      </c>
      <c r="F109">
        <f>$C109*F108</f>
        <v/>
      </c>
      <c r="G109">
        <f>$C109*G108</f>
        <v/>
      </c>
      <c r="H109">
        <f>$C109*H108</f>
        <v/>
      </c>
      <c r="I109">
        <f>$C109*I108</f>
        <v/>
      </c>
      <c r="J109">
        <f>$C109*J108</f>
        <v/>
      </c>
      <c r="K109">
        <f>$C109*K108</f>
        <v/>
      </c>
      <c r="L109">
        <f>$C109*L108</f>
        <v/>
      </c>
      <c r="M109">
        <f>$C109*M108</f>
        <v/>
      </c>
      <c r="N109">
        <f>$C109*N108</f>
        <v/>
      </c>
      <c r="O109">
        <f>$C109*O108</f>
        <v/>
      </c>
      <c r="P109">
        <f>$C109*P108</f>
        <v/>
      </c>
      <c r="Q109">
        <f>$C109*Q108</f>
        <v/>
      </c>
      <c r="R109">
        <f>$C109*R108</f>
        <v/>
      </c>
      <c r="S109">
        <f>$C109*S108</f>
        <v/>
      </c>
      <c r="T109">
        <f>$C109*T108</f>
        <v/>
      </c>
      <c r="U109">
        <f>$C109*U108</f>
        <v/>
      </c>
      <c r="V109">
        <f>$C109*V108</f>
        <v/>
      </c>
      <c r="W109">
        <f>$C109*W108</f>
        <v/>
      </c>
      <c r="X109">
        <f>$C109*X108</f>
        <v/>
      </c>
      <c r="Y109">
        <f>$C109*Y108</f>
        <v/>
      </c>
      <c r="Z109">
        <f>$C109*Z108</f>
        <v/>
      </c>
      <c r="AA109">
        <f>$C109*AA108</f>
        <v/>
      </c>
      <c r="AB109">
        <f>$C109*AB108</f>
        <v/>
      </c>
      <c r="AC109">
        <f>$C109*AC108</f>
        <v/>
      </c>
      <c r="AD109">
        <f>$C109*AD108</f>
        <v/>
      </c>
      <c r="AE109">
        <f>$C109*AE108</f>
        <v/>
      </c>
      <c r="AF109">
        <f>$C109*AF108</f>
        <v/>
      </c>
      <c r="AG109">
        <f>$C109*AG108</f>
        <v/>
      </c>
      <c r="AH109">
        <f>$C109*AH108</f>
        <v/>
      </c>
      <c r="AI109">
        <f>$C109*AI108</f>
        <v/>
      </c>
      <c r="AJ109">
        <f>$C109*AJ108</f>
        <v/>
      </c>
      <c r="AK109">
        <f>$C109*AK108</f>
        <v/>
      </c>
      <c r="AL109">
        <f>$C109*AL108</f>
        <v/>
      </c>
      <c r="AM109">
        <f>$C109*AM108</f>
        <v/>
      </c>
      <c r="AN109">
        <f>$C109*AN108</f>
        <v/>
      </c>
      <c r="AO109">
        <f>$C109*AO108</f>
        <v/>
      </c>
      <c r="AP109">
        <f>$C109*AP108</f>
        <v/>
      </c>
      <c r="AQ109">
        <f>$C109*AQ108</f>
        <v/>
      </c>
      <c r="AR109">
        <f>$C109*AR108</f>
        <v/>
      </c>
      <c r="AS109">
        <f>$C109*AS108</f>
        <v/>
      </c>
      <c r="AT109">
        <f>$C109*AT108</f>
        <v/>
      </c>
      <c r="AU109">
        <f>$C109*AU108</f>
        <v/>
      </c>
      <c r="AV109">
        <f>$C109*AV108</f>
        <v/>
      </c>
      <c r="AW109">
        <f>$C109*AW108</f>
        <v/>
      </c>
      <c r="AX109">
        <f>$C109*AX108</f>
        <v/>
      </c>
      <c r="AY109">
        <f>$C109*AY108</f>
        <v/>
      </c>
      <c r="AZ109">
        <f>$C109*AZ108</f>
        <v/>
      </c>
      <c r="BA109">
        <f>$C109*BA108</f>
        <v/>
      </c>
      <c r="BB109">
        <f>$C109*BB108</f>
        <v/>
      </c>
      <c r="BC109">
        <f>$C109*BC108</f>
        <v/>
      </c>
      <c r="BD109">
        <f>$C109*BD108</f>
        <v/>
      </c>
      <c r="BE109">
        <f>$C109*BE108</f>
        <v/>
      </c>
      <c r="BF109">
        <f>$C109*BF108</f>
        <v/>
      </c>
      <c r="BG109">
        <f>$C109*BG108</f>
        <v/>
      </c>
      <c r="BH109">
        <f>$C109*BH108</f>
        <v/>
      </c>
      <c r="BI109">
        <f>$C109*BI108</f>
        <v/>
      </c>
      <c r="BJ109">
        <f>$C109*BJ108</f>
        <v/>
      </c>
      <c r="BK109">
        <f>$C109*BK108</f>
        <v/>
      </c>
      <c r="BL109">
        <f>$C109*BL108</f>
        <v/>
      </c>
      <c r="BM109">
        <f>$C109*BM108</f>
        <v/>
      </c>
      <c r="BN109">
        <f>$C109*BN108</f>
        <v/>
      </c>
      <c r="BO109">
        <f>$C109*BO108</f>
        <v/>
      </c>
      <c r="BP109">
        <f>$C109*BP108</f>
        <v/>
      </c>
      <c r="BQ109">
        <f>$C109*BQ108</f>
        <v/>
      </c>
      <c r="BR109">
        <f>$C109*BR108</f>
        <v/>
      </c>
      <c r="BS109">
        <f>$C109*BS108</f>
        <v/>
      </c>
      <c r="BT109">
        <f>$C109*BT108</f>
        <v/>
      </c>
      <c r="BU109">
        <f>$C109*BU108</f>
        <v/>
      </c>
      <c r="BV109">
        <f>$C109*BV108</f>
        <v/>
      </c>
      <c r="BW109">
        <f>$C109*BW108</f>
        <v/>
      </c>
      <c r="BX109">
        <f>$C109*BX108</f>
        <v/>
      </c>
      <c r="BY109">
        <f>$C109*BY108</f>
        <v/>
      </c>
      <c r="BZ109">
        <f>$C109*BZ108</f>
        <v/>
      </c>
      <c r="CA109">
        <f>$C109*CA108</f>
        <v/>
      </c>
      <c r="CB109">
        <f>$C109*CB108</f>
        <v/>
      </c>
      <c r="CC109">
        <f>$C109*CC108</f>
        <v/>
      </c>
      <c r="CD109">
        <f>$C109*CD108</f>
        <v/>
      </c>
      <c r="CE109">
        <f>$C109*CE108</f>
        <v/>
      </c>
      <c r="CF109">
        <f>$C109*CF108</f>
        <v/>
      </c>
      <c r="CG109">
        <f>$C109*CG108</f>
        <v/>
      </c>
      <c r="CH109">
        <f>$C109*CH108</f>
        <v/>
      </c>
      <c r="CI109">
        <f>$C109*CI108</f>
        <v/>
      </c>
      <c r="CJ109">
        <f>$C109*CJ108</f>
        <v/>
      </c>
      <c r="CK109">
        <f>$C109*CK108</f>
        <v/>
      </c>
      <c r="CL109">
        <f>$C109*CL108</f>
        <v/>
      </c>
      <c r="CM109">
        <f>$C109*CM108</f>
        <v/>
      </c>
      <c r="CN109">
        <f>$C109*CN108</f>
        <v/>
      </c>
      <c r="CO109">
        <f>$C109*CO108</f>
        <v/>
      </c>
      <c r="CP109">
        <f>$C109*CP108</f>
        <v/>
      </c>
      <c r="CQ109">
        <f>$C109*CQ108</f>
        <v/>
      </c>
      <c r="CR109">
        <f>$C109*CR108</f>
        <v/>
      </c>
      <c r="CS109">
        <f>$C109*CS108</f>
        <v/>
      </c>
      <c r="CT109">
        <f>$C109*CT108</f>
        <v/>
      </c>
      <c r="CU109">
        <f>$C109*CU108</f>
        <v/>
      </c>
      <c r="CV109">
        <f>$C109*CV108</f>
        <v/>
      </c>
      <c r="CW109">
        <f>$C109*CW108</f>
        <v/>
      </c>
      <c r="CX109">
        <f>$C109*CX108</f>
        <v/>
      </c>
      <c r="CY109">
        <f>$C109*CY108</f>
        <v/>
      </c>
      <c r="CZ109">
        <f>$C109*CZ108</f>
        <v/>
      </c>
      <c r="DA109">
        <f>$C109*DA108</f>
        <v/>
      </c>
      <c r="DB109">
        <f>$C109*DB108</f>
        <v/>
      </c>
      <c r="DC109">
        <f>$C109*DC108</f>
        <v/>
      </c>
    </row>
    <row r="110">
      <c r="B110" t="inlineStr">
        <is>
          <t>TSP-656</t>
        </is>
      </c>
      <c r="C110" t="inlineStr">
        <is>
          <t>No. of batches</t>
        </is>
      </c>
      <c r="D110">
        <f>IFERROR(INDEX(PP_Grid[#Data],$DD110,2),0)</f>
        <v/>
      </c>
      <c r="E110">
        <f>IFERROR(INDEX(PP_Grid[#Data],$DD110,3),0)</f>
        <v/>
      </c>
      <c r="F110">
        <f>IFERROR(INDEX(PP_Grid[#Data],$DD110,4),0)</f>
        <v/>
      </c>
      <c r="G110">
        <f>IFERROR(INDEX(PP_Grid[#Data],$DD110,5),0)</f>
        <v/>
      </c>
      <c r="H110">
        <f>IFERROR(INDEX(PP_Grid[#Data],$DD110,6),0)</f>
        <v/>
      </c>
      <c r="I110">
        <f>IFERROR(INDEX(PP_Grid[#Data],$DD110,7),0)</f>
        <v/>
      </c>
      <c r="J110">
        <f>IFERROR(INDEX(PP_Grid[#Data],$DD110,8),0)</f>
        <v/>
      </c>
      <c r="K110">
        <f>IFERROR(INDEX(PP_Grid[#Data],$DD110,9),0)</f>
        <v/>
      </c>
      <c r="L110">
        <f>IFERROR(INDEX(PP_Grid[#Data],$DD110,10),0)</f>
        <v/>
      </c>
      <c r="M110">
        <f>IFERROR(INDEX(PP_Grid[#Data],$DD110,11),0)</f>
        <v/>
      </c>
      <c r="N110">
        <f>IFERROR(INDEX(PP_Grid[#Data],$DD110,12),0)</f>
        <v/>
      </c>
      <c r="O110">
        <f>IFERROR(INDEX(PP_Grid[#Data],$DD110,13),0)</f>
        <v/>
      </c>
      <c r="P110">
        <f>IFERROR(INDEX(PP_Grid[#Data],$DD110,14),0)</f>
        <v/>
      </c>
      <c r="Q110">
        <f>IFERROR(INDEX(PP_Grid[#Data],$DD110,15),0)</f>
        <v/>
      </c>
      <c r="R110">
        <f>IFERROR(INDEX(PP_Grid[#Data],$DD110,16),0)</f>
        <v/>
      </c>
      <c r="S110">
        <f>IFERROR(INDEX(PP_Grid[#Data],$DD110,17),0)</f>
        <v/>
      </c>
      <c r="T110">
        <f>IFERROR(INDEX(PP_Grid[#Data],$DD110,18),0)</f>
        <v/>
      </c>
      <c r="U110">
        <f>IFERROR(INDEX(PP_Grid[#Data],$DD110,19),0)</f>
        <v/>
      </c>
      <c r="V110">
        <f>IFERROR(INDEX(PP_Grid[#Data],$DD110,20),0)</f>
        <v/>
      </c>
      <c r="W110">
        <f>IFERROR(INDEX(PP_Grid[#Data],$DD110,21),0)</f>
        <v/>
      </c>
      <c r="X110">
        <f>IFERROR(INDEX(PP_Grid[#Data],$DD110,22),0)</f>
        <v/>
      </c>
      <c r="Y110">
        <f>IFERROR(INDEX(PP_Grid[#Data],$DD110,23),0)</f>
        <v/>
      </c>
      <c r="Z110">
        <f>IFERROR(INDEX(PP_Grid[#Data],$DD110,24),0)</f>
        <v/>
      </c>
      <c r="AA110">
        <f>IFERROR(INDEX(PP_Grid[#Data],$DD110,25),0)</f>
        <v/>
      </c>
      <c r="AB110">
        <f>IFERROR(INDEX(PP_Grid[#Data],$DD110,26),0)</f>
        <v/>
      </c>
      <c r="AC110">
        <f>IFERROR(INDEX(PP_Grid[#Data],$DD110,27),0)</f>
        <v/>
      </c>
      <c r="AD110">
        <f>IFERROR(INDEX(PP_Grid[#Data],$DD110,28),0)</f>
        <v/>
      </c>
      <c r="AE110">
        <f>IFERROR(INDEX(PP_Grid[#Data],$DD110,29),0)</f>
        <v/>
      </c>
      <c r="AF110">
        <f>IFERROR(INDEX(PP_Grid[#Data],$DD110,30),0)</f>
        <v/>
      </c>
      <c r="AG110">
        <f>IFERROR(INDEX(PP_Grid[#Data],$DD110,31),0)</f>
        <v/>
      </c>
      <c r="AH110">
        <f>IFERROR(INDEX(PP_Grid[#Data],$DD110,32),0)</f>
        <v/>
      </c>
      <c r="AI110">
        <f>IFERROR(INDEX(PP_Grid[#Data],$DD110,33),0)</f>
        <v/>
      </c>
      <c r="AJ110">
        <f>IFERROR(INDEX(PP_Grid[#Data],$DD110,34),0)</f>
        <v/>
      </c>
      <c r="AK110">
        <f>IFERROR(INDEX(PP_Grid[#Data],$DD110,35),0)</f>
        <v/>
      </c>
      <c r="AL110">
        <f>IFERROR(INDEX(PP_Grid[#Data],$DD110,36),0)</f>
        <v/>
      </c>
      <c r="AM110">
        <f>IFERROR(INDEX(PP_Grid[#Data],$DD110,37),0)</f>
        <v/>
      </c>
      <c r="AN110">
        <f>IFERROR(INDEX(PP_Grid[#Data],$DD110,38),0)</f>
        <v/>
      </c>
      <c r="AO110">
        <f>IFERROR(INDEX(PP_Grid[#Data],$DD110,39),0)</f>
        <v/>
      </c>
      <c r="AP110">
        <f>IFERROR(INDEX(PP_Grid[#Data],$DD110,40),0)</f>
        <v/>
      </c>
      <c r="AQ110">
        <f>IFERROR(INDEX(PP_Grid[#Data],$DD110,41),0)</f>
        <v/>
      </c>
      <c r="AR110">
        <f>IFERROR(INDEX(PP_Grid[#Data],$DD110,42),0)</f>
        <v/>
      </c>
      <c r="AS110">
        <f>IFERROR(INDEX(PP_Grid[#Data],$DD110,43),0)</f>
        <v/>
      </c>
      <c r="AT110">
        <f>IFERROR(INDEX(PP_Grid[#Data],$DD110,44),0)</f>
        <v/>
      </c>
      <c r="AU110">
        <f>IFERROR(INDEX(PP_Grid[#Data],$DD110,45),0)</f>
        <v/>
      </c>
      <c r="AV110">
        <f>IFERROR(INDEX(PP_Grid[#Data],$DD110,46),0)</f>
        <v/>
      </c>
      <c r="AW110">
        <f>IFERROR(INDEX(PP_Grid[#Data],$DD110,47),0)</f>
        <v/>
      </c>
      <c r="AX110">
        <f>IFERROR(INDEX(PP_Grid[#Data],$DD110,48),0)</f>
        <v/>
      </c>
      <c r="AY110">
        <f>IFERROR(INDEX(PP_Grid[#Data],$DD110,49),0)</f>
        <v/>
      </c>
      <c r="AZ110">
        <f>IFERROR(INDEX(PP_Grid[#Data],$DD110,50),0)</f>
        <v/>
      </c>
      <c r="BA110">
        <f>IFERROR(INDEX(PP_Grid[#Data],$DD110,51),0)</f>
        <v/>
      </c>
      <c r="BB110">
        <f>IFERROR(INDEX(PP_Grid[#Data],$DD110,52),0)</f>
        <v/>
      </c>
      <c r="BC110">
        <f>IFERROR(INDEX(PP_Grid[#Data],$DD110,53),0)</f>
        <v/>
      </c>
      <c r="BD110">
        <f>IFERROR(INDEX(PP_Grid[#Data],$DD110,54),0)</f>
        <v/>
      </c>
      <c r="BE110">
        <f>IFERROR(INDEX(PP_Grid[#Data],$DD110,55),0)</f>
        <v/>
      </c>
      <c r="BF110">
        <f>IFERROR(INDEX(PP_Grid[#Data],$DD110,56),0)</f>
        <v/>
      </c>
      <c r="BG110">
        <f>IFERROR(INDEX(PP_Grid[#Data],$DD110,57),0)</f>
        <v/>
      </c>
      <c r="BH110">
        <f>IFERROR(INDEX(PP_Grid[#Data],$DD110,58),0)</f>
        <v/>
      </c>
      <c r="BI110">
        <f>IFERROR(INDEX(PP_Grid[#Data],$DD110,59),0)</f>
        <v/>
      </c>
      <c r="BJ110">
        <f>IFERROR(INDEX(PP_Grid[#Data],$DD110,60),0)</f>
        <v/>
      </c>
      <c r="BK110">
        <f>IFERROR(INDEX(PP_Grid[#Data],$DD110,61),0)</f>
        <v/>
      </c>
      <c r="BL110">
        <f>IFERROR(INDEX(PP_Grid[#Data],$DD110,62),0)</f>
        <v/>
      </c>
      <c r="BM110">
        <f>IFERROR(INDEX(PP_Grid[#Data],$DD110,63),0)</f>
        <v/>
      </c>
      <c r="BN110">
        <f>IFERROR(INDEX(PP_Grid[#Data],$DD110,64),0)</f>
        <v/>
      </c>
      <c r="BO110">
        <f>IFERROR(INDEX(PP_Grid[#Data],$DD110,65),0)</f>
        <v/>
      </c>
      <c r="BP110">
        <f>IFERROR(INDEX(PP_Grid[#Data],$DD110,66),0)</f>
        <v/>
      </c>
      <c r="BQ110">
        <f>IFERROR(INDEX(PP_Grid[#Data],$DD110,67),0)</f>
        <v/>
      </c>
      <c r="BR110">
        <f>IFERROR(INDEX(PP_Grid[#Data],$DD110,68),0)</f>
        <v/>
      </c>
      <c r="BS110">
        <f>IFERROR(INDEX(PP_Grid[#Data],$DD110,69),0)</f>
        <v/>
      </c>
      <c r="BT110">
        <f>IFERROR(INDEX(PP_Grid[#Data],$DD110,70),0)</f>
        <v/>
      </c>
      <c r="BU110">
        <f>IFERROR(INDEX(PP_Grid[#Data],$DD110,71),0)</f>
        <v/>
      </c>
      <c r="BV110">
        <f>IFERROR(INDEX(PP_Grid[#Data],$DD110,72),0)</f>
        <v/>
      </c>
      <c r="BW110">
        <f>IFERROR(INDEX(PP_Grid[#Data],$DD110,73),0)</f>
        <v/>
      </c>
      <c r="BX110">
        <f>IFERROR(INDEX(PP_Grid[#Data],$DD110,74),0)</f>
        <v/>
      </c>
      <c r="BY110">
        <f>IFERROR(INDEX(PP_Grid[#Data],$DD110,75),0)</f>
        <v/>
      </c>
      <c r="BZ110">
        <f>IFERROR(INDEX(PP_Grid[#Data],$DD110,76),0)</f>
        <v/>
      </c>
      <c r="CA110">
        <f>IFERROR(INDEX(PP_Grid[#Data],$DD110,77),0)</f>
        <v/>
      </c>
      <c r="CB110">
        <f>IFERROR(INDEX(PP_Grid[#Data],$DD110,78),0)</f>
        <v/>
      </c>
      <c r="CC110">
        <f>IFERROR(INDEX(PP_Grid[#Data],$DD110,79),0)</f>
        <v/>
      </c>
      <c r="CD110">
        <f>IFERROR(INDEX(PP_Grid[#Data],$DD110,80),0)</f>
        <v/>
      </c>
      <c r="CE110">
        <f>IFERROR(INDEX(PP_Grid[#Data],$DD110,81),0)</f>
        <v/>
      </c>
      <c r="CF110">
        <f>IFERROR(INDEX(PP_Grid[#Data],$DD110,82),0)</f>
        <v/>
      </c>
      <c r="CG110">
        <f>IFERROR(INDEX(PP_Grid[#Data],$DD110,83),0)</f>
        <v/>
      </c>
      <c r="CH110">
        <f>IFERROR(INDEX(PP_Grid[#Data],$DD110,84),0)</f>
        <v/>
      </c>
      <c r="CI110">
        <f>IFERROR(INDEX(PP_Grid[#Data],$DD110,85),0)</f>
        <v/>
      </c>
      <c r="CJ110">
        <f>IFERROR(INDEX(PP_Grid[#Data],$DD110,86),0)</f>
        <v/>
      </c>
      <c r="CK110">
        <f>IFERROR(INDEX(PP_Grid[#Data],$DD110,87),0)</f>
        <v/>
      </c>
      <c r="CL110">
        <f>IFERROR(INDEX(PP_Grid[#Data],$DD110,88),0)</f>
        <v/>
      </c>
      <c r="CM110">
        <f>IFERROR(INDEX(PP_Grid[#Data],$DD110,89),0)</f>
        <v/>
      </c>
      <c r="CN110">
        <f>IFERROR(INDEX(PP_Grid[#Data],$DD110,90),0)</f>
        <v/>
      </c>
      <c r="CO110">
        <f>IFERROR(INDEX(PP_Grid[#Data],$DD110,91),0)</f>
        <v/>
      </c>
      <c r="CP110">
        <f>IFERROR(INDEX(PP_Grid[#Data],$DD110,92),0)</f>
        <v/>
      </c>
      <c r="CQ110">
        <f>IFERROR(INDEX(PP_Grid[#Data],$DD110,93),0)</f>
        <v/>
      </c>
      <c r="CR110">
        <f>IFERROR(INDEX(PP_Grid[#Data],$DD110,94),0)</f>
        <v/>
      </c>
      <c r="CS110">
        <f>IFERROR(INDEX(PP_Grid[#Data],$DD110,95),0)</f>
        <v/>
      </c>
      <c r="CT110">
        <f>IFERROR(INDEX(PP_Grid[#Data],$DD110,96),0)</f>
        <v/>
      </c>
      <c r="CU110">
        <f>IFERROR(INDEX(PP_Grid[#Data],$DD110,97),0)</f>
        <v/>
      </c>
      <c r="CV110">
        <f>IFERROR(INDEX(PP_Grid[#Data],$DD110,98),0)</f>
        <v/>
      </c>
      <c r="CW110">
        <f>IFERROR(INDEX(PP_Grid[#Data],$DD110,99),0)</f>
        <v/>
      </c>
      <c r="CX110">
        <f>IFERROR(INDEX(PP_Grid[#Data],$DD110,100),0)</f>
        <v/>
      </c>
      <c r="CY110">
        <f>IFERROR(INDEX(PP_Grid[#Data],$DD110,101),0)</f>
        <v/>
      </c>
      <c r="CZ110">
        <f>IFERROR(INDEX(PP_Grid[#Data],$DD110,102),0)</f>
        <v/>
      </c>
      <c r="DA110">
        <f>IFERROR(INDEX(PP_Grid[#Data],$DD110,103),0)</f>
        <v/>
      </c>
      <c r="DB110">
        <f>IFERROR(INDEX(PP_Grid[#Data],$DD110,104),0)</f>
        <v/>
      </c>
      <c r="DC110">
        <f>IFERROR(INDEX(PP_Grid[#Data],$DD110,105),0)</f>
        <v/>
      </c>
      <c r="DD110" s="7">
        <f>IFERROR(MATCH($B110,PP_Grid[Intermediate],0),99999)</f>
        <v/>
      </c>
    </row>
    <row r="111">
      <c r="B111" t="inlineStr">
        <is>
          <t>使用量(kg)</t>
        </is>
      </c>
      <c r="C111">
        <f>SUMIFS(M_BOM[RM_Qty_Per_Batch],M_BOM[Intermediate],$B110,M_BOM[Part Name],$A45)</f>
        <v/>
      </c>
      <c r="D111">
        <f>$C111*D110</f>
        <v/>
      </c>
      <c r="E111">
        <f>$C111*E110</f>
        <v/>
      </c>
      <c r="F111">
        <f>$C111*F110</f>
        <v/>
      </c>
      <c r="G111">
        <f>$C111*G110</f>
        <v/>
      </c>
      <c r="H111">
        <f>$C111*H110</f>
        <v/>
      </c>
      <c r="I111">
        <f>$C111*I110</f>
        <v/>
      </c>
      <c r="J111">
        <f>$C111*J110</f>
        <v/>
      </c>
      <c r="K111">
        <f>$C111*K110</f>
        <v/>
      </c>
      <c r="L111">
        <f>$C111*L110</f>
        <v/>
      </c>
      <c r="M111">
        <f>$C111*M110</f>
        <v/>
      </c>
      <c r="N111">
        <f>$C111*N110</f>
        <v/>
      </c>
      <c r="O111">
        <f>$C111*O110</f>
        <v/>
      </c>
      <c r="P111">
        <f>$C111*P110</f>
        <v/>
      </c>
      <c r="Q111">
        <f>$C111*Q110</f>
        <v/>
      </c>
      <c r="R111">
        <f>$C111*R110</f>
        <v/>
      </c>
      <c r="S111">
        <f>$C111*S110</f>
        <v/>
      </c>
      <c r="T111">
        <f>$C111*T110</f>
        <v/>
      </c>
      <c r="U111">
        <f>$C111*U110</f>
        <v/>
      </c>
      <c r="V111">
        <f>$C111*V110</f>
        <v/>
      </c>
      <c r="W111">
        <f>$C111*W110</f>
        <v/>
      </c>
      <c r="X111">
        <f>$C111*X110</f>
        <v/>
      </c>
      <c r="Y111">
        <f>$C111*Y110</f>
        <v/>
      </c>
      <c r="Z111">
        <f>$C111*Z110</f>
        <v/>
      </c>
      <c r="AA111">
        <f>$C111*AA110</f>
        <v/>
      </c>
      <c r="AB111">
        <f>$C111*AB110</f>
        <v/>
      </c>
      <c r="AC111">
        <f>$C111*AC110</f>
        <v/>
      </c>
      <c r="AD111">
        <f>$C111*AD110</f>
        <v/>
      </c>
      <c r="AE111">
        <f>$C111*AE110</f>
        <v/>
      </c>
      <c r="AF111">
        <f>$C111*AF110</f>
        <v/>
      </c>
      <c r="AG111">
        <f>$C111*AG110</f>
        <v/>
      </c>
      <c r="AH111">
        <f>$C111*AH110</f>
        <v/>
      </c>
      <c r="AI111">
        <f>$C111*AI110</f>
        <v/>
      </c>
      <c r="AJ111">
        <f>$C111*AJ110</f>
        <v/>
      </c>
      <c r="AK111">
        <f>$C111*AK110</f>
        <v/>
      </c>
      <c r="AL111">
        <f>$C111*AL110</f>
        <v/>
      </c>
      <c r="AM111">
        <f>$C111*AM110</f>
        <v/>
      </c>
      <c r="AN111">
        <f>$C111*AN110</f>
        <v/>
      </c>
      <c r="AO111">
        <f>$C111*AO110</f>
        <v/>
      </c>
      <c r="AP111">
        <f>$C111*AP110</f>
        <v/>
      </c>
      <c r="AQ111">
        <f>$C111*AQ110</f>
        <v/>
      </c>
      <c r="AR111">
        <f>$C111*AR110</f>
        <v/>
      </c>
      <c r="AS111">
        <f>$C111*AS110</f>
        <v/>
      </c>
      <c r="AT111">
        <f>$C111*AT110</f>
        <v/>
      </c>
      <c r="AU111">
        <f>$C111*AU110</f>
        <v/>
      </c>
      <c r="AV111">
        <f>$C111*AV110</f>
        <v/>
      </c>
      <c r="AW111">
        <f>$C111*AW110</f>
        <v/>
      </c>
      <c r="AX111">
        <f>$C111*AX110</f>
        <v/>
      </c>
      <c r="AY111">
        <f>$C111*AY110</f>
        <v/>
      </c>
      <c r="AZ111">
        <f>$C111*AZ110</f>
        <v/>
      </c>
      <c r="BA111">
        <f>$C111*BA110</f>
        <v/>
      </c>
      <c r="BB111">
        <f>$C111*BB110</f>
        <v/>
      </c>
      <c r="BC111">
        <f>$C111*BC110</f>
        <v/>
      </c>
      <c r="BD111">
        <f>$C111*BD110</f>
        <v/>
      </c>
      <c r="BE111">
        <f>$C111*BE110</f>
        <v/>
      </c>
      <c r="BF111">
        <f>$C111*BF110</f>
        <v/>
      </c>
      <c r="BG111">
        <f>$C111*BG110</f>
        <v/>
      </c>
      <c r="BH111">
        <f>$C111*BH110</f>
        <v/>
      </c>
      <c r="BI111">
        <f>$C111*BI110</f>
        <v/>
      </c>
      <c r="BJ111">
        <f>$C111*BJ110</f>
        <v/>
      </c>
      <c r="BK111">
        <f>$C111*BK110</f>
        <v/>
      </c>
      <c r="BL111">
        <f>$C111*BL110</f>
        <v/>
      </c>
      <c r="BM111">
        <f>$C111*BM110</f>
        <v/>
      </c>
      <c r="BN111">
        <f>$C111*BN110</f>
        <v/>
      </c>
      <c r="BO111">
        <f>$C111*BO110</f>
        <v/>
      </c>
      <c r="BP111">
        <f>$C111*BP110</f>
        <v/>
      </c>
      <c r="BQ111">
        <f>$C111*BQ110</f>
        <v/>
      </c>
      <c r="BR111">
        <f>$C111*BR110</f>
        <v/>
      </c>
      <c r="BS111">
        <f>$C111*BS110</f>
        <v/>
      </c>
      <c r="BT111">
        <f>$C111*BT110</f>
        <v/>
      </c>
      <c r="BU111">
        <f>$C111*BU110</f>
        <v/>
      </c>
      <c r="BV111">
        <f>$C111*BV110</f>
        <v/>
      </c>
      <c r="BW111">
        <f>$C111*BW110</f>
        <v/>
      </c>
      <c r="BX111">
        <f>$C111*BX110</f>
        <v/>
      </c>
      <c r="BY111">
        <f>$C111*BY110</f>
        <v/>
      </c>
      <c r="BZ111">
        <f>$C111*BZ110</f>
        <v/>
      </c>
      <c r="CA111">
        <f>$C111*CA110</f>
        <v/>
      </c>
      <c r="CB111">
        <f>$C111*CB110</f>
        <v/>
      </c>
      <c r="CC111">
        <f>$C111*CC110</f>
        <v/>
      </c>
      <c r="CD111">
        <f>$C111*CD110</f>
        <v/>
      </c>
      <c r="CE111">
        <f>$C111*CE110</f>
        <v/>
      </c>
      <c r="CF111">
        <f>$C111*CF110</f>
        <v/>
      </c>
      <c r="CG111">
        <f>$C111*CG110</f>
        <v/>
      </c>
      <c r="CH111">
        <f>$C111*CH110</f>
        <v/>
      </c>
      <c r="CI111">
        <f>$C111*CI110</f>
        <v/>
      </c>
      <c r="CJ111">
        <f>$C111*CJ110</f>
        <v/>
      </c>
      <c r="CK111">
        <f>$C111*CK110</f>
        <v/>
      </c>
      <c r="CL111">
        <f>$C111*CL110</f>
        <v/>
      </c>
      <c r="CM111">
        <f>$C111*CM110</f>
        <v/>
      </c>
      <c r="CN111">
        <f>$C111*CN110</f>
        <v/>
      </c>
      <c r="CO111">
        <f>$C111*CO110</f>
        <v/>
      </c>
      <c r="CP111">
        <f>$C111*CP110</f>
        <v/>
      </c>
      <c r="CQ111">
        <f>$C111*CQ110</f>
        <v/>
      </c>
      <c r="CR111">
        <f>$C111*CR110</f>
        <v/>
      </c>
      <c r="CS111">
        <f>$C111*CS110</f>
        <v/>
      </c>
      <c r="CT111">
        <f>$C111*CT110</f>
        <v/>
      </c>
      <c r="CU111">
        <f>$C111*CU110</f>
        <v/>
      </c>
      <c r="CV111">
        <f>$C111*CV110</f>
        <v/>
      </c>
      <c r="CW111">
        <f>$C111*CW110</f>
        <v/>
      </c>
      <c r="CX111">
        <f>$C111*CX110</f>
        <v/>
      </c>
      <c r="CY111">
        <f>$C111*CY110</f>
        <v/>
      </c>
      <c r="CZ111">
        <f>$C111*CZ110</f>
        <v/>
      </c>
      <c r="DA111">
        <f>$C111*DA110</f>
        <v/>
      </c>
      <c r="DB111">
        <f>$C111*DB110</f>
        <v/>
      </c>
      <c r="DC111">
        <f>$C111*DC110</f>
        <v/>
      </c>
    </row>
    <row r="112">
      <c r="B112" t="inlineStr">
        <is>
          <t>TSP-668</t>
        </is>
      </c>
      <c r="C112" t="inlineStr">
        <is>
          <t>No. of batches</t>
        </is>
      </c>
      <c r="D112">
        <f>IFERROR(INDEX(PP_Grid[#Data],$DD112,2),0)</f>
        <v/>
      </c>
      <c r="E112">
        <f>IFERROR(INDEX(PP_Grid[#Data],$DD112,3),0)</f>
        <v/>
      </c>
      <c r="F112">
        <f>IFERROR(INDEX(PP_Grid[#Data],$DD112,4),0)</f>
        <v/>
      </c>
      <c r="G112">
        <f>IFERROR(INDEX(PP_Grid[#Data],$DD112,5),0)</f>
        <v/>
      </c>
      <c r="H112">
        <f>IFERROR(INDEX(PP_Grid[#Data],$DD112,6),0)</f>
        <v/>
      </c>
      <c r="I112">
        <f>IFERROR(INDEX(PP_Grid[#Data],$DD112,7),0)</f>
        <v/>
      </c>
      <c r="J112">
        <f>IFERROR(INDEX(PP_Grid[#Data],$DD112,8),0)</f>
        <v/>
      </c>
      <c r="K112">
        <f>IFERROR(INDEX(PP_Grid[#Data],$DD112,9),0)</f>
        <v/>
      </c>
      <c r="L112">
        <f>IFERROR(INDEX(PP_Grid[#Data],$DD112,10),0)</f>
        <v/>
      </c>
      <c r="M112">
        <f>IFERROR(INDEX(PP_Grid[#Data],$DD112,11),0)</f>
        <v/>
      </c>
      <c r="N112">
        <f>IFERROR(INDEX(PP_Grid[#Data],$DD112,12),0)</f>
        <v/>
      </c>
      <c r="O112">
        <f>IFERROR(INDEX(PP_Grid[#Data],$DD112,13),0)</f>
        <v/>
      </c>
      <c r="P112">
        <f>IFERROR(INDEX(PP_Grid[#Data],$DD112,14),0)</f>
        <v/>
      </c>
      <c r="Q112">
        <f>IFERROR(INDEX(PP_Grid[#Data],$DD112,15),0)</f>
        <v/>
      </c>
      <c r="R112">
        <f>IFERROR(INDEX(PP_Grid[#Data],$DD112,16),0)</f>
        <v/>
      </c>
      <c r="S112">
        <f>IFERROR(INDEX(PP_Grid[#Data],$DD112,17),0)</f>
        <v/>
      </c>
      <c r="T112">
        <f>IFERROR(INDEX(PP_Grid[#Data],$DD112,18),0)</f>
        <v/>
      </c>
      <c r="U112">
        <f>IFERROR(INDEX(PP_Grid[#Data],$DD112,19),0)</f>
        <v/>
      </c>
      <c r="V112">
        <f>IFERROR(INDEX(PP_Grid[#Data],$DD112,20),0)</f>
        <v/>
      </c>
      <c r="W112">
        <f>IFERROR(INDEX(PP_Grid[#Data],$DD112,21),0)</f>
        <v/>
      </c>
      <c r="X112">
        <f>IFERROR(INDEX(PP_Grid[#Data],$DD112,22),0)</f>
        <v/>
      </c>
      <c r="Y112">
        <f>IFERROR(INDEX(PP_Grid[#Data],$DD112,23),0)</f>
        <v/>
      </c>
      <c r="Z112">
        <f>IFERROR(INDEX(PP_Grid[#Data],$DD112,24),0)</f>
        <v/>
      </c>
      <c r="AA112">
        <f>IFERROR(INDEX(PP_Grid[#Data],$DD112,25),0)</f>
        <v/>
      </c>
      <c r="AB112">
        <f>IFERROR(INDEX(PP_Grid[#Data],$DD112,26),0)</f>
        <v/>
      </c>
      <c r="AC112">
        <f>IFERROR(INDEX(PP_Grid[#Data],$DD112,27),0)</f>
        <v/>
      </c>
      <c r="AD112">
        <f>IFERROR(INDEX(PP_Grid[#Data],$DD112,28),0)</f>
        <v/>
      </c>
      <c r="AE112">
        <f>IFERROR(INDEX(PP_Grid[#Data],$DD112,29),0)</f>
        <v/>
      </c>
      <c r="AF112">
        <f>IFERROR(INDEX(PP_Grid[#Data],$DD112,30),0)</f>
        <v/>
      </c>
      <c r="AG112">
        <f>IFERROR(INDEX(PP_Grid[#Data],$DD112,31),0)</f>
        <v/>
      </c>
      <c r="AH112">
        <f>IFERROR(INDEX(PP_Grid[#Data],$DD112,32),0)</f>
        <v/>
      </c>
      <c r="AI112">
        <f>IFERROR(INDEX(PP_Grid[#Data],$DD112,33),0)</f>
        <v/>
      </c>
      <c r="AJ112">
        <f>IFERROR(INDEX(PP_Grid[#Data],$DD112,34),0)</f>
        <v/>
      </c>
      <c r="AK112">
        <f>IFERROR(INDEX(PP_Grid[#Data],$DD112,35),0)</f>
        <v/>
      </c>
      <c r="AL112">
        <f>IFERROR(INDEX(PP_Grid[#Data],$DD112,36),0)</f>
        <v/>
      </c>
      <c r="AM112">
        <f>IFERROR(INDEX(PP_Grid[#Data],$DD112,37),0)</f>
        <v/>
      </c>
      <c r="AN112">
        <f>IFERROR(INDEX(PP_Grid[#Data],$DD112,38),0)</f>
        <v/>
      </c>
      <c r="AO112">
        <f>IFERROR(INDEX(PP_Grid[#Data],$DD112,39),0)</f>
        <v/>
      </c>
      <c r="AP112">
        <f>IFERROR(INDEX(PP_Grid[#Data],$DD112,40),0)</f>
        <v/>
      </c>
      <c r="AQ112">
        <f>IFERROR(INDEX(PP_Grid[#Data],$DD112,41),0)</f>
        <v/>
      </c>
      <c r="AR112">
        <f>IFERROR(INDEX(PP_Grid[#Data],$DD112,42),0)</f>
        <v/>
      </c>
      <c r="AS112">
        <f>IFERROR(INDEX(PP_Grid[#Data],$DD112,43),0)</f>
        <v/>
      </c>
      <c r="AT112">
        <f>IFERROR(INDEX(PP_Grid[#Data],$DD112,44),0)</f>
        <v/>
      </c>
      <c r="AU112">
        <f>IFERROR(INDEX(PP_Grid[#Data],$DD112,45),0)</f>
        <v/>
      </c>
      <c r="AV112">
        <f>IFERROR(INDEX(PP_Grid[#Data],$DD112,46),0)</f>
        <v/>
      </c>
      <c r="AW112">
        <f>IFERROR(INDEX(PP_Grid[#Data],$DD112,47),0)</f>
        <v/>
      </c>
      <c r="AX112">
        <f>IFERROR(INDEX(PP_Grid[#Data],$DD112,48),0)</f>
        <v/>
      </c>
      <c r="AY112">
        <f>IFERROR(INDEX(PP_Grid[#Data],$DD112,49),0)</f>
        <v/>
      </c>
      <c r="AZ112">
        <f>IFERROR(INDEX(PP_Grid[#Data],$DD112,50),0)</f>
        <v/>
      </c>
      <c r="BA112">
        <f>IFERROR(INDEX(PP_Grid[#Data],$DD112,51),0)</f>
        <v/>
      </c>
      <c r="BB112">
        <f>IFERROR(INDEX(PP_Grid[#Data],$DD112,52),0)</f>
        <v/>
      </c>
      <c r="BC112">
        <f>IFERROR(INDEX(PP_Grid[#Data],$DD112,53),0)</f>
        <v/>
      </c>
      <c r="BD112">
        <f>IFERROR(INDEX(PP_Grid[#Data],$DD112,54),0)</f>
        <v/>
      </c>
      <c r="BE112">
        <f>IFERROR(INDEX(PP_Grid[#Data],$DD112,55),0)</f>
        <v/>
      </c>
      <c r="BF112">
        <f>IFERROR(INDEX(PP_Grid[#Data],$DD112,56),0)</f>
        <v/>
      </c>
      <c r="BG112">
        <f>IFERROR(INDEX(PP_Grid[#Data],$DD112,57),0)</f>
        <v/>
      </c>
      <c r="BH112">
        <f>IFERROR(INDEX(PP_Grid[#Data],$DD112,58),0)</f>
        <v/>
      </c>
      <c r="BI112">
        <f>IFERROR(INDEX(PP_Grid[#Data],$DD112,59),0)</f>
        <v/>
      </c>
      <c r="BJ112">
        <f>IFERROR(INDEX(PP_Grid[#Data],$DD112,60),0)</f>
        <v/>
      </c>
      <c r="BK112">
        <f>IFERROR(INDEX(PP_Grid[#Data],$DD112,61),0)</f>
        <v/>
      </c>
      <c r="BL112">
        <f>IFERROR(INDEX(PP_Grid[#Data],$DD112,62),0)</f>
        <v/>
      </c>
      <c r="BM112">
        <f>IFERROR(INDEX(PP_Grid[#Data],$DD112,63),0)</f>
        <v/>
      </c>
      <c r="BN112">
        <f>IFERROR(INDEX(PP_Grid[#Data],$DD112,64),0)</f>
        <v/>
      </c>
      <c r="BO112">
        <f>IFERROR(INDEX(PP_Grid[#Data],$DD112,65),0)</f>
        <v/>
      </c>
      <c r="BP112">
        <f>IFERROR(INDEX(PP_Grid[#Data],$DD112,66),0)</f>
        <v/>
      </c>
      <c r="BQ112">
        <f>IFERROR(INDEX(PP_Grid[#Data],$DD112,67),0)</f>
        <v/>
      </c>
      <c r="BR112">
        <f>IFERROR(INDEX(PP_Grid[#Data],$DD112,68),0)</f>
        <v/>
      </c>
      <c r="BS112">
        <f>IFERROR(INDEX(PP_Grid[#Data],$DD112,69),0)</f>
        <v/>
      </c>
      <c r="BT112">
        <f>IFERROR(INDEX(PP_Grid[#Data],$DD112,70),0)</f>
        <v/>
      </c>
      <c r="BU112">
        <f>IFERROR(INDEX(PP_Grid[#Data],$DD112,71),0)</f>
        <v/>
      </c>
      <c r="BV112">
        <f>IFERROR(INDEX(PP_Grid[#Data],$DD112,72),0)</f>
        <v/>
      </c>
      <c r="BW112">
        <f>IFERROR(INDEX(PP_Grid[#Data],$DD112,73),0)</f>
        <v/>
      </c>
      <c r="BX112">
        <f>IFERROR(INDEX(PP_Grid[#Data],$DD112,74),0)</f>
        <v/>
      </c>
      <c r="BY112">
        <f>IFERROR(INDEX(PP_Grid[#Data],$DD112,75),0)</f>
        <v/>
      </c>
      <c r="BZ112">
        <f>IFERROR(INDEX(PP_Grid[#Data],$DD112,76),0)</f>
        <v/>
      </c>
      <c r="CA112">
        <f>IFERROR(INDEX(PP_Grid[#Data],$DD112,77),0)</f>
        <v/>
      </c>
      <c r="CB112">
        <f>IFERROR(INDEX(PP_Grid[#Data],$DD112,78),0)</f>
        <v/>
      </c>
      <c r="CC112">
        <f>IFERROR(INDEX(PP_Grid[#Data],$DD112,79),0)</f>
        <v/>
      </c>
      <c r="CD112">
        <f>IFERROR(INDEX(PP_Grid[#Data],$DD112,80),0)</f>
        <v/>
      </c>
      <c r="CE112">
        <f>IFERROR(INDEX(PP_Grid[#Data],$DD112,81),0)</f>
        <v/>
      </c>
      <c r="CF112">
        <f>IFERROR(INDEX(PP_Grid[#Data],$DD112,82),0)</f>
        <v/>
      </c>
      <c r="CG112">
        <f>IFERROR(INDEX(PP_Grid[#Data],$DD112,83),0)</f>
        <v/>
      </c>
      <c r="CH112">
        <f>IFERROR(INDEX(PP_Grid[#Data],$DD112,84),0)</f>
        <v/>
      </c>
      <c r="CI112">
        <f>IFERROR(INDEX(PP_Grid[#Data],$DD112,85),0)</f>
        <v/>
      </c>
      <c r="CJ112">
        <f>IFERROR(INDEX(PP_Grid[#Data],$DD112,86),0)</f>
        <v/>
      </c>
      <c r="CK112">
        <f>IFERROR(INDEX(PP_Grid[#Data],$DD112,87),0)</f>
        <v/>
      </c>
      <c r="CL112">
        <f>IFERROR(INDEX(PP_Grid[#Data],$DD112,88),0)</f>
        <v/>
      </c>
      <c r="CM112">
        <f>IFERROR(INDEX(PP_Grid[#Data],$DD112,89),0)</f>
        <v/>
      </c>
      <c r="CN112">
        <f>IFERROR(INDEX(PP_Grid[#Data],$DD112,90),0)</f>
        <v/>
      </c>
      <c r="CO112">
        <f>IFERROR(INDEX(PP_Grid[#Data],$DD112,91),0)</f>
        <v/>
      </c>
      <c r="CP112">
        <f>IFERROR(INDEX(PP_Grid[#Data],$DD112,92),0)</f>
        <v/>
      </c>
      <c r="CQ112">
        <f>IFERROR(INDEX(PP_Grid[#Data],$DD112,93),0)</f>
        <v/>
      </c>
      <c r="CR112">
        <f>IFERROR(INDEX(PP_Grid[#Data],$DD112,94),0)</f>
        <v/>
      </c>
      <c r="CS112">
        <f>IFERROR(INDEX(PP_Grid[#Data],$DD112,95),0)</f>
        <v/>
      </c>
      <c r="CT112">
        <f>IFERROR(INDEX(PP_Grid[#Data],$DD112,96),0)</f>
        <v/>
      </c>
      <c r="CU112">
        <f>IFERROR(INDEX(PP_Grid[#Data],$DD112,97),0)</f>
        <v/>
      </c>
      <c r="CV112">
        <f>IFERROR(INDEX(PP_Grid[#Data],$DD112,98),0)</f>
        <v/>
      </c>
      <c r="CW112">
        <f>IFERROR(INDEX(PP_Grid[#Data],$DD112,99),0)</f>
        <v/>
      </c>
      <c r="CX112">
        <f>IFERROR(INDEX(PP_Grid[#Data],$DD112,100),0)</f>
        <v/>
      </c>
      <c r="CY112">
        <f>IFERROR(INDEX(PP_Grid[#Data],$DD112,101),0)</f>
        <v/>
      </c>
      <c r="CZ112">
        <f>IFERROR(INDEX(PP_Grid[#Data],$DD112,102),0)</f>
        <v/>
      </c>
      <c r="DA112">
        <f>IFERROR(INDEX(PP_Grid[#Data],$DD112,103),0)</f>
        <v/>
      </c>
      <c r="DB112">
        <f>IFERROR(INDEX(PP_Grid[#Data],$DD112,104),0)</f>
        <v/>
      </c>
      <c r="DC112">
        <f>IFERROR(INDEX(PP_Grid[#Data],$DD112,105),0)</f>
        <v/>
      </c>
      <c r="DD112" s="7">
        <f>IFERROR(MATCH($B112,PP_Grid[Intermediate],0),99999)</f>
        <v/>
      </c>
    </row>
    <row r="113">
      <c r="B113" t="inlineStr">
        <is>
          <t>使用量(kg)</t>
        </is>
      </c>
      <c r="C113">
        <f>SUMIFS(M_BOM[RM_Qty_Per_Batch],M_BOM[Intermediate],$B112,M_BOM[Part Name],$A45)</f>
        <v/>
      </c>
      <c r="D113">
        <f>$C113*D112</f>
        <v/>
      </c>
      <c r="E113">
        <f>$C113*E112</f>
        <v/>
      </c>
      <c r="F113">
        <f>$C113*F112</f>
        <v/>
      </c>
      <c r="G113">
        <f>$C113*G112</f>
        <v/>
      </c>
      <c r="H113">
        <f>$C113*H112</f>
        <v/>
      </c>
      <c r="I113">
        <f>$C113*I112</f>
        <v/>
      </c>
      <c r="J113">
        <f>$C113*J112</f>
        <v/>
      </c>
      <c r="K113">
        <f>$C113*K112</f>
        <v/>
      </c>
      <c r="L113">
        <f>$C113*L112</f>
        <v/>
      </c>
      <c r="M113">
        <f>$C113*M112</f>
        <v/>
      </c>
      <c r="N113">
        <f>$C113*N112</f>
        <v/>
      </c>
      <c r="O113">
        <f>$C113*O112</f>
        <v/>
      </c>
      <c r="P113">
        <f>$C113*P112</f>
        <v/>
      </c>
      <c r="Q113">
        <f>$C113*Q112</f>
        <v/>
      </c>
      <c r="R113">
        <f>$C113*R112</f>
        <v/>
      </c>
      <c r="S113">
        <f>$C113*S112</f>
        <v/>
      </c>
      <c r="T113">
        <f>$C113*T112</f>
        <v/>
      </c>
      <c r="U113">
        <f>$C113*U112</f>
        <v/>
      </c>
      <c r="V113">
        <f>$C113*V112</f>
        <v/>
      </c>
      <c r="W113">
        <f>$C113*W112</f>
        <v/>
      </c>
      <c r="X113">
        <f>$C113*X112</f>
        <v/>
      </c>
      <c r="Y113">
        <f>$C113*Y112</f>
        <v/>
      </c>
      <c r="Z113">
        <f>$C113*Z112</f>
        <v/>
      </c>
      <c r="AA113">
        <f>$C113*AA112</f>
        <v/>
      </c>
      <c r="AB113">
        <f>$C113*AB112</f>
        <v/>
      </c>
      <c r="AC113">
        <f>$C113*AC112</f>
        <v/>
      </c>
      <c r="AD113">
        <f>$C113*AD112</f>
        <v/>
      </c>
      <c r="AE113">
        <f>$C113*AE112</f>
        <v/>
      </c>
      <c r="AF113">
        <f>$C113*AF112</f>
        <v/>
      </c>
      <c r="AG113">
        <f>$C113*AG112</f>
        <v/>
      </c>
      <c r="AH113">
        <f>$C113*AH112</f>
        <v/>
      </c>
      <c r="AI113">
        <f>$C113*AI112</f>
        <v/>
      </c>
      <c r="AJ113">
        <f>$C113*AJ112</f>
        <v/>
      </c>
      <c r="AK113">
        <f>$C113*AK112</f>
        <v/>
      </c>
      <c r="AL113">
        <f>$C113*AL112</f>
        <v/>
      </c>
      <c r="AM113">
        <f>$C113*AM112</f>
        <v/>
      </c>
      <c r="AN113">
        <f>$C113*AN112</f>
        <v/>
      </c>
      <c r="AO113">
        <f>$C113*AO112</f>
        <v/>
      </c>
      <c r="AP113">
        <f>$C113*AP112</f>
        <v/>
      </c>
      <c r="AQ113">
        <f>$C113*AQ112</f>
        <v/>
      </c>
      <c r="AR113">
        <f>$C113*AR112</f>
        <v/>
      </c>
      <c r="AS113">
        <f>$C113*AS112</f>
        <v/>
      </c>
      <c r="AT113">
        <f>$C113*AT112</f>
        <v/>
      </c>
      <c r="AU113">
        <f>$C113*AU112</f>
        <v/>
      </c>
      <c r="AV113">
        <f>$C113*AV112</f>
        <v/>
      </c>
      <c r="AW113">
        <f>$C113*AW112</f>
        <v/>
      </c>
      <c r="AX113">
        <f>$C113*AX112</f>
        <v/>
      </c>
      <c r="AY113">
        <f>$C113*AY112</f>
        <v/>
      </c>
      <c r="AZ113">
        <f>$C113*AZ112</f>
        <v/>
      </c>
      <c r="BA113">
        <f>$C113*BA112</f>
        <v/>
      </c>
      <c r="BB113">
        <f>$C113*BB112</f>
        <v/>
      </c>
      <c r="BC113">
        <f>$C113*BC112</f>
        <v/>
      </c>
      <c r="BD113">
        <f>$C113*BD112</f>
        <v/>
      </c>
      <c r="BE113">
        <f>$C113*BE112</f>
        <v/>
      </c>
      <c r="BF113">
        <f>$C113*BF112</f>
        <v/>
      </c>
      <c r="BG113">
        <f>$C113*BG112</f>
        <v/>
      </c>
      <c r="BH113">
        <f>$C113*BH112</f>
        <v/>
      </c>
      <c r="BI113">
        <f>$C113*BI112</f>
        <v/>
      </c>
      <c r="BJ113">
        <f>$C113*BJ112</f>
        <v/>
      </c>
      <c r="BK113">
        <f>$C113*BK112</f>
        <v/>
      </c>
      <c r="BL113">
        <f>$C113*BL112</f>
        <v/>
      </c>
      <c r="BM113">
        <f>$C113*BM112</f>
        <v/>
      </c>
      <c r="BN113">
        <f>$C113*BN112</f>
        <v/>
      </c>
      <c r="BO113">
        <f>$C113*BO112</f>
        <v/>
      </c>
      <c r="BP113">
        <f>$C113*BP112</f>
        <v/>
      </c>
      <c r="BQ113">
        <f>$C113*BQ112</f>
        <v/>
      </c>
      <c r="BR113">
        <f>$C113*BR112</f>
        <v/>
      </c>
      <c r="BS113">
        <f>$C113*BS112</f>
        <v/>
      </c>
      <c r="BT113">
        <f>$C113*BT112</f>
        <v/>
      </c>
      <c r="BU113">
        <f>$C113*BU112</f>
        <v/>
      </c>
      <c r="BV113">
        <f>$C113*BV112</f>
        <v/>
      </c>
      <c r="BW113">
        <f>$C113*BW112</f>
        <v/>
      </c>
      <c r="BX113">
        <f>$C113*BX112</f>
        <v/>
      </c>
      <c r="BY113">
        <f>$C113*BY112</f>
        <v/>
      </c>
      <c r="BZ113">
        <f>$C113*BZ112</f>
        <v/>
      </c>
      <c r="CA113">
        <f>$C113*CA112</f>
        <v/>
      </c>
      <c r="CB113">
        <f>$C113*CB112</f>
        <v/>
      </c>
      <c r="CC113">
        <f>$C113*CC112</f>
        <v/>
      </c>
      <c r="CD113">
        <f>$C113*CD112</f>
        <v/>
      </c>
      <c r="CE113">
        <f>$C113*CE112</f>
        <v/>
      </c>
      <c r="CF113">
        <f>$C113*CF112</f>
        <v/>
      </c>
      <c r="CG113">
        <f>$C113*CG112</f>
        <v/>
      </c>
      <c r="CH113">
        <f>$C113*CH112</f>
        <v/>
      </c>
      <c r="CI113">
        <f>$C113*CI112</f>
        <v/>
      </c>
      <c r="CJ113">
        <f>$C113*CJ112</f>
        <v/>
      </c>
      <c r="CK113">
        <f>$C113*CK112</f>
        <v/>
      </c>
      <c r="CL113">
        <f>$C113*CL112</f>
        <v/>
      </c>
      <c r="CM113">
        <f>$C113*CM112</f>
        <v/>
      </c>
      <c r="CN113">
        <f>$C113*CN112</f>
        <v/>
      </c>
      <c r="CO113">
        <f>$C113*CO112</f>
        <v/>
      </c>
      <c r="CP113">
        <f>$C113*CP112</f>
        <v/>
      </c>
      <c r="CQ113">
        <f>$C113*CQ112</f>
        <v/>
      </c>
      <c r="CR113">
        <f>$C113*CR112</f>
        <v/>
      </c>
      <c r="CS113">
        <f>$C113*CS112</f>
        <v/>
      </c>
      <c r="CT113">
        <f>$C113*CT112</f>
        <v/>
      </c>
      <c r="CU113">
        <f>$C113*CU112</f>
        <v/>
      </c>
      <c r="CV113">
        <f>$C113*CV112</f>
        <v/>
      </c>
      <c r="CW113">
        <f>$C113*CW112</f>
        <v/>
      </c>
      <c r="CX113">
        <f>$C113*CX112</f>
        <v/>
      </c>
      <c r="CY113">
        <f>$C113*CY112</f>
        <v/>
      </c>
      <c r="CZ113">
        <f>$C113*CZ112</f>
        <v/>
      </c>
      <c r="DA113">
        <f>$C113*DA112</f>
        <v/>
      </c>
      <c r="DB113">
        <f>$C113*DB112</f>
        <v/>
      </c>
      <c r="DC113">
        <f>$C113*DC112</f>
        <v/>
      </c>
    </row>
    <row r="114">
      <c r="B114" t="inlineStr">
        <is>
          <t>TSP-669</t>
        </is>
      </c>
      <c r="C114" t="inlineStr">
        <is>
          <t>No. of batches</t>
        </is>
      </c>
      <c r="D114">
        <f>IFERROR(INDEX(PP_Grid[#Data],$DD114,2),0)</f>
        <v/>
      </c>
      <c r="E114">
        <f>IFERROR(INDEX(PP_Grid[#Data],$DD114,3),0)</f>
        <v/>
      </c>
      <c r="F114">
        <f>IFERROR(INDEX(PP_Grid[#Data],$DD114,4),0)</f>
        <v/>
      </c>
      <c r="G114">
        <f>IFERROR(INDEX(PP_Grid[#Data],$DD114,5),0)</f>
        <v/>
      </c>
      <c r="H114">
        <f>IFERROR(INDEX(PP_Grid[#Data],$DD114,6),0)</f>
        <v/>
      </c>
      <c r="I114">
        <f>IFERROR(INDEX(PP_Grid[#Data],$DD114,7),0)</f>
        <v/>
      </c>
      <c r="J114">
        <f>IFERROR(INDEX(PP_Grid[#Data],$DD114,8),0)</f>
        <v/>
      </c>
      <c r="K114">
        <f>IFERROR(INDEX(PP_Grid[#Data],$DD114,9),0)</f>
        <v/>
      </c>
      <c r="L114">
        <f>IFERROR(INDEX(PP_Grid[#Data],$DD114,10),0)</f>
        <v/>
      </c>
      <c r="M114">
        <f>IFERROR(INDEX(PP_Grid[#Data],$DD114,11),0)</f>
        <v/>
      </c>
      <c r="N114">
        <f>IFERROR(INDEX(PP_Grid[#Data],$DD114,12),0)</f>
        <v/>
      </c>
      <c r="O114">
        <f>IFERROR(INDEX(PP_Grid[#Data],$DD114,13),0)</f>
        <v/>
      </c>
      <c r="P114">
        <f>IFERROR(INDEX(PP_Grid[#Data],$DD114,14),0)</f>
        <v/>
      </c>
      <c r="Q114">
        <f>IFERROR(INDEX(PP_Grid[#Data],$DD114,15),0)</f>
        <v/>
      </c>
      <c r="R114">
        <f>IFERROR(INDEX(PP_Grid[#Data],$DD114,16),0)</f>
        <v/>
      </c>
      <c r="S114">
        <f>IFERROR(INDEX(PP_Grid[#Data],$DD114,17),0)</f>
        <v/>
      </c>
      <c r="T114">
        <f>IFERROR(INDEX(PP_Grid[#Data],$DD114,18),0)</f>
        <v/>
      </c>
      <c r="U114">
        <f>IFERROR(INDEX(PP_Grid[#Data],$DD114,19),0)</f>
        <v/>
      </c>
      <c r="V114">
        <f>IFERROR(INDEX(PP_Grid[#Data],$DD114,20),0)</f>
        <v/>
      </c>
      <c r="W114">
        <f>IFERROR(INDEX(PP_Grid[#Data],$DD114,21),0)</f>
        <v/>
      </c>
      <c r="X114">
        <f>IFERROR(INDEX(PP_Grid[#Data],$DD114,22),0)</f>
        <v/>
      </c>
      <c r="Y114">
        <f>IFERROR(INDEX(PP_Grid[#Data],$DD114,23),0)</f>
        <v/>
      </c>
      <c r="Z114">
        <f>IFERROR(INDEX(PP_Grid[#Data],$DD114,24),0)</f>
        <v/>
      </c>
      <c r="AA114">
        <f>IFERROR(INDEX(PP_Grid[#Data],$DD114,25),0)</f>
        <v/>
      </c>
      <c r="AB114">
        <f>IFERROR(INDEX(PP_Grid[#Data],$DD114,26),0)</f>
        <v/>
      </c>
      <c r="AC114">
        <f>IFERROR(INDEX(PP_Grid[#Data],$DD114,27),0)</f>
        <v/>
      </c>
      <c r="AD114">
        <f>IFERROR(INDEX(PP_Grid[#Data],$DD114,28),0)</f>
        <v/>
      </c>
      <c r="AE114">
        <f>IFERROR(INDEX(PP_Grid[#Data],$DD114,29),0)</f>
        <v/>
      </c>
      <c r="AF114">
        <f>IFERROR(INDEX(PP_Grid[#Data],$DD114,30),0)</f>
        <v/>
      </c>
      <c r="AG114">
        <f>IFERROR(INDEX(PP_Grid[#Data],$DD114,31),0)</f>
        <v/>
      </c>
      <c r="AH114">
        <f>IFERROR(INDEX(PP_Grid[#Data],$DD114,32),0)</f>
        <v/>
      </c>
      <c r="AI114">
        <f>IFERROR(INDEX(PP_Grid[#Data],$DD114,33),0)</f>
        <v/>
      </c>
      <c r="AJ114">
        <f>IFERROR(INDEX(PP_Grid[#Data],$DD114,34),0)</f>
        <v/>
      </c>
      <c r="AK114">
        <f>IFERROR(INDEX(PP_Grid[#Data],$DD114,35),0)</f>
        <v/>
      </c>
      <c r="AL114">
        <f>IFERROR(INDEX(PP_Grid[#Data],$DD114,36),0)</f>
        <v/>
      </c>
      <c r="AM114">
        <f>IFERROR(INDEX(PP_Grid[#Data],$DD114,37),0)</f>
        <v/>
      </c>
      <c r="AN114">
        <f>IFERROR(INDEX(PP_Grid[#Data],$DD114,38),0)</f>
        <v/>
      </c>
      <c r="AO114">
        <f>IFERROR(INDEX(PP_Grid[#Data],$DD114,39),0)</f>
        <v/>
      </c>
      <c r="AP114">
        <f>IFERROR(INDEX(PP_Grid[#Data],$DD114,40),0)</f>
        <v/>
      </c>
      <c r="AQ114">
        <f>IFERROR(INDEX(PP_Grid[#Data],$DD114,41),0)</f>
        <v/>
      </c>
      <c r="AR114">
        <f>IFERROR(INDEX(PP_Grid[#Data],$DD114,42),0)</f>
        <v/>
      </c>
      <c r="AS114">
        <f>IFERROR(INDEX(PP_Grid[#Data],$DD114,43),0)</f>
        <v/>
      </c>
      <c r="AT114">
        <f>IFERROR(INDEX(PP_Grid[#Data],$DD114,44),0)</f>
        <v/>
      </c>
      <c r="AU114">
        <f>IFERROR(INDEX(PP_Grid[#Data],$DD114,45),0)</f>
        <v/>
      </c>
      <c r="AV114">
        <f>IFERROR(INDEX(PP_Grid[#Data],$DD114,46),0)</f>
        <v/>
      </c>
      <c r="AW114">
        <f>IFERROR(INDEX(PP_Grid[#Data],$DD114,47),0)</f>
        <v/>
      </c>
      <c r="AX114">
        <f>IFERROR(INDEX(PP_Grid[#Data],$DD114,48),0)</f>
        <v/>
      </c>
      <c r="AY114">
        <f>IFERROR(INDEX(PP_Grid[#Data],$DD114,49),0)</f>
        <v/>
      </c>
      <c r="AZ114">
        <f>IFERROR(INDEX(PP_Grid[#Data],$DD114,50),0)</f>
        <v/>
      </c>
      <c r="BA114">
        <f>IFERROR(INDEX(PP_Grid[#Data],$DD114,51),0)</f>
        <v/>
      </c>
      <c r="BB114">
        <f>IFERROR(INDEX(PP_Grid[#Data],$DD114,52),0)</f>
        <v/>
      </c>
      <c r="BC114">
        <f>IFERROR(INDEX(PP_Grid[#Data],$DD114,53),0)</f>
        <v/>
      </c>
      <c r="BD114">
        <f>IFERROR(INDEX(PP_Grid[#Data],$DD114,54),0)</f>
        <v/>
      </c>
      <c r="BE114">
        <f>IFERROR(INDEX(PP_Grid[#Data],$DD114,55),0)</f>
        <v/>
      </c>
      <c r="BF114">
        <f>IFERROR(INDEX(PP_Grid[#Data],$DD114,56),0)</f>
        <v/>
      </c>
      <c r="BG114">
        <f>IFERROR(INDEX(PP_Grid[#Data],$DD114,57),0)</f>
        <v/>
      </c>
      <c r="BH114">
        <f>IFERROR(INDEX(PP_Grid[#Data],$DD114,58),0)</f>
        <v/>
      </c>
      <c r="BI114">
        <f>IFERROR(INDEX(PP_Grid[#Data],$DD114,59),0)</f>
        <v/>
      </c>
      <c r="BJ114">
        <f>IFERROR(INDEX(PP_Grid[#Data],$DD114,60),0)</f>
        <v/>
      </c>
      <c r="BK114">
        <f>IFERROR(INDEX(PP_Grid[#Data],$DD114,61),0)</f>
        <v/>
      </c>
      <c r="BL114">
        <f>IFERROR(INDEX(PP_Grid[#Data],$DD114,62),0)</f>
        <v/>
      </c>
      <c r="BM114">
        <f>IFERROR(INDEX(PP_Grid[#Data],$DD114,63),0)</f>
        <v/>
      </c>
      <c r="BN114">
        <f>IFERROR(INDEX(PP_Grid[#Data],$DD114,64),0)</f>
        <v/>
      </c>
      <c r="BO114">
        <f>IFERROR(INDEX(PP_Grid[#Data],$DD114,65),0)</f>
        <v/>
      </c>
      <c r="BP114">
        <f>IFERROR(INDEX(PP_Grid[#Data],$DD114,66),0)</f>
        <v/>
      </c>
      <c r="BQ114">
        <f>IFERROR(INDEX(PP_Grid[#Data],$DD114,67),0)</f>
        <v/>
      </c>
      <c r="BR114">
        <f>IFERROR(INDEX(PP_Grid[#Data],$DD114,68),0)</f>
        <v/>
      </c>
      <c r="BS114">
        <f>IFERROR(INDEX(PP_Grid[#Data],$DD114,69),0)</f>
        <v/>
      </c>
      <c r="BT114">
        <f>IFERROR(INDEX(PP_Grid[#Data],$DD114,70),0)</f>
        <v/>
      </c>
      <c r="BU114">
        <f>IFERROR(INDEX(PP_Grid[#Data],$DD114,71),0)</f>
        <v/>
      </c>
      <c r="BV114">
        <f>IFERROR(INDEX(PP_Grid[#Data],$DD114,72),0)</f>
        <v/>
      </c>
      <c r="BW114">
        <f>IFERROR(INDEX(PP_Grid[#Data],$DD114,73),0)</f>
        <v/>
      </c>
      <c r="BX114">
        <f>IFERROR(INDEX(PP_Grid[#Data],$DD114,74),0)</f>
        <v/>
      </c>
      <c r="BY114">
        <f>IFERROR(INDEX(PP_Grid[#Data],$DD114,75),0)</f>
        <v/>
      </c>
      <c r="BZ114">
        <f>IFERROR(INDEX(PP_Grid[#Data],$DD114,76),0)</f>
        <v/>
      </c>
      <c r="CA114">
        <f>IFERROR(INDEX(PP_Grid[#Data],$DD114,77),0)</f>
        <v/>
      </c>
      <c r="CB114">
        <f>IFERROR(INDEX(PP_Grid[#Data],$DD114,78),0)</f>
        <v/>
      </c>
      <c r="CC114">
        <f>IFERROR(INDEX(PP_Grid[#Data],$DD114,79),0)</f>
        <v/>
      </c>
      <c r="CD114">
        <f>IFERROR(INDEX(PP_Grid[#Data],$DD114,80),0)</f>
        <v/>
      </c>
      <c r="CE114">
        <f>IFERROR(INDEX(PP_Grid[#Data],$DD114,81),0)</f>
        <v/>
      </c>
      <c r="CF114">
        <f>IFERROR(INDEX(PP_Grid[#Data],$DD114,82),0)</f>
        <v/>
      </c>
      <c r="CG114">
        <f>IFERROR(INDEX(PP_Grid[#Data],$DD114,83),0)</f>
        <v/>
      </c>
      <c r="CH114">
        <f>IFERROR(INDEX(PP_Grid[#Data],$DD114,84),0)</f>
        <v/>
      </c>
      <c r="CI114">
        <f>IFERROR(INDEX(PP_Grid[#Data],$DD114,85),0)</f>
        <v/>
      </c>
      <c r="CJ114">
        <f>IFERROR(INDEX(PP_Grid[#Data],$DD114,86),0)</f>
        <v/>
      </c>
      <c r="CK114">
        <f>IFERROR(INDEX(PP_Grid[#Data],$DD114,87),0)</f>
        <v/>
      </c>
      <c r="CL114">
        <f>IFERROR(INDEX(PP_Grid[#Data],$DD114,88),0)</f>
        <v/>
      </c>
      <c r="CM114">
        <f>IFERROR(INDEX(PP_Grid[#Data],$DD114,89),0)</f>
        <v/>
      </c>
      <c r="CN114">
        <f>IFERROR(INDEX(PP_Grid[#Data],$DD114,90),0)</f>
        <v/>
      </c>
      <c r="CO114">
        <f>IFERROR(INDEX(PP_Grid[#Data],$DD114,91),0)</f>
        <v/>
      </c>
      <c r="CP114">
        <f>IFERROR(INDEX(PP_Grid[#Data],$DD114,92),0)</f>
        <v/>
      </c>
      <c r="CQ114">
        <f>IFERROR(INDEX(PP_Grid[#Data],$DD114,93),0)</f>
        <v/>
      </c>
      <c r="CR114">
        <f>IFERROR(INDEX(PP_Grid[#Data],$DD114,94),0)</f>
        <v/>
      </c>
      <c r="CS114">
        <f>IFERROR(INDEX(PP_Grid[#Data],$DD114,95),0)</f>
        <v/>
      </c>
      <c r="CT114">
        <f>IFERROR(INDEX(PP_Grid[#Data],$DD114,96),0)</f>
        <v/>
      </c>
      <c r="CU114">
        <f>IFERROR(INDEX(PP_Grid[#Data],$DD114,97),0)</f>
        <v/>
      </c>
      <c r="CV114">
        <f>IFERROR(INDEX(PP_Grid[#Data],$DD114,98),0)</f>
        <v/>
      </c>
      <c r="CW114">
        <f>IFERROR(INDEX(PP_Grid[#Data],$DD114,99),0)</f>
        <v/>
      </c>
      <c r="CX114">
        <f>IFERROR(INDEX(PP_Grid[#Data],$DD114,100),0)</f>
        <v/>
      </c>
      <c r="CY114">
        <f>IFERROR(INDEX(PP_Grid[#Data],$DD114,101),0)</f>
        <v/>
      </c>
      <c r="CZ114">
        <f>IFERROR(INDEX(PP_Grid[#Data],$DD114,102),0)</f>
        <v/>
      </c>
      <c r="DA114">
        <f>IFERROR(INDEX(PP_Grid[#Data],$DD114,103),0)</f>
        <v/>
      </c>
      <c r="DB114">
        <f>IFERROR(INDEX(PP_Grid[#Data],$DD114,104),0)</f>
        <v/>
      </c>
      <c r="DC114">
        <f>IFERROR(INDEX(PP_Grid[#Data],$DD114,105),0)</f>
        <v/>
      </c>
      <c r="DD114" s="7">
        <f>IFERROR(MATCH($B114,PP_Grid[Intermediate],0),99999)</f>
        <v/>
      </c>
    </row>
    <row r="115">
      <c r="B115" t="inlineStr">
        <is>
          <t>使用量(kg)</t>
        </is>
      </c>
      <c r="C115">
        <f>SUMIFS(M_BOM[RM_Qty_Per_Batch],M_BOM[Intermediate],$B114,M_BOM[Part Name],$A45)</f>
        <v/>
      </c>
      <c r="D115">
        <f>$C115*D114</f>
        <v/>
      </c>
      <c r="E115">
        <f>$C115*E114</f>
        <v/>
      </c>
      <c r="F115">
        <f>$C115*F114</f>
        <v/>
      </c>
      <c r="G115">
        <f>$C115*G114</f>
        <v/>
      </c>
      <c r="H115">
        <f>$C115*H114</f>
        <v/>
      </c>
      <c r="I115">
        <f>$C115*I114</f>
        <v/>
      </c>
      <c r="J115">
        <f>$C115*J114</f>
        <v/>
      </c>
      <c r="K115">
        <f>$C115*K114</f>
        <v/>
      </c>
      <c r="L115">
        <f>$C115*L114</f>
        <v/>
      </c>
      <c r="M115">
        <f>$C115*M114</f>
        <v/>
      </c>
      <c r="N115">
        <f>$C115*N114</f>
        <v/>
      </c>
      <c r="O115">
        <f>$C115*O114</f>
        <v/>
      </c>
      <c r="P115">
        <f>$C115*P114</f>
        <v/>
      </c>
      <c r="Q115">
        <f>$C115*Q114</f>
        <v/>
      </c>
      <c r="R115">
        <f>$C115*R114</f>
        <v/>
      </c>
      <c r="S115">
        <f>$C115*S114</f>
        <v/>
      </c>
      <c r="T115">
        <f>$C115*T114</f>
        <v/>
      </c>
      <c r="U115">
        <f>$C115*U114</f>
        <v/>
      </c>
      <c r="V115">
        <f>$C115*V114</f>
        <v/>
      </c>
      <c r="W115">
        <f>$C115*W114</f>
        <v/>
      </c>
      <c r="X115">
        <f>$C115*X114</f>
        <v/>
      </c>
      <c r="Y115">
        <f>$C115*Y114</f>
        <v/>
      </c>
      <c r="Z115">
        <f>$C115*Z114</f>
        <v/>
      </c>
      <c r="AA115">
        <f>$C115*AA114</f>
        <v/>
      </c>
      <c r="AB115">
        <f>$C115*AB114</f>
        <v/>
      </c>
      <c r="AC115">
        <f>$C115*AC114</f>
        <v/>
      </c>
      <c r="AD115">
        <f>$C115*AD114</f>
        <v/>
      </c>
      <c r="AE115">
        <f>$C115*AE114</f>
        <v/>
      </c>
      <c r="AF115">
        <f>$C115*AF114</f>
        <v/>
      </c>
      <c r="AG115">
        <f>$C115*AG114</f>
        <v/>
      </c>
      <c r="AH115">
        <f>$C115*AH114</f>
        <v/>
      </c>
      <c r="AI115">
        <f>$C115*AI114</f>
        <v/>
      </c>
      <c r="AJ115">
        <f>$C115*AJ114</f>
        <v/>
      </c>
      <c r="AK115">
        <f>$C115*AK114</f>
        <v/>
      </c>
      <c r="AL115">
        <f>$C115*AL114</f>
        <v/>
      </c>
      <c r="AM115">
        <f>$C115*AM114</f>
        <v/>
      </c>
      <c r="AN115">
        <f>$C115*AN114</f>
        <v/>
      </c>
      <c r="AO115">
        <f>$C115*AO114</f>
        <v/>
      </c>
      <c r="AP115">
        <f>$C115*AP114</f>
        <v/>
      </c>
      <c r="AQ115">
        <f>$C115*AQ114</f>
        <v/>
      </c>
      <c r="AR115">
        <f>$C115*AR114</f>
        <v/>
      </c>
      <c r="AS115">
        <f>$C115*AS114</f>
        <v/>
      </c>
      <c r="AT115">
        <f>$C115*AT114</f>
        <v/>
      </c>
      <c r="AU115">
        <f>$C115*AU114</f>
        <v/>
      </c>
      <c r="AV115">
        <f>$C115*AV114</f>
        <v/>
      </c>
      <c r="AW115">
        <f>$C115*AW114</f>
        <v/>
      </c>
      <c r="AX115">
        <f>$C115*AX114</f>
        <v/>
      </c>
      <c r="AY115">
        <f>$C115*AY114</f>
        <v/>
      </c>
      <c r="AZ115">
        <f>$C115*AZ114</f>
        <v/>
      </c>
      <c r="BA115">
        <f>$C115*BA114</f>
        <v/>
      </c>
      <c r="BB115">
        <f>$C115*BB114</f>
        <v/>
      </c>
      <c r="BC115">
        <f>$C115*BC114</f>
        <v/>
      </c>
      <c r="BD115">
        <f>$C115*BD114</f>
        <v/>
      </c>
      <c r="BE115">
        <f>$C115*BE114</f>
        <v/>
      </c>
      <c r="BF115">
        <f>$C115*BF114</f>
        <v/>
      </c>
      <c r="BG115">
        <f>$C115*BG114</f>
        <v/>
      </c>
      <c r="BH115">
        <f>$C115*BH114</f>
        <v/>
      </c>
      <c r="BI115">
        <f>$C115*BI114</f>
        <v/>
      </c>
      <c r="BJ115">
        <f>$C115*BJ114</f>
        <v/>
      </c>
      <c r="BK115">
        <f>$C115*BK114</f>
        <v/>
      </c>
      <c r="BL115">
        <f>$C115*BL114</f>
        <v/>
      </c>
      <c r="BM115">
        <f>$C115*BM114</f>
        <v/>
      </c>
      <c r="BN115">
        <f>$C115*BN114</f>
        <v/>
      </c>
      <c r="BO115">
        <f>$C115*BO114</f>
        <v/>
      </c>
      <c r="BP115">
        <f>$C115*BP114</f>
        <v/>
      </c>
      <c r="BQ115">
        <f>$C115*BQ114</f>
        <v/>
      </c>
      <c r="BR115">
        <f>$C115*BR114</f>
        <v/>
      </c>
      <c r="BS115">
        <f>$C115*BS114</f>
        <v/>
      </c>
      <c r="BT115">
        <f>$C115*BT114</f>
        <v/>
      </c>
      <c r="BU115">
        <f>$C115*BU114</f>
        <v/>
      </c>
      <c r="BV115">
        <f>$C115*BV114</f>
        <v/>
      </c>
      <c r="BW115">
        <f>$C115*BW114</f>
        <v/>
      </c>
      <c r="BX115">
        <f>$C115*BX114</f>
        <v/>
      </c>
      <c r="BY115">
        <f>$C115*BY114</f>
        <v/>
      </c>
      <c r="BZ115">
        <f>$C115*BZ114</f>
        <v/>
      </c>
      <c r="CA115">
        <f>$C115*CA114</f>
        <v/>
      </c>
      <c r="CB115">
        <f>$C115*CB114</f>
        <v/>
      </c>
      <c r="CC115">
        <f>$C115*CC114</f>
        <v/>
      </c>
      <c r="CD115">
        <f>$C115*CD114</f>
        <v/>
      </c>
      <c r="CE115">
        <f>$C115*CE114</f>
        <v/>
      </c>
      <c r="CF115">
        <f>$C115*CF114</f>
        <v/>
      </c>
      <c r="CG115">
        <f>$C115*CG114</f>
        <v/>
      </c>
      <c r="CH115">
        <f>$C115*CH114</f>
        <v/>
      </c>
      <c r="CI115">
        <f>$C115*CI114</f>
        <v/>
      </c>
      <c r="CJ115">
        <f>$C115*CJ114</f>
        <v/>
      </c>
      <c r="CK115">
        <f>$C115*CK114</f>
        <v/>
      </c>
      <c r="CL115">
        <f>$C115*CL114</f>
        <v/>
      </c>
      <c r="CM115">
        <f>$C115*CM114</f>
        <v/>
      </c>
      <c r="CN115">
        <f>$C115*CN114</f>
        <v/>
      </c>
      <c r="CO115">
        <f>$C115*CO114</f>
        <v/>
      </c>
      <c r="CP115">
        <f>$C115*CP114</f>
        <v/>
      </c>
      <c r="CQ115">
        <f>$C115*CQ114</f>
        <v/>
      </c>
      <c r="CR115">
        <f>$C115*CR114</f>
        <v/>
      </c>
      <c r="CS115">
        <f>$C115*CS114</f>
        <v/>
      </c>
      <c r="CT115">
        <f>$C115*CT114</f>
        <v/>
      </c>
      <c r="CU115">
        <f>$C115*CU114</f>
        <v/>
      </c>
      <c r="CV115">
        <f>$C115*CV114</f>
        <v/>
      </c>
      <c r="CW115">
        <f>$C115*CW114</f>
        <v/>
      </c>
      <c r="CX115">
        <f>$C115*CX114</f>
        <v/>
      </c>
      <c r="CY115">
        <f>$C115*CY114</f>
        <v/>
      </c>
      <c r="CZ115">
        <f>$C115*CZ114</f>
        <v/>
      </c>
      <c r="DA115">
        <f>$C115*DA114</f>
        <v/>
      </c>
      <c r="DB115">
        <f>$C115*DB114</f>
        <v/>
      </c>
      <c r="DC115">
        <f>$C115*DC114</f>
        <v/>
      </c>
    </row>
    <row r="116">
      <c r="B116" t="inlineStr">
        <is>
          <t>TSP-670</t>
        </is>
      </c>
      <c r="C116" t="inlineStr">
        <is>
          <t>No. of batches</t>
        </is>
      </c>
      <c r="D116">
        <f>IFERROR(INDEX(PP_Grid[#Data],$DD116,2),0)</f>
        <v/>
      </c>
      <c r="E116">
        <f>IFERROR(INDEX(PP_Grid[#Data],$DD116,3),0)</f>
        <v/>
      </c>
      <c r="F116">
        <f>IFERROR(INDEX(PP_Grid[#Data],$DD116,4),0)</f>
        <v/>
      </c>
      <c r="G116">
        <f>IFERROR(INDEX(PP_Grid[#Data],$DD116,5),0)</f>
        <v/>
      </c>
      <c r="H116">
        <f>IFERROR(INDEX(PP_Grid[#Data],$DD116,6),0)</f>
        <v/>
      </c>
      <c r="I116">
        <f>IFERROR(INDEX(PP_Grid[#Data],$DD116,7),0)</f>
        <v/>
      </c>
      <c r="J116">
        <f>IFERROR(INDEX(PP_Grid[#Data],$DD116,8),0)</f>
        <v/>
      </c>
      <c r="K116">
        <f>IFERROR(INDEX(PP_Grid[#Data],$DD116,9),0)</f>
        <v/>
      </c>
      <c r="L116">
        <f>IFERROR(INDEX(PP_Grid[#Data],$DD116,10),0)</f>
        <v/>
      </c>
      <c r="M116">
        <f>IFERROR(INDEX(PP_Grid[#Data],$DD116,11),0)</f>
        <v/>
      </c>
      <c r="N116">
        <f>IFERROR(INDEX(PP_Grid[#Data],$DD116,12),0)</f>
        <v/>
      </c>
      <c r="O116">
        <f>IFERROR(INDEX(PP_Grid[#Data],$DD116,13),0)</f>
        <v/>
      </c>
      <c r="P116">
        <f>IFERROR(INDEX(PP_Grid[#Data],$DD116,14),0)</f>
        <v/>
      </c>
      <c r="Q116">
        <f>IFERROR(INDEX(PP_Grid[#Data],$DD116,15),0)</f>
        <v/>
      </c>
      <c r="R116">
        <f>IFERROR(INDEX(PP_Grid[#Data],$DD116,16),0)</f>
        <v/>
      </c>
      <c r="S116">
        <f>IFERROR(INDEX(PP_Grid[#Data],$DD116,17),0)</f>
        <v/>
      </c>
      <c r="T116">
        <f>IFERROR(INDEX(PP_Grid[#Data],$DD116,18),0)</f>
        <v/>
      </c>
      <c r="U116">
        <f>IFERROR(INDEX(PP_Grid[#Data],$DD116,19),0)</f>
        <v/>
      </c>
      <c r="V116">
        <f>IFERROR(INDEX(PP_Grid[#Data],$DD116,20),0)</f>
        <v/>
      </c>
      <c r="W116">
        <f>IFERROR(INDEX(PP_Grid[#Data],$DD116,21),0)</f>
        <v/>
      </c>
      <c r="X116">
        <f>IFERROR(INDEX(PP_Grid[#Data],$DD116,22),0)</f>
        <v/>
      </c>
      <c r="Y116">
        <f>IFERROR(INDEX(PP_Grid[#Data],$DD116,23),0)</f>
        <v/>
      </c>
      <c r="Z116">
        <f>IFERROR(INDEX(PP_Grid[#Data],$DD116,24),0)</f>
        <v/>
      </c>
      <c r="AA116">
        <f>IFERROR(INDEX(PP_Grid[#Data],$DD116,25),0)</f>
        <v/>
      </c>
      <c r="AB116">
        <f>IFERROR(INDEX(PP_Grid[#Data],$DD116,26),0)</f>
        <v/>
      </c>
      <c r="AC116">
        <f>IFERROR(INDEX(PP_Grid[#Data],$DD116,27),0)</f>
        <v/>
      </c>
      <c r="AD116">
        <f>IFERROR(INDEX(PP_Grid[#Data],$DD116,28),0)</f>
        <v/>
      </c>
      <c r="AE116">
        <f>IFERROR(INDEX(PP_Grid[#Data],$DD116,29),0)</f>
        <v/>
      </c>
      <c r="AF116">
        <f>IFERROR(INDEX(PP_Grid[#Data],$DD116,30),0)</f>
        <v/>
      </c>
      <c r="AG116">
        <f>IFERROR(INDEX(PP_Grid[#Data],$DD116,31),0)</f>
        <v/>
      </c>
      <c r="AH116">
        <f>IFERROR(INDEX(PP_Grid[#Data],$DD116,32),0)</f>
        <v/>
      </c>
      <c r="AI116">
        <f>IFERROR(INDEX(PP_Grid[#Data],$DD116,33),0)</f>
        <v/>
      </c>
      <c r="AJ116">
        <f>IFERROR(INDEX(PP_Grid[#Data],$DD116,34),0)</f>
        <v/>
      </c>
      <c r="AK116">
        <f>IFERROR(INDEX(PP_Grid[#Data],$DD116,35),0)</f>
        <v/>
      </c>
      <c r="AL116">
        <f>IFERROR(INDEX(PP_Grid[#Data],$DD116,36),0)</f>
        <v/>
      </c>
      <c r="AM116">
        <f>IFERROR(INDEX(PP_Grid[#Data],$DD116,37),0)</f>
        <v/>
      </c>
      <c r="AN116">
        <f>IFERROR(INDEX(PP_Grid[#Data],$DD116,38),0)</f>
        <v/>
      </c>
      <c r="AO116">
        <f>IFERROR(INDEX(PP_Grid[#Data],$DD116,39),0)</f>
        <v/>
      </c>
      <c r="AP116">
        <f>IFERROR(INDEX(PP_Grid[#Data],$DD116,40),0)</f>
        <v/>
      </c>
      <c r="AQ116">
        <f>IFERROR(INDEX(PP_Grid[#Data],$DD116,41),0)</f>
        <v/>
      </c>
      <c r="AR116">
        <f>IFERROR(INDEX(PP_Grid[#Data],$DD116,42),0)</f>
        <v/>
      </c>
      <c r="AS116">
        <f>IFERROR(INDEX(PP_Grid[#Data],$DD116,43),0)</f>
        <v/>
      </c>
      <c r="AT116">
        <f>IFERROR(INDEX(PP_Grid[#Data],$DD116,44),0)</f>
        <v/>
      </c>
      <c r="AU116">
        <f>IFERROR(INDEX(PP_Grid[#Data],$DD116,45),0)</f>
        <v/>
      </c>
      <c r="AV116">
        <f>IFERROR(INDEX(PP_Grid[#Data],$DD116,46),0)</f>
        <v/>
      </c>
      <c r="AW116">
        <f>IFERROR(INDEX(PP_Grid[#Data],$DD116,47),0)</f>
        <v/>
      </c>
      <c r="AX116">
        <f>IFERROR(INDEX(PP_Grid[#Data],$DD116,48),0)</f>
        <v/>
      </c>
      <c r="AY116">
        <f>IFERROR(INDEX(PP_Grid[#Data],$DD116,49),0)</f>
        <v/>
      </c>
      <c r="AZ116">
        <f>IFERROR(INDEX(PP_Grid[#Data],$DD116,50),0)</f>
        <v/>
      </c>
      <c r="BA116">
        <f>IFERROR(INDEX(PP_Grid[#Data],$DD116,51),0)</f>
        <v/>
      </c>
      <c r="BB116">
        <f>IFERROR(INDEX(PP_Grid[#Data],$DD116,52),0)</f>
        <v/>
      </c>
      <c r="BC116">
        <f>IFERROR(INDEX(PP_Grid[#Data],$DD116,53),0)</f>
        <v/>
      </c>
      <c r="BD116">
        <f>IFERROR(INDEX(PP_Grid[#Data],$DD116,54),0)</f>
        <v/>
      </c>
      <c r="BE116">
        <f>IFERROR(INDEX(PP_Grid[#Data],$DD116,55),0)</f>
        <v/>
      </c>
      <c r="BF116">
        <f>IFERROR(INDEX(PP_Grid[#Data],$DD116,56),0)</f>
        <v/>
      </c>
      <c r="BG116">
        <f>IFERROR(INDEX(PP_Grid[#Data],$DD116,57),0)</f>
        <v/>
      </c>
      <c r="BH116">
        <f>IFERROR(INDEX(PP_Grid[#Data],$DD116,58),0)</f>
        <v/>
      </c>
      <c r="BI116">
        <f>IFERROR(INDEX(PP_Grid[#Data],$DD116,59),0)</f>
        <v/>
      </c>
      <c r="BJ116">
        <f>IFERROR(INDEX(PP_Grid[#Data],$DD116,60),0)</f>
        <v/>
      </c>
      <c r="BK116">
        <f>IFERROR(INDEX(PP_Grid[#Data],$DD116,61),0)</f>
        <v/>
      </c>
      <c r="BL116">
        <f>IFERROR(INDEX(PP_Grid[#Data],$DD116,62),0)</f>
        <v/>
      </c>
      <c r="BM116">
        <f>IFERROR(INDEX(PP_Grid[#Data],$DD116,63),0)</f>
        <v/>
      </c>
      <c r="BN116">
        <f>IFERROR(INDEX(PP_Grid[#Data],$DD116,64),0)</f>
        <v/>
      </c>
      <c r="BO116">
        <f>IFERROR(INDEX(PP_Grid[#Data],$DD116,65),0)</f>
        <v/>
      </c>
      <c r="BP116">
        <f>IFERROR(INDEX(PP_Grid[#Data],$DD116,66),0)</f>
        <v/>
      </c>
      <c r="BQ116">
        <f>IFERROR(INDEX(PP_Grid[#Data],$DD116,67),0)</f>
        <v/>
      </c>
      <c r="BR116">
        <f>IFERROR(INDEX(PP_Grid[#Data],$DD116,68),0)</f>
        <v/>
      </c>
      <c r="BS116">
        <f>IFERROR(INDEX(PP_Grid[#Data],$DD116,69),0)</f>
        <v/>
      </c>
      <c r="BT116">
        <f>IFERROR(INDEX(PP_Grid[#Data],$DD116,70),0)</f>
        <v/>
      </c>
      <c r="BU116">
        <f>IFERROR(INDEX(PP_Grid[#Data],$DD116,71),0)</f>
        <v/>
      </c>
      <c r="BV116">
        <f>IFERROR(INDEX(PP_Grid[#Data],$DD116,72),0)</f>
        <v/>
      </c>
      <c r="BW116">
        <f>IFERROR(INDEX(PP_Grid[#Data],$DD116,73),0)</f>
        <v/>
      </c>
      <c r="BX116">
        <f>IFERROR(INDEX(PP_Grid[#Data],$DD116,74),0)</f>
        <v/>
      </c>
      <c r="BY116">
        <f>IFERROR(INDEX(PP_Grid[#Data],$DD116,75),0)</f>
        <v/>
      </c>
      <c r="BZ116">
        <f>IFERROR(INDEX(PP_Grid[#Data],$DD116,76),0)</f>
        <v/>
      </c>
      <c r="CA116">
        <f>IFERROR(INDEX(PP_Grid[#Data],$DD116,77),0)</f>
        <v/>
      </c>
      <c r="CB116">
        <f>IFERROR(INDEX(PP_Grid[#Data],$DD116,78),0)</f>
        <v/>
      </c>
      <c r="CC116">
        <f>IFERROR(INDEX(PP_Grid[#Data],$DD116,79),0)</f>
        <v/>
      </c>
      <c r="CD116">
        <f>IFERROR(INDEX(PP_Grid[#Data],$DD116,80),0)</f>
        <v/>
      </c>
      <c r="CE116">
        <f>IFERROR(INDEX(PP_Grid[#Data],$DD116,81),0)</f>
        <v/>
      </c>
      <c r="CF116">
        <f>IFERROR(INDEX(PP_Grid[#Data],$DD116,82),0)</f>
        <v/>
      </c>
      <c r="CG116">
        <f>IFERROR(INDEX(PP_Grid[#Data],$DD116,83),0)</f>
        <v/>
      </c>
      <c r="CH116">
        <f>IFERROR(INDEX(PP_Grid[#Data],$DD116,84),0)</f>
        <v/>
      </c>
      <c r="CI116">
        <f>IFERROR(INDEX(PP_Grid[#Data],$DD116,85),0)</f>
        <v/>
      </c>
      <c r="CJ116">
        <f>IFERROR(INDEX(PP_Grid[#Data],$DD116,86),0)</f>
        <v/>
      </c>
      <c r="CK116">
        <f>IFERROR(INDEX(PP_Grid[#Data],$DD116,87),0)</f>
        <v/>
      </c>
      <c r="CL116">
        <f>IFERROR(INDEX(PP_Grid[#Data],$DD116,88),0)</f>
        <v/>
      </c>
      <c r="CM116">
        <f>IFERROR(INDEX(PP_Grid[#Data],$DD116,89),0)</f>
        <v/>
      </c>
      <c r="CN116">
        <f>IFERROR(INDEX(PP_Grid[#Data],$DD116,90),0)</f>
        <v/>
      </c>
      <c r="CO116">
        <f>IFERROR(INDEX(PP_Grid[#Data],$DD116,91),0)</f>
        <v/>
      </c>
      <c r="CP116">
        <f>IFERROR(INDEX(PP_Grid[#Data],$DD116,92),0)</f>
        <v/>
      </c>
      <c r="CQ116">
        <f>IFERROR(INDEX(PP_Grid[#Data],$DD116,93),0)</f>
        <v/>
      </c>
      <c r="CR116">
        <f>IFERROR(INDEX(PP_Grid[#Data],$DD116,94),0)</f>
        <v/>
      </c>
      <c r="CS116">
        <f>IFERROR(INDEX(PP_Grid[#Data],$DD116,95),0)</f>
        <v/>
      </c>
      <c r="CT116">
        <f>IFERROR(INDEX(PP_Grid[#Data],$DD116,96),0)</f>
        <v/>
      </c>
      <c r="CU116">
        <f>IFERROR(INDEX(PP_Grid[#Data],$DD116,97),0)</f>
        <v/>
      </c>
      <c r="CV116">
        <f>IFERROR(INDEX(PP_Grid[#Data],$DD116,98),0)</f>
        <v/>
      </c>
      <c r="CW116">
        <f>IFERROR(INDEX(PP_Grid[#Data],$DD116,99),0)</f>
        <v/>
      </c>
      <c r="CX116">
        <f>IFERROR(INDEX(PP_Grid[#Data],$DD116,100),0)</f>
        <v/>
      </c>
      <c r="CY116">
        <f>IFERROR(INDEX(PP_Grid[#Data],$DD116,101),0)</f>
        <v/>
      </c>
      <c r="CZ116">
        <f>IFERROR(INDEX(PP_Grid[#Data],$DD116,102),0)</f>
        <v/>
      </c>
      <c r="DA116">
        <f>IFERROR(INDEX(PP_Grid[#Data],$DD116,103),0)</f>
        <v/>
      </c>
      <c r="DB116">
        <f>IFERROR(INDEX(PP_Grid[#Data],$DD116,104),0)</f>
        <v/>
      </c>
      <c r="DC116">
        <f>IFERROR(INDEX(PP_Grid[#Data],$DD116,105),0)</f>
        <v/>
      </c>
      <c r="DD116" s="7">
        <f>IFERROR(MATCH($B116,PP_Grid[Intermediate],0),99999)</f>
        <v/>
      </c>
    </row>
    <row r="117">
      <c r="B117" t="inlineStr">
        <is>
          <t>使用量(kg)</t>
        </is>
      </c>
      <c r="C117">
        <f>SUMIFS(M_BOM[RM_Qty_Per_Batch],M_BOM[Intermediate],$B116,M_BOM[Part Name],$A45)</f>
        <v/>
      </c>
      <c r="D117">
        <f>$C117*D116</f>
        <v/>
      </c>
      <c r="E117">
        <f>$C117*E116</f>
        <v/>
      </c>
      <c r="F117">
        <f>$C117*F116</f>
        <v/>
      </c>
      <c r="G117">
        <f>$C117*G116</f>
        <v/>
      </c>
      <c r="H117">
        <f>$C117*H116</f>
        <v/>
      </c>
      <c r="I117">
        <f>$C117*I116</f>
        <v/>
      </c>
      <c r="J117">
        <f>$C117*J116</f>
        <v/>
      </c>
      <c r="K117">
        <f>$C117*K116</f>
        <v/>
      </c>
      <c r="L117">
        <f>$C117*L116</f>
        <v/>
      </c>
      <c r="M117">
        <f>$C117*M116</f>
        <v/>
      </c>
      <c r="N117">
        <f>$C117*N116</f>
        <v/>
      </c>
      <c r="O117">
        <f>$C117*O116</f>
        <v/>
      </c>
      <c r="P117">
        <f>$C117*P116</f>
        <v/>
      </c>
      <c r="Q117">
        <f>$C117*Q116</f>
        <v/>
      </c>
      <c r="R117">
        <f>$C117*R116</f>
        <v/>
      </c>
      <c r="S117">
        <f>$C117*S116</f>
        <v/>
      </c>
      <c r="T117">
        <f>$C117*T116</f>
        <v/>
      </c>
      <c r="U117">
        <f>$C117*U116</f>
        <v/>
      </c>
      <c r="V117">
        <f>$C117*V116</f>
        <v/>
      </c>
      <c r="W117">
        <f>$C117*W116</f>
        <v/>
      </c>
      <c r="X117">
        <f>$C117*X116</f>
        <v/>
      </c>
      <c r="Y117">
        <f>$C117*Y116</f>
        <v/>
      </c>
      <c r="Z117">
        <f>$C117*Z116</f>
        <v/>
      </c>
      <c r="AA117">
        <f>$C117*AA116</f>
        <v/>
      </c>
      <c r="AB117">
        <f>$C117*AB116</f>
        <v/>
      </c>
      <c r="AC117">
        <f>$C117*AC116</f>
        <v/>
      </c>
      <c r="AD117">
        <f>$C117*AD116</f>
        <v/>
      </c>
      <c r="AE117">
        <f>$C117*AE116</f>
        <v/>
      </c>
      <c r="AF117">
        <f>$C117*AF116</f>
        <v/>
      </c>
      <c r="AG117">
        <f>$C117*AG116</f>
        <v/>
      </c>
      <c r="AH117">
        <f>$C117*AH116</f>
        <v/>
      </c>
      <c r="AI117">
        <f>$C117*AI116</f>
        <v/>
      </c>
      <c r="AJ117">
        <f>$C117*AJ116</f>
        <v/>
      </c>
      <c r="AK117">
        <f>$C117*AK116</f>
        <v/>
      </c>
      <c r="AL117">
        <f>$C117*AL116</f>
        <v/>
      </c>
      <c r="AM117">
        <f>$C117*AM116</f>
        <v/>
      </c>
      <c r="AN117">
        <f>$C117*AN116</f>
        <v/>
      </c>
      <c r="AO117">
        <f>$C117*AO116</f>
        <v/>
      </c>
      <c r="AP117">
        <f>$C117*AP116</f>
        <v/>
      </c>
      <c r="AQ117">
        <f>$C117*AQ116</f>
        <v/>
      </c>
      <c r="AR117">
        <f>$C117*AR116</f>
        <v/>
      </c>
      <c r="AS117">
        <f>$C117*AS116</f>
        <v/>
      </c>
      <c r="AT117">
        <f>$C117*AT116</f>
        <v/>
      </c>
      <c r="AU117">
        <f>$C117*AU116</f>
        <v/>
      </c>
      <c r="AV117">
        <f>$C117*AV116</f>
        <v/>
      </c>
      <c r="AW117">
        <f>$C117*AW116</f>
        <v/>
      </c>
      <c r="AX117">
        <f>$C117*AX116</f>
        <v/>
      </c>
      <c r="AY117">
        <f>$C117*AY116</f>
        <v/>
      </c>
      <c r="AZ117">
        <f>$C117*AZ116</f>
        <v/>
      </c>
      <c r="BA117">
        <f>$C117*BA116</f>
        <v/>
      </c>
      <c r="BB117">
        <f>$C117*BB116</f>
        <v/>
      </c>
      <c r="BC117">
        <f>$C117*BC116</f>
        <v/>
      </c>
      <c r="BD117">
        <f>$C117*BD116</f>
        <v/>
      </c>
      <c r="BE117">
        <f>$C117*BE116</f>
        <v/>
      </c>
      <c r="BF117">
        <f>$C117*BF116</f>
        <v/>
      </c>
      <c r="BG117">
        <f>$C117*BG116</f>
        <v/>
      </c>
      <c r="BH117">
        <f>$C117*BH116</f>
        <v/>
      </c>
      <c r="BI117">
        <f>$C117*BI116</f>
        <v/>
      </c>
      <c r="BJ117">
        <f>$C117*BJ116</f>
        <v/>
      </c>
      <c r="BK117">
        <f>$C117*BK116</f>
        <v/>
      </c>
      <c r="BL117">
        <f>$C117*BL116</f>
        <v/>
      </c>
      <c r="BM117">
        <f>$C117*BM116</f>
        <v/>
      </c>
      <c r="BN117">
        <f>$C117*BN116</f>
        <v/>
      </c>
      <c r="BO117">
        <f>$C117*BO116</f>
        <v/>
      </c>
      <c r="BP117">
        <f>$C117*BP116</f>
        <v/>
      </c>
      <c r="BQ117">
        <f>$C117*BQ116</f>
        <v/>
      </c>
      <c r="BR117">
        <f>$C117*BR116</f>
        <v/>
      </c>
      <c r="BS117">
        <f>$C117*BS116</f>
        <v/>
      </c>
      <c r="BT117">
        <f>$C117*BT116</f>
        <v/>
      </c>
      <c r="BU117">
        <f>$C117*BU116</f>
        <v/>
      </c>
      <c r="BV117">
        <f>$C117*BV116</f>
        <v/>
      </c>
      <c r="BW117">
        <f>$C117*BW116</f>
        <v/>
      </c>
      <c r="BX117">
        <f>$C117*BX116</f>
        <v/>
      </c>
      <c r="BY117">
        <f>$C117*BY116</f>
        <v/>
      </c>
      <c r="BZ117">
        <f>$C117*BZ116</f>
        <v/>
      </c>
      <c r="CA117">
        <f>$C117*CA116</f>
        <v/>
      </c>
      <c r="CB117">
        <f>$C117*CB116</f>
        <v/>
      </c>
      <c r="CC117">
        <f>$C117*CC116</f>
        <v/>
      </c>
      <c r="CD117">
        <f>$C117*CD116</f>
        <v/>
      </c>
      <c r="CE117">
        <f>$C117*CE116</f>
        <v/>
      </c>
      <c r="CF117">
        <f>$C117*CF116</f>
        <v/>
      </c>
      <c r="CG117">
        <f>$C117*CG116</f>
        <v/>
      </c>
      <c r="CH117">
        <f>$C117*CH116</f>
        <v/>
      </c>
      <c r="CI117">
        <f>$C117*CI116</f>
        <v/>
      </c>
      <c r="CJ117">
        <f>$C117*CJ116</f>
        <v/>
      </c>
      <c r="CK117">
        <f>$C117*CK116</f>
        <v/>
      </c>
      <c r="CL117">
        <f>$C117*CL116</f>
        <v/>
      </c>
      <c r="CM117">
        <f>$C117*CM116</f>
        <v/>
      </c>
      <c r="CN117">
        <f>$C117*CN116</f>
        <v/>
      </c>
      <c r="CO117">
        <f>$C117*CO116</f>
        <v/>
      </c>
      <c r="CP117">
        <f>$C117*CP116</f>
        <v/>
      </c>
      <c r="CQ117">
        <f>$C117*CQ116</f>
        <v/>
      </c>
      <c r="CR117">
        <f>$C117*CR116</f>
        <v/>
      </c>
      <c r="CS117">
        <f>$C117*CS116</f>
        <v/>
      </c>
      <c r="CT117">
        <f>$C117*CT116</f>
        <v/>
      </c>
      <c r="CU117">
        <f>$C117*CU116</f>
        <v/>
      </c>
      <c r="CV117">
        <f>$C117*CV116</f>
        <v/>
      </c>
      <c r="CW117">
        <f>$C117*CW116</f>
        <v/>
      </c>
      <c r="CX117">
        <f>$C117*CX116</f>
        <v/>
      </c>
      <c r="CY117">
        <f>$C117*CY116</f>
        <v/>
      </c>
      <c r="CZ117">
        <f>$C117*CZ116</f>
        <v/>
      </c>
      <c r="DA117">
        <f>$C117*DA116</f>
        <v/>
      </c>
      <c r="DB117">
        <f>$C117*DB116</f>
        <v/>
      </c>
      <c r="DC117">
        <f>$C117*DC116</f>
        <v/>
      </c>
    </row>
    <row r="118">
      <c r="B118" t="inlineStr">
        <is>
          <t>TSP-699</t>
        </is>
      </c>
      <c r="C118" t="inlineStr">
        <is>
          <t>No. of batches</t>
        </is>
      </c>
      <c r="D118">
        <f>IFERROR(INDEX(PP_Grid[#Data],$DD118,2),0)</f>
        <v/>
      </c>
      <c r="E118">
        <f>IFERROR(INDEX(PP_Grid[#Data],$DD118,3),0)</f>
        <v/>
      </c>
      <c r="F118">
        <f>IFERROR(INDEX(PP_Grid[#Data],$DD118,4),0)</f>
        <v/>
      </c>
      <c r="G118">
        <f>IFERROR(INDEX(PP_Grid[#Data],$DD118,5),0)</f>
        <v/>
      </c>
      <c r="H118">
        <f>IFERROR(INDEX(PP_Grid[#Data],$DD118,6),0)</f>
        <v/>
      </c>
      <c r="I118">
        <f>IFERROR(INDEX(PP_Grid[#Data],$DD118,7),0)</f>
        <v/>
      </c>
      <c r="J118">
        <f>IFERROR(INDEX(PP_Grid[#Data],$DD118,8),0)</f>
        <v/>
      </c>
      <c r="K118">
        <f>IFERROR(INDEX(PP_Grid[#Data],$DD118,9),0)</f>
        <v/>
      </c>
      <c r="L118">
        <f>IFERROR(INDEX(PP_Grid[#Data],$DD118,10),0)</f>
        <v/>
      </c>
      <c r="M118">
        <f>IFERROR(INDEX(PP_Grid[#Data],$DD118,11),0)</f>
        <v/>
      </c>
      <c r="N118">
        <f>IFERROR(INDEX(PP_Grid[#Data],$DD118,12),0)</f>
        <v/>
      </c>
      <c r="O118">
        <f>IFERROR(INDEX(PP_Grid[#Data],$DD118,13),0)</f>
        <v/>
      </c>
      <c r="P118">
        <f>IFERROR(INDEX(PP_Grid[#Data],$DD118,14),0)</f>
        <v/>
      </c>
      <c r="Q118">
        <f>IFERROR(INDEX(PP_Grid[#Data],$DD118,15),0)</f>
        <v/>
      </c>
      <c r="R118">
        <f>IFERROR(INDEX(PP_Grid[#Data],$DD118,16),0)</f>
        <v/>
      </c>
      <c r="S118">
        <f>IFERROR(INDEX(PP_Grid[#Data],$DD118,17),0)</f>
        <v/>
      </c>
      <c r="T118">
        <f>IFERROR(INDEX(PP_Grid[#Data],$DD118,18),0)</f>
        <v/>
      </c>
      <c r="U118">
        <f>IFERROR(INDEX(PP_Grid[#Data],$DD118,19),0)</f>
        <v/>
      </c>
      <c r="V118">
        <f>IFERROR(INDEX(PP_Grid[#Data],$DD118,20),0)</f>
        <v/>
      </c>
      <c r="W118">
        <f>IFERROR(INDEX(PP_Grid[#Data],$DD118,21),0)</f>
        <v/>
      </c>
      <c r="X118">
        <f>IFERROR(INDEX(PP_Grid[#Data],$DD118,22),0)</f>
        <v/>
      </c>
      <c r="Y118">
        <f>IFERROR(INDEX(PP_Grid[#Data],$DD118,23),0)</f>
        <v/>
      </c>
      <c r="Z118">
        <f>IFERROR(INDEX(PP_Grid[#Data],$DD118,24),0)</f>
        <v/>
      </c>
      <c r="AA118">
        <f>IFERROR(INDEX(PP_Grid[#Data],$DD118,25),0)</f>
        <v/>
      </c>
      <c r="AB118">
        <f>IFERROR(INDEX(PP_Grid[#Data],$DD118,26),0)</f>
        <v/>
      </c>
      <c r="AC118">
        <f>IFERROR(INDEX(PP_Grid[#Data],$DD118,27),0)</f>
        <v/>
      </c>
      <c r="AD118">
        <f>IFERROR(INDEX(PP_Grid[#Data],$DD118,28),0)</f>
        <v/>
      </c>
      <c r="AE118">
        <f>IFERROR(INDEX(PP_Grid[#Data],$DD118,29),0)</f>
        <v/>
      </c>
      <c r="AF118">
        <f>IFERROR(INDEX(PP_Grid[#Data],$DD118,30),0)</f>
        <v/>
      </c>
      <c r="AG118">
        <f>IFERROR(INDEX(PP_Grid[#Data],$DD118,31),0)</f>
        <v/>
      </c>
      <c r="AH118">
        <f>IFERROR(INDEX(PP_Grid[#Data],$DD118,32),0)</f>
        <v/>
      </c>
      <c r="AI118">
        <f>IFERROR(INDEX(PP_Grid[#Data],$DD118,33),0)</f>
        <v/>
      </c>
      <c r="AJ118">
        <f>IFERROR(INDEX(PP_Grid[#Data],$DD118,34),0)</f>
        <v/>
      </c>
      <c r="AK118">
        <f>IFERROR(INDEX(PP_Grid[#Data],$DD118,35),0)</f>
        <v/>
      </c>
      <c r="AL118">
        <f>IFERROR(INDEX(PP_Grid[#Data],$DD118,36),0)</f>
        <v/>
      </c>
      <c r="AM118">
        <f>IFERROR(INDEX(PP_Grid[#Data],$DD118,37),0)</f>
        <v/>
      </c>
      <c r="AN118">
        <f>IFERROR(INDEX(PP_Grid[#Data],$DD118,38),0)</f>
        <v/>
      </c>
      <c r="AO118">
        <f>IFERROR(INDEX(PP_Grid[#Data],$DD118,39),0)</f>
        <v/>
      </c>
      <c r="AP118">
        <f>IFERROR(INDEX(PP_Grid[#Data],$DD118,40),0)</f>
        <v/>
      </c>
      <c r="AQ118">
        <f>IFERROR(INDEX(PP_Grid[#Data],$DD118,41),0)</f>
        <v/>
      </c>
      <c r="AR118">
        <f>IFERROR(INDEX(PP_Grid[#Data],$DD118,42),0)</f>
        <v/>
      </c>
      <c r="AS118">
        <f>IFERROR(INDEX(PP_Grid[#Data],$DD118,43),0)</f>
        <v/>
      </c>
      <c r="AT118">
        <f>IFERROR(INDEX(PP_Grid[#Data],$DD118,44),0)</f>
        <v/>
      </c>
      <c r="AU118">
        <f>IFERROR(INDEX(PP_Grid[#Data],$DD118,45),0)</f>
        <v/>
      </c>
      <c r="AV118">
        <f>IFERROR(INDEX(PP_Grid[#Data],$DD118,46),0)</f>
        <v/>
      </c>
      <c r="AW118">
        <f>IFERROR(INDEX(PP_Grid[#Data],$DD118,47),0)</f>
        <v/>
      </c>
      <c r="AX118">
        <f>IFERROR(INDEX(PP_Grid[#Data],$DD118,48),0)</f>
        <v/>
      </c>
      <c r="AY118">
        <f>IFERROR(INDEX(PP_Grid[#Data],$DD118,49),0)</f>
        <v/>
      </c>
      <c r="AZ118">
        <f>IFERROR(INDEX(PP_Grid[#Data],$DD118,50),0)</f>
        <v/>
      </c>
      <c r="BA118">
        <f>IFERROR(INDEX(PP_Grid[#Data],$DD118,51),0)</f>
        <v/>
      </c>
      <c r="BB118">
        <f>IFERROR(INDEX(PP_Grid[#Data],$DD118,52),0)</f>
        <v/>
      </c>
      <c r="BC118">
        <f>IFERROR(INDEX(PP_Grid[#Data],$DD118,53),0)</f>
        <v/>
      </c>
      <c r="BD118">
        <f>IFERROR(INDEX(PP_Grid[#Data],$DD118,54),0)</f>
        <v/>
      </c>
      <c r="BE118">
        <f>IFERROR(INDEX(PP_Grid[#Data],$DD118,55),0)</f>
        <v/>
      </c>
      <c r="BF118">
        <f>IFERROR(INDEX(PP_Grid[#Data],$DD118,56),0)</f>
        <v/>
      </c>
      <c r="BG118">
        <f>IFERROR(INDEX(PP_Grid[#Data],$DD118,57),0)</f>
        <v/>
      </c>
      <c r="BH118">
        <f>IFERROR(INDEX(PP_Grid[#Data],$DD118,58),0)</f>
        <v/>
      </c>
      <c r="BI118">
        <f>IFERROR(INDEX(PP_Grid[#Data],$DD118,59),0)</f>
        <v/>
      </c>
      <c r="BJ118">
        <f>IFERROR(INDEX(PP_Grid[#Data],$DD118,60),0)</f>
        <v/>
      </c>
      <c r="BK118">
        <f>IFERROR(INDEX(PP_Grid[#Data],$DD118,61),0)</f>
        <v/>
      </c>
      <c r="BL118">
        <f>IFERROR(INDEX(PP_Grid[#Data],$DD118,62),0)</f>
        <v/>
      </c>
      <c r="BM118">
        <f>IFERROR(INDEX(PP_Grid[#Data],$DD118,63),0)</f>
        <v/>
      </c>
      <c r="BN118">
        <f>IFERROR(INDEX(PP_Grid[#Data],$DD118,64),0)</f>
        <v/>
      </c>
      <c r="BO118">
        <f>IFERROR(INDEX(PP_Grid[#Data],$DD118,65),0)</f>
        <v/>
      </c>
      <c r="BP118">
        <f>IFERROR(INDEX(PP_Grid[#Data],$DD118,66),0)</f>
        <v/>
      </c>
      <c r="BQ118">
        <f>IFERROR(INDEX(PP_Grid[#Data],$DD118,67),0)</f>
        <v/>
      </c>
      <c r="BR118">
        <f>IFERROR(INDEX(PP_Grid[#Data],$DD118,68),0)</f>
        <v/>
      </c>
      <c r="BS118">
        <f>IFERROR(INDEX(PP_Grid[#Data],$DD118,69),0)</f>
        <v/>
      </c>
      <c r="BT118">
        <f>IFERROR(INDEX(PP_Grid[#Data],$DD118,70),0)</f>
        <v/>
      </c>
      <c r="BU118">
        <f>IFERROR(INDEX(PP_Grid[#Data],$DD118,71),0)</f>
        <v/>
      </c>
      <c r="BV118">
        <f>IFERROR(INDEX(PP_Grid[#Data],$DD118,72),0)</f>
        <v/>
      </c>
      <c r="BW118">
        <f>IFERROR(INDEX(PP_Grid[#Data],$DD118,73),0)</f>
        <v/>
      </c>
      <c r="BX118">
        <f>IFERROR(INDEX(PP_Grid[#Data],$DD118,74),0)</f>
        <v/>
      </c>
      <c r="BY118">
        <f>IFERROR(INDEX(PP_Grid[#Data],$DD118,75),0)</f>
        <v/>
      </c>
      <c r="BZ118">
        <f>IFERROR(INDEX(PP_Grid[#Data],$DD118,76),0)</f>
        <v/>
      </c>
      <c r="CA118">
        <f>IFERROR(INDEX(PP_Grid[#Data],$DD118,77),0)</f>
        <v/>
      </c>
      <c r="CB118">
        <f>IFERROR(INDEX(PP_Grid[#Data],$DD118,78),0)</f>
        <v/>
      </c>
      <c r="CC118">
        <f>IFERROR(INDEX(PP_Grid[#Data],$DD118,79),0)</f>
        <v/>
      </c>
      <c r="CD118">
        <f>IFERROR(INDEX(PP_Grid[#Data],$DD118,80),0)</f>
        <v/>
      </c>
      <c r="CE118">
        <f>IFERROR(INDEX(PP_Grid[#Data],$DD118,81),0)</f>
        <v/>
      </c>
      <c r="CF118">
        <f>IFERROR(INDEX(PP_Grid[#Data],$DD118,82),0)</f>
        <v/>
      </c>
      <c r="CG118">
        <f>IFERROR(INDEX(PP_Grid[#Data],$DD118,83),0)</f>
        <v/>
      </c>
      <c r="CH118">
        <f>IFERROR(INDEX(PP_Grid[#Data],$DD118,84),0)</f>
        <v/>
      </c>
      <c r="CI118">
        <f>IFERROR(INDEX(PP_Grid[#Data],$DD118,85),0)</f>
        <v/>
      </c>
      <c r="CJ118">
        <f>IFERROR(INDEX(PP_Grid[#Data],$DD118,86),0)</f>
        <v/>
      </c>
      <c r="CK118">
        <f>IFERROR(INDEX(PP_Grid[#Data],$DD118,87),0)</f>
        <v/>
      </c>
      <c r="CL118">
        <f>IFERROR(INDEX(PP_Grid[#Data],$DD118,88),0)</f>
        <v/>
      </c>
      <c r="CM118">
        <f>IFERROR(INDEX(PP_Grid[#Data],$DD118,89),0)</f>
        <v/>
      </c>
      <c r="CN118">
        <f>IFERROR(INDEX(PP_Grid[#Data],$DD118,90),0)</f>
        <v/>
      </c>
      <c r="CO118">
        <f>IFERROR(INDEX(PP_Grid[#Data],$DD118,91),0)</f>
        <v/>
      </c>
      <c r="CP118">
        <f>IFERROR(INDEX(PP_Grid[#Data],$DD118,92),0)</f>
        <v/>
      </c>
      <c r="CQ118">
        <f>IFERROR(INDEX(PP_Grid[#Data],$DD118,93),0)</f>
        <v/>
      </c>
      <c r="CR118">
        <f>IFERROR(INDEX(PP_Grid[#Data],$DD118,94),0)</f>
        <v/>
      </c>
      <c r="CS118">
        <f>IFERROR(INDEX(PP_Grid[#Data],$DD118,95),0)</f>
        <v/>
      </c>
      <c r="CT118">
        <f>IFERROR(INDEX(PP_Grid[#Data],$DD118,96),0)</f>
        <v/>
      </c>
      <c r="CU118">
        <f>IFERROR(INDEX(PP_Grid[#Data],$DD118,97),0)</f>
        <v/>
      </c>
      <c r="CV118">
        <f>IFERROR(INDEX(PP_Grid[#Data],$DD118,98),0)</f>
        <v/>
      </c>
      <c r="CW118">
        <f>IFERROR(INDEX(PP_Grid[#Data],$DD118,99),0)</f>
        <v/>
      </c>
      <c r="CX118">
        <f>IFERROR(INDEX(PP_Grid[#Data],$DD118,100),0)</f>
        <v/>
      </c>
      <c r="CY118">
        <f>IFERROR(INDEX(PP_Grid[#Data],$DD118,101),0)</f>
        <v/>
      </c>
      <c r="CZ118">
        <f>IFERROR(INDEX(PP_Grid[#Data],$DD118,102),0)</f>
        <v/>
      </c>
      <c r="DA118">
        <f>IFERROR(INDEX(PP_Grid[#Data],$DD118,103),0)</f>
        <v/>
      </c>
      <c r="DB118">
        <f>IFERROR(INDEX(PP_Grid[#Data],$DD118,104),0)</f>
        <v/>
      </c>
      <c r="DC118">
        <f>IFERROR(INDEX(PP_Grid[#Data],$DD118,105),0)</f>
        <v/>
      </c>
      <c r="DD118" s="7">
        <f>IFERROR(MATCH($B118,PP_Grid[Intermediate],0),99999)</f>
        <v/>
      </c>
    </row>
    <row r="119">
      <c r="B119" t="inlineStr">
        <is>
          <t>使用量(kg)</t>
        </is>
      </c>
      <c r="C119">
        <f>SUMIFS(M_BOM[RM_Qty_Per_Batch],M_BOM[Intermediate],$B118,M_BOM[Part Name],$A45)</f>
        <v/>
      </c>
      <c r="D119">
        <f>$C119*D118</f>
        <v/>
      </c>
      <c r="E119">
        <f>$C119*E118</f>
        <v/>
      </c>
      <c r="F119">
        <f>$C119*F118</f>
        <v/>
      </c>
      <c r="G119">
        <f>$C119*G118</f>
        <v/>
      </c>
      <c r="H119">
        <f>$C119*H118</f>
        <v/>
      </c>
      <c r="I119">
        <f>$C119*I118</f>
        <v/>
      </c>
      <c r="J119">
        <f>$C119*J118</f>
        <v/>
      </c>
      <c r="K119">
        <f>$C119*K118</f>
        <v/>
      </c>
      <c r="L119">
        <f>$C119*L118</f>
        <v/>
      </c>
      <c r="M119">
        <f>$C119*M118</f>
        <v/>
      </c>
      <c r="N119">
        <f>$C119*N118</f>
        <v/>
      </c>
      <c r="O119">
        <f>$C119*O118</f>
        <v/>
      </c>
      <c r="P119">
        <f>$C119*P118</f>
        <v/>
      </c>
      <c r="Q119">
        <f>$C119*Q118</f>
        <v/>
      </c>
      <c r="R119">
        <f>$C119*R118</f>
        <v/>
      </c>
      <c r="S119">
        <f>$C119*S118</f>
        <v/>
      </c>
      <c r="T119">
        <f>$C119*T118</f>
        <v/>
      </c>
      <c r="U119">
        <f>$C119*U118</f>
        <v/>
      </c>
      <c r="V119">
        <f>$C119*V118</f>
        <v/>
      </c>
      <c r="W119">
        <f>$C119*W118</f>
        <v/>
      </c>
      <c r="X119">
        <f>$C119*X118</f>
        <v/>
      </c>
      <c r="Y119">
        <f>$C119*Y118</f>
        <v/>
      </c>
      <c r="Z119">
        <f>$C119*Z118</f>
        <v/>
      </c>
      <c r="AA119">
        <f>$C119*AA118</f>
        <v/>
      </c>
      <c r="AB119">
        <f>$C119*AB118</f>
        <v/>
      </c>
      <c r="AC119">
        <f>$C119*AC118</f>
        <v/>
      </c>
      <c r="AD119">
        <f>$C119*AD118</f>
        <v/>
      </c>
      <c r="AE119">
        <f>$C119*AE118</f>
        <v/>
      </c>
      <c r="AF119">
        <f>$C119*AF118</f>
        <v/>
      </c>
      <c r="AG119">
        <f>$C119*AG118</f>
        <v/>
      </c>
      <c r="AH119">
        <f>$C119*AH118</f>
        <v/>
      </c>
      <c r="AI119">
        <f>$C119*AI118</f>
        <v/>
      </c>
      <c r="AJ119">
        <f>$C119*AJ118</f>
        <v/>
      </c>
      <c r="AK119">
        <f>$C119*AK118</f>
        <v/>
      </c>
      <c r="AL119">
        <f>$C119*AL118</f>
        <v/>
      </c>
      <c r="AM119">
        <f>$C119*AM118</f>
        <v/>
      </c>
      <c r="AN119">
        <f>$C119*AN118</f>
        <v/>
      </c>
      <c r="AO119">
        <f>$C119*AO118</f>
        <v/>
      </c>
      <c r="AP119">
        <f>$C119*AP118</f>
        <v/>
      </c>
      <c r="AQ119">
        <f>$C119*AQ118</f>
        <v/>
      </c>
      <c r="AR119">
        <f>$C119*AR118</f>
        <v/>
      </c>
      <c r="AS119">
        <f>$C119*AS118</f>
        <v/>
      </c>
      <c r="AT119">
        <f>$C119*AT118</f>
        <v/>
      </c>
      <c r="AU119">
        <f>$C119*AU118</f>
        <v/>
      </c>
      <c r="AV119">
        <f>$C119*AV118</f>
        <v/>
      </c>
      <c r="AW119">
        <f>$C119*AW118</f>
        <v/>
      </c>
      <c r="AX119">
        <f>$C119*AX118</f>
        <v/>
      </c>
      <c r="AY119">
        <f>$C119*AY118</f>
        <v/>
      </c>
      <c r="AZ119">
        <f>$C119*AZ118</f>
        <v/>
      </c>
      <c r="BA119">
        <f>$C119*BA118</f>
        <v/>
      </c>
      <c r="BB119">
        <f>$C119*BB118</f>
        <v/>
      </c>
      <c r="BC119">
        <f>$C119*BC118</f>
        <v/>
      </c>
      <c r="BD119">
        <f>$C119*BD118</f>
        <v/>
      </c>
      <c r="BE119">
        <f>$C119*BE118</f>
        <v/>
      </c>
      <c r="BF119">
        <f>$C119*BF118</f>
        <v/>
      </c>
      <c r="BG119">
        <f>$C119*BG118</f>
        <v/>
      </c>
      <c r="BH119">
        <f>$C119*BH118</f>
        <v/>
      </c>
      <c r="BI119">
        <f>$C119*BI118</f>
        <v/>
      </c>
      <c r="BJ119">
        <f>$C119*BJ118</f>
        <v/>
      </c>
      <c r="BK119">
        <f>$C119*BK118</f>
        <v/>
      </c>
      <c r="BL119">
        <f>$C119*BL118</f>
        <v/>
      </c>
      <c r="BM119">
        <f>$C119*BM118</f>
        <v/>
      </c>
      <c r="BN119">
        <f>$C119*BN118</f>
        <v/>
      </c>
      <c r="BO119">
        <f>$C119*BO118</f>
        <v/>
      </c>
      <c r="BP119">
        <f>$C119*BP118</f>
        <v/>
      </c>
      <c r="BQ119">
        <f>$C119*BQ118</f>
        <v/>
      </c>
      <c r="BR119">
        <f>$C119*BR118</f>
        <v/>
      </c>
      <c r="BS119">
        <f>$C119*BS118</f>
        <v/>
      </c>
      <c r="BT119">
        <f>$C119*BT118</f>
        <v/>
      </c>
      <c r="BU119">
        <f>$C119*BU118</f>
        <v/>
      </c>
      <c r="BV119">
        <f>$C119*BV118</f>
        <v/>
      </c>
      <c r="BW119">
        <f>$C119*BW118</f>
        <v/>
      </c>
      <c r="BX119">
        <f>$C119*BX118</f>
        <v/>
      </c>
      <c r="BY119">
        <f>$C119*BY118</f>
        <v/>
      </c>
      <c r="BZ119">
        <f>$C119*BZ118</f>
        <v/>
      </c>
      <c r="CA119">
        <f>$C119*CA118</f>
        <v/>
      </c>
      <c r="CB119">
        <f>$C119*CB118</f>
        <v/>
      </c>
      <c r="CC119">
        <f>$C119*CC118</f>
        <v/>
      </c>
      <c r="CD119">
        <f>$C119*CD118</f>
        <v/>
      </c>
      <c r="CE119">
        <f>$C119*CE118</f>
        <v/>
      </c>
      <c r="CF119">
        <f>$C119*CF118</f>
        <v/>
      </c>
      <c r="CG119">
        <f>$C119*CG118</f>
        <v/>
      </c>
      <c r="CH119">
        <f>$C119*CH118</f>
        <v/>
      </c>
      <c r="CI119">
        <f>$C119*CI118</f>
        <v/>
      </c>
      <c r="CJ119">
        <f>$C119*CJ118</f>
        <v/>
      </c>
      <c r="CK119">
        <f>$C119*CK118</f>
        <v/>
      </c>
      <c r="CL119">
        <f>$C119*CL118</f>
        <v/>
      </c>
      <c r="CM119">
        <f>$C119*CM118</f>
        <v/>
      </c>
      <c r="CN119">
        <f>$C119*CN118</f>
        <v/>
      </c>
      <c r="CO119">
        <f>$C119*CO118</f>
        <v/>
      </c>
      <c r="CP119">
        <f>$C119*CP118</f>
        <v/>
      </c>
      <c r="CQ119">
        <f>$C119*CQ118</f>
        <v/>
      </c>
      <c r="CR119">
        <f>$C119*CR118</f>
        <v/>
      </c>
      <c r="CS119">
        <f>$C119*CS118</f>
        <v/>
      </c>
      <c r="CT119">
        <f>$C119*CT118</f>
        <v/>
      </c>
      <c r="CU119">
        <f>$C119*CU118</f>
        <v/>
      </c>
      <c r="CV119">
        <f>$C119*CV118</f>
        <v/>
      </c>
      <c r="CW119">
        <f>$C119*CW118</f>
        <v/>
      </c>
      <c r="CX119">
        <f>$C119*CX118</f>
        <v/>
      </c>
      <c r="CY119">
        <f>$C119*CY118</f>
        <v/>
      </c>
      <c r="CZ119">
        <f>$C119*CZ118</f>
        <v/>
      </c>
      <c r="DA119">
        <f>$C119*DA118</f>
        <v/>
      </c>
      <c r="DB119">
        <f>$C119*DB118</f>
        <v/>
      </c>
      <c r="DC119">
        <f>$C119*DC118</f>
        <v/>
      </c>
    </row>
    <row r="120">
      <c r="B120" t="inlineStr">
        <is>
          <t>TSP-710</t>
        </is>
      </c>
      <c r="C120" t="inlineStr">
        <is>
          <t>No. of batches</t>
        </is>
      </c>
      <c r="D120">
        <f>IFERROR(INDEX(PP_Grid[#Data],$DD120,2),0)</f>
        <v/>
      </c>
      <c r="E120">
        <f>IFERROR(INDEX(PP_Grid[#Data],$DD120,3),0)</f>
        <v/>
      </c>
      <c r="F120">
        <f>IFERROR(INDEX(PP_Grid[#Data],$DD120,4),0)</f>
        <v/>
      </c>
      <c r="G120">
        <f>IFERROR(INDEX(PP_Grid[#Data],$DD120,5),0)</f>
        <v/>
      </c>
      <c r="H120">
        <f>IFERROR(INDEX(PP_Grid[#Data],$DD120,6),0)</f>
        <v/>
      </c>
      <c r="I120">
        <f>IFERROR(INDEX(PP_Grid[#Data],$DD120,7),0)</f>
        <v/>
      </c>
      <c r="J120">
        <f>IFERROR(INDEX(PP_Grid[#Data],$DD120,8),0)</f>
        <v/>
      </c>
      <c r="K120">
        <f>IFERROR(INDEX(PP_Grid[#Data],$DD120,9),0)</f>
        <v/>
      </c>
      <c r="L120">
        <f>IFERROR(INDEX(PP_Grid[#Data],$DD120,10),0)</f>
        <v/>
      </c>
      <c r="M120">
        <f>IFERROR(INDEX(PP_Grid[#Data],$DD120,11),0)</f>
        <v/>
      </c>
      <c r="N120">
        <f>IFERROR(INDEX(PP_Grid[#Data],$DD120,12),0)</f>
        <v/>
      </c>
      <c r="O120">
        <f>IFERROR(INDEX(PP_Grid[#Data],$DD120,13),0)</f>
        <v/>
      </c>
      <c r="P120">
        <f>IFERROR(INDEX(PP_Grid[#Data],$DD120,14),0)</f>
        <v/>
      </c>
      <c r="Q120">
        <f>IFERROR(INDEX(PP_Grid[#Data],$DD120,15),0)</f>
        <v/>
      </c>
      <c r="R120">
        <f>IFERROR(INDEX(PP_Grid[#Data],$DD120,16),0)</f>
        <v/>
      </c>
      <c r="S120">
        <f>IFERROR(INDEX(PP_Grid[#Data],$DD120,17),0)</f>
        <v/>
      </c>
      <c r="T120">
        <f>IFERROR(INDEX(PP_Grid[#Data],$DD120,18),0)</f>
        <v/>
      </c>
      <c r="U120">
        <f>IFERROR(INDEX(PP_Grid[#Data],$DD120,19),0)</f>
        <v/>
      </c>
      <c r="V120">
        <f>IFERROR(INDEX(PP_Grid[#Data],$DD120,20),0)</f>
        <v/>
      </c>
      <c r="W120">
        <f>IFERROR(INDEX(PP_Grid[#Data],$DD120,21),0)</f>
        <v/>
      </c>
      <c r="X120">
        <f>IFERROR(INDEX(PP_Grid[#Data],$DD120,22),0)</f>
        <v/>
      </c>
      <c r="Y120">
        <f>IFERROR(INDEX(PP_Grid[#Data],$DD120,23),0)</f>
        <v/>
      </c>
      <c r="Z120">
        <f>IFERROR(INDEX(PP_Grid[#Data],$DD120,24),0)</f>
        <v/>
      </c>
      <c r="AA120">
        <f>IFERROR(INDEX(PP_Grid[#Data],$DD120,25),0)</f>
        <v/>
      </c>
      <c r="AB120">
        <f>IFERROR(INDEX(PP_Grid[#Data],$DD120,26),0)</f>
        <v/>
      </c>
      <c r="AC120">
        <f>IFERROR(INDEX(PP_Grid[#Data],$DD120,27),0)</f>
        <v/>
      </c>
      <c r="AD120">
        <f>IFERROR(INDEX(PP_Grid[#Data],$DD120,28),0)</f>
        <v/>
      </c>
      <c r="AE120">
        <f>IFERROR(INDEX(PP_Grid[#Data],$DD120,29),0)</f>
        <v/>
      </c>
      <c r="AF120">
        <f>IFERROR(INDEX(PP_Grid[#Data],$DD120,30),0)</f>
        <v/>
      </c>
      <c r="AG120">
        <f>IFERROR(INDEX(PP_Grid[#Data],$DD120,31),0)</f>
        <v/>
      </c>
      <c r="AH120">
        <f>IFERROR(INDEX(PP_Grid[#Data],$DD120,32),0)</f>
        <v/>
      </c>
      <c r="AI120">
        <f>IFERROR(INDEX(PP_Grid[#Data],$DD120,33),0)</f>
        <v/>
      </c>
      <c r="AJ120">
        <f>IFERROR(INDEX(PP_Grid[#Data],$DD120,34),0)</f>
        <v/>
      </c>
      <c r="AK120">
        <f>IFERROR(INDEX(PP_Grid[#Data],$DD120,35),0)</f>
        <v/>
      </c>
      <c r="AL120">
        <f>IFERROR(INDEX(PP_Grid[#Data],$DD120,36),0)</f>
        <v/>
      </c>
      <c r="AM120">
        <f>IFERROR(INDEX(PP_Grid[#Data],$DD120,37),0)</f>
        <v/>
      </c>
      <c r="AN120">
        <f>IFERROR(INDEX(PP_Grid[#Data],$DD120,38),0)</f>
        <v/>
      </c>
      <c r="AO120">
        <f>IFERROR(INDEX(PP_Grid[#Data],$DD120,39),0)</f>
        <v/>
      </c>
      <c r="AP120">
        <f>IFERROR(INDEX(PP_Grid[#Data],$DD120,40),0)</f>
        <v/>
      </c>
      <c r="AQ120">
        <f>IFERROR(INDEX(PP_Grid[#Data],$DD120,41),0)</f>
        <v/>
      </c>
      <c r="AR120">
        <f>IFERROR(INDEX(PP_Grid[#Data],$DD120,42),0)</f>
        <v/>
      </c>
      <c r="AS120">
        <f>IFERROR(INDEX(PP_Grid[#Data],$DD120,43),0)</f>
        <v/>
      </c>
      <c r="AT120">
        <f>IFERROR(INDEX(PP_Grid[#Data],$DD120,44),0)</f>
        <v/>
      </c>
      <c r="AU120">
        <f>IFERROR(INDEX(PP_Grid[#Data],$DD120,45),0)</f>
        <v/>
      </c>
      <c r="AV120">
        <f>IFERROR(INDEX(PP_Grid[#Data],$DD120,46),0)</f>
        <v/>
      </c>
      <c r="AW120">
        <f>IFERROR(INDEX(PP_Grid[#Data],$DD120,47),0)</f>
        <v/>
      </c>
      <c r="AX120">
        <f>IFERROR(INDEX(PP_Grid[#Data],$DD120,48),0)</f>
        <v/>
      </c>
      <c r="AY120">
        <f>IFERROR(INDEX(PP_Grid[#Data],$DD120,49),0)</f>
        <v/>
      </c>
      <c r="AZ120">
        <f>IFERROR(INDEX(PP_Grid[#Data],$DD120,50),0)</f>
        <v/>
      </c>
      <c r="BA120">
        <f>IFERROR(INDEX(PP_Grid[#Data],$DD120,51),0)</f>
        <v/>
      </c>
      <c r="BB120">
        <f>IFERROR(INDEX(PP_Grid[#Data],$DD120,52),0)</f>
        <v/>
      </c>
      <c r="BC120">
        <f>IFERROR(INDEX(PP_Grid[#Data],$DD120,53),0)</f>
        <v/>
      </c>
      <c r="BD120">
        <f>IFERROR(INDEX(PP_Grid[#Data],$DD120,54),0)</f>
        <v/>
      </c>
      <c r="BE120">
        <f>IFERROR(INDEX(PP_Grid[#Data],$DD120,55),0)</f>
        <v/>
      </c>
      <c r="BF120">
        <f>IFERROR(INDEX(PP_Grid[#Data],$DD120,56),0)</f>
        <v/>
      </c>
      <c r="BG120">
        <f>IFERROR(INDEX(PP_Grid[#Data],$DD120,57),0)</f>
        <v/>
      </c>
      <c r="BH120">
        <f>IFERROR(INDEX(PP_Grid[#Data],$DD120,58),0)</f>
        <v/>
      </c>
      <c r="BI120">
        <f>IFERROR(INDEX(PP_Grid[#Data],$DD120,59),0)</f>
        <v/>
      </c>
      <c r="BJ120">
        <f>IFERROR(INDEX(PP_Grid[#Data],$DD120,60),0)</f>
        <v/>
      </c>
      <c r="BK120">
        <f>IFERROR(INDEX(PP_Grid[#Data],$DD120,61),0)</f>
        <v/>
      </c>
      <c r="BL120">
        <f>IFERROR(INDEX(PP_Grid[#Data],$DD120,62),0)</f>
        <v/>
      </c>
      <c r="BM120">
        <f>IFERROR(INDEX(PP_Grid[#Data],$DD120,63),0)</f>
        <v/>
      </c>
      <c r="BN120">
        <f>IFERROR(INDEX(PP_Grid[#Data],$DD120,64),0)</f>
        <v/>
      </c>
      <c r="BO120">
        <f>IFERROR(INDEX(PP_Grid[#Data],$DD120,65),0)</f>
        <v/>
      </c>
      <c r="BP120">
        <f>IFERROR(INDEX(PP_Grid[#Data],$DD120,66),0)</f>
        <v/>
      </c>
      <c r="BQ120">
        <f>IFERROR(INDEX(PP_Grid[#Data],$DD120,67),0)</f>
        <v/>
      </c>
      <c r="BR120">
        <f>IFERROR(INDEX(PP_Grid[#Data],$DD120,68),0)</f>
        <v/>
      </c>
      <c r="BS120">
        <f>IFERROR(INDEX(PP_Grid[#Data],$DD120,69),0)</f>
        <v/>
      </c>
      <c r="BT120">
        <f>IFERROR(INDEX(PP_Grid[#Data],$DD120,70),0)</f>
        <v/>
      </c>
      <c r="BU120">
        <f>IFERROR(INDEX(PP_Grid[#Data],$DD120,71),0)</f>
        <v/>
      </c>
      <c r="BV120">
        <f>IFERROR(INDEX(PP_Grid[#Data],$DD120,72),0)</f>
        <v/>
      </c>
      <c r="BW120">
        <f>IFERROR(INDEX(PP_Grid[#Data],$DD120,73),0)</f>
        <v/>
      </c>
      <c r="BX120">
        <f>IFERROR(INDEX(PP_Grid[#Data],$DD120,74),0)</f>
        <v/>
      </c>
      <c r="BY120">
        <f>IFERROR(INDEX(PP_Grid[#Data],$DD120,75),0)</f>
        <v/>
      </c>
      <c r="BZ120">
        <f>IFERROR(INDEX(PP_Grid[#Data],$DD120,76),0)</f>
        <v/>
      </c>
      <c r="CA120">
        <f>IFERROR(INDEX(PP_Grid[#Data],$DD120,77),0)</f>
        <v/>
      </c>
      <c r="CB120">
        <f>IFERROR(INDEX(PP_Grid[#Data],$DD120,78),0)</f>
        <v/>
      </c>
      <c r="CC120">
        <f>IFERROR(INDEX(PP_Grid[#Data],$DD120,79),0)</f>
        <v/>
      </c>
      <c r="CD120">
        <f>IFERROR(INDEX(PP_Grid[#Data],$DD120,80),0)</f>
        <v/>
      </c>
      <c r="CE120">
        <f>IFERROR(INDEX(PP_Grid[#Data],$DD120,81),0)</f>
        <v/>
      </c>
      <c r="CF120">
        <f>IFERROR(INDEX(PP_Grid[#Data],$DD120,82),0)</f>
        <v/>
      </c>
      <c r="CG120">
        <f>IFERROR(INDEX(PP_Grid[#Data],$DD120,83),0)</f>
        <v/>
      </c>
      <c r="CH120">
        <f>IFERROR(INDEX(PP_Grid[#Data],$DD120,84),0)</f>
        <v/>
      </c>
      <c r="CI120">
        <f>IFERROR(INDEX(PP_Grid[#Data],$DD120,85),0)</f>
        <v/>
      </c>
      <c r="CJ120">
        <f>IFERROR(INDEX(PP_Grid[#Data],$DD120,86),0)</f>
        <v/>
      </c>
      <c r="CK120">
        <f>IFERROR(INDEX(PP_Grid[#Data],$DD120,87),0)</f>
        <v/>
      </c>
      <c r="CL120">
        <f>IFERROR(INDEX(PP_Grid[#Data],$DD120,88),0)</f>
        <v/>
      </c>
      <c r="CM120">
        <f>IFERROR(INDEX(PP_Grid[#Data],$DD120,89),0)</f>
        <v/>
      </c>
      <c r="CN120">
        <f>IFERROR(INDEX(PP_Grid[#Data],$DD120,90),0)</f>
        <v/>
      </c>
      <c r="CO120">
        <f>IFERROR(INDEX(PP_Grid[#Data],$DD120,91),0)</f>
        <v/>
      </c>
      <c r="CP120">
        <f>IFERROR(INDEX(PP_Grid[#Data],$DD120,92),0)</f>
        <v/>
      </c>
      <c r="CQ120">
        <f>IFERROR(INDEX(PP_Grid[#Data],$DD120,93),0)</f>
        <v/>
      </c>
      <c r="CR120">
        <f>IFERROR(INDEX(PP_Grid[#Data],$DD120,94),0)</f>
        <v/>
      </c>
      <c r="CS120">
        <f>IFERROR(INDEX(PP_Grid[#Data],$DD120,95),0)</f>
        <v/>
      </c>
      <c r="CT120">
        <f>IFERROR(INDEX(PP_Grid[#Data],$DD120,96),0)</f>
        <v/>
      </c>
      <c r="CU120">
        <f>IFERROR(INDEX(PP_Grid[#Data],$DD120,97),0)</f>
        <v/>
      </c>
      <c r="CV120">
        <f>IFERROR(INDEX(PP_Grid[#Data],$DD120,98),0)</f>
        <v/>
      </c>
      <c r="CW120">
        <f>IFERROR(INDEX(PP_Grid[#Data],$DD120,99),0)</f>
        <v/>
      </c>
      <c r="CX120">
        <f>IFERROR(INDEX(PP_Grid[#Data],$DD120,100),0)</f>
        <v/>
      </c>
      <c r="CY120">
        <f>IFERROR(INDEX(PP_Grid[#Data],$DD120,101),0)</f>
        <v/>
      </c>
      <c r="CZ120">
        <f>IFERROR(INDEX(PP_Grid[#Data],$DD120,102),0)</f>
        <v/>
      </c>
      <c r="DA120">
        <f>IFERROR(INDEX(PP_Grid[#Data],$DD120,103),0)</f>
        <v/>
      </c>
      <c r="DB120">
        <f>IFERROR(INDEX(PP_Grid[#Data],$DD120,104),0)</f>
        <v/>
      </c>
      <c r="DC120">
        <f>IFERROR(INDEX(PP_Grid[#Data],$DD120,105),0)</f>
        <v/>
      </c>
      <c r="DD120" s="7">
        <f>IFERROR(MATCH($B120,PP_Grid[Intermediate],0),99999)</f>
        <v/>
      </c>
    </row>
    <row r="121">
      <c r="B121" t="inlineStr">
        <is>
          <t>使用量(kg)</t>
        </is>
      </c>
      <c r="C121">
        <f>SUMIFS(M_BOM[RM_Qty_Per_Batch],M_BOM[Intermediate],$B120,M_BOM[Part Name],$A45)</f>
        <v/>
      </c>
      <c r="D121">
        <f>$C121*D120</f>
        <v/>
      </c>
      <c r="E121">
        <f>$C121*E120</f>
        <v/>
      </c>
      <c r="F121">
        <f>$C121*F120</f>
        <v/>
      </c>
      <c r="G121">
        <f>$C121*G120</f>
        <v/>
      </c>
      <c r="H121">
        <f>$C121*H120</f>
        <v/>
      </c>
      <c r="I121">
        <f>$C121*I120</f>
        <v/>
      </c>
      <c r="J121">
        <f>$C121*J120</f>
        <v/>
      </c>
      <c r="K121">
        <f>$C121*K120</f>
        <v/>
      </c>
      <c r="L121">
        <f>$C121*L120</f>
        <v/>
      </c>
      <c r="M121">
        <f>$C121*M120</f>
        <v/>
      </c>
      <c r="N121">
        <f>$C121*N120</f>
        <v/>
      </c>
      <c r="O121">
        <f>$C121*O120</f>
        <v/>
      </c>
      <c r="P121">
        <f>$C121*P120</f>
        <v/>
      </c>
      <c r="Q121">
        <f>$C121*Q120</f>
        <v/>
      </c>
      <c r="R121">
        <f>$C121*R120</f>
        <v/>
      </c>
      <c r="S121">
        <f>$C121*S120</f>
        <v/>
      </c>
      <c r="T121">
        <f>$C121*T120</f>
        <v/>
      </c>
      <c r="U121">
        <f>$C121*U120</f>
        <v/>
      </c>
      <c r="V121">
        <f>$C121*V120</f>
        <v/>
      </c>
      <c r="W121">
        <f>$C121*W120</f>
        <v/>
      </c>
      <c r="X121">
        <f>$C121*X120</f>
        <v/>
      </c>
      <c r="Y121">
        <f>$C121*Y120</f>
        <v/>
      </c>
      <c r="Z121">
        <f>$C121*Z120</f>
        <v/>
      </c>
      <c r="AA121">
        <f>$C121*AA120</f>
        <v/>
      </c>
      <c r="AB121">
        <f>$C121*AB120</f>
        <v/>
      </c>
      <c r="AC121">
        <f>$C121*AC120</f>
        <v/>
      </c>
      <c r="AD121">
        <f>$C121*AD120</f>
        <v/>
      </c>
      <c r="AE121">
        <f>$C121*AE120</f>
        <v/>
      </c>
      <c r="AF121">
        <f>$C121*AF120</f>
        <v/>
      </c>
      <c r="AG121">
        <f>$C121*AG120</f>
        <v/>
      </c>
      <c r="AH121">
        <f>$C121*AH120</f>
        <v/>
      </c>
      <c r="AI121">
        <f>$C121*AI120</f>
        <v/>
      </c>
      <c r="AJ121">
        <f>$C121*AJ120</f>
        <v/>
      </c>
      <c r="AK121">
        <f>$C121*AK120</f>
        <v/>
      </c>
      <c r="AL121">
        <f>$C121*AL120</f>
        <v/>
      </c>
      <c r="AM121">
        <f>$C121*AM120</f>
        <v/>
      </c>
      <c r="AN121">
        <f>$C121*AN120</f>
        <v/>
      </c>
      <c r="AO121">
        <f>$C121*AO120</f>
        <v/>
      </c>
      <c r="AP121">
        <f>$C121*AP120</f>
        <v/>
      </c>
      <c r="AQ121">
        <f>$C121*AQ120</f>
        <v/>
      </c>
      <c r="AR121">
        <f>$C121*AR120</f>
        <v/>
      </c>
      <c r="AS121">
        <f>$C121*AS120</f>
        <v/>
      </c>
      <c r="AT121">
        <f>$C121*AT120</f>
        <v/>
      </c>
      <c r="AU121">
        <f>$C121*AU120</f>
        <v/>
      </c>
      <c r="AV121">
        <f>$C121*AV120</f>
        <v/>
      </c>
      <c r="AW121">
        <f>$C121*AW120</f>
        <v/>
      </c>
      <c r="AX121">
        <f>$C121*AX120</f>
        <v/>
      </c>
      <c r="AY121">
        <f>$C121*AY120</f>
        <v/>
      </c>
      <c r="AZ121">
        <f>$C121*AZ120</f>
        <v/>
      </c>
      <c r="BA121">
        <f>$C121*BA120</f>
        <v/>
      </c>
      <c r="BB121">
        <f>$C121*BB120</f>
        <v/>
      </c>
      <c r="BC121">
        <f>$C121*BC120</f>
        <v/>
      </c>
      <c r="BD121">
        <f>$C121*BD120</f>
        <v/>
      </c>
      <c r="BE121">
        <f>$C121*BE120</f>
        <v/>
      </c>
      <c r="BF121">
        <f>$C121*BF120</f>
        <v/>
      </c>
      <c r="BG121">
        <f>$C121*BG120</f>
        <v/>
      </c>
      <c r="BH121">
        <f>$C121*BH120</f>
        <v/>
      </c>
      <c r="BI121">
        <f>$C121*BI120</f>
        <v/>
      </c>
      <c r="BJ121">
        <f>$C121*BJ120</f>
        <v/>
      </c>
      <c r="BK121">
        <f>$C121*BK120</f>
        <v/>
      </c>
      <c r="BL121">
        <f>$C121*BL120</f>
        <v/>
      </c>
      <c r="BM121">
        <f>$C121*BM120</f>
        <v/>
      </c>
      <c r="BN121">
        <f>$C121*BN120</f>
        <v/>
      </c>
      <c r="BO121">
        <f>$C121*BO120</f>
        <v/>
      </c>
      <c r="BP121">
        <f>$C121*BP120</f>
        <v/>
      </c>
      <c r="BQ121">
        <f>$C121*BQ120</f>
        <v/>
      </c>
      <c r="BR121">
        <f>$C121*BR120</f>
        <v/>
      </c>
      <c r="BS121">
        <f>$C121*BS120</f>
        <v/>
      </c>
      <c r="BT121">
        <f>$C121*BT120</f>
        <v/>
      </c>
      <c r="BU121">
        <f>$C121*BU120</f>
        <v/>
      </c>
      <c r="BV121">
        <f>$C121*BV120</f>
        <v/>
      </c>
      <c r="BW121">
        <f>$C121*BW120</f>
        <v/>
      </c>
      <c r="BX121">
        <f>$C121*BX120</f>
        <v/>
      </c>
      <c r="BY121">
        <f>$C121*BY120</f>
        <v/>
      </c>
      <c r="BZ121">
        <f>$C121*BZ120</f>
        <v/>
      </c>
      <c r="CA121">
        <f>$C121*CA120</f>
        <v/>
      </c>
      <c r="CB121">
        <f>$C121*CB120</f>
        <v/>
      </c>
      <c r="CC121">
        <f>$C121*CC120</f>
        <v/>
      </c>
      <c r="CD121">
        <f>$C121*CD120</f>
        <v/>
      </c>
      <c r="CE121">
        <f>$C121*CE120</f>
        <v/>
      </c>
      <c r="CF121">
        <f>$C121*CF120</f>
        <v/>
      </c>
      <c r="CG121">
        <f>$C121*CG120</f>
        <v/>
      </c>
      <c r="CH121">
        <f>$C121*CH120</f>
        <v/>
      </c>
      <c r="CI121">
        <f>$C121*CI120</f>
        <v/>
      </c>
      <c r="CJ121">
        <f>$C121*CJ120</f>
        <v/>
      </c>
      <c r="CK121">
        <f>$C121*CK120</f>
        <v/>
      </c>
      <c r="CL121">
        <f>$C121*CL120</f>
        <v/>
      </c>
      <c r="CM121">
        <f>$C121*CM120</f>
        <v/>
      </c>
      <c r="CN121">
        <f>$C121*CN120</f>
        <v/>
      </c>
      <c r="CO121">
        <f>$C121*CO120</f>
        <v/>
      </c>
      <c r="CP121">
        <f>$C121*CP120</f>
        <v/>
      </c>
      <c r="CQ121">
        <f>$C121*CQ120</f>
        <v/>
      </c>
      <c r="CR121">
        <f>$C121*CR120</f>
        <v/>
      </c>
      <c r="CS121">
        <f>$C121*CS120</f>
        <v/>
      </c>
      <c r="CT121">
        <f>$C121*CT120</f>
        <v/>
      </c>
      <c r="CU121">
        <f>$C121*CU120</f>
        <v/>
      </c>
      <c r="CV121">
        <f>$C121*CV120</f>
        <v/>
      </c>
      <c r="CW121">
        <f>$C121*CW120</f>
        <v/>
      </c>
      <c r="CX121">
        <f>$C121*CX120</f>
        <v/>
      </c>
      <c r="CY121">
        <f>$C121*CY120</f>
        <v/>
      </c>
      <c r="CZ121">
        <f>$C121*CZ120</f>
        <v/>
      </c>
      <c r="DA121">
        <f>$C121*DA120</f>
        <v/>
      </c>
      <c r="DB121">
        <f>$C121*DB120</f>
        <v/>
      </c>
      <c r="DC121">
        <f>$C121*DC120</f>
        <v/>
      </c>
    </row>
    <row r="122">
      <c r="B122" t="inlineStr">
        <is>
          <t>TSP-828</t>
        </is>
      </c>
      <c r="C122" t="inlineStr">
        <is>
          <t>No. of batches</t>
        </is>
      </c>
      <c r="D122">
        <f>IFERROR(INDEX(PP_Grid[#Data],$DD122,2),0)</f>
        <v/>
      </c>
      <c r="E122">
        <f>IFERROR(INDEX(PP_Grid[#Data],$DD122,3),0)</f>
        <v/>
      </c>
      <c r="F122">
        <f>IFERROR(INDEX(PP_Grid[#Data],$DD122,4),0)</f>
        <v/>
      </c>
      <c r="G122">
        <f>IFERROR(INDEX(PP_Grid[#Data],$DD122,5),0)</f>
        <v/>
      </c>
      <c r="H122">
        <f>IFERROR(INDEX(PP_Grid[#Data],$DD122,6),0)</f>
        <v/>
      </c>
      <c r="I122">
        <f>IFERROR(INDEX(PP_Grid[#Data],$DD122,7),0)</f>
        <v/>
      </c>
      <c r="J122">
        <f>IFERROR(INDEX(PP_Grid[#Data],$DD122,8),0)</f>
        <v/>
      </c>
      <c r="K122">
        <f>IFERROR(INDEX(PP_Grid[#Data],$DD122,9),0)</f>
        <v/>
      </c>
      <c r="L122">
        <f>IFERROR(INDEX(PP_Grid[#Data],$DD122,10),0)</f>
        <v/>
      </c>
      <c r="M122">
        <f>IFERROR(INDEX(PP_Grid[#Data],$DD122,11),0)</f>
        <v/>
      </c>
      <c r="N122">
        <f>IFERROR(INDEX(PP_Grid[#Data],$DD122,12),0)</f>
        <v/>
      </c>
      <c r="O122">
        <f>IFERROR(INDEX(PP_Grid[#Data],$DD122,13),0)</f>
        <v/>
      </c>
      <c r="P122">
        <f>IFERROR(INDEX(PP_Grid[#Data],$DD122,14),0)</f>
        <v/>
      </c>
      <c r="Q122">
        <f>IFERROR(INDEX(PP_Grid[#Data],$DD122,15),0)</f>
        <v/>
      </c>
      <c r="R122">
        <f>IFERROR(INDEX(PP_Grid[#Data],$DD122,16),0)</f>
        <v/>
      </c>
      <c r="S122">
        <f>IFERROR(INDEX(PP_Grid[#Data],$DD122,17),0)</f>
        <v/>
      </c>
      <c r="T122">
        <f>IFERROR(INDEX(PP_Grid[#Data],$DD122,18),0)</f>
        <v/>
      </c>
      <c r="U122">
        <f>IFERROR(INDEX(PP_Grid[#Data],$DD122,19),0)</f>
        <v/>
      </c>
      <c r="V122">
        <f>IFERROR(INDEX(PP_Grid[#Data],$DD122,20),0)</f>
        <v/>
      </c>
      <c r="W122">
        <f>IFERROR(INDEX(PP_Grid[#Data],$DD122,21),0)</f>
        <v/>
      </c>
      <c r="X122">
        <f>IFERROR(INDEX(PP_Grid[#Data],$DD122,22),0)</f>
        <v/>
      </c>
      <c r="Y122">
        <f>IFERROR(INDEX(PP_Grid[#Data],$DD122,23),0)</f>
        <v/>
      </c>
      <c r="Z122">
        <f>IFERROR(INDEX(PP_Grid[#Data],$DD122,24),0)</f>
        <v/>
      </c>
      <c r="AA122">
        <f>IFERROR(INDEX(PP_Grid[#Data],$DD122,25),0)</f>
        <v/>
      </c>
      <c r="AB122">
        <f>IFERROR(INDEX(PP_Grid[#Data],$DD122,26),0)</f>
        <v/>
      </c>
      <c r="AC122">
        <f>IFERROR(INDEX(PP_Grid[#Data],$DD122,27),0)</f>
        <v/>
      </c>
      <c r="AD122">
        <f>IFERROR(INDEX(PP_Grid[#Data],$DD122,28),0)</f>
        <v/>
      </c>
      <c r="AE122">
        <f>IFERROR(INDEX(PP_Grid[#Data],$DD122,29),0)</f>
        <v/>
      </c>
      <c r="AF122">
        <f>IFERROR(INDEX(PP_Grid[#Data],$DD122,30),0)</f>
        <v/>
      </c>
      <c r="AG122">
        <f>IFERROR(INDEX(PP_Grid[#Data],$DD122,31),0)</f>
        <v/>
      </c>
      <c r="AH122">
        <f>IFERROR(INDEX(PP_Grid[#Data],$DD122,32),0)</f>
        <v/>
      </c>
      <c r="AI122">
        <f>IFERROR(INDEX(PP_Grid[#Data],$DD122,33),0)</f>
        <v/>
      </c>
      <c r="AJ122">
        <f>IFERROR(INDEX(PP_Grid[#Data],$DD122,34),0)</f>
        <v/>
      </c>
      <c r="AK122">
        <f>IFERROR(INDEX(PP_Grid[#Data],$DD122,35),0)</f>
        <v/>
      </c>
      <c r="AL122">
        <f>IFERROR(INDEX(PP_Grid[#Data],$DD122,36),0)</f>
        <v/>
      </c>
      <c r="AM122">
        <f>IFERROR(INDEX(PP_Grid[#Data],$DD122,37),0)</f>
        <v/>
      </c>
      <c r="AN122">
        <f>IFERROR(INDEX(PP_Grid[#Data],$DD122,38),0)</f>
        <v/>
      </c>
      <c r="AO122">
        <f>IFERROR(INDEX(PP_Grid[#Data],$DD122,39),0)</f>
        <v/>
      </c>
      <c r="AP122">
        <f>IFERROR(INDEX(PP_Grid[#Data],$DD122,40),0)</f>
        <v/>
      </c>
      <c r="AQ122">
        <f>IFERROR(INDEX(PP_Grid[#Data],$DD122,41),0)</f>
        <v/>
      </c>
      <c r="AR122">
        <f>IFERROR(INDEX(PP_Grid[#Data],$DD122,42),0)</f>
        <v/>
      </c>
      <c r="AS122">
        <f>IFERROR(INDEX(PP_Grid[#Data],$DD122,43),0)</f>
        <v/>
      </c>
      <c r="AT122">
        <f>IFERROR(INDEX(PP_Grid[#Data],$DD122,44),0)</f>
        <v/>
      </c>
      <c r="AU122">
        <f>IFERROR(INDEX(PP_Grid[#Data],$DD122,45),0)</f>
        <v/>
      </c>
      <c r="AV122">
        <f>IFERROR(INDEX(PP_Grid[#Data],$DD122,46),0)</f>
        <v/>
      </c>
      <c r="AW122">
        <f>IFERROR(INDEX(PP_Grid[#Data],$DD122,47),0)</f>
        <v/>
      </c>
      <c r="AX122">
        <f>IFERROR(INDEX(PP_Grid[#Data],$DD122,48),0)</f>
        <v/>
      </c>
      <c r="AY122">
        <f>IFERROR(INDEX(PP_Grid[#Data],$DD122,49),0)</f>
        <v/>
      </c>
      <c r="AZ122">
        <f>IFERROR(INDEX(PP_Grid[#Data],$DD122,50),0)</f>
        <v/>
      </c>
      <c r="BA122">
        <f>IFERROR(INDEX(PP_Grid[#Data],$DD122,51),0)</f>
        <v/>
      </c>
      <c r="BB122">
        <f>IFERROR(INDEX(PP_Grid[#Data],$DD122,52),0)</f>
        <v/>
      </c>
      <c r="BC122">
        <f>IFERROR(INDEX(PP_Grid[#Data],$DD122,53),0)</f>
        <v/>
      </c>
      <c r="BD122">
        <f>IFERROR(INDEX(PP_Grid[#Data],$DD122,54),0)</f>
        <v/>
      </c>
      <c r="BE122">
        <f>IFERROR(INDEX(PP_Grid[#Data],$DD122,55),0)</f>
        <v/>
      </c>
      <c r="BF122">
        <f>IFERROR(INDEX(PP_Grid[#Data],$DD122,56),0)</f>
        <v/>
      </c>
      <c r="BG122">
        <f>IFERROR(INDEX(PP_Grid[#Data],$DD122,57),0)</f>
        <v/>
      </c>
      <c r="BH122">
        <f>IFERROR(INDEX(PP_Grid[#Data],$DD122,58),0)</f>
        <v/>
      </c>
      <c r="BI122">
        <f>IFERROR(INDEX(PP_Grid[#Data],$DD122,59),0)</f>
        <v/>
      </c>
      <c r="BJ122">
        <f>IFERROR(INDEX(PP_Grid[#Data],$DD122,60),0)</f>
        <v/>
      </c>
      <c r="BK122">
        <f>IFERROR(INDEX(PP_Grid[#Data],$DD122,61),0)</f>
        <v/>
      </c>
      <c r="BL122">
        <f>IFERROR(INDEX(PP_Grid[#Data],$DD122,62),0)</f>
        <v/>
      </c>
      <c r="BM122">
        <f>IFERROR(INDEX(PP_Grid[#Data],$DD122,63),0)</f>
        <v/>
      </c>
      <c r="BN122">
        <f>IFERROR(INDEX(PP_Grid[#Data],$DD122,64),0)</f>
        <v/>
      </c>
      <c r="BO122">
        <f>IFERROR(INDEX(PP_Grid[#Data],$DD122,65),0)</f>
        <v/>
      </c>
      <c r="BP122">
        <f>IFERROR(INDEX(PP_Grid[#Data],$DD122,66),0)</f>
        <v/>
      </c>
      <c r="BQ122">
        <f>IFERROR(INDEX(PP_Grid[#Data],$DD122,67),0)</f>
        <v/>
      </c>
      <c r="BR122">
        <f>IFERROR(INDEX(PP_Grid[#Data],$DD122,68),0)</f>
        <v/>
      </c>
      <c r="BS122">
        <f>IFERROR(INDEX(PP_Grid[#Data],$DD122,69),0)</f>
        <v/>
      </c>
      <c r="BT122">
        <f>IFERROR(INDEX(PP_Grid[#Data],$DD122,70),0)</f>
        <v/>
      </c>
      <c r="BU122">
        <f>IFERROR(INDEX(PP_Grid[#Data],$DD122,71),0)</f>
        <v/>
      </c>
      <c r="BV122">
        <f>IFERROR(INDEX(PP_Grid[#Data],$DD122,72),0)</f>
        <v/>
      </c>
      <c r="BW122">
        <f>IFERROR(INDEX(PP_Grid[#Data],$DD122,73),0)</f>
        <v/>
      </c>
      <c r="BX122">
        <f>IFERROR(INDEX(PP_Grid[#Data],$DD122,74),0)</f>
        <v/>
      </c>
      <c r="BY122">
        <f>IFERROR(INDEX(PP_Grid[#Data],$DD122,75),0)</f>
        <v/>
      </c>
      <c r="BZ122">
        <f>IFERROR(INDEX(PP_Grid[#Data],$DD122,76),0)</f>
        <v/>
      </c>
      <c r="CA122">
        <f>IFERROR(INDEX(PP_Grid[#Data],$DD122,77),0)</f>
        <v/>
      </c>
      <c r="CB122">
        <f>IFERROR(INDEX(PP_Grid[#Data],$DD122,78),0)</f>
        <v/>
      </c>
      <c r="CC122">
        <f>IFERROR(INDEX(PP_Grid[#Data],$DD122,79),0)</f>
        <v/>
      </c>
      <c r="CD122">
        <f>IFERROR(INDEX(PP_Grid[#Data],$DD122,80),0)</f>
        <v/>
      </c>
      <c r="CE122">
        <f>IFERROR(INDEX(PP_Grid[#Data],$DD122,81),0)</f>
        <v/>
      </c>
      <c r="CF122">
        <f>IFERROR(INDEX(PP_Grid[#Data],$DD122,82),0)</f>
        <v/>
      </c>
      <c r="CG122">
        <f>IFERROR(INDEX(PP_Grid[#Data],$DD122,83),0)</f>
        <v/>
      </c>
      <c r="CH122">
        <f>IFERROR(INDEX(PP_Grid[#Data],$DD122,84),0)</f>
        <v/>
      </c>
      <c r="CI122">
        <f>IFERROR(INDEX(PP_Grid[#Data],$DD122,85),0)</f>
        <v/>
      </c>
      <c r="CJ122">
        <f>IFERROR(INDEX(PP_Grid[#Data],$DD122,86),0)</f>
        <v/>
      </c>
      <c r="CK122">
        <f>IFERROR(INDEX(PP_Grid[#Data],$DD122,87),0)</f>
        <v/>
      </c>
      <c r="CL122">
        <f>IFERROR(INDEX(PP_Grid[#Data],$DD122,88),0)</f>
        <v/>
      </c>
      <c r="CM122">
        <f>IFERROR(INDEX(PP_Grid[#Data],$DD122,89),0)</f>
        <v/>
      </c>
      <c r="CN122">
        <f>IFERROR(INDEX(PP_Grid[#Data],$DD122,90),0)</f>
        <v/>
      </c>
      <c r="CO122">
        <f>IFERROR(INDEX(PP_Grid[#Data],$DD122,91),0)</f>
        <v/>
      </c>
      <c r="CP122">
        <f>IFERROR(INDEX(PP_Grid[#Data],$DD122,92),0)</f>
        <v/>
      </c>
      <c r="CQ122">
        <f>IFERROR(INDEX(PP_Grid[#Data],$DD122,93),0)</f>
        <v/>
      </c>
      <c r="CR122">
        <f>IFERROR(INDEX(PP_Grid[#Data],$DD122,94),0)</f>
        <v/>
      </c>
      <c r="CS122">
        <f>IFERROR(INDEX(PP_Grid[#Data],$DD122,95),0)</f>
        <v/>
      </c>
      <c r="CT122">
        <f>IFERROR(INDEX(PP_Grid[#Data],$DD122,96),0)</f>
        <v/>
      </c>
      <c r="CU122">
        <f>IFERROR(INDEX(PP_Grid[#Data],$DD122,97),0)</f>
        <v/>
      </c>
      <c r="CV122">
        <f>IFERROR(INDEX(PP_Grid[#Data],$DD122,98),0)</f>
        <v/>
      </c>
      <c r="CW122">
        <f>IFERROR(INDEX(PP_Grid[#Data],$DD122,99),0)</f>
        <v/>
      </c>
      <c r="CX122">
        <f>IFERROR(INDEX(PP_Grid[#Data],$DD122,100),0)</f>
        <v/>
      </c>
      <c r="CY122">
        <f>IFERROR(INDEX(PP_Grid[#Data],$DD122,101),0)</f>
        <v/>
      </c>
      <c r="CZ122">
        <f>IFERROR(INDEX(PP_Grid[#Data],$DD122,102),0)</f>
        <v/>
      </c>
      <c r="DA122">
        <f>IFERROR(INDEX(PP_Grid[#Data],$DD122,103),0)</f>
        <v/>
      </c>
      <c r="DB122">
        <f>IFERROR(INDEX(PP_Grid[#Data],$DD122,104),0)</f>
        <v/>
      </c>
      <c r="DC122">
        <f>IFERROR(INDEX(PP_Grid[#Data],$DD122,105),0)</f>
        <v/>
      </c>
      <c r="DD122" s="7">
        <f>IFERROR(MATCH($B122,PP_Grid[Intermediate],0),99999)</f>
        <v/>
      </c>
    </row>
    <row r="123">
      <c r="B123" t="inlineStr">
        <is>
          <t>使用量(kg)</t>
        </is>
      </c>
      <c r="C123">
        <f>SUMIFS(M_BOM[RM_Qty_Per_Batch],M_BOM[Intermediate],$B122,M_BOM[Part Name],$A45)</f>
        <v/>
      </c>
      <c r="D123">
        <f>$C123*D122</f>
        <v/>
      </c>
      <c r="E123">
        <f>$C123*E122</f>
        <v/>
      </c>
      <c r="F123">
        <f>$C123*F122</f>
        <v/>
      </c>
      <c r="G123">
        <f>$C123*G122</f>
        <v/>
      </c>
      <c r="H123">
        <f>$C123*H122</f>
        <v/>
      </c>
      <c r="I123">
        <f>$C123*I122</f>
        <v/>
      </c>
      <c r="J123">
        <f>$C123*J122</f>
        <v/>
      </c>
      <c r="K123">
        <f>$C123*K122</f>
        <v/>
      </c>
      <c r="L123">
        <f>$C123*L122</f>
        <v/>
      </c>
      <c r="M123">
        <f>$C123*M122</f>
        <v/>
      </c>
      <c r="N123">
        <f>$C123*N122</f>
        <v/>
      </c>
      <c r="O123">
        <f>$C123*O122</f>
        <v/>
      </c>
      <c r="P123">
        <f>$C123*P122</f>
        <v/>
      </c>
      <c r="Q123">
        <f>$C123*Q122</f>
        <v/>
      </c>
      <c r="R123">
        <f>$C123*R122</f>
        <v/>
      </c>
      <c r="S123">
        <f>$C123*S122</f>
        <v/>
      </c>
      <c r="T123">
        <f>$C123*T122</f>
        <v/>
      </c>
      <c r="U123">
        <f>$C123*U122</f>
        <v/>
      </c>
      <c r="V123">
        <f>$C123*V122</f>
        <v/>
      </c>
      <c r="W123">
        <f>$C123*W122</f>
        <v/>
      </c>
      <c r="X123">
        <f>$C123*X122</f>
        <v/>
      </c>
      <c r="Y123">
        <f>$C123*Y122</f>
        <v/>
      </c>
      <c r="Z123">
        <f>$C123*Z122</f>
        <v/>
      </c>
      <c r="AA123">
        <f>$C123*AA122</f>
        <v/>
      </c>
      <c r="AB123">
        <f>$C123*AB122</f>
        <v/>
      </c>
      <c r="AC123">
        <f>$C123*AC122</f>
        <v/>
      </c>
      <c r="AD123">
        <f>$C123*AD122</f>
        <v/>
      </c>
      <c r="AE123">
        <f>$C123*AE122</f>
        <v/>
      </c>
      <c r="AF123">
        <f>$C123*AF122</f>
        <v/>
      </c>
      <c r="AG123">
        <f>$C123*AG122</f>
        <v/>
      </c>
      <c r="AH123">
        <f>$C123*AH122</f>
        <v/>
      </c>
      <c r="AI123">
        <f>$C123*AI122</f>
        <v/>
      </c>
      <c r="AJ123">
        <f>$C123*AJ122</f>
        <v/>
      </c>
      <c r="AK123">
        <f>$C123*AK122</f>
        <v/>
      </c>
      <c r="AL123">
        <f>$C123*AL122</f>
        <v/>
      </c>
      <c r="AM123">
        <f>$C123*AM122</f>
        <v/>
      </c>
      <c r="AN123">
        <f>$C123*AN122</f>
        <v/>
      </c>
      <c r="AO123">
        <f>$C123*AO122</f>
        <v/>
      </c>
      <c r="AP123">
        <f>$C123*AP122</f>
        <v/>
      </c>
      <c r="AQ123">
        <f>$C123*AQ122</f>
        <v/>
      </c>
      <c r="AR123">
        <f>$C123*AR122</f>
        <v/>
      </c>
      <c r="AS123">
        <f>$C123*AS122</f>
        <v/>
      </c>
      <c r="AT123">
        <f>$C123*AT122</f>
        <v/>
      </c>
      <c r="AU123">
        <f>$C123*AU122</f>
        <v/>
      </c>
      <c r="AV123">
        <f>$C123*AV122</f>
        <v/>
      </c>
      <c r="AW123">
        <f>$C123*AW122</f>
        <v/>
      </c>
      <c r="AX123">
        <f>$C123*AX122</f>
        <v/>
      </c>
      <c r="AY123">
        <f>$C123*AY122</f>
        <v/>
      </c>
      <c r="AZ123">
        <f>$C123*AZ122</f>
        <v/>
      </c>
      <c r="BA123">
        <f>$C123*BA122</f>
        <v/>
      </c>
      <c r="BB123">
        <f>$C123*BB122</f>
        <v/>
      </c>
      <c r="BC123">
        <f>$C123*BC122</f>
        <v/>
      </c>
      <c r="BD123">
        <f>$C123*BD122</f>
        <v/>
      </c>
      <c r="BE123">
        <f>$C123*BE122</f>
        <v/>
      </c>
      <c r="BF123">
        <f>$C123*BF122</f>
        <v/>
      </c>
      <c r="BG123">
        <f>$C123*BG122</f>
        <v/>
      </c>
      <c r="BH123">
        <f>$C123*BH122</f>
        <v/>
      </c>
      <c r="BI123">
        <f>$C123*BI122</f>
        <v/>
      </c>
      <c r="BJ123">
        <f>$C123*BJ122</f>
        <v/>
      </c>
      <c r="BK123">
        <f>$C123*BK122</f>
        <v/>
      </c>
      <c r="BL123">
        <f>$C123*BL122</f>
        <v/>
      </c>
      <c r="BM123">
        <f>$C123*BM122</f>
        <v/>
      </c>
      <c r="BN123">
        <f>$C123*BN122</f>
        <v/>
      </c>
      <c r="BO123">
        <f>$C123*BO122</f>
        <v/>
      </c>
      <c r="BP123">
        <f>$C123*BP122</f>
        <v/>
      </c>
      <c r="BQ123">
        <f>$C123*BQ122</f>
        <v/>
      </c>
      <c r="BR123">
        <f>$C123*BR122</f>
        <v/>
      </c>
      <c r="BS123">
        <f>$C123*BS122</f>
        <v/>
      </c>
      <c r="BT123">
        <f>$C123*BT122</f>
        <v/>
      </c>
      <c r="BU123">
        <f>$C123*BU122</f>
        <v/>
      </c>
      <c r="BV123">
        <f>$C123*BV122</f>
        <v/>
      </c>
      <c r="BW123">
        <f>$C123*BW122</f>
        <v/>
      </c>
      <c r="BX123">
        <f>$C123*BX122</f>
        <v/>
      </c>
      <c r="BY123">
        <f>$C123*BY122</f>
        <v/>
      </c>
      <c r="BZ123">
        <f>$C123*BZ122</f>
        <v/>
      </c>
      <c r="CA123">
        <f>$C123*CA122</f>
        <v/>
      </c>
      <c r="CB123">
        <f>$C123*CB122</f>
        <v/>
      </c>
      <c r="CC123">
        <f>$C123*CC122</f>
        <v/>
      </c>
      <c r="CD123">
        <f>$C123*CD122</f>
        <v/>
      </c>
      <c r="CE123">
        <f>$C123*CE122</f>
        <v/>
      </c>
      <c r="CF123">
        <f>$C123*CF122</f>
        <v/>
      </c>
      <c r="CG123">
        <f>$C123*CG122</f>
        <v/>
      </c>
      <c r="CH123">
        <f>$C123*CH122</f>
        <v/>
      </c>
      <c r="CI123">
        <f>$C123*CI122</f>
        <v/>
      </c>
      <c r="CJ123">
        <f>$C123*CJ122</f>
        <v/>
      </c>
      <c r="CK123">
        <f>$C123*CK122</f>
        <v/>
      </c>
      <c r="CL123">
        <f>$C123*CL122</f>
        <v/>
      </c>
      <c r="CM123">
        <f>$C123*CM122</f>
        <v/>
      </c>
      <c r="CN123">
        <f>$C123*CN122</f>
        <v/>
      </c>
      <c r="CO123">
        <f>$C123*CO122</f>
        <v/>
      </c>
      <c r="CP123">
        <f>$C123*CP122</f>
        <v/>
      </c>
      <c r="CQ123">
        <f>$C123*CQ122</f>
        <v/>
      </c>
      <c r="CR123">
        <f>$C123*CR122</f>
        <v/>
      </c>
      <c r="CS123">
        <f>$C123*CS122</f>
        <v/>
      </c>
      <c r="CT123">
        <f>$C123*CT122</f>
        <v/>
      </c>
      <c r="CU123">
        <f>$C123*CU122</f>
        <v/>
      </c>
      <c r="CV123">
        <f>$C123*CV122</f>
        <v/>
      </c>
      <c r="CW123">
        <f>$C123*CW122</f>
        <v/>
      </c>
      <c r="CX123">
        <f>$C123*CX122</f>
        <v/>
      </c>
      <c r="CY123">
        <f>$C123*CY122</f>
        <v/>
      </c>
      <c r="CZ123">
        <f>$C123*CZ122</f>
        <v/>
      </c>
      <c r="DA123">
        <f>$C123*DA122</f>
        <v/>
      </c>
      <c r="DB123">
        <f>$C123*DB122</f>
        <v/>
      </c>
      <c r="DC123">
        <f>$C123*DC122</f>
        <v/>
      </c>
    </row>
    <row r="124">
      <c r="B124" t="inlineStr">
        <is>
          <t>TSP-903</t>
        </is>
      </c>
      <c r="C124" t="inlineStr">
        <is>
          <t>No. of batches</t>
        </is>
      </c>
      <c r="D124">
        <f>IFERROR(INDEX(PP_Grid[#Data],$DD124,2),0)</f>
        <v/>
      </c>
      <c r="E124">
        <f>IFERROR(INDEX(PP_Grid[#Data],$DD124,3),0)</f>
        <v/>
      </c>
      <c r="F124">
        <f>IFERROR(INDEX(PP_Grid[#Data],$DD124,4),0)</f>
        <v/>
      </c>
      <c r="G124">
        <f>IFERROR(INDEX(PP_Grid[#Data],$DD124,5),0)</f>
        <v/>
      </c>
      <c r="H124">
        <f>IFERROR(INDEX(PP_Grid[#Data],$DD124,6),0)</f>
        <v/>
      </c>
      <c r="I124">
        <f>IFERROR(INDEX(PP_Grid[#Data],$DD124,7),0)</f>
        <v/>
      </c>
      <c r="J124">
        <f>IFERROR(INDEX(PP_Grid[#Data],$DD124,8),0)</f>
        <v/>
      </c>
      <c r="K124">
        <f>IFERROR(INDEX(PP_Grid[#Data],$DD124,9),0)</f>
        <v/>
      </c>
      <c r="L124">
        <f>IFERROR(INDEX(PP_Grid[#Data],$DD124,10),0)</f>
        <v/>
      </c>
      <c r="M124">
        <f>IFERROR(INDEX(PP_Grid[#Data],$DD124,11),0)</f>
        <v/>
      </c>
      <c r="N124">
        <f>IFERROR(INDEX(PP_Grid[#Data],$DD124,12),0)</f>
        <v/>
      </c>
      <c r="O124">
        <f>IFERROR(INDEX(PP_Grid[#Data],$DD124,13),0)</f>
        <v/>
      </c>
      <c r="P124">
        <f>IFERROR(INDEX(PP_Grid[#Data],$DD124,14),0)</f>
        <v/>
      </c>
      <c r="Q124">
        <f>IFERROR(INDEX(PP_Grid[#Data],$DD124,15),0)</f>
        <v/>
      </c>
      <c r="R124">
        <f>IFERROR(INDEX(PP_Grid[#Data],$DD124,16),0)</f>
        <v/>
      </c>
      <c r="S124">
        <f>IFERROR(INDEX(PP_Grid[#Data],$DD124,17),0)</f>
        <v/>
      </c>
      <c r="T124">
        <f>IFERROR(INDEX(PP_Grid[#Data],$DD124,18),0)</f>
        <v/>
      </c>
      <c r="U124">
        <f>IFERROR(INDEX(PP_Grid[#Data],$DD124,19),0)</f>
        <v/>
      </c>
      <c r="V124">
        <f>IFERROR(INDEX(PP_Grid[#Data],$DD124,20),0)</f>
        <v/>
      </c>
      <c r="W124">
        <f>IFERROR(INDEX(PP_Grid[#Data],$DD124,21),0)</f>
        <v/>
      </c>
      <c r="X124">
        <f>IFERROR(INDEX(PP_Grid[#Data],$DD124,22),0)</f>
        <v/>
      </c>
      <c r="Y124">
        <f>IFERROR(INDEX(PP_Grid[#Data],$DD124,23),0)</f>
        <v/>
      </c>
      <c r="Z124">
        <f>IFERROR(INDEX(PP_Grid[#Data],$DD124,24),0)</f>
        <v/>
      </c>
      <c r="AA124">
        <f>IFERROR(INDEX(PP_Grid[#Data],$DD124,25),0)</f>
        <v/>
      </c>
      <c r="AB124">
        <f>IFERROR(INDEX(PP_Grid[#Data],$DD124,26),0)</f>
        <v/>
      </c>
      <c r="AC124">
        <f>IFERROR(INDEX(PP_Grid[#Data],$DD124,27),0)</f>
        <v/>
      </c>
      <c r="AD124">
        <f>IFERROR(INDEX(PP_Grid[#Data],$DD124,28),0)</f>
        <v/>
      </c>
      <c r="AE124">
        <f>IFERROR(INDEX(PP_Grid[#Data],$DD124,29),0)</f>
        <v/>
      </c>
      <c r="AF124">
        <f>IFERROR(INDEX(PP_Grid[#Data],$DD124,30),0)</f>
        <v/>
      </c>
      <c r="AG124">
        <f>IFERROR(INDEX(PP_Grid[#Data],$DD124,31),0)</f>
        <v/>
      </c>
      <c r="AH124">
        <f>IFERROR(INDEX(PP_Grid[#Data],$DD124,32),0)</f>
        <v/>
      </c>
      <c r="AI124">
        <f>IFERROR(INDEX(PP_Grid[#Data],$DD124,33),0)</f>
        <v/>
      </c>
      <c r="AJ124">
        <f>IFERROR(INDEX(PP_Grid[#Data],$DD124,34),0)</f>
        <v/>
      </c>
      <c r="AK124">
        <f>IFERROR(INDEX(PP_Grid[#Data],$DD124,35),0)</f>
        <v/>
      </c>
      <c r="AL124">
        <f>IFERROR(INDEX(PP_Grid[#Data],$DD124,36),0)</f>
        <v/>
      </c>
      <c r="AM124">
        <f>IFERROR(INDEX(PP_Grid[#Data],$DD124,37),0)</f>
        <v/>
      </c>
      <c r="AN124">
        <f>IFERROR(INDEX(PP_Grid[#Data],$DD124,38),0)</f>
        <v/>
      </c>
      <c r="AO124">
        <f>IFERROR(INDEX(PP_Grid[#Data],$DD124,39),0)</f>
        <v/>
      </c>
      <c r="AP124">
        <f>IFERROR(INDEX(PP_Grid[#Data],$DD124,40),0)</f>
        <v/>
      </c>
      <c r="AQ124">
        <f>IFERROR(INDEX(PP_Grid[#Data],$DD124,41),0)</f>
        <v/>
      </c>
      <c r="AR124">
        <f>IFERROR(INDEX(PP_Grid[#Data],$DD124,42),0)</f>
        <v/>
      </c>
      <c r="AS124">
        <f>IFERROR(INDEX(PP_Grid[#Data],$DD124,43),0)</f>
        <v/>
      </c>
      <c r="AT124">
        <f>IFERROR(INDEX(PP_Grid[#Data],$DD124,44),0)</f>
        <v/>
      </c>
      <c r="AU124">
        <f>IFERROR(INDEX(PP_Grid[#Data],$DD124,45),0)</f>
        <v/>
      </c>
      <c r="AV124">
        <f>IFERROR(INDEX(PP_Grid[#Data],$DD124,46),0)</f>
        <v/>
      </c>
      <c r="AW124">
        <f>IFERROR(INDEX(PP_Grid[#Data],$DD124,47),0)</f>
        <v/>
      </c>
      <c r="AX124">
        <f>IFERROR(INDEX(PP_Grid[#Data],$DD124,48),0)</f>
        <v/>
      </c>
      <c r="AY124">
        <f>IFERROR(INDEX(PP_Grid[#Data],$DD124,49),0)</f>
        <v/>
      </c>
      <c r="AZ124">
        <f>IFERROR(INDEX(PP_Grid[#Data],$DD124,50),0)</f>
        <v/>
      </c>
      <c r="BA124">
        <f>IFERROR(INDEX(PP_Grid[#Data],$DD124,51),0)</f>
        <v/>
      </c>
      <c r="BB124">
        <f>IFERROR(INDEX(PP_Grid[#Data],$DD124,52),0)</f>
        <v/>
      </c>
      <c r="BC124">
        <f>IFERROR(INDEX(PP_Grid[#Data],$DD124,53),0)</f>
        <v/>
      </c>
      <c r="BD124">
        <f>IFERROR(INDEX(PP_Grid[#Data],$DD124,54),0)</f>
        <v/>
      </c>
      <c r="BE124">
        <f>IFERROR(INDEX(PP_Grid[#Data],$DD124,55),0)</f>
        <v/>
      </c>
      <c r="BF124">
        <f>IFERROR(INDEX(PP_Grid[#Data],$DD124,56),0)</f>
        <v/>
      </c>
      <c r="BG124">
        <f>IFERROR(INDEX(PP_Grid[#Data],$DD124,57),0)</f>
        <v/>
      </c>
      <c r="BH124">
        <f>IFERROR(INDEX(PP_Grid[#Data],$DD124,58),0)</f>
        <v/>
      </c>
      <c r="BI124">
        <f>IFERROR(INDEX(PP_Grid[#Data],$DD124,59),0)</f>
        <v/>
      </c>
      <c r="BJ124">
        <f>IFERROR(INDEX(PP_Grid[#Data],$DD124,60),0)</f>
        <v/>
      </c>
      <c r="BK124">
        <f>IFERROR(INDEX(PP_Grid[#Data],$DD124,61),0)</f>
        <v/>
      </c>
      <c r="BL124">
        <f>IFERROR(INDEX(PP_Grid[#Data],$DD124,62),0)</f>
        <v/>
      </c>
      <c r="BM124">
        <f>IFERROR(INDEX(PP_Grid[#Data],$DD124,63),0)</f>
        <v/>
      </c>
      <c r="BN124">
        <f>IFERROR(INDEX(PP_Grid[#Data],$DD124,64),0)</f>
        <v/>
      </c>
      <c r="BO124">
        <f>IFERROR(INDEX(PP_Grid[#Data],$DD124,65),0)</f>
        <v/>
      </c>
      <c r="BP124">
        <f>IFERROR(INDEX(PP_Grid[#Data],$DD124,66),0)</f>
        <v/>
      </c>
      <c r="BQ124">
        <f>IFERROR(INDEX(PP_Grid[#Data],$DD124,67),0)</f>
        <v/>
      </c>
      <c r="BR124">
        <f>IFERROR(INDEX(PP_Grid[#Data],$DD124,68),0)</f>
        <v/>
      </c>
      <c r="BS124">
        <f>IFERROR(INDEX(PP_Grid[#Data],$DD124,69),0)</f>
        <v/>
      </c>
      <c r="BT124">
        <f>IFERROR(INDEX(PP_Grid[#Data],$DD124,70),0)</f>
        <v/>
      </c>
      <c r="BU124">
        <f>IFERROR(INDEX(PP_Grid[#Data],$DD124,71),0)</f>
        <v/>
      </c>
      <c r="BV124">
        <f>IFERROR(INDEX(PP_Grid[#Data],$DD124,72),0)</f>
        <v/>
      </c>
      <c r="BW124">
        <f>IFERROR(INDEX(PP_Grid[#Data],$DD124,73),0)</f>
        <v/>
      </c>
      <c r="BX124">
        <f>IFERROR(INDEX(PP_Grid[#Data],$DD124,74),0)</f>
        <v/>
      </c>
      <c r="BY124">
        <f>IFERROR(INDEX(PP_Grid[#Data],$DD124,75),0)</f>
        <v/>
      </c>
      <c r="BZ124">
        <f>IFERROR(INDEX(PP_Grid[#Data],$DD124,76),0)</f>
        <v/>
      </c>
      <c r="CA124">
        <f>IFERROR(INDEX(PP_Grid[#Data],$DD124,77),0)</f>
        <v/>
      </c>
      <c r="CB124">
        <f>IFERROR(INDEX(PP_Grid[#Data],$DD124,78),0)</f>
        <v/>
      </c>
      <c r="CC124">
        <f>IFERROR(INDEX(PP_Grid[#Data],$DD124,79),0)</f>
        <v/>
      </c>
      <c r="CD124">
        <f>IFERROR(INDEX(PP_Grid[#Data],$DD124,80),0)</f>
        <v/>
      </c>
      <c r="CE124">
        <f>IFERROR(INDEX(PP_Grid[#Data],$DD124,81),0)</f>
        <v/>
      </c>
      <c r="CF124">
        <f>IFERROR(INDEX(PP_Grid[#Data],$DD124,82),0)</f>
        <v/>
      </c>
      <c r="CG124">
        <f>IFERROR(INDEX(PP_Grid[#Data],$DD124,83),0)</f>
        <v/>
      </c>
      <c r="CH124">
        <f>IFERROR(INDEX(PP_Grid[#Data],$DD124,84),0)</f>
        <v/>
      </c>
      <c r="CI124">
        <f>IFERROR(INDEX(PP_Grid[#Data],$DD124,85),0)</f>
        <v/>
      </c>
      <c r="CJ124">
        <f>IFERROR(INDEX(PP_Grid[#Data],$DD124,86),0)</f>
        <v/>
      </c>
      <c r="CK124">
        <f>IFERROR(INDEX(PP_Grid[#Data],$DD124,87),0)</f>
        <v/>
      </c>
      <c r="CL124">
        <f>IFERROR(INDEX(PP_Grid[#Data],$DD124,88),0)</f>
        <v/>
      </c>
      <c r="CM124">
        <f>IFERROR(INDEX(PP_Grid[#Data],$DD124,89),0)</f>
        <v/>
      </c>
      <c r="CN124">
        <f>IFERROR(INDEX(PP_Grid[#Data],$DD124,90),0)</f>
        <v/>
      </c>
      <c r="CO124">
        <f>IFERROR(INDEX(PP_Grid[#Data],$DD124,91),0)</f>
        <v/>
      </c>
      <c r="CP124">
        <f>IFERROR(INDEX(PP_Grid[#Data],$DD124,92),0)</f>
        <v/>
      </c>
      <c r="CQ124">
        <f>IFERROR(INDEX(PP_Grid[#Data],$DD124,93),0)</f>
        <v/>
      </c>
      <c r="CR124">
        <f>IFERROR(INDEX(PP_Grid[#Data],$DD124,94),0)</f>
        <v/>
      </c>
      <c r="CS124">
        <f>IFERROR(INDEX(PP_Grid[#Data],$DD124,95),0)</f>
        <v/>
      </c>
      <c r="CT124">
        <f>IFERROR(INDEX(PP_Grid[#Data],$DD124,96),0)</f>
        <v/>
      </c>
      <c r="CU124">
        <f>IFERROR(INDEX(PP_Grid[#Data],$DD124,97),0)</f>
        <v/>
      </c>
      <c r="CV124">
        <f>IFERROR(INDEX(PP_Grid[#Data],$DD124,98),0)</f>
        <v/>
      </c>
      <c r="CW124">
        <f>IFERROR(INDEX(PP_Grid[#Data],$DD124,99),0)</f>
        <v/>
      </c>
      <c r="CX124">
        <f>IFERROR(INDEX(PP_Grid[#Data],$DD124,100),0)</f>
        <v/>
      </c>
      <c r="CY124">
        <f>IFERROR(INDEX(PP_Grid[#Data],$DD124,101),0)</f>
        <v/>
      </c>
      <c r="CZ124">
        <f>IFERROR(INDEX(PP_Grid[#Data],$DD124,102),0)</f>
        <v/>
      </c>
      <c r="DA124">
        <f>IFERROR(INDEX(PP_Grid[#Data],$DD124,103),0)</f>
        <v/>
      </c>
      <c r="DB124">
        <f>IFERROR(INDEX(PP_Grid[#Data],$DD124,104),0)</f>
        <v/>
      </c>
      <c r="DC124">
        <f>IFERROR(INDEX(PP_Grid[#Data],$DD124,105),0)</f>
        <v/>
      </c>
      <c r="DD124" s="7">
        <f>IFERROR(MATCH($B124,PP_Grid[Intermediate],0),99999)</f>
        <v/>
      </c>
    </row>
    <row r="125">
      <c r="B125" t="inlineStr">
        <is>
          <t>使用量(kg)</t>
        </is>
      </c>
      <c r="C125">
        <f>SUMIFS(M_BOM[RM_Qty_Per_Batch],M_BOM[Intermediate],$B124,M_BOM[Part Name],$A45)</f>
        <v/>
      </c>
      <c r="D125">
        <f>$C125*D124</f>
        <v/>
      </c>
      <c r="E125">
        <f>$C125*E124</f>
        <v/>
      </c>
      <c r="F125">
        <f>$C125*F124</f>
        <v/>
      </c>
      <c r="G125">
        <f>$C125*G124</f>
        <v/>
      </c>
      <c r="H125">
        <f>$C125*H124</f>
        <v/>
      </c>
      <c r="I125">
        <f>$C125*I124</f>
        <v/>
      </c>
      <c r="J125">
        <f>$C125*J124</f>
        <v/>
      </c>
      <c r="K125">
        <f>$C125*K124</f>
        <v/>
      </c>
      <c r="L125">
        <f>$C125*L124</f>
        <v/>
      </c>
      <c r="M125">
        <f>$C125*M124</f>
        <v/>
      </c>
      <c r="N125">
        <f>$C125*N124</f>
        <v/>
      </c>
      <c r="O125">
        <f>$C125*O124</f>
        <v/>
      </c>
      <c r="P125">
        <f>$C125*P124</f>
        <v/>
      </c>
      <c r="Q125">
        <f>$C125*Q124</f>
        <v/>
      </c>
      <c r="R125">
        <f>$C125*R124</f>
        <v/>
      </c>
      <c r="S125">
        <f>$C125*S124</f>
        <v/>
      </c>
      <c r="T125">
        <f>$C125*T124</f>
        <v/>
      </c>
      <c r="U125">
        <f>$C125*U124</f>
        <v/>
      </c>
      <c r="V125">
        <f>$C125*V124</f>
        <v/>
      </c>
      <c r="W125">
        <f>$C125*W124</f>
        <v/>
      </c>
      <c r="X125">
        <f>$C125*X124</f>
        <v/>
      </c>
      <c r="Y125">
        <f>$C125*Y124</f>
        <v/>
      </c>
      <c r="Z125">
        <f>$C125*Z124</f>
        <v/>
      </c>
      <c r="AA125">
        <f>$C125*AA124</f>
        <v/>
      </c>
      <c r="AB125">
        <f>$C125*AB124</f>
        <v/>
      </c>
      <c r="AC125">
        <f>$C125*AC124</f>
        <v/>
      </c>
      <c r="AD125">
        <f>$C125*AD124</f>
        <v/>
      </c>
      <c r="AE125">
        <f>$C125*AE124</f>
        <v/>
      </c>
      <c r="AF125">
        <f>$C125*AF124</f>
        <v/>
      </c>
      <c r="AG125">
        <f>$C125*AG124</f>
        <v/>
      </c>
      <c r="AH125">
        <f>$C125*AH124</f>
        <v/>
      </c>
      <c r="AI125">
        <f>$C125*AI124</f>
        <v/>
      </c>
      <c r="AJ125">
        <f>$C125*AJ124</f>
        <v/>
      </c>
      <c r="AK125">
        <f>$C125*AK124</f>
        <v/>
      </c>
      <c r="AL125">
        <f>$C125*AL124</f>
        <v/>
      </c>
      <c r="AM125">
        <f>$C125*AM124</f>
        <v/>
      </c>
      <c r="AN125">
        <f>$C125*AN124</f>
        <v/>
      </c>
      <c r="AO125">
        <f>$C125*AO124</f>
        <v/>
      </c>
      <c r="AP125">
        <f>$C125*AP124</f>
        <v/>
      </c>
      <c r="AQ125">
        <f>$C125*AQ124</f>
        <v/>
      </c>
      <c r="AR125">
        <f>$C125*AR124</f>
        <v/>
      </c>
      <c r="AS125">
        <f>$C125*AS124</f>
        <v/>
      </c>
      <c r="AT125">
        <f>$C125*AT124</f>
        <v/>
      </c>
      <c r="AU125">
        <f>$C125*AU124</f>
        <v/>
      </c>
      <c r="AV125">
        <f>$C125*AV124</f>
        <v/>
      </c>
      <c r="AW125">
        <f>$C125*AW124</f>
        <v/>
      </c>
      <c r="AX125">
        <f>$C125*AX124</f>
        <v/>
      </c>
      <c r="AY125">
        <f>$C125*AY124</f>
        <v/>
      </c>
      <c r="AZ125">
        <f>$C125*AZ124</f>
        <v/>
      </c>
      <c r="BA125">
        <f>$C125*BA124</f>
        <v/>
      </c>
      <c r="BB125">
        <f>$C125*BB124</f>
        <v/>
      </c>
      <c r="BC125">
        <f>$C125*BC124</f>
        <v/>
      </c>
      <c r="BD125">
        <f>$C125*BD124</f>
        <v/>
      </c>
      <c r="BE125">
        <f>$C125*BE124</f>
        <v/>
      </c>
      <c r="BF125">
        <f>$C125*BF124</f>
        <v/>
      </c>
      <c r="BG125">
        <f>$C125*BG124</f>
        <v/>
      </c>
      <c r="BH125">
        <f>$C125*BH124</f>
        <v/>
      </c>
      <c r="BI125">
        <f>$C125*BI124</f>
        <v/>
      </c>
      <c r="BJ125">
        <f>$C125*BJ124</f>
        <v/>
      </c>
      <c r="BK125">
        <f>$C125*BK124</f>
        <v/>
      </c>
      <c r="BL125">
        <f>$C125*BL124</f>
        <v/>
      </c>
      <c r="BM125">
        <f>$C125*BM124</f>
        <v/>
      </c>
      <c r="BN125">
        <f>$C125*BN124</f>
        <v/>
      </c>
      <c r="BO125">
        <f>$C125*BO124</f>
        <v/>
      </c>
      <c r="BP125">
        <f>$C125*BP124</f>
        <v/>
      </c>
      <c r="BQ125">
        <f>$C125*BQ124</f>
        <v/>
      </c>
      <c r="BR125">
        <f>$C125*BR124</f>
        <v/>
      </c>
      <c r="BS125">
        <f>$C125*BS124</f>
        <v/>
      </c>
      <c r="BT125">
        <f>$C125*BT124</f>
        <v/>
      </c>
      <c r="BU125">
        <f>$C125*BU124</f>
        <v/>
      </c>
      <c r="BV125">
        <f>$C125*BV124</f>
        <v/>
      </c>
      <c r="BW125">
        <f>$C125*BW124</f>
        <v/>
      </c>
      <c r="BX125">
        <f>$C125*BX124</f>
        <v/>
      </c>
      <c r="BY125">
        <f>$C125*BY124</f>
        <v/>
      </c>
      <c r="BZ125">
        <f>$C125*BZ124</f>
        <v/>
      </c>
      <c r="CA125">
        <f>$C125*CA124</f>
        <v/>
      </c>
      <c r="CB125">
        <f>$C125*CB124</f>
        <v/>
      </c>
      <c r="CC125">
        <f>$C125*CC124</f>
        <v/>
      </c>
      <c r="CD125">
        <f>$C125*CD124</f>
        <v/>
      </c>
      <c r="CE125">
        <f>$C125*CE124</f>
        <v/>
      </c>
      <c r="CF125">
        <f>$C125*CF124</f>
        <v/>
      </c>
      <c r="CG125">
        <f>$C125*CG124</f>
        <v/>
      </c>
      <c r="CH125">
        <f>$C125*CH124</f>
        <v/>
      </c>
      <c r="CI125">
        <f>$C125*CI124</f>
        <v/>
      </c>
      <c r="CJ125">
        <f>$C125*CJ124</f>
        <v/>
      </c>
      <c r="CK125">
        <f>$C125*CK124</f>
        <v/>
      </c>
      <c r="CL125">
        <f>$C125*CL124</f>
        <v/>
      </c>
      <c r="CM125">
        <f>$C125*CM124</f>
        <v/>
      </c>
      <c r="CN125">
        <f>$C125*CN124</f>
        <v/>
      </c>
      <c r="CO125">
        <f>$C125*CO124</f>
        <v/>
      </c>
      <c r="CP125">
        <f>$C125*CP124</f>
        <v/>
      </c>
      <c r="CQ125">
        <f>$C125*CQ124</f>
        <v/>
      </c>
      <c r="CR125">
        <f>$C125*CR124</f>
        <v/>
      </c>
      <c r="CS125">
        <f>$C125*CS124</f>
        <v/>
      </c>
      <c r="CT125">
        <f>$C125*CT124</f>
        <v/>
      </c>
      <c r="CU125">
        <f>$C125*CU124</f>
        <v/>
      </c>
      <c r="CV125">
        <f>$C125*CV124</f>
        <v/>
      </c>
      <c r="CW125">
        <f>$C125*CW124</f>
        <v/>
      </c>
      <c r="CX125">
        <f>$C125*CX124</f>
        <v/>
      </c>
      <c r="CY125">
        <f>$C125*CY124</f>
        <v/>
      </c>
      <c r="CZ125">
        <f>$C125*CZ124</f>
        <v/>
      </c>
      <c r="DA125">
        <f>$C125*DA124</f>
        <v/>
      </c>
      <c r="DB125">
        <f>$C125*DB124</f>
        <v/>
      </c>
      <c r="DC125">
        <f>$C125*DC124</f>
        <v/>
      </c>
    </row>
    <row r="126">
      <c r="B126" t="inlineStr">
        <is>
          <t>TSP-924</t>
        </is>
      </c>
      <c r="C126" t="inlineStr">
        <is>
          <t>No. of batches</t>
        </is>
      </c>
      <c r="D126">
        <f>IFERROR(INDEX(PP_Grid[#Data],$DD126,2),0)</f>
        <v/>
      </c>
      <c r="E126">
        <f>IFERROR(INDEX(PP_Grid[#Data],$DD126,3),0)</f>
        <v/>
      </c>
      <c r="F126">
        <f>IFERROR(INDEX(PP_Grid[#Data],$DD126,4),0)</f>
        <v/>
      </c>
      <c r="G126">
        <f>IFERROR(INDEX(PP_Grid[#Data],$DD126,5),0)</f>
        <v/>
      </c>
      <c r="H126">
        <f>IFERROR(INDEX(PP_Grid[#Data],$DD126,6),0)</f>
        <v/>
      </c>
      <c r="I126">
        <f>IFERROR(INDEX(PP_Grid[#Data],$DD126,7),0)</f>
        <v/>
      </c>
      <c r="J126">
        <f>IFERROR(INDEX(PP_Grid[#Data],$DD126,8),0)</f>
        <v/>
      </c>
      <c r="K126">
        <f>IFERROR(INDEX(PP_Grid[#Data],$DD126,9),0)</f>
        <v/>
      </c>
      <c r="L126">
        <f>IFERROR(INDEX(PP_Grid[#Data],$DD126,10),0)</f>
        <v/>
      </c>
      <c r="M126">
        <f>IFERROR(INDEX(PP_Grid[#Data],$DD126,11),0)</f>
        <v/>
      </c>
      <c r="N126">
        <f>IFERROR(INDEX(PP_Grid[#Data],$DD126,12),0)</f>
        <v/>
      </c>
      <c r="O126">
        <f>IFERROR(INDEX(PP_Grid[#Data],$DD126,13),0)</f>
        <v/>
      </c>
      <c r="P126">
        <f>IFERROR(INDEX(PP_Grid[#Data],$DD126,14),0)</f>
        <v/>
      </c>
      <c r="Q126">
        <f>IFERROR(INDEX(PP_Grid[#Data],$DD126,15),0)</f>
        <v/>
      </c>
      <c r="R126">
        <f>IFERROR(INDEX(PP_Grid[#Data],$DD126,16),0)</f>
        <v/>
      </c>
      <c r="S126">
        <f>IFERROR(INDEX(PP_Grid[#Data],$DD126,17),0)</f>
        <v/>
      </c>
      <c r="T126">
        <f>IFERROR(INDEX(PP_Grid[#Data],$DD126,18),0)</f>
        <v/>
      </c>
      <c r="U126">
        <f>IFERROR(INDEX(PP_Grid[#Data],$DD126,19),0)</f>
        <v/>
      </c>
      <c r="V126">
        <f>IFERROR(INDEX(PP_Grid[#Data],$DD126,20),0)</f>
        <v/>
      </c>
      <c r="W126">
        <f>IFERROR(INDEX(PP_Grid[#Data],$DD126,21),0)</f>
        <v/>
      </c>
      <c r="X126">
        <f>IFERROR(INDEX(PP_Grid[#Data],$DD126,22),0)</f>
        <v/>
      </c>
      <c r="Y126">
        <f>IFERROR(INDEX(PP_Grid[#Data],$DD126,23),0)</f>
        <v/>
      </c>
      <c r="Z126">
        <f>IFERROR(INDEX(PP_Grid[#Data],$DD126,24),0)</f>
        <v/>
      </c>
      <c r="AA126">
        <f>IFERROR(INDEX(PP_Grid[#Data],$DD126,25),0)</f>
        <v/>
      </c>
      <c r="AB126">
        <f>IFERROR(INDEX(PP_Grid[#Data],$DD126,26),0)</f>
        <v/>
      </c>
      <c r="AC126">
        <f>IFERROR(INDEX(PP_Grid[#Data],$DD126,27),0)</f>
        <v/>
      </c>
      <c r="AD126">
        <f>IFERROR(INDEX(PP_Grid[#Data],$DD126,28),0)</f>
        <v/>
      </c>
      <c r="AE126">
        <f>IFERROR(INDEX(PP_Grid[#Data],$DD126,29),0)</f>
        <v/>
      </c>
      <c r="AF126">
        <f>IFERROR(INDEX(PP_Grid[#Data],$DD126,30),0)</f>
        <v/>
      </c>
      <c r="AG126">
        <f>IFERROR(INDEX(PP_Grid[#Data],$DD126,31),0)</f>
        <v/>
      </c>
      <c r="AH126">
        <f>IFERROR(INDEX(PP_Grid[#Data],$DD126,32),0)</f>
        <v/>
      </c>
      <c r="AI126">
        <f>IFERROR(INDEX(PP_Grid[#Data],$DD126,33),0)</f>
        <v/>
      </c>
      <c r="AJ126">
        <f>IFERROR(INDEX(PP_Grid[#Data],$DD126,34),0)</f>
        <v/>
      </c>
      <c r="AK126">
        <f>IFERROR(INDEX(PP_Grid[#Data],$DD126,35),0)</f>
        <v/>
      </c>
      <c r="AL126">
        <f>IFERROR(INDEX(PP_Grid[#Data],$DD126,36),0)</f>
        <v/>
      </c>
      <c r="AM126">
        <f>IFERROR(INDEX(PP_Grid[#Data],$DD126,37),0)</f>
        <v/>
      </c>
      <c r="AN126">
        <f>IFERROR(INDEX(PP_Grid[#Data],$DD126,38),0)</f>
        <v/>
      </c>
      <c r="AO126">
        <f>IFERROR(INDEX(PP_Grid[#Data],$DD126,39),0)</f>
        <v/>
      </c>
      <c r="AP126">
        <f>IFERROR(INDEX(PP_Grid[#Data],$DD126,40),0)</f>
        <v/>
      </c>
      <c r="AQ126">
        <f>IFERROR(INDEX(PP_Grid[#Data],$DD126,41),0)</f>
        <v/>
      </c>
      <c r="AR126">
        <f>IFERROR(INDEX(PP_Grid[#Data],$DD126,42),0)</f>
        <v/>
      </c>
      <c r="AS126">
        <f>IFERROR(INDEX(PP_Grid[#Data],$DD126,43),0)</f>
        <v/>
      </c>
      <c r="AT126">
        <f>IFERROR(INDEX(PP_Grid[#Data],$DD126,44),0)</f>
        <v/>
      </c>
      <c r="AU126">
        <f>IFERROR(INDEX(PP_Grid[#Data],$DD126,45),0)</f>
        <v/>
      </c>
      <c r="AV126">
        <f>IFERROR(INDEX(PP_Grid[#Data],$DD126,46),0)</f>
        <v/>
      </c>
      <c r="AW126">
        <f>IFERROR(INDEX(PP_Grid[#Data],$DD126,47),0)</f>
        <v/>
      </c>
      <c r="AX126">
        <f>IFERROR(INDEX(PP_Grid[#Data],$DD126,48),0)</f>
        <v/>
      </c>
      <c r="AY126">
        <f>IFERROR(INDEX(PP_Grid[#Data],$DD126,49),0)</f>
        <v/>
      </c>
      <c r="AZ126">
        <f>IFERROR(INDEX(PP_Grid[#Data],$DD126,50),0)</f>
        <v/>
      </c>
      <c r="BA126">
        <f>IFERROR(INDEX(PP_Grid[#Data],$DD126,51),0)</f>
        <v/>
      </c>
      <c r="BB126">
        <f>IFERROR(INDEX(PP_Grid[#Data],$DD126,52),0)</f>
        <v/>
      </c>
      <c r="BC126">
        <f>IFERROR(INDEX(PP_Grid[#Data],$DD126,53),0)</f>
        <v/>
      </c>
      <c r="BD126">
        <f>IFERROR(INDEX(PP_Grid[#Data],$DD126,54),0)</f>
        <v/>
      </c>
      <c r="BE126">
        <f>IFERROR(INDEX(PP_Grid[#Data],$DD126,55),0)</f>
        <v/>
      </c>
      <c r="BF126">
        <f>IFERROR(INDEX(PP_Grid[#Data],$DD126,56),0)</f>
        <v/>
      </c>
      <c r="BG126">
        <f>IFERROR(INDEX(PP_Grid[#Data],$DD126,57),0)</f>
        <v/>
      </c>
      <c r="BH126">
        <f>IFERROR(INDEX(PP_Grid[#Data],$DD126,58),0)</f>
        <v/>
      </c>
      <c r="BI126">
        <f>IFERROR(INDEX(PP_Grid[#Data],$DD126,59),0)</f>
        <v/>
      </c>
      <c r="BJ126">
        <f>IFERROR(INDEX(PP_Grid[#Data],$DD126,60),0)</f>
        <v/>
      </c>
      <c r="BK126">
        <f>IFERROR(INDEX(PP_Grid[#Data],$DD126,61),0)</f>
        <v/>
      </c>
      <c r="BL126">
        <f>IFERROR(INDEX(PP_Grid[#Data],$DD126,62),0)</f>
        <v/>
      </c>
      <c r="BM126">
        <f>IFERROR(INDEX(PP_Grid[#Data],$DD126,63),0)</f>
        <v/>
      </c>
      <c r="BN126">
        <f>IFERROR(INDEX(PP_Grid[#Data],$DD126,64),0)</f>
        <v/>
      </c>
      <c r="BO126">
        <f>IFERROR(INDEX(PP_Grid[#Data],$DD126,65),0)</f>
        <v/>
      </c>
      <c r="BP126">
        <f>IFERROR(INDEX(PP_Grid[#Data],$DD126,66),0)</f>
        <v/>
      </c>
      <c r="BQ126">
        <f>IFERROR(INDEX(PP_Grid[#Data],$DD126,67),0)</f>
        <v/>
      </c>
      <c r="BR126">
        <f>IFERROR(INDEX(PP_Grid[#Data],$DD126,68),0)</f>
        <v/>
      </c>
      <c r="BS126">
        <f>IFERROR(INDEX(PP_Grid[#Data],$DD126,69),0)</f>
        <v/>
      </c>
      <c r="BT126">
        <f>IFERROR(INDEX(PP_Grid[#Data],$DD126,70),0)</f>
        <v/>
      </c>
      <c r="BU126">
        <f>IFERROR(INDEX(PP_Grid[#Data],$DD126,71),0)</f>
        <v/>
      </c>
      <c r="BV126">
        <f>IFERROR(INDEX(PP_Grid[#Data],$DD126,72),0)</f>
        <v/>
      </c>
      <c r="BW126">
        <f>IFERROR(INDEX(PP_Grid[#Data],$DD126,73),0)</f>
        <v/>
      </c>
      <c r="BX126">
        <f>IFERROR(INDEX(PP_Grid[#Data],$DD126,74),0)</f>
        <v/>
      </c>
      <c r="BY126">
        <f>IFERROR(INDEX(PP_Grid[#Data],$DD126,75),0)</f>
        <v/>
      </c>
      <c r="BZ126">
        <f>IFERROR(INDEX(PP_Grid[#Data],$DD126,76),0)</f>
        <v/>
      </c>
      <c r="CA126">
        <f>IFERROR(INDEX(PP_Grid[#Data],$DD126,77),0)</f>
        <v/>
      </c>
      <c r="CB126">
        <f>IFERROR(INDEX(PP_Grid[#Data],$DD126,78),0)</f>
        <v/>
      </c>
      <c r="CC126">
        <f>IFERROR(INDEX(PP_Grid[#Data],$DD126,79),0)</f>
        <v/>
      </c>
      <c r="CD126">
        <f>IFERROR(INDEX(PP_Grid[#Data],$DD126,80),0)</f>
        <v/>
      </c>
      <c r="CE126">
        <f>IFERROR(INDEX(PP_Grid[#Data],$DD126,81),0)</f>
        <v/>
      </c>
      <c r="CF126">
        <f>IFERROR(INDEX(PP_Grid[#Data],$DD126,82),0)</f>
        <v/>
      </c>
      <c r="CG126">
        <f>IFERROR(INDEX(PP_Grid[#Data],$DD126,83),0)</f>
        <v/>
      </c>
      <c r="CH126">
        <f>IFERROR(INDEX(PP_Grid[#Data],$DD126,84),0)</f>
        <v/>
      </c>
      <c r="CI126">
        <f>IFERROR(INDEX(PP_Grid[#Data],$DD126,85),0)</f>
        <v/>
      </c>
      <c r="CJ126">
        <f>IFERROR(INDEX(PP_Grid[#Data],$DD126,86),0)</f>
        <v/>
      </c>
      <c r="CK126">
        <f>IFERROR(INDEX(PP_Grid[#Data],$DD126,87),0)</f>
        <v/>
      </c>
      <c r="CL126">
        <f>IFERROR(INDEX(PP_Grid[#Data],$DD126,88),0)</f>
        <v/>
      </c>
      <c r="CM126">
        <f>IFERROR(INDEX(PP_Grid[#Data],$DD126,89),0)</f>
        <v/>
      </c>
      <c r="CN126">
        <f>IFERROR(INDEX(PP_Grid[#Data],$DD126,90),0)</f>
        <v/>
      </c>
      <c r="CO126">
        <f>IFERROR(INDEX(PP_Grid[#Data],$DD126,91),0)</f>
        <v/>
      </c>
      <c r="CP126">
        <f>IFERROR(INDEX(PP_Grid[#Data],$DD126,92),0)</f>
        <v/>
      </c>
      <c r="CQ126">
        <f>IFERROR(INDEX(PP_Grid[#Data],$DD126,93),0)</f>
        <v/>
      </c>
      <c r="CR126">
        <f>IFERROR(INDEX(PP_Grid[#Data],$DD126,94),0)</f>
        <v/>
      </c>
      <c r="CS126">
        <f>IFERROR(INDEX(PP_Grid[#Data],$DD126,95),0)</f>
        <v/>
      </c>
      <c r="CT126">
        <f>IFERROR(INDEX(PP_Grid[#Data],$DD126,96),0)</f>
        <v/>
      </c>
      <c r="CU126">
        <f>IFERROR(INDEX(PP_Grid[#Data],$DD126,97),0)</f>
        <v/>
      </c>
      <c r="CV126">
        <f>IFERROR(INDEX(PP_Grid[#Data],$DD126,98),0)</f>
        <v/>
      </c>
      <c r="CW126">
        <f>IFERROR(INDEX(PP_Grid[#Data],$DD126,99),0)</f>
        <v/>
      </c>
      <c r="CX126">
        <f>IFERROR(INDEX(PP_Grid[#Data],$DD126,100),0)</f>
        <v/>
      </c>
      <c r="CY126">
        <f>IFERROR(INDEX(PP_Grid[#Data],$DD126,101),0)</f>
        <v/>
      </c>
      <c r="CZ126">
        <f>IFERROR(INDEX(PP_Grid[#Data],$DD126,102),0)</f>
        <v/>
      </c>
      <c r="DA126">
        <f>IFERROR(INDEX(PP_Grid[#Data],$DD126,103),0)</f>
        <v/>
      </c>
      <c r="DB126">
        <f>IFERROR(INDEX(PP_Grid[#Data],$DD126,104),0)</f>
        <v/>
      </c>
      <c r="DC126">
        <f>IFERROR(INDEX(PP_Grid[#Data],$DD126,105),0)</f>
        <v/>
      </c>
      <c r="DD126" s="7">
        <f>IFERROR(MATCH($B126,PP_Grid[Intermediate],0),99999)</f>
        <v/>
      </c>
    </row>
    <row r="127">
      <c r="B127" t="inlineStr">
        <is>
          <t>使用量(kg)</t>
        </is>
      </c>
      <c r="C127">
        <f>SUMIFS(M_BOM[RM_Qty_Per_Batch],M_BOM[Intermediate],$B126,M_BOM[Part Name],$A45)</f>
        <v/>
      </c>
      <c r="D127">
        <f>$C127*D126</f>
        <v/>
      </c>
      <c r="E127">
        <f>$C127*E126</f>
        <v/>
      </c>
      <c r="F127">
        <f>$C127*F126</f>
        <v/>
      </c>
      <c r="G127">
        <f>$C127*G126</f>
        <v/>
      </c>
      <c r="H127">
        <f>$C127*H126</f>
        <v/>
      </c>
      <c r="I127">
        <f>$C127*I126</f>
        <v/>
      </c>
      <c r="J127">
        <f>$C127*J126</f>
        <v/>
      </c>
      <c r="K127">
        <f>$C127*K126</f>
        <v/>
      </c>
      <c r="L127">
        <f>$C127*L126</f>
        <v/>
      </c>
      <c r="M127">
        <f>$C127*M126</f>
        <v/>
      </c>
      <c r="N127">
        <f>$C127*N126</f>
        <v/>
      </c>
      <c r="O127">
        <f>$C127*O126</f>
        <v/>
      </c>
      <c r="P127">
        <f>$C127*P126</f>
        <v/>
      </c>
      <c r="Q127">
        <f>$C127*Q126</f>
        <v/>
      </c>
      <c r="R127">
        <f>$C127*R126</f>
        <v/>
      </c>
      <c r="S127">
        <f>$C127*S126</f>
        <v/>
      </c>
      <c r="T127">
        <f>$C127*T126</f>
        <v/>
      </c>
      <c r="U127">
        <f>$C127*U126</f>
        <v/>
      </c>
      <c r="V127">
        <f>$C127*V126</f>
        <v/>
      </c>
      <c r="W127">
        <f>$C127*W126</f>
        <v/>
      </c>
      <c r="X127">
        <f>$C127*X126</f>
        <v/>
      </c>
      <c r="Y127">
        <f>$C127*Y126</f>
        <v/>
      </c>
      <c r="Z127">
        <f>$C127*Z126</f>
        <v/>
      </c>
      <c r="AA127">
        <f>$C127*AA126</f>
        <v/>
      </c>
      <c r="AB127">
        <f>$C127*AB126</f>
        <v/>
      </c>
      <c r="AC127">
        <f>$C127*AC126</f>
        <v/>
      </c>
      <c r="AD127">
        <f>$C127*AD126</f>
        <v/>
      </c>
      <c r="AE127">
        <f>$C127*AE126</f>
        <v/>
      </c>
      <c r="AF127">
        <f>$C127*AF126</f>
        <v/>
      </c>
      <c r="AG127">
        <f>$C127*AG126</f>
        <v/>
      </c>
      <c r="AH127">
        <f>$C127*AH126</f>
        <v/>
      </c>
      <c r="AI127">
        <f>$C127*AI126</f>
        <v/>
      </c>
      <c r="AJ127">
        <f>$C127*AJ126</f>
        <v/>
      </c>
      <c r="AK127">
        <f>$C127*AK126</f>
        <v/>
      </c>
      <c r="AL127">
        <f>$C127*AL126</f>
        <v/>
      </c>
      <c r="AM127">
        <f>$C127*AM126</f>
        <v/>
      </c>
      <c r="AN127">
        <f>$C127*AN126</f>
        <v/>
      </c>
      <c r="AO127">
        <f>$C127*AO126</f>
        <v/>
      </c>
      <c r="AP127">
        <f>$C127*AP126</f>
        <v/>
      </c>
      <c r="AQ127">
        <f>$C127*AQ126</f>
        <v/>
      </c>
      <c r="AR127">
        <f>$C127*AR126</f>
        <v/>
      </c>
      <c r="AS127">
        <f>$C127*AS126</f>
        <v/>
      </c>
      <c r="AT127">
        <f>$C127*AT126</f>
        <v/>
      </c>
      <c r="AU127">
        <f>$C127*AU126</f>
        <v/>
      </c>
      <c r="AV127">
        <f>$C127*AV126</f>
        <v/>
      </c>
      <c r="AW127">
        <f>$C127*AW126</f>
        <v/>
      </c>
      <c r="AX127">
        <f>$C127*AX126</f>
        <v/>
      </c>
      <c r="AY127">
        <f>$C127*AY126</f>
        <v/>
      </c>
      <c r="AZ127">
        <f>$C127*AZ126</f>
        <v/>
      </c>
      <c r="BA127">
        <f>$C127*BA126</f>
        <v/>
      </c>
      <c r="BB127">
        <f>$C127*BB126</f>
        <v/>
      </c>
      <c r="BC127">
        <f>$C127*BC126</f>
        <v/>
      </c>
      <c r="BD127">
        <f>$C127*BD126</f>
        <v/>
      </c>
      <c r="BE127">
        <f>$C127*BE126</f>
        <v/>
      </c>
      <c r="BF127">
        <f>$C127*BF126</f>
        <v/>
      </c>
      <c r="BG127">
        <f>$C127*BG126</f>
        <v/>
      </c>
      <c r="BH127">
        <f>$C127*BH126</f>
        <v/>
      </c>
      <c r="BI127">
        <f>$C127*BI126</f>
        <v/>
      </c>
      <c r="BJ127">
        <f>$C127*BJ126</f>
        <v/>
      </c>
      <c r="BK127">
        <f>$C127*BK126</f>
        <v/>
      </c>
      <c r="BL127">
        <f>$C127*BL126</f>
        <v/>
      </c>
      <c r="BM127">
        <f>$C127*BM126</f>
        <v/>
      </c>
      <c r="BN127">
        <f>$C127*BN126</f>
        <v/>
      </c>
      <c r="BO127">
        <f>$C127*BO126</f>
        <v/>
      </c>
      <c r="BP127">
        <f>$C127*BP126</f>
        <v/>
      </c>
      <c r="BQ127">
        <f>$C127*BQ126</f>
        <v/>
      </c>
      <c r="BR127">
        <f>$C127*BR126</f>
        <v/>
      </c>
      <c r="BS127">
        <f>$C127*BS126</f>
        <v/>
      </c>
      <c r="BT127">
        <f>$C127*BT126</f>
        <v/>
      </c>
      <c r="BU127">
        <f>$C127*BU126</f>
        <v/>
      </c>
      <c r="BV127">
        <f>$C127*BV126</f>
        <v/>
      </c>
      <c r="BW127">
        <f>$C127*BW126</f>
        <v/>
      </c>
      <c r="BX127">
        <f>$C127*BX126</f>
        <v/>
      </c>
      <c r="BY127">
        <f>$C127*BY126</f>
        <v/>
      </c>
      <c r="BZ127">
        <f>$C127*BZ126</f>
        <v/>
      </c>
      <c r="CA127">
        <f>$C127*CA126</f>
        <v/>
      </c>
      <c r="CB127">
        <f>$C127*CB126</f>
        <v/>
      </c>
      <c r="CC127">
        <f>$C127*CC126</f>
        <v/>
      </c>
      <c r="CD127">
        <f>$C127*CD126</f>
        <v/>
      </c>
      <c r="CE127">
        <f>$C127*CE126</f>
        <v/>
      </c>
      <c r="CF127">
        <f>$C127*CF126</f>
        <v/>
      </c>
      <c r="CG127">
        <f>$C127*CG126</f>
        <v/>
      </c>
      <c r="CH127">
        <f>$C127*CH126</f>
        <v/>
      </c>
      <c r="CI127">
        <f>$C127*CI126</f>
        <v/>
      </c>
      <c r="CJ127">
        <f>$C127*CJ126</f>
        <v/>
      </c>
      <c r="CK127">
        <f>$C127*CK126</f>
        <v/>
      </c>
      <c r="CL127">
        <f>$C127*CL126</f>
        <v/>
      </c>
      <c r="CM127">
        <f>$C127*CM126</f>
        <v/>
      </c>
      <c r="CN127">
        <f>$C127*CN126</f>
        <v/>
      </c>
      <c r="CO127">
        <f>$C127*CO126</f>
        <v/>
      </c>
      <c r="CP127">
        <f>$C127*CP126</f>
        <v/>
      </c>
      <c r="CQ127">
        <f>$C127*CQ126</f>
        <v/>
      </c>
      <c r="CR127">
        <f>$C127*CR126</f>
        <v/>
      </c>
      <c r="CS127">
        <f>$C127*CS126</f>
        <v/>
      </c>
      <c r="CT127">
        <f>$C127*CT126</f>
        <v/>
      </c>
      <c r="CU127">
        <f>$C127*CU126</f>
        <v/>
      </c>
      <c r="CV127">
        <f>$C127*CV126</f>
        <v/>
      </c>
      <c r="CW127">
        <f>$C127*CW126</f>
        <v/>
      </c>
      <c r="CX127">
        <f>$C127*CX126</f>
        <v/>
      </c>
      <c r="CY127">
        <f>$C127*CY126</f>
        <v/>
      </c>
      <c r="CZ127">
        <f>$C127*CZ126</f>
        <v/>
      </c>
      <c r="DA127">
        <f>$C127*DA126</f>
        <v/>
      </c>
      <c r="DB127">
        <f>$C127*DB126</f>
        <v/>
      </c>
      <c r="DC127">
        <f>$C127*DC126</f>
        <v/>
      </c>
    </row>
    <row r="128">
      <c r="B128" t="inlineStr">
        <is>
          <t>TSP-925</t>
        </is>
      </c>
      <c r="C128" t="inlineStr">
        <is>
          <t>No. of batches</t>
        </is>
      </c>
      <c r="D128">
        <f>IFERROR(INDEX(PP_Grid[#Data],$DD128,2),0)</f>
        <v/>
      </c>
      <c r="E128">
        <f>IFERROR(INDEX(PP_Grid[#Data],$DD128,3),0)</f>
        <v/>
      </c>
      <c r="F128">
        <f>IFERROR(INDEX(PP_Grid[#Data],$DD128,4),0)</f>
        <v/>
      </c>
      <c r="G128">
        <f>IFERROR(INDEX(PP_Grid[#Data],$DD128,5),0)</f>
        <v/>
      </c>
      <c r="H128">
        <f>IFERROR(INDEX(PP_Grid[#Data],$DD128,6),0)</f>
        <v/>
      </c>
      <c r="I128">
        <f>IFERROR(INDEX(PP_Grid[#Data],$DD128,7),0)</f>
        <v/>
      </c>
      <c r="J128">
        <f>IFERROR(INDEX(PP_Grid[#Data],$DD128,8),0)</f>
        <v/>
      </c>
      <c r="K128">
        <f>IFERROR(INDEX(PP_Grid[#Data],$DD128,9),0)</f>
        <v/>
      </c>
      <c r="L128">
        <f>IFERROR(INDEX(PP_Grid[#Data],$DD128,10),0)</f>
        <v/>
      </c>
      <c r="M128">
        <f>IFERROR(INDEX(PP_Grid[#Data],$DD128,11),0)</f>
        <v/>
      </c>
      <c r="N128">
        <f>IFERROR(INDEX(PP_Grid[#Data],$DD128,12),0)</f>
        <v/>
      </c>
      <c r="O128">
        <f>IFERROR(INDEX(PP_Grid[#Data],$DD128,13),0)</f>
        <v/>
      </c>
      <c r="P128">
        <f>IFERROR(INDEX(PP_Grid[#Data],$DD128,14),0)</f>
        <v/>
      </c>
      <c r="Q128">
        <f>IFERROR(INDEX(PP_Grid[#Data],$DD128,15),0)</f>
        <v/>
      </c>
      <c r="R128">
        <f>IFERROR(INDEX(PP_Grid[#Data],$DD128,16),0)</f>
        <v/>
      </c>
      <c r="S128">
        <f>IFERROR(INDEX(PP_Grid[#Data],$DD128,17),0)</f>
        <v/>
      </c>
      <c r="T128">
        <f>IFERROR(INDEX(PP_Grid[#Data],$DD128,18),0)</f>
        <v/>
      </c>
      <c r="U128">
        <f>IFERROR(INDEX(PP_Grid[#Data],$DD128,19),0)</f>
        <v/>
      </c>
      <c r="V128">
        <f>IFERROR(INDEX(PP_Grid[#Data],$DD128,20),0)</f>
        <v/>
      </c>
      <c r="W128">
        <f>IFERROR(INDEX(PP_Grid[#Data],$DD128,21),0)</f>
        <v/>
      </c>
      <c r="X128">
        <f>IFERROR(INDEX(PP_Grid[#Data],$DD128,22),0)</f>
        <v/>
      </c>
      <c r="Y128">
        <f>IFERROR(INDEX(PP_Grid[#Data],$DD128,23),0)</f>
        <v/>
      </c>
      <c r="Z128">
        <f>IFERROR(INDEX(PP_Grid[#Data],$DD128,24),0)</f>
        <v/>
      </c>
      <c r="AA128">
        <f>IFERROR(INDEX(PP_Grid[#Data],$DD128,25),0)</f>
        <v/>
      </c>
      <c r="AB128">
        <f>IFERROR(INDEX(PP_Grid[#Data],$DD128,26),0)</f>
        <v/>
      </c>
      <c r="AC128">
        <f>IFERROR(INDEX(PP_Grid[#Data],$DD128,27),0)</f>
        <v/>
      </c>
      <c r="AD128">
        <f>IFERROR(INDEX(PP_Grid[#Data],$DD128,28),0)</f>
        <v/>
      </c>
      <c r="AE128">
        <f>IFERROR(INDEX(PP_Grid[#Data],$DD128,29),0)</f>
        <v/>
      </c>
      <c r="AF128">
        <f>IFERROR(INDEX(PP_Grid[#Data],$DD128,30),0)</f>
        <v/>
      </c>
      <c r="AG128">
        <f>IFERROR(INDEX(PP_Grid[#Data],$DD128,31),0)</f>
        <v/>
      </c>
      <c r="AH128">
        <f>IFERROR(INDEX(PP_Grid[#Data],$DD128,32),0)</f>
        <v/>
      </c>
      <c r="AI128">
        <f>IFERROR(INDEX(PP_Grid[#Data],$DD128,33),0)</f>
        <v/>
      </c>
      <c r="AJ128">
        <f>IFERROR(INDEX(PP_Grid[#Data],$DD128,34),0)</f>
        <v/>
      </c>
      <c r="AK128">
        <f>IFERROR(INDEX(PP_Grid[#Data],$DD128,35),0)</f>
        <v/>
      </c>
      <c r="AL128">
        <f>IFERROR(INDEX(PP_Grid[#Data],$DD128,36),0)</f>
        <v/>
      </c>
      <c r="AM128">
        <f>IFERROR(INDEX(PP_Grid[#Data],$DD128,37),0)</f>
        <v/>
      </c>
      <c r="AN128">
        <f>IFERROR(INDEX(PP_Grid[#Data],$DD128,38),0)</f>
        <v/>
      </c>
      <c r="AO128">
        <f>IFERROR(INDEX(PP_Grid[#Data],$DD128,39),0)</f>
        <v/>
      </c>
      <c r="AP128">
        <f>IFERROR(INDEX(PP_Grid[#Data],$DD128,40),0)</f>
        <v/>
      </c>
      <c r="AQ128">
        <f>IFERROR(INDEX(PP_Grid[#Data],$DD128,41),0)</f>
        <v/>
      </c>
      <c r="AR128">
        <f>IFERROR(INDEX(PP_Grid[#Data],$DD128,42),0)</f>
        <v/>
      </c>
      <c r="AS128">
        <f>IFERROR(INDEX(PP_Grid[#Data],$DD128,43),0)</f>
        <v/>
      </c>
      <c r="AT128">
        <f>IFERROR(INDEX(PP_Grid[#Data],$DD128,44),0)</f>
        <v/>
      </c>
      <c r="AU128">
        <f>IFERROR(INDEX(PP_Grid[#Data],$DD128,45),0)</f>
        <v/>
      </c>
      <c r="AV128">
        <f>IFERROR(INDEX(PP_Grid[#Data],$DD128,46),0)</f>
        <v/>
      </c>
      <c r="AW128">
        <f>IFERROR(INDEX(PP_Grid[#Data],$DD128,47),0)</f>
        <v/>
      </c>
      <c r="AX128">
        <f>IFERROR(INDEX(PP_Grid[#Data],$DD128,48),0)</f>
        <v/>
      </c>
      <c r="AY128">
        <f>IFERROR(INDEX(PP_Grid[#Data],$DD128,49),0)</f>
        <v/>
      </c>
      <c r="AZ128">
        <f>IFERROR(INDEX(PP_Grid[#Data],$DD128,50),0)</f>
        <v/>
      </c>
      <c r="BA128">
        <f>IFERROR(INDEX(PP_Grid[#Data],$DD128,51),0)</f>
        <v/>
      </c>
      <c r="BB128">
        <f>IFERROR(INDEX(PP_Grid[#Data],$DD128,52),0)</f>
        <v/>
      </c>
      <c r="BC128">
        <f>IFERROR(INDEX(PP_Grid[#Data],$DD128,53),0)</f>
        <v/>
      </c>
      <c r="BD128">
        <f>IFERROR(INDEX(PP_Grid[#Data],$DD128,54),0)</f>
        <v/>
      </c>
      <c r="BE128">
        <f>IFERROR(INDEX(PP_Grid[#Data],$DD128,55),0)</f>
        <v/>
      </c>
      <c r="BF128">
        <f>IFERROR(INDEX(PP_Grid[#Data],$DD128,56),0)</f>
        <v/>
      </c>
      <c r="BG128">
        <f>IFERROR(INDEX(PP_Grid[#Data],$DD128,57),0)</f>
        <v/>
      </c>
      <c r="BH128">
        <f>IFERROR(INDEX(PP_Grid[#Data],$DD128,58),0)</f>
        <v/>
      </c>
      <c r="BI128">
        <f>IFERROR(INDEX(PP_Grid[#Data],$DD128,59),0)</f>
        <v/>
      </c>
      <c r="BJ128">
        <f>IFERROR(INDEX(PP_Grid[#Data],$DD128,60),0)</f>
        <v/>
      </c>
      <c r="BK128">
        <f>IFERROR(INDEX(PP_Grid[#Data],$DD128,61),0)</f>
        <v/>
      </c>
      <c r="BL128">
        <f>IFERROR(INDEX(PP_Grid[#Data],$DD128,62),0)</f>
        <v/>
      </c>
      <c r="BM128">
        <f>IFERROR(INDEX(PP_Grid[#Data],$DD128,63),0)</f>
        <v/>
      </c>
      <c r="BN128">
        <f>IFERROR(INDEX(PP_Grid[#Data],$DD128,64),0)</f>
        <v/>
      </c>
      <c r="BO128">
        <f>IFERROR(INDEX(PP_Grid[#Data],$DD128,65),0)</f>
        <v/>
      </c>
      <c r="BP128">
        <f>IFERROR(INDEX(PP_Grid[#Data],$DD128,66),0)</f>
        <v/>
      </c>
      <c r="BQ128">
        <f>IFERROR(INDEX(PP_Grid[#Data],$DD128,67),0)</f>
        <v/>
      </c>
      <c r="BR128">
        <f>IFERROR(INDEX(PP_Grid[#Data],$DD128,68),0)</f>
        <v/>
      </c>
      <c r="BS128">
        <f>IFERROR(INDEX(PP_Grid[#Data],$DD128,69),0)</f>
        <v/>
      </c>
      <c r="BT128">
        <f>IFERROR(INDEX(PP_Grid[#Data],$DD128,70),0)</f>
        <v/>
      </c>
      <c r="BU128">
        <f>IFERROR(INDEX(PP_Grid[#Data],$DD128,71),0)</f>
        <v/>
      </c>
      <c r="BV128">
        <f>IFERROR(INDEX(PP_Grid[#Data],$DD128,72),0)</f>
        <v/>
      </c>
      <c r="BW128">
        <f>IFERROR(INDEX(PP_Grid[#Data],$DD128,73),0)</f>
        <v/>
      </c>
      <c r="BX128">
        <f>IFERROR(INDEX(PP_Grid[#Data],$DD128,74),0)</f>
        <v/>
      </c>
      <c r="BY128">
        <f>IFERROR(INDEX(PP_Grid[#Data],$DD128,75),0)</f>
        <v/>
      </c>
      <c r="BZ128">
        <f>IFERROR(INDEX(PP_Grid[#Data],$DD128,76),0)</f>
        <v/>
      </c>
      <c r="CA128">
        <f>IFERROR(INDEX(PP_Grid[#Data],$DD128,77),0)</f>
        <v/>
      </c>
      <c r="CB128">
        <f>IFERROR(INDEX(PP_Grid[#Data],$DD128,78),0)</f>
        <v/>
      </c>
      <c r="CC128">
        <f>IFERROR(INDEX(PP_Grid[#Data],$DD128,79),0)</f>
        <v/>
      </c>
      <c r="CD128">
        <f>IFERROR(INDEX(PP_Grid[#Data],$DD128,80),0)</f>
        <v/>
      </c>
      <c r="CE128">
        <f>IFERROR(INDEX(PP_Grid[#Data],$DD128,81),0)</f>
        <v/>
      </c>
      <c r="CF128">
        <f>IFERROR(INDEX(PP_Grid[#Data],$DD128,82),0)</f>
        <v/>
      </c>
      <c r="CG128">
        <f>IFERROR(INDEX(PP_Grid[#Data],$DD128,83),0)</f>
        <v/>
      </c>
      <c r="CH128">
        <f>IFERROR(INDEX(PP_Grid[#Data],$DD128,84),0)</f>
        <v/>
      </c>
      <c r="CI128">
        <f>IFERROR(INDEX(PP_Grid[#Data],$DD128,85),0)</f>
        <v/>
      </c>
      <c r="CJ128">
        <f>IFERROR(INDEX(PP_Grid[#Data],$DD128,86),0)</f>
        <v/>
      </c>
      <c r="CK128">
        <f>IFERROR(INDEX(PP_Grid[#Data],$DD128,87),0)</f>
        <v/>
      </c>
      <c r="CL128">
        <f>IFERROR(INDEX(PP_Grid[#Data],$DD128,88),0)</f>
        <v/>
      </c>
      <c r="CM128">
        <f>IFERROR(INDEX(PP_Grid[#Data],$DD128,89),0)</f>
        <v/>
      </c>
      <c r="CN128">
        <f>IFERROR(INDEX(PP_Grid[#Data],$DD128,90),0)</f>
        <v/>
      </c>
      <c r="CO128">
        <f>IFERROR(INDEX(PP_Grid[#Data],$DD128,91),0)</f>
        <v/>
      </c>
      <c r="CP128">
        <f>IFERROR(INDEX(PP_Grid[#Data],$DD128,92),0)</f>
        <v/>
      </c>
      <c r="CQ128">
        <f>IFERROR(INDEX(PP_Grid[#Data],$DD128,93),0)</f>
        <v/>
      </c>
      <c r="CR128">
        <f>IFERROR(INDEX(PP_Grid[#Data],$DD128,94),0)</f>
        <v/>
      </c>
      <c r="CS128">
        <f>IFERROR(INDEX(PP_Grid[#Data],$DD128,95),0)</f>
        <v/>
      </c>
      <c r="CT128">
        <f>IFERROR(INDEX(PP_Grid[#Data],$DD128,96),0)</f>
        <v/>
      </c>
      <c r="CU128">
        <f>IFERROR(INDEX(PP_Grid[#Data],$DD128,97),0)</f>
        <v/>
      </c>
      <c r="CV128">
        <f>IFERROR(INDEX(PP_Grid[#Data],$DD128,98),0)</f>
        <v/>
      </c>
      <c r="CW128">
        <f>IFERROR(INDEX(PP_Grid[#Data],$DD128,99),0)</f>
        <v/>
      </c>
      <c r="CX128">
        <f>IFERROR(INDEX(PP_Grid[#Data],$DD128,100),0)</f>
        <v/>
      </c>
      <c r="CY128">
        <f>IFERROR(INDEX(PP_Grid[#Data],$DD128,101),0)</f>
        <v/>
      </c>
      <c r="CZ128">
        <f>IFERROR(INDEX(PP_Grid[#Data],$DD128,102),0)</f>
        <v/>
      </c>
      <c r="DA128">
        <f>IFERROR(INDEX(PP_Grid[#Data],$DD128,103),0)</f>
        <v/>
      </c>
      <c r="DB128">
        <f>IFERROR(INDEX(PP_Grid[#Data],$DD128,104),0)</f>
        <v/>
      </c>
      <c r="DC128">
        <f>IFERROR(INDEX(PP_Grid[#Data],$DD128,105),0)</f>
        <v/>
      </c>
      <c r="DD128" s="7">
        <f>IFERROR(MATCH($B128,PP_Grid[Intermediate],0),99999)</f>
        <v/>
      </c>
    </row>
    <row r="129">
      <c r="B129" t="inlineStr">
        <is>
          <t>使用量(kg)</t>
        </is>
      </c>
      <c r="C129">
        <f>SUMIFS(M_BOM[RM_Qty_Per_Batch],M_BOM[Intermediate],$B128,M_BOM[Part Name],$A45)</f>
        <v/>
      </c>
      <c r="D129">
        <f>$C129*D128</f>
        <v/>
      </c>
      <c r="E129">
        <f>$C129*E128</f>
        <v/>
      </c>
      <c r="F129">
        <f>$C129*F128</f>
        <v/>
      </c>
      <c r="G129">
        <f>$C129*G128</f>
        <v/>
      </c>
      <c r="H129">
        <f>$C129*H128</f>
        <v/>
      </c>
      <c r="I129">
        <f>$C129*I128</f>
        <v/>
      </c>
      <c r="J129">
        <f>$C129*J128</f>
        <v/>
      </c>
      <c r="K129">
        <f>$C129*K128</f>
        <v/>
      </c>
      <c r="L129">
        <f>$C129*L128</f>
        <v/>
      </c>
      <c r="M129">
        <f>$C129*M128</f>
        <v/>
      </c>
      <c r="N129">
        <f>$C129*N128</f>
        <v/>
      </c>
      <c r="O129">
        <f>$C129*O128</f>
        <v/>
      </c>
      <c r="P129">
        <f>$C129*P128</f>
        <v/>
      </c>
      <c r="Q129">
        <f>$C129*Q128</f>
        <v/>
      </c>
      <c r="R129">
        <f>$C129*R128</f>
        <v/>
      </c>
      <c r="S129">
        <f>$C129*S128</f>
        <v/>
      </c>
      <c r="T129">
        <f>$C129*T128</f>
        <v/>
      </c>
      <c r="U129">
        <f>$C129*U128</f>
        <v/>
      </c>
      <c r="V129">
        <f>$C129*V128</f>
        <v/>
      </c>
      <c r="W129">
        <f>$C129*W128</f>
        <v/>
      </c>
      <c r="X129">
        <f>$C129*X128</f>
        <v/>
      </c>
      <c r="Y129">
        <f>$C129*Y128</f>
        <v/>
      </c>
      <c r="Z129">
        <f>$C129*Z128</f>
        <v/>
      </c>
      <c r="AA129">
        <f>$C129*AA128</f>
        <v/>
      </c>
      <c r="AB129">
        <f>$C129*AB128</f>
        <v/>
      </c>
      <c r="AC129">
        <f>$C129*AC128</f>
        <v/>
      </c>
      <c r="AD129">
        <f>$C129*AD128</f>
        <v/>
      </c>
      <c r="AE129">
        <f>$C129*AE128</f>
        <v/>
      </c>
      <c r="AF129">
        <f>$C129*AF128</f>
        <v/>
      </c>
      <c r="AG129">
        <f>$C129*AG128</f>
        <v/>
      </c>
      <c r="AH129">
        <f>$C129*AH128</f>
        <v/>
      </c>
      <c r="AI129">
        <f>$C129*AI128</f>
        <v/>
      </c>
      <c r="AJ129">
        <f>$C129*AJ128</f>
        <v/>
      </c>
      <c r="AK129">
        <f>$C129*AK128</f>
        <v/>
      </c>
      <c r="AL129">
        <f>$C129*AL128</f>
        <v/>
      </c>
      <c r="AM129">
        <f>$C129*AM128</f>
        <v/>
      </c>
      <c r="AN129">
        <f>$C129*AN128</f>
        <v/>
      </c>
      <c r="AO129">
        <f>$C129*AO128</f>
        <v/>
      </c>
      <c r="AP129">
        <f>$C129*AP128</f>
        <v/>
      </c>
      <c r="AQ129">
        <f>$C129*AQ128</f>
        <v/>
      </c>
      <c r="AR129">
        <f>$C129*AR128</f>
        <v/>
      </c>
      <c r="AS129">
        <f>$C129*AS128</f>
        <v/>
      </c>
      <c r="AT129">
        <f>$C129*AT128</f>
        <v/>
      </c>
      <c r="AU129">
        <f>$C129*AU128</f>
        <v/>
      </c>
      <c r="AV129">
        <f>$C129*AV128</f>
        <v/>
      </c>
      <c r="AW129">
        <f>$C129*AW128</f>
        <v/>
      </c>
      <c r="AX129">
        <f>$C129*AX128</f>
        <v/>
      </c>
      <c r="AY129">
        <f>$C129*AY128</f>
        <v/>
      </c>
      <c r="AZ129">
        <f>$C129*AZ128</f>
        <v/>
      </c>
      <c r="BA129">
        <f>$C129*BA128</f>
        <v/>
      </c>
      <c r="BB129">
        <f>$C129*BB128</f>
        <v/>
      </c>
      <c r="BC129">
        <f>$C129*BC128</f>
        <v/>
      </c>
      <c r="BD129">
        <f>$C129*BD128</f>
        <v/>
      </c>
      <c r="BE129">
        <f>$C129*BE128</f>
        <v/>
      </c>
      <c r="BF129">
        <f>$C129*BF128</f>
        <v/>
      </c>
      <c r="BG129">
        <f>$C129*BG128</f>
        <v/>
      </c>
      <c r="BH129">
        <f>$C129*BH128</f>
        <v/>
      </c>
      <c r="BI129">
        <f>$C129*BI128</f>
        <v/>
      </c>
      <c r="BJ129">
        <f>$C129*BJ128</f>
        <v/>
      </c>
      <c r="BK129">
        <f>$C129*BK128</f>
        <v/>
      </c>
      <c r="BL129">
        <f>$C129*BL128</f>
        <v/>
      </c>
      <c r="BM129">
        <f>$C129*BM128</f>
        <v/>
      </c>
      <c r="BN129">
        <f>$C129*BN128</f>
        <v/>
      </c>
      <c r="BO129">
        <f>$C129*BO128</f>
        <v/>
      </c>
      <c r="BP129">
        <f>$C129*BP128</f>
        <v/>
      </c>
      <c r="BQ129">
        <f>$C129*BQ128</f>
        <v/>
      </c>
      <c r="BR129">
        <f>$C129*BR128</f>
        <v/>
      </c>
      <c r="BS129">
        <f>$C129*BS128</f>
        <v/>
      </c>
      <c r="BT129">
        <f>$C129*BT128</f>
        <v/>
      </c>
      <c r="BU129">
        <f>$C129*BU128</f>
        <v/>
      </c>
      <c r="BV129">
        <f>$C129*BV128</f>
        <v/>
      </c>
      <c r="BW129">
        <f>$C129*BW128</f>
        <v/>
      </c>
      <c r="BX129">
        <f>$C129*BX128</f>
        <v/>
      </c>
      <c r="BY129">
        <f>$C129*BY128</f>
        <v/>
      </c>
      <c r="BZ129">
        <f>$C129*BZ128</f>
        <v/>
      </c>
      <c r="CA129">
        <f>$C129*CA128</f>
        <v/>
      </c>
      <c r="CB129">
        <f>$C129*CB128</f>
        <v/>
      </c>
      <c r="CC129">
        <f>$C129*CC128</f>
        <v/>
      </c>
      <c r="CD129">
        <f>$C129*CD128</f>
        <v/>
      </c>
      <c r="CE129">
        <f>$C129*CE128</f>
        <v/>
      </c>
      <c r="CF129">
        <f>$C129*CF128</f>
        <v/>
      </c>
      <c r="CG129">
        <f>$C129*CG128</f>
        <v/>
      </c>
      <c r="CH129">
        <f>$C129*CH128</f>
        <v/>
      </c>
      <c r="CI129">
        <f>$C129*CI128</f>
        <v/>
      </c>
      <c r="CJ129">
        <f>$C129*CJ128</f>
        <v/>
      </c>
      <c r="CK129">
        <f>$C129*CK128</f>
        <v/>
      </c>
      <c r="CL129">
        <f>$C129*CL128</f>
        <v/>
      </c>
      <c r="CM129">
        <f>$C129*CM128</f>
        <v/>
      </c>
      <c r="CN129">
        <f>$C129*CN128</f>
        <v/>
      </c>
      <c r="CO129">
        <f>$C129*CO128</f>
        <v/>
      </c>
      <c r="CP129">
        <f>$C129*CP128</f>
        <v/>
      </c>
      <c r="CQ129">
        <f>$C129*CQ128</f>
        <v/>
      </c>
      <c r="CR129">
        <f>$C129*CR128</f>
        <v/>
      </c>
      <c r="CS129">
        <f>$C129*CS128</f>
        <v/>
      </c>
      <c r="CT129">
        <f>$C129*CT128</f>
        <v/>
      </c>
      <c r="CU129">
        <f>$C129*CU128</f>
        <v/>
      </c>
      <c r="CV129">
        <f>$C129*CV128</f>
        <v/>
      </c>
      <c r="CW129">
        <f>$C129*CW128</f>
        <v/>
      </c>
      <c r="CX129">
        <f>$C129*CX128</f>
        <v/>
      </c>
      <c r="CY129">
        <f>$C129*CY128</f>
        <v/>
      </c>
      <c r="CZ129">
        <f>$C129*CZ128</f>
        <v/>
      </c>
      <c r="DA129">
        <f>$C129*DA128</f>
        <v/>
      </c>
      <c r="DB129">
        <f>$C129*DB128</f>
        <v/>
      </c>
      <c r="DC129">
        <f>$C129*DC128</f>
        <v/>
      </c>
    </row>
    <row r="130">
      <c r="B130" t="inlineStr">
        <is>
          <t>TSP-927</t>
        </is>
      </c>
      <c r="C130" t="inlineStr">
        <is>
          <t>No. of batches</t>
        </is>
      </c>
      <c r="D130">
        <f>IFERROR(INDEX(PP_Grid[#Data],$DD130,2),0)</f>
        <v/>
      </c>
      <c r="E130">
        <f>IFERROR(INDEX(PP_Grid[#Data],$DD130,3),0)</f>
        <v/>
      </c>
      <c r="F130">
        <f>IFERROR(INDEX(PP_Grid[#Data],$DD130,4),0)</f>
        <v/>
      </c>
      <c r="G130">
        <f>IFERROR(INDEX(PP_Grid[#Data],$DD130,5),0)</f>
        <v/>
      </c>
      <c r="H130">
        <f>IFERROR(INDEX(PP_Grid[#Data],$DD130,6),0)</f>
        <v/>
      </c>
      <c r="I130">
        <f>IFERROR(INDEX(PP_Grid[#Data],$DD130,7),0)</f>
        <v/>
      </c>
      <c r="J130">
        <f>IFERROR(INDEX(PP_Grid[#Data],$DD130,8),0)</f>
        <v/>
      </c>
      <c r="K130">
        <f>IFERROR(INDEX(PP_Grid[#Data],$DD130,9),0)</f>
        <v/>
      </c>
      <c r="L130">
        <f>IFERROR(INDEX(PP_Grid[#Data],$DD130,10),0)</f>
        <v/>
      </c>
      <c r="M130">
        <f>IFERROR(INDEX(PP_Grid[#Data],$DD130,11),0)</f>
        <v/>
      </c>
      <c r="N130">
        <f>IFERROR(INDEX(PP_Grid[#Data],$DD130,12),0)</f>
        <v/>
      </c>
      <c r="O130">
        <f>IFERROR(INDEX(PP_Grid[#Data],$DD130,13),0)</f>
        <v/>
      </c>
      <c r="P130">
        <f>IFERROR(INDEX(PP_Grid[#Data],$DD130,14),0)</f>
        <v/>
      </c>
      <c r="Q130">
        <f>IFERROR(INDEX(PP_Grid[#Data],$DD130,15),0)</f>
        <v/>
      </c>
      <c r="R130">
        <f>IFERROR(INDEX(PP_Grid[#Data],$DD130,16),0)</f>
        <v/>
      </c>
      <c r="S130">
        <f>IFERROR(INDEX(PP_Grid[#Data],$DD130,17),0)</f>
        <v/>
      </c>
      <c r="T130">
        <f>IFERROR(INDEX(PP_Grid[#Data],$DD130,18),0)</f>
        <v/>
      </c>
      <c r="U130">
        <f>IFERROR(INDEX(PP_Grid[#Data],$DD130,19),0)</f>
        <v/>
      </c>
      <c r="V130">
        <f>IFERROR(INDEX(PP_Grid[#Data],$DD130,20),0)</f>
        <v/>
      </c>
      <c r="W130">
        <f>IFERROR(INDEX(PP_Grid[#Data],$DD130,21),0)</f>
        <v/>
      </c>
      <c r="X130">
        <f>IFERROR(INDEX(PP_Grid[#Data],$DD130,22),0)</f>
        <v/>
      </c>
      <c r="Y130">
        <f>IFERROR(INDEX(PP_Grid[#Data],$DD130,23),0)</f>
        <v/>
      </c>
      <c r="Z130">
        <f>IFERROR(INDEX(PP_Grid[#Data],$DD130,24),0)</f>
        <v/>
      </c>
      <c r="AA130">
        <f>IFERROR(INDEX(PP_Grid[#Data],$DD130,25),0)</f>
        <v/>
      </c>
      <c r="AB130">
        <f>IFERROR(INDEX(PP_Grid[#Data],$DD130,26),0)</f>
        <v/>
      </c>
      <c r="AC130">
        <f>IFERROR(INDEX(PP_Grid[#Data],$DD130,27),0)</f>
        <v/>
      </c>
      <c r="AD130">
        <f>IFERROR(INDEX(PP_Grid[#Data],$DD130,28),0)</f>
        <v/>
      </c>
      <c r="AE130">
        <f>IFERROR(INDEX(PP_Grid[#Data],$DD130,29),0)</f>
        <v/>
      </c>
      <c r="AF130">
        <f>IFERROR(INDEX(PP_Grid[#Data],$DD130,30),0)</f>
        <v/>
      </c>
      <c r="AG130">
        <f>IFERROR(INDEX(PP_Grid[#Data],$DD130,31),0)</f>
        <v/>
      </c>
      <c r="AH130">
        <f>IFERROR(INDEX(PP_Grid[#Data],$DD130,32),0)</f>
        <v/>
      </c>
      <c r="AI130">
        <f>IFERROR(INDEX(PP_Grid[#Data],$DD130,33),0)</f>
        <v/>
      </c>
      <c r="AJ130">
        <f>IFERROR(INDEX(PP_Grid[#Data],$DD130,34),0)</f>
        <v/>
      </c>
      <c r="AK130">
        <f>IFERROR(INDEX(PP_Grid[#Data],$DD130,35),0)</f>
        <v/>
      </c>
      <c r="AL130">
        <f>IFERROR(INDEX(PP_Grid[#Data],$DD130,36),0)</f>
        <v/>
      </c>
      <c r="AM130">
        <f>IFERROR(INDEX(PP_Grid[#Data],$DD130,37),0)</f>
        <v/>
      </c>
      <c r="AN130">
        <f>IFERROR(INDEX(PP_Grid[#Data],$DD130,38),0)</f>
        <v/>
      </c>
      <c r="AO130">
        <f>IFERROR(INDEX(PP_Grid[#Data],$DD130,39),0)</f>
        <v/>
      </c>
      <c r="AP130">
        <f>IFERROR(INDEX(PP_Grid[#Data],$DD130,40),0)</f>
        <v/>
      </c>
      <c r="AQ130">
        <f>IFERROR(INDEX(PP_Grid[#Data],$DD130,41),0)</f>
        <v/>
      </c>
      <c r="AR130">
        <f>IFERROR(INDEX(PP_Grid[#Data],$DD130,42),0)</f>
        <v/>
      </c>
      <c r="AS130">
        <f>IFERROR(INDEX(PP_Grid[#Data],$DD130,43),0)</f>
        <v/>
      </c>
      <c r="AT130">
        <f>IFERROR(INDEX(PP_Grid[#Data],$DD130,44),0)</f>
        <v/>
      </c>
      <c r="AU130">
        <f>IFERROR(INDEX(PP_Grid[#Data],$DD130,45),0)</f>
        <v/>
      </c>
      <c r="AV130">
        <f>IFERROR(INDEX(PP_Grid[#Data],$DD130,46),0)</f>
        <v/>
      </c>
      <c r="AW130">
        <f>IFERROR(INDEX(PP_Grid[#Data],$DD130,47),0)</f>
        <v/>
      </c>
      <c r="AX130">
        <f>IFERROR(INDEX(PP_Grid[#Data],$DD130,48),0)</f>
        <v/>
      </c>
      <c r="AY130">
        <f>IFERROR(INDEX(PP_Grid[#Data],$DD130,49),0)</f>
        <v/>
      </c>
      <c r="AZ130">
        <f>IFERROR(INDEX(PP_Grid[#Data],$DD130,50),0)</f>
        <v/>
      </c>
      <c r="BA130">
        <f>IFERROR(INDEX(PP_Grid[#Data],$DD130,51),0)</f>
        <v/>
      </c>
      <c r="BB130">
        <f>IFERROR(INDEX(PP_Grid[#Data],$DD130,52),0)</f>
        <v/>
      </c>
      <c r="BC130">
        <f>IFERROR(INDEX(PP_Grid[#Data],$DD130,53),0)</f>
        <v/>
      </c>
      <c r="BD130">
        <f>IFERROR(INDEX(PP_Grid[#Data],$DD130,54),0)</f>
        <v/>
      </c>
      <c r="BE130">
        <f>IFERROR(INDEX(PP_Grid[#Data],$DD130,55),0)</f>
        <v/>
      </c>
      <c r="BF130">
        <f>IFERROR(INDEX(PP_Grid[#Data],$DD130,56),0)</f>
        <v/>
      </c>
      <c r="BG130">
        <f>IFERROR(INDEX(PP_Grid[#Data],$DD130,57),0)</f>
        <v/>
      </c>
      <c r="BH130">
        <f>IFERROR(INDEX(PP_Grid[#Data],$DD130,58),0)</f>
        <v/>
      </c>
      <c r="BI130">
        <f>IFERROR(INDEX(PP_Grid[#Data],$DD130,59),0)</f>
        <v/>
      </c>
      <c r="BJ130">
        <f>IFERROR(INDEX(PP_Grid[#Data],$DD130,60),0)</f>
        <v/>
      </c>
      <c r="BK130">
        <f>IFERROR(INDEX(PP_Grid[#Data],$DD130,61),0)</f>
        <v/>
      </c>
      <c r="BL130">
        <f>IFERROR(INDEX(PP_Grid[#Data],$DD130,62),0)</f>
        <v/>
      </c>
      <c r="BM130">
        <f>IFERROR(INDEX(PP_Grid[#Data],$DD130,63),0)</f>
        <v/>
      </c>
      <c r="BN130">
        <f>IFERROR(INDEX(PP_Grid[#Data],$DD130,64),0)</f>
        <v/>
      </c>
      <c r="BO130">
        <f>IFERROR(INDEX(PP_Grid[#Data],$DD130,65),0)</f>
        <v/>
      </c>
      <c r="BP130">
        <f>IFERROR(INDEX(PP_Grid[#Data],$DD130,66),0)</f>
        <v/>
      </c>
      <c r="BQ130">
        <f>IFERROR(INDEX(PP_Grid[#Data],$DD130,67),0)</f>
        <v/>
      </c>
      <c r="BR130">
        <f>IFERROR(INDEX(PP_Grid[#Data],$DD130,68),0)</f>
        <v/>
      </c>
      <c r="BS130">
        <f>IFERROR(INDEX(PP_Grid[#Data],$DD130,69),0)</f>
        <v/>
      </c>
      <c r="BT130">
        <f>IFERROR(INDEX(PP_Grid[#Data],$DD130,70),0)</f>
        <v/>
      </c>
      <c r="BU130">
        <f>IFERROR(INDEX(PP_Grid[#Data],$DD130,71),0)</f>
        <v/>
      </c>
      <c r="BV130">
        <f>IFERROR(INDEX(PP_Grid[#Data],$DD130,72),0)</f>
        <v/>
      </c>
      <c r="BW130">
        <f>IFERROR(INDEX(PP_Grid[#Data],$DD130,73),0)</f>
        <v/>
      </c>
      <c r="BX130">
        <f>IFERROR(INDEX(PP_Grid[#Data],$DD130,74),0)</f>
        <v/>
      </c>
      <c r="BY130">
        <f>IFERROR(INDEX(PP_Grid[#Data],$DD130,75),0)</f>
        <v/>
      </c>
      <c r="BZ130">
        <f>IFERROR(INDEX(PP_Grid[#Data],$DD130,76),0)</f>
        <v/>
      </c>
      <c r="CA130">
        <f>IFERROR(INDEX(PP_Grid[#Data],$DD130,77),0)</f>
        <v/>
      </c>
      <c r="CB130">
        <f>IFERROR(INDEX(PP_Grid[#Data],$DD130,78),0)</f>
        <v/>
      </c>
      <c r="CC130">
        <f>IFERROR(INDEX(PP_Grid[#Data],$DD130,79),0)</f>
        <v/>
      </c>
      <c r="CD130">
        <f>IFERROR(INDEX(PP_Grid[#Data],$DD130,80),0)</f>
        <v/>
      </c>
      <c r="CE130">
        <f>IFERROR(INDEX(PP_Grid[#Data],$DD130,81),0)</f>
        <v/>
      </c>
      <c r="CF130">
        <f>IFERROR(INDEX(PP_Grid[#Data],$DD130,82),0)</f>
        <v/>
      </c>
      <c r="CG130">
        <f>IFERROR(INDEX(PP_Grid[#Data],$DD130,83),0)</f>
        <v/>
      </c>
      <c r="CH130">
        <f>IFERROR(INDEX(PP_Grid[#Data],$DD130,84),0)</f>
        <v/>
      </c>
      <c r="CI130">
        <f>IFERROR(INDEX(PP_Grid[#Data],$DD130,85),0)</f>
        <v/>
      </c>
      <c r="CJ130">
        <f>IFERROR(INDEX(PP_Grid[#Data],$DD130,86),0)</f>
        <v/>
      </c>
      <c r="CK130">
        <f>IFERROR(INDEX(PP_Grid[#Data],$DD130,87),0)</f>
        <v/>
      </c>
      <c r="CL130">
        <f>IFERROR(INDEX(PP_Grid[#Data],$DD130,88),0)</f>
        <v/>
      </c>
      <c r="CM130">
        <f>IFERROR(INDEX(PP_Grid[#Data],$DD130,89),0)</f>
        <v/>
      </c>
      <c r="CN130">
        <f>IFERROR(INDEX(PP_Grid[#Data],$DD130,90),0)</f>
        <v/>
      </c>
      <c r="CO130">
        <f>IFERROR(INDEX(PP_Grid[#Data],$DD130,91),0)</f>
        <v/>
      </c>
      <c r="CP130">
        <f>IFERROR(INDEX(PP_Grid[#Data],$DD130,92),0)</f>
        <v/>
      </c>
      <c r="CQ130">
        <f>IFERROR(INDEX(PP_Grid[#Data],$DD130,93),0)</f>
        <v/>
      </c>
      <c r="CR130">
        <f>IFERROR(INDEX(PP_Grid[#Data],$DD130,94),0)</f>
        <v/>
      </c>
      <c r="CS130">
        <f>IFERROR(INDEX(PP_Grid[#Data],$DD130,95),0)</f>
        <v/>
      </c>
      <c r="CT130">
        <f>IFERROR(INDEX(PP_Grid[#Data],$DD130,96),0)</f>
        <v/>
      </c>
      <c r="CU130">
        <f>IFERROR(INDEX(PP_Grid[#Data],$DD130,97),0)</f>
        <v/>
      </c>
      <c r="CV130">
        <f>IFERROR(INDEX(PP_Grid[#Data],$DD130,98),0)</f>
        <v/>
      </c>
      <c r="CW130">
        <f>IFERROR(INDEX(PP_Grid[#Data],$DD130,99),0)</f>
        <v/>
      </c>
      <c r="CX130">
        <f>IFERROR(INDEX(PP_Grid[#Data],$DD130,100),0)</f>
        <v/>
      </c>
      <c r="CY130">
        <f>IFERROR(INDEX(PP_Grid[#Data],$DD130,101),0)</f>
        <v/>
      </c>
      <c r="CZ130">
        <f>IFERROR(INDEX(PP_Grid[#Data],$DD130,102),0)</f>
        <v/>
      </c>
      <c r="DA130">
        <f>IFERROR(INDEX(PP_Grid[#Data],$DD130,103),0)</f>
        <v/>
      </c>
      <c r="DB130">
        <f>IFERROR(INDEX(PP_Grid[#Data],$DD130,104),0)</f>
        <v/>
      </c>
      <c r="DC130">
        <f>IFERROR(INDEX(PP_Grid[#Data],$DD130,105),0)</f>
        <v/>
      </c>
      <c r="DD130" s="7">
        <f>IFERROR(MATCH($B130,PP_Grid[Intermediate],0),99999)</f>
        <v/>
      </c>
    </row>
    <row r="131">
      <c r="B131" t="inlineStr">
        <is>
          <t>使用量(kg)</t>
        </is>
      </c>
      <c r="C131">
        <f>SUMIFS(M_BOM[RM_Qty_Per_Batch],M_BOM[Intermediate],$B130,M_BOM[Part Name],$A45)</f>
        <v/>
      </c>
      <c r="D131">
        <f>$C131*D130</f>
        <v/>
      </c>
      <c r="E131">
        <f>$C131*E130</f>
        <v/>
      </c>
      <c r="F131">
        <f>$C131*F130</f>
        <v/>
      </c>
      <c r="G131">
        <f>$C131*G130</f>
        <v/>
      </c>
      <c r="H131">
        <f>$C131*H130</f>
        <v/>
      </c>
      <c r="I131">
        <f>$C131*I130</f>
        <v/>
      </c>
      <c r="J131">
        <f>$C131*J130</f>
        <v/>
      </c>
      <c r="K131">
        <f>$C131*K130</f>
        <v/>
      </c>
      <c r="L131">
        <f>$C131*L130</f>
        <v/>
      </c>
      <c r="M131">
        <f>$C131*M130</f>
        <v/>
      </c>
      <c r="N131">
        <f>$C131*N130</f>
        <v/>
      </c>
      <c r="O131">
        <f>$C131*O130</f>
        <v/>
      </c>
      <c r="P131">
        <f>$C131*P130</f>
        <v/>
      </c>
      <c r="Q131">
        <f>$C131*Q130</f>
        <v/>
      </c>
      <c r="R131">
        <f>$C131*R130</f>
        <v/>
      </c>
      <c r="S131">
        <f>$C131*S130</f>
        <v/>
      </c>
      <c r="T131">
        <f>$C131*T130</f>
        <v/>
      </c>
      <c r="U131">
        <f>$C131*U130</f>
        <v/>
      </c>
      <c r="V131">
        <f>$C131*V130</f>
        <v/>
      </c>
      <c r="W131">
        <f>$C131*W130</f>
        <v/>
      </c>
      <c r="X131">
        <f>$C131*X130</f>
        <v/>
      </c>
      <c r="Y131">
        <f>$C131*Y130</f>
        <v/>
      </c>
      <c r="Z131">
        <f>$C131*Z130</f>
        <v/>
      </c>
      <c r="AA131">
        <f>$C131*AA130</f>
        <v/>
      </c>
      <c r="AB131">
        <f>$C131*AB130</f>
        <v/>
      </c>
      <c r="AC131">
        <f>$C131*AC130</f>
        <v/>
      </c>
      <c r="AD131">
        <f>$C131*AD130</f>
        <v/>
      </c>
      <c r="AE131">
        <f>$C131*AE130</f>
        <v/>
      </c>
      <c r="AF131">
        <f>$C131*AF130</f>
        <v/>
      </c>
      <c r="AG131">
        <f>$C131*AG130</f>
        <v/>
      </c>
      <c r="AH131">
        <f>$C131*AH130</f>
        <v/>
      </c>
      <c r="AI131">
        <f>$C131*AI130</f>
        <v/>
      </c>
      <c r="AJ131">
        <f>$C131*AJ130</f>
        <v/>
      </c>
      <c r="AK131">
        <f>$C131*AK130</f>
        <v/>
      </c>
      <c r="AL131">
        <f>$C131*AL130</f>
        <v/>
      </c>
      <c r="AM131">
        <f>$C131*AM130</f>
        <v/>
      </c>
      <c r="AN131">
        <f>$C131*AN130</f>
        <v/>
      </c>
      <c r="AO131">
        <f>$C131*AO130</f>
        <v/>
      </c>
      <c r="AP131">
        <f>$C131*AP130</f>
        <v/>
      </c>
      <c r="AQ131">
        <f>$C131*AQ130</f>
        <v/>
      </c>
      <c r="AR131">
        <f>$C131*AR130</f>
        <v/>
      </c>
      <c r="AS131">
        <f>$C131*AS130</f>
        <v/>
      </c>
      <c r="AT131">
        <f>$C131*AT130</f>
        <v/>
      </c>
      <c r="AU131">
        <f>$C131*AU130</f>
        <v/>
      </c>
      <c r="AV131">
        <f>$C131*AV130</f>
        <v/>
      </c>
      <c r="AW131">
        <f>$C131*AW130</f>
        <v/>
      </c>
      <c r="AX131">
        <f>$C131*AX130</f>
        <v/>
      </c>
      <c r="AY131">
        <f>$C131*AY130</f>
        <v/>
      </c>
      <c r="AZ131">
        <f>$C131*AZ130</f>
        <v/>
      </c>
      <c r="BA131">
        <f>$C131*BA130</f>
        <v/>
      </c>
      <c r="BB131">
        <f>$C131*BB130</f>
        <v/>
      </c>
      <c r="BC131">
        <f>$C131*BC130</f>
        <v/>
      </c>
      <c r="BD131">
        <f>$C131*BD130</f>
        <v/>
      </c>
      <c r="BE131">
        <f>$C131*BE130</f>
        <v/>
      </c>
      <c r="BF131">
        <f>$C131*BF130</f>
        <v/>
      </c>
      <c r="BG131">
        <f>$C131*BG130</f>
        <v/>
      </c>
      <c r="BH131">
        <f>$C131*BH130</f>
        <v/>
      </c>
      <c r="BI131">
        <f>$C131*BI130</f>
        <v/>
      </c>
      <c r="BJ131">
        <f>$C131*BJ130</f>
        <v/>
      </c>
      <c r="BK131">
        <f>$C131*BK130</f>
        <v/>
      </c>
      <c r="BL131">
        <f>$C131*BL130</f>
        <v/>
      </c>
      <c r="BM131">
        <f>$C131*BM130</f>
        <v/>
      </c>
      <c r="BN131">
        <f>$C131*BN130</f>
        <v/>
      </c>
      <c r="BO131">
        <f>$C131*BO130</f>
        <v/>
      </c>
      <c r="BP131">
        <f>$C131*BP130</f>
        <v/>
      </c>
      <c r="BQ131">
        <f>$C131*BQ130</f>
        <v/>
      </c>
      <c r="BR131">
        <f>$C131*BR130</f>
        <v/>
      </c>
      <c r="BS131">
        <f>$C131*BS130</f>
        <v/>
      </c>
      <c r="BT131">
        <f>$C131*BT130</f>
        <v/>
      </c>
      <c r="BU131">
        <f>$C131*BU130</f>
        <v/>
      </c>
      <c r="BV131">
        <f>$C131*BV130</f>
        <v/>
      </c>
      <c r="BW131">
        <f>$C131*BW130</f>
        <v/>
      </c>
      <c r="BX131">
        <f>$C131*BX130</f>
        <v/>
      </c>
      <c r="BY131">
        <f>$C131*BY130</f>
        <v/>
      </c>
      <c r="BZ131">
        <f>$C131*BZ130</f>
        <v/>
      </c>
      <c r="CA131">
        <f>$C131*CA130</f>
        <v/>
      </c>
      <c r="CB131">
        <f>$C131*CB130</f>
        <v/>
      </c>
      <c r="CC131">
        <f>$C131*CC130</f>
        <v/>
      </c>
      <c r="CD131">
        <f>$C131*CD130</f>
        <v/>
      </c>
      <c r="CE131">
        <f>$C131*CE130</f>
        <v/>
      </c>
      <c r="CF131">
        <f>$C131*CF130</f>
        <v/>
      </c>
      <c r="CG131">
        <f>$C131*CG130</f>
        <v/>
      </c>
      <c r="CH131">
        <f>$C131*CH130</f>
        <v/>
      </c>
      <c r="CI131">
        <f>$C131*CI130</f>
        <v/>
      </c>
      <c r="CJ131">
        <f>$C131*CJ130</f>
        <v/>
      </c>
      <c r="CK131">
        <f>$C131*CK130</f>
        <v/>
      </c>
      <c r="CL131">
        <f>$C131*CL130</f>
        <v/>
      </c>
      <c r="CM131">
        <f>$C131*CM130</f>
        <v/>
      </c>
      <c r="CN131">
        <f>$C131*CN130</f>
        <v/>
      </c>
      <c r="CO131">
        <f>$C131*CO130</f>
        <v/>
      </c>
      <c r="CP131">
        <f>$C131*CP130</f>
        <v/>
      </c>
      <c r="CQ131">
        <f>$C131*CQ130</f>
        <v/>
      </c>
      <c r="CR131">
        <f>$C131*CR130</f>
        <v/>
      </c>
      <c r="CS131">
        <f>$C131*CS130</f>
        <v/>
      </c>
      <c r="CT131">
        <f>$C131*CT130</f>
        <v/>
      </c>
      <c r="CU131">
        <f>$C131*CU130</f>
        <v/>
      </c>
      <c r="CV131">
        <f>$C131*CV130</f>
        <v/>
      </c>
      <c r="CW131">
        <f>$C131*CW130</f>
        <v/>
      </c>
      <c r="CX131">
        <f>$C131*CX130</f>
        <v/>
      </c>
      <c r="CY131">
        <f>$C131*CY130</f>
        <v/>
      </c>
      <c r="CZ131">
        <f>$C131*CZ130</f>
        <v/>
      </c>
      <c r="DA131">
        <f>$C131*DA130</f>
        <v/>
      </c>
      <c r="DB131">
        <f>$C131*DB130</f>
        <v/>
      </c>
      <c r="DC131">
        <f>$C131*DC130</f>
        <v/>
      </c>
    </row>
    <row r="132">
      <c r="B132" t="inlineStr">
        <is>
          <t>TSP-928</t>
        </is>
      </c>
      <c r="C132" t="inlineStr">
        <is>
          <t>No. of batches</t>
        </is>
      </c>
      <c r="D132">
        <f>IFERROR(INDEX(PP_Grid[#Data],$DD132,2),0)</f>
        <v/>
      </c>
      <c r="E132">
        <f>IFERROR(INDEX(PP_Grid[#Data],$DD132,3),0)</f>
        <v/>
      </c>
      <c r="F132">
        <f>IFERROR(INDEX(PP_Grid[#Data],$DD132,4),0)</f>
        <v/>
      </c>
      <c r="G132">
        <f>IFERROR(INDEX(PP_Grid[#Data],$DD132,5),0)</f>
        <v/>
      </c>
      <c r="H132">
        <f>IFERROR(INDEX(PP_Grid[#Data],$DD132,6),0)</f>
        <v/>
      </c>
      <c r="I132">
        <f>IFERROR(INDEX(PP_Grid[#Data],$DD132,7),0)</f>
        <v/>
      </c>
      <c r="J132">
        <f>IFERROR(INDEX(PP_Grid[#Data],$DD132,8),0)</f>
        <v/>
      </c>
      <c r="K132">
        <f>IFERROR(INDEX(PP_Grid[#Data],$DD132,9),0)</f>
        <v/>
      </c>
      <c r="L132">
        <f>IFERROR(INDEX(PP_Grid[#Data],$DD132,10),0)</f>
        <v/>
      </c>
      <c r="M132">
        <f>IFERROR(INDEX(PP_Grid[#Data],$DD132,11),0)</f>
        <v/>
      </c>
      <c r="N132">
        <f>IFERROR(INDEX(PP_Grid[#Data],$DD132,12),0)</f>
        <v/>
      </c>
      <c r="O132">
        <f>IFERROR(INDEX(PP_Grid[#Data],$DD132,13),0)</f>
        <v/>
      </c>
      <c r="P132">
        <f>IFERROR(INDEX(PP_Grid[#Data],$DD132,14),0)</f>
        <v/>
      </c>
      <c r="Q132">
        <f>IFERROR(INDEX(PP_Grid[#Data],$DD132,15),0)</f>
        <v/>
      </c>
      <c r="R132">
        <f>IFERROR(INDEX(PP_Grid[#Data],$DD132,16),0)</f>
        <v/>
      </c>
      <c r="S132">
        <f>IFERROR(INDEX(PP_Grid[#Data],$DD132,17),0)</f>
        <v/>
      </c>
      <c r="T132">
        <f>IFERROR(INDEX(PP_Grid[#Data],$DD132,18),0)</f>
        <v/>
      </c>
      <c r="U132">
        <f>IFERROR(INDEX(PP_Grid[#Data],$DD132,19),0)</f>
        <v/>
      </c>
      <c r="V132">
        <f>IFERROR(INDEX(PP_Grid[#Data],$DD132,20),0)</f>
        <v/>
      </c>
      <c r="W132">
        <f>IFERROR(INDEX(PP_Grid[#Data],$DD132,21),0)</f>
        <v/>
      </c>
      <c r="X132">
        <f>IFERROR(INDEX(PP_Grid[#Data],$DD132,22),0)</f>
        <v/>
      </c>
      <c r="Y132">
        <f>IFERROR(INDEX(PP_Grid[#Data],$DD132,23),0)</f>
        <v/>
      </c>
      <c r="Z132">
        <f>IFERROR(INDEX(PP_Grid[#Data],$DD132,24),0)</f>
        <v/>
      </c>
      <c r="AA132">
        <f>IFERROR(INDEX(PP_Grid[#Data],$DD132,25),0)</f>
        <v/>
      </c>
      <c r="AB132">
        <f>IFERROR(INDEX(PP_Grid[#Data],$DD132,26),0)</f>
        <v/>
      </c>
      <c r="AC132">
        <f>IFERROR(INDEX(PP_Grid[#Data],$DD132,27),0)</f>
        <v/>
      </c>
      <c r="AD132">
        <f>IFERROR(INDEX(PP_Grid[#Data],$DD132,28),0)</f>
        <v/>
      </c>
      <c r="AE132">
        <f>IFERROR(INDEX(PP_Grid[#Data],$DD132,29),0)</f>
        <v/>
      </c>
      <c r="AF132">
        <f>IFERROR(INDEX(PP_Grid[#Data],$DD132,30),0)</f>
        <v/>
      </c>
      <c r="AG132">
        <f>IFERROR(INDEX(PP_Grid[#Data],$DD132,31),0)</f>
        <v/>
      </c>
      <c r="AH132">
        <f>IFERROR(INDEX(PP_Grid[#Data],$DD132,32),0)</f>
        <v/>
      </c>
      <c r="AI132">
        <f>IFERROR(INDEX(PP_Grid[#Data],$DD132,33),0)</f>
        <v/>
      </c>
      <c r="AJ132">
        <f>IFERROR(INDEX(PP_Grid[#Data],$DD132,34),0)</f>
        <v/>
      </c>
      <c r="AK132">
        <f>IFERROR(INDEX(PP_Grid[#Data],$DD132,35),0)</f>
        <v/>
      </c>
      <c r="AL132">
        <f>IFERROR(INDEX(PP_Grid[#Data],$DD132,36),0)</f>
        <v/>
      </c>
      <c r="AM132">
        <f>IFERROR(INDEX(PP_Grid[#Data],$DD132,37),0)</f>
        <v/>
      </c>
      <c r="AN132">
        <f>IFERROR(INDEX(PP_Grid[#Data],$DD132,38),0)</f>
        <v/>
      </c>
      <c r="AO132">
        <f>IFERROR(INDEX(PP_Grid[#Data],$DD132,39),0)</f>
        <v/>
      </c>
      <c r="AP132">
        <f>IFERROR(INDEX(PP_Grid[#Data],$DD132,40),0)</f>
        <v/>
      </c>
      <c r="AQ132">
        <f>IFERROR(INDEX(PP_Grid[#Data],$DD132,41),0)</f>
        <v/>
      </c>
      <c r="AR132">
        <f>IFERROR(INDEX(PP_Grid[#Data],$DD132,42),0)</f>
        <v/>
      </c>
      <c r="AS132">
        <f>IFERROR(INDEX(PP_Grid[#Data],$DD132,43),0)</f>
        <v/>
      </c>
      <c r="AT132">
        <f>IFERROR(INDEX(PP_Grid[#Data],$DD132,44),0)</f>
        <v/>
      </c>
      <c r="AU132">
        <f>IFERROR(INDEX(PP_Grid[#Data],$DD132,45),0)</f>
        <v/>
      </c>
      <c r="AV132">
        <f>IFERROR(INDEX(PP_Grid[#Data],$DD132,46),0)</f>
        <v/>
      </c>
      <c r="AW132">
        <f>IFERROR(INDEX(PP_Grid[#Data],$DD132,47),0)</f>
        <v/>
      </c>
      <c r="AX132">
        <f>IFERROR(INDEX(PP_Grid[#Data],$DD132,48),0)</f>
        <v/>
      </c>
      <c r="AY132">
        <f>IFERROR(INDEX(PP_Grid[#Data],$DD132,49),0)</f>
        <v/>
      </c>
      <c r="AZ132">
        <f>IFERROR(INDEX(PP_Grid[#Data],$DD132,50),0)</f>
        <v/>
      </c>
      <c r="BA132">
        <f>IFERROR(INDEX(PP_Grid[#Data],$DD132,51),0)</f>
        <v/>
      </c>
      <c r="BB132">
        <f>IFERROR(INDEX(PP_Grid[#Data],$DD132,52),0)</f>
        <v/>
      </c>
      <c r="BC132">
        <f>IFERROR(INDEX(PP_Grid[#Data],$DD132,53),0)</f>
        <v/>
      </c>
      <c r="BD132">
        <f>IFERROR(INDEX(PP_Grid[#Data],$DD132,54),0)</f>
        <v/>
      </c>
      <c r="BE132">
        <f>IFERROR(INDEX(PP_Grid[#Data],$DD132,55),0)</f>
        <v/>
      </c>
      <c r="BF132">
        <f>IFERROR(INDEX(PP_Grid[#Data],$DD132,56),0)</f>
        <v/>
      </c>
      <c r="BG132">
        <f>IFERROR(INDEX(PP_Grid[#Data],$DD132,57),0)</f>
        <v/>
      </c>
      <c r="BH132">
        <f>IFERROR(INDEX(PP_Grid[#Data],$DD132,58),0)</f>
        <v/>
      </c>
      <c r="BI132">
        <f>IFERROR(INDEX(PP_Grid[#Data],$DD132,59),0)</f>
        <v/>
      </c>
      <c r="BJ132">
        <f>IFERROR(INDEX(PP_Grid[#Data],$DD132,60),0)</f>
        <v/>
      </c>
      <c r="BK132">
        <f>IFERROR(INDEX(PP_Grid[#Data],$DD132,61),0)</f>
        <v/>
      </c>
      <c r="BL132">
        <f>IFERROR(INDEX(PP_Grid[#Data],$DD132,62),0)</f>
        <v/>
      </c>
      <c r="BM132">
        <f>IFERROR(INDEX(PP_Grid[#Data],$DD132,63),0)</f>
        <v/>
      </c>
      <c r="BN132">
        <f>IFERROR(INDEX(PP_Grid[#Data],$DD132,64),0)</f>
        <v/>
      </c>
      <c r="BO132">
        <f>IFERROR(INDEX(PP_Grid[#Data],$DD132,65),0)</f>
        <v/>
      </c>
      <c r="BP132">
        <f>IFERROR(INDEX(PP_Grid[#Data],$DD132,66),0)</f>
        <v/>
      </c>
      <c r="BQ132">
        <f>IFERROR(INDEX(PP_Grid[#Data],$DD132,67),0)</f>
        <v/>
      </c>
      <c r="BR132">
        <f>IFERROR(INDEX(PP_Grid[#Data],$DD132,68),0)</f>
        <v/>
      </c>
      <c r="BS132">
        <f>IFERROR(INDEX(PP_Grid[#Data],$DD132,69),0)</f>
        <v/>
      </c>
      <c r="BT132">
        <f>IFERROR(INDEX(PP_Grid[#Data],$DD132,70),0)</f>
        <v/>
      </c>
      <c r="BU132">
        <f>IFERROR(INDEX(PP_Grid[#Data],$DD132,71),0)</f>
        <v/>
      </c>
      <c r="BV132">
        <f>IFERROR(INDEX(PP_Grid[#Data],$DD132,72),0)</f>
        <v/>
      </c>
      <c r="BW132">
        <f>IFERROR(INDEX(PP_Grid[#Data],$DD132,73),0)</f>
        <v/>
      </c>
      <c r="BX132">
        <f>IFERROR(INDEX(PP_Grid[#Data],$DD132,74),0)</f>
        <v/>
      </c>
      <c r="BY132">
        <f>IFERROR(INDEX(PP_Grid[#Data],$DD132,75),0)</f>
        <v/>
      </c>
      <c r="BZ132">
        <f>IFERROR(INDEX(PP_Grid[#Data],$DD132,76),0)</f>
        <v/>
      </c>
      <c r="CA132">
        <f>IFERROR(INDEX(PP_Grid[#Data],$DD132,77),0)</f>
        <v/>
      </c>
      <c r="CB132">
        <f>IFERROR(INDEX(PP_Grid[#Data],$DD132,78),0)</f>
        <v/>
      </c>
      <c r="CC132">
        <f>IFERROR(INDEX(PP_Grid[#Data],$DD132,79),0)</f>
        <v/>
      </c>
      <c r="CD132">
        <f>IFERROR(INDEX(PP_Grid[#Data],$DD132,80),0)</f>
        <v/>
      </c>
      <c r="CE132">
        <f>IFERROR(INDEX(PP_Grid[#Data],$DD132,81),0)</f>
        <v/>
      </c>
      <c r="CF132">
        <f>IFERROR(INDEX(PP_Grid[#Data],$DD132,82),0)</f>
        <v/>
      </c>
      <c r="CG132">
        <f>IFERROR(INDEX(PP_Grid[#Data],$DD132,83),0)</f>
        <v/>
      </c>
      <c r="CH132">
        <f>IFERROR(INDEX(PP_Grid[#Data],$DD132,84),0)</f>
        <v/>
      </c>
      <c r="CI132">
        <f>IFERROR(INDEX(PP_Grid[#Data],$DD132,85),0)</f>
        <v/>
      </c>
      <c r="CJ132">
        <f>IFERROR(INDEX(PP_Grid[#Data],$DD132,86),0)</f>
        <v/>
      </c>
      <c r="CK132">
        <f>IFERROR(INDEX(PP_Grid[#Data],$DD132,87),0)</f>
        <v/>
      </c>
      <c r="CL132">
        <f>IFERROR(INDEX(PP_Grid[#Data],$DD132,88),0)</f>
        <v/>
      </c>
      <c r="CM132">
        <f>IFERROR(INDEX(PP_Grid[#Data],$DD132,89),0)</f>
        <v/>
      </c>
      <c r="CN132">
        <f>IFERROR(INDEX(PP_Grid[#Data],$DD132,90),0)</f>
        <v/>
      </c>
      <c r="CO132">
        <f>IFERROR(INDEX(PP_Grid[#Data],$DD132,91),0)</f>
        <v/>
      </c>
      <c r="CP132">
        <f>IFERROR(INDEX(PP_Grid[#Data],$DD132,92),0)</f>
        <v/>
      </c>
      <c r="CQ132">
        <f>IFERROR(INDEX(PP_Grid[#Data],$DD132,93),0)</f>
        <v/>
      </c>
      <c r="CR132">
        <f>IFERROR(INDEX(PP_Grid[#Data],$DD132,94),0)</f>
        <v/>
      </c>
      <c r="CS132">
        <f>IFERROR(INDEX(PP_Grid[#Data],$DD132,95),0)</f>
        <v/>
      </c>
      <c r="CT132">
        <f>IFERROR(INDEX(PP_Grid[#Data],$DD132,96),0)</f>
        <v/>
      </c>
      <c r="CU132">
        <f>IFERROR(INDEX(PP_Grid[#Data],$DD132,97),0)</f>
        <v/>
      </c>
      <c r="CV132">
        <f>IFERROR(INDEX(PP_Grid[#Data],$DD132,98),0)</f>
        <v/>
      </c>
      <c r="CW132">
        <f>IFERROR(INDEX(PP_Grid[#Data],$DD132,99),0)</f>
        <v/>
      </c>
      <c r="CX132">
        <f>IFERROR(INDEX(PP_Grid[#Data],$DD132,100),0)</f>
        <v/>
      </c>
      <c r="CY132">
        <f>IFERROR(INDEX(PP_Grid[#Data],$DD132,101),0)</f>
        <v/>
      </c>
      <c r="CZ132">
        <f>IFERROR(INDEX(PP_Grid[#Data],$DD132,102),0)</f>
        <v/>
      </c>
      <c r="DA132">
        <f>IFERROR(INDEX(PP_Grid[#Data],$DD132,103),0)</f>
        <v/>
      </c>
      <c r="DB132">
        <f>IFERROR(INDEX(PP_Grid[#Data],$DD132,104),0)</f>
        <v/>
      </c>
      <c r="DC132">
        <f>IFERROR(INDEX(PP_Grid[#Data],$DD132,105),0)</f>
        <v/>
      </c>
      <c r="DD132" s="7">
        <f>IFERROR(MATCH($B132,PP_Grid[Intermediate],0),99999)</f>
        <v/>
      </c>
    </row>
    <row r="133">
      <c r="B133" t="inlineStr">
        <is>
          <t>使用量(kg)</t>
        </is>
      </c>
      <c r="C133">
        <f>SUMIFS(M_BOM[RM_Qty_Per_Batch],M_BOM[Intermediate],$B132,M_BOM[Part Name],$A45)</f>
        <v/>
      </c>
      <c r="D133">
        <f>$C133*D132</f>
        <v/>
      </c>
      <c r="E133">
        <f>$C133*E132</f>
        <v/>
      </c>
      <c r="F133">
        <f>$C133*F132</f>
        <v/>
      </c>
      <c r="G133">
        <f>$C133*G132</f>
        <v/>
      </c>
      <c r="H133">
        <f>$C133*H132</f>
        <v/>
      </c>
      <c r="I133">
        <f>$C133*I132</f>
        <v/>
      </c>
      <c r="J133">
        <f>$C133*J132</f>
        <v/>
      </c>
      <c r="K133">
        <f>$C133*K132</f>
        <v/>
      </c>
      <c r="L133">
        <f>$C133*L132</f>
        <v/>
      </c>
      <c r="M133">
        <f>$C133*M132</f>
        <v/>
      </c>
      <c r="N133">
        <f>$C133*N132</f>
        <v/>
      </c>
      <c r="O133">
        <f>$C133*O132</f>
        <v/>
      </c>
      <c r="P133">
        <f>$C133*P132</f>
        <v/>
      </c>
      <c r="Q133">
        <f>$C133*Q132</f>
        <v/>
      </c>
      <c r="R133">
        <f>$C133*R132</f>
        <v/>
      </c>
      <c r="S133">
        <f>$C133*S132</f>
        <v/>
      </c>
      <c r="T133">
        <f>$C133*T132</f>
        <v/>
      </c>
      <c r="U133">
        <f>$C133*U132</f>
        <v/>
      </c>
      <c r="V133">
        <f>$C133*V132</f>
        <v/>
      </c>
      <c r="W133">
        <f>$C133*W132</f>
        <v/>
      </c>
      <c r="X133">
        <f>$C133*X132</f>
        <v/>
      </c>
      <c r="Y133">
        <f>$C133*Y132</f>
        <v/>
      </c>
      <c r="Z133">
        <f>$C133*Z132</f>
        <v/>
      </c>
      <c r="AA133">
        <f>$C133*AA132</f>
        <v/>
      </c>
      <c r="AB133">
        <f>$C133*AB132</f>
        <v/>
      </c>
      <c r="AC133">
        <f>$C133*AC132</f>
        <v/>
      </c>
      <c r="AD133">
        <f>$C133*AD132</f>
        <v/>
      </c>
      <c r="AE133">
        <f>$C133*AE132</f>
        <v/>
      </c>
      <c r="AF133">
        <f>$C133*AF132</f>
        <v/>
      </c>
      <c r="AG133">
        <f>$C133*AG132</f>
        <v/>
      </c>
      <c r="AH133">
        <f>$C133*AH132</f>
        <v/>
      </c>
      <c r="AI133">
        <f>$C133*AI132</f>
        <v/>
      </c>
      <c r="AJ133">
        <f>$C133*AJ132</f>
        <v/>
      </c>
      <c r="AK133">
        <f>$C133*AK132</f>
        <v/>
      </c>
      <c r="AL133">
        <f>$C133*AL132</f>
        <v/>
      </c>
      <c r="AM133">
        <f>$C133*AM132</f>
        <v/>
      </c>
      <c r="AN133">
        <f>$C133*AN132</f>
        <v/>
      </c>
      <c r="AO133">
        <f>$C133*AO132</f>
        <v/>
      </c>
      <c r="AP133">
        <f>$C133*AP132</f>
        <v/>
      </c>
      <c r="AQ133">
        <f>$C133*AQ132</f>
        <v/>
      </c>
      <c r="AR133">
        <f>$C133*AR132</f>
        <v/>
      </c>
      <c r="AS133">
        <f>$C133*AS132</f>
        <v/>
      </c>
      <c r="AT133">
        <f>$C133*AT132</f>
        <v/>
      </c>
      <c r="AU133">
        <f>$C133*AU132</f>
        <v/>
      </c>
      <c r="AV133">
        <f>$C133*AV132</f>
        <v/>
      </c>
      <c r="AW133">
        <f>$C133*AW132</f>
        <v/>
      </c>
      <c r="AX133">
        <f>$C133*AX132</f>
        <v/>
      </c>
      <c r="AY133">
        <f>$C133*AY132</f>
        <v/>
      </c>
      <c r="AZ133">
        <f>$C133*AZ132</f>
        <v/>
      </c>
      <c r="BA133">
        <f>$C133*BA132</f>
        <v/>
      </c>
      <c r="BB133">
        <f>$C133*BB132</f>
        <v/>
      </c>
      <c r="BC133">
        <f>$C133*BC132</f>
        <v/>
      </c>
      <c r="BD133">
        <f>$C133*BD132</f>
        <v/>
      </c>
      <c r="BE133">
        <f>$C133*BE132</f>
        <v/>
      </c>
      <c r="BF133">
        <f>$C133*BF132</f>
        <v/>
      </c>
      <c r="BG133">
        <f>$C133*BG132</f>
        <v/>
      </c>
      <c r="BH133">
        <f>$C133*BH132</f>
        <v/>
      </c>
      <c r="BI133">
        <f>$C133*BI132</f>
        <v/>
      </c>
      <c r="BJ133">
        <f>$C133*BJ132</f>
        <v/>
      </c>
      <c r="BK133">
        <f>$C133*BK132</f>
        <v/>
      </c>
      <c r="BL133">
        <f>$C133*BL132</f>
        <v/>
      </c>
      <c r="BM133">
        <f>$C133*BM132</f>
        <v/>
      </c>
      <c r="BN133">
        <f>$C133*BN132</f>
        <v/>
      </c>
      <c r="BO133">
        <f>$C133*BO132</f>
        <v/>
      </c>
      <c r="BP133">
        <f>$C133*BP132</f>
        <v/>
      </c>
      <c r="BQ133">
        <f>$C133*BQ132</f>
        <v/>
      </c>
      <c r="BR133">
        <f>$C133*BR132</f>
        <v/>
      </c>
      <c r="BS133">
        <f>$C133*BS132</f>
        <v/>
      </c>
      <c r="BT133">
        <f>$C133*BT132</f>
        <v/>
      </c>
      <c r="BU133">
        <f>$C133*BU132</f>
        <v/>
      </c>
      <c r="BV133">
        <f>$C133*BV132</f>
        <v/>
      </c>
      <c r="BW133">
        <f>$C133*BW132</f>
        <v/>
      </c>
      <c r="BX133">
        <f>$C133*BX132</f>
        <v/>
      </c>
      <c r="BY133">
        <f>$C133*BY132</f>
        <v/>
      </c>
      <c r="BZ133">
        <f>$C133*BZ132</f>
        <v/>
      </c>
      <c r="CA133">
        <f>$C133*CA132</f>
        <v/>
      </c>
      <c r="CB133">
        <f>$C133*CB132</f>
        <v/>
      </c>
      <c r="CC133">
        <f>$C133*CC132</f>
        <v/>
      </c>
      <c r="CD133">
        <f>$C133*CD132</f>
        <v/>
      </c>
      <c r="CE133">
        <f>$C133*CE132</f>
        <v/>
      </c>
      <c r="CF133">
        <f>$C133*CF132</f>
        <v/>
      </c>
      <c r="CG133">
        <f>$C133*CG132</f>
        <v/>
      </c>
      <c r="CH133">
        <f>$C133*CH132</f>
        <v/>
      </c>
      <c r="CI133">
        <f>$C133*CI132</f>
        <v/>
      </c>
      <c r="CJ133">
        <f>$C133*CJ132</f>
        <v/>
      </c>
      <c r="CK133">
        <f>$C133*CK132</f>
        <v/>
      </c>
      <c r="CL133">
        <f>$C133*CL132</f>
        <v/>
      </c>
      <c r="CM133">
        <f>$C133*CM132</f>
        <v/>
      </c>
      <c r="CN133">
        <f>$C133*CN132</f>
        <v/>
      </c>
      <c r="CO133">
        <f>$C133*CO132</f>
        <v/>
      </c>
      <c r="CP133">
        <f>$C133*CP132</f>
        <v/>
      </c>
      <c r="CQ133">
        <f>$C133*CQ132</f>
        <v/>
      </c>
      <c r="CR133">
        <f>$C133*CR132</f>
        <v/>
      </c>
      <c r="CS133">
        <f>$C133*CS132</f>
        <v/>
      </c>
      <c r="CT133">
        <f>$C133*CT132</f>
        <v/>
      </c>
      <c r="CU133">
        <f>$C133*CU132</f>
        <v/>
      </c>
      <c r="CV133">
        <f>$C133*CV132</f>
        <v/>
      </c>
      <c r="CW133">
        <f>$C133*CW132</f>
        <v/>
      </c>
      <c r="CX133">
        <f>$C133*CX132</f>
        <v/>
      </c>
      <c r="CY133">
        <f>$C133*CY132</f>
        <v/>
      </c>
      <c r="CZ133">
        <f>$C133*CZ132</f>
        <v/>
      </c>
      <c r="DA133">
        <f>$C133*DA132</f>
        <v/>
      </c>
      <c r="DB133">
        <f>$C133*DB132</f>
        <v/>
      </c>
      <c r="DC133">
        <f>$C133*DC132</f>
        <v/>
      </c>
    </row>
    <row r="134">
      <c r="B134" t="inlineStr">
        <is>
          <t>TSP-929</t>
        </is>
      </c>
      <c r="C134" t="inlineStr">
        <is>
          <t>No. of batches</t>
        </is>
      </c>
      <c r="D134">
        <f>IFERROR(INDEX(PP_Grid[#Data],$DD134,2),0)</f>
        <v/>
      </c>
      <c r="E134">
        <f>IFERROR(INDEX(PP_Grid[#Data],$DD134,3),0)</f>
        <v/>
      </c>
      <c r="F134">
        <f>IFERROR(INDEX(PP_Grid[#Data],$DD134,4),0)</f>
        <v/>
      </c>
      <c r="G134">
        <f>IFERROR(INDEX(PP_Grid[#Data],$DD134,5),0)</f>
        <v/>
      </c>
      <c r="H134">
        <f>IFERROR(INDEX(PP_Grid[#Data],$DD134,6),0)</f>
        <v/>
      </c>
      <c r="I134">
        <f>IFERROR(INDEX(PP_Grid[#Data],$DD134,7),0)</f>
        <v/>
      </c>
      <c r="J134">
        <f>IFERROR(INDEX(PP_Grid[#Data],$DD134,8),0)</f>
        <v/>
      </c>
      <c r="K134">
        <f>IFERROR(INDEX(PP_Grid[#Data],$DD134,9),0)</f>
        <v/>
      </c>
      <c r="L134">
        <f>IFERROR(INDEX(PP_Grid[#Data],$DD134,10),0)</f>
        <v/>
      </c>
      <c r="M134">
        <f>IFERROR(INDEX(PP_Grid[#Data],$DD134,11),0)</f>
        <v/>
      </c>
      <c r="N134">
        <f>IFERROR(INDEX(PP_Grid[#Data],$DD134,12),0)</f>
        <v/>
      </c>
      <c r="O134">
        <f>IFERROR(INDEX(PP_Grid[#Data],$DD134,13),0)</f>
        <v/>
      </c>
      <c r="P134">
        <f>IFERROR(INDEX(PP_Grid[#Data],$DD134,14),0)</f>
        <v/>
      </c>
      <c r="Q134">
        <f>IFERROR(INDEX(PP_Grid[#Data],$DD134,15),0)</f>
        <v/>
      </c>
      <c r="R134">
        <f>IFERROR(INDEX(PP_Grid[#Data],$DD134,16),0)</f>
        <v/>
      </c>
      <c r="S134">
        <f>IFERROR(INDEX(PP_Grid[#Data],$DD134,17),0)</f>
        <v/>
      </c>
      <c r="T134">
        <f>IFERROR(INDEX(PP_Grid[#Data],$DD134,18),0)</f>
        <v/>
      </c>
      <c r="U134">
        <f>IFERROR(INDEX(PP_Grid[#Data],$DD134,19),0)</f>
        <v/>
      </c>
      <c r="V134">
        <f>IFERROR(INDEX(PP_Grid[#Data],$DD134,20),0)</f>
        <v/>
      </c>
      <c r="W134">
        <f>IFERROR(INDEX(PP_Grid[#Data],$DD134,21),0)</f>
        <v/>
      </c>
      <c r="X134">
        <f>IFERROR(INDEX(PP_Grid[#Data],$DD134,22),0)</f>
        <v/>
      </c>
      <c r="Y134">
        <f>IFERROR(INDEX(PP_Grid[#Data],$DD134,23),0)</f>
        <v/>
      </c>
      <c r="Z134">
        <f>IFERROR(INDEX(PP_Grid[#Data],$DD134,24),0)</f>
        <v/>
      </c>
      <c r="AA134">
        <f>IFERROR(INDEX(PP_Grid[#Data],$DD134,25),0)</f>
        <v/>
      </c>
      <c r="AB134">
        <f>IFERROR(INDEX(PP_Grid[#Data],$DD134,26),0)</f>
        <v/>
      </c>
      <c r="AC134">
        <f>IFERROR(INDEX(PP_Grid[#Data],$DD134,27),0)</f>
        <v/>
      </c>
      <c r="AD134">
        <f>IFERROR(INDEX(PP_Grid[#Data],$DD134,28),0)</f>
        <v/>
      </c>
      <c r="AE134">
        <f>IFERROR(INDEX(PP_Grid[#Data],$DD134,29),0)</f>
        <v/>
      </c>
      <c r="AF134">
        <f>IFERROR(INDEX(PP_Grid[#Data],$DD134,30),0)</f>
        <v/>
      </c>
      <c r="AG134">
        <f>IFERROR(INDEX(PP_Grid[#Data],$DD134,31),0)</f>
        <v/>
      </c>
      <c r="AH134">
        <f>IFERROR(INDEX(PP_Grid[#Data],$DD134,32),0)</f>
        <v/>
      </c>
      <c r="AI134">
        <f>IFERROR(INDEX(PP_Grid[#Data],$DD134,33),0)</f>
        <v/>
      </c>
      <c r="AJ134">
        <f>IFERROR(INDEX(PP_Grid[#Data],$DD134,34),0)</f>
        <v/>
      </c>
      <c r="AK134">
        <f>IFERROR(INDEX(PP_Grid[#Data],$DD134,35),0)</f>
        <v/>
      </c>
      <c r="AL134">
        <f>IFERROR(INDEX(PP_Grid[#Data],$DD134,36),0)</f>
        <v/>
      </c>
      <c r="AM134">
        <f>IFERROR(INDEX(PP_Grid[#Data],$DD134,37),0)</f>
        <v/>
      </c>
      <c r="AN134">
        <f>IFERROR(INDEX(PP_Grid[#Data],$DD134,38),0)</f>
        <v/>
      </c>
      <c r="AO134">
        <f>IFERROR(INDEX(PP_Grid[#Data],$DD134,39),0)</f>
        <v/>
      </c>
      <c r="AP134">
        <f>IFERROR(INDEX(PP_Grid[#Data],$DD134,40),0)</f>
        <v/>
      </c>
      <c r="AQ134">
        <f>IFERROR(INDEX(PP_Grid[#Data],$DD134,41),0)</f>
        <v/>
      </c>
      <c r="AR134">
        <f>IFERROR(INDEX(PP_Grid[#Data],$DD134,42),0)</f>
        <v/>
      </c>
      <c r="AS134">
        <f>IFERROR(INDEX(PP_Grid[#Data],$DD134,43),0)</f>
        <v/>
      </c>
      <c r="AT134">
        <f>IFERROR(INDEX(PP_Grid[#Data],$DD134,44),0)</f>
        <v/>
      </c>
      <c r="AU134">
        <f>IFERROR(INDEX(PP_Grid[#Data],$DD134,45),0)</f>
        <v/>
      </c>
      <c r="AV134">
        <f>IFERROR(INDEX(PP_Grid[#Data],$DD134,46),0)</f>
        <v/>
      </c>
      <c r="AW134">
        <f>IFERROR(INDEX(PP_Grid[#Data],$DD134,47),0)</f>
        <v/>
      </c>
      <c r="AX134">
        <f>IFERROR(INDEX(PP_Grid[#Data],$DD134,48),0)</f>
        <v/>
      </c>
      <c r="AY134">
        <f>IFERROR(INDEX(PP_Grid[#Data],$DD134,49),0)</f>
        <v/>
      </c>
      <c r="AZ134">
        <f>IFERROR(INDEX(PP_Grid[#Data],$DD134,50),0)</f>
        <v/>
      </c>
      <c r="BA134">
        <f>IFERROR(INDEX(PP_Grid[#Data],$DD134,51),0)</f>
        <v/>
      </c>
      <c r="BB134">
        <f>IFERROR(INDEX(PP_Grid[#Data],$DD134,52),0)</f>
        <v/>
      </c>
      <c r="BC134">
        <f>IFERROR(INDEX(PP_Grid[#Data],$DD134,53),0)</f>
        <v/>
      </c>
      <c r="BD134">
        <f>IFERROR(INDEX(PP_Grid[#Data],$DD134,54),0)</f>
        <v/>
      </c>
      <c r="BE134">
        <f>IFERROR(INDEX(PP_Grid[#Data],$DD134,55),0)</f>
        <v/>
      </c>
      <c r="BF134">
        <f>IFERROR(INDEX(PP_Grid[#Data],$DD134,56),0)</f>
        <v/>
      </c>
      <c r="BG134">
        <f>IFERROR(INDEX(PP_Grid[#Data],$DD134,57),0)</f>
        <v/>
      </c>
      <c r="BH134">
        <f>IFERROR(INDEX(PP_Grid[#Data],$DD134,58),0)</f>
        <v/>
      </c>
      <c r="BI134">
        <f>IFERROR(INDEX(PP_Grid[#Data],$DD134,59),0)</f>
        <v/>
      </c>
      <c r="BJ134">
        <f>IFERROR(INDEX(PP_Grid[#Data],$DD134,60),0)</f>
        <v/>
      </c>
      <c r="BK134">
        <f>IFERROR(INDEX(PP_Grid[#Data],$DD134,61),0)</f>
        <v/>
      </c>
      <c r="BL134">
        <f>IFERROR(INDEX(PP_Grid[#Data],$DD134,62),0)</f>
        <v/>
      </c>
      <c r="BM134">
        <f>IFERROR(INDEX(PP_Grid[#Data],$DD134,63),0)</f>
        <v/>
      </c>
      <c r="BN134">
        <f>IFERROR(INDEX(PP_Grid[#Data],$DD134,64),0)</f>
        <v/>
      </c>
      <c r="BO134">
        <f>IFERROR(INDEX(PP_Grid[#Data],$DD134,65),0)</f>
        <v/>
      </c>
      <c r="BP134">
        <f>IFERROR(INDEX(PP_Grid[#Data],$DD134,66),0)</f>
        <v/>
      </c>
      <c r="BQ134">
        <f>IFERROR(INDEX(PP_Grid[#Data],$DD134,67),0)</f>
        <v/>
      </c>
      <c r="BR134">
        <f>IFERROR(INDEX(PP_Grid[#Data],$DD134,68),0)</f>
        <v/>
      </c>
      <c r="BS134">
        <f>IFERROR(INDEX(PP_Grid[#Data],$DD134,69),0)</f>
        <v/>
      </c>
      <c r="BT134">
        <f>IFERROR(INDEX(PP_Grid[#Data],$DD134,70),0)</f>
        <v/>
      </c>
      <c r="BU134">
        <f>IFERROR(INDEX(PP_Grid[#Data],$DD134,71),0)</f>
        <v/>
      </c>
      <c r="BV134">
        <f>IFERROR(INDEX(PP_Grid[#Data],$DD134,72),0)</f>
        <v/>
      </c>
      <c r="BW134">
        <f>IFERROR(INDEX(PP_Grid[#Data],$DD134,73),0)</f>
        <v/>
      </c>
      <c r="BX134">
        <f>IFERROR(INDEX(PP_Grid[#Data],$DD134,74),0)</f>
        <v/>
      </c>
      <c r="BY134">
        <f>IFERROR(INDEX(PP_Grid[#Data],$DD134,75),0)</f>
        <v/>
      </c>
      <c r="BZ134">
        <f>IFERROR(INDEX(PP_Grid[#Data],$DD134,76),0)</f>
        <v/>
      </c>
      <c r="CA134">
        <f>IFERROR(INDEX(PP_Grid[#Data],$DD134,77),0)</f>
        <v/>
      </c>
      <c r="CB134">
        <f>IFERROR(INDEX(PP_Grid[#Data],$DD134,78),0)</f>
        <v/>
      </c>
      <c r="CC134">
        <f>IFERROR(INDEX(PP_Grid[#Data],$DD134,79),0)</f>
        <v/>
      </c>
      <c r="CD134">
        <f>IFERROR(INDEX(PP_Grid[#Data],$DD134,80),0)</f>
        <v/>
      </c>
      <c r="CE134">
        <f>IFERROR(INDEX(PP_Grid[#Data],$DD134,81),0)</f>
        <v/>
      </c>
      <c r="CF134">
        <f>IFERROR(INDEX(PP_Grid[#Data],$DD134,82),0)</f>
        <v/>
      </c>
      <c r="CG134">
        <f>IFERROR(INDEX(PP_Grid[#Data],$DD134,83),0)</f>
        <v/>
      </c>
      <c r="CH134">
        <f>IFERROR(INDEX(PP_Grid[#Data],$DD134,84),0)</f>
        <v/>
      </c>
      <c r="CI134">
        <f>IFERROR(INDEX(PP_Grid[#Data],$DD134,85),0)</f>
        <v/>
      </c>
      <c r="CJ134">
        <f>IFERROR(INDEX(PP_Grid[#Data],$DD134,86),0)</f>
        <v/>
      </c>
      <c r="CK134">
        <f>IFERROR(INDEX(PP_Grid[#Data],$DD134,87),0)</f>
        <v/>
      </c>
      <c r="CL134">
        <f>IFERROR(INDEX(PP_Grid[#Data],$DD134,88),0)</f>
        <v/>
      </c>
      <c r="CM134">
        <f>IFERROR(INDEX(PP_Grid[#Data],$DD134,89),0)</f>
        <v/>
      </c>
      <c r="CN134">
        <f>IFERROR(INDEX(PP_Grid[#Data],$DD134,90),0)</f>
        <v/>
      </c>
      <c r="CO134">
        <f>IFERROR(INDEX(PP_Grid[#Data],$DD134,91),0)</f>
        <v/>
      </c>
      <c r="CP134">
        <f>IFERROR(INDEX(PP_Grid[#Data],$DD134,92),0)</f>
        <v/>
      </c>
      <c r="CQ134">
        <f>IFERROR(INDEX(PP_Grid[#Data],$DD134,93),0)</f>
        <v/>
      </c>
      <c r="CR134">
        <f>IFERROR(INDEX(PP_Grid[#Data],$DD134,94),0)</f>
        <v/>
      </c>
      <c r="CS134">
        <f>IFERROR(INDEX(PP_Grid[#Data],$DD134,95),0)</f>
        <v/>
      </c>
      <c r="CT134">
        <f>IFERROR(INDEX(PP_Grid[#Data],$DD134,96),0)</f>
        <v/>
      </c>
      <c r="CU134">
        <f>IFERROR(INDEX(PP_Grid[#Data],$DD134,97),0)</f>
        <v/>
      </c>
      <c r="CV134">
        <f>IFERROR(INDEX(PP_Grid[#Data],$DD134,98),0)</f>
        <v/>
      </c>
      <c r="CW134">
        <f>IFERROR(INDEX(PP_Grid[#Data],$DD134,99),0)</f>
        <v/>
      </c>
      <c r="CX134">
        <f>IFERROR(INDEX(PP_Grid[#Data],$DD134,100),0)</f>
        <v/>
      </c>
      <c r="CY134">
        <f>IFERROR(INDEX(PP_Grid[#Data],$DD134,101),0)</f>
        <v/>
      </c>
      <c r="CZ134">
        <f>IFERROR(INDEX(PP_Grid[#Data],$DD134,102),0)</f>
        <v/>
      </c>
      <c r="DA134">
        <f>IFERROR(INDEX(PP_Grid[#Data],$DD134,103),0)</f>
        <v/>
      </c>
      <c r="DB134">
        <f>IFERROR(INDEX(PP_Grid[#Data],$DD134,104),0)</f>
        <v/>
      </c>
      <c r="DC134">
        <f>IFERROR(INDEX(PP_Grid[#Data],$DD134,105),0)</f>
        <v/>
      </c>
      <c r="DD134" s="7">
        <f>IFERROR(MATCH($B134,PP_Grid[Intermediate],0),99999)</f>
        <v/>
      </c>
    </row>
    <row r="135">
      <c r="B135" t="inlineStr">
        <is>
          <t>使用量(kg)</t>
        </is>
      </c>
      <c r="C135">
        <f>SUMIFS(M_BOM[RM_Qty_Per_Batch],M_BOM[Intermediate],$B134,M_BOM[Part Name],$A45)</f>
        <v/>
      </c>
      <c r="D135">
        <f>$C135*D134</f>
        <v/>
      </c>
      <c r="E135">
        <f>$C135*E134</f>
        <v/>
      </c>
      <c r="F135">
        <f>$C135*F134</f>
        <v/>
      </c>
      <c r="G135">
        <f>$C135*G134</f>
        <v/>
      </c>
      <c r="H135">
        <f>$C135*H134</f>
        <v/>
      </c>
      <c r="I135">
        <f>$C135*I134</f>
        <v/>
      </c>
      <c r="J135">
        <f>$C135*J134</f>
        <v/>
      </c>
      <c r="K135">
        <f>$C135*K134</f>
        <v/>
      </c>
      <c r="L135">
        <f>$C135*L134</f>
        <v/>
      </c>
      <c r="M135">
        <f>$C135*M134</f>
        <v/>
      </c>
      <c r="N135">
        <f>$C135*N134</f>
        <v/>
      </c>
      <c r="O135">
        <f>$C135*O134</f>
        <v/>
      </c>
      <c r="P135">
        <f>$C135*P134</f>
        <v/>
      </c>
      <c r="Q135">
        <f>$C135*Q134</f>
        <v/>
      </c>
      <c r="R135">
        <f>$C135*R134</f>
        <v/>
      </c>
      <c r="S135">
        <f>$C135*S134</f>
        <v/>
      </c>
      <c r="T135">
        <f>$C135*T134</f>
        <v/>
      </c>
      <c r="U135">
        <f>$C135*U134</f>
        <v/>
      </c>
      <c r="V135">
        <f>$C135*V134</f>
        <v/>
      </c>
      <c r="W135">
        <f>$C135*W134</f>
        <v/>
      </c>
      <c r="X135">
        <f>$C135*X134</f>
        <v/>
      </c>
      <c r="Y135">
        <f>$C135*Y134</f>
        <v/>
      </c>
      <c r="Z135">
        <f>$C135*Z134</f>
        <v/>
      </c>
      <c r="AA135">
        <f>$C135*AA134</f>
        <v/>
      </c>
      <c r="AB135">
        <f>$C135*AB134</f>
        <v/>
      </c>
      <c r="AC135">
        <f>$C135*AC134</f>
        <v/>
      </c>
      <c r="AD135">
        <f>$C135*AD134</f>
        <v/>
      </c>
      <c r="AE135">
        <f>$C135*AE134</f>
        <v/>
      </c>
      <c r="AF135">
        <f>$C135*AF134</f>
        <v/>
      </c>
      <c r="AG135">
        <f>$C135*AG134</f>
        <v/>
      </c>
      <c r="AH135">
        <f>$C135*AH134</f>
        <v/>
      </c>
      <c r="AI135">
        <f>$C135*AI134</f>
        <v/>
      </c>
      <c r="AJ135">
        <f>$C135*AJ134</f>
        <v/>
      </c>
      <c r="AK135">
        <f>$C135*AK134</f>
        <v/>
      </c>
      <c r="AL135">
        <f>$C135*AL134</f>
        <v/>
      </c>
      <c r="AM135">
        <f>$C135*AM134</f>
        <v/>
      </c>
      <c r="AN135">
        <f>$C135*AN134</f>
        <v/>
      </c>
      <c r="AO135">
        <f>$C135*AO134</f>
        <v/>
      </c>
      <c r="AP135">
        <f>$C135*AP134</f>
        <v/>
      </c>
      <c r="AQ135">
        <f>$C135*AQ134</f>
        <v/>
      </c>
      <c r="AR135">
        <f>$C135*AR134</f>
        <v/>
      </c>
      <c r="AS135">
        <f>$C135*AS134</f>
        <v/>
      </c>
      <c r="AT135">
        <f>$C135*AT134</f>
        <v/>
      </c>
      <c r="AU135">
        <f>$C135*AU134</f>
        <v/>
      </c>
      <c r="AV135">
        <f>$C135*AV134</f>
        <v/>
      </c>
      <c r="AW135">
        <f>$C135*AW134</f>
        <v/>
      </c>
      <c r="AX135">
        <f>$C135*AX134</f>
        <v/>
      </c>
      <c r="AY135">
        <f>$C135*AY134</f>
        <v/>
      </c>
      <c r="AZ135">
        <f>$C135*AZ134</f>
        <v/>
      </c>
      <c r="BA135">
        <f>$C135*BA134</f>
        <v/>
      </c>
      <c r="BB135">
        <f>$C135*BB134</f>
        <v/>
      </c>
      <c r="BC135">
        <f>$C135*BC134</f>
        <v/>
      </c>
      <c r="BD135">
        <f>$C135*BD134</f>
        <v/>
      </c>
      <c r="BE135">
        <f>$C135*BE134</f>
        <v/>
      </c>
      <c r="BF135">
        <f>$C135*BF134</f>
        <v/>
      </c>
      <c r="BG135">
        <f>$C135*BG134</f>
        <v/>
      </c>
      <c r="BH135">
        <f>$C135*BH134</f>
        <v/>
      </c>
      <c r="BI135">
        <f>$C135*BI134</f>
        <v/>
      </c>
      <c r="BJ135">
        <f>$C135*BJ134</f>
        <v/>
      </c>
      <c r="BK135">
        <f>$C135*BK134</f>
        <v/>
      </c>
      <c r="BL135">
        <f>$C135*BL134</f>
        <v/>
      </c>
      <c r="BM135">
        <f>$C135*BM134</f>
        <v/>
      </c>
      <c r="BN135">
        <f>$C135*BN134</f>
        <v/>
      </c>
      <c r="BO135">
        <f>$C135*BO134</f>
        <v/>
      </c>
      <c r="BP135">
        <f>$C135*BP134</f>
        <v/>
      </c>
      <c r="BQ135">
        <f>$C135*BQ134</f>
        <v/>
      </c>
      <c r="BR135">
        <f>$C135*BR134</f>
        <v/>
      </c>
      <c r="BS135">
        <f>$C135*BS134</f>
        <v/>
      </c>
      <c r="BT135">
        <f>$C135*BT134</f>
        <v/>
      </c>
      <c r="BU135">
        <f>$C135*BU134</f>
        <v/>
      </c>
      <c r="BV135">
        <f>$C135*BV134</f>
        <v/>
      </c>
      <c r="BW135">
        <f>$C135*BW134</f>
        <v/>
      </c>
      <c r="BX135">
        <f>$C135*BX134</f>
        <v/>
      </c>
      <c r="BY135">
        <f>$C135*BY134</f>
        <v/>
      </c>
      <c r="BZ135">
        <f>$C135*BZ134</f>
        <v/>
      </c>
      <c r="CA135">
        <f>$C135*CA134</f>
        <v/>
      </c>
      <c r="CB135">
        <f>$C135*CB134</f>
        <v/>
      </c>
      <c r="CC135">
        <f>$C135*CC134</f>
        <v/>
      </c>
      <c r="CD135">
        <f>$C135*CD134</f>
        <v/>
      </c>
      <c r="CE135">
        <f>$C135*CE134</f>
        <v/>
      </c>
      <c r="CF135">
        <f>$C135*CF134</f>
        <v/>
      </c>
      <c r="CG135">
        <f>$C135*CG134</f>
        <v/>
      </c>
      <c r="CH135">
        <f>$C135*CH134</f>
        <v/>
      </c>
      <c r="CI135">
        <f>$C135*CI134</f>
        <v/>
      </c>
      <c r="CJ135">
        <f>$C135*CJ134</f>
        <v/>
      </c>
      <c r="CK135">
        <f>$C135*CK134</f>
        <v/>
      </c>
      <c r="CL135">
        <f>$C135*CL134</f>
        <v/>
      </c>
      <c r="CM135">
        <f>$C135*CM134</f>
        <v/>
      </c>
      <c r="CN135">
        <f>$C135*CN134</f>
        <v/>
      </c>
      <c r="CO135">
        <f>$C135*CO134</f>
        <v/>
      </c>
      <c r="CP135">
        <f>$C135*CP134</f>
        <v/>
      </c>
      <c r="CQ135">
        <f>$C135*CQ134</f>
        <v/>
      </c>
      <c r="CR135">
        <f>$C135*CR134</f>
        <v/>
      </c>
      <c r="CS135">
        <f>$C135*CS134</f>
        <v/>
      </c>
      <c r="CT135">
        <f>$C135*CT134</f>
        <v/>
      </c>
      <c r="CU135">
        <f>$C135*CU134</f>
        <v/>
      </c>
      <c r="CV135">
        <f>$C135*CV134</f>
        <v/>
      </c>
      <c r="CW135">
        <f>$C135*CW134</f>
        <v/>
      </c>
      <c r="CX135">
        <f>$C135*CX134</f>
        <v/>
      </c>
      <c r="CY135">
        <f>$C135*CY134</f>
        <v/>
      </c>
      <c r="CZ135">
        <f>$C135*CZ134</f>
        <v/>
      </c>
      <c r="DA135">
        <f>$C135*DA134</f>
        <v/>
      </c>
      <c r="DB135">
        <f>$C135*DB134</f>
        <v/>
      </c>
      <c r="DC135">
        <f>$C135*DC134</f>
        <v/>
      </c>
    </row>
    <row r="136">
      <c r="B136" t="inlineStr">
        <is>
          <t>TSP-930</t>
        </is>
      </c>
      <c r="C136" t="inlineStr">
        <is>
          <t>No. of batches</t>
        </is>
      </c>
      <c r="D136">
        <f>IFERROR(INDEX(PP_Grid[#Data],$DD136,2),0)</f>
        <v/>
      </c>
      <c r="E136">
        <f>IFERROR(INDEX(PP_Grid[#Data],$DD136,3),0)</f>
        <v/>
      </c>
      <c r="F136">
        <f>IFERROR(INDEX(PP_Grid[#Data],$DD136,4),0)</f>
        <v/>
      </c>
      <c r="G136">
        <f>IFERROR(INDEX(PP_Grid[#Data],$DD136,5),0)</f>
        <v/>
      </c>
      <c r="H136">
        <f>IFERROR(INDEX(PP_Grid[#Data],$DD136,6),0)</f>
        <v/>
      </c>
      <c r="I136">
        <f>IFERROR(INDEX(PP_Grid[#Data],$DD136,7),0)</f>
        <v/>
      </c>
      <c r="J136">
        <f>IFERROR(INDEX(PP_Grid[#Data],$DD136,8),0)</f>
        <v/>
      </c>
      <c r="K136">
        <f>IFERROR(INDEX(PP_Grid[#Data],$DD136,9),0)</f>
        <v/>
      </c>
      <c r="L136">
        <f>IFERROR(INDEX(PP_Grid[#Data],$DD136,10),0)</f>
        <v/>
      </c>
      <c r="M136">
        <f>IFERROR(INDEX(PP_Grid[#Data],$DD136,11),0)</f>
        <v/>
      </c>
      <c r="N136">
        <f>IFERROR(INDEX(PP_Grid[#Data],$DD136,12),0)</f>
        <v/>
      </c>
      <c r="O136">
        <f>IFERROR(INDEX(PP_Grid[#Data],$DD136,13),0)</f>
        <v/>
      </c>
      <c r="P136">
        <f>IFERROR(INDEX(PP_Grid[#Data],$DD136,14),0)</f>
        <v/>
      </c>
      <c r="Q136">
        <f>IFERROR(INDEX(PP_Grid[#Data],$DD136,15),0)</f>
        <v/>
      </c>
      <c r="R136">
        <f>IFERROR(INDEX(PP_Grid[#Data],$DD136,16),0)</f>
        <v/>
      </c>
      <c r="S136">
        <f>IFERROR(INDEX(PP_Grid[#Data],$DD136,17),0)</f>
        <v/>
      </c>
      <c r="T136">
        <f>IFERROR(INDEX(PP_Grid[#Data],$DD136,18),0)</f>
        <v/>
      </c>
      <c r="U136">
        <f>IFERROR(INDEX(PP_Grid[#Data],$DD136,19),0)</f>
        <v/>
      </c>
      <c r="V136">
        <f>IFERROR(INDEX(PP_Grid[#Data],$DD136,20),0)</f>
        <v/>
      </c>
      <c r="W136">
        <f>IFERROR(INDEX(PP_Grid[#Data],$DD136,21),0)</f>
        <v/>
      </c>
      <c r="X136">
        <f>IFERROR(INDEX(PP_Grid[#Data],$DD136,22),0)</f>
        <v/>
      </c>
      <c r="Y136">
        <f>IFERROR(INDEX(PP_Grid[#Data],$DD136,23),0)</f>
        <v/>
      </c>
      <c r="Z136">
        <f>IFERROR(INDEX(PP_Grid[#Data],$DD136,24),0)</f>
        <v/>
      </c>
      <c r="AA136">
        <f>IFERROR(INDEX(PP_Grid[#Data],$DD136,25),0)</f>
        <v/>
      </c>
      <c r="AB136">
        <f>IFERROR(INDEX(PP_Grid[#Data],$DD136,26),0)</f>
        <v/>
      </c>
      <c r="AC136">
        <f>IFERROR(INDEX(PP_Grid[#Data],$DD136,27),0)</f>
        <v/>
      </c>
      <c r="AD136">
        <f>IFERROR(INDEX(PP_Grid[#Data],$DD136,28),0)</f>
        <v/>
      </c>
      <c r="AE136">
        <f>IFERROR(INDEX(PP_Grid[#Data],$DD136,29),0)</f>
        <v/>
      </c>
      <c r="AF136">
        <f>IFERROR(INDEX(PP_Grid[#Data],$DD136,30),0)</f>
        <v/>
      </c>
      <c r="AG136">
        <f>IFERROR(INDEX(PP_Grid[#Data],$DD136,31),0)</f>
        <v/>
      </c>
      <c r="AH136">
        <f>IFERROR(INDEX(PP_Grid[#Data],$DD136,32),0)</f>
        <v/>
      </c>
      <c r="AI136">
        <f>IFERROR(INDEX(PP_Grid[#Data],$DD136,33),0)</f>
        <v/>
      </c>
      <c r="AJ136">
        <f>IFERROR(INDEX(PP_Grid[#Data],$DD136,34),0)</f>
        <v/>
      </c>
      <c r="AK136">
        <f>IFERROR(INDEX(PP_Grid[#Data],$DD136,35),0)</f>
        <v/>
      </c>
      <c r="AL136">
        <f>IFERROR(INDEX(PP_Grid[#Data],$DD136,36),0)</f>
        <v/>
      </c>
      <c r="AM136">
        <f>IFERROR(INDEX(PP_Grid[#Data],$DD136,37),0)</f>
        <v/>
      </c>
      <c r="AN136">
        <f>IFERROR(INDEX(PP_Grid[#Data],$DD136,38),0)</f>
        <v/>
      </c>
      <c r="AO136">
        <f>IFERROR(INDEX(PP_Grid[#Data],$DD136,39),0)</f>
        <v/>
      </c>
      <c r="AP136">
        <f>IFERROR(INDEX(PP_Grid[#Data],$DD136,40),0)</f>
        <v/>
      </c>
      <c r="AQ136">
        <f>IFERROR(INDEX(PP_Grid[#Data],$DD136,41),0)</f>
        <v/>
      </c>
      <c r="AR136">
        <f>IFERROR(INDEX(PP_Grid[#Data],$DD136,42),0)</f>
        <v/>
      </c>
      <c r="AS136">
        <f>IFERROR(INDEX(PP_Grid[#Data],$DD136,43),0)</f>
        <v/>
      </c>
      <c r="AT136">
        <f>IFERROR(INDEX(PP_Grid[#Data],$DD136,44),0)</f>
        <v/>
      </c>
      <c r="AU136">
        <f>IFERROR(INDEX(PP_Grid[#Data],$DD136,45),0)</f>
        <v/>
      </c>
      <c r="AV136">
        <f>IFERROR(INDEX(PP_Grid[#Data],$DD136,46),0)</f>
        <v/>
      </c>
      <c r="AW136">
        <f>IFERROR(INDEX(PP_Grid[#Data],$DD136,47),0)</f>
        <v/>
      </c>
      <c r="AX136">
        <f>IFERROR(INDEX(PP_Grid[#Data],$DD136,48),0)</f>
        <v/>
      </c>
      <c r="AY136">
        <f>IFERROR(INDEX(PP_Grid[#Data],$DD136,49),0)</f>
        <v/>
      </c>
      <c r="AZ136">
        <f>IFERROR(INDEX(PP_Grid[#Data],$DD136,50),0)</f>
        <v/>
      </c>
      <c r="BA136">
        <f>IFERROR(INDEX(PP_Grid[#Data],$DD136,51),0)</f>
        <v/>
      </c>
      <c r="BB136">
        <f>IFERROR(INDEX(PP_Grid[#Data],$DD136,52),0)</f>
        <v/>
      </c>
      <c r="BC136">
        <f>IFERROR(INDEX(PP_Grid[#Data],$DD136,53),0)</f>
        <v/>
      </c>
      <c r="BD136">
        <f>IFERROR(INDEX(PP_Grid[#Data],$DD136,54),0)</f>
        <v/>
      </c>
      <c r="BE136">
        <f>IFERROR(INDEX(PP_Grid[#Data],$DD136,55),0)</f>
        <v/>
      </c>
      <c r="BF136">
        <f>IFERROR(INDEX(PP_Grid[#Data],$DD136,56),0)</f>
        <v/>
      </c>
      <c r="BG136">
        <f>IFERROR(INDEX(PP_Grid[#Data],$DD136,57),0)</f>
        <v/>
      </c>
      <c r="BH136">
        <f>IFERROR(INDEX(PP_Grid[#Data],$DD136,58),0)</f>
        <v/>
      </c>
      <c r="BI136">
        <f>IFERROR(INDEX(PP_Grid[#Data],$DD136,59),0)</f>
        <v/>
      </c>
      <c r="BJ136">
        <f>IFERROR(INDEX(PP_Grid[#Data],$DD136,60),0)</f>
        <v/>
      </c>
      <c r="BK136">
        <f>IFERROR(INDEX(PP_Grid[#Data],$DD136,61),0)</f>
        <v/>
      </c>
      <c r="BL136">
        <f>IFERROR(INDEX(PP_Grid[#Data],$DD136,62),0)</f>
        <v/>
      </c>
      <c r="BM136">
        <f>IFERROR(INDEX(PP_Grid[#Data],$DD136,63),0)</f>
        <v/>
      </c>
      <c r="BN136">
        <f>IFERROR(INDEX(PP_Grid[#Data],$DD136,64),0)</f>
        <v/>
      </c>
      <c r="BO136">
        <f>IFERROR(INDEX(PP_Grid[#Data],$DD136,65),0)</f>
        <v/>
      </c>
      <c r="BP136">
        <f>IFERROR(INDEX(PP_Grid[#Data],$DD136,66),0)</f>
        <v/>
      </c>
      <c r="BQ136">
        <f>IFERROR(INDEX(PP_Grid[#Data],$DD136,67),0)</f>
        <v/>
      </c>
      <c r="BR136">
        <f>IFERROR(INDEX(PP_Grid[#Data],$DD136,68),0)</f>
        <v/>
      </c>
      <c r="BS136">
        <f>IFERROR(INDEX(PP_Grid[#Data],$DD136,69),0)</f>
        <v/>
      </c>
      <c r="BT136">
        <f>IFERROR(INDEX(PP_Grid[#Data],$DD136,70),0)</f>
        <v/>
      </c>
      <c r="BU136">
        <f>IFERROR(INDEX(PP_Grid[#Data],$DD136,71),0)</f>
        <v/>
      </c>
      <c r="BV136">
        <f>IFERROR(INDEX(PP_Grid[#Data],$DD136,72),0)</f>
        <v/>
      </c>
      <c r="BW136">
        <f>IFERROR(INDEX(PP_Grid[#Data],$DD136,73),0)</f>
        <v/>
      </c>
      <c r="BX136">
        <f>IFERROR(INDEX(PP_Grid[#Data],$DD136,74),0)</f>
        <v/>
      </c>
      <c r="BY136">
        <f>IFERROR(INDEX(PP_Grid[#Data],$DD136,75),0)</f>
        <v/>
      </c>
      <c r="BZ136">
        <f>IFERROR(INDEX(PP_Grid[#Data],$DD136,76),0)</f>
        <v/>
      </c>
      <c r="CA136">
        <f>IFERROR(INDEX(PP_Grid[#Data],$DD136,77),0)</f>
        <v/>
      </c>
      <c r="CB136">
        <f>IFERROR(INDEX(PP_Grid[#Data],$DD136,78),0)</f>
        <v/>
      </c>
      <c r="CC136">
        <f>IFERROR(INDEX(PP_Grid[#Data],$DD136,79),0)</f>
        <v/>
      </c>
      <c r="CD136">
        <f>IFERROR(INDEX(PP_Grid[#Data],$DD136,80),0)</f>
        <v/>
      </c>
      <c r="CE136">
        <f>IFERROR(INDEX(PP_Grid[#Data],$DD136,81),0)</f>
        <v/>
      </c>
      <c r="CF136">
        <f>IFERROR(INDEX(PP_Grid[#Data],$DD136,82),0)</f>
        <v/>
      </c>
      <c r="CG136">
        <f>IFERROR(INDEX(PP_Grid[#Data],$DD136,83),0)</f>
        <v/>
      </c>
      <c r="CH136">
        <f>IFERROR(INDEX(PP_Grid[#Data],$DD136,84),0)</f>
        <v/>
      </c>
      <c r="CI136">
        <f>IFERROR(INDEX(PP_Grid[#Data],$DD136,85),0)</f>
        <v/>
      </c>
      <c r="CJ136">
        <f>IFERROR(INDEX(PP_Grid[#Data],$DD136,86),0)</f>
        <v/>
      </c>
      <c r="CK136">
        <f>IFERROR(INDEX(PP_Grid[#Data],$DD136,87),0)</f>
        <v/>
      </c>
      <c r="CL136">
        <f>IFERROR(INDEX(PP_Grid[#Data],$DD136,88),0)</f>
        <v/>
      </c>
      <c r="CM136">
        <f>IFERROR(INDEX(PP_Grid[#Data],$DD136,89),0)</f>
        <v/>
      </c>
      <c r="CN136">
        <f>IFERROR(INDEX(PP_Grid[#Data],$DD136,90),0)</f>
        <v/>
      </c>
      <c r="CO136">
        <f>IFERROR(INDEX(PP_Grid[#Data],$DD136,91),0)</f>
        <v/>
      </c>
      <c r="CP136">
        <f>IFERROR(INDEX(PP_Grid[#Data],$DD136,92),0)</f>
        <v/>
      </c>
      <c r="CQ136">
        <f>IFERROR(INDEX(PP_Grid[#Data],$DD136,93),0)</f>
        <v/>
      </c>
      <c r="CR136">
        <f>IFERROR(INDEX(PP_Grid[#Data],$DD136,94),0)</f>
        <v/>
      </c>
      <c r="CS136">
        <f>IFERROR(INDEX(PP_Grid[#Data],$DD136,95),0)</f>
        <v/>
      </c>
      <c r="CT136">
        <f>IFERROR(INDEX(PP_Grid[#Data],$DD136,96),0)</f>
        <v/>
      </c>
      <c r="CU136">
        <f>IFERROR(INDEX(PP_Grid[#Data],$DD136,97),0)</f>
        <v/>
      </c>
      <c r="CV136">
        <f>IFERROR(INDEX(PP_Grid[#Data],$DD136,98),0)</f>
        <v/>
      </c>
      <c r="CW136">
        <f>IFERROR(INDEX(PP_Grid[#Data],$DD136,99),0)</f>
        <v/>
      </c>
      <c r="CX136">
        <f>IFERROR(INDEX(PP_Grid[#Data],$DD136,100),0)</f>
        <v/>
      </c>
      <c r="CY136">
        <f>IFERROR(INDEX(PP_Grid[#Data],$DD136,101),0)</f>
        <v/>
      </c>
      <c r="CZ136">
        <f>IFERROR(INDEX(PP_Grid[#Data],$DD136,102),0)</f>
        <v/>
      </c>
      <c r="DA136">
        <f>IFERROR(INDEX(PP_Grid[#Data],$DD136,103),0)</f>
        <v/>
      </c>
      <c r="DB136">
        <f>IFERROR(INDEX(PP_Grid[#Data],$DD136,104),0)</f>
        <v/>
      </c>
      <c r="DC136">
        <f>IFERROR(INDEX(PP_Grid[#Data],$DD136,105),0)</f>
        <v/>
      </c>
      <c r="DD136" s="7">
        <f>IFERROR(MATCH($B136,PP_Grid[Intermediate],0),99999)</f>
        <v/>
      </c>
    </row>
    <row r="137">
      <c r="B137" t="inlineStr">
        <is>
          <t>使用量(kg)</t>
        </is>
      </c>
      <c r="C137">
        <f>SUMIFS(M_BOM[RM_Qty_Per_Batch],M_BOM[Intermediate],$B136,M_BOM[Part Name],$A45)</f>
        <v/>
      </c>
      <c r="D137">
        <f>$C137*D136</f>
        <v/>
      </c>
      <c r="E137">
        <f>$C137*E136</f>
        <v/>
      </c>
      <c r="F137">
        <f>$C137*F136</f>
        <v/>
      </c>
      <c r="G137">
        <f>$C137*G136</f>
        <v/>
      </c>
      <c r="H137">
        <f>$C137*H136</f>
        <v/>
      </c>
      <c r="I137">
        <f>$C137*I136</f>
        <v/>
      </c>
      <c r="J137">
        <f>$C137*J136</f>
        <v/>
      </c>
      <c r="K137">
        <f>$C137*K136</f>
        <v/>
      </c>
      <c r="L137">
        <f>$C137*L136</f>
        <v/>
      </c>
      <c r="M137">
        <f>$C137*M136</f>
        <v/>
      </c>
      <c r="N137">
        <f>$C137*N136</f>
        <v/>
      </c>
      <c r="O137">
        <f>$C137*O136</f>
        <v/>
      </c>
      <c r="P137">
        <f>$C137*P136</f>
        <v/>
      </c>
      <c r="Q137">
        <f>$C137*Q136</f>
        <v/>
      </c>
      <c r="R137">
        <f>$C137*R136</f>
        <v/>
      </c>
      <c r="S137">
        <f>$C137*S136</f>
        <v/>
      </c>
      <c r="T137">
        <f>$C137*T136</f>
        <v/>
      </c>
      <c r="U137">
        <f>$C137*U136</f>
        <v/>
      </c>
      <c r="V137">
        <f>$C137*V136</f>
        <v/>
      </c>
      <c r="W137">
        <f>$C137*W136</f>
        <v/>
      </c>
      <c r="X137">
        <f>$C137*X136</f>
        <v/>
      </c>
      <c r="Y137">
        <f>$C137*Y136</f>
        <v/>
      </c>
      <c r="Z137">
        <f>$C137*Z136</f>
        <v/>
      </c>
      <c r="AA137">
        <f>$C137*AA136</f>
        <v/>
      </c>
      <c r="AB137">
        <f>$C137*AB136</f>
        <v/>
      </c>
      <c r="AC137">
        <f>$C137*AC136</f>
        <v/>
      </c>
      <c r="AD137">
        <f>$C137*AD136</f>
        <v/>
      </c>
      <c r="AE137">
        <f>$C137*AE136</f>
        <v/>
      </c>
      <c r="AF137">
        <f>$C137*AF136</f>
        <v/>
      </c>
      <c r="AG137">
        <f>$C137*AG136</f>
        <v/>
      </c>
      <c r="AH137">
        <f>$C137*AH136</f>
        <v/>
      </c>
      <c r="AI137">
        <f>$C137*AI136</f>
        <v/>
      </c>
      <c r="AJ137">
        <f>$C137*AJ136</f>
        <v/>
      </c>
      <c r="AK137">
        <f>$C137*AK136</f>
        <v/>
      </c>
      <c r="AL137">
        <f>$C137*AL136</f>
        <v/>
      </c>
      <c r="AM137">
        <f>$C137*AM136</f>
        <v/>
      </c>
      <c r="AN137">
        <f>$C137*AN136</f>
        <v/>
      </c>
      <c r="AO137">
        <f>$C137*AO136</f>
        <v/>
      </c>
      <c r="AP137">
        <f>$C137*AP136</f>
        <v/>
      </c>
      <c r="AQ137">
        <f>$C137*AQ136</f>
        <v/>
      </c>
      <c r="AR137">
        <f>$C137*AR136</f>
        <v/>
      </c>
      <c r="AS137">
        <f>$C137*AS136</f>
        <v/>
      </c>
      <c r="AT137">
        <f>$C137*AT136</f>
        <v/>
      </c>
      <c r="AU137">
        <f>$C137*AU136</f>
        <v/>
      </c>
      <c r="AV137">
        <f>$C137*AV136</f>
        <v/>
      </c>
      <c r="AW137">
        <f>$C137*AW136</f>
        <v/>
      </c>
      <c r="AX137">
        <f>$C137*AX136</f>
        <v/>
      </c>
      <c r="AY137">
        <f>$C137*AY136</f>
        <v/>
      </c>
      <c r="AZ137">
        <f>$C137*AZ136</f>
        <v/>
      </c>
      <c r="BA137">
        <f>$C137*BA136</f>
        <v/>
      </c>
      <c r="BB137">
        <f>$C137*BB136</f>
        <v/>
      </c>
      <c r="BC137">
        <f>$C137*BC136</f>
        <v/>
      </c>
      <c r="BD137">
        <f>$C137*BD136</f>
        <v/>
      </c>
      <c r="BE137">
        <f>$C137*BE136</f>
        <v/>
      </c>
      <c r="BF137">
        <f>$C137*BF136</f>
        <v/>
      </c>
      <c r="BG137">
        <f>$C137*BG136</f>
        <v/>
      </c>
      <c r="BH137">
        <f>$C137*BH136</f>
        <v/>
      </c>
      <c r="BI137">
        <f>$C137*BI136</f>
        <v/>
      </c>
      <c r="BJ137">
        <f>$C137*BJ136</f>
        <v/>
      </c>
      <c r="BK137">
        <f>$C137*BK136</f>
        <v/>
      </c>
      <c r="BL137">
        <f>$C137*BL136</f>
        <v/>
      </c>
      <c r="BM137">
        <f>$C137*BM136</f>
        <v/>
      </c>
      <c r="BN137">
        <f>$C137*BN136</f>
        <v/>
      </c>
      <c r="BO137">
        <f>$C137*BO136</f>
        <v/>
      </c>
      <c r="BP137">
        <f>$C137*BP136</f>
        <v/>
      </c>
      <c r="BQ137">
        <f>$C137*BQ136</f>
        <v/>
      </c>
      <c r="BR137">
        <f>$C137*BR136</f>
        <v/>
      </c>
      <c r="BS137">
        <f>$C137*BS136</f>
        <v/>
      </c>
      <c r="BT137">
        <f>$C137*BT136</f>
        <v/>
      </c>
      <c r="BU137">
        <f>$C137*BU136</f>
        <v/>
      </c>
      <c r="BV137">
        <f>$C137*BV136</f>
        <v/>
      </c>
      <c r="BW137">
        <f>$C137*BW136</f>
        <v/>
      </c>
      <c r="BX137">
        <f>$C137*BX136</f>
        <v/>
      </c>
      <c r="BY137">
        <f>$C137*BY136</f>
        <v/>
      </c>
      <c r="BZ137">
        <f>$C137*BZ136</f>
        <v/>
      </c>
      <c r="CA137">
        <f>$C137*CA136</f>
        <v/>
      </c>
      <c r="CB137">
        <f>$C137*CB136</f>
        <v/>
      </c>
      <c r="CC137">
        <f>$C137*CC136</f>
        <v/>
      </c>
      <c r="CD137">
        <f>$C137*CD136</f>
        <v/>
      </c>
      <c r="CE137">
        <f>$C137*CE136</f>
        <v/>
      </c>
      <c r="CF137">
        <f>$C137*CF136</f>
        <v/>
      </c>
      <c r="CG137">
        <f>$C137*CG136</f>
        <v/>
      </c>
      <c r="CH137">
        <f>$C137*CH136</f>
        <v/>
      </c>
      <c r="CI137">
        <f>$C137*CI136</f>
        <v/>
      </c>
      <c r="CJ137">
        <f>$C137*CJ136</f>
        <v/>
      </c>
      <c r="CK137">
        <f>$C137*CK136</f>
        <v/>
      </c>
      <c r="CL137">
        <f>$C137*CL136</f>
        <v/>
      </c>
      <c r="CM137">
        <f>$C137*CM136</f>
        <v/>
      </c>
      <c r="CN137">
        <f>$C137*CN136</f>
        <v/>
      </c>
      <c r="CO137">
        <f>$C137*CO136</f>
        <v/>
      </c>
      <c r="CP137">
        <f>$C137*CP136</f>
        <v/>
      </c>
      <c r="CQ137">
        <f>$C137*CQ136</f>
        <v/>
      </c>
      <c r="CR137">
        <f>$C137*CR136</f>
        <v/>
      </c>
      <c r="CS137">
        <f>$C137*CS136</f>
        <v/>
      </c>
      <c r="CT137">
        <f>$C137*CT136</f>
        <v/>
      </c>
      <c r="CU137">
        <f>$C137*CU136</f>
        <v/>
      </c>
      <c r="CV137">
        <f>$C137*CV136</f>
        <v/>
      </c>
      <c r="CW137">
        <f>$C137*CW136</f>
        <v/>
      </c>
      <c r="CX137">
        <f>$C137*CX136</f>
        <v/>
      </c>
      <c r="CY137">
        <f>$C137*CY136</f>
        <v/>
      </c>
      <c r="CZ137">
        <f>$C137*CZ136</f>
        <v/>
      </c>
      <c r="DA137">
        <f>$C137*DA136</f>
        <v/>
      </c>
      <c r="DB137">
        <f>$C137*DB136</f>
        <v/>
      </c>
      <c r="DC137">
        <f>$C137*DC136</f>
        <v/>
      </c>
    </row>
    <row r="138">
      <c r="B138" t="inlineStr">
        <is>
          <t>TSP-934</t>
        </is>
      </c>
      <c r="C138" t="inlineStr">
        <is>
          <t>No. of batches</t>
        </is>
      </c>
      <c r="D138">
        <f>IFERROR(INDEX(PP_Grid[#Data],$DD138,2),0)</f>
        <v/>
      </c>
      <c r="E138">
        <f>IFERROR(INDEX(PP_Grid[#Data],$DD138,3),0)</f>
        <v/>
      </c>
      <c r="F138">
        <f>IFERROR(INDEX(PP_Grid[#Data],$DD138,4),0)</f>
        <v/>
      </c>
      <c r="G138">
        <f>IFERROR(INDEX(PP_Grid[#Data],$DD138,5),0)</f>
        <v/>
      </c>
      <c r="H138">
        <f>IFERROR(INDEX(PP_Grid[#Data],$DD138,6),0)</f>
        <v/>
      </c>
      <c r="I138">
        <f>IFERROR(INDEX(PP_Grid[#Data],$DD138,7),0)</f>
        <v/>
      </c>
      <c r="J138">
        <f>IFERROR(INDEX(PP_Grid[#Data],$DD138,8),0)</f>
        <v/>
      </c>
      <c r="K138">
        <f>IFERROR(INDEX(PP_Grid[#Data],$DD138,9),0)</f>
        <v/>
      </c>
      <c r="L138">
        <f>IFERROR(INDEX(PP_Grid[#Data],$DD138,10),0)</f>
        <v/>
      </c>
      <c r="M138">
        <f>IFERROR(INDEX(PP_Grid[#Data],$DD138,11),0)</f>
        <v/>
      </c>
      <c r="N138">
        <f>IFERROR(INDEX(PP_Grid[#Data],$DD138,12),0)</f>
        <v/>
      </c>
      <c r="O138">
        <f>IFERROR(INDEX(PP_Grid[#Data],$DD138,13),0)</f>
        <v/>
      </c>
      <c r="P138">
        <f>IFERROR(INDEX(PP_Grid[#Data],$DD138,14),0)</f>
        <v/>
      </c>
      <c r="Q138">
        <f>IFERROR(INDEX(PP_Grid[#Data],$DD138,15),0)</f>
        <v/>
      </c>
      <c r="R138">
        <f>IFERROR(INDEX(PP_Grid[#Data],$DD138,16),0)</f>
        <v/>
      </c>
      <c r="S138">
        <f>IFERROR(INDEX(PP_Grid[#Data],$DD138,17),0)</f>
        <v/>
      </c>
      <c r="T138">
        <f>IFERROR(INDEX(PP_Grid[#Data],$DD138,18),0)</f>
        <v/>
      </c>
      <c r="U138">
        <f>IFERROR(INDEX(PP_Grid[#Data],$DD138,19),0)</f>
        <v/>
      </c>
      <c r="V138">
        <f>IFERROR(INDEX(PP_Grid[#Data],$DD138,20),0)</f>
        <v/>
      </c>
      <c r="W138">
        <f>IFERROR(INDEX(PP_Grid[#Data],$DD138,21),0)</f>
        <v/>
      </c>
      <c r="X138">
        <f>IFERROR(INDEX(PP_Grid[#Data],$DD138,22),0)</f>
        <v/>
      </c>
      <c r="Y138">
        <f>IFERROR(INDEX(PP_Grid[#Data],$DD138,23),0)</f>
        <v/>
      </c>
      <c r="Z138">
        <f>IFERROR(INDEX(PP_Grid[#Data],$DD138,24),0)</f>
        <v/>
      </c>
      <c r="AA138">
        <f>IFERROR(INDEX(PP_Grid[#Data],$DD138,25),0)</f>
        <v/>
      </c>
      <c r="AB138">
        <f>IFERROR(INDEX(PP_Grid[#Data],$DD138,26),0)</f>
        <v/>
      </c>
      <c r="AC138">
        <f>IFERROR(INDEX(PP_Grid[#Data],$DD138,27),0)</f>
        <v/>
      </c>
      <c r="AD138">
        <f>IFERROR(INDEX(PP_Grid[#Data],$DD138,28),0)</f>
        <v/>
      </c>
      <c r="AE138">
        <f>IFERROR(INDEX(PP_Grid[#Data],$DD138,29),0)</f>
        <v/>
      </c>
      <c r="AF138">
        <f>IFERROR(INDEX(PP_Grid[#Data],$DD138,30),0)</f>
        <v/>
      </c>
      <c r="AG138">
        <f>IFERROR(INDEX(PP_Grid[#Data],$DD138,31),0)</f>
        <v/>
      </c>
      <c r="AH138">
        <f>IFERROR(INDEX(PP_Grid[#Data],$DD138,32),0)</f>
        <v/>
      </c>
      <c r="AI138">
        <f>IFERROR(INDEX(PP_Grid[#Data],$DD138,33),0)</f>
        <v/>
      </c>
      <c r="AJ138">
        <f>IFERROR(INDEX(PP_Grid[#Data],$DD138,34),0)</f>
        <v/>
      </c>
      <c r="AK138">
        <f>IFERROR(INDEX(PP_Grid[#Data],$DD138,35),0)</f>
        <v/>
      </c>
      <c r="AL138">
        <f>IFERROR(INDEX(PP_Grid[#Data],$DD138,36),0)</f>
        <v/>
      </c>
      <c r="AM138">
        <f>IFERROR(INDEX(PP_Grid[#Data],$DD138,37),0)</f>
        <v/>
      </c>
      <c r="AN138">
        <f>IFERROR(INDEX(PP_Grid[#Data],$DD138,38),0)</f>
        <v/>
      </c>
      <c r="AO138">
        <f>IFERROR(INDEX(PP_Grid[#Data],$DD138,39),0)</f>
        <v/>
      </c>
      <c r="AP138">
        <f>IFERROR(INDEX(PP_Grid[#Data],$DD138,40),0)</f>
        <v/>
      </c>
      <c r="AQ138">
        <f>IFERROR(INDEX(PP_Grid[#Data],$DD138,41),0)</f>
        <v/>
      </c>
      <c r="AR138">
        <f>IFERROR(INDEX(PP_Grid[#Data],$DD138,42),0)</f>
        <v/>
      </c>
      <c r="AS138">
        <f>IFERROR(INDEX(PP_Grid[#Data],$DD138,43),0)</f>
        <v/>
      </c>
      <c r="AT138">
        <f>IFERROR(INDEX(PP_Grid[#Data],$DD138,44),0)</f>
        <v/>
      </c>
      <c r="AU138">
        <f>IFERROR(INDEX(PP_Grid[#Data],$DD138,45),0)</f>
        <v/>
      </c>
      <c r="AV138">
        <f>IFERROR(INDEX(PP_Grid[#Data],$DD138,46),0)</f>
        <v/>
      </c>
      <c r="AW138">
        <f>IFERROR(INDEX(PP_Grid[#Data],$DD138,47),0)</f>
        <v/>
      </c>
      <c r="AX138">
        <f>IFERROR(INDEX(PP_Grid[#Data],$DD138,48),0)</f>
        <v/>
      </c>
      <c r="AY138">
        <f>IFERROR(INDEX(PP_Grid[#Data],$DD138,49),0)</f>
        <v/>
      </c>
      <c r="AZ138">
        <f>IFERROR(INDEX(PP_Grid[#Data],$DD138,50),0)</f>
        <v/>
      </c>
      <c r="BA138">
        <f>IFERROR(INDEX(PP_Grid[#Data],$DD138,51),0)</f>
        <v/>
      </c>
      <c r="BB138">
        <f>IFERROR(INDEX(PP_Grid[#Data],$DD138,52),0)</f>
        <v/>
      </c>
      <c r="BC138">
        <f>IFERROR(INDEX(PP_Grid[#Data],$DD138,53),0)</f>
        <v/>
      </c>
      <c r="BD138">
        <f>IFERROR(INDEX(PP_Grid[#Data],$DD138,54),0)</f>
        <v/>
      </c>
      <c r="BE138">
        <f>IFERROR(INDEX(PP_Grid[#Data],$DD138,55),0)</f>
        <v/>
      </c>
      <c r="BF138">
        <f>IFERROR(INDEX(PP_Grid[#Data],$DD138,56),0)</f>
        <v/>
      </c>
      <c r="BG138">
        <f>IFERROR(INDEX(PP_Grid[#Data],$DD138,57),0)</f>
        <v/>
      </c>
      <c r="BH138">
        <f>IFERROR(INDEX(PP_Grid[#Data],$DD138,58),0)</f>
        <v/>
      </c>
      <c r="BI138">
        <f>IFERROR(INDEX(PP_Grid[#Data],$DD138,59),0)</f>
        <v/>
      </c>
      <c r="BJ138">
        <f>IFERROR(INDEX(PP_Grid[#Data],$DD138,60),0)</f>
        <v/>
      </c>
      <c r="BK138">
        <f>IFERROR(INDEX(PP_Grid[#Data],$DD138,61),0)</f>
        <v/>
      </c>
      <c r="BL138">
        <f>IFERROR(INDEX(PP_Grid[#Data],$DD138,62),0)</f>
        <v/>
      </c>
      <c r="BM138">
        <f>IFERROR(INDEX(PP_Grid[#Data],$DD138,63),0)</f>
        <v/>
      </c>
      <c r="BN138">
        <f>IFERROR(INDEX(PP_Grid[#Data],$DD138,64),0)</f>
        <v/>
      </c>
      <c r="BO138">
        <f>IFERROR(INDEX(PP_Grid[#Data],$DD138,65),0)</f>
        <v/>
      </c>
      <c r="BP138">
        <f>IFERROR(INDEX(PP_Grid[#Data],$DD138,66),0)</f>
        <v/>
      </c>
      <c r="BQ138">
        <f>IFERROR(INDEX(PP_Grid[#Data],$DD138,67),0)</f>
        <v/>
      </c>
      <c r="BR138">
        <f>IFERROR(INDEX(PP_Grid[#Data],$DD138,68),0)</f>
        <v/>
      </c>
      <c r="BS138">
        <f>IFERROR(INDEX(PP_Grid[#Data],$DD138,69),0)</f>
        <v/>
      </c>
      <c r="BT138">
        <f>IFERROR(INDEX(PP_Grid[#Data],$DD138,70),0)</f>
        <v/>
      </c>
      <c r="BU138">
        <f>IFERROR(INDEX(PP_Grid[#Data],$DD138,71),0)</f>
        <v/>
      </c>
      <c r="BV138">
        <f>IFERROR(INDEX(PP_Grid[#Data],$DD138,72),0)</f>
        <v/>
      </c>
      <c r="BW138">
        <f>IFERROR(INDEX(PP_Grid[#Data],$DD138,73),0)</f>
        <v/>
      </c>
      <c r="BX138">
        <f>IFERROR(INDEX(PP_Grid[#Data],$DD138,74),0)</f>
        <v/>
      </c>
      <c r="BY138">
        <f>IFERROR(INDEX(PP_Grid[#Data],$DD138,75),0)</f>
        <v/>
      </c>
      <c r="BZ138">
        <f>IFERROR(INDEX(PP_Grid[#Data],$DD138,76),0)</f>
        <v/>
      </c>
      <c r="CA138">
        <f>IFERROR(INDEX(PP_Grid[#Data],$DD138,77),0)</f>
        <v/>
      </c>
      <c r="CB138">
        <f>IFERROR(INDEX(PP_Grid[#Data],$DD138,78),0)</f>
        <v/>
      </c>
      <c r="CC138">
        <f>IFERROR(INDEX(PP_Grid[#Data],$DD138,79),0)</f>
        <v/>
      </c>
      <c r="CD138">
        <f>IFERROR(INDEX(PP_Grid[#Data],$DD138,80),0)</f>
        <v/>
      </c>
      <c r="CE138">
        <f>IFERROR(INDEX(PP_Grid[#Data],$DD138,81),0)</f>
        <v/>
      </c>
      <c r="CF138">
        <f>IFERROR(INDEX(PP_Grid[#Data],$DD138,82),0)</f>
        <v/>
      </c>
      <c r="CG138">
        <f>IFERROR(INDEX(PP_Grid[#Data],$DD138,83),0)</f>
        <v/>
      </c>
      <c r="CH138">
        <f>IFERROR(INDEX(PP_Grid[#Data],$DD138,84),0)</f>
        <v/>
      </c>
      <c r="CI138">
        <f>IFERROR(INDEX(PP_Grid[#Data],$DD138,85),0)</f>
        <v/>
      </c>
      <c r="CJ138">
        <f>IFERROR(INDEX(PP_Grid[#Data],$DD138,86),0)</f>
        <v/>
      </c>
      <c r="CK138">
        <f>IFERROR(INDEX(PP_Grid[#Data],$DD138,87),0)</f>
        <v/>
      </c>
      <c r="CL138">
        <f>IFERROR(INDEX(PP_Grid[#Data],$DD138,88),0)</f>
        <v/>
      </c>
      <c r="CM138">
        <f>IFERROR(INDEX(PP_Grid[#Data],$DD138,89),0)</f>
        <v/>
      </c>
      <c r="CN138">
        <f>IFERROR(INDEX(PP_Grid[#Data],$DD138,90),0)</f>
        <v/>
      </c>
      <c r="CO138">
        <f>IFERROR(INDEX(PP_Grid[#Data],$DD138,91),0)</f>
        <v/>
      </c>
      <c r="CP138">
        <f>IFERROR(INDEX(PP_Grid[#Data],$DD138,92),0)</f>
        <v/>
      </c>
      <c r="CQ138">
        <f>IFERROR(INDEX(PP_Grid[#Data],$DD138,93),0)</f>
        <v/>
      </c>
      <c r="CR138">
        <f>IFERROR(INDEX(PP_Grid[#Data],$DD138,94),0)</f>
        <v/>
      </c>
      <c r="CS138">
        <f>IFERROR(INDEX(PP_Grid[#Data],$DD138,95),0)</f>
        <v/>
      </c>
      <c r="CT138">
        <f>IFERROR(INDEX(PP_Grid[#Data],$DD138,96),0)</f>
        <v/>
      </c>
      <c r="CU138">
        <f>IFERROR(INDEX(PP_Grid[#Data],$DD138,97),0)</f>
        <v/>
      </c>
      <c r="CV138">
        <f>IFERROR(INDEX(PP_Grid[#Data],$DD138,98),0)</f>
        <v/>
      </c>
      <c r="CW138">
        <f>IFERROR(INDEX(PP_Grid[#Data],$DD138,99),0)</f>
        <v/>
      </c>
      <c r="CX138">
        <f>IFERROR(INDEX(PP_Grid[#Data],$DD138,100),0)</f>
        <v/>
      </c>
      <c r="CY138">
        <f>IFERROR(INDEX(PP_Grid[#Data],$DD138,101),0)</f>
        <v/>
      </c>
      <c r="CZ138">
        <f>IFERROR(INDEX(PP_Grid[#Data],$DD138,102),0)</f>
        <v/>
      </c>
      <c r="DA138">
        <f>IFERROR(INDEX(PP_Grid[#Data],$DD138,103),0)</f>
        <v/>
      </c>
      <c r="DB138">
        <f>IFERROR(INDEX(PP_Grid[#Data],$DD138,104),0)</f>
        <v/>
      </c>
      <c r="DC138">
        <f>IFERROR(INDEX(PP_Grid[#Data],$DD138,105),0)</f>
        <v/>
      </c>
      <c r="DD138" s="7">
        <f>IFERROR(MATCH($B138,PP_Grid[Intermediate],0),99999)</f>
        <v/>
      </c>
    </row>
    <row r="139">
      <c r="B139" t="inlineStr">
        <is>
          <t>使用量(kg)</t>
        </is>
      </c>
      <c r="C139">
        <f>SUMIFS(M_BOM[RM_Qty_Per_Batch],M_BOM[Intermediate],$B138,M_BOM[Part Name],$A45)</f>
        <v/>
      </c>
      <c r="D139">
        <f>$C139*D138</f>
        <v/>
      </c>
      <c r="E139">
        <f>$C139*E138</f>
        <v/>
      </c>
      <c r="F139">
        <f>$C139*F138</f>
        <v/>
      </c>
      <c r="G139">
        <f>$C139*G138</f>
        <v/>
      </c>
      <c r="H139">
        <f>$C139*H138</f>
        <v/>
      </c>
      <c r="I139">
        <f>$C139*I138</f>
        <v/>
      </c>
      <c r="J139">
        <f>$C139*J138</f>
        <v/>
      </c>
      <c r="K139">
        <f>$C139*K138</f>
        <v/>
      </c>
      <c r="L139">
        <f>$C139*L138</f>
        <v/>
      </c>
      <c r="M139">
        <f>$C139*M138</f>
        <v/>
      </c>
      <c r="N139">
        <f>$C139*N138</f>
        <v/>
      </c>
      <c r="O139">
        <f>$C139*O138</f>
        <v/>
      </c>
      <c r="P139">
        <f>$C139*P138</f>
        <v/>
      </c>
      <c r="Q139">
        <f>$C139*Q138</f>
        <v/>
      </c>
      <c r="R139">
        <f>$C139*R138</f>
        <v/>
      </c>
      <c r="S139">
        <f>$C139*S138</f>
        <v/>
      </c>
      <c r="T139">
        <f>$C139*T138</f>
        <v/>
      </c>
      <c r="U139">
        <f>$C139*U138</f>
        <v/>
      </c>
      <c r="V139">
        <f>$C139*V138</f>
        <v/>
      </c>
      <c r="W139">
        <f>$C139*W138</f>
        <v/>
      </c>
      <c r="X139">
        <f>$C139*X138</f>
        <v/>
      </c>
      <c r="Y139">
        <f>$C139*Y138</f>
        <v/>
      </c>
      <c r="Z139">
        <f>$C139*Z138</f>
        <v/>
      </c>
      <c r="AA139">
        <f>$C139*AA138</f>
        <v/>
      </c>
      <c r="AB139">
        <f>$C139*AB138</f>
        <v/>
      </c>
      <c r="AC139">
        <f>$C139*AC138</f>
        <v/>
      </c>
      <c r="AD139">
        <f>$C139*AD138</f>
        <v/>
      </c>
      <c r="AE139">
        <f>$C139*AE138</f>
        <v/>
      </c>
      <c r="AF139">
        <f>$C139*AF138</f>
        <v/>
      </c>
      <c r="AG139">
        <f>$C139*AG138</f>
        <v/>
      </c>
      <c r="AH139">
        <f>$C139*AH138</f>
        <v/>
      </c>
      <c r="AI139">
        <f>$C139*AI138</f>
        <v/>
      </c>
      <c r="AJ139">
        <f>$C139*AJ138</f>
        <v/>
      </c>
      <c r="AK139">
        <f>$C139*AK138</f>
        <v/>
      </c>
      <c r="AL139">
        <f>$C139*AL138</f>
        <v/>
      </c>
      <c r="AM139">
        <f>$C139*AM138</f>
        <v/>
      </c>
      <c r="AN139">
        <f>$C139*AN138</f>
        <v/>
      </c>
      <c r="AO139">
        <f>$C139*AO138</f>
        <v/>
      </c>
      <c r="AP139">
        <f>$C139*AP138</f>
        <v/>
      </c>
      <c r="AQ139">
        <f>$C139*AQ138</f>
        <v/>
      </c>
      <c r="AR139">
        <f>$C139*AR138</f>
        <v/>
      </c>
      <c r="AS139">
        <f>$C139*AS138</f>
        <v/>
      </c>
      <c r="AT139">
        <f>$C139*AT138</f>
        <v/>
      </c>
      <c r="AU139">
        <f>$C139*AU138</f>
        <v/>
      </c>
      <c r="AV139">
        <f>$C139*AV138</f>
        <v/>
      </c>
      <c r="AW139">
        <f>$C139*AW138</f>
        <v/>
      </c>
      <c r="AX139">
        <f>$C139*AX138</f>
        <v/>
      </c>
      <c r="AY139">
        <f>$C139*AY138</f>
        <v/>
      </c>
      <c r="AZ139">
        <f>$C139*AZ138</f>
        <v/>
      </c>
      <c r="BA139">
        <f>$C139*BA138</f>
        <v/>
      </c>
      <c r="BB139">
        <f>$C139*BB138</f>
        <v/>
      </c>
      <c r="BC139">
        <f>$C139*BC138</f>
        <v/>
      </c>
      <c r="BD139">
        <f>$C139*BD138</f>
        <v/>
      </c>
      <c r="BE139">
        <f>$C139*BE138</f>
        <v/>
      </c>
      <c r="BF139">
        <f>$C139*BF138</f>
        <v/>
      </c>
      <c r="BG139">
        <f>$C139*BG138</f>
        <v/>
      </c>
      <c r="BH139">
        <f>$C139*BH138</f>
        <v/>
      </c>
      <c r="BI139">
        <f>$C139*BI138</f>
        <v/>
      </c>
      <c r="BJ139">
        <f>$C139*BJ138</f>
        <v/>
      </c>
      <c r="BK139">
        <f>$C139*BK138</f>
        <v/>
      </c>
      <c r="BL139">
        <f>$C139*BL138</f>
        <v/>
      </c>
      <c r="BM139">
        <f>$C139*BM138</f>
        <v/>
      </c>
      <c r="BN139">
        <f>$C139*BN138</f>
        <v/>
      </c>
      <c r="BO139">
        <f>$C139*BO138</f>
        <v/>
      </c>
      <c r="BP139">
        <f>$C139*BP138</f>
        <v/>
      </c>
      <c r="BQ139">
        <f>$C139*BQ138</f>
        <v/>
      </c>
      <c r="BR139">
        <f>$C139*BR138</f>
        <v/>
      </c>
      <c r="BS139">
        <f>$C139*BS138</f>
        <v/>
      </c>
      <c r="BT139">
        <f>$C139*BT138</f>
        <v/>
      </c>
      <c r="BU139">
        <f>$C139*BU138</f>
        <v/>
      </c>
      <c r="BV139">
        <f>$C139*BV138</f>
        <v/>
      </c>
      <c r="BW139">
        <f>$C139*BW138</f>
        <v/>
      </c>
      <c r="BX139">
        <f>$C139*BX138</f>
        <v/>
      </c>
      <c r="BY139">
        <f>$C139*BY138</f>
        <v/>
      </c>
      <c r="BZ139">
        <f>$C139*BZ138</f>
        <v/>
      </c>
      <c r="CA139">
        <f>$C139*CA138</f>
        <v/>
      </c>
      <c r="CB139">
        <f>$C139*CB138</f>
        <v/>
      </c>
      <c r="CC139">
        <f>$C139*CC138</f>
        <v/>
      </c>
      <c r="CD139">
        <f>$C139*CD138</f>
        <v/>
      </c>
      <c r="CE139">
        <f>$C139*CE138</f>
        <v/>
      </c>
      <c r="CF139">
        <f>$C139*CF138</f>
        <v/>
      </c>
      <c r="CG139">
        <f>$C139*CG138</f>
        <v/>
      </c>
      <c r="CH139">
        <f>$C139*CH138</f>
        <v/>
      </c>
      <c r="CI139">
        <f>$C139*CI138</f>
        <v/>
      </c>
      <c r="CJ139">
        <f>$C139*CJ138</f>
        <v/>
      </c>
      <c r="CK139">
        <f>$C139*CK138</f>
        <v/>
      </c>
      <c r="CL139">
        <f>$C139*CL138</f>
        <v/>
      </c>
      <c r="CM139">
        <f>$C139*CM138</f>
        <v/>
      </c>
      <c r="CN139">
        <f>$C139*CN138</f>
        <v/>
      </c>
      <c r="CO139">
        <f>$C139*CO138</f>
        <v/>
      </c>
      <c r="CP139">
        <f>$C139*CP138</f>
        <v/>
      </c>
      <c r="CQ139">
        <f>$C139*CQ138</f>
        <v/>
      </c>
      <c r="CR139">
        <f>$C139*CR138</f>
        <v/>
      </c>
      <c r="CS139">
        <f>$C139*CS138</f>
        <v/>
      </c>
      <c r="CT139">
        <f>$C139*CT138</f>
        <v/>
      </c>
      <c r="CU139">
        <f>$C139*CU138</f>
        <v/>
      </c>
      <c r="CV139">
        <f>$C139*CV138</f>
        <v/>
      </c>
      <c r="CW139">
        <f>$C139*CW138</f>
        <v/>
      </c>
      <c r="CX139">
        <f>$C139*CX138</f>
        <v/>
      </c>
      <c r="CY139">
        <f>$C139*CY138</f>
        <v/>
      </c>
      <c r="CZ139">
        <f>$C139*CZ138</f>
        <v/>
      </c>
      <c r="DA139">
        <f>$C139*DA138</f>
        <v/>
      </c>
      <c r="DB139">
        <f>$C139*DB138</f>
        <v/>
      </c>
      <c r="DC139">
        <f>$C139*DC138</f>
        <v/>
      </c>
    </row>
    <row r="140">
      <c r="B140" t="inlineStr">
        <is>
          <t>TSP-935</t>
        </is>
      </c>
      <c r="C140" t="inlineStr">
        <is>
          <t>No. of batches</t>
        </is>
      </c>
      <c r="D140">
        <f>IFERROR(INDEX(PP_Grid[#Data],$DD140,2),0)</f>
        <v/>
      </c>
      <c r="E140">
        <f>IFERROR(INDEX(PP_Grid[#Data],$DD140,3),0)</f>
        <v/>
      </c>
      <c r="F140">
        <f>IFERROR(INDEX(PP_Grid[#Data],$DD140,4),0)</f>
        <v/>
      </c>
      <c r="G140">
        <f>IFERROR(INDEX(PP_Grid[#Data],$DD140,5),0)</f>
        <v/>
      </c>
      <c r="H140">
        <f>IFERROR(INDEX(PP_Grid[#Data],$DD140,6),0)</f>
        <v/>
      </c>
      <c r="I140">
        <f>IFERROR(INDEX(PP_Grid[#Data],$DD140,7),0)</f>
        <v/>
      </c>
      <c r="J140">
        <f>IFERROR(INDEX(PP_Grid[#Data],$DD140,8),0)</f>
        <v/>
      </c>
      <c r="K140">
        <f>IFERROR(INDEX(PP_Grid[#Data],$DD140,9),0)</f>
        <v/>
      </c>
      <c r="L140">
        <f>IFERROR(INDEX(PP_Grid[#Data],$DD140,10),0)</f>
        <v/>
      </c>
      <c r="M140">
        <f>IFERROR(INDEX(PP_Grid[#Data],$DD140,11),0)</f>
        <v/>
      </c>
      <c r="N140">
        <f>IFERROR(INDEX(PP_Grid[#Data],$DD140,12),0)</f>
        <v/>
      </c>
      <c r="O140">
        <f>IFERROR(INDEX(PP_Grid[#Data],$DD140,13),0)</f>
        <v/>
      </c>
      <c r="P140">
        <f>IFERROR(INDEX(PP_Grid[#Data],$DD140,14),0)</f>
        <v/>
      </c>
      <c r="Q140">
        <f>IFERROR(INDEX(PP_Grid[#Data],$DD140,15),0)</f>
        <v/>
      </c>
      <c r="R140">
        <f>IFERROR(INDEX(PP_Grid[#Data],$DD140,16),0)</f>
        <v/>
      </c>
      <c r="S140">
        <f>IFERROR(INDEX(PP_Grid[#Data],$DD140,17),0)</f>
        <v/>
      </c>
      <c r="T140">
        <f>IFERROR(INDEX(PP_Grid[#Data],$DD140,18),0)</f>
        <v/>
      </c>
      <c r="U140">
        <f>IFERROR(INDEX(PP_Grid[#Data],$DD140,19),0)</f>
        <v/>
      </c>
      <c r="V140">
        <f>IFERROR(INDEX(PP_Grid[#Data],$DD140,20),0)</f>
        <v/>
      </c>
      <c r="W140">
        <f>IFERROR(INDEX(PP_Grid[#Data],$DD140,21),0)</f>
        <v/>
      </c>
      <c r="X140">
        <f>IFERROR(INDEX(PP_Grid[#Data],$DD140,22),0)</f>
        <v/>
      </c>
      <c r="Y140">
        <f>IFERROR(INDEX(PP_Grid[#Data],$DD140,23),0)</f>
        <v/>
      </c>
      <c r="Z140">
        <f>IFERROR(INDEX(PP_Grid[#Data],$DD140,24),0)</f>
        <v/>
      </c>
      <c r="AA140">
        <f>IFERROR(INDEX(PP_Grid[#Data],$DD140,25),0)</f>
        <v/>
      </c>
      <c r="AB140">
        <f>IFERROR(INDEX(PP_Grid[#Data],$DD140,26),0)</f>
        <v/>
      </c>
      <c r="AC140">
        <f>IFERROR(INDEX(PP_Grid[#Data],$DD140,27),0)</f>
        <v/>
      </c>
      <c r="AD140">
        <f>IFERROR(INDEX(PP_Grid[#Data],$DD140,28),0)</f>
        <v/>
      </c>
      <c r="AE140">
        <f>IFERROR(INDEX(PP_Grid[#Data],$DD140,29),0)</f>
        <v/>
      </c>
      <c r="AF140">
        <f>IFERROR(INDEX(PP_Grid[#Data],$DD140,30),0)</f>
        <v/>
      </c>
      <c r="AG140">
        <f>IFERROR(INDEX(PP_Grid[#Data],$DD140,31),0)</f>
        <v/>
      </c>
      <c r="AH140">
        <f>IFERROR(INDEX(PP_Grid[#Data],$DD140,32),0)</f>
        <v/>
      </c>
      <c r="AI140">
        <f>IFERROR(INDEX(PP_Grid[#Data],$DD140,33),0)</f>
        <v/>
      </c>
      <c r="AJ140">
        <f>IFERROR(INDEX(PP_Grid[#Data],$DD140,34),0)</f>
        <v/>
      </c>
      <c r="AK140">
        <f>IFERROR(INDEX(PP_Grid[#Data],$DD140,35),0)</f>
        <v/>
      </c>
      <c r="AL140">
        <f>IFERROR(INDEX(PP_Grid[#Data],$DD140,36),0)</f>
        <v/>
      </c>
      <c r="AM140">
        <f>IFERROR(INDEX(PP_Grid[#Data],$DD140,37),0)</f>
        <v/>
      </c>
      <c r="AN140">
        <f>IFERROR(INDEX(PP_Grid[#Data],$DD140,38),0)</f>
        <v/>
      </c>
      <c r="AO140">
        <f>IFERROR(INDEX(PP_Grid[#Data],$DD140,39),0)</f>
        <v/>
      </c>
      <c r="AP140">
        <f>IFERROR(INDEX(PP_Grid[#Data],$DD140,40),0)</f>
        <v/>
      </c>
      <c r="AQ140">
        <f>IFERROR(INDEX(PP_Grid[#Data],$DD140,41),0)</f>
        <v/>
      </c>
      <c r="AR140">
        <f>IFERROR(INDEX(PP_Grid[#Data],$DD140,42),0)</f>
        <v/>
      </c>
      <c r="AS140">
        <f>IFERROR(INDEX(PP_Grid[#Data],$DD140,43),0)</f>
        <v/>
      </c>
      <c r="AT140">
        <f>IFERROR(INDEX(PP_Grid[#Data],$DD140,44),0)</f>
        <v/>
      </c>
      <c r="AU140">
        <f>IFERROR(INDEX(PP_Grid[#Data],$DD140,45),0)</f>
        <v/>
      </c>
      <c r="AV140">
        <f>IFERROR(INDEX(PP_Grid[#Data],$DD140,46),0)</f>
        <v/>
      </c>
      <c r="AW140">
        <f>IFERROR(INDEX(PP_Grid[#Data],$DD140,47),0)</f>
        <v/>
      </c>
      <c r="AX140">
        <f>IFERROR(INDEX(PP_Grid[#Data],$DD140,48),0)</f>
        <v/>
      </c>
      <c r="AY140">
        <f>IFERROR(INDEX(PP_Grid[#Data],$DD140,49),0)</f>
        <v/>
      </c>
      <c r="AZ140">
        <f>IFERROR(INDEX(PP_Grid[#Data],$DD140,50),0)</f>
        <v/>
      </c>
      <c r="BA140">
        <f>IFERROR(INDEX(PP_Grid[#Data],$DD140,51),0)</f>
        <v/>
      </c>
      <c r="BB140">
        <f>IFERROR(INDEX(PP_Grid[#Data],$DD140,52),0)</f>
        <v/>
      </c>
      <c r="BC140">
        <f>IFERROR(INDEX(PP_Grid[#Data],$DD140,53),0)</f>
        <v/>
      </c>
      <c r="BD140">
        <f>IFERROR(INDEX(PP_Grid[#Data],$DD140,54),0)</f>
        <v/>
      </c>
      <c r="BE140">
        <f>IFERROR(INDEX(PP_Grid[#Data],$DD140,55),0)</f>
        <v/>
      </c>
      <c r="BF140">
        <f>IFERROR(INDEX(PP_Grid[#Data],$DD140,56),0)</f>
        <v/>
      </c>
      <c r="BG140">
        <f>IFERROR(INDEX(PP_Grid[#Data],$DD140,57),0)</f>
        <v/>
      </c>
      <c r="BH140">
        <f>IFERROR(INDEX(PP_Grid[#Data],$DD140,58),0)</f>
        <v/>
      </c>
      <c r="BI140">
        <f>IFERROR(INDEX(PP_Grid[#Data],$DD140,59),0)</f>
        <v/>
      </c>
      <c r="BJ140">
        <f>IFERROR(INDEX(PP_Grid[#Data],$DD140,60),0)</f>
        <v/>
      </c>
      <c r="BK140">
        <f>IFERROR(INDEX(PP_Grid[#Data],$DD140,61),0)</f>
        <v/>
      </c>
      <c r="BL140">
        <f>IFERROR(INDEX(PP_Grid[#Data],$DD140,62),0)</f>
        <v/>
      </c>
      <c r="BM140">
        <f>IFERROR(INDEX(PP_Grid[#Data],$DD140,63),0)</f>
        <v/>
      </c>
      <c r="BN140">
        <f>IFERROR(INDEX(PP_Grid[#Data],$DD140,64),0)</f>
        <v/>
      </c>
      <c r="BO140">
        <f>IFERROR(INDEX(PP_Grid[#Data],$DD140,65),0)</f>
        <v/>
      </c>
      <c r="BP140">
        <f>IFERROR(INDEX(PP_Grid[#Data],$DD140,66),0)</f>
        <v/>
      </c>
      <c r="BQ140">
        <f>IFERROR(INDEX(PP_Grid[#Data],$DD140,67),0)</f>
        <v/>
      </c>
      <c r="BR140">
        <f>IFERROR(INDEX(PP_Grid[#Data],$DD140,68),0)</f>
        <v/>
      </c>
      <c r="BS140">
        <f>IFERROR(INDEX(PP_Grid[#Data],$DD140,69),0)</f>
        <v/>
      </c>
      <c r="BT140">
        <f>IFERROR(INDEX(PP_Grid[#Data],$DD140,70),0)</f>
        <v/>
      </c>
      <c r="BU140">
        <f>IFERROR(INDEX(PP_Grid[#Data],$DD140,71),0)</f>
        <v/>
      </c>
      <c r="BV140">
        <f>IFERROR(INDEX(PP_Grid[#Data],$DD140,72),0)</f>
        <v/>
      </c>
      <c r="BW140">
        <f>IFERROR(INDEX(PP_Grid[#Data],$DD140,73),0)</f>
        <v/>
      </c>
      <c r="BX140">
        <f>IFERROR(INDEX(PP_Grid[#Data],$DD140,74),0)</f>
        <v/>
      </c>
      <c r="BY140">
        <f>IFERROR(INDEX(PP_Grid[#Data],$DD140,75),0)</f>
        <v/>
      </c>
      <c r="BZ140">
        <f>IFERROR(INDEX(PP_Grid[#Data],$DD140,76),0)</f>
        <v/>
      </c>
      <c r="CA140">
        <f>IFERROR(INDEX(PP_Grid[#Data],$DD140,77),0)</f>
        <v/>
      </c>
      <c r="CB140">
        <f>IFERROR(INDEX(PP_Grid[#Data],$DD140,78),0)</f>
        <v/>
      </c>
      <c r="CC140">
        <f>IFERROR(INDEX(PP_Grid[#Data],$DD140,79),0)</f>
        <v/>
      </c>
      <c r="CD140">
        <f>IFERROR(INDEX(PP_Grid[#Data],$DD140,80),0)</f>
        <v/>
      </c>
      <c r="CE140">
        <f>IFERROR(INDEX(PP_Grid[#Data],$DD140,81),0)</f>
        <v/>
      </c>
      <c r="CF140">
        <f>IFERROR(INDEX(PP_Grid[#Data],$DD140,82),0)</f>
        <v/>
      </c>
      <c r="CG140">
        <f>IFERROR(INDEX(PP_Grid[#Data],$DD140,83),0)</f>
        <v/>
      </c>
      <c r="CH140">
        <f>IFERROR(INDEX(PP_Grid[#Data],$DD140,84),0)</f>
        <v/>
      </c>
      <c r="CI140">
        <f>IFERROR(INDEX(PP_Grid[#Data],$DD140,85),0)</f>
        <v/>
      </c>
      <c r="CJ140">
        <f>IFERROR(INDEX(PP_Grid[#Data],$DD140,86),0)</f>
        <v/>
      </c>
      <c r="CK140">
        <f>IFERROR(INDEX(PP_Grid[#Data],$DD140,87),0)</f>
        <v/>
      </c>
      <c r="CL140">
        <f>IFERROR(INDEX(PP_Grid[#Data],$DD140,88),0)</f>
        <v/>
      </c>
      <c r="CM140">
        <f>IFERROR(INDEX(PP_Grid[#Data],$DD140,89),0)</f>
        <v/>
      </c>
      <c r="CN140">
        <f>IFERROR(INDEX(PP_Grid[#Data],$DD140,90),0)</f>
        <v/>
      </c>
      <c r="CO140">
        <f>IFERROR(INDEX(PP_Grid[#Data],$DD140,91),0)</f>
        <v/>
      </c>
      <c r="CP140">
        <f>IFERROR(INDEX(PP_Grid[#Data],$DD140,92),0)</f>
        <v/>
      </c>
      <c r="CQ140">
        <f>IFERROR(INDEX(PP_Grid[#Data],$DD140,93),0)</f>
        <v/>
      </c>
      <c r="CR140">
        <f>IFERROR(INDEX(PP_Grid[#Data],$DD140,94),0)</f>
        <v/>
      </c>
      <c r="CS140">
        <f>IFERROR(INDEX(PP_Grid[#Data],$DD140,95),0)</f>
        <v/>
      </c>
      <c r="CT140">
        <f>IFERROR(INDEX(PP_Grid[#Data],$DD140,96),0)</f>
        <v/>
      </c>
      <c r="CU140">
        <f>IFERROR(INDEX(PP_Grid[#Data],$DD140,97),0)</f>
        <v/>
      </c>
      <c r="CV140">
        <f>IFERROR(INDEX(PP_Grid[#Data],$DD140,98),0)</f>
        <v/>
      </c>
      <c r="CW140">
        <f>IFERROR(INDEX(PP_Grid[#Data],$DD140,99),0)</f>
        <v/>
      </c>
      <c r="CX140">
        <f>IFERROR(INDEX(PP_Grid[#Data],$DD140,100),0)</f>
        <v/>
      </c>
      <c r="CY140">
        <f>IFERROR(INDEX(PP_Grid[#Data],$DD140,101),0)</f>
        <v/>
      </c>
      <c r="CZ140">
        <f>IFERROR(INDEX(PP_Grid[#Data],$DD140,102),0)</f>
        <v/>
      </c>
      <c r="DA140">
        <f>IFERROR(INDEX(PP_Grid[#Data],$DD140,103),0)</f>
        <v/>
      </c>
      <c r="DB140">
        <f>IFERROR(INDEX(PP_Grid[#Data],$DD140,104),0)</f>
        <v/>
      </c>
      <c r="DC140">
        <f>IFERROR(INDEX(PP_Grid[#Data],$DD140,105),0)</f>
        <v/>
      </c>
      <c r="DD140" s="7">
        <f>IFERROR(MATCH($B140,PP_Grid[Intermediate],0),99999)</f>
        <v/>
      </c>
    </row>
    <row r="141">
      <c r="B141" t="inlineStr">
        <is>
          <t>使用量(kg)</t>
        </is>
      </c>
      <c r="C141">
        <f>SUMIFS(M_BOM[RM_Qty_Per_Batch],M_BOM[Intermediate],$B140,M_BOM[Part Name],$A45)</f>
        <v/>
      </c>
      <c r="D141">
        <f>$C141*D140</f>
        <v/>
      </c>
      <c r="E141">
        <f>$C141*E140</f>
        <v/>
      </c>
      <c r="F141">
        <f>$C141*F140</f>
        <v/>
      </c>
      <c r="G141">
        <f>$C141*G140</f>
        <v/>
      </c>
      <c r="H141">
        <f>$C141*H140</f>
        <v/>
      </c>
      <c r="I141">
        <f>$C141*I140</f>
        <v/>
      </c>
      <c r="J141">
        <f>$C141*J140</f>
        <v/>
      </c>
      <c r="K141">
        <f>$C141*K140</f>
        <v/>
      </c>
      <c r="L141">
        <f>$C141*L140</f>
        <v/>
      </c>
      <c r="M141">
        <f>$C141*M140</f>
        <v/>
      </c>
      <c r="N141">
        <f>$C141*N140</f>
        <v/>
      </c>
      <c r="O141">
        <f>$C141*O140</f>
        <v/>
      </c>
      <c r="P141">
        <f>$C141*P140</f>
        <v/>
      </c>
      <c r="Q141">
        <f>$C141*Q140</f>
        <v/>
      </c>
      <c r="R141">
        <f>$C141*R140</f>
        <v/>
      </c>
      <c r="S141">
        <f>$C141*S140</f>
        <v/>
      </c>
      <c r="T141">
        <f>$C141*T140</f>
        <v/>
      </c>
      <c r="U141">
        <f>$C141*U140</f>
        <v/>
      </c>
      <c r="V141">
        <f>$C141*V140</f>
        <v/>
      </c>
      <c r="W141">
        <f>$C141*W140</f>
        <v/>
      </c>
      <c r="X141">
        <f>$C141*X140</f>
        <v/>
      </c>
      <c r="Y141">
        <f>$C141*Y140</f>
        <v/>
      </c>
      <c r="Z141">
        <f>$C141*Z140</f>
        <v/>
      </c>
      <c r="AA141">
        <f>$C141*AA140</f>
        <v/>
      </c>
      <c r="AB141">
        <f>$C141*AB140</f>
        <v/>
      </c>
      <c r="AC141">
        <f>$C141*AC140</f>
        <v/>
      </c>
      <c r="AD141">
        <f>$C141*AD140</f>
        <v/>
      </c>
      <c r="AE141">
        <f>$C141*AE140</f>
        <v/>
      </c>
      <c r="AF141">
        <f>$C141*AF140</f>
        <v/>
      </c>
      <c r="AG141">
        <f>$C141*AG140</f>
        <v/>
      </c>
      <c r="AH141">
        <f>$C141*AH140</f>
        <v/>
      </c>
      <c r="AI141">
        <f>$C141*AI140</f>
        <v/>
      </c>
      <c r="AJ141">
        <f>$C141*AJ140</f>
        <v/>
      </c>
      <c r="AK141">
        <f>$C141*AK140</f>
        <v/>
      </c>
      <c r="AL141">
        <f>$C141*AL140</f>
        <v/>
      </c>
      <c r="AM141">
        <f>$C141*AM140</f>
        <v/>
      </c>
      <c r="AN141">
        <f>$C141*AN140</f>
        <v/>
      </c>
      <c r="AO141">
        <f>$C141*AO140</f>
        <v/>
      </c>
      <c r="AP141">
        <f>$C141*AP140</f>
        <v/>
      </c>
      <c r="AQ141">
        <f>$C141*AQ140</f>
        <v/>
      </c>
      <c r="AR141">
        <f>$C141*AR140</f>
        <v/>
      </c>
      <c r="AS141">
        <f>$C141*AS140</f>
        <v/>
      </c>
      <c r="AT141">
        <f>$C141*AT140</f>
        <v/>
      </c>
      <c r="AU141">
        <f>$C141*AU140</f>
        <v/>
      </c>
      <c r="AV141">
        <f>$C141*AV140</f>
        <v/>
      </c>
      <c r="AW141">
        <f>$C141*AW140</f>
        <v/>
      </c>
      <c r="AX141">
        <f>$C141*AX140</f>
        <v/>
      </c>
      <c r="AY141">
        <f>$C141*AY140</f>
        <v/>
      </c>
      <c r="AZ141">
        <f>$C141*AZ140</f>
        <v/>
      </c>
      <c r="BA141">
        <f>$C141*BA140</f>
        <v/>
      </c>
      <c r="BB141">
        <f>$C141*BB140</f>
        <v/>
      </c>
      <c r="BC141">
        <f>$C141*BC140</f>
        <v/>
      </c>
      <c r="BD141">
        <f>$C141*BD140</f>
        <v/>
      </c>
      <c r="BE141">
        <f>$C141*BE140</f>
        <v/>
      </c>
      <c r="BF141">
        <f>$C141*BF140</f>
        <v/>
      </c>
      <c r="BG141">
        <f>$C141*BG140</f>
        <v/>
      </c>
      <c r="BH141">
        <f>$C141*BH140</f>
        <v/>
      </c>
      <c r="BI141">
        <f>$C141*BI140</f>
        <v/>
      </c>
      <c r="BJ141">
        <f>$C141*BJ140</f>
        <v/>
      </c>
      <c r="BK141">
        <f>$C141*BK140</f>
        <v/>
      </c>
      <c r="BL141">
        <f>$C141*BL140</f>
        <v/>
      </c>
      <c r="BM141">
        <f>$C141*BM140</f>
        <v/>
      </c>
      <c r="BN141">
        <f>$C141*BN140</f>
        <v/>
      </c>
      <c r="BO141">
        <f>$C141*BO140</f>
        <v/>
      </c>
      <c r="BP141">
        <f>$C141*BP140</f>
        <v/>
      </c>
      <c r="BQ141">
        <f>$C141*BQ140</f>
        <v/>
      </c>
      <c r="BR141">
        <f>$C141*BR140</f>
        <v/>
      </c>
      <c r="BS141">
        <f>$C141*BS140</f>
        <v/>
      </c>
      <c r="BT141">
        <f>$C141*BT140</f>
        <v/>
      </c>
      <c r="BU141">
        <f>$C141*BU140</f>
        <v/>
      </c>
      <c r="BV141">
        <f>$C141*BV140</f>
        <v/>
      </c>
      <c r="BW141">
        <f>$C141*BW140</f>
        <v/>
      </c>
      <c r="BX141">
        <f>$C141*BX140</f>
        <v/>
      </c>
      <c r="BY141">
        <f>$C141*BY140</f>
        <v/>
      </c>
      <c r="BZ141">
        <f>$C141*BZ140</f>
        <v/>
      </c>
      <c r="CA141">
        <f>$C141*CA140</f>
        <v/>
      </c>
      <c r="CB141">
        <f>$C141*CB140</f>
        <v/>
      </c>
      <c r="CC141">
        <f>$C141*CC140</f>
        <v/>
      </c>
      <c r="CD141">
        <f>$C141*CD140</f>
        <v/>
      </c>
      <c r="CE141">
        <f>$C141*CE140</f>
        <v/>
      </c>
      <c r="CF141">
        <f>$C141*CF140</f>
        <v/>
      </c>
      <c r="CG141">
        <f>$C141*CG140</f>
        <v/>
      </c>
      <c r="CH141">
        <f>$C141*CH140</f>
        <v/>
      </c>
      <c r="CI141">
        <f>$C141*CI140</f>
        <v/>
      </c>
      <c r="CJ141">
        <f>$C141*CJ140</f>
        <v/>
      </c>
      <c r="CK141">
        <f>$C141*CK140</f>
        <v/>
      </c>
      <c r="CL141">
        <f>$C141*CL140</f>
        <v/>
      </c>
      <c r="CM141">
        <f>$C141*CM140</f>
        <v/>
      </c>
      <c r="CN141">
        <f>$C141*CN140</f>
        <v/>
      </c>
      <c r="CO141">
        <f>$C141*CO140</f>
        <v/>
      </c>
      <c r="CP141">
        <f>$C141*CP140</f>
        <v/>
      </c>
      <c r="CQ141">
        <f>$C141*CQ140</f>
        <v/>
      </c>
      <c r="CR141">
        <f>$C141*CR140</f>
        <v/>
      </c>
      <c r="CS141">
        <f>$C141*CS140</f>
        <v/>
      </c>
      <c r="CT141">
        <f>$C141*CT140</f>
        <v/>
      </c>
      <c r="CU141">
        <f>$C141*CU140</f>
        <v/>
      </c>
      <c r="CV141">
        <f>$C141*CV140</f>
        <v/>
      </c>
      <c r="CW141">
        <f>$C141*CW140</f>
        <v/>
      </c>
      <c r="CX141">
        <f>$C141*CX140</f>
        <v/>
      </c>
      <c r="CY141">
        <f>$C141*CY140</f>
        <v/>
      </c>
      <c r="CZ141">
        <f>$C141*CZ140</f>
        <v/>
      </c>
      <c r="DA141">
        <f>$C141*DA140</f>
        <v/>
      </c>
      <c r="DB141">
        <f>$C141*DB140</f>
        <v/>
      </c>
      <c r="DC141">
        <f>$C141*DC140</f>
        <v/>
      </c>
    </row>
    <row r="142">
      <c r="B142" t="inlineStr">
        <is>
          <t>TSP-936</t>
        </is>
      </c>
      <c r="C142" t="inlineStr">
        <is>
          <t>No. of batches</t>
        </is>
      </c>
      <c r="D142">
        <f>IFERROR(INDEX(PP_Grid[#Data],$DD142,2),0)</f>
        <v/>
      </c>
      <c r="E142">
        <f>IFERROR(INDEX(PP_Grid[#Data],$DD142,3),0)</f>
        <v/>
      </c>
      <c r="F142">
        <f>IFERROR(INDEX(PP_Grid[#Data],$DD142,4),0)</f>
        <v/>
      </c>
      <c r="G142">
        <f>IFERROR(INDEX(PP_Grid[#Data],$DD142,5),0)</f>
        <v/>
      </c>
      <c r="H142">
        <f>IFERROR(INDEX(PP_Grid[#Data],$DD142,6),0)</f>
        <v/>
      </c>
      <c r="I142">
        <f>IFERROR(INDEX(PP_Grid[#Data],$DD142,7),0)</f>
        <v/>
      </c>
      <c r="J142">
        <f>IFERROR(INDEX(PP_Grid[#Data],$DD142,8),0)</f>
        <v/>
      </c>
      <c r="K142">
        <f>IFERROR(INDEX(PP_Grid[#Data],$DD142,9),0)</f>
        <v/>
      </c>
      <c r="L142">
        <f>IFERROR(INDEX(PP_Grid[#Data],$DD142,10),0)</f>
        <v/>
      </c>
      <c r="M142">
        <f>IFERROR(INDEX(PP_Grid[#Data],$DD142,11),0)</f>
        <v/>
      </c>
      <c r="N142">
        <f>IFERROR(INDEX(PP_Grid[#Data],$DD142,12),0)</f>
        <v/>
      </c>
      <c r="O142">
        <f>IFERROR(INDEX(PP_Grid[#Data],$DD142,13),0)</f>
        <v/>
      </c>
      <c r="P142">
        <f>IFERROR(INDEX(PP_Grid[#Data],$DD142,14),0)</f>
        <v/>
      </c>
      <c r="Q142">
        <f>IFERROR(INDEX(PP_Grid[#Data],$DD142,15),0)</f>
        <v/>
      </c>
      <c r="R142">
        <f>IFERROR(INDEX(PP_Grid[#Data],$DD142,16),0)</f>
        <v/>
      </c>
      <c r="S142">
        <f>IFERROR(INDEX(PP_Grid[#Data],$DD142,17),0)</f>
        <v/>
      </c>
      <c r="T142">
        <f>IFERROR(INDEX(PP_Grid[#Data],$DD142,18),0)</f>
        <v/>
      </c>
      <c r="U142">
        <f>IFERROR(INDEX(PP_Grid[#Data],$DD142,19),0)</f>
        <v/>
      </c>
      <c r="V142">
        <f>IFERROR(INDEX(PP_Grid[#Data],$DD142,20),0)</f>
        <v/>
      </c>
      <c r="W142">
        <f>IFERROR(INDEX(PP_Grid[#Data],$DD142,21),0)</f>
        <v/>
      </c>
      <c r="X142">
        <f>IFERROR(INDEX(PP_Grid[#Data],$DD142,22),0)</f>
        <v/>
      </c>
      <c r="Y142">
        <f>IFERROR(INDEX(PP_Grid[#Data],$DD142,23),0)</f>
        <v/>
      </c>
      <c r="Z142">
        <f>IFERROR(INDEX(PP_Grid[#Data],$DD142,24),0)</f>
        <v/>
      </c>
      <c r="AA142">
        <f>IFERROR(INDEX(PP_Grid[#Data],$DD142,25),0)</f>
        <v/>
      </c>
      <c r="AB142">
        <f>IFERROR(INDEX(PP_Grid[#Data],$DD142,26),0)</f>
        <v/>
      </c>
      <c r="AC142">
        <f>IFERROR(INDEX(PP_Grid[#Data],$DD142,27),0)</f>
        <v/>
      </c>
      <c r="AD142">
        <f>IFERROR(INDEX(PP_Grid[#Data],$DD142,28),0)</f>
        <v/>
      </c>
      <c r="AE142">
        <f>IFERROR(INDEX(PP_Grid[#Data],$DD142,29),0)</f>
        <v/>
      </c>
      <c r="AF142">
        <f>IFERROR(INDEX(PP_Grid[#Data],$DD142,30),0)</f>
        <v/>
      </c>
      <c r="AG142">
        <f>IFERROR(INDEX(PP_Grid[#Data],$DD142,31),0)</f>
        <v/>
      </c>
      <c r="AH142">
        <f>IFERROR(INDEX(PP_Grid[#Data],$DD142,32),0)</f>
        <v/>
      </c>
      <c r="AI142">
        <f>IFERROR(INDEX(PP_Grid[#Data],$DD142,33),0)</f>
        <v/>
      </c>
      <c r="AJ142">
        <f>IFERROR(INDEX(PP_Grid[#Data],$DD142,34),0)</f>
        <v/>
      </c>
      <c r="AK142">
        <f>IFERROR(INDEX(PP_Grid[#Data],$DD142,35),0)</f>
        <v/>
      </c>
      <c r="AL142">
        <f>IFERROR(INDEX(PP_Grid[#Data],$DD142,36),0)</f>
        <v/>
      </c>
      <c r="AM142">
        <f>IFERROR(INDEX(PP_Grid[#Data],$DD142,37),0)</f>
        <v/>
      </c>
      <c r="AN142">
        <f>IFERROR(INDEX(PP_Grid[#Data],$DD142,38),0)</f>
        <v/>
      </c>
      <c r="AO142">
        <f>IFERROR(INDEX(PP_Grid[#Data],$DD142,39),0)</f>
        <v/>
      </c>
      <c r="AP142">
        <f>IFERROR(INDEX(PP_Grid[#Data],$DD142,40),0)</f>
        <v/>
      </c>
      <c r="AQ142">
        <f>IFERROR(INDEX(PP_Grid[#Data],$DD142,41),0)</f>
        <v/>
      </c>
      <c r="AR142">
        <f>IFERROR(INDEX(PP_Grid[#Data],$DD142,42),0)</f>
        <v/>
      </c>
      <c r="AS142">
        <f>IFERROR(INDEX(PP_Grid[#Data],$DD142,43),0)</f>
        <v/>
      </c>
      <c r="AT142">
        <f>IFERROR(INDEX(PP_Grid[#Data],$DD142,44),0)</f>
        <v/>
      </c>
      <c r="AU142">
        <f>IFERROR(INDEX(PP_Grid[#Data],$DD142,45),0)</f>
        <v/>
      </c>
      <c r="AV142">
        <f>IFERROR(INDEX(PP_Grid[#Data],$DD142,46),0)</f>
        <v/>
      </c>
      <c r="AW142">
        <f>IFERROR(INDEX(PP_Grid[#Data],$DD142,47),0)</f>
        <v/>
      </c>
      <c r="AX142">
        <f>IFERROR(INDEX(PP_Grid[#Data],$DD142,48),0)</f>
        <v/>
      </c>
      <c r="AY142">
        <f>IFERROR(INDEX(PP_Grid[#Data],$DD142,49),0)</f>
        <v/>
      </c>
      <c r="AZ142">
        <f>IFERROR(INDEX(PP_Grid[#Data],$DD142,50),0)</f>
        <v/>
      </c>
      <c r="BA142">
        <f>IFERROR(INDEX(PP_Grid[#Data],$DD142,51),0)</f>
        <v/>
      </c>
      <c r="BB142">
        <f>IFERROR(INDEX(PP_Grid[#Data],$DD142,52),0)</f>
        <v/>
      </c>
      <c r="BC142">
        <f>IFERROR(INDEX(PP_Grid[#Data],$DD142,53),0)</f>
        <v/>
      </c>
      <c r="BD142">
        <f>IFERROR(INDEX(PP_Grid[#Data],$DD142,54),0)</f>
        <v/>
      </c>
      <c r="BE142">
        <f>IFERROR(INDEX(PP_Grid[#Data],$DD142,55),0)</f>
        <v/>
      </c>
      <c r="BF142">
        <f>IFERROR(INDEX(PP_Grid[#Data],$DD142,56),0)</f>
        <v/>
      </c>
      <c r="BG142">
        <f>IFERROR(INDEX(PP_Grid[#Data],$DD142,57),0)</f>
        <v/>
      </c>
      <c r="BH142">
        <f>IFERROR(INDEX(PP_Grid[#Data],$DD142,58),0)</f>
        <v/>
      </c>
      <c r="BI142">
        <f>IFERROR(INDEX(PP_Grid[#Data],$DD142,59),0)</f>
        <v/>
      </c>
      <c r="BJ142">
        <f>IFERROR(INDEX(PP_Grid[#Data],$DD142,60),0)</f>
        <v/>
      </c>
      <c r="BK142">
        <f>IFERROR(INDEX(PP_Grid[#Data],$DD142,61),0)</f>
        <v/>
      </c>
      <c r="BL142">
        <f>IFERROR(INDEX(PP_Grid[#Data],$DD142,62),0)</f>
        <v/>
      </c>
      <c r="BM142">
        <f>IFERROR(INDEX(PP_Grid[#Data],$DD142,63),0)</f>
        <v/>
      </c>
      <c r="BN142">
        <f>IFERROR(INDEX(PP_Grid[#Data],$DD142,64),0)</f>
        <v/>
      </c>
      <c r="BO142">
        <f>IFERROR(INDEX(PP_Grid[#Data],$DD142,65),0)</f>
        <v/>
      </c>
      <c r="BP142">
        <f>IFERROR(INDEX(PP_Grid[#Data],$DD142,66),0)</f>
        <v/>
      </c>
      <c r="BQ142">
        <f>IFERROR(INDEX(PP_Grid[#Data],$DD142,67),0)</f>
        <v/>
      </c>
      <c r="BR142">
        <f>IFERROR(INDEX(PP_Grid[#Data],$DD142,68),0)</f>
        <v/>
      </c>
      <c r="BS142">
        <f>IFERROR(INDEX(PP_Grid[#Data],$DD142,69),0)</f>
        <v/>
      </c>
      <c r="BT142">
        <f>IFERROR(INDEX(PP_Grid[#Data],$DD142,70),0)</f>
        <v/>
      </c>
      <c r="BU142">
        <f>IFERROR(INDEX(PP_Grid[#Data],$DD142,71),0)</f>
        <v/>
      </c>
      <c r="BV142">
        <f>IFERROR(INDEX(PP_Grid[#Data],$DD142,72),0)</f>
        <v/>
      </c>
      <c r="BW142">
        <f>IFERROR(INDEX(PP_Grid[#Data],$DD142,73),0)</f>
        <v/>
      </c>
      <c r="BX142">
        <f>IFERROR(INDEX(PP_Grid[#Data],$DD142,74),0)</f>
        <v/>
      </c>
      <c r="BY142">
        <f>IFERROR(INDEX(PP_Grid[#Data],$DD142,75),0)</f>
        <v/>
      </c>
      <c r="BZ142">
        <f>IFERROR(INDEX(PP_Grid[#Data],$DD142,76),0)</f>
        <v/>
      </c>
      <c r="CA142">
        <f>IFERROR(INDEX(PP_Grid[#Data],$DD142,77),0)</f>
        <v/>
      </c>
      <c r="CB142">
        <f>IFERROR(INDEX(PP_Grid[#Data],$DD142,78),0)</f>
        <v/>
      </c>
      <c r="CC142">
        <f>IFERROR(INDEX(PP_Grid[#Data],$DD142,79),0)</f>
        <v/>
      </c>
      <c r="CD142">
        <f>IFERROR(INDEX(PP_Grid[#Data],$DD142,80),0)</f>
        <v/>
      </c>
      <c r="CE142">
        <f>IFERROR(INDEX(PP_Grid[#Data],$DD142,81),0)</f>
        <v/>
      </c>
      <c r="CF142">
        <f>IFERROR(INDEX(PP_Grid[#Data],$DD142,82),0)</f>
        <v/>
      </c>
      <c r="CG142">
        <f>IFERROR(INDEX(PP_Grid[#Data],$DD142,83),0)</f>
        <v/>
      </c>
      <c r="CH142">
        <f>IFERROR(INDEX(PP_Grid[#Data],$DD142,84),0)</f>
        <v/>
      </c>
      <c r="CI142">
        <f>IFERROR(INDEX(PP_Grid[#Data],$DD142,85),0)</f>
        <v/>
      </c>
      <c r="CJ142">
        <f>IFERROR(INDEX(PP_Grid[#Data],$DD142,86),0)</f>
        <v/>
      </c>
      <c r="CK142">
        <f>IFERROR(INDEX(PP_Grid[#Data],$DD142,87),0)</f>
        <v/>
      </c>
      <c r="CL142">
        <f>IFERROR(INDEX(PP_Grid[#Data],$DD142,88),0)</f>
        <v/>
      </c>
      <c r="CM142">
        <f>IFERROR(INDEX(PP_Grid[#Data],$DD142,89),0)</f>
        <v/>
      </c>
      <c r="CN142">
        <f>IFERROR(INDEX(PP_Grid[#Data],$DD142,90),0)</f>
        <v/>
      </c>
      <c r="CO142">
        <f>IFERROR(INDEX(PP_Grid[#Data],$DD142,91),0)</f>
        <v/>
      </c>
      <c r="CP142">
        <f>IFERROR(INDEX(PP_Grid[#Data],$DD142,92),0)</f>
        <v/>
      </c>
      <c r="CQ142">
        <f>IFERROR(INDEX(PP_Grid[#Data],$DD142,93),0)</f>
        <v/>
      </c>
      <c r="CR142">
        <f>IFERROR(INDEX(PP_Grid[#Data],$DD142,94),0)</f>
        <v/>
      </c>
      <c r="CS142">
        <f>IFERROR(INDEX(PP_Grid[#Data],$DD142,95),0)</f>
        <v/>
      </c>
      <c r="CT142">
        <f>IFERROR(INDEX(PP_Grid[#Data],$DD142,96),0)</f>
        <v/>
      </c>
      <c r="CU142">
        <f>IFERROR(INDEX(PP_Grid[#Data],$DD142,97),0)</f>
        <v/>
      </c>
      <c r="CV142">
        <f>IFERROR(INDEX(PP_Grid[#Data],$DD142,98),0)</f>
        <v/>
      </c>
      <c r="CW142">
        <f>IFERROR(INDEX(PP_Grid[#Data],$DD142,99),0)</f>
        <v/>
      </c>
      <c r="CX142">
        <f>IFERROR(INDEX(PP_Grid[#Data],$DD142,100),0)</f>
        <v/>
      </c>
      <c r="CY142">
        <f>IFERROR(INDEX(PP_Grid[#Data],$DD142,101),0)</f>
        <v/>
      </c>
      <c r="CZ142">
        <f>IFERROR(INDEX(PP_Grid[#Data],$DD142,102),0)</f>
        <v/>
      </c>
      <c r="DA142">
        <f>IFERROR(INDEX(PP_Grid[#Data],$DD142,103),0)</f>
        <v/>
      </c>
      <c r="DB142">
        <f>IFERROR(INDEX(PP_Grid[#Data],$DD142,104),0)</f>
        <v/>
      </c>
      <c r="DC142">
        <f>IFERROR(INDEX(PP_Grid[#Data],$DD142,105),0)</f>
        <v/>
      </c>
      <c r="DD142" s="7">
        <f>IFERROR(MATCH($B142,PP_Grid[Intermediate],0),99999)</f>
        <v/>
      </c>
    </row>
    <row r="143">
      <c r="B143" t="inlineStr">
        <is>
          <t>使用量(kg)</t>
        </is>
      </c>
      <c r="C143">
        <f>SUMIFS(M_BOM[RM_Qty_Per_Batch],M_BOM[Intermediate],$B142,M_BOM[Part Name],$A45)</f>
        <v/>
      </c>
      <c r="D143">
        <f>$C143*D142</f>
        <v/>
      </c>
      <c r="E143">
        <f>$C143*E142</f>
        <v/>
      </c>
      <c r="F143">
        <f>$C143*F142</f>
        <v/>
      </c>
      <c r="G143">
        <f>$C143*G142</f>
        <v/>
      </c>
      <c r="H143">
        <f>$C143*H142</f>
        <v/>
      </c>
      <c r="I143">
        <f>$C143*I142</f>
        <v/>
      </c>
      <c r="J143">
        <f>$C143*J142</f>
        <v/>
      </c>
      <c r="K143">
        <f>$C143*K142</f>
        <v/>
      </c>
      <c r="L143">
        <f>$C143*L142</f>
        <v/>
      </c>
      <c r="M143">
        <f>$C143*M142</f>
        <v/>
      </c>
      <c r="N143">
        <f>$C143*N142</f>
        <v/>
      </c>
      <c r="O143">
        <f>$C143*O142</f>
        <v/>
      </c>
      <c r="P143">
        <f>$C143*P142</f>
        <v/>
      </c>
      <c r="Q143">
        <f>$C143*Q142</f>
        <v/>
      </c>
      <c r="R143">
        <f>$C143*R142</f>
        <v/>
      </c>
      <c r="S143">
        <f>$C143*S142</f>
        <v/>
      </c>
      <c r="T143">
        <f>$C143*T142</f>
        <v/>
      </c>
      <c r="U143">
        <f>$C143*U142</f>
        <v/>
      </c>
      <c r="V143">
        <f>$C143*V142</f>
        <v/>
      </c>
      <c r="W143">
        <f>$C143*W142</f>
        <v/>
      </c>
      <c r="X143">
        <f>$C143*X142</f>
        <v/>
      </c>
      <c r="Y143">
        <f>$C143*Y142</f>
        <v/>
      </c>
      <c r="Z143">
        <f>$C143*Z142</f>
        <v/>
      </c>
      <c r="AA143">
        <f>$C143*AA142</f>
        <v/>
      </c>
      <c r="AB143">
        <f>$C143*AB142</f>
        <v/>
      </c>
      <c r="AC143">
        <f>$C143*AC142</f>
        <v/>
      </c>
      <c r="AD143">
        <f>$C143*AD142</f>
        <v/>
      </c>
      <c r="AE143">
        <f>$C143*AE142</f>
        <v/>
      </c>
      <c r="AF143">
        <f>$C143*AF142</f>
        <v/>
      </c>
      <c r="AG143">
        <f>$C143*AG142</f>
        <v/>
      </c>
      <c r="AH143">
        <f>$C143*AH142</f>
        <v/>
      </c>
      <c r="AI143">
        <f>$C143*AI142</f>
        <v/>
      </c>
      <c r="AJ143">
        <f>$C143*AJ142</f>
        <v/>
      </c>
      <c r="AK143">
        <f>$C143*AK142</f>
        <v/>
      </c>
      <c r="AL143">
        <f>$C143*AL142</f>
        <v/>
      </c>
      <c r="AM143">
        <f>$C143*AM142</f>
        <v/>
      </c>
      <c r="AN143">
        <f>$C143*AN142</f>
        <v/>
      </c>
      <c r="AO143">
        <f>$C143*AO142</f>
        <v/>
      </c>
      <c r="AP143">
        <f>$C143*AP142</f>
        <v/>
      </c>
      <c r="AQ143">
        <f>$C143*AQ142</f>
        <v/>
      </c>
      <c r="AR143">
        <f>$C143*AR142</f>
        <v/>
      </c>
      <c r="AS143">
        <f>$C143*AS142</f>
        <v/>
      </c>
      <c r="AT143">
        <f>$C143*AT142</f>
        <v/>
      </c>
      <c r="AU143">
        <f>$C143*AU142</f>
        <v/>
      </c>
      <c r="AV143">
        <f>$C143*AV142</f>
        <v/>
      </c>
      <c r="AW143">
        <f>$C143*AW142</f>
        <v/>
      </c>
      <c r="AX143">
        <f>$C143*AX142</f>
        <v/>
      </c>
      <c r="AY143">
        <f>$C143*AY142</f>
        <v/>
      </c>
      <c r="AZ143">
        <f>$C143*AZ142</f>
        <v/>
      </c>
      <c r="BA143">
        <f>$C143*BA142</f>
        <v/>
      </c>
      <c r="BB143">
        <f>$C143*BB142</f>
        <v/>
      </c>
      <c r="BC143">
        <f>$C143*BC142</f>
        <v/>
      </c>
      <c r="BD143">
        <f>$C143*BD142</f>
        <v/>
      </c>
      <c r="BE143">
        <f>$C143*BE142</f>
        <v/>
      </c>
      <c r="BF143">
        <f>$C143*BF142</f>
        <v/>
      </c>
      <c r="BG143">
        <f>$C143*BG142</f>
        <v/>
      </c>
      <c r="BH143">
        <f>$C143*BH142</f>
        <v/>
      </c>
      <c r="BI143">
        <f>$C143*BI142</f>
        <v/>
      </c>
      <c r="BJ143">
        <f>$C143*BJ142</f>
        <v/>
      </c>
      <c r="BK143">
        <f>$C143*BK142</f>
        <v/>
      </c>
      <c r="BL143">
        <f>$C143*BL142</f>
        <v/>
      </c>
      <c r="BM143">
        <f>$C143*BM142</f>
        <v/>
      </c>
      <c r="BN143">
        <f>$C143*BN142</f>
        <v/>
      </c>
      <c r="BO143">
        <f>$C143*BO142</f>
        <v/>
      </c>
      <c r="BP143">
        <f>$C143*BP142</f>
        <v/>
      </c>
      <c r="BQ143">
        <f>$C143*BQ142</f>
        <v/>
      </c>
      <c r="BR143">
        <f>$C143*BR142</f>
        <v/>
      </c>
      <c r="BS143">
        <f>$C143*BS142</f>
        <v/>
      </c>
      <c r="BT143">
        <f>$C143*BT142</f>
        <v/>
      </c>
      <c r="BU143">
        <f>$C143*BU142</f>
        <v/>
      </c>
      <c r="BV143">
        <f>$C143*BV142</f>
        <v/>
      </c>
      <c r="BW143">
        <f>$C143*BW142</f>
        <v/>
      </c>
      <c r="BX143">
        <f>$C143*BX142</f>
        <v/>
      </c>
      <c r="BY143">
        <f>$C143*BY142</f>
        <v/>
      </c>
      <c r="BZ143">
        <f>$C143*BZ142</f>
        <v/>
      </c>
      <c r="CA143">
        <f>$C143*CA142</f>
        <v/>
      </c>
      <c r="CB143">
        <f>$C143*CB142</f>
        <v/>
      </c>
      <c r="CC143">
        <f>$C143*CC142</f>
        <v/>
      </c>
      <c r="CD143">
        <f>$C143*CD142</f>
        <v/>
      </c>
      <c r="CE143">
        <f>$C143*CE142</f>
        <v/>
      </c>
      <c r="CF143">
        <f>$C143*CF142</f>
        <v/>
      </c>
      <c r="CG143">
        <f>$C143*CG142</f>
        <v/>
      </c>
      <c r="CH143">
        <f>$C143*CH142</f>
        <v/>
      </c>
      <c r="CI143">
        <f>$C143*CI142</f>
        <v/>
      </c>
      <c r="CJ143">
        <f>$C143*CJ142</f>
        <v/>
      </c>
      <c r="CK143">
        <f>$C143*CK142</f>
        <v/>
      </c>
      <c r="CL143">
        <f>$C143*CL142</f>
        <v/>
      </c>
      <c r="CM143">
        <f>$C143*CM142</f>
        <v/>
      </c>
      <c r="CN143">
        <f>$C143*CN142</f>
        <v/>
      </c>
      <c r="CO143">
        <f>$C143*CO142</f>
        <v/>
      </c>
      <c r="CP143">
        <f>$C143*CP142</f>
        <v/>
      </c>
      <c r="CQ143">
        <f>$C143*CQ142</f>
        <v/>
      </c>
      <c r="CR143">
        <f>$C143*CR142</f>
        <v/>
      </c>
      <c r="CS143">
        <f>$C143*CS142</f>
        <v/>
      </c>
      <c r="CT143">
        <f>$C143*CT142</f>
        <v/>
      </c>
      <c r="CU143">
        <f>$C143*CU142</f>
        <v/>
      </c>
      <c r="CV143">
        <f>$C143*CV142</f>
        <v/>
      </c>
      <c r="CW143">
        <f>$C143*CW142</f>
        <v/>
      </c>
      <c r="CX143">
        <f>$C143*CX142</f>
        <v/>
      </c>
      <c r="CY143">
        <f>$C143*CY142</f>
        <v/>
      </c>
      <c r="CZ143">
        <f>$C143*CZ142</f>
        <v/>
      </c>
      <c r="DA143">
        <f>$C143*DA142</f>
        <v/>
      </c>
      <c r="DB143">
        <f>$C143*DB142</f>
        <v/>
      </c>
      <c r="DC143">
        <f>$C143*DC142</f>
        <v/>
      </c>
    </row>
    <row r="144">
      <c r="B144" t="inlineStr">
        <is>
          <t>TSP-937</t>
        </is>
      </c>
      <c r="C144" t="inlineStr">
        <is>
          <t>No. of batches</t>
        </is>
      </c>
      <c r="D144">
        <f>IFERROR(INDEX(PP_Grid[#Data],$DD144,2),0)</f>
        <v/>
      </c>
      <c r="E144">
        <f>IFERROR(INDEX(PP_Grid[#Data],$DD144,3),0)</f>
        <v/>
      </c>
      <c r="F144">
        <f>IFERROR(INDEX(PP_Grid[#Data],$DD144,4),0)</f>
        <v/>
      </c>
      <c r="G144">
        <f>IFERROR(INDEX(PP_Grid[#Data],$DD144,5),0)</f>
        <v/>
      </c>
      <c r="H144">
        <f>IFERROR(INDEX(PP_Grid[#Data],$DD144,6),0)</f>
        <v/>
      </c>
      <c r="I144">
        <f>IFERROR(INDEX(PP_Grid[#Data],$DD144,7),0)</f>
        <v/>
      </c>
      <c r="J144">
        <f>IFERROR(INDEX(PP_Grid[#Data],$DD144,8),0)</f>
        <v/>
      </c>
      <c r="K144">
        <f>IFERROR(INDEX(PP_Grid[#Data],$DD144,9),0)</f>
        <v/>
      </c>
      <c r="L144">
        <f>IFERROR(INDEX(PP_Grid[#Data],$DD144,10),0)</f>
        <v/>
      </c>
      <c r="M144">
        <f>IFERROR(INDEX(PP_Grid[#Data],$DD144,11),0)</f>
        <v/>
      </c>
      <c r="N144">
        <f>IFERROR(INDEX(PP_Grid[#Data],$DD144,12),0)</f>
        <v/>
      </c>
      <c r="O144">
        <f>IFERROR(INDEX(PP_Grid[#Data],$DD144,13),0)</f>
        <v/>
      </c>
      <c r="P144">
        <f>IFERROR(INDEX(PP_Grid[#Data],$DD144,14),0)</f>
        <v/>
      </c>
      <c r="Q144">
        <f>IFERROR(INDEX(PP_Grid[#Data],$DD144,15),0)</f>
        <v/>
      </c>
      <c r="R144">
        <f>IFERROR(INDEX(PP_Grid[#Data],$DD144,16),0)</f>
        <v/>
      </c>
      <c r="S144">
        <f>IFERROR(INDEX(PP_Grid[#Data],$DD144,17),0)</f>
        <v/>
      </c>
      <c r="T144">
        <f>IFERROR(INDEX(PP_Grid[#Data],$DD144,18),0)</f>
        <v/>
      </c>
      <c r="U144">
        <f>IFERROR(INDEX(PP_Grid[#Data],$DD144,19),0)</f>
        <v/>
      </c>
      <c r="V144">
        <f>IFERROR(INDEX(PP_Grid[#Data],$DD144,20),0)</f>
        <v/>
      </c>
      <c r="W144">
        <f>IFERROR(INDEX(PP_Grid[#Data],$DD144,21),0)</f>
        <v/>
      </c>
      <c r="X144">
        <f>IFERROR(INDEX(PP_Grid[#Data],$DD144,22),0)</f>
        <v/>
      </c>
      <c r="Y144">
        <f>IFERROR(INDEX(PP_Grid[#Data],$DD144,23),0)</f>
        <v/>
      </c>
      <c r="Z144">
        <f>IFERROR(INDEX(PP_Grid[#Data],$DD144,24),0)</f>
        <v/>
      </c>
      <c r="AA144">
        <f>IFERROR(INDEX(PP_Grid[#Data],$DD144,25),0)</f>
        <v/>
      </c>
      <c r="AB144">
        <f>IFERROR(INDEX(PP_Grid[#Data],$DD144,26),0)</f>
        <v/>
      </c>
      <c r="AC144">
        <f>IFERROR(INDEX(PP_Grid[#Data],$DD144,27),0)</f>
        <v/>
      </c>
      <c r="AD144">
        <f>IFERROR(INDEX(PP_Grid[#Data],$DD144,28),0)</f>
        <v/>
      </c>
      <c r="AE144">
        <f>IFERROR(INDEX(PP_Grid[#Data],$DD144,29),0)</f>
        <v/>
      </c>
      <c r="AF144">
        <f>IFERROR(INDEX(PP_Grid[#Data],$DD144,30),0)</f>
        <v/>
      </c>
      <c r="AG144">
        <f>IFERROR(INDEX(PP_Grid[#Data],$DD144,31),0)</f>
        <v/>
      </c>
      <c r="AH144">
        <f>IFERROR(INDEX(PP_Grid[#Data],$DD144,32),0)</f>
        <v/>
      </c>
      <c r="AI144">
        <f>IFERROR(INDEX(PP_Grid[#Data],$DD144,33),0)</f>
        <v/>
      </c>
      <c r="AJ144">
        <f>IFERROR(INDEX(PP_Grid[#Data],$DD144,34),0)</f>
        <v/>
      </c>
      <c r="AK144">
        <f>IFERROR(INDEX(PP_Grid[#Data],$DD144,35),0)</f>
        <v/>
      </c>
      <c r="AL144">
        <f>IFERROR(INDEX(PP_Grid[#Data],$DD144,36),0)</f>
        <v/>
      </c>
      <c r="AM144">
        <f>IFERROR(INDEX(PP_Grid[#Data],$DD144,37),0)</f>
        <v/>
      </c>
      <c r="AN144">
        <f>IFERROR(INDEX(PP_Grid[#Data],$DD144,38),0)</f>
        <v/>
      </c>
      <c r="AO144">
        <f>IFERROR(INDEX(PP_Grid[#Data],$DD144,39),0)</f>
        <v/>
      </c>
      <c r="AP144">
        <f>IFERROR(INDEX(PP_Grid[#Data],$DD144,40),0)</f>
        <v/>
      </c>
      <c r="AQ144">
        <f>IFERROR(INDEX(PP_Grid[#Data],$DD144,41),0)</f>
        <v/>
      </c>
      <c r="AR144">
        <f>IFERROR(INDEX(PP_Grid[#Data],$DD144,42),0)</f>
        <v/>
      </c>
      <c r="AS144">
        <f>IFERROR(INDEX(PP_Grid[#Data],$DD144,43),0)</f>
        <v/>
      </c>
      <c r="AT144">
        <f>IFERROR(INDEX(PP_Grid[#Data],$DD144,44),0)</f>
        <v/>
      </c>
      <c r="AU144">
        <f>IFERROR(INDEX(PP_Grid[#Data],$DD144,45),0)</f>
        <v/>
      </c>
      <c r="AV144">
        <f>IFERROR(INDEX(PP_Grid[#Data],$DD144,46),0)</f>
        <v/>
      </c>
      <c r="AW144">
        <f>IFERROR(INDEX(PP_Grid[#Data],$DD144,47),0)</f>
        <v/>
      </c>
      <c r="AX144">
        <f>IFERROR(INDEX(PP_Grid[#Data],$DD144,48),0)</f>
        <v/>
      </c>
      <c r="AY144">
        <f>IFERROR(INDEX(PP_Grid[#Data],$DD144,49),0)</f>
        <v/>
      </c>
      <c r="AZ144">
        <f>IFERROR(INDEX(PP_Grid[#Data],$DD144,50),0)</f>
        <v/>
      </c>
      <c r="BA144">
        <f>IFERROR(INDEX(PP_Grid[#Data],$DD144,51),0)</f>
        <v/>
      </c>
      <c r="BB144">
        <f>IFERROR(INDEX(PP_Grid[#Data],$DD144,52),0)</f>
        <v/>
      </c>
      <c r="BC144">
        <f>IFERROR(INDEX(PP_Grid[#Data],$DD144,53),0)</f>
        <v/>
      </c>
      <c r="BD144">
        <f>IFERROR(INDEX(PP_Grid[#Data],$DD144,54),0)</f>
        <v/>
      </c>
      <c r="BE144">
        <f>IFERROR(INDEX(PP_Grid[#Data],$DD144,55),0)</f>
        <v/>
      </c>
      <c r="BF144">
        <f>IFERROR(INDEX(PP_Grid[#Data],$DD144,56),0)</f>
        <v/>
      </c>
      <c r="BG144">
        <f>IFERROR(INDEX(PP_Grid[#Data],$DD144,57),0)</f>
        <v/>
      </c>
      <c r="BH144">
        <f>IFERROR(INDEX(PP_Grid[#Data],$DD144,58),0)</f>
        <v/>
      </c>
      <c r="BI144">
        <f>IFERROR(INDEX(PP_Grid[#Data],$DD144,59),0)</f>
        <v/>
      </c>
      <c r="BJ144">
        <f>IFERROR(INDEX(PP_Grid[#Data],$DD144,60),0)</f>
        <v/>
      </c>
      <c r="BK144">
        <f>IFERROR(INDEX(PP_Grid[#Data],$DD144,61),0)</f>
        <v/>
      </c>
      <c r="BL144">
        <f>IFERROR(INDEX(PP_Grid[#Data],$DD144,62),0)</f>
        <v/>
      </c>
      <c r="BM144">
        <f>IFERROR(INDEX(PP_Grid[#Data],$DD144,63),0)</f>
        <v/>
      </c>
      <c r="BN144">
        <f>IFERROR(INDEX(PP_Grid[#Data],$DD144,64),0)</f>
        <v/>
      </c>
      <c r="BO144">
        <f>IFERROR(INDEX(PP_Grid[#Data],$DD144,65),0)</f>
        <v/>
      </c>
      <c r="BP144">
        <f>IFERROR(INDEX(PP_Grid[#Data],$DD144,66),0)</f>
        <v/>
      </c>
      <c r="BQ144">
        <f>IFERROR(INDEX(PP_Grid[#Data],$DD144,67),0)</f>
        <v/>
      </c>
      <c r="BR144">
        <f>IFERROR(INDEX(PP_Grid[#Data],$DD144,68),0)</f>
        <v/>
      </c>
      <c r="BS144">
        <f>IFERROR(INDEX(PP_Grid[#Data],$DD144,69),0)</f>
        <v/>
      </c>
      <c r="BT144">
        <f>IFERROR(INDEX(PP_Grid[#Data],$DD144,70),0)</f>
        <v/>
      </c>
      <c r="BU144">
        <f>IFERROR(INDEX(PP_Grid[#Data],$DD144,71),0)</f>
        <v/>
      </c>
      <c r="BV144">
        <f>IFERROR(INDEX(PP_Grid[#Data],$DD144,72),0)</f>
        <v/>
      </c>
      <c r="BW144">
        <f>IFERROR(INDEX(PP_Grid[#Data],$DD144,73),0)</f>
        <v/>
      </c>
      <c r="BX144">
        <f>IFERROR(INDEX(PP_Grid[#Data],$DD144,74),0)</f>
        <v/>
      </c>
      <c r="BY144">
        <f>IFERROR(INDEX(PP_Grid[#Data],$DD144,75),0)</f>
        <v/>
      </c>
      <c r="BZ144">
        <f>IFERROR(INDEX(PP_Grid[#Data],$DD144,76),0)</f>
        <v/>
      </c>
      <c r="CA144">
        <f>IFERROR(INDEX(PP_Grid[#Data],$DD144,77),0)</f>
        <v/>
      </c>
      <c r="CB144">
        <f>IFERROR(INDEX(PP_Grid[#Data],$DD144,78),0)</f>
        <v/>
      </c>
      <c r="CC144">
        <f>IFERROR(INDEX(PP_Grid[#Data],$DD144,79),0)</f>
        <v/>
      </c>
      <c r="CD144">
        <f>IFERROR(INDEX(PP_Grid[#Data],$DD144,80),0)</f>
        <v/>
      </c>
      <c r="CE144">
        <f>IFERROR(INDEX(PP_Grid[#Data],$DD144,81),0)</f>
        <v/>
      </c>
      <c r="CF144">
        <f>IFERROR(INDEX(PP_Grid[#Data],$DD144,82),0)</f>
        <v/>
      </c>
      <c r="CG144">
        <f>IFERROR(INDEX(PP_Grid[#Data],$DD144,83),0)</f>
        <v/>
      </c>
      <c r="CH144">
        <f>IFERROR(INDEX(PP_Grid[#Data],$DD144,84),0)</f>
        <v/>
      </c>
      <c r="CI144">
        <f>IFERROR(INDEX(PP_Grid[#Data],$DD144,85),0)</f>
        <v/>
      </c>
      <c r="CJ144">
        <f>IFERROR(INDEX(PP_Grid[#Data],$DD144,86),0)</f>
        <v/>
      </c>
      <c r="CK144">
        <f>IFERROR(INDEX(PP_Grid[#Data],$DD144,87),0)</f>
        <v/>
      </c>
      <c r="CL144">
        <f>IFERROR(INDEX(PP_Grid[#Data],$DD144,88),0)</f>
        <v/>
      </c>
      <c r="CM144">
        <f>IFERROR(INDEX(PP_Grid[#Data],$DD144,89),0)</f>
        <v/>
      </c>
      <c r="CN144">
        <f>IFERROR(INDEX(PP_Grid[#Data],$DD144,90),0)</f>
        <v/>
      </c>
      <c r="CO144">
        <f>IFERROR(INDEX(PP_Grid[#Data],$DD144,91),0)</f>
        <v/>
      </c>
      <c r="CP144">
        <f>IFERROR(INDEX(PP_Grid[#Data],$DD144,92),0)</f>
        <v/>
      </c>
      <c r="CQ144">
        <f>IFERROR(INDEX(PP_Grid[#Data],$DD144,93),0)</f>
        <v/>
      </c>
      <c r="CR144">
        <f>IFERROR(INDEX(PP_Grid[#Data],$DD144,94),0)</f>
        <v/>
      </c>
      <c r="CS144">
        <f>IFERROR(INDEX(PP_Grid[#Data],$DD144,95),0)</f>
        <v/>
      </c>
      <c r="CT144">
        <f>IFERROR(INDEX(PP_Grid[#Data],$DD144,96),0)</f>
        <v/>
      </c>
      <c r="CU144">
        <f>IFERROR(INDEX(PP_Grid[#Data],$DD144,97),0)</f>
        <v/>
      </c>
      <c r="CV144">
        <f>IFERROR(INDEX(PP_Grid[#Data],$DD144,98),0)</f>
        <v/>
      </c>
      <c r="CW144">
        <f>IFERROR(INDEX(PP_Grid[#Data],$DD144,99),0)</f>
        <v/>
      </c>
      <c r="CX144">
        <f>IFERROR(INDEX(PP_Grid[#Data],$DD144,100),0)</f>
        <v/>
      </c>
      <c r="CY144">
        <f>IFERROR(INDEX(PP_Grid[#Data],$DD144,101),0)</f>
        <v/>
      </c>
      <c r="CZ144">
        <f>IFERROR(INDEX(PP_Grid[#Data],$DD144,102),0)</f>
        <v/>
      </c>
      <c r="DA144">
        <f>IFERROR(INDEX(PP_Grid[#Data],$DD144,103),0)</f>
        <v/>
      </c>
      <c r="DB144">
        <f>IFERROR(INDEX(PP_Grid[#Data],$DD144,104),0)</f>
        <v/>
      </c>
      <c r="DC144">
        <f>IFERROR(INDEX(PP_Grid[#Data],$DD144,105),0)</f>
        <v/>
      </c>
      <c r="DD144" s="7">
        <f>IFERROR(MATCH($B144,PP_Grid[Intermediate],0),99999)</f>
        <v/>
      </c>
    </row>
    <row r="145">
      <c r="B145" t="inlineStr">
        <is>
          <t>使用量(kg)</t>
        </is>
      </c>
      <c r="C145">
        <f>SUMIFS(M_BOM[RM_Qty_Per_Batch],M_BOM[Intermediate],$B144,M_BOM[Part Name],$A45)</f>
        <v/>
      </c>
      <c r="D145">
        <f>$C145*D144</f>
        <v/>
      </c>
      <c r="E145">
        <f>$C145*E144</f>
        <v/>
      </c>
      <c r="F145">
        <f>$C145*F144</f>
        <v/>
      </c>
      <c r="G145">
        <f>$C145*G144</f>
        <v/>
      </c>
      <c r="H145">
        <f>$C145*H144</f>
        <v/>
      </c>
      <c r="I145">
        <f>$C145*I144</f>
        <v/>
      </c>
      <c r="J145">
        <f>$C145*J144</f>
        <v/>
      </c>
      <c r="K145">
        <f>$C145*K144</f>
        <v/>
      </c>
      <c r="L145">
        <f>$C145*L144</f>
        <v/>
      </c>
      <c r="M145">
        <f>$C145*M144</f>
        <v/>
      </c>
      <c r="N145">
        <f>$C145*N144</f>
        <v/>
      </c>
      <c r="O145">
        <f>$C145*O144</f>
        <v/>
      </c>
      <c r="P145">
        <f>$C145*P144</f>
        <v/>
      </c>
      <c r="Q145">
        <f>$C145*Q144</f>
        <v/>
      </c>
      <c r="R145">
        <f>$C145*R144</f>
        <v/>
      </c>
      <c r="S145">
        <f>$C145*S144</f>
        <v/>
      </c>
      <c r="T145">
        <f>$C145*T144</f>
        <v/>
      </c>
      <c r="U145">
        <f>$C145*U144</f>
        <v/>
      </c>
      <c r="V145">
        <f>$C145*V144</f>
        <v/>
      </c>
      <c r="W145">
        <f>$C145*W144</f>
        <v/>
      </c>
      <c r="X145">
        <f>$C145*X144</f>
        <v/>
      </c>
      <c r="Y145">
        <f>$C145*Y144</f>
        <v/>
      </c>
      <c r="Z145">
        <f>$C145*Z144</f>
        <v/>
      </c>
      <c r="AA145">
        <f>$C145*AA144</f>
        <v/>
      </c>
      <c r="AB145">
        <f>$C145*AB144</f>
        <v/>
      </c>
      <c r="AC145">
        <f>$C145*AC144</f>
        <v/>
      </c>
      <c r="AD145">
        <f>$C145*AD144</f>
        <v/>
      </c>
      <c r="AE145">
        <f>$C145*AE144</f>
        <v/>
      </c>
      <c r="AF145">
        <f>$C145*AF144</f>
        <v/>
      </c>
      <c r="AG145">
        <f>$C145*AG144</f>
        <v/>
      </c>
      <c r="AH145">
        <f>$C145*AH144</f>
        <v/>
      </c>
      <c r="AI145">
        <f>$C145*AI144</f>
        <v/>
      </c>
      <c r="AJ145">
        <f>$C145*AJ144</f>
        <v/>
      </c>
      <c r="AK145">
        <f>$C145*AK144</f>
        <v/>
      </c>
      <c r="AL145">
        <f>$C145*AL144</f>
        <v/>
      </c>
      <c r="AM145">
        <f>$C145*AM144</f>
        <v/>
      </c>
      <c r="AN145">
        <f>$C145*AN144</f>
        <v/>
      </c>
      <c r="AO145">
        <f>$C145*AO144</f>
        <v/>
      </c>
      <c r="AP145">
        <f>$C145*AP144</f>
        <v/>
      </c>
      <c r="AQ145">
        <f>$C145*AQ144</f>
        <v/>
      </c>
      <c r="AR145">
        <f>$C145*AR144</f>
        <v/>
      </c>
      <c r="AS145">
        <f>$C145*AS144</f>
        <v/>
      </c>
      <c r="AT145">
        <f>$C145*AT144</f>
        <v/>
      </c>
      <c r="AU145">
        <f>$C145*AU144</f>
        <v/>
      </c>
      <c r="AV145">
        <f>$C145*AV144</f>
        <v/>
      </c>
      <c r="AW145">
        <f>$C145*AW144</f>
        <v/>
      </c>
      <c r="AX145">
        <f>$C145*AX144</f>
        <v/>
      </c>
      <c r="AY145">
        <f>$C145*AY144</f>
        <v/>
      </c>
      <c r="AZ145">
        <f>$C145*AZ144</f>
        <v/>
      </c>
      <c r="BA145">
        <f>$C145*BA144</f>
        <v/>
      </c>
      <c r="BB145">
        <f>$C145*BB144</f>
        <v/>
      </c>
      <c r="BC145">
        <f>$C145*BC144</f>
        <v/>
      </c>
      <c r="BD145">
        <f>$C145*BD144</f>
        <v/>
      </c>
      <c r="BE145">
        <f>$C145*BE144</f>
        <v/>
      </c>
      <c r="BF145">
        <f>$C145*BF144</f>
        <v/>
      </c>
      <c r="BG145">
        <f>$C145*BG144</f>
        <v/>
      </c>
      <c r="BH145">
        <f>$C145*BH144</f>
        <v/>
      </c>
      <c r="BI145">
        <f>$C145*BI144</f>
        <v/>
      </c>
      <c r="BJ145">
        <f>$C145*BJ144</f>
        <v/>
      </c>
      <c r="BK145">
        <f>$C145*BK144</f>
        <v/>
      </c>
      <c r="BL145">
        <f>$C145*BL144</f>
        <v/>
      </c>
      <c r="BM145">
        <f>$C145*BM144</f>
        <v/>
      </c>
      <c r="BN145">
        <f>$C145*BN144</f>
        <v/>
      </c>
      <c r="BO145">
        <f>$C145*BO144</f>
        <v/>
      </c>
      <c r="BP145">
        <f>$C145*BP144</f>
        <v/>
      </c>
      <c r="BQ145">
        <f>$C145*BQ144</f>
        <v/>
      </c>
      <c r="BR145">
        <f>$C145*BR144</f>
        <v/>
      </c>
      <c r="BS145">
        <f>$C145*BS144</f>
        <v/>
      </c>
      <c r="BT145">
        <f>$C145*BT144</f>
        <v/>
      </c>
      <c r="BU145">
        <f>$C145*BU144</f>
        <v/>
      </c>
      <c r="BV145">
        <f>$C145*BV144</f>
        <v/>
      </c>
      <c r="BW145">
        <f>$C145*BW144</f>
        <v/>
      </c>
      <c r="BX145">
        <f>$C145*BX144</f>
        <v/>
      </c>
      <c r="BY145">
        <f>$C145*BY144</f>
        <v/>
      </c>
      <c r="BZ145">
        <f>$C145*BZ144</f>
        <v/>
      </c>
      <c r="CA145">
        <f>$C145*CA144</f>
        <v/>
      </c>
      <c r="CB145">
        <f>$C145*CB144</f>
        <v/>
      </c>
      <c r="CC145">
        <f>$C145*CC144</f>
        <v/>
      </c>
      <c r="CD145">
        <f>$C145*CD144</f>
        <v/>
      </c>
      <c r="CE145">
        <f>$C145*CE144</f>
        <v/>
      </c>
      <c r="CF145">
        <f>$C145*CF144</f>
        <v/>
      </c>
      <c r="CG145">
        <f>$C145*CG144</f>
        <v/>
      </c>
      <c r="CH145">
        <f>$C145*CH144</f>
        <v/>
      </c>
      <c r="CI145">
        <f>$C145*CI144</f>
        <v/>
      </c>
      <c r="CJ145">
        <f>$C145*CJ144</f>
        <v/>
      </c>
      <c r="CK145">
        <f>$C145*CK144</f>
        <v/>
      </c>
      <c r="CL145">
        <f>$C145*CL144</f>
        <v/>
      </c>
      <c r="CM145">
        <f>$C145*CM144</f>
        <v/>
      </c>
      <c r="CN145">
        <f>$C145*CN144</f>
        <v/>
      </c>
      <c r="CO145">
        <f>$C145*CO144</f>
        <v/>
      </c>
      <c r="CP145">
        <f>$C145*CP144</f>
        <v/>
      </c>
      <c r="CQ145">
        <f>$C145*CQ144</f>
        <v/>
      </c>
      <c r="CR145">
        <f>$C145*CR144</f>
        <v/>
      </c>
      <c r="CS145">
        <f>$C145*CS144</f>
        <v/>
      </c>
      <c r="CT145">
        <f>$C145*CT144</f>
        <v/>
      </c>
      <c r="CU145">
        <f>$C145*CU144</f>
        <v/>
      </c>
      <c r="CV145">
        <f>$C145*CV144</f>
        <v/>
      </c>
      <c r="CW145">
        <f>$C145*CW144</f>
        <v/>
      </c>
      <c r="CX145">
        <f>$C145*CX144</f>
        <v/>
      </c>
      <c r="CY145">
        <f>$C145*CY144</f>
        <v/>
      </c>
      <c r="CZ145">
        <f>$C145*CZ144</f>
        <v/>
      </c>
      <c r="DA145">
        <f>$C145*DA144</f>
        <v/>
      </c>
      <c r="DB145">
        <f>$C145*DB144</f>
        <v/>
      </c>
      <c r="DC145">
        <f>$C145*DC144</f>
        <v/>
      </c>
    </row>
    <row r="146">
      <c r="B146" t="inlineStr">
        <is>
          <t>TSP-959</t>
        </is>
      </c>
      <c r="C146" t="inlineStr">
        <is>
          <t>No. of batches</t>
        </is>
      </c>
      <c r="D146">
        <f>IFERROR(INDEX(PP_Grid[#Data],$DD146,2),0)</f>
        <v/>
      </c>
      <c r="E146">
        <f>IFERROR(INDEX(PP_Grid[#Data],$DD146,3),0)</f>
        <v/>
      </c>
      <c r="F146">
        <f>IFERROR(INDEX(PP_Grid[#Data],$DD146,4),0)</f>
        <v/>
      </c>
      <c r="G146">
        <f>IFERROR(INDEX(PP_Grid[#Data],$DD146,5),0)</f>
        <v/>
      </c>
      <c r="H146">
        <f>IFERROR(INDEX(PP_Grid[#Data],$DD146,6),0)</f>
        <v/>
      </c>
      <c r="I146">
        <f>IFERROR(INDEX(PP_Grid[#Data],$DD146,7),0)</f>
        <v/>
      </c>
      <c r="J146">
        <f>IFERROR(INDEX(PP_Grid[#Data],$DD146,8),0)</f>
        <v/>
      </c>
      <c r="K146">
        <f>IFERROR(INDEX(PP_Grid[#Data],$DD146,9),0)</f>
        <v/>
      </c>
      <c r="L146">
        <f>IFERROR(INDEX(PP_Grid[#Data],$DD146,10),0)</f>
        <v/>
      </c>
      <c r="M146">
        <f>IFERROR(INDEX(PP_Grid[#Data],$DD146,11),0)</f>
        <v/>
      </c>
      <c r="N146">
        <f>IFERROR(INDEX(PP_Grid[#Data],$DD146,12),0)</f>
        <v/>
      </c>
      <c r="O146">
        <f>IFERROR(INDEX(PP_Grid[#Data],$DD146,13),0)</f>
        <v/>
      </c>
      <c r="P146">
        <f>IFERROR(INDEX(PP_Grid[#Data],$DD146,14),0)</f>
        <v/>
      </c>
      <c r="Q146">
        <f>IFERROR(INDEX(PP_Grid[#Data],$DD146,15),0)</f>
        <v/>
      </c>
      <c r="R146">
        <f>IFERROR(INDEX(PP_Grid[#Data],$DD146,16),0)</f>
        <v/>
      </c>
      <c r="S146">
        <f>IFERROR(INDEX(PP_Grid[#Data],$DD146,17),0)</f>
        <v/>
      </c>
      <c r="T146">
        <f>IFERROR(INDEX(PP_Grid[#Data],$DD146,18),0)</f>
        <v/>
      </c>
      <c r="U146">
        <f>IFERROR(INDEX(PP_Grid[#Data],$DD146,19),0)</f>
        <v/>
      </c>
      <c r="V146">
        <f>IFERROR(INDEX(PP_Grid[#Data],$DD146,20),0)</f>
        <v/>
      </c>
      <c r="W146">
        <f>IFERROR(INDEX(PP_Grid[#Data],$DD146,21),0)</f>
        <v/>
      </c>
      <c r="X146">
        <f>IFERROR(INDEX(PP_Grid[#Data],$DD146,22),0)</f>
        <v/>
      </c>
      <c r="Y146">
        <f>IFERROR(INDEX(PP_Grid[#Data],$DD146,23),0)</f>
        <v/>
      </c>
      <c r="Z146">
        <f>IFERROR(INDEX(PP_Grid[#Data],$DD146,24),0)</f>
        <v/>
      </c>
      <c r="AA146">
        <f>IFERROR(INDEX(PP_Grid[#Data],$DD146,25),0)</f>
        <v/>
      </c>
      <c r="AB146">
        <f>IFERROR(INDEX(PP_Grid[#Data],$DD146,26),0)</f>
        <v/>
      </c>
      <c r="AC146">
        <f>IFERROR(INDEX(PP_Grid[#Data],$DD146,27),0)</f>
        <v/>
      </c>
      <c r="AD146">
        <f>IFERROR(INDEX(PP_Grid[#Data],$DD146,28),0)</f>
        <v/>
      </c>
      <c r="AE146">
        <f>IFERROR(INDEX(PP_Grid[#Data],$DD146,29),0)</f>
        <v/>
      </c>
      <c r="AF146">
        <f>IFERROR(INDEX(PP_Grid[#Data],$DD146,30),0)</f>
        <v/>
      </c>
      <c r="AG146">
        <f>IFERROR(INDEX(PP_Grid[#Data],$DD146,31),0)</f>
        <v/>
      </c>
      <c r="AH146">
        <f>IFERROR(INDEX(PP_Grid[#Data],$DD146,32),0)</f>
        <v/>
      </c>
      <c r="AI146">
        <f>IFERROR(INDEX(PP_Grid[#Data],$DD146,33),0)</f>
        <v/>
      </c>
      <c r="AJ146">
        <f>IFERROR(INDEX(PP_Grid[#Data],$DD146,34),0)</f>
        <v/>
      </c>
      <c r="AK146">
        <f>IFERROR(INDEX(PP_Grid[#Data],$DD146,35),0)</f>
        <v/>
      </c>
      <c r="AL146">
        <f>IFERROR(INDEX(PP_Grid[#Data],$DD146,36),0)</f>
        <v/>
      </c>
      <c r="AM146">
        <f>IFERROR(INDEX(PP_Grid[#Data],$DD146,37),0)</f>
        <v/>
      </c>
      <c r="AN146">
        <f>IFERROR(INDEX(PP_Grid[#Data],$DD146,38),0)</f>
        <v/>
      </c>
      <c r="AO146">
        <f>IFERROR(INDEX(PP_Grid[#Data],$DD146,39),0)</f>
        <v/>
      </c>
      <c r="AP146">
        <f>IFERROR(INDEX(PP_Grid[#Data],$DD146,40),0)</f>
        <v/>
      </c>
      <c r="AQ146">
        <f>IFERROR(INDEX(PP_Grid[#Data],$DD146,41),0)</f>
        <v/>
      </c>
      <c r="AR146">
        <f>IFERROR(INDEX(PP_Grid[#Data],$DD146,42),0)</f>
        <v/>
      </c>
      <c r="AS146">
        <f>IFERROR(INDEX(PP_Grid[#Data],$DD146,43),0)</f>
        <v/>
      </c>
      <c r="AT146">
        <f>IFERROR(INDEX(PP_Grid[#Data],$DD146,44),0)</f>
        <v/>
      </c>
      <c r="AU146">
        <f>IFERROR(INDEX(PP_Grid[#Data],$DD146,45),0)</f>
        <v/>
      </c>
      <c r="AV146">
        <f>IFERROR(INDEX(PP_Grid[#Data],$DD146,46),0)</f>
        <v/>
      </c>
      <c r="AW146">
        <f>IFERROR(INDEX(PP_Grid[#Data],$DD146,47),0)</f>
        <v/>
      </c>
      <c r="AX146">
        <f>IFERROR(INDEX(PP_Grid[#Data],$DD146,48),0)</f>
        <v/>
      </c>
      <c r="AY146">
        <f>IFERROR(INDEX(PP_Grid[#Data],$DD146,49),0)</f>
        <v/>
      </c>
      <c r="AZ146">
        <f>IFERROR(INDEX(PP_Grid[#Data],$DD146,50),0)</f>
        <v/>
      </c>
      <c r="BA146">
        <f>IFERROR(INDEX(PP_Grid[#Data],$DD146,51),0)</f>
        <v/>
      </c>
      <c r="BB146">
        <f>IFERROR(INDEX(PP_Grid[#Data],$DD146,52),0)</f>
        <v/>
      </c>
      <c r="BC146">
        <f>IFERROR(INDEX(PP_Grid[#Data],$DD146,53),0)</f>
        <v/>
      </c>
      <c r="BD146">
        <f>IFERROR(INDEX(PP_Grid[#Data],$DD146,54),0)</f>
        <v/>
      </c>
      <c r="BE146">
        <f>IFERROR(INDEX(PP_Grid[#Data],$DD146,55),0)</f>
        <v/>
      </c>
      <c r="BF146">
        <f>IFERROR(INDEX(PP_Grid[#Data],$DD146,56),0)</f>
        <v/>
      </c>
      <c r="BG146">
        <f>IFERROR(INDEX(PP_Grid[#Data],$DD146,57),0)</f>
        <v/>
      </c>
      <c r="BH146">
        <f>IFERROR(INDEX(PP_Grid[#Data],$DD146,58),0)</f>
        <v/>
      </c>
      <c r="BI146">
        <f>IFERROR(INDEX(PP_Grid[#Data],$DD146,59),0)</f>
        <v/>
      </c>
      <c r="BJ146">
        <f>IFERROR(INDEX(PP_Grid[#Data],$DD146,60),0)</f>
        <v/>
      </c>
      <c r="BK146">
        <f>IFERROR(INDEX(PP_Grid[#Data],$DD146,61),0)</f>
        <v/>
      </c>
      <c r="BL146">
        <f>IFERROR(INDEX(PP_Grid[#Data],$DD146,62),0)</f>
        <v/>
      </c>
      <c r="BM146">
        <f>IFERROR(INDEX(PP_Grid[#Data],$DD146,63),0)</f>
        <v/>
      </c>
      <c r="BN146">
        <f>IFERROR(INDEX(PP_Grid[#Data],$DD146,64),0)</f>
        <v/>
      </c>
      <c r="BO146">
        <f>IFERROR(INDEX(PP_Grid[#Data],$DD146,65),0)</f>
        <v/>
      </c>
      <c r="BP146">
        <f>IFERROR(INDEX(PP_Grid[#Data],$DD146,66),0)</f>
        <v/>
      </c>
      <c r="BQ146">
        <f>IFERROR(INDEX(PP_Grid[#Data],$DD146,67),0)</f>
        <v/>
      </c>
      <c r="BR146">
        <f>IFERROR(INDEX(PP_Grid[#Data],$DD146,68),0)</f>
        <v/>
      </c>
      <c r="BS146">
        <f>IFERROR(INDEX(PP_Grid[#Data],$DD146,69),0)</f>
        <v/>
      </c>
      <c r="BT146">
        <f>IFERROR(INDEX(PP_Grid[#Data],$DD146,70),0)</f>
        <v/>
      </c>
      <c r="BU146">
        <f>IFERROR(INDEX(PP_Grid[#Data],$DD146,71),0)</f>
        <v/>
      </c>
      <c r="BV146">
        <f>IFERROR(INDEX(PP_Grid[#Data],$DD146,72),0)</f>
        <v/>
      </c>
      <c r="BW146">
        <f>IFERROR(INDEX(PP_Grid[#Data],$DD146,73),0)</f>
        <v/>
      </c>
      <c r="BX146">
        <f>IFERROR(INDEX(PP_Grid[#Data],$DD146,74),0)</f>
        <v/>
      </c>
      <c r="BY146">
        <f>IFERROR(INDEX(PP_Grid[#Data],$DD146,75),0)</f>
        <v/>
      </c>
      <c r="BZ146">
        <f>IFERROR(INDEX(PP_Grid[#Data],$DD146,76),0)</f>
        <v/>
      </c>
      <c r="CA146">
        <f>IFERROR(INDEX(PP_Grid[#Data],$DD146,77),0)</f>
        <v/>
      </c>
      <c r="CB146">
        <f>IFERROR(INDEX(PP_Grid[#Data],$DD146,78),0)</f>
        <v/>
      </c>
      <c r="CC146">
        <f>IFERROR(INDEX(PP_Grid[#Data],$DD146,79),0)</f>
        <v/>
      </c>
      <c r="CD146">
        <f>IFERROR(INDEX(PP_Grid[#Data],$DD146,80),0)</f>
        <v/>
      </c>
      <c r="CE146">
        <f>IFERROR(INDEX(PP_Grid[#Data],$DD146,81),0)</f>
        <v/>
      </c>
      <c r="CF146">
        <f>IFERROR(INDEX(PP_Grid[#Data],$DD146,82),0)</f>
        <v/>
      </c>
      <c r="CG146">
        <f>IFERROR(INDEX(PP_Grid[#Data],$DD146,83),0)</f>
        <v/>
      </c>
      <c r="CH146">
        <f>IFERROR(INDEX(PP_Grid[#Data],$DD146,84),0)</f>
        <v/>
      </c>
      <c r="CI146">
        <f>IFERROR(INDEX(PP_Grid[#Data],$DD146,85),0)</f>
        <v/>
      </c>
      <c r="CJ146">
        <f>IFERROR(INDEX(PP_Grid[#Data],$DD146,86),0)</f>
        <v/>
      </c>
      <c r="CK146">
        <f>IFERROR(INDEX(PP_Grid[#Data],$DD146,87),0)</f>
        <v/>
      </c>
      <c r="CL146">
        <f>IFERROR(INDEX(PP_Grid[#Data],$DD146,88),0)</f>
        <v/>
      </c>
      <c r="CM146">
        <f>IFERROR(INDEX(PP_Grid[#Data],$DD146,89),0)</f>
        <v/>
      </c>
      <c r="CN146">
        <f>IFERROR(INDEX(PP_Grid[#Data],$DD146,90),0)</f>
        <v/>
      </c>
      <c r="CO146">
        <f>IFERROR(INDEX(PP_Grid[#Data],$DD146,91),0)</f>
        <v/>
      </c>
      <c r="CP146">
        <f>IFERROR(INDEX(PP_Grid[#Data],$DD146,92),0)</f>
        <v/>
      </c>
      <c r="CQ146">
        <f>IFERROR(INDEX(PP_Grid[#Data],$DD146,93),0)</f>
        <v/>
      </c>
      <c r="CR146">
        <f>IFERROR(INDEX(PP_Grid[#Data],$DD146,94),0)</f>
        <v/>
      </c>
      <c r="CS146">
        <f>IFERROR(INDEX(PP_Grid[#Data],$DD146,95),0)</f>
        <v/>
      </c>
      <c r="CT146">
        <f>IFERROR(INDEX(PP_Grid[#Data],$DD146,96),0)</f>
        <v/>
      </c>
      <c r="CU146">
        <f>IFERROR(INDEX(PP_Grid[#Data],$DD146,97),0)</f>
        <v/>
      </c>
      <c r="CV146">
        <f>IFERROR(INDEX(PP_Grid[#Data],$DD146,98),0)</f>
        <v/>
      </c>
      <c r="CW146">
        <f>IFERROR(INDEX(PP_Grid[#Data],$DD146,99),0)</f>
        <v/>
      </c>
      <c r="CX146">
        <f>IFERROR(INDEX(PP_Grid[#Data],$DD146,100),0)</f>
        <v/>
      </c>
      <c r="CY146">
        <f>IFERROR(INDEX(PP_Grid[#Data],$DD146,101),0)</f>
        <v/>
      </c>
      <c r="CZ146">
        <f>IFERROR(INDEX(PP_Grid[#Data],$DD146,102),0)</f>
        <v/>
      </c>
      <c r="DA146">
        <f>IFERROR(INDEX(PP_Grid[#Data],$DD146,103),0)</f>
        <v/>
      </c>
      <c r="DB146">
        <f>IFERROR(INDEX(PP_Grid[#Data],$DD146,104),0)</f>
        <v/>
      </c>
      <c r="DC146">
        <f>IFERROR(INDEX(PP_Grid[#Data],$DD146,105),0)</f>
        <v/>
      </c>
      <c r="DD146" s="7">
        <f>IFERROR(MATCH($B146,PP_Grid[Intermediate],0),99999)</f>
        <v/>
      </c>
    </row>
    <row r="147">
      <c r="B147" t="inlineStr">
        <is>
          <t>使用量(kg)</t>
        </is>
      </c>
      <c r="C147">
        <f>SUMIFS(M_BOM[RM_Qty_Per_Batch],M_BOM[Intermediate],$B146,M_BOM[Part Name],$A45)</f>
        <v/>
      </c>
      <c r="D147">
        <f>$C147*D146</f>
        <v/>
      </c>
      <c r="E147">
        <f>$C147*E146</f>
        <v/>
      </c>
      <c r="F147">
        <f>$C147*F146</f>
        <v/>
      </c>
      <c r="G147">
        <f>$C147*G146</f>
        <v/>
      </c>
      <c r="H147">
        <f>$C147*H146</f>
        <v/>
      </c>
      <c r="I147">
        <f>$C147*I146</f>
        <v/>
      </c>
      <c r="J147">
        <f>$C147*J146</f>
        <v/>
      </c>
      <c r="K147">
        <f>$C147*K146</f>
        <v/>
      </c>
      <c r="L147">
        <f>$C147*L146</f>
        <v/>
      </c>
      <c r="M147">
        <f>$C147*M146</f>
        <v/>
      </c>
      <c r="N147">
        <f>$C147*N146</f>
        <v/>
      </c>
      <c r="O147">
        <f>$C147*O146</f>
        <v/>
      </c>
      <c r="P147">
        <f>$C147*P146</f>
        <v/>
      </c>
      <c r="Q147">
        <f>$C147*Q146</f>
        <v/>
      </c>
      <c r="R147">
        <f>$C147*R146</f>
        <v/>
      </c>
      <c r="S147">
        <f>$C147*S146</f>
        <v/>
      </c>
      <c r="T147">
        <f>$C147*T146</f>
        <v/>
      </c>
      <c r="U147">
        <f>$C147*U146</f>
        <v/>
      </c>
      <c r="V147">
        <f>$C147*V146</f>
        <v/>
      </c>
      <c r="W147">
        <f>$C147*W146</f>
        <v/>
      </c>
      <c r="X147">
        <f>$C147*X146</f>
        <v/>
      </c>
      <c r="Y147">
        <f>$C147*Y146</f>
        <v/>
      </c>
      <c r="Z147">
        <f>$C147*Z146</f>
        <v/>
      </c>
      <c r="AA147">
        <f>$C147*AA146</f>
        <v/>
      </c>
      <c r="AB147">
        <f>$C147*AB146</f>
        <v/>
      </c>
      <c r="AC147">
        <f>$C147*AC146</f>
        <v/>
      </c>
      <c r="AD147">
        <f>$C147*AD146</f>
        <v/>
      </c>
      <c r="AE147">
        <f>$C147*AE146</f>
        <v/>
      </c>
      <c r="AF147">
        <f>$C147*AF146</f>
        <v/>
      </c>
      <c r="AG147">
        <f>$C147*AG146</f>
        <v/>
      </c>
      <c r="AH147">
        <f>$C147*AH146</f>
        <v/>
      </c>
      <c r="AI147">
        <f>$C147*AI146</f>
        <v/>
      </c>
      <c r="AJ147">
        <f>$C147*AJ146</f>
        <v/>
      </c>
      <c r="AK147">
        <f>$C147*AK146</f>
        <v/>
      </c>
      <c r="AL147">
        <f>$C147*AL146</f>
        <v/>
      </c>
      <c r="AM147">
        <f>$C147*AM146</f>
        <v/>
      </c>
      <c r="AN147">
        <f>$C147*AN146</f>
        <v/>
      </c>
      <c r="AO147">
        <f>$C147*AO146</f>
        <v/>
      </c>
      <c r="AP147">
        <f>$C147*AP146</f>
        <v/>
      </c>
      <c r="AQ147">
        <f>$C147*AQ146</f>
        <v/>
      </c>
      <c r="AR147">
        <f>$C147*AR146</f>
        <v/>
      </c>
      <c r="AS147">
        <f>$C147*AS146</f>
        <v/>
      </c>
      <c r="AT147">
        <f>$C147*AT146</f>
        <v/>
      </c>
      <c r="AU147">
        <f>$C147*AU146</f>
        <v/>
      </c>
      <c r="AV147">
        <f>$C147*AV146</f>
        <v/>
      </c>
      <c r="AW147">
        <f>$C147*AW146</f>
        <v/>
      </c>
      <c r="AX147">
        <f>$C147*AX146</f>
        <v/>
      </c>
      <c r="AY147">
        <f>$C147*AY146</f>
        <v/>
      </c>
      <c r="AZ147">
        <f>$C147*AZ146</f>
        <v/>
      </c>
      <c r="BA147">
        <f>$C147*BA146</f>
        <v/>
      </c>
      <c r="BB147">
        <f>$C147*BB146</f>
        <v/>
      </c>
      <c r="BC147">
        <f>$C147*BC146</f>
        <v/>
      </c>
      <c r="BD147">
        <f>$C147*BD146</f>
        <v/>
      </c>
      <c r="BE147">
        <f>$C147*BE146</f>
        <v/>
      </c>
      <c r="BF147">
        <f>$C147*BF146</f>
        <v/>
      </c>
      <c r="BG147">
        <f>$C147*BG146</f>
        <v/>
      </c>
      <c r="BH147">
        <f>$C147*BH146</f>
        <v/>
      </c>
      <c r="BI147">
        <f>$C147*BI146</f>
        <v/>
      </c>
      <c r="BJ147">
        <f>$C147*BJ146</f>
        <v/>
      </c>
      <c r="BK147">
        <f>$C147*BK146</f>
        <v/>
      </c>
      <c r="BL147">
        <f>$C147*BL146</f>
        <v/>
      </c>
      <c r="BM147">
        <f>$C147*BM146</f>
        <v/>
      </c>
      <c r="BN147">
        <f>$C147*BN146</f>
        <v/>
      </c>
      <c r="BO147">
        <f>$C147*BO146</f>
        <v/>
      </c>
      <c r="BP147">
        <f>$C147*BP146</f>
        <v/>
      </c>
      <c r="BQ147">
        <f>$C147*BQ146</f>
        <v/>
      </c>
      <c r="BR147">
        <f>$C147*BR146</f>
        <v/>
      </c>
      <c r="BS147">
        <f>$C147*BS146</f>
        <v/>
      </c>
      <c r="BT147">
        <f>$C147*BT146</f>
        <v/>
      </c>
      <c r="BU147">
        <f>$C147*BU146</f>
        <v/>
      </c>
      <c r="BV147">
        <f>$C147*BV146</f>
        <v/>
      </c>
      <c r="BW147">
        <f>$C147*BW146</f>
        <v/>
      </c>
      <c r="BX147">
        <f>$C147*BX146</f>
        <v/>
      </c>
      <c r="BY147">
        <f>$C147*BY146</f>
        <v/>
      </c>
      <c r="BZ147">
        <f>$C147*BZ146</f>
        <v/>
      </c>
      <c r="CA147">
        <f>$C147*CA146</f>
        <v/>
      </c>
      <c r="CB147">
        <f>$C147*CB146</f>
        <v/>
      </c>
      <c r="CC147">
        <f>$C147*CC146</f>
        <v/>
      </c>
      <c r="CD147">
        <f>$C147*CD146</f>
        <v/>
      </c>
      <c r="CE147">
        <f>$C147*CE146</f>
        <v/>
      </c>
      <c r="CF147">
        <f>$C147*CF146</f>
        <v/>
      </c>
      <c r="CG147">
        <f>$C147*CG146</f>
        <v/>
      </c>
      <c r="CH147">
        <f>$C147*CH146</f>
        <v/>
      </c>
      <c r="CI147">
        <f>$C147*CI146</f>
        <v/>
      </c>
      <c r="CJ147">
        <f>$C147*CJ146</f>
        <v/>
      </c>
      <c r="CK147">
        <f>$C147*CK146</f>
        <v/>
      </c>
      <c r="CL147">
        <f>$C147*CL146</f>
        <v/>
      </c>
      <c r="CM147">
        <f>$C147*CM146</f>
        <v/>
      </c>
      <c r="CN147">
        <f>$C147*CN146</f>
        <v/>
      </c>
      <c r="CO147">
        <f>$C147*CO146</f>
        <v/>
      </c>
      <c r="CP147">
        <f>$C147*CP146</f>
        <v/>
      </c>
      <c r="CQ147">
        <f>$C147*CQ146</f>
        <v/>
      </c>
      <c r="CR147">
        <f>$C147*CR146</f>
        <v/>
      </c>
      <c r="CS147">
        <f>$C147*CS146</f>
        <v/>
      </c>
      <c r="CT147">
        <f>$C147*CT146</f>
        <v/>
      </c>
      <c r="CU147">
        <f>$C147*CU146</f>
        <v/>
      </c>
      <c r="CV147">
        <f>$C147*CV146</f>
        <v/>
      </c>
      <c r="CW147">
        <f>$C147*CW146</f>
        <v/>
      </c>
      <c r="CX147">
        <f>$C147*CX146</f>
        <v/>
      </c>
      <c r="CY147">
        <f>$C147*CY146</f>
        <v/>
      </c>
      <c r="CZ147">
        <f>$C147*CZ146</f>
        <v/>
      </c>
      <c r="DA147">
        <f>$C147*DA146</f>
        <v/>
      </c>
      <c r="DB147">
        <f>$C147*DB146</f>
        <v/>
      </c>
      <c r="DC147">
        <f>$C147*DC146</f>
        <v/>
      </c>
    </row>
    <row r="148">
      <c r="B148" t="inlineStr">
        <is>
          <t>TSP-966</t>
        </is>
      </c>
      <c r="C148" t="inlineStr">
        <is>
          <t>No. of batches</t>
        </is>
      </c>
      <c r="D148">
        <f>IFERROR(INDEX(PP_Grid[#Data],$DD148,2),0)</f>
        <v/>
      </c>
      <c r="E148">
        <f>IFERROR(INDEX(PP_Grid[#Data],$DD148,3),0)</f>
        <v/>
      </c>
      <c r="F148">
        <f>IFERROR(INDEX(PP_Grid[#Data],$DD148,4),0)</f>
        <v/>
      </c>
      <c r="G148">
        <f>IFERROR(INDEX(PP_Grid[#Data],$DD148,5),0)</f>
        <v/>
      </c>
      <c r="H148">
        <f>IFERROR(INDEX(PP_Grid[#Data],$DD148,6),0)</f>
        <v/>
      </c>
      <c r="I148">
        <f>IFERROR(INDEX(PP_Grid[#Data],$DD148,7),0)</f>
        <v/>
      </c>
      <c r="J148">
        <f>IFERROR(INDEX(PP_Grid[#Data],$DD148,8),0)</f>
        <v/>
      </c>
      <c r="K148">
        <f>IFERROR(INDEX(PP_Grid[#Data],$DD148,9),0)</f>
        <v/>
      </c>
      <c r="L148">
        <f>IFERROR(INDEX(PP_Grid[#Data],$DD148,10),0)</f>
        <v/>
      </c>
      <c r="M148">
        <f>IFERROR(INDEX(PP_Grid[#Data],$DD148,11),0)</f>
        <v/>
      </c>
      <c r="N148">
        <f>IFERROR(INDEX(PP_Grid[#Data],$DD148,12),0)</f>
        <v/>
      </c>
      <c r="O148">
        <f>IFERROR(INDEX(PP_Grid[#Data],$DD148,13),0)</f>
        <v/>
      </c>
      <c r="P148">
        <f>IFERROR(INDEX(PP_Grid[#Data],$DD148,14),0)</f>
        <v/>
      </c>
      <c r="Q148">
        <f>IFERROR(INDEX(PP_Grid[#Data],$DD148,15),0)</f>
        <v/>
      </c>
      <c r="R148">
        <f>IFERROR(INDEX(PP_Grid[#Data],$DD148,16),0)</f>
        <v/>
      </c>
      <c r="S148">
        <f>IFERROR(INDEX(PP_Grid[#Data],$DD148,17),0)</f>
        <v/>
      </c>
      <c r="T148">
        <f>IFERROR(INDEX(PP_Grid[#Data],$DD148,18),0)</f>
        <v/>
      </c>
      <c r="U148">
        <f>IFERROR(INDEX(PP_Grid[#Data],$DD148,19),0)</f>
        <v/>
      </c>
      <c r="V148">
        <f>IFERROR(INDEX(PP_Grid[#Data],$DD148,20),0)</f>
        <v/>
      </c>
      <c r="W148">
        <f>IFERROR(INDEX(PP_Grid[#Data],$DD148,21),0)</f>
        <v/>
      </c>
      <c r="X148">
        <f>IFERROR(INDEX(PP_Grid[#Data],$DD148,22),0)</f>
        <v/>
      </c>
      <c r="Y148">
        <f>IFERROR(INDEX(PP_Grid[#Data],$DD148,23),0)</f>
        <v/>
      </c>
      <c r="Z148">
        <f>IFERROR(INDEX(PP_Grid[#Data],$DD148,24),0)</f>
        <v/>
      </c>
      <c r="AA148">
        <f>IFERROR(INDEX(PP_Grid[#Data],$DD148,25),0)</f>
        <v/>
      </c>
      <c r="AB148">
        <f>IFERROR(INDEX(PP_Grid[#Data],$DD148,26),0)</f>
        <v/>
      </c>
      <c r="AC148">
        <f>IFERROR(INDEX(PP_Grid[#Data],$DD148,27),0)</f>
        <v/>
      </c>
      <c r="AD148">
        <f>IFERROR(INDEX(PP_Grid[#Data],$DD148,28),0)</f>
        <v/>
      </c>
      <c r="AE148">
        <f>IFERROR(INDEX(PP_Grid[#Data],$DD148,29),0)</f>
        <v/>
      </c>
      <c r="AF148">
        <f>IFERROR(INDEX(PP_Grid[#Data],$DD148,30),0)</f>
        <v/>
      </c>
      <c r="AG148">
        <f>IFERROR(INDEX(PP_Grid[#Data],$DD148,31),0)</f>
        <v/>
      </c>
      <c r="AH148">
        <f>IFERROR(INDEX(PP_Grid[#Data],$DD148,32),0)</f>
        <v/>
      </c>
      <c r="AI148">
        <f>IFERROR(INDEX(PP_Grid[#Data],$DD148,33),0)</f>
        <v/>
      </c>
      <c r="AJ148">
        <f>IFERROR(INDEX(PP_Grid[#Data],$DD148,34),0)</f>
        <v/>
      </c>
      <c r="AK148">
        <f>IFERROR(INDEX(PP_Grid[#Data],$DD148,35),0)</f>
        <v/>
      </c>
      <c r="AL148">
        <f>IFERROR(INDEX(PP_Grid[#Data],$DD148,36),0)</f>
        <v/>
      </c>
      <c r="AM148">
        <f>IFERROR(INDEX(PP_Grid[#Data],$DD148,37),0)</f>
        <v/>
      </c>
      <c r="AN148">
        <f>IFERROR(INDEX(PP_Grid[#Data],$DD148,38),0)</f>
        <v/>
      </c>
      <c r="AO148">
        <f>IFERROR(INDEX(PP_Grid[#Data],$DD148,39),0)</f>
        <v/>
      </c>
      <c r="AP148">
        <f>IFERROR(INDEX(PP_Grid[#Data],$DD148,40),0)</f>
        <v/>
      </c>
      <c r="AQ148">
        <f>IFERROR(INDEX(PP_Grid[#Data],$DD148,41),0)</f>
        <v/>
      </c>
      <c r="AR148">
        <f>IFERROR(INDEX(PP_Grid[#Data],$DD148,42),0)</f>
        <v/>
      </c>
      <c r="AS148">
        <f>IFERROR(INDEX(PP_Grid[#Data],$DD148,43),0)</f>
        <v/>
      </c>
      <c r="AT148">
        <f>IFERROR(INDEX(PP_Grid[#Data],$DD148,44),0)</f>
        <v/>
      </c>
      <c r="AU148">
        <f>IFERROR(INDEX(PP_Grid[#Data],$DD148,45),0)</f>
        <v/>
      </c>
      <c r="AV148">
        <f>IFERROR(INDEX(PP_Grid[#Data],$DD148,46),0)</f>
        <v/>
      </c>
      <c r="AW148">
        <f>IFERROR(INDEX(PP_Grid[#Data],$DD148,47),0)</f>
        <v/>
      </c>
      <c r="AX148">
        <f>IFERROR(INDEX(PP_Grid[#Data],$DD148,48),0)</f>
        <v/>
      </c>
      <c r="AY148">
        <f>IFERROR(INDEX(PP_Grid[#Data],$DD148,49),0)</f>
        <v/>
      </c>
      <c r="AZ148">
        <f>IFERROR(INDEX(PP_Grid[#Data],$DD148,50),0)</f>
        <v/>
      </c>
      <c r="BA148">
        <f>IFERROR(INDEX(PP_Grid[#Data],$DD148,51),0)</f>
        <v/>
      </c>
      <c r="BB148">
        <f>IFERROR(INDEX(PP_Grid[#Data],$DD148,52),0)</f>
        <v/>
      </c>
      <c r="BC148">
        <f>IFERROR(INDEX(PP_Grid[#Data],$DD148,53),0)</f>
        <v/>
      </c>
      <c r="BD148">
        <f>IFERROR(INDEX(PP_Grid[#Data],$DD148,54),0)</f>
        <v/>
      </c>
      <c r="BE148">
        <f>IFERROR(INDEX(PP_Grid[#Data],$DD148,55),0)</f>
        <v/>
      </c>
      <c r="BF148">
        <f>IFERROR(INDEX(PP_Grid[#Data],$DD148,56),0)</f>
        <v/>
      </c>
      <c r="BG148">
        <f>IFERROR(INDEX(PP_Grid[#Data],$DD148,57),0)</f>
        <v/>
      </c>
      <c r="BH148">
        <f>IFERROR(INDEX(PP_Grid[#Data],$DD148,58),0)</f>
        <v/>
      </c>
      <c r="BI148">
        <f>IFERROR(INDEX(PP_Grid[#Data],$DD148,59),0)</f>
        <v/>
      </c>
      <c r="BJ148">
        <f>IFERROR(INDEX(PP_Grid[#Data],$DD148,60),0)</f>
        <v/>
      </c>
      <c r="BK148">
        <f>IFERROR(INDEX(PP_Grid[#Data],$DD148,61),0)</f>
        <v/>
      </c>
      <c r="BL148">
        <f>IFERROR(INDEX(PP_Grid[#Data],$DD148,62),0)</f>
        <v/>
      </c>
      <c r="BM148">
        <f>IFERROR(INDEX(PP_Grid[#Data],$DD148,63),0)</f>
        <v/>
      </c>
      <c r="BN148">
        <f>IFERROR(INDEX(PP_Grid[#Data],$DD148,64),0)</f>
        <v/>
      </c>
      <c r="BO148">
        <f>IFERROR(INDEX(PP_Grid[#Data],$DD148,65),0)</f>
        <v/>
      </c>
      <c r="BP148">
        <f>IFERROR(INDEX(PP_Grid[#Data],$DD148,66),0)</f>
        <v/>
      </c>
      <c r="BQ148">
        <f>IFERROR(INDEX(PP_Grid[#Data],$DD148,67),0)</f>
        <v/>
      </c>
      <c r="BR148">
        <f>IFERROR(INDEX(PP_Grid[#Data],$DD148,68),0)</f>
        <v/>
      </c>
      <c r="BS148">
        <f>IFERROR(INDEX(PP_Grid[#Data],$DD148,69),0)</f>
        <v/>
      </c>
      <c r="BT148">
        <f>IFERROR(INDEX(PP_Grid[#Data],$DD148,70),0)</f>
        <v/>
      </c>
      <c r="BU148">
        <f>IFERROR(INDEX(PP_Grid[#Data],$DD148,71),0)</f>
        <v/>
      </c>
      <c r="BV148">
        <f>IFERROR(INDEX(PP_Grid[#Data],$DD148,72),0)</f>
        <v/>
      </c>
      <c r="BW148">
        <f>IFERROR(INDEX(PP_Grid[#Data],$DD148,73),0)</f>
        <v/>
      </c>
      <c r="BX148">
        <f>IFERROR(INDEX(PP_Grid[#Data],$DD148,74),0)</f>
        <v/>
      </c>
      <c r="BY148">
        <f>IFERROR(INDEX(PP_Grid[#Data],$DD148,75),0)</f>
        <v/>
      </c>
      <c r="BZ148">
        <f>IFERROR(INDEX(PP_Grid[#Data],$DD148,76),0)</f>
        <v/>
      </c>
      <c r="CA148">
        <f>IFERROR(INDEX(PP_Grid[#Data],$DD148,77),0)</f>
        <v/>
      </c>
      <c r="CB148">
        <f>IFERROR(INDEX(PP_Grid[#Data],$DD148,78),0)</f>
        <v/>
      </c>
      <c r="CC148">
        <f>IFERROR(INDEX(PP_Grid[#Data],$DD148,79),0)</f>
        <v/>
      </c>
      <c r="CD148">
        <f>IFERROR(INDEX(PP_Grid[#Data],$DD148,80),0)</f>
        <v/>
      </c>
      <c r="CE148">
        <f>IFERROR(INDEX(PP_Grid[#Data],$DD148,81),0)</f>
        <v/>
      </c>
      <c r="CF148">
        <f>IFERROR(INDEX(PP_Grid[#Data],$DD148,82),0)</f>
        <v/>
      </c>
      <c r="CG148">
        <f>IFERROR(INDEX(PP_Grid[#Data],$DD148,83),0)</f>
        <v/>
      </c>
      <c r="CH148">
        <f>IFERROR(INDEX(PP_Grid[#Data],$DD148,84),0)</f>
        <v/>
      </c>
      <c r="CI148">
        <f>IFERROR(INDEX(PP_Grid[#Data],$DD148,85),0)</f>
        <v/>
      </c>
      <c r="CJ148">
        <f>IFERROR(INDEX(PP_Grid[#Data],$DD148,86),0)</f>
        <v/>
      </c>
      <c r="CK148">
        <f>IFERROR(INDEX(PP_Grid[#Data],$DD148,87),0)</f>
        <v/>
      </c>
      <c r="CL148">
        <f>IFERROR(INDEX(PP_Grid[#Data],$DD148,88),0)</f>
        <v/>
      </c>
      <c r="CM148">
        <f>IFERROR(INDEX(PP_Grid[#Data],$DD148,89),0)</f>
        <v/>
      </c>
      <c r="CN148">
        <f>IFERROR(INDEX(PP_Grid[#Data],$DD148,90),0)</f>
        <v/>
      </c>
      <c r="CO148">
        <f>IFERROR(INDEX(PP_Grid[#Data],$DD148,91),0)</f>
        <v/>
      </c>
      <c r="CP148">
        <f>IFERROR(INDEX(PP_Grid[#Data],$DD148,92),0)</f>
        <v/>
      </c>
      <c r="CQ148">
        <f>IFERROR(INDEX(PP_Grid[#Data],$DD148,93),0)</f>
        <v/>
      </c>
      <c r="CR148">
        <f>IFERROR(INDEX(PP_Grid[#Data],$DD148,94),0)</f>
        <v/>
      </c>
      <c r="CS148">
        <f>IFERROR(INDEX(PP_Grid[#Data],$DD148,95),0)</f>
        <v/>
      </c>
      <c r="CT148">
        <f>IFERROR(INDEX(PP_Grid[#Data],$DD148,96),0)</f>
        <v/>
      </c>
      <c r="CU148">
        <f>IFERROR(INDEX(PP_Grid[#Data],$DD148,97),0)</f>
        <v/>
      </c>
      <c r="CV148">
        <f>IFERROR(INDEX(PP_Grid[#Data],$DD148,98),0)</f>
        <v/>
      </c>
      <c r="CW148">
        <f>IFERROR(INDEX(PP_Grid[#Data],$DD148,99),0)</f>
        <v/>
      </c>
      <c r="CX148">
        <f>IFERROR(INDEX(PP_Grid[#Data],$DD148,100),0)</f>
        <v/>
      </c>
      <c r="CY148">
        <f>IFERROR(INDEX(PP_Grid[#Data],$DD148,101),0)</f>
        <v/>
      </c>
      <c r="CZ148">
        <f>IFERROR(INDEX(PP_Grid[#Data],$DD148,102),0)</f>
        <v/>
      </c>
      <c r="DA148">
        <f>IFERROR(INDEX(PP_Grid[#Data],$DD148,103),0)</f>
        <v/>
      </c>
      <c r="DB148">
        <f>IFERROR(INDEX(PP_Grid[#Data],$DD148,104),0)</f>
        <v/>
      </c>
      <c r="DC148">
        <f>IFERROR(INDEX(PP_Grid[#Data],$DD148,105),0)</f>
        <v/>
      </c>
      <c r="DD148" s="7">
        <f>IFERROR(MATCH($B148,PP_Grid[Intermediate],0),99999)</f>
        <v/>
      </c>
    </row>
    <row r="149">
      <c r="B149" t="inlineStr">
        <is>
          <t>使用量(kg)</t>
        </is>
      </c>
      <c r="C149">
        <f>SUMIFS(M_BOM[RM_Qty_Per_Batch],M_BOM[Intermediate],$B148,M_BOM[Part Name],$A45)</f>
        <v/>
      </c>
      <c r="D149">
        <f>$C149*D148</f>
        <v/>
      </c>
      <c r="E149">
        <f>$C149*E148</f>
        <v/>
      </c>
      <c r="F149">
        <f>$C149*F148</f>
        <v/>
      </c>
      <c r="G149">
        <f>$C149*G148</f>
        <v/>
      </c>
      <c r="H149">
        <f>$C149*H148</f>
        <v/>
      </c>
      <c r="I149">
        <f>$C149*I148</f>
        <v/>
      </c>
      <c r="J149">
        <f>$C149*J148</f>
        <v/>
      </c>
      <c r="K149">
        <f>$C149*K148</f>
        <v/>
      </c>
      <c r="L149">
        <f>$C149*L148</f>
        <v/>
      </c>
      <c r="M149">
        <f>$C149*M148</f>
        <v/>
      </c>
      <c r="N149">
        <f>$C149*N148</f>
        <v/>
      </c>
      <c r="O149">
        <f>$C149*O148</f>
        <v/>
      </c>
      <c r="P149">
        <f>$C149*P148</f>
        <v/>
      </c>
      <c r="Q149">
        <f>$C149*Q148</f>
        <v/>
      </c>
      <c r="R149">
        <f>$C149*R148</f>
        <v/>
      </c>
      <c r="S149">
        <f>$C149*S148</f>
        <v/>
      </c>
      <c r="T149">
        <f>$C149*T148</f>
        <v/>
      </c>
      <c r="U149">
        <f>$C149*U148</f>
        <v/>
      </c>
      <c r="V149">
        <f>$C149*V148</f>
        <v/>
      </c>
      <c r="W149">
        <f>$C149*W148</f>
        <v/>
      </c>
      <c r="X149">
        <f>$C149*X148</f>
        <v/>
      </c>
      <c r="Y149">
        <f>$C149*Y148</f>
        <v/>
      </c>
      <c r="Z149">
        <f>$C149*Z148</f>
        <v/>
      </c>
      <c r="AA149">
        <f>$C149*AA148</f>
        <v/>
      </c>
      <c r="AB149">
        <f>$C149*AB148</f>
        <v/>
      </c>
      <c r="AC149">
        <f>$C149*AC148</f>
        <v/>
      </c>
      <c r="AD149">
        <f>$C149*AD148</f>
        <v/>
      </c>
      <c r="AE149">
        <f>$C149*AE148</f>
        <v/>
      </c>
      <c r="AF149">
        <f>$C149*AF148</f>
        <v/>
      </c>
      <c r="AG149">
        <f>$C149*AG148</f>
        <v/>
      </c>
      <c r="AH149">
        <f>$C149*AH148</f>
        <v/>
      </c>
      <c r="AI149">
        <f>$C149*AI148</f>
        <v/>
      </c>
      <c r="AJ149">
        <f>$C149*AJ148</f>
        <v/>
      </c>
      <c r="AK149">
        <f>$C149*AK148</f>
        <v/>
      </c>
      <c r="AL149">
        <f>$C149*AL148</f>
        <v/>
      </c>
      <c r="AM149">
        <f>$C149*AM148</f>
        <v/>
      </c>
      <c r="AN149">
        <f>$C149*AN148</f>
        <v/>
      </c>
      <c r="AO149">
        <f>$C149*AO148</f>
        <v/>
      </c>
      <c r="AP149">
        <f>$C149*AP148</f>
        <v/>
      </c>
      <c r="AQ149">
        <f>$C149*AQ148</f>
        <v/>
      </c>
      <c r="AR149">
        <f>$C149*AR148</f>
        <v/>
      </c>
      <c r="AS149">
        <f>$C149*AS148</f>
        <v/>
      </c>
      <c r="AT149">
        <f>$C149*AT148</f>
        <v/>
      </c>
      <c r="AU149">
        <f>$C149*AU148</f>
        <v/>
      </c>
      <c r="AV149">
        <f>$C149*AV148</f>
        <v/>
      </c>
      <c r="AW149">
        <f>$C149*AW148</f>
        <v/>
      </c>
      <c r="AX149">
        <f>$C149*AX148</f>
        <v/>
      </c>
      <c r="AY149">
        <f>$C149*AY148</f>
        <v/>
      </c>
      <c r="AZ149">
        <f>$C149*AZ148</f>
        <v/>
      </c>
      <c r="BA149">
        <f>$C149*BA148</f>
        <v/>
      </c>
      <c r="BB149">
        <f>$C149*BB148</f>
        <v/>
      </c>
      <c r="BC149">
        <f>$C149*BC148</f>
        <v/>
      </c>
      <c r="BD149">
        <f>$C149*BD148</f>
        <v/>
      </c>
      <c r="BE149">
        <f>$C149*BE148</f>
        <v/>
      </c>
      <c r="BF149">
        <f>$C149*BF148</f>
        <v/>
      </c>
      <c r="BG149">
        <f>$C149*BG148</f>
        <v/>
      </c>
      <c r="BH149">
        <f>$C149*BH148</f>
        <v/>
      </c>
      <c r="BI149">
        <f>$C149*BI148</f>
        <v/>
      </c>
      <c r="BJ149">
        <f>$C149*BJ148</f>
        <v/>
      </c>
      <c r="BK149">
        <f>$C149*BK148</f>
        <v/>
      </c>
      <c r="BL149">
        <f>$C149*BL148</f>
        <v/>
      </c>
      <c r="BM149">
        <f>$C149*BM148</f>
        <v/>
      </c>
      <c r="BN149">
        <f>$C149*BN148</f>
        <v/>
      </c>
      <c r="BO149">
        <f>$C149*BO148</f>
        <v/>
      </c>
      <c r="BP149">
        <f>$C149*BP148</f>
        <v/>
      </c>
      <c r="BQ149">
        <f>$C149*BQ148</f>
        <v/>
      </c>
      <c r="BR149">
        <f>$C149*BR148</f>
        <v/>
      </c>
      <c r="BS149">
        <f>$C149*BS148</f>
        <v/>
      </c>
      <c r="BT149">
        <f>$C149*BT148</f>
        <v/>
      </c>
      <c r="BU149">
        <f>$C149*BU148</f>
        <v/>
      </c>
      <c r="BV149">
        <f>$C149*BV148</f>
        <v/>
      </c>
      <c r="BW149">
        <f>$C149*BW148</f>
        <v/>
      </c>
      <c r="BX149">
        <f>$C149*BX148</f>
        <v/>
      </c>
      <c r="BY149">
        <f>$C149*BY148</f>
        <v/>
      </c>
      <c r="BZ149">
        <f>$C149*BZ148</f>
        <v/>
      </c>
      <c r="CA149">
        <f>$C149*CA148</f>
        <v/>
      </c>
      <c r="CB149">
        <f>$C149*CB148</f>
        <v/>
      </c>
      <c r="CC149">
        <f>$C149*CC148</f>
        <v/>
      </c>
      <c r="CD149">
        <f>$C149*CD148</f>
        <v/>
      </c>
      <c r="CE149">
        <f>$C149*CE148</f>
        <v/>
      </c>
      <c r="CF149">
        <f>$C149*CF148</f>
        <v/>
      </c>
      <c r="CG149">
        <f>$C149*CG148</f>
        <v/>
      </c>
      <c r="CH149">
        <f>$C149*CH148</f>
        <v/>
      </c>
      <c r="CI149">
        <f>$C149*CI148</f>
        <v/>
      </c>
      <c r="CJ149">
        <f>$C149*CJ148</f>
        <v/>
      </c>
      <c r="CK149">
        <f>$C149*CK148</f>
        <v/>
      </c>
      <c r="CL149">
        <f>$C149*CL148</f>
        <v/>
      </c>
      <c r="CM149">
        <f>$C149*CM148</f>
        <v/>
      </c>
      <c r="CN149">
        <f>$C149*CN148</f>
        <v/>
      </c>
      <c r="CO149">
        <f>$C149*CO148</f>
        <v/>
      </c>
      <c r="CP149">
        <f>$C149*CP148</f>
        <v/>
      </c>
      <c r="CQ149">
        <f>$C149*CQ148</f>
        <v/>
      </c>
      <c r="CR149">
        <f>$C149*CR148</f>
        <v/>
      </c>
      <c r="CS149">
        <f>$C149*CS148</f>
        <v/>
      </c>
      <c r="CT149">
        <f>$C149*CT148</f>
        <v/>
      </c>
      <c r="CU149">
        <f>$C149*CU148</f>
        <v/>
      </c>
      <c r="CV149">
        <f>$C149*CV148</f>
        <v/>
      </c>
      <c r="CW149">
        <f>$C149*CW148</f>
        <v/>
      </c>
      <c r="CX149">
        <f>$C149*CX148</f>
        <v/>
      </c>
      <c r="CY149">
        <f>$C149*CY148</f>
        <v/>
      </c>
      <c r="CZ149">
        <f>$C149*CZ148</f>
        <v/>
      </c>
      <c r="DA149">
        <f>$C149*DA148</f>
        <v/>
      </c>
      <c r="DB149">
        <f>$C149*DB148</f>
        <v/>
      </c>
      <c r="DC149">
        <f>$C149*DC148</f>
        <v/>
      </c>
    </row>
    <row r="150">
      <c r="B150" t="inlineStr">
        <is>
          <t>TVS-833</t>
        </is>
      </c>
      <c r="C150" t="inlineStr">
        <is>
          <t>No. of batches</t>
        </is>
      </c>
      <c r="D150">
        <f>IFERROR(INDEX(PP_Grid[#Data],$DD150,2),0)</f>
        <v/>
      </c>
      <c r="E150">
        <f>IFERROR(INDEX(PP_Grid[#Data],$DD150,3),0)</f>
        <v/>
      </c>
      <c r="F150">
        <f>IFERROR(INDEX(PP_Grid[#Data],$DD150,4),0)</f>
        <v/>
      </c>
      <c r="G150">
        <f>IFERROR(INDEX(PP_Grid[#Data],$DD150,5),0)</f>
        <v/>
      </c>
      <c r="H150">
        <f>IFERROR(INDEX(PP_Grid[#Data],$DD150,6),0)</f>
        <v/>
      </c>
      <c r="I150">
        <f>IFERROR(INDEX(PP_Grid[#Data],$DD150,7),0)</f>
        <v/>
      </c>
      <c r="J150">
        <f>IFERROR(INDEX(PP_Grid[#Data],$DD150,8),0)</f>
        <v/>
      </c>
      <c r="K150">
        <f>IFERROR(INDEX(PP_Grid[#Data],$DD150,9),0)</f>
        <v/>
      </c>
      <c r="L150">
        <f>IFERROR(INDEX(PP_Grid[#Data],$DD150,10),0)</f>
        <v/>
      </c>
      <c r="M150">
        <f>IFERROR(INDEX(PP_Grid[#Data],$DD150,11),0)</f>
        <v/>
      </c>
      <c r="N150">
        <f>IFERROR(INDEX(PP_Grid[#Data],$DD150,12),0)</f>
        <v/>
      </c>
      <c r="O150">
        <f>IFERROR(INDEX(PP_Grid[#Data],$DD150,13),0)</f>
        <v/>
      </c>
      <c r="P150">
        <f>IFERROR(INDEX(PP_Grid[#Data],$DD150,14),0)</f>
        <v/>
      </c>
      <c r="Q150">
        <f>IFERROR(INDEX(PP_Grid[#Data],$DD150,15),0)</f>
        <v/>
      </c>
      <c r="R150">
        <f>IFERROR(INDEX(PP_Grid[#Data],$DD150,16),0)</f>
        <v/>
      </c>
      <c r="S150">
        <f>IFERROR(INDEX(PP_Grid[#Data],$DD150,17),0)</f>
        <v/>
      </c>
      <c r="T150">
        <f>IFERROR(INDEX(PP_Grid[#Data],$DD150,18),0)</f>
        <v/>
      </c>
      <c r="U150">
        <f>IFERROR(INDEX(PP_Grid[#Data],$DD150,19),0)</f>
        <v/>
      </c>
      <c r="V150">
        <f>IFERROR(INDEX(PP_Grid[#Data],$DD150,20),0)</f>
        <v/>
      </c>
      <c r="W150">
        <f>IFERROR(INDEX(PP_Grid[#Data],$DD150,21),0)</f>
        <v/>
      </c>
      <c r="X150">
        <f>IFERROR(INDEX(PP_Grid[#Data],$DD150,22),0)</f>
        <v/>
      </c>
      <c r="Y150">
        <f>IFERROR(INDEX(PP_Grid[#Data],$DD150,23),0)</f>
        <v/>
      </c>
      <c r="Z150">
        <f>IFERROR(INDEX(PP_Grid[#Data],$DD150,24),0)</f>
        <v/>
      </c>
      <c r="AA150">
        <f>IFERROR(INDEX(PP_Grid[#Data],$DD150,25),0)</f>
        <v/>
      </c>
      <c r="AB150">
        <f>IFERROR(INDEX(PP_Grid[#Data],$DD150,26),0)</f>
        <v/>
      </c>
      <c r="AC150">
        <f>IFERROR(INDEX(PP_Grid[#Data],$DD150,27),0)</f>
        <v/>
      </c>
      <c r="AD150">
        <f>IFERROR(INDEX(PP_Grid[#Data],$DD150,28),0)</f>
        <v/>
      </c>
      <c r="AE150">
        <f>IFERROR(INDEX(PP_Grid[#Data],$DD150,29),0)</f>
        <v/>
      </c>
      <c r="AF150">
        <f>IFERROR(INDEX(PP_Grid[#Data],$DD150,30),0)</f>
        <v/>
      </c>
      <c r="AG150">
        <f>IFERROR(INDEX(PP_Grid[#Data],$DD150,31),0)</f>
        <v/>
      </c>
      <c r="AH150">
        <f>IFERROR(INDEX(PP_Grid[#Data],$DD150,32),0)</f>
        <v/>
      </c>
      <c r="AI150">
        <f>IFERROR(INDEX(PP_Grid[#Data],$DD150,33),0)</f>
        <v/>
      </c>
      <c r="AJ150">
        <f>IFERROR(INDEX(PP_Grid[#Data],$DD150,34),0)</f>
        <v/>
      </c>
      <c r="AK150">
        <f>IFERROR(INDEX(PP_Grid[#Data],$DD150,35),0)</f>
        <v/>
      </c>
      <c r="AL150">
        <f>IFERROR(INDEX(PP_Grid[#Data],$DD150,36),0)</f>
        <v/>
      </c>
      <c r="AM150">
        <f>IFERROR(INDEX(PP_Grid[#Data],$DD150,37),0)</f>
        <v/>
      </c>
      <c r="AN150">
        <f>IFERROR(INDEX(PP_Grid[#Data],$DD150,38),0)</f>
        <v/>
      </c>
      <c r="AO150">
        <f>IFERROR(INDEX(PP_Grid[#Data],$DD150,39),0)</f>
        <v/>
      </c>
      <c r="AP150">
        <f>IFERROR(INDEX(PP_Grid[#Data],$DD150,40),0)</f>
        <v/>
      </c>
      <c r="AQ150">
        <f>IFERROR(INDEX(PP_Grid[#Data],$DD150,41),0)</f>
        <v/>
      </c>
      <c r="AR150">
        <f>IFERROR(INDEX(PP_Grid[#Data],$DD150,42),0)</f>
        <v/>
      </c>
      <c r="AS150">
        <f>IFERROR(INDEX(PP_Grid[#Data],$DD150,43),0)</f>
        <v/>
      </c>
      <c r="AT150">
        <f>IFERROR(INDEX(PP_Grid[#Data],$DD150,44),0)</f>
        <v/>
      </c>
      <c r="AU150">
        <f>IFERROR(INDEX(PP_Grid[#Data],$DD150,45),0)</f>
        <v/>
      </c>
      <c r="AV150">
        <f>IFERROR(INDEX(PP_Grid[#Data],$DD150,46),0)</f>
        <v/>
      </c>
      <c r="AW150">
        <f>IFERROR(INDEX(PP_Grid[#Data],$DD150,47),0)</f>
        <v/>
      </c>
      <c r="AX150">
        <f>IFERROR(INDEX(PP_Grid[#Data],$DD150,48),0)</f>
        <v/>
      </c>
      <c r="AY150">
        <f>IFERROR(INDEX(PP_Grid[#Data],$DD150,49),0)</f>
        <v/>
      </c>
      <c r="AZ150">
        <f>IFERROR(INDEX(PP_Grid[#Data],$DD150,50),0)</f>
        <v/>
      </c>
      <c r="BA150">
        <f>IFERROR(INDEX(PP_Grid[#Data],$DD150,51),0)</f>
        <v/>
      </c>
      <c r="BB150">
        <f>IFERROR(INDEX(PP_Grid[#Data],$DD150,52),0)</f>
        <v/>
      </c>
      <c r="BC150">
        <f>IFERROR(INDEX(PP_Grid[#Data],$DD150,53),0)</f>
        <v/>
      </c>
      <c r="BD150">
        <f>IFERROR(INDEX(PP_Grid[#Data],$DD150,54),0)</f>
        <v/>
      </c>
      <c r="BE150">
        <f>IFERROR(INDEX(PP_Grid[#Data],$DD150,55),0)</f>
        <v/>
      </c>
      <c r="BF150">
        <f>IFERROR(INDEX(PP_Grid[#Data],$DD150,56),0)</f>
        <v/>
      </c>
      <c r="BG150">
        <f>IFERROR(INDEX(PP_Grid[#Data],$DD150,57),0)</f>
        <v/>
      </c>
      <c r="BH150">
        <f>IFERROR(INDEX(PP_Grid[#Data],$DD150,58),0)</f>
        <v/>
      </c>
      <c r="BI150">
        <f>IFERROR(INDEX(PP_Grid[#Data],$DD150,59),0)</f>
        <v/>
      </c>
      <c r="BJ150">
        <f>IFERROR(INDEX(PP_Grid[#Data],$DD150,60),0)</f>
        <v/>
      </c>
      <c r="BK150">
        <f>IFERROR(INDEX(PP_Grid[#Data],$DD150,61),0)</f>
        <v/>
      </c>
      <c r="BL150">
        <f>IFERROR(INDEX(PP_Grid[#Data],$DD150,62),0)</f>
        <v/>
      </c>
      <c r="BM150">
        <f>IFERROR(INDEX(PP_Grid[#Data],$DD150,63),0)</f>
        <v/>
      </c>
      <c r="BN150">
        <f>IFERROR(INDEX(PP_Grid[#Data],$DD150,64),0)</f>
        <v/>
      </c>
      <c r="BO150">
        <f>IFERROR(INDEX(PP_Grid[#Data],$DD150,65),0)</f>
        <v/>
      </c>
      <c r="BP150">
        <f>IFERROR(INDEX(PP_Grid[#Data],$DD150,66),0)</f>
        <v/>
      </c>
      <c r="BQ150">
        <f>IFERROR(INDEX(PP_Grid[#Data],$DD150,67),0)</f>
        <v/>
      </c>
      <c r="BR150">
        <f>IFERROR(INDEX(PP_Grid[#Data],$DD150,68),0)</f>
        <v/>
      </c>
      <c r="BS150">
        <f>IFERROR(INDEX(PP_Grid[#Data],$DD150,69),0)</f>
        <v/>
      </c>
      <c r="BT150">
        <f>IFERROR(INDEX(PP_Grid[#Data],$DD150,70),0)</f>
        <v/>
      </c>
      <c r="BU150">
        <f>IFERROR(INDEX(PP_Grid[#Data],$DD150,71),0)</f>
        <v/>
      </c>
      <c r="BV150">
        <f>IFERROR(INDEX(PP_Grid[#Data],$DD150,72),0)</f>
        <v/>
      </c>
      <c r="BW150">
        <f>IFERROR(INDEX(PP_Grid[#Data],$DD150,73),0)</f>
        <v/>
      </c>
      <c r="BX150">
        <f>IFERROR(INDEX(PP_Grid[#Data],$DD150,74),0)</f>
        <v/>
      </c>
      <c r="BY150">
        <f>IFERROR(INDEX(PP_Grid[#Data],$DD150,75),0)</f>
        <v/>
      </c>
      <c r="BZ150">
        <f>IFERROR(INDEX(PP_Grid[#Data],$DD150,76),0)</f>
        <v/>
      </c>
      <c r="CA150">
        <f>IFERROR(INDEX(PP_Grid[#Data],$DD150,77),0)</f>
        <v/>
      </c>
      <c r="CB150">
        <f>IFERROR(INDEX(PP_Grid[#Data],$DD150,78),0)</f>
        <v/>
      </c>
      <c r="CC150">
        <f>IFERROR(INDEX(PP_Grid[#Data],$DD150,79),0)</f>
        <v/>
      </c>
      <c r="CD150">
        <f>IFERROR(INDEX(PP_Grid[#Data],$DD150,80),0)</f>
        <v/>
      </c>
      <c r="CE150">
        <f>IFERROR(INDEX(PP_Grid[#Data],$DD150,81),0)</f>
        <v/>
      </c>
      <c r="CF150">
        <f>IFERROR(INDEX(PP_Grid[#Data],$DD150,82),0)</f>
        <v/>
      </c>
      <c r="CG150">
        <f>IFERROR(INDEX(PP_Grid[#Data],$DD150,83),0)</f>
        <v/>
      </c>
      <c r="CH150">
        <f>IFERROR(INDEX(PP_Grid[#Data],$DD150,84),0)</f>
        <v/>
      </c>
      <c r="CI150">
        <f>IFERROR(INDEX(PP_Grid[#Data],$DD150,85),0)</f>
        <v/>
      </c>
      <c r="CJ150">
        <f>IFERROR(INDEX(PP_Grid[#Data],$DD150,86),0)</f>
        <v/>
      </c>
      <c r="CK150">
        <f>IFERROR(INDEX(PP_Grid[#Data],$DD150,87),0)</f>
        <v/>
      </c>
      <c r="CL150">
        <f>IFERROR(INDEX(PP_Grid[#Data],$DD150,88),0)</f>
        <v/>
      </c>
      <c r="CM150">
        <f>IFERROR(INDEX(PP_Grid[#Data],$DD150,89),0)</f>
        <v/>
      </c>
      <c r="CN150">
        <f>IFERROR(INDEX(PP_Grid[#Data],$DD150,90),0)</f>
        <v/>
      </c>
      <c r="CO150">
        <f>IFERROR(INDEX(PP_Grid[#Data],$DD150,91),0)</f>
        <v/>
      </c>
      <c r="CP150">
        <f>IFERROR(INDEX(PP_Grid[#Data],$DD150,92),0)</f>
        <v/>
      </c>
      <c r="CQ150">
        <f>IFERROR(INDEX(PP_Grid[#Data],$DD150,93),0)</f>
        <v/>
      </c>
      <c r="CR150">
        <f>IFERROR(INDEX(PP_Grid[#Data],$DD150,94),0)</f>
        <v/>
      </c>
      <c r="CS150">
        <f>IFERROR(INDEX(PP_Grid[#Data],$DD150,95),0)</f>
        <v/>
      </c>
      <c r="CT150">
        <f>IFERROR(INDEX(PP_Grid[#Data],$DD150,96),0)</f>
        <v/>
      </c>
      <c r="CU150">
        <f>IFERROR(INDEX(PP_Grid[#Data],$DD150,97),0)</f>
        <v/>
      </c>
      <c r="CV150">
        <f>IFERROR(INDEX(PP_Grid[#Data],$DD150,98),0)</f>
        <v/>
      </c>
      <c r="CW150">
        <f>IFERROR(INDEX(PP_Grid[#Data],$DD150,99),0)</f>
        <v/>
      </c>
      <c r="CX150">
        <f>IFERROR(INDEX(PP_Grid[#Data],$DD150,100),0)</f>
        <v/>
      </c>
      <c r="CY150">
        <f>IFERROR(INDEX(PP_Grid[#Data],$DD150,101),0)</f>
        <v/>
      </c>
      <c r="CZ150">
        <f>IFERROR(INDEX(PP_Grid[#Data],$DD150,102),0)</f>
        <v/>
      </c>
      <c r="DA150">
        <f>IFERROR(INDEX(PP_Grid[#Data],$DD150,103),0)</f>
        <v/>
      </c>
      <c r="DB150">
        <f>IFERROR(INDEX(PP_Grid[#Data],$DD150,104),0)</f>
        <v/>
      </c>
      <c r="DC150">
        <f>IFERROR(INDEX(PP_Grid[#Data],$DD150,105),0)</f>
        <v/>
      </c>
      <c r="DD150" s="7">
        <f>IFERROR(MATCH($B150,PP_Grid[Intermediate],0),99999)</f>
        <v/>
      </c>
    </row>
    <row r="151">
      <c r="B151" t="inlineStr">
        <is>
          <t>使用量(kg)</t>
        </is>
      </c>
      <c r="C151">
        <f>SUMIFS(M_BOM[RM_Qty_Per_Batch],M_BOM[Intermediate],$B150,M_BOM[Part Name],$A45)</f>
        <v/>
      </c>
      <c r="D151">
        <f>$C151*D150</f>
        <v/>
      </c>
      <c r="E151">
        <f>$C151*E150</f>
        <v/>
      </c>
      <c r="F151">
        <f>$C151*F150</f>
        <v/>
      </c>
      <c r="G151">
        <f>$C151*G150</f>
        <v/>
      </c>
      <c r="H151">
        <f>$C151*H150</f>
        <v/>
      </c>
      <c r="I151">
        <f>$C151*I150</f>
        <v/>
      </c>
      <c r="J151">
        <f>$C151*J150</f>
        <v/>
      </c>
      <c r="K151">
        <f>$C151*K150</f>
        <v/>
      </c>
      <c r="L151">
        <f>$C151*L150</f>
        <v/>
      </c>
      <c r="M151">
        <f>$C151*M150</f>
        <v/>
      </c>
      <c r="N151">
        <f>$C151*N150</f>
        <v/>
      </c>
      <c r="O151">
        <f>$C151*O150</f>
        <v/>
      </c>
      <c r="P151">
        <f>$C151*P150</f>
        <v/>
      </c>
      <c r="Q151">
        <f>$C151*Q150</f>
        <v/>
      </c>
      <c r="R151">
        <f>$C151*R150</f>
        <v/>
      </c>
      <c r="S151">
        <f>$C151*S150</f>
        <v/>
      </c>
      <c r="T151">
        <f>$C151*T150</f>
        <v/>
      </c>
      <c r="U151">
        <f>$C151*U150</f>
        <v/>
      </c>
      <c r="V151">
        <f>$C151*V150</f>
        <v/>
      </c>
      <c r="W151">
        <f>$C151*W150</f>
        <v/>
      </c>
      <c r="X151">
        <f>$C151*X150</f>
        <v/>
      </c>
      <c r="Y151">
        <f>$C151*Y150</f>
        <v/>
      </c>
      <c r="Z151">
        <f>$C151*Z150</f>
        <v/>
      </c>
      <c r="AA151">
        <f>$C151*AA150</f>
        <v/>
      </c>
      <c r="AB151">
        <f>$C151*AB150</f>
        <v/>
      </c>
      <c r="AC151">
        <f>$C151*AC150</f>
        <v/>
      </c>
      <c r="AD151">
        <f>$C151*AD150</f>
        <v/>
      </c>
      <c r="AE151">
        <f>$C151*AE150</f>
        <v/>
      </c>
      <c r="AF151">
        <f>$C151*AF150</f>
        <v/>
      </c>
      <c r="AG151">
        <f>$C151*AG150</f>
        <v/>
      </c>
      <c r="AH151">
        <f>$C151*AH150</f>
        <v/>
      </c>
      <c r="AI151">
        <f>$C151*AI150</f>
        <v/>
      </c>
      <c r="AJ151">
        <f>$C151*AJ150</f>
        <v/>
      </c>
      <c r="AK151">
        <f>$C151*AK150</f>
        <v/>
      </c>
      <c r="AL151">
        <f>$C151*AL150</f>
        <v/>
      </c>
      <c r="AM151">
        <f>$C151*AM150</f>
        <v/>
      </c>
      <c r="AN151">
        <f>$C151*AN150</f>
        <v/>
      </c>
      <c r="AO151">
        <f>$C151*AO150</f>
        <v/>
      </c>
      <c r="AP151">
        <f>$C151*AP150</f>
        <v/>
      </c>
      <c r="AQ151">
        <f>$C151*AQ150</f>
        <v/>
      </c>
      <c r="AR151">
        <f>$C151*AR150</f>
        <v/>
      </c>
      <c r="AS151">
        <f>$C151*AS150</f>
        <v/>
      </c>
      <c r="AT151">
        <f>$C151*AT150</f>
        <v/>
      </c>
      <c r="AU151">
        <f>$C151*AU150</f>
        <v/>
      </c>
      <c r="AV151">
        <f>$C151*AV150</f>
        <v/>
      </c>
      <c r="AW151">
        <f>$C151*AW150</f>
        <v/>
      </c>
      <c r="AX151">
        <f>$C151*AX150</f>
        <v/>
      </c>
      <c r="AY151">
        <f>$C151*AY150</f>
        <v/>
      </c>
      <c r="AZ151">
        <f>$C151*AZ150</f>
        <v/>
      </c>
      <c r="BA151">
        <f>$C151*BA150</f>
        <v/>
      </c>
      <c r="BB151">
        <f>$C151*BB150</f>
        <v/>
      </c>
      <c r="BC151">
        <f>$C151*BC150</f>
        <v/>
      </c>
      <c r="BD151">
        <f>$C151*BD150</f>
        <v/>
      </c>
      <c r="BE151">
        <f>$C151*BE150</f>
        <v/>
      </c>
      <c r="BF151">
        <f>$C151*BF150</f>
        <v/>
      </c>
      <c r="BG151">
        <f>$C151*BG150</f>
        <v/>
      </c>
      <c r="BH151">
        <f>$C151*BH150</f>
        <v/>
      </c>
      <c r="BI151">
        <f>$C151*BI150</f>
        <v/>
      </c>
      <c r="BJ151">
        <f>$C151*BJ150</f>
        <v/>
      </c>
      <c r="BK151">
        <f>$C151*BK150</f>
        <v/>
      </c>
      <c r="BL151">
        <f>$C151*BL150</f>
        <v/>
      </c>
      <c r="BM151">
        <f>$C151*BM150</f>
        <v/>
      </c>
      <c r="BN151">
        <f>$C151*BN150</f>
        <v/>
      </c>
      <c r="BO151">
        <f>$C151*BO150</f>
        <v/>
      </c>
      <c r="BP151">
        <f>$C151*BP150</f>
        <v/>
      </c>
      <c r="BQ151">
        <f>$C151*BQ150</f>
        <v/>
      </c>
      <c r="BR151">
        <f>$C151*BR150</f>
        <v/>
      </c>
      <c r="BS151">
        <f>$C151*BS150</f>
        <v/>
      </c>
      <c r="BT151">
        <f>$C151*BT150</f>
        <v/>
      </c>
      <c r="BU151">
        <f>$C151*BU150</f>
        <v/>
      </c>
      <c r="BV151">
        <f>$C151*BV150</f>
        <v/>
      </c>
      <c r="BW151">
        <f>$C151*BW150</f>
        <v/>
      </c>
      <c r="BX151">
        <f>$C151*BX150</f>
        <v/>
      </c>
      <c r="BY151">
        <f>$C151*BY150</f>
        <v/>
      </c>
      <c r="BZ151">
        <f>$C151*BZ150</f>
        <v/>
      </c>
      <c r="CA151">
        <f>$C151*CA150</f>
        <v/>
      </c>
      <c r="CB151">
        <f>$C151*CB150</f>
        <v/>
      </c>
      <c r="CC151">
        <f>$C151*CC150</f>
        <v/>
      </c>
      <c r="CD151">
        <f>$C151*CD150</f>
        <v/>
      </c>
      <c r="CE151">
        <f>$C151*CE150</f>
        <v/>
      </c>
      <c r="CF151">
        <f>$C151*CF150</f>
        <v/>
      </c>
      <c r="CG151">
        <f>$C151*CG150</f>
        <v/>
      </c>
      <c r="CH151">
        <f>$C151*CH150</f>
        <v/>
      </c>
      <c r="CI151">
        <f>$C151*CI150</f>
        <v/>
      </c>
      <c r="CJ151">
        <f>$C151*CJ150</f>
        <v/>
      </c>
      <c r="CK151">
        <f>$C151*CK150</f>
        <v/>
      </c>
      <c r="CL151">
        <f>$C151*CL150</f>
        <v/>
      </c>
      <c r="CM151">
        <f>$C151*CM150</f>
        <v/>
      </c>
      <c r="CN151">
        <f>$C151*CN150</f>
        <v/>
      </c>
      <c r="CO151">
        <f>$C151*CO150</f>
        <v/>
      </c>
      <c r="CP151">
        <f>$C151*CP150</f>
        <v/>
      </c>
      <c r="CQ151">
        <f>$C151*CQ150</f>
        <v/>
      </c>
      <c r="CR151">
        <f>$C151*CR150</f>
        <v/>
      </c>
      <c r="CS151">
        <f>$C151*CS150</f>
        <v/>
      </c>
      <c r="CT151">
        <f>$C151*CT150</f>
        <v/>
      </c>
      <c r="CU151">
        <f>$C151*CU150</f>
        <v/>
      </c>
      <c r="CV151">
        <f>$C151*CV150</f>
        <v/>
      </c>
      <c r="CW151">
        <f>$C151*CW150</f>
        <v/>
      </c>
      <c r="CX151">
        <f>$C151*CX150</f>
        <v/>
      </c>
      <c r="CY151">
        <f>$C151*CY150</f>
        <v/>
      </c>
      <c r="CZ151">
        <f>$C151*CZ150</f>
        <v/>
      </c>
      <c r="DA151">
        <f>$C151*DA150</f>
        <v/>
      </c>
      <c r="DB151">
        <f>$C151*DB150</f>
        <v/>
      </c>
      <c r="DC151">
        <f>$C151*DC150</f>
        <v/>
      </c>
    </row>
    <row r="152">
      <c r="B152" t="inlineStr">
        <is>
          <t>TSP-1388</t>
        </is>
      </c>
      <c r="C152" t="inlineStr">
        <is>
          <t>No. of batches</t>
        </is>
      </c>
      <c r="D152">
        <f>IFERROR(INDEX(PP_Grid[#Data],$DD152,2),0)</f>
        <v/>
      </c>
      <c r="E152">
        <f>IFERROR(INDEX(PP_Grid[#Data],$DD152,3),0)</f>
        <v/>
      </c>
      <c r="F152">
        <f>IFERROR(INDEX(PP_Grid[#Data],$DD152,4),0)</f>
        <v/>
      </c>
      <c r="G152">
        <f>IFERROR(INDEX(PP_Grid[#Data],$DD152,5),0)</f>
        <v/>
      </c>
      <c r="H152">
        <f>IFERROR(INDEX(PP_Grid[#Data],$DD152,6),0)</f>
        <v/>
      </c>
      <c r="I152">
        <f>IFERROR(INDEX(PP_Grid[#Data],$DD152,7),0)</f>
        <v/>
      </c>
      <c r="J152">
        <f>IFERROR(INDEX(PP_Grid[#Data],$DD152,8),0)</f>
        <v/>
      </c>
      <c r="K152">
        <f>IFERROR(INDEX(PP_Grid[#Data],$DD152,9),0)</f>
        <v/>
      </c>
      <c r="L152">
        <f>IFERROR(INDEX(PP_Grid[#Data],$DD152,10),0)</f>
        <v/>
      </c>
      <c r="M152">
        <f>IFERROR(INDEX(PP_Grid[#Data],$DD152,11),0)</f>
        <v/>
      </c>
      <c r="N152">
        <f>IFERROR(INDEX(PP_Grid[#Data],$DD152,12),0)</f>
        <v/>
      </c>
      <c r="O152">
        <f>IFERROR(INDEX(PP_Grid[#Data],$DD152,13),0)</f>
        <v/>
      </c>
      <c r="P152">
        <f>IFERROR(INDEX(PP_Grid[#Data],$DD152,14),0)</f>
        <v/>
      </c>
      <c r="Q152">
        <f>IFERROR(INDEX(PP_Grid[#Data],$DD152,15),0)</f>
        <v/>
      </c>
      <c r="R152">
        <f>IFERROR(INDEX(PP_Grid[#Data],$DD152,16),0)</f>
        <v/>
      </c>
      <c r="S152">
        <f>IFERROR(INDEX(PP_Grid[#Data],$DD152,17),0)</f>
        <v/>
      </c>
      <c r="T152">
        <f>IFERROR(INDEX(PP_Grid[#Data],$DD152,18),0)</f>
        <v/>
      </c>
      <c r="U152">
        <f>IFERROR(INDEX(PP_Grid[#Data],$DD152,19),0)</f>
        <v/>
      </c>
      <c r="V152">
        <f>IFERROR(INDEX(PP_Grid[#Data],$DD152,20),0)</f>
        <v/>
      </c>
      <c r="W152">
        <f>IFERROR(INDEX(PP_Grid[#Data],$DD152,21),0)</f>
        <v/>
      </c>
      <c r="X152">
        <f>IFERROR(INDEX(PP_Grid[#Data],$DD152,22),0)</f>
        <v/>
      </c>
      <c r="Y152">
        <f>IFERROR(INDEX(PP_Grid[#Data],$DD152,23),0)</f>
        <v/>
      </c>
      <c r="Z152">
        <f>IFERROR(INDEX(PP_Grid[#Data],$DD152,24),0)</f>
        <v/>
      </c>
      <c r="AA152">
        <f>IFERROR(INDEX(PP_Grid[#Data],$DD152,25),0)</f>
        <v/>
      </c>
      <c r="AB152">
        <f>IFERROR(INDEX(PP_Grid[#Data],$DD152,26),0)</f>
        <v/>
      </c>
      <c r="AC152">
        <f>IFERROR(INDEX(PP_Grid[#Data],$DD152,27),0)</f>
        <v/>
      </c>
      <c r="AD152">
        <f>IFERROR(INDEX(PP_Grid[#Data],$DD152,28),0)</f>
        <v/>
      </c>
      <c r="AE152">
        <f>IFERROR(INDEX(PP_Grid[#Data],$DD152,29),0)</f>
        <v/>
      </c>
      <c r="AF152">
        <f>IFERROR(INDEX(PP_Grid[#Data],$DD152,30),0)</f>
        <v/>
      </c>
      <c r="AG152">
        <f>IFERROR(INDEX(PP_Grid[#Data],$DD152,31),0)</f>
        <v/>
      </c>
      <c r="AH152">
        <f>IFERROR(INDEX(PP_Grid[#Data],$DD152,32),0)</f>
        <v/>
      </c>
      <c r="AI152">
        <f>IFERROR(INDEX(PP_Grid[#Data],$DD152,33),0)</f>
        <v/>
      </c>
      <c r="AJ152">
        <f>IFERROR(INDEX(PP_Grid[#Data],$DD152,34),0)</f>
        <v/>
      </c>
      <c r="AK152">
        <f>IFERROR(INDEX(PP_Grid[#Data],$DD152,35),0)</f>
        <v/>
      </c>
      <c r="AL152">
        <f>IFERROR(INDEX(PP_Grid[#Data],$DD152,36),0)</f>
        <v/>
      </c>
      <c r="AM152">
        <f>IFERROR(INDEX(PP_Grid[#Data],$DD152,37),0)</f>
        <v/>
      </c>
      <c r="AN152">
        <f>IFERROR(INDEX(PP_Grid[#Data],$DD152,38),0)</f>
        <v/>
      </c>
      <c r="AO152">
        <f>IFERROR(INDEX(PP_Grid[#Data],$DD152,39),0)</f>
        <v/>
      </c>
      <c r="AP152">
        <f>IFERROR(INDEX(PP_Grid[#Data],$DD152,40),0)</f>
        <v/>
      </c>
      <c r="AQ152">
        <f>IFERROR(INDEX(PP_Grid[#Data],$DD152,41),0)</f>
        <v/>
      </c>
      <c r="AR152">
        <f>IFERROR(INDEX(PP_Grid[#Data],$DD152,42),0)</f>
        <v/>
      </c>
      <c r="AS152">
        <f>IFERROR(INDEX(PP_Grid[#Data],$DD152,43),0)</f>
        <v/>
      </c>
      <c r="AT152">
        <f>IFERROR(INDEX(PP_Grid[#Data],$DD152,44),0)</f>
        <v/>
      </c>
      <c r="AU152">
        <f>IFERROR(INDEX(PP_Grid[#Data],$DD152,45),0)</f>
        <v/>
      </c>
      <c r="AV152">
        <f>IFERROR(INDEX(PP_Grid[#Data],$DD152,46),0)</f>
        <v/>
      </c>
      <c r="AW152">
        <f>IFERROR(INDEX(PP_Grid[#Data],$DD152,47),0)</f>
        <v/>
      </c>
      <c r="AX152">
        <f>IFERROR(INDEX(PP_Grid[#Data],$DD152,48),0)</f>
        <v/>
      </c>
      <c r="AY152">
        <f>IFERROR(INDEX(PP_Grid[#Data],$DD152,49),0)</f>
        <v/>
      </c>
      <c r="AZ152">
        <f>IFERROR(INDEX(PP_Grid[#Data],$DD152,50),0)</f>
        <v/>
      </c>
      <c r="BA152">
        <f>IFERROR(INDEX(PP_Grid[#Data],$DD152,51),0)</f>
        <v/>
      </c>
      <c r="BB152">
        <f>IFERROR(INDEX(PP_Grid[#Data],$DD152,52),0)</f>
        <v/>
      </c>
      <c r="BC152">
        <f>IFERROR(INDEX(PP_Grid[#Data],$DD152,53),0)</f>
        <v/>
      </c>
      <c r="BD152">
        <f>IFERROR(INDEX(PP_Grid[#Data],$DD152,54),0)</f>
        <v/>
      </c>
      <c r="BE152">
        <f>IFERROR(INDEX(PP_Grid[#Data],$DD152,55),0)</f>
        <v/>
      </c>
      <c r="BF152">
        <f>IFERROR(INDEX(PP_Grid[#Data],$DD152,56),0)</f>
        <v/>
      </c>
      <c r="BG152">
        <f>IFERROR(INDEX(PP_Grid[#Data],$DD152,57),0)</f>
        <v/>
      </c>
      <c r="BH152">
        <f>IFERROR(INDEX(PP_Grid[#Data],$DD152,58),0)</f>
        <v/>
      </c>
      <c r="BI152">
        <f>IFERROR(INDEX(PP_Grid[#Data],$DD152,59),0)</f>
        <v/>
      </c>
      <c r="BJ152">
        <f>IFERROR(INDEX(PP_Grid[#Data],$DD152,60),0)</f>
        <v/>
      </c>
      <c r="BK152">
        <f>IFERROR(INDEX(PP_Grid[#Data],$DD152,61),0)</f>
        <v/>
      </c>
      <c r="BL152">
        <f>IFERROR(INDEX(PP_Grid[#Data],$DD152,62),0)</f>
        <v/>
      </c>
      <c r="BM152">
        <f>IFERROR(INDEX(PP_Grid[#Data],$DD152,63),0)</f>
        <v/>
      </c>
      <c r="BN152">
        <f>IFERROR(INDEX(PP_Grid[#Data],$DD152,64),0)</f>
        <v/>
      </c>
      <c r="BO152">
        <f>IFERROR(INDEX(PP_Grid[#Data],$DD152,65),0)</f>
        <v/>
      </c>
      <c r="BP152">
        <f>IFERROR(INDEX(PP_Grid[#Data],$DD152,66),0)</f>
        <v/>
      </c>
      <c r="BQ152">
        <f>IFERROR(INDEX(PP_Grid[#Data],$DD152,67),0)</f>
        <v/>
      </c>
      <c r="BR152">
        <f>IFERROR(INDEX(PP_Grid[#Data],$DD152,68),0)</f>
        <v/>
      </c>
      <c r="BS152">
        <f>IFERROR(INDEX(PP_Grid[#Data],$DD152,69),0)</f>
        <v/>
      </c>
      <c r="BT152">
        <f>IFERROR(INDEX(PP_Grid[#Data],$DD152,70),0)</f>
        <v/>
      </c>
      <c r="BU152">
        <f>IFERROR(INDEX(PP_Grid[#Data],$DD152,71),0)</f>
        <v/>
      </c>
      <c r="BV152">
        <f>IFERROR(INDEX(PP_Grid[#Data],$DD152,72),0)</f>
        <v/>
      </c>
      <c r="BW152">
        <f>IFERROR(INDEX(PP_Grid[#Data],$DD152,73),0)</f>
        <v/>
      </c>
      <c r="BX152">
        <f>IFERROR(INDEX(PP_Grid[#Data],$DD152,74),0)</f>
        <v/>
      </c>
      <c r="BY152">
        <f>IFERROR(INDEX(PP_Grid[#Data],$DD152,75),0)</f>
        <v/>
      </c>
      <c r="BZ152">
        <f>IFERROR(INDEX(PP_Grid[#Data],$DD152,76),0)</f>
        <v/>
      </c>
      <c r="CA152">
        <f>IFERROR(INDEX(PP_Grid[#Data],$DD152,77),0)</f>
        <v/>
      </c>
      <c r="CB152">
        <f>IFERROR(INDEX(PP_Grid[#Data],$DD152,78),0)</f>
        <v/>
      </c>
      <c r="CC152">
        <f>IFERROR(INDEX(PP_Grid[#Data],$DD152,79),0)</f>
        <v/>
      </c>
      <c r="CD152">
        <f>IFERROR(INDEX(PP_Grid[#Data],$DD152,80),0)</f>
        <v/>
      </c>
      <c r="CE152">
        <f>IFERROR(INDEX(PP_Grid[#Data],$DD152,81),0)</f>
        <v/>
      </c>
      <c r="CF152">
        <f>IFERROR(INDEX(PP_Grid[#Data],$DD152,82),0)</f>
        <v/>
      </c>
      <c r="CG152">
        <f>IFERROR(INDEX(PP_Grid[#Data],$DD152,83),0)</f>
        <v/>
      </c>
      <c r="CH152">
        <f>IFERROR(INDEX(PP_Grid[#Data],$DD152,84),0)</f>
        <v/>
      </c>
      <c r="CI152">
        <f>IFERROR(INDEX(PP_Grid[#Data],$DD152,85),0)</f>
        <v/>
      </c>
      <c r="CJ152">
        <f>IFERROR(INDEX(PP_Grid[#Data],$DD152,86),0)</f>
        <v/>
      </c>
      <c r="CK152">
        <f>IFERROR(INDEX(PP_Grid[#Data],$DD152,87),0)</f>
        <v/>
      </c>
      <c r="CL152">
        <f>IFERROR(INDEX(PP_Grid[#Data],$DD152,88),0)</f>
        <v/>
      </c>
      <c r="CM152">
        <f>IFERROR(INDEX(PP_Grid[#Data],$DD152,89),0)</f>
        <v/>
      </c>
      <c r="CN152">
        <f>IFERROR(INDEX(PP_Grid[#Data],$DD152,90),0)</f>
        <v/>
      </c>
      <c r="CO152">
        <f>IFERROR(INDEX(PP_Grid[#Data],$DD152,91),0)</f>
        <v/>
      </c>
      <c r="CP152">
        <f>IFERROR(INDEX(PP_Grid[#Data],$DD152,92),0)</f>
        <v/>
      </c>
      <c r="CQ152">
        <f>IFERROR(INDEX(PP_Grid[#Data],$DD152,93),0)</f>
        <v/>
      </c>
      <c r="CR152">
        <f>IFERROR(INDEX(PP_Grid[#Data],$DD152,94),0)</f>
        <v/>
      </c>
      <c r="CS152">
        <f>IFERROR(INDEX(PP_Grid[#Data],$DD152,95),0)</f>
        <v/>
      </c>
      <c r="CT152">
        <f>IFERROR(INDEX(PP_Grid[#Data],$DD152,96),0)</f>
        <v/>
      </c>
      <c r="CU152">
        <f>IFERROR(INDEX(PP_Grid[#Data],$DD152,97),0)</f>
        <v/>
      </c>
      <c r="CV152">
        <f>IFERROR(INDEX(PP_Grid[#Data],$DD152,98),0)</f>
        <v/>
      </c>
      <c r="CW152">
        <f>IFERROR(INDEX(PP_Grid[#Data],$DD152,99),0)</f>
        <v/>
      </c>
      <c r="CX152">
        <f>IFERROR(INDEX(PP_Grid[#Data],$DD152,100),0)</f>
        <v/>
      </c>
      <c r="CY152">
        <f>IFERROR(INDEX(PP_Grid[#Data],$DD152,101),0)</f>
        <v/>
      </c>
      <c r="CZ152">
        <f>IFERROR(INDEX(PP_Grid[#Data],$DD152,102),0)</f>
        <v/>
      </c>
      <c r="DA152">
        <f>IFERROR(INDEX(PP_Grid[#Data],$DD152,103),0)</f>
        <v/>
      </c>
      <c r="DB152">
        <f>IFERROR(INDEX(PP_Grid[#Data],$DD152,104),0)</f>
        <v/>
      </c>
      <c r="DC152">
        <f>IFERROR(INDEX(PP_Grid[#Data],$DD152,105),0)</f>
        <v/>
      </c>
      <c r="DD152" s="7">
        <f>IFERROR(MATCH($B152,PP_Grid[Intermediate],0),99999)</f>
        <v/>
      </c>
    </row>
    <row r="153">
      <c r="B153" t="inlineStr">
        <is>
          <t>使用量(kg)</t>
        </is>
      </c>
      <c r="C153">
        <f>SUMIFS(M_BOM[RM_Qty_Per_Batch],M_BOM[Intermediate],$B152,M_BOM[Part Name],$A45)</f>
        <v/>
      </c>
      <c r="D153">
        <f>$C153*D152</f>
        <v/>
      </c>
      <c r="E153">
        <f>$C153*E152</f>
        <v/>
      </c>
      <c r="F153">
        <f>$C153*F152</f>
        <v/>
      </c>
      <c r="G153">
        <f>$C153*G152</f>
        <v/>
      </c>
      <c r="H153">
        <f>$C153*H152</f>
        <v/>
      </c>
      <c r="I153">
        <f>$C153*I152</f>
        <v/>
      </c>
      <c r="J153">
        <f>$C153*J152</f>
        <v/>
      </c>
      <c r="K153">
        <f>$C153*K152</f>
        <v/>
      </c>
      <c r="L153">
        <f>$C153*L152</f>
        <v/>
      </c>
      <c r="M153">
        <f>$C153*M152</f>
        <v/>
      </c>
      <c r="N153">
        <f>$C153*N152</f>
        <v/>
      </c>
      <c r="O153">
        <f>$C153*O152</f>
        <v/>
      </c>
      <c r="P153">
        <f>$C153*P152</f>
        <v/>
      </c>
      <c r="Q153">
        <f>$C153*Q152</f>
        <v/>
      </c>
      <c r="R153">
        <f>$C153*R152</f>
        <v/>
      </c>
      <c r="S153">
        <f>$C153*S152</f>
        <v/>
      </c>
      <c r="T153">
        <f>$C153*T152</f>
        <v/>
      </c>
      <c r="U153">
        <f>$C153*U152</f>
        <v/>
      </c>
      <c r="V153">
        <f>$C153*V152</f>
        <v/>
      </c>
      <c r="W153">
        <f>$C153*W152</f>
        <v/>
      </c>
      <c r="X153">
        <f>$C153*X152</f>
        <v/>
      </c>
      <c r="Y153">
        <f>$C153*Y152</f>
        <v/>
      </c>
      <c r="Z153">
        <f>$C153*Z152</f>
        <v/>
      </c>
      <c r="AA153">
        <f>$C153*AA152</f>
        <v/>
      </c>
      <c r="AB153">
        <f>$C153*AB152</f>
        <v/>
      </c>
      <c r="AC153">
        <f>$C153*AC152</f>
        <v/>
      </c>
      <c r="AD153">
        <f>$C153*AD152</f>
        <v/>
      </c>
      <c r="AE153">
        <f>$C153*AE152</f>
        <v/>
      </c>
      <c r="AF153">
        <f>$C153*AF152</f>
        <v/>
      </c>
      <c r="AG153">
        <f>$C153*AG152</f>
        <v/>
      </c>
      <c r="AH153">
        <f>$C153*AH152</f>
        <v/>
      </c>
      <c r="AI153">
        <f>$C153*AI152</f>
        <v/>
      </c>
      <c r="AJ153">
        <f>$C153*AJ152</f>
        <v/>
      </c>
      <c r="AK153">
        <f>$C153*AK152</f>
        <v/>
      </c>
      <c r="AL153">
        <f>$C153*AL152</f>
        <v/>
      </c>
      <c r="AM153">
        <f>$C153*AM152</f>
        <v/>
      </c>
      <c r="AN153">
        <f>$C153*AN152</f>
        <v/>
      </c>
      <c r="AO153">
        <f>$C153*AO152</f>
        <v/>
      </c>
      <c r="AP153">
        <f>$C153*AP152</f>
        <v/>
      </c>
      <c r="AQ153">
        <f>$C153*AQ152</f>
        <v/>
      </c>
      <c r="AR153">
        <f>$C153*AR152</f>
        <v/>
      </c>
      <c r="AS153">
        <f>$C153*AS152</f>
        <v/>
      </c>
      <c r="AT153">
        <f>$C153*AT152</f>
        <v/>
      </c>
      <c r="AU153">
        <f>$C153*AU152</f>
        <v/>
      </c>
      <c r="AV153">
        <f>$C153*AV152</f>
        <v/>
      </c>
      <c r="AW153">
        <f>$C153*AW152</f>
        <v/>
      </c>
      <c r="AX153">
        <f>$C153*AX152</f>
        <v/>
      </c>
      <c r="AY153">
        <f>$C153*AY152</f>
        <v/>
      </c>
      <c r="AZ153">
        <f>$C153*AZ152</f>
        <v/>
      </c>
      <c r="BA153">
        <f>$C153*BA152</f>
        <v/>
      </c>
      <c r="BB153">
        <f>$C153*BB152</f>
        <v/>
      </c>
      <c r="BC153">
        <f>$C153*BC152</f>
        <v/>
      </c>
      <c r="BD153">
        <f>$C153*BD152</f>
        <v/>
      </c>
      <c r="BE153">
        <f>$C153*BE152</f>
        <v/>
      </c>
      <c r="BF153">
        <f>$C153*BF152</f>
        <v/>
      </c>
      <c r="BG153">
        <f>$C153*BG152</f>
        <v/>
      </c>
      <c r="BH153">
        <f>$C153*BH152</f>
        <v/>
      </c>
      <c r="BI153">
        <f>$C153*BI152</f>
        <v/>
      </c>
      <c r="BJ153">
        <f>$C153*BJ152</f>
        <v/>
      </c>
      <c r="BK153">
        <f>$C153*BK152</f>
        <v/>
      </c>
      <c r="BL153">
        <f>$C153*BL152</f>
        <v/>
      </c>
      <c r="BM153">
        <f>$C153*BM152</f>
        <v/>
      </c>
      <c r="BN153">
        <f>$C153*BN152</f>
        <v/>
      </c>
      <c r="BO153">
        <f>$C153*BO152</f>
        <v/>
      </c>
      <c r="BP153">
        <f>$C153*BP152</f>
        <v/>
      </c>
      <c r="BQ153">
        <f>$C153*BQ152</f>
        <v/>
      </c>
      <c r="BR153">
        <f>$C153*BR152</f>
        <v/>
      </c>
      <c r="BS153">
        <f>$C153*BS152</f>
        <v/>
      </c>
      <c r="BT153">
        <f>$C153*BT152</f>
        <v/>
      </c>
      <c r="BU153">
        <f>$C153*BU152</f>
        <v/>
      </c>
      <c r="BV153">
        <f>$C153*BV152</f>
        <v/>
      </c>
      <c r="BW153">
        <f>$C153*BW152</f>
        <v/>
      </c>
      <c r="BX153">
        <f>$C153*BX152</f>
        <v/>
      </c>
      <c r="BY153">
        <f>$C153*BY152</f>
        <v/>
      </c>
      <c r="BZ153">
        <f>$C153*BZ152</f>
        <v/>
      </c>
      <c r="CA153">
        <f>$C153*CA152</f>
        <v/>
      </c>
      <c r="CB153">
        <f>$C153*CB152</f>
        <v/>
      </c>
      <c r="CC153">
        <f>$C153*CC152</f>
        <v/>
      </c>
      <c r="CD153">
        <f>$C153*CD152</f>
        <v/>
      </c>
      <c r="CE153">
        <f>$C153*CE152</f>
        <v/>
      </c>
      <c r="CF153">
        <f>$C153*CF152</f>
        <v/>
      </c>
      <c r="CG153">
        <f>$C153*CG152</f>
        <v/>
      </c>
      <c r="CH153">
        <f>$C153*CH152</f>
        <v/>
      </c>
      <c r="CI153">
        <f>$C153*CI152</f>
        <v/>
      </c>
      <c r="CJ153">
        <f>$C153*CJ152</f>
        <v/>
      </c>
      <c r="CK153">
        <f>$C153*CK152</f>
        <v/>
      </c>
      <c r="CL153">
        <f>$C153*CL152</f>
        <v/>
      </c>
      <c r="CM153">
        <f>$C153*CM152</f>
        <v/>
      </c>
      <c r="CN153">
        <f>$C153*CN152</f>
        <v/>
      </c>
      <c r="CO153">
        <f>$C153*CO152</f>
        <v/>
      </c>
      <c r="CP153">
        <f>$C153*CP152</f>
        <v/>
      </c>
      <c r="CQ153">
        <f>$C153*CQ152</f>
        <v/>
      </c>
      <c r="CR153">
        <f>$C153*CR152</f>
        <v/>
      </c>
      <c r="CS153">
        <f>$C153*CS152</f>
        <v/>
      </c>
      <c r="CT153">
        <f>$C153*CT152</f>
        <v/>
      </c>
      <c r="CU153">
        <f>$C153*CU152</f>
        <v/>
      </c>
      <c r="CV153">
        <f>$C153*CV152</f>
        <v/>
      </c>
      <c r="CW153">
        <f>$C153*CW152</f>
        <v/>
      </c>
      <c r="CX153">
        <f>$C153*CX152</f>
        <v/>
      </c>
      <c r="CY153">
        <f>$C153*CY152</f>
        <v/>
      </c>
      <c r="CZ153">
        <f>$C153*CZ152</f>
        <v/>
      </c>
      <c r="DA153">
        <f>$C153*DA152</f>
        <v/>
      </c>
      <c r="DB153">
        <f>$C153*DB152</f>
        <v/>
      </c>
      <c r="DC153">
        <f>$C153*DC152</f>
        <v/>
      </c>
    </row>
    <row r="154">
      <c r="B154" t="inlineStr">
        <is>
          <t>TSP-1444</t>
        </is>
      </c>
      <c r="C154" t="inlineStr">
        <is>
          <t>No. of batches</t>
        </is>
      </c>
      <c r="D154">
        <f>IFERROR(INDEX(PP_Grid[#Data],$DD154,2),0)</f>
        <v/>
      </c>
      <c r="E154">
        <f>IFERROR(INDEX(PP_Grid[#Data],$DD154,3),0)</f>
        <v/>
      </c>
      <c r="F154">
        <f>IFERROR(INDEX(PP_Grid[#Data],$DD154,4),0)</f>
        <v/>
      </c>
      <c r="G154">
        <f>IFERROR(INDEX(PP_Grid[#Data],$DD154,5),0)</f>
        <v/>
      </c>
      <c r="H154">
        <f>IFERROR(INDEX(PP_Grid[#Data],$DD154,6),0)</f>
        <v/>
      </c>
      <c r="I154">
        <f>IFERROR(INDEX(PP_Grid[#Data],$DD154,7),0)</f>
        <v/>
      </c>
      <c r="J154">
        <f>IFERROR(INDEX(PP_Grid[#Data],$DD154,8),0)</f>
        <v/>
      </c>
      <c r="K154">
        <f>IFERROR(INDEX(PP_Grid[#Data],$DD154,9),0)</f>
        <v/>
      </c>
      <c r="L154">
        <f>IFERROR(INDEX(PP_Grid[#Data],$DD154,10),0)</f>
        <v/>
      </c>
      <c r="M154">
        <f>IFERROR(INDEX(PP_Grid[#Data],$DD154,11),0)</f>
        <v/>
      </c>
      <c r="N154">
        <f>IFERROR(INDEX(PP_Grid[#Data],$DD154,12),0)</f>
        <v/>
      </c>
      <c r="O154">
        <f>IFERROR(INDEX(PP_Grid[#Data],$DD154,13),0)</f>
        <v/>
      </c>
      <c r="P154">
        <f>IFERROR(INDEX(PP_Grid[#Data],$DD154,14),0)</f>
        <v/>
      </c>
      <c r="Q154">
        <f>IFERROR(INDEX(PP_Grid[#Data],$DD154,15),0)</f>
        <v/>
      </c>
      <c r="R154">
        <f>IFERROR(INDEX(PP_Grid[#Data],$DD154,16),0)</f>
        <v/>
      </c>
      <c r="S154">
        <f>IFERROR(INDEX(PP_Grid[#Data],$DD154,17),0)</f>
        <v/>
      </c>
      <c r="T154">
        <f>IFERROR(INDEX(PP_Grid[#Data],$DD154,18),0)</f>
        <v/>
      </c>
      <c r="U154">
        <f>IFERROR(INDEX(PP_Grid[#Data],$DD154,19),0)</f>
        <v/>
      </c>
      <c r="V154">
        <f>IFERROR(INDEX(PP_Grid[#Data],$DD154,20),0)</f>
        <v/>
      </c>
      <c r="W154">
        <f>IFERROR(INDEX(PP_Grid[#Data],$DD154,21),0)</f>
        <v/>
      </c>
      <c r="X154">
        <f>IFERROR(INDEX(PP_Grid[#Data],$DD154,22),0)</f>
        <v/>
      </c>
      <c r="Y154">
        <f>IFERROR(INDEX(PP_Grid[#Data],$DD154,23),0)</f>
        <v/>
      </c>
      <c r="Z154">
        <f>IFERROR(INDEX(PP_Grid[#Data],$DD154,24),0)</f>
        <v/>
      </c>
      <c r="AA154">
        <f>IFERROR(INDEX(PP_Grid[#Data],$DD154,25),0)</f>
        <v/>
      </c>
      <c r="AB154">
        <f>IFERROR(INDEX(PP_Grid[#Data],$DD154,26),0)</f>
        <v/>
      </c>
      <c r="AC154">
        <f>IFERROR(INDEX(PP_Grid[#Data],$DD154,27),0)</f>
        <v/>
      </c>
      <c r="AD154">
        <f>IFERROR(INDEX(PP_Grid[#Data],$DD154,28),0)</f>
        <v/>
      </c>
      <c r="AE154">
        <f>IFERROR(INDEX(PP_Grid[#Data],$DD154,29),0)</f>
        <v/>
      </c>
      <c r="AF154">
        <f>IFERROR(INDEX(PP_Grid[#Data],$DD154,30),0)</f>
        <v/>
      </c>
      <c r="AG154">
        <f>IFERROR(INDEX(PP_Grid[#Data],$DD154,31),0)</f>
        <v/>
      </c>
      <c r="AH154">
        <f>IFERROR(INDEX(PP_Grid[#Data],$DD154,32),0)</f>
        <v/>
      </c>
      <c r="AI154">
        <f>IFERROR(INDEX(PP_Grid[#Data],$DD154,33),0)</f>
        <v/>
      </c>
      <c r="AJ154">
        <f>IFERROR(INDEX(PP_Grid[#Data],$DD154,34),0)</f>
        <v/>
      </c>
      <c r="AK154">
        <f>IFERROR(INDEX(PP_Grid[#Data],$DD154,35),0)</f>
        <v/>
      </c>
      <c r="AL154">
        <f>IFERROR(INDEX(PP_Grid[#Data],$DD154,36),0)</f>
        <v/>
      </c>
      <c r="AM154">
        <f>IFERROR(INDEX(PP_Grid[#Data],$DD154,37),0)</f>
        <v/>
      </c>
      <c r="AN154">
        <f>IFERROR(INDEX(PP_Grid[#Data],$DD154,38),0)</f>
        <v/>
      </c>
      <c r="AO154">
        <f>IFERROR(INDEX(PP_Grid[#Data],$DD154,39),0)</f>
        <v/>
      </c>
      <c r="AP154">
        <f>IFERROR(INDEX(PP_Grid[#Data],$DD154,40),0)</f>
        <v/>
      </c>
      <c r="AQ154">
        <f>IFERROR(INDEX(PP_Grid[#Data],$DD154,41),0)</f>
        <v/>
      </c>
      <c r="AR154">
        <f>IFERROR(INDEX(PP_Grid[#Data],$DD154,42),0)</f>
        <v/>
      </c>
      <c r="AS154">
        <f>IFERROR(INDEX(PP_Grid[#Data],$DD154,43),0)</f>
        <v/>
      </c>
      <c r="AT154">
        <f>IFERROR(INDEX(PP_Grid[#Data],$DD154,44),0)</f>
        <v/>
      </c>
      <c r="AU154">
        <f>IFERROR(INDEX(PP_Grid[#Data],$DD154,45),0)</f>
        <v/>
      </c>
      <c r="AV154">
        <f>IFERROR(INDEX(PP_Grid[#Data],$DD154,46),0)</f>
        <v/>
      </c>
      <c r="AW154">
        <f>IFERROR(INDEX(PP_Grid[#Data],$DD154,47),0)</f>
        <v/>
      </c>
      <c r="AX154">
        <f>IFERROR(INDEX(PP_Grid[#Data],$DD154,48),0)</f>
        <v/>
      </c>
      <c r="AY154">
        <f>IFERROR(INDEX(PP_Grid[#Data],$DD154,49),0)</f>
        <v/>
      </c>
      <c r="AZ154">
        <f>IFERROR(INDEX(PP_Grid[#Data],$DD154,50),0)</f>
        <v/>
      </c>
      <c r="BA154">
        <f>IFERROR(INDEX(PP_Grid[#Data],$DD154,51),0)</f>
        <v/>
      </c>
      <c r="BB154">
        <f>IFERROR(INDEX(PP_Grid[#Data],$DD154,52),0)</f>
        <v/>
      </c>
      <c r="BC154">
        <f>IFERROR(INDEX(PP_Grid[#Data],$DD154,53),0)</f>
        <v/>
      </c>
      <c r="BD154">
        <f>IFERROR(INDEX(PP_Grid[#Data],$DD154,54),0)</f>
        <v/>
      </c>
      <c r="BE154">
        <f>IFERROR(INDEX(PP_Grid[#Data],$DD154,55),0)</f>
        <v/>
      </c>
      <c r="BF154">
        <f>IFERROR(INDEX(PP_Grid[#Data],$DD154,56),0)</f>
        <v/>
      </c>
      <c r="BG154">
        <f>IFERROR(INDEX(PP_Grid[#Data],$DD154,57),0)</f>
        <v/>
      </c>
      <c r="BH154">
        <f>IFERROR(INDEX(PP_Grid[#Data],$DD154,58),0)</f>
        <v/>
      </c>
      <c r="BI154">
        <f>IFERROR(INDEX(PP_Grid[#Data],$DD154,59),0)</f>
        <v/>
      </c>
      <c r="BJ154">
        <f>IFERROR(INDEX(PP_Grid[#Data],$DD154,60),0)</f>
        <v/>
      </c>
      <c r="BK154">
        <f>IFERROR(INDEX(PP_Grid[#Data],$DD154,61),0)</f>
        <v/>
      </c>
      <c r="BL154">
        <f>IFERROR(INDEX(PP_Grid[#Data],$DD154,62),0)</f>
        <v/>
      </c>
      <c r="BM154">
        <f>IFERROR(INDEX(PP_Grid[#Data],$DD154,63),0)</f>
        <v/>
      </c>
      <c r="BN154">
        <f>IFERROR(INDEX(PP_Grid[#Data],$DD154,64),0)</f>
        <v/>
      </c>
      <c r="BO154">
        <f>IFERROR(INDEX(PP_Grid[#Data],$DD154,65),0)</f>
        <v/>
      </c>
      <c r="BP154">
        <f>IFERROR(INDEX(PP_Grid[#Data],$DD154,66),0)</f>
        <v/>
      </c>
      <c r="BQ154">
        <f>IFERROR(INDEX(PP_Grid[#Data],$DD154,67),0)</f>
        <v/>
      </c>
      <c r="BR154">
        <f>IFERROR(INDEX(PP_Grid[#Data],$DD154,68),0)</f>
        <v/>
      </c>
      <c r="BS154">
        <f>IFERROR(INDEX(PP_Grid[#Data],$DD154,69),0)</f>
        <v/>
      </c>
      <c r="BT154">
        <f>IFERROR(INDEX(PP_Grid[#Data],$DD154,70),0)</f>
        <v/>
      </c>
      <c r="BU154">
        <f>IFERROR(INDEX(PP_Grid[#Data],$DD154,71),0)</f>
        <v/>
      </c>
      <c r="BV154">
        <f>IFERROR(INDEX(PP_Grid[#Data],$DD154,72),0)</f>
        <v/>
      </c>
      <c r="BW154">
        <f>IFERROR(INDEX(PP_Grid[#Data],$DD154,73),0)</f>
        <v/>
      </c>
      <c r="BX154">
        <f>IFERROR(INDEX(PP_Grid[#Data],$DD154,74),0)</f>
        <v/>
      </c>
      <c r="BY154">
        <f>IFERROR(INDEX(PP_Grid[#Data],$DD154,75),0)</f>
        <v/>
      </c>
      <c r="BZ154">
        <f>IFERROR(INDEX(PP_Grid[#Data],$DD154,76),0)</f>
        <v/>
      </c>
      <c r="CA154">
        <f>IFERROR(INDEX(PP_Grid[#Data],$DD154,77),0)</f>
        <v/>
      </c>
      <c r="CB154">
        <f>IFERROR(INDEX(PP_Grid[#Data],$DD154,78),0)</f>
        <v/>
      </c>
      <c r="CC154">
        <f>IFERROR(INDEX(PP_Grid[#Data],$DD154,79),0)</f>
        <v/>
      </c>
      <c r="CD154">
        <f>IFERROR(INDEX(PP_Grid[#Data],$DD154,80),0)</f>
        <v/>
      </c>
      <c r="CE154">
        <f>IFERROR(INDEX(PP_Grid[#Data],$DD154,81),0)</f>
        <v/>
      </c>
      <c r="CF154">
        <f>IFERROR(INDEX(PP_Grid[#Data],$DD154,82),0)</f>
        <v/>
      </c>
      <c r="CG154">
        <f>IFERROR(INDEX(PP_Grid[#Data],$DD154,83),0)</f>
        <v/>
      </c>
      <c r="CH154">
        <f>IFERROR(INDEX(PP_Grid[#Data],$DD154,84),0)</f>
        <v/>
      </c>
      <c r="CI154">
        <f>IFERROR(INDEX(PP_Grid[#Data],$DD154,85),0)</f>
        <v/>
      </c>
      <c r="CJ154">
        <f>IFERROR(INDEX(PP_Grid[#Data],$DD154,86),0)</f>
        <v/>
      </c>
      <c r="CK154">
        <f>IFERROR(INDEX(PP_Grid[#Data],$DD154,87),0)</f>
        <v/>
      </c>
      <c r="CL154">
        <f>IFERROR(INDEX(PP_Grid[#Data],$DD154,88),0)</f>
        <v/>
      </c>
      <c r="CM154">
        <f>IFERROR(INDEX(PP_Grid[#Data],$DD154,89),0)</f>
        <v/>
      </c>
      <c r="CN154">
        <f>IFERROR(INDEX(PP_Grid[#Data],$DD154,90),0)</f>
        <v/>
      </c>
      <c r="CO154">
        <f>IFERROR(INDEX(PP_Grid[#Data],$DD154,91),0)</f>
        <v/>
      </c>
      <c r="CP154">
        <f>IFERROR(INDEX(PP_Grid[#Data],$DD154,92),0)</f>
        <v/>
      </c>
      <c r="CQ154">
        <f>IFERROR(INDEX(PP_Grid[#Data],$DD154,93),0)</f>
        <v/>
      </c>
      <c r="CR154">
        <f>IFERROR(INDEX(PP_Grid[#Data],$DD154,94),0)</f>
        <v/>
      </c>
      <c r="CS154">
        <f>IFERROR(INDEX(PP_Grid[#Data],$DD154,95),0)</f>
        <v/>
      </c>
      <c r="CT154">
        <f>IFERROR(INDEX(PP_Grid[#Data],$DD154,96),0)</f>
        <v/>
      </c>
      <c r="CU154">
        <f>IFERROR(INDEX(PP_Grid[#Data],$DD154,97),0)</f>
        <v/>
      </c>
      <c r="CV154">
        <f>IFERROR(INDEX(PP_Grid[#Data],$DD154,98),0)</f>
        <v/>
      </c>
      <c r="CW154">
        <f>IFERROR(INDEX(PP_Grid[#Data],$DD154,99),0)</f>
        <v/>
      </c>
      <c r="CX154">
        <f>IFERROR(INDEX(PP_Grid[#Data],$DD154,100),0)</f>
        <v/>
      </c>
      <c r="CY154">
        <f>IFERROR(INDEX(PP_Grid[#Data],$DD154,101),0)</f>
        <v/>
      </c>
      <c r="CZ154">
        <f>IFERROR(INDEX(PP_Grid[#Data],$DD154,102),0)</f>
        <v/>
      </c>
      <c r="DA154">
        <f>IFERROR(INDEX(PP_Grid[#Data],$DD154,103),0)</f>
        <v/>
      </c>
      <c r="DB154">
        <f>IFERROR(INDEX(PP_Grid[#Data],$DD154,104),0)</f>
        <v/>
      </c>
      <c r="DC154">
        <f>IFERROR(INDEX(PP_Grid[#Data],$DD154,105),0)</f>
        <v/>
      </c>
      <c r="DD154" s="7">
        <f>IFERROR(MATCH($B154,PP_Grid[Intermediate],0),99999)</f>
        <v/>
      </c>
    </row>
    <row r="155">
      <c r="B155" t="inlineStr">
        <is>
          <t>使用量(kg)</t>
        </is>
      </c>
      <c r="C155">
        <f>SUMIFS(M_BOM[RM_Qty_Per_Batch],M_BOM[Intermediate],$B154,M_BOM[Part Name],$A45)</f>
        <v/>
      </c>
      <c r="D155">
        <f>$C155*D154</f>
        <v/>
      </c>
      <c r="E155">
        <f>$C155*E154</f>
        <v/>
      </c>
      <c r="F155">
        <f>$C155*F154</f>
        <v/>
      </c>
      <c r="G155">
        <f>$C155*G154</f>
        <v/>
      </c>
      <c r="H155">
        <f>$C155*H154</f>
        <v/>
      </c>
      <c r="I155">
        <f>$C155*I154</f>
        <v/>
      </c>
      <c r="J155">
        <f>$C155*J154</f>
        <v/>
      </c>
      <c r="K155">
        <f>$C155*K154</f>
        <v/>
      </c>
      <c r="L155">
        <f>$C155*L154</f>
        <v/>
      </c>
      <c r="M155">
        <f>$C155*M154</f>
        <v/>
      </c>
      <c r="N155">
        <f>$C155*N154</f>
        <v/>
      </c>
      <c r="O155">
        <f>$C155*O154</f>
        <v/>
      </c>
      <c r="P155">
        <f>$C155*P154</f>
        <v/>
      </c>
      <c r="Q155">
        <f>$C155*Q154</f>
        <v/>
      </c>
      <c r="R155">
        <f>$C155*R154</f>
        <v/>
      </c>
      <c r="S155">
        <f>$C155*S154</f>
        <v/>
      </c>
      <c r="T155">
        <f>$C155*T154</f>
        <v/>
      </c>
      <c r="U155">
        <f>$C155*U154</f>
        <v/>
      </c>
      <c r="V155">
        <f>$C155*V154</f>
        <v/>
      </c>
      <c r="W155">
        <f>$C155*W154</f>
        <v/>
      </c>
      <c r="X155">
        <f>$C155*X154</f>
        <v/>
      </c>
      <c r="Y155">
        <f>$C155*Y154</f>
        <v/>
      </c>
      <c r="Z155">
        <f>$C155*Z154</f>
        <v/>
      </c>
      <c r="AA155">
        <f>$C155*AA154</f>
        <v/>
      </c>
      <c r="AB155">
        <f>$C155*AB154</f>
        <v/>
      </c>
      <c r="AC155">
        <f>$C155*AC154</f>
        <v/>
      </c>
      <c r="AD155">
        <f>$C155*AD154</f>
        <v/>
      </c>
      <c r="AE155">
        <f>$C155*AE154</f>
        <v/>
      </c>
      <c r="AF155">
        <f>$C155*AF154</f>
        <v/>
      </c>
      <c r="AG155">
        <f>$C155*AG154</f>
        <v/>
      </c>
      <c r="AH155">
        <f>$C155*AH154</f>
        <v/>
      </c>
      <c r="AI155">
        <f>$C155*AI154</f>
        <v/>
      </c>
      <c r="AJ155">
        <f>$C155*AJ154</f>
        <v/>
      </c>
      <c r="AK155">
        <f>$C155*AK154</f>
        <v/>
      </c>
      <c r="AL155">
        <f>$C155*AL154</f>
        <v/>
      </c>
      <c r="AM155">
        <f>$C155*AM154</f>
        <v/>
      </c>
      <c r="AN155">
        <f>$C155*AN154</f>
        <v/>
      </c>
      <c r="AO155">
        <f>$C155*AO154</f>
        <v/>
      </c>
      <c r="AP155">
        <f>$C155*AP154</f>
        <v/>
      </c>
      <c r="AQ155">
        <f>$C155*AQ154</f>
        <v/>
      </c>
      <c r="AR155">
        <f>$C155*AR154</f>
        <v/>
      </c>
      <c r="AS155">
        <f>$C155*AS154</f>
        <v/>
      </c>
      <c r="AT155">
        <f>$C155*AT154</f>
        <v/>
      </c>
      <c r="AU155">
        <f>$C155*AU154</f>
        <v/>
      </c>
      <c r="AV155">
        <f>$C155*AV154</f>
        <v/>
      </c>
      <c r="AW155">
        <f>$C155*AW154</f>
        <v/>
      </c>
      <c r="AX155">
        <f>$C155*AX154</f>
        <v/>
      </c>
      <c r="AY155">
        <f>$C155*AY154</f>
        <v/>
      </c>
      <c r="AZ155">
        <f>$C155*AZ154</f>
        <v/>
      </c>
      <c r="BA155">
        <f>$C155*BA154</f>
        <v/>
      </c>
      <c r="BB155">
        <f>$C155*BB154</f>
        <v/>
      </c>
      <c r="BC155">
        <f>$C155*BC154</f>
        <v/>
      </c>
      <c r="BD155">
        <f>$C155*BD154</f>
        <v/>
      </c>
      <c r="BE155">
        <f>$C155*BE154</f>
        <v/>
      </c>
      <c r="BF155">
        <f>$C155*BF154</f>
        <v/>
      </c>
      <c r="BG155">
        <f>$C155*BG154</f>
        <v/>
      </c>
      <c r="BH155">
        <f>$C155*BH154</f>
        <v/>
      </c>
      <c r="BI155">
        <f>$C155*BI154</f>
        <v/>
      </c>
      <c r="BJ155">
        <f>$C155*BJ154</f>
        <v/>
      </c>
      <c r="BK155">
        <f>$C155*BK154</f>
        <v/>
      </c>
      <c r="BL155">
        <f>$C155*BL154</f>
        <v/>
      </c>
      <c r="BM155">
        <f>$C155*BM154</f>
        <v/>
      </c>
      <c r="BN155">
        <f>$C155*BN154</f>
        <v/>
      </c>
      <c r="BO155">
        <f>$C155*BO154</f>
        <v/>
      </c>
      <c r="BP155">
        <f>$C155*BP154</f>
        <v/>
      </c>
      <c r="BQ155">
        <f>$C155*BQ154</f>
        <v/>
      </c>
      <c r="BR155">
        <f>$C155*BR154</f>
        <v/>
      </c>
      <c r="BS155">
        <f>$C155*BS154</f>
        <v/>
      </c>
      <c r="BT155">
        <f>$C155*BT154</f>
        <v/>
      </c>
      <c r="BU155">
        <f>$C155*BU154</f>
        <v/>
      </c>
      <c r="BV155">
        <f>$C155*BV154</f>
        <v/>
      </c>
      <c r="BW155">
        <f>$C155*BW154</f>
        <v/>
      </c>
      <c r="BX155">
        <f>$C155*BX154</f>
        <v/>
      </c>
      <c r="BY155">
        <f>$C155*BY154</f>
        <v/>
      </c>
      <c r="BZ155">
        <f>$C155*BZ154</f>
        <v/>
      </c>
      <c r="CA155">
        <f>$C155*CA154</f>
        <v/>
      </c>
      <c r="CB155">
        <f>$C155*CB154</f>
        <v/>
      </c>
      <c r="CC155">
        <f>$C155*CC154</f>
        <v/>
      </c>
      <c r="CD155">
        <f>$C155*CD154</f>
        <v/>
      </c>
      <c r="CE155">
        <f>$C155*CE154</f>
        <v/>
      </c>
      <c r="CF155">
        <f>$C155*CF154</f>
        <v/>
      </c>
      <c r="CG155">
        <f>$C155*CG154</f>
        <v/>
      </c>
      <c r="CH155">
        <f>$C155*CH154</f>
        <v/>
      </c>
      <c r="CI155">
        <f>$C155*CI154</f>
        <v/>
      </c>
      <c r="CJ155">
        <f>$C155*CJ154</f>
        <v/>
      </c>
      <c r="CK155">
        <f>$C155*CK154</f>
        <v/>
      </c>
      <c r="CL155">
        <f>$C155*CL154</f>
        <v/>
      </c>
      <c r="CM155">
        <f>$C155*CM154</f>
        <v/>
      </c>
      <c r="CN155">
        <f>$C155*CN154</f>
        <v/>
      </c>
      <c r="CO155">
        <f>$C155*CO154</f>
        <v/>
      </c>
      <c r="CP155">
        <f>$C155*CP154</f>
        <v/>
      </c>
      <c r="CQ155">
        <f>$C155*CQ154</f>
        <v/>
      </c>
      <c r="CR155">
        <f>$C155*CR154</f>
        <v/>
      </c>
      <c r="CS155">
        <f>$C155*CS154</f>
        <v/>
      </c>
      <c r="CT155">
        <f>$C155*CT154</f>
        <v/>
      </c>
      <c r="CU155">
        <f>$C155*CU154</f>
        <v/>
      </c>
      <c r="CV155">
        <f>$C155*CV154</f>
        <v/>
      </c>
      <c r="CW155">
        <f>$C155*CW154</f>
        <v/>
      </c>
      <c r="CX155">
        <f>$C155*CX154</f>
        <v/>
      </c>
      <c r="CY155">
        <f>$C155*CY154</f>
        <v/>
      </c>
      <c r="CZ155">
        <f>$C155*CZ154</f>
        <v/>
      </c>
      <c r="DA155">
        <f>$C155*DA154</f>
        <v/>
      </c>
      <c r="DB155">
        <f>$C155*DB154</f>
        <v/>
      </c>
      <c r="DC155">
        <f>$C155*DC154</f>
        <v/>
      </c>
    </row>
    <row r="156">
      <c r="B156" t="inlineStr">
        <is>
          <t>TSP-1448</t>
        </is>
      </c>
      <c r="C156" t="inlineStr">
        <is>
          <t>No. of batches</t>
        </is>
      </c>
      <c r="D156">
        <f>IFERROR(INDEX(PP_Grid[#Data],$DD156,2),0)</f>
        <v/>
      </c>
      <c r="E156">
        <f>IFERROR(INDEX(PP_Grid[#Data],$DD156,3),0)</f>
        <v/>
      </c>
      <c r="F156">
        <f>IFERROR(INDEX(PP_Grid[#Data],$DD156,4),0)</f>
        <v/>
      </c>
      <c r="G156">
        <f>IFERROR(INDEX(PP_Grid[#Data],$DD156,5),0)</f>
        <v/>
      </c>
      <c r="H156">
        <f>IFERROR(INDEX(PP_Grid[#Data],$DD156,6),0)</f>
        <v/>
      </c>
      <c r="I156">
        <f>IFERROR(INDEX(PP_Grid[#Data],$DD156,7),0)</f>
        <v/>
      </c>
      <c r="J156">
        <f>IFERROR(INDEX(PP_Grid[#Data],$DD156,8),0)</f>
        <v/>
      </c>
      <c r="K156">
        <f>IFERROR(INDEX(PP_Grid[#Data],$DD156,9),0)</f>
        <v/>
      </c>
      <c r="L156">
        <f>IFERROR(INDEX(PP_Grid[#Data],$DD156,10),0)</f>
        <v/>
      </c>
      <c r="M156">
        <f>IFERROR(INDEX(PP_Grid[#Data],$DD156,11),0)</f>
        <v/>
      </c>
      <c r="N156">
        <f>IFERROR(INDEX(PP_Grid[#Data],$DD156,12),0)</f>
        <v/>
      </c>
      <c r="O156">
        <f>IFERROR(INDEX(PP_Grid[#Data],$DD156,13),0)</f>
        <v/>
      </c>
      <c r="P156">
        <f>IFERROR(INDEX(PP_Grid[#Data],$DD156,14),0)</f>
        <v/>
      </c>
      <c r="Q156">
        <f>IFERROR(INDEX(PP_Grid[#Data],$DD156,15),0)</f>
        <v/>
      </c>
      <c r="R156">
        <f>IFERROR(INDEX(PP_Grid[#Data],$DD156,16),0)</f>
        <v/>
      </c>
      <c r="S156">
        <f>IFERROR(INDEX(PP_Grid[#Data],$DD156,17),0)</f>
        <v/>
      </c>
      <c r="T156">
        <f>IFERROR(INDEX(PP_Grid[#Data],$DD156,18),0)</f>
        <v/>
      </c>
      <c r="U156">
        <f>IFERROR(INDEX(PP_Grid[#Data],$DD156,19),0)</f>
        <v/>
      </c>
      <c r="V156">
        <f>IFERROR(INDEX(PP_Grid[#Data],$DD156,20),0)</f>
        <v/>
      </c>
      <c r="W156">
        <f>IFERROR(INDEX(PP_Grid[#Data],$DD156,21),0)</f>
        <v/>
      </c>
      <c r="X156">
        <f>IFERROR(INDEX(PP_Grid[#Data],$DD156,22),0)</f>
        <v/>
      </c>
      <c r="Y156">
        <f>IFERROR(INDEX(PP_Grid[#Data],$DD156,23),0)</f>
        <v/>
      </c>
      <c r="Z156">
        <f>IFERROR(INDEX(PP_Grid[#Data],$DD156,24),0)</f>
        <v/>
      </c>
      <c r="AA156">
        <f>IFERROR(INDEX(PP_Grid[#Data],$DD156,25),0)</f>
        <v/>
      </c>
      <c r="AB156">
        <f>IFERROR(INDEX(PP_Grid[#Data],$DD156,26),0)</f>
        <v/>
      </c>
      <c r="AC156">
        <f>IFERROR(INDEX(PP_Grid[#Data],$DD156,27),0)</f>
        <v/>
      </c>
      <c r="AD156">
        <f>IFERROR(INDEX(PP_Grid[#Data],$DD156,28),0)</f>
        <v/>
      </c>
      <c r="AE156">
        <f>IFERROR(INDEX(PP_Grid[#Data],$DD156,29),0)</f>
        <v/>
      </c>
      <c r="AF156">
        <f>IFERROR(INDEX(PP_Grid[#Data],$DD156,30),0)</f>
        <v/>
      </c>
      <c r="AG156">
        <f>IFERROR(INDEX(PP_Grid[#Data],$DD156,31),0)</f>
        <v/>
      </c>
      <c r="AH156">
        <f>IFERROR(INDEX(PP_Grid[#Data],$DD156,32),0)</f>
        <v/>
      </c>
      <c r="AI156">
        <f>IFERROR(INDEX(PP_Grid[#Data],$DD156,33),0)</f>
        <v/>
      </c>
      <c r="AJ156">
        <f>IFERROR(INDEX(PP_Grid[#Data],$DD156,34),0)</f>
        <v/>
      </c>
      <c r="AK156">
        <f>IFERROR(INDEX(PP_Grid[#Data],$DD156,35),0)</f>
        <v/>
      </c>
      <c r="AL156">
        <f>IFERROR(INDEX(PP_Grid[#Data],$DD156,36),0)</f>
        <v/>
      </c>
      <c r="AM156">
        <f>IFERROR(INDEX(PP_Grid[#Data],$DD156,37),0)</f>
        <v/>
      </c>
      <c r="AN156">
        <f>IFERROR(INDEX(PP_Grid[#Data],$DD156,38),0)</f>
        <v/>
      </c>
      <c r="AO156">
        <f>IFERROR(INDEX(PP_Grid[#Data],$DD156,39),0)</f>
        <v/>
      </c>
      <c r="AP156">
        <f>IFERROR(INDEX(PP_Grid[#Data],$DD156,40),0)</f>
        <v/>
      </c>
      <c r="AQ156">
        <f>IFERROR(INDEX(PP_Grid[#Data],$DD156,41),0)</f>
        <v/>
      </c>
      <c r="AR156">
        <f>IFERROR(INDEX(PP_Grid[#Data],$DD156,42),0)</f>
        <v/>
      </c>
      <c r="AS156">
        <f>IFERROR(INDEX(PP_Grid[#Data],$DD156,43),0)</f>
        <v/>
      </c>
      <c r="AT156">
        <f>IFERROR(INDEX(PP_Grid[#Data],$DD156,44),0)</f>
        <v/>
      </c>
      <c r="AU156">
        <f>IFERROR(INDEX(PP_Grid[#Data],$DD156,45),0)</f>
        <v/>
      </c>
      <c r="AV156">
        <f>IFERROR(INDEX(PP_Grid[#Data],$DD156,46),0)</f>
        <v/>
      </c>
      <c r="AW156">
        <f>IFERROR(INDEX(PP_Grid[#Data],$DD156,47),0)</f>
        <v/>
      </c>
      <c r="AX156">
        <f>IFERROR(INDEX(PP_Grid[#Data],$DD156,48),0)</f>
        <v/>
      </c>
      <c r="AY156">
        <f>IFERROR(INDEX(PP_Grid[#Data],$DD156,49),0)</f>
        <v/>
      </c>
      <c r="AZ156">
        <f>IFERROR(INDEX(PP_Grid[#Data],$DD156,50),0)</f>
        <v/>
      </c>
      <c r="BA156">
        <f>IFERROR(INDEX(PP_Grid[#Data],$DD156,51),0)</f>
        <v/>
      </c>
      <c r="BB156">
        <f>IFERROR(INDEX(PP_Grid[#Data],$DD156,52),0)</f>
        <v/>
      </c>
      <c r="BC156">
        <f>IFERROR(INDEX(PP_Grid[#Data],$DD156,53),0)</f>
        <v/>
      </c>
      <c r="BD156">
        <f>IFERROR(INDEX(PP_Grid[#Data],$DD156,54),0)</f>
        <v/>
      </c>
      <c r="BE156">
        <f>IFERROR(INDEX(PP_Grid[#Data],$DD156,55),0)</f>
        <v/>
      </c>
      <c r="BF156">
        <f>IFERROR(INDEX(PP_Grid[#Data],$DD156,56),0)</f>
        <v/>
      </c>
      <c r="BG156">
        <f>IFERROR(INDEX(PP_Grid[#Data],$DD156,57),0)</f>
        <v/>
      </c>
      <c r="BH156">
        <f>IFERROR(INDEX(PP_Grid[#Data],$DD156,58),0)</f>
        <v/>
      </c>
      <c r="BI156">
        <f>IFERROR(INDEX(PP_Grid[#Data],$DD156,59),0)</f>
        <v/>
      </c>
      <c r="BJ156">
        <f>IFERROR(INDEX(PP_Grid[#Data],$DD156,60),0)</f>
        <v/>
      </c>
      <c r="BK156">
        <f>IFERROR(INDEX(PP_Grid[#Data],$DD156,61),0)</f>
        <v/>
      </c>
      <c r="BL156">
        <f>IFERROR(INDEX(PP_Grid[#Data],$DD156,62),0)</f>
        <v/>
      </c>
      <c r="BM156">
        <f>IFERROR(INDEX(PP_Grid[#Data],$DD156,63),0)</f>
        <v/>
      </c>
      <c r="BN156">
        <f>IFERROR(INDEX(PP_Grid[#Data],$DD156,64),0)</f>
        <v/>
      </c>
      <c r="BO156">
        <f>IFERROR(INDEX(PP_Grid[#Data],$DD156,65),0)</f>
        <v/>
      </c>
      <c r="BP156">
        <f>IFERROR(INDEX(PP_Grid[#Data],$DD156,66),0)</f>
        <v/>
      </c>
      <c r="BQ156">
        <f>IFERROR(INDEX(PP_Grid[#Data],$DD156,67),0)</f>
        <v/>
      </c>
      <c r="BR156">
        <f>IFERROR(INDEX(PP_Grid[#Data],$DD156,68),0)</f>
        <v/>
      </c>
      <c r="BS156">
        <f>IFERROR(INDEX(PP_Grid[#Data],$DD156,69),0)</f>
        <v/>
      </c>
      <c r="BT156">
        <f>IFERROR(INDEX(PP_Grid[#Data],$DD156,70),0)</f>
        <v/>
      </c>
      <c r="BU156">
        <f>IFERROR(INDEX(PP_Grid[#Data],$DD156,71),0)</f>
        <v/>
      </c>
      <c r="BV156">
        <f>IFERROR(INDEX(PP_Grid[#Data],$DD156,72),0)</f>
        <v/>
      </c>
      <c r="BW156">
        <f>IFERROR(INDEX(PP_Grid[#Data],$DD156,73),0)</f>
        <v/>
      </c>
      <c r="BX156">
        <f>IFERROR(INDEX(PP_Grid[#Data],$DD156,74),0)</f>
        <v/>
      </c>
      <c r="BY156">
        <f>IFERROR(INDEX(PP_Grid[#Data],$DD156,75),0)</f>
        <v/>
      </c>
      <c r="BZ156">
        <f>IFERROR(INDEX(PP_Grid[#Data],$DD156,76),0)</f>
        <v/>
      </c>
      <c r="CA156">
        <f>IFERROR(INDEX(PP_Grid[#Data],$DD156,77),0)</f>
        <v/>
      </c>
      <c r="CB156">
        <f>IFERROR(INDEX(PP_Grid[#Data],$DD156,78),0)</f>
        <v/>
      </c>
      <c r="CC156">
        <f>IFERROR(INDEX(PP_Grid[#Data],$DD156,79),0)</f>
        <v/>
      </c>
      <c r="CD156">
        <f>IFERROR(INDEX(PP_Grid[#Data],$DD156,80),0)</f>
        <v/>
      </c>
      <c r="CE156">
        <f>IFERROR(INDEX(PP_Grid[#Data],$DD156,81),0)</f>
        <v/>
      </c>
      <c r="CF156">
        <f>IFERROR(INDEX(PP_Grid[#Data],$DD156,82),0)</f>
        <v/>
      </c>
      <c r="CG156">
        <f>IFERROR(INDEX(PP_Grid[#Data],$DD156,83),0)</f>
        <v/>
      </c>
      <c r="CH156">
        <f>IFERROR(INDEX(PP_Grid[#Data],$DD156,84),0)</f>
        <v/>
      </c>
      <c r="CI156">
        <f>IFERROR(INDEX(PP_Grid[#Data],$DD156,85),0)</f>
        <v/>
      </c>
      <c r="CJ156">
        <f>IFERROR(INDEX(PP_Grid[#Data],$DD156,86),0)</f>
        <v/>
      </c>
      <c r="CK156">
        <f>IFERROR(INDEX(PP_Grid[#Data],$DD156,87),0)</f>
        <v/>
      </c>
      <c r="CL156">
        <f>IFERROR(INDEX(PP_Grid[#Data],$DD156,88),0)</f>
        <v/>
      </c>
      <c r="CM156">
        <f>IFERROR(INDEX(PP_Grid[#Data],$DD156,89),0)</f>
        <v/>
      </c>
      <c r="CN156">
        <f>IFERROR(INDEX(PP_Grid[#Data],$DD156,90),0)</f>
        <v/>
      </c>
      <c r="CO156">
        <f>IFERROR(INDEX(PP_Grid[#Data],$DD156,91),0)</f>
        <v/>
      </c>
      <c r="CP156">
        <f>IFERROR(INDEX(PP_Grid[#Data],$DD156,92),0)</f>
        <v/>
      </c>
      <c r="CQ156">
        <f>IFERROR(INDEX(PP_Grid[#Data],$DD156,93),0)</f>
        <v/>
      </c>
      <c r="CR156">
        <f>IFERROR(INDEX(PP_Grid[#Data],$DD156,94),0)</f>
        <v/>
      </c>
      <c r="CS156">
        <f>IFERROR(INDEX(PP_Grid[#Data],$DD156,95),0)</f>
        <v/>
      </c>
      <c r="CT156">
        <f>IFERROR(INDEX(PP_Grid[#Data],$DD156,96),0)</f>
        <v/>
      </c>
      <c r="CU156">
        <f>IFERROR(INDEX(PP_Grid[#Data],$DD156,97),0)</f>
        <v/>
      </c>
      <c r="CV156">
        <f>IFERROR(INDEX(PP_Grid[#Data],$DD156,98),0)</f>
        <v/>
      </c>
      <c r="CW156">
        <f>IFERROR(INDEX(PP_Grid[#Data],$DD156,99),0)</f>
        <v/>
      </c>
      <c r="CX156">
        <f>IFERROR(INDEX(PP_Grid[#Data],$DD156,100),0)</f>
        <v/>
      </c>
      <c r="CY156">
        <f>IFERROR(INDEX(PP_Grid[#Data],$DD156,101),0)</f>
        <v/>
      </c>
      <c r="CZ156">
        <f>IFERROR(INDEX(PP_Grid[#Data],$DD156,102),0)</f>
        <v/>
      </c>
      <c r="DA156">
        <f>IFERROR(INDEX(PP_Grid[#Data],$DD156,103),0)</f>
        <v/>
      </c>
      <c r="DB156">
        <f>IFERROR(INDEX(PP_Grid[#Data],$DD156,104),0)</f>
        <v/>
      </c>
      <c r="DC156">
        <f>IFERROR(INDEX(PP_Grid[#Data],$DD156,105),0)</f>
        <v/>
      </c>
      <c r="DD156" s="7">
        <f>IFERROR(MATCH($B156,PP_Grid[Intermediate],0),99999)</f>
        <v/>
      </c>
    </row>
    <row r="157">
      <c r="B157" t="inlineStr">
        <is>
          <t>使用量(kg)</t>
        </is>
      </c>
      <c r="C157">
        <f>SUMIFS(M_BOM[RM_Qty_Per_Batch],M_BOM[Intermediate],$B156,M_BOM[Part Name],$A45)</f>
        <v/>
      </c>
      <c r="D157">
        <f>$C157*D156</f>
        <v/>
      </c>
      <c r="E157">
        <f>$C157*E156</f>
        <v/>
      </c>
      <c r="F157">
        <f>$C157*F156</f>
        <v/>
      </c>
      <c r="G157">
        <f>$C157*G156</f>
        <v/>
      </c>
      <c r="H157">
        <f>$C157*H156</f>
        <v/>
      </c>
      <c r="I157">
        <f>$C157*I156</f>
        <v/>
      </c>
      <c r="J157">
        <f>$C157*J156</f>
        <v/>
      </c>
      <c r="K157">
        <f>$C157*K156</f>
        <v/>
      </c>
      <c r="L157">
        <f>$C157*L156</f>
        <v/>
      </c>
      <c r="M157">
        <f>$C157*M156</f>
        <v/>
      </c>
      <c r="N157">
        <f>$C157*N156</f>
        <v/>
      </c>
      <c r="O157">
        <f>$C157*O156</f>
        <v/>
      </c>
      <c r="P157">
        <f>$C157*P156</f>
        <v/>
      </c>
      <c r="Q157">
        <f>$C157*Q156</f>
        <v/>
      </c>
      <c r="R157">
        <f>$C157*R156</f>
        <v/>
      </c>
      <c r="S157">
        <f>$C157*S156</f>
        <v/>
      </c>
      <c r="T157">
        <f>$C157*T156</f>
        <v/>
      </c>
      <c r="U157">
        <f>$C157*U156</f>
        <v/>
      </c>
      <c r="V157">
        <f>$C157*V156</f>
        <v/>
      </c>
      <c r="W157">
        <f>$C157*W156</f>
        <v/>
      </c>
      <c r="X157">
        <f>$C157*X156</f>
        <v/>
      </c>
      <c r="Y157">
        <f>$C157*Y156</f>
        <v/>
      </c>
      <c r="Z157">
        <f>$C157*Z156</f>
        <v/>
      </c>
      <c r="AA157">
        <f>$C157*AA156</f>
        <v/>
      </c>
      <c r="AB157">
        <f>$C157*AB156</f>
        <v/>
      </c>
      <c r="AC157">
        <f>$C157*AC156</f>
        <v/>
      </c>
      <c r="AD157">
        <f>$C157*AD156</f>
        <v/>
      </c>
      <c r="AE157">
        <f>$C157*AE156</f>
        <v/>
      </c>
      <c r="AF157">
        <f>$C157*AF156</f>
        <v/>
      </c>
      <c r="AG157">
        <f>$C157*AG156</f>
        <v/>
      </c>
      <c r="AH157">
        <f>$C157*AH156</f>
        <v/>
      </c>
      <c r="AI157">
        <f>$C157*AI156</f>
        <v/>
      </c>
      <c r="AJ157">
        <f>$C157*AJ156</f>
        <v/>
      </c>
      <c r="AK157">
        <f>$C157*AK156</f>
        <v/>
      </c>
      <c r="AL157">
        <f>$C157*AL156</f>
        <v/>
      </c>
      <c r="AM157">
        <f>$C157*AM156</f>
        <v/>
      </c>
      <c r="AN157">
        <f>$C157*AN156</f>
        <v/>
      </c>
      <c r="AO157">
        <f>$C157*AO156</f>
        <v/>
      </c>
      <c r="AP157">
        <f>$C157*AP156</f>
        <v/>
      </c>
      <c r="AQ157">
        <f>$C157*AQ156</f>
        <v/>
      </c>
      <c r="AR157">
        <f>$C157*AR156</f>
        <v/>
      </c>
      <c r="AS157">
        <f>$C157*AS156</f>
        <v/>
      </c>
      <c r="AT157">
        <f>$C157*AT156</f>
        <v/>
      </c>
      <c r="AU157">
        <f>$C157*AU156</f>
        <v/>
      </c>
      <c r="AV157">
        <f>$C157*AV156</f>
        <v/>
      </c>
      <c r="AW157">
        <f>$C157*AW156</f>
        <v/>
      </c>
      <c r="AX157">
        <f>$C157*AX156</f>
        <v/>
      </c>
      <c r="AY157">
        <f>$C157*AY156</f>
        <v/>
      </c>
      <c r="AZ157">
        <f>$C157*AZ156</f>
        <v/>
      </c>
      <c r="BA157">
        <f>$C157*BA156</f>
        <v/>
      </c>
      <c r="BB157">
        <f>$C157*BB156</f>
        <v/>
      </c>
      <c r="BC157">
        <f>$C157*BC156</f>
        <v/>
      </c>
      <c r="BD157">
        <f>$C157*BD156</f>
        <v/>
      </c>
      <c r="BE157">
        <f>$C157*BE156</f>
        <v/>
      </c>
      <c r="BF157">
        <f>$C157*BF156</f>
        <v/>
      </c>
      <c r="BG157">
        <f>$C157*BG156</f>
        <v/>
      </c>
      <c r="BH157">
        <f>$C157*BH156</f>
        <v/>
      </c>
      <c r="BI157">
        <f>$C157*BI156</f>
        <v/>
      </c>
      <c r="BJ157">
        <f>$C157*BJ156</f>
        <v/>
      </c>
      <c r="BK157">
        <f>$C157*BK156</f>
        <v/>
      </c>
      <c r="BL157">
        <f>$C157*BL156</f>
        <v/>
      </c>
      <c r="BM157">
        <f>$C157*BM156</f>
        <v/>
      </c>
      <c r="BN157">
        <f>$C157*BN156</f>
        <v/>
      </c>
      <c r="BO157">
        <f>$C157*BO156</f>
        <v/>
      </c>
      <c r="BP157">
        <f>$C157*BP156</f>
        <v/>
      </c>
      <c r="BQ157">
        <f>$C157*BQ156</f>
        <v/>
      </c>
      <c r="BR157">
        <f>$C157*BR156</f>
        <v/>
      </c>
      <c r="BS157">
        <f>$C157*BS156</f>
        <v/>
      </c>
      <c r="BT157">
        <f>$C157*BT156</f>
        <v/>
      </c>
      <c r="BU157">
        <f>$C157*BU156</f>
        <v/>
      </c>
      <c r="BV157">
        <f>$C157*BV156</f>
        <v/>
      </c>
      <c r="BW157">
        <f>$C157*BW156</f>
        <v/>
      </c>
      <c r="BX157">
        <f>$C157*BX156</f>
        <v/>
      </c>
      <c r="BY157">
        <f>$C157*BY156</f>
        <v/>
      </c>
      <c r="BZ157">
        <f>$C157*BZ156</f>
        <v/>
      </c>
      <c r="CA157">
        <f>$C157*CA156</f>
        <v/>
      </c>
      <c r="CB157">
        <f>$C157*CB156</f>
        <v/>
      </c>
      <c r="CC157">
        <f>$C157*CC156</f>
        <v/>
      </c>
      <c r="CD157">
        <f>$C157*CD156</f>
        <v/>
      </c>
      <c r="CE157">
        <f>$C157*CE156</f>
        <v/>
      </c>
      <c r="CF157">
        <f>$C157*CF156</f>
        <v/>
      </c>
      <c r="CG157">
        <f>$C157*CG156</f>
        <v/>
      </c>
      <c r="CH157">
        <f>$C157*CH156</f>
        <v/>
      </c>
      <c r="CI157">
        <f>$C157*CI156</f>
        <v/>
      </c>
      <c r="CJ157">
        <f>$C157*CJ156</f>
        <v/>
      </c>
      <c r="CK157">
        <f>$C157*CK156</f>
        <v/>
      </c>
      <c r="CL157">
        <f>$C157*CL156</f>
        <v/>
      </c>
      <c r="CM157">
        <f>$C157*CM156</f>
        <v/>
      </c>
      <c r="CN157">
        <f>$C157*CN156</f>
        <v/>
      </c>
      <c r="CO157">
        <f>$C157*CO156</f>
        <v/>
      </c>
      <c r="CP157">
        <f>$C157*CP156</f>
        <v/>
      </c>
      <c r="CQ157">
        <f>$C157*CQ156</f>
        <v/>
      </c>
      <c r="CR157">
        <f>$C157*CR156</f>
        <v/>
      </c>
      <c r="CS157">
        <f>$C157*CS156</f>
        <v/>
      </c>
      <c r="CT157">
        <f>$C157*CT156</f>
        <v/>
      </c>
      <c r="CU157">
        <f>$C157*CU156</f>
        <v/>
      </c>
      <c r="CV157">
        <f>$C157*CV156</f>
        <v/>
      </c>
      <c r="CW157">
        <f>$C157*CW156</f>
        <v/>
      </c>
      <c r="CX157">
        <f>$C157*CX156</f>
        <v/>
      </c>
      <c r="CY157">
        <f>$C157*CY156</f>
        <v/>
      </c>
      <c r="CZ157">
        <f>$C157*CZ156</f>
        <v/>
      </c>
      <c r="DA157">
        <f>$C157*DA156</f>
        <v/>
      </c>
      <c r="DB157">
        <f>$C157*DB156</f>
        <v/>
      </c>
      <c r="DC157">
        <f>$C157*DC156</f>
        <v/>
      </c>
    </row>
    <row r="158">
      <c r="B158" t="inlineStr">
        <is>
          <t>TSP-1445</t>
        </is>
      </c>
      <c r="C158" t="inlineStr">
        <is>
          <t>No. of batches</t>
        </is>
      </c>
      <c r="D158">
        <f>IFERROR(INDEX(PP_Grid[#Data],$DD158,2),0)</f>
        <v/>
      </c>
      <c r="E158">
        <f>IFERROR(INDEX(PP_Grid[#Data],$DD158,3),0)</f>
        <v/>
      </c>
      <c r="F158">
        <f>IFERROR(INDEX(PP_Grid[#Data],$DD158,4),0)</f>
        <v/>
      </c>
      <c r="G158">
        <f>IFERROR(INDEX(PP_Grid[#Data],$DD158,5),0)</f>
        <v/>
      </c>
      <c r="H158">
        <f>IFERROR(INDEX(PP_Grid[#Data],$DD158,6),0)</f>
        <v/>
      </c>
      <c r="I158">
        <f>IFERROR(INDEX(PP_Grid[#Data],$DD158,7),0)</f>
        <v/>
      </c>
      <c r="J158">
        <f>IFERROR(INDEX(PP_Grid[#Data],$DD158,8),0)</f>
        <v/>
      </c>
      <c r="K158">
        <f>IFERROR(INDEX(PP_Grid[#Data],$DD158,9),0)</f>
        <v/>
      </c>
      <c r="L158">
        <f>IFERROR(INDEX(PP_Grid[#Data],$DD158,10),0)</f>
        <v/>
      </c>
      <c r="M158">
        <f>IFERROR(INDEX(PP_Grid[#Data],$DD158,11),0)</f>
        <v/>
      </c>
      <c r="N158">
        <f>IFERROR(INDEX(PP_Grid[#Data],$DD158,12),0)</f>
        <v/>
      </c>
      <c r="O158">
        <f>IFERROR(INDEX(PP_Grid[#Data],$DD158,13),0)</f>
        <v/>
      </c>
      <c r="P158">
        <f>IFERROR(INDEX(PP_Grid[#Data],$DD158,14),0)</f>
        <v/>
      </c>
      <c r="Q158">
        <f>IFERROR(INDEX(PP_Grid[#Data],$DD158,15),0)</f>
        <v/>
      </c>
      <c r="R158">
        <f>IFERROR(INDEX(PP_Grid[#Data],$DD158,16),0)</f>
        <v/>
      </c>
      <c r="S158">
        <f>IFERROR(INDEX(PP_Grid[#Data],$DD158,17),0)</f>
        <v/>
      </c>
      <c r="T158">
        <f>IFERROR(INDEX(PP_Grid[#Data],$DD158,18),0)</f>
        <v/>
      </c>
      <c r="U158">
        <f>IFERROR(INDEX(PP_Grid[#Data],$DD158,19),0)</f>
        <v/>
      </c>
      <c r="V158">
        <f>IFERROR(INDEX(PP_Grid[#Data],$DD158,20),0)</f>
        <v/>
      </c>
      <c r="W158">
        <f>IFERROR(INDEX(PP_Grid[#Data],$DD158,21),0)</f>
        <v/>
      </c>
      <c r="X158">
        <f>IFERROR(INDEX(PP_Grid[#Data],$DD158,22),0)</f>
        <v/>
      </c>
      <c r="Y158">
        <f>IFERROR(INDEX(PP_Grid[#Data],$DD158,23),0)</f>
        <v/>
      </c>
      <c r="Z158">
        <f>IFERROR(INDEX(PP_Grid[#Data],$DD158,24),0)</f>
        <v/>
      </c>
      <c r="AA158">
        <f>IFERROR(INDEX(PP_Grid[#Data],$DD158,25),0)</f>
        <v/>
      </c>
      <c r="AB158">
        <f>IFERROR(INDEX(PP_Grid[#Data],$DD158,26),0)</f>
        <v/>
      </c>
      <c r="AC158">
        <f>IFERROR(INDEX(PP_Grid[#Data],$DD158,27),0)</f>
        <v/>
      </c>
      <c r="AD158">
        <f>IFERROR(INDEX(PP_Grid[#Data],$DD158,28),0)</f>
        <v/>
      </c>
      <c r="AE158">
        <f>IFERROR(INDEX(PP_Grid[#Data],$DD158,29),0)</f>
        <v/>
      </c>
      <c r="AF158">
        <f>IFERROR(INDEX(PP_Grid[#Data],$DD158,30),0)</f>
        <v/>
      </c>
      <c r="AG158">
        <f>IFERROR(INDEX(PP_Grid[#Data],$DD158,31),0)</f>
        <v/>
      </c>
      <c r="AH158">
        <f>IFERROR(INDEX(PP_Grid[#Data],$DD158,32),0)</f>
        <v/>
      </c>
      <c r="AI158">
        <f>IFERROR(INDEX(PP_Grid[#Data],$DD158,33),0)</f>
        <v/>
      </c>
      <c r="AJ158">
        <f>IFERROR(INDEX(PP_Grid[#Data],$DD158,34),0)</f>
        <v/>
      </c>
      <c r="AK158">
        <f>IFERROR(INDEX(PP_Grid[#Data],$DD158,35),0)</f>
        <v/>
      </c>
      <c r="AL158">
        <f>IFERROR(INDEX(PP_Grid[#Data],$DD158,36),0)</f>
        <v/>
      </c>
      <c r="AM158">
        <f>IFERROR(INDEX(PP_Grid[#Data],$DD158,37),0)</f>
        <v/>
      </c>
      <c r="AN158">
        <f>IFERROR(INDEX(PP_Grid[#Data],$DD158,38),0)</f>
        <v/>
      </c>
      <c r="AO158">
        <f>IFERROR(INDEX(PP_Grid[#Data],$DD158,39),0)</f>
        <v/>
      </c>
      <c r="AP158">
        <f>IFERROR(INDEX(PP_Grid[#Data],$DD158,40),0)</f>
        <v/>
      </c>
      <c r="AQ158">
        <f>IFERROR(INDEX(PP_Grid[#Data],$DD158,41),0)</f>
        <v/>
      </c>
      <c r="AR158">
        <f>IFERROR(INDEX(PP_Grid[#Data],$DD158,42),0)</f>
        <v/>
      </c>
      <c r="AS158">
        <f>IFERROR(INDEX(PP_Grid[#Data],$DD158,43),0)</f>
        <v/>
      </c>
      <c r="AT158">
        <f>IFERROR(INDEX(PP_Grid[#Data],$DD158,44),0)</f>
        <v/>
      </c>
      <c r="AU158">
        <f>IFERROR(INDEX(PP_Grid[#Data],$DD158,45),0)</f>
        <v/>
      </c>
      <c r="AV158">
        <f>IFERROR(INDEX(PP_Grid[#Data],$DD158,46),0)</f>
        <v/>
      </c>
      <c r="AW158">
        <f>IFERROR(INDEX(PP_Grid[#Data],$DD158,47),0)</f>
        <v/>
      </c>
      <c r="AX158">
        <f>IFERROR(INDEX(PP_Grid[#Data],$DD158,48),0)</f>
        <v/>
      </c>
      <c r="AY158">
        <f>IFERROR(INDEX(PP_Grid[#Data],$DD158,49),0)</f>
        <v/>
      </c>
      <c r="AZ158">
        <f>IFERROR(INDEX(PP_Grid[#Data],$DD158,50),0)</f>
        <v/>
      </c>
      <c r="BA158">
        <f>IFERROR(INDEX(PP_Grid[#Data],$DD158,51),0)</f>
        <v/>
      </c>
      <c r="BB158">
        <f>IFERROR(INDEX(PP_Grid[#Data],$DD158,52),0)</f>
        <v/>
      </c>
      <c r="BC158">
        <f>IFERROR(INDEX(PP_Grid[#Data],$DD158,53),0)</f>
        <v/>
      </c>
      <c r="BD158">
        <f>IFERROR(INDEX(PP_Grid[#Data],$DD158,54),0)</f>
        <v/>
      </c>
      <c r="BE158">
        <f>IFERROR(INDEX(PP_Grid[#Data],$DD158,55),0)</f>
        <v/>
      </c>
      <c r="BF158">
        <f>IFERROR(INDEX(PP_Grid[#Data],$DD158,56),0)</f>
        <v/>
      </c>
      <c r="BG158">
        <f>IFERROR(INDEX(PP_Grid[#Data],$DD158,57),0)</f>
        <v/>
      </c>
      <c r="BH158">
        <f>IFERROR(INDEX(PP_Grid[#Data],$DD158,58),0)</f>
        <v/>
      </c>
      <c r="BI158">
        <f>IFERROR(INDEX(PP_Grid[#Data],$DD158,59),0)</f>
        <v/>
      </c>
      <c r="BJ158">
        <f>IFERROR(INDEX(PP_Grid[#Data],$DD158,60),0)</f>
        <v/>
      </c>
      <c r="BK158">
        <f>IFERROR(INDEX(PP_Grid[#Data],$DD158,61),0)</f>
        <v/>
      </c>
      <c r="BL158">
        <f>IFERROR(INDEX(PP_Grid[#Data],$DD158,62),0)</f>
        <v/>
      </c>
      <c r="BM158">
        <f>IFERROR(INDEX(PP_Grid[#Data],$DD158,63),0)</f>
        <v/>
      </c>
      <c r="BN158">
        <f>IFERROR(INDEX(PP_Grid[#Data],$DD158,64),0)</f>
        <v/>
      </c>
      <c r="BO158">
        <f>IFERROR(INDEX(PP_Grid[#Data],$DD158,65),0)</f>
        <v/>
      </c>
      <c r="BP158">
        <f>IFERROR(INDEX(PP_Grid[#Data],$DD158,66),0)</f>
        <v/>
      </c>
      <c r="BQ158">
        <f>IFERROR(INDEX(PP_Grid[#Data],$DD158,67),0)</f>
        <v/>
      </c>
      <c r="BR158">
        <f>IFERROR(INDEX(PP_Grid[#Data],$DD158,68),0)</f>
        <v/>
      </c>
      <c r="BS158">
        <f>IFERROR(INDEX(PP_Grid[#Data],$DD158,69),0)</f>
        <v/>
      </c>
      <c r="BT158">
        <f>IFERROR(INDEX(PP_Grid[#Data],$DD158,70),0)</f>
        <v/>
      </c>
      <c r="BU158">
        <f>IFERROR(INDEX(PP_Grid[#Data],$DD158,71),0)</f>
        <v/>
      </c>
      <c r="BV158">
        <f>IFERROR(INDEX(PP_Grid[#Data],$DD158,72),0)</f>
        <v/>
      </c>
      <c r="BW158">
        <f>IFERROR(INDEX(PP_Grid[#Data],$DD158,73),0)</f>
        <v/>
      </c>
      <c r="BX158">
        <f>IFERROR(INDEX(PP_Grid[#Data],$DD158,74),0)</f>
        <v/>
      </c>
      <c r="BY158">
        <f>IFERROR(INDEX(PP_Grid[#Data],$DD158,75),0)</f>
        <v/>
      </c>
      <c r="BZ158">
        <f>IFERROR(INDEX(PP_Grid[#Data],$DD158,76),0)</f>
        <v/>
      </c>
      <c r="CA158">
        <f>IFERROR(INDEX(PP_Grid[#Data],$DD158,77),0)</f>
        <v/>
      </c>
      <c r="CB158">
        <f>IFERROR(INDEX(PP_Grid[#Data],$DD158,78),0)</f>
        <v/>
      </c>
      <c r="CC158">
        <f>IFERROR(INDEX(PP_Grid[#Data],$DD158,79),0)</f>
        <v/>
      </c>
      <c r="CD158">
        <f>IFERROR(INDEX(PP_Grid[#Data],$DD158,80),0)</f>
        <v/>
      </c>
      <c r="CE158">
        <f>IFERROR(INDEX(PP_Grid[#Data],$DD158,81),0)</f>
        <v/>
      </c>
      <c r="CF158">
        <f>IFERROR(INDEX(PP_Grid[#Data],$DD158,82),0)</f>
        <v/>
      </c>
      <c r="CG158">
        <f>IFERROR(INDEX(PP_Grid[#Data],$DD158,83),0)</f>
        <v/>
      </c>
      <c r="CH158">
        <f>IFERROR(INDEX(PP_Grid[#Data],$DD158,84),0)</f>
        <v/>
      </c>
      <c r="CI158">
        <f>IFERROR(INDEX(PP_Grid[#Data],$DD158,85),0)</f>
        <v/>
      </c>
      <c r="CJ158">
        <f>IFERROR(INDEX(PP_Grid[#Data],$DD158,86),0)</f>
        <v/>
      </c>
      <c r="CK158">
        <f>IFERROR(INDEX(PP_Grid[#Data],$DD158,87),0)</f>
        <v/>
      </c>
      <c r="CL158">
        <f>IFERROR(INDEX(PP_Grid[#Data],$DD158,88),0)</f>
        <v/>
      </c>
      <c r="CM158">
        <f>IFERROR(INDEX(PP_Grid[#Data],$DD158,89),0)</f>
        <v/>
      </c>
      <c r="CN158">
        <f>IFERROR(INDEX(PP_Grid[#Data],$DD158,90),0)</f>
        <v/>
      </c>
      <c r="CO158">
        <f>IFERROR(INDEX(PP_Grid[#Data],$DD158,91),0)</f>
        <v/>
      </c>
      <c r="CP158">
        <f>IFERROR(INDEX(PP_Grid[#Data],$DD158,92),0)</f>
        <v/>
      </c>
      <c r="CQ158">
        <f>IFERROR(INDEX(PP_Grid[#Data],$DD158,93),0)</f>
        <v/>
      </c>
      <c r="CR158">
        <f>IFERROR(INDEX(PP_Grid[#Data],$DD158,94),0)</f>
        <v/>
      </c>
      <c r="CS158">
        <f>IFERROR(INDEX(PP_Grid[#Data],$DD158,95),0)</f>
        <v/>
      </c>
      <c r="CT158">
        <f>IFERROR(INDEX(PP_Grid[#Data],$DD158,96),0)</f>
        <v/>
      </c>
      <c r="CU158">
        <f>IFERROR(INDEX(PP_Grid[#Data],$DD158,97),0)</f>
        <v/>
      </c>
      <c r="CV158">
        <f>IFERROR(INDEX(PP_Grid[#Data],$DD158,98),0)</f>
        <v/>
      </c>
      <c r="CW158">
        <f>IFERROR(INDEX(PP_Grid[#Data],$DD158,99),0)</f>
        <v/>
      </c>
      <c r="CX158">
        <f>IFERROR(INDEX(PP_Grid[#Data],$DD158,100),0)</f>
        <v/>
      </c>
      <c r="CY158">
        <f>IFERROR(INDEX(PP_Grid[#Data],$DD158,101),0)</f>
        <v/>
      </c>
      <c r="CZ158">
        <f>IFERROR(INDEX(PP_Grid[#Data],$DD158,102),0)</f>
        <v/>
      </c>
      <c r="DA158">
        <f>IFERROR(INDEX(PP_Grid[#Data],$DD158,103),0)</f>
        <v/>
      </c>
      <c r="DB158">
        <f>IFERROR(INDEX(PP_Grid[#Data],$DD158,104),0)</f>
        <v/>
      </c>
      <c r="DC158">
        <f>IFERROR(INDEX(PP_Grid[#Data],$DD158,105),0)</f>
        <v/>
      </c>
      <c r="DD158" s="7">
        <f>IFERROR(MATCH($B158,PP_Grid[Intermediate],0),99999)</f>
        <v/>
      </c>
    </row>
    <row r="159">
      <c r="B159" t="inlineStr">
        <is>
          <t>使用量(kg)</t>
        </is>
      </c>
      <c r="C159">
        <f>SUMIFS(M_BOM[RM_Qty_Per_Batch],M_BOM[Intermediate],$B158,M_BOM[Part Name],$A45)</f>
        <v/>
      </c>
      <c r="D159">
        <f>$C159*D158</f>
        <v/>
      </c>
      <c r="E159">
        <f>$C159*E158</f>
        <v/>
      </c>
      <c r="F159">
        <f>$C159*F158</f>
        <v/>
      </c>
      <c r="G159">
        <f>$C159*G158</f>
        <v/>
      </c>
      <c r="H159">
        <f>$C159*H158</f>
        <v/>
      </c>
      <c r="I159">
        <f>$C159*I158</f>
        <v/>
      </c>
      <c r="J159">
        <f>$C159*J158</f>
        <v/>
      </c>
      <c r="K159">
        <f>$C159*K158</f>
        <v/>
      </c>
      <c r="L159">
        <f>$C159*L158</f>
        <v/>
      </c>
      <c r="M159">
        <f>$C159*M158</f>
        <v/>
      </c>
      <c r="N159">
        <f>$C159*N158</f>
        <v/>
      </c>
      <c r="O159">
        <f>$C159*O158</f>
        <v/>
      </c>
      <c r="P159">
        <f>$C159*P158</f>
        <v/>
      </c>
      <c r="Q159">
        <f>$C159*Q158</f>
        <v/>
      </c>
      <c r="R159">
        <f>$C159*R158</f>
        <v/>
      </c>
      <c r="S159">
        <f>$C159*S158</f>
        <v/>
      </c>
      <c r="T159">
        <f>$C159*T158</f>
        <v/>
      </c>
      <c r="U159">
        <f>$C159*U158</f>
        <v/>
      </c>
      <c r="V159">
        <f>$C159*V158</f>
        <v/>
      </c>
      <c r="W159">
        <f>$C159*W158</f>
        <v/>
      </c>
      <c r="X159">
        <f>$C159*X158</f>
        <v/>
      </c>
      <c r="Y159">
        <f>$C159*Y158</f>
        <v/>
      </c>
      <c r="Z159">
        <f>$C159*Z158</f>
        <v/>
      </c>
      <c r="AA159">
        <f>$C159*AA158</f>
        <v/>
      </c>
      <c r="AB159">
        <f>$C159*AB158</f>
        <v/>
      </c>
      <c r="AC159">
        <f>$C159*AC158</f>
        <v/>
      </c>
      <c r="AD159">
        <f>$C159*AD158</f>
        <v/>
      </c>
      <c r="AE159">
        <f>$C159*AE158</f>
        <v/>
      </c>
      <c r="AF159">
        <f>$C159*AF158</f>
        <v/>
      </c>
      <c r="AG159">
        <f>$C159*AG158</f>
        <v/>
      </c>
      <c r="AH159">
        <f>$C159*AH158</f>
        <v/>
      </c>
      <c r="AI159">
        <f>$C159*AI158</f>
        <v/>
      </c>
      <c r="AJ159">
        <f>$C159*AJ158</f>
        <v/>
      </c>
      <c r="AK159">
        <f>$C159*AK158</f>
        <v/>
      </c>
      <c r="AL159">
        <f>$C159*AL158</f>
        <v/>
      </c>
      <c r="AM159">
        <f>$C159*AM158</f>
        <v/>
      </c>
      <c r="AN159">
        <f>$C159*AN158</f>
        <v/>
      </c>
      <c r="AO159">
        <f>$C159*AO158</f>
        <v/>
      </c>
      <c r="AP159">
        <f>$C159*AP158</f>
        <v/>
      </c>
      <c r="AQ159">
        <f>$C159*AQ158</f>
        <v/>
      </c>
      <c r="AR159">
        <f>$C159*AR158</f>
        <v/>
      </c>
      <c r="AS159">
        <f>$C159*AS158</f>
        <v/>
      </c>
      <c r="AT159">
        <f>$C159*AT158</f>
        <v/>
      </c>
      <c r="AU159">
        <f>$C159*AU158</f>
        <v/>
      </c>
      <c r="AV159">
        <f>$C159*AV158</f>
        <v/>
      </c>
      <c r="AW159">
        <f>$C159*AW158</f>
        <v/>
      </c>
      <c r="AX159">
        <f>$C159*AX158</f>
        <v/>
      </c>
      <c r="AY159">
        <f>$C159*AY158</f>
        <v/>
      </c>
      <c r="AZ159">
        <f>$C159*AZ158</f>
        <v/>
      </c>
      <c r="BA159">
        <f>$C159*BA158</f>
        <v/>
      </c>
      <c r="BB159">
        <f>$C159*BB158</f>
        <v/>
      </c>
      <c r="BC159">
        <f>$C159*BC158</f>
        <v/>
      </c>
      <c r="BD159">
        <f>$C159*BD158</f>
        <v/>
      </c>
      <c r="BE159">
        <f>$C159*BE158</f>
        <v/>
      </c>
      <c r="BF159">
        <f>$C159*BF158</f>
        <v/>
      </c>
      <c r="BG159">
        <f>$C159*BG158</f>
        <v/>
      </c>
      <c r="BH159">
        <f>$C159*BH158</f>
        <v/>
      </c>
      <c r="BI159">
        <f>$C159*BI158</f>
        <v/>
      </c>
      <c r="BJ159">
        <f>$C159*BJ158</f>
        <v/>
      </c>
      <c r="BK159">
        <f>$C159*BK158</f>
        <v/>
      </c>
      <c r="BL159">
        <f>$C159*BL158</f>
        <v/>
      </c>
      <c r="BM159">
        <f>$C159*BM158</f>
        <v/>
      </c>
      <c r="BN159">
        <f>$C159*BN158</f>
        <v/>
      </c>
      <c r="BO159">
        <f>$C159*BO158</f>
        <v/>
      </c>
      <c r="BP159">
        <f>$C159*BP158</f>
        <v/>
      </c>
      <c r="BQ159">
        <f>$C159*BQ158</f>
        <v/>
      </c>
      <c r="BR159">
        <f>$C159*BR158</f>
        <v/>
      </c>
      <c r="BS159">
        <f>$C159*BS158</f>
        <v/>
      </c>
      <c r="BT159">
        <f>$C159*BT158</f>
        <v/>
      </c>
      <c r="BU159">
        <f>$C159*BU158</f>
        <v/>
      </c>
      <c r="BV159">
        <f>$C159*BV158</f>
        <v/>
      </c>
      <c r="BW159">
        <f>$C159*BW158</f>
        <v/>
      </c>
      <c r="BX159">
        <f>$C159*BX158</f>
        <v/>
      </c>
      <c r="BY159">
        <f>$C159*BY158</f>
        <v/>
      </c>
      <c r="BZ159">
        <f>$C159*BZ158</f>
        <v/>
      </c>
      <c r="CA159">
        <f>$C159*CA158</f>
        <v/>
      </c>
      <c r="CB159">
        <f>$C159*CB158</f>
        <v/>
      </c>
      <c r="CC159">
        <f>$C159*CC158</f>
        <v/>
      </c>
      <c r="CD159">
        <f>$C159*CD158</f>
        <v/>
      </c>
      <c r="CE159">
        <f>$C159*CE158</f>
        <v/>
      </c>
      <c r="CF159">
        <f>$C159*CF158</f>
        <v/>
      </c>
      <c r="CG159">
        <f>$C159*CG158</f>
        <v/>
      </c>
      <c r="CH159">
        <f>$C159*CH158</f>
        <v/>
      </c>
      <c r="CI159">
        <f>$C159*CI158</f>
        <v/>
      </c>
      <c r="CJ159">
        <f>$C159*CJ158</f>
        <v/>
      </c>
      <c r="CK159">
        <f>$C159*CK158</f>
        <v/>
      </c>
      <c r="CL159">
        <f>$C159*CL158</f>
        <v/>
      </c>
      <c r="CM159">
        <f>$C159*CM158</f>
        <v/>
      </c>
      <c r="CN159">
        <f>$C159*CN158</f>
        <v/>
      </c>
      <c r="CO159">
        <f>$C159*CO158</f>
        <v/>
      </c>
      <c r="CP159">
        <f>$C159*CP158</f>
        <v/>
      </c>
      <c r="CQ159">
        <f>$C159*CQ158</f>
        <v/>
      </c>
      <c r="CR159">
        <f>$C159*CR158</f>
        <v/>
      </c>
      <c r="CS159">
        <f>$C159*CS158</f>
        <v/>
      </c>
      <c r="CT159">
        <f>$C159*CT158</f>
        <v/>
      </c>
      <c r="CU159">
        <f>$C159*CU158</f>
        <v/>
      </c>
      <c r="CV159">
        <f>$C159*CV158</f>
        <v/>
      </c>
      <c r="CW159">
        <f>$C159*CW158</f>
        <v/>
      </c>
      <c r="CX159">
        <f>$C159*CX158</f>
        <v/>
      </c>
      <c r="CY159">
        <f>$C159*CY158</f>
        <v/>
      </c>
      <c r="CZ159">
        <f>$C159*CZ158</f>
        <v/>
      </c>
      <c r="DA159">
        <f>$C159*DA158</f>
        <v/>
      </c>
      <c r="DB159">
        <f>$C159*DB158</f>
        <v/>
      </c>
      <c r="DC159">
        <f>$C159*DC158</f>
        <v/>
      </c>
    </row>
    <row r="160">
      <c r="B160" t="inlineStr">
        <is>
          <t>TSP-1446</t>
        </is>
      </c>
      <c r="C160" t="inlineStr">
        <is>
          <t>No. of batches</t>
        </is>
      </c>
      <c r="D160">
        <f>IFERROR(INDEX(PP_Grid[#Data],$DD160,2),0)</f>
        <v/>
      </c>
      <c r="E160">
        <f>IFERROR(INDEX(PP_Grid[#Data],$DD160,3),0)</f>
        <v/>
      </c>
      <c r="F160">
        <f>IFERROR(INDEX(PP_Grid[#Data],$DD160,4),0)</f>
        <v/>
      </c>
      <c r="G160">
        <f>IFERROR(INDEX(PP_Grid[#Data],$DD160,5),0)</f>
        <v/>
      </c>
      <c r="H160">
        <f>IFERROR(INDEX(PP_Grid[#Data],$DD160,6),0)</f>
        <v/>
      </c>
      <c r="I160">
        <f>IFERROR(INDEX(PP_Grid[#Data],$DD160,7),0)</f>
        <v/>
      </c>
      <c r="J160">
        <f>IFERROR(INDEX(PP_Grid[#Data],$DD160,8),0)</f>
        <v/>
      </c>
      <c r="K160">
        <f>IFERROR(INDEX(PP_Grid[#Data],$DD160,9),0)</f>
        <v/>
      </c>
      <c r="L160">
        <f>IFERROR(INDEX(PP_Grid[#Data],$DD160,10),0)</f>
        <v/>
      </c>
      <c r="M160">
        <f>IFERROR(INDEX(PP_Grid[#Data],$DD160,11),0)</f>
        <v/>
      </c>
      <c r="N160">
        <f>IFERROR(INDEX(PP_Grid[#Data],$DD160,12),0)</f>
        <v/>
      </c>
      <c r="O160">
        <f>IFERROR(INDEX(PP_Grid[#Data],$DD160,13),0)</f>
        <v/>
      </c>
      <c r="P160">
        <f>IFERROR(INDEX(PP_Grid[#Data],$DD160,14),0)</f>
        <v/>
      </c>
      <c r="Q160">
        <f>IFERROR(INDEX(PP_Grid[#Data],$DD160,15),0)</f>
        <v/>
      </c>
      <c r="R160">
        <f>IFERROR(INDEX(PP_Grid[#Data],$DD160,16),0)</f>
        <v/>
      </c>
      <c r="S160">
        <f>IFERROR(INDEX(PP_Grid[#Data],$DD160,17),0)</f>
        <v/>
      </c>
      <c r="T160">
        <f>IFERROR(INDEX(PP_Grid[#Data],$DD160,18),0)</f>
        <v/>
      </c>
      <c r="U160">
        <f>IFERROR(INDEX(PP_Grid[#Data],$DD160,19),0)</f>
        <v/>
      </c>
      <c r="V160">
        <f>IFERROR(INDEX(PP_Grid[#Data],$DD160,20),0)</f>
        <v/>
      </c>
      <c r="W160">
        <f>IFERROR(INDEX(PP_Grid[#Data],$DD160,21),0)</f>
        <v/>
      </c>
      <c r="X160">
        <f>IFERROR(INDEX(PP_Grid[#Data],$DD160,22),0)</f>
        <v/>
      </c>
      <c r="Y160">
        <f>IFERROR(INDEX(PP_Grid[#Data],$DD160,23),0)</f>
        <v/>
      </c>
      <c r="Z160">
        <f>IFERROR(INDEX(PP_Grid[#Data],$DD160,24),0)</f>
        <v/>
      </c>
      <c r="AA160">
        <f>IFERROR(INDEX(PP_Grid[#Data],$DD160,25),0)</f>
        <v/>
      </c>
      <c r="AB160">
        <f>IFERROR(INDEX(PP_Grid[#Data],$DD160,26),0)</f>
        <v/>
      </c>
      <c r="AC160">
        <f>IFERROR(INDEX(PP_Grid[#Data],$DD160,27),0)</f>
        <v/>
      </c>
      <c r="AD160">
        <f>IFERROR(INDEX(PP_Grid[#Data],$DD160,28),0)</f>
        <v/>
      </c>
      <c r="AE160">
        <f>IFERROR(INDEX(PP_Grid[#Data],$DD160,29),0)</f>
        <v/>
      </c>
      <c r="AF160">
        <f>IFERROR(INDEX(PP_Grid[#Data],$DD160,30),0)</f>
        <v/>
      </c>
      <c r="AG160">
        <f>IFERROR(INDEX(PP_Grid[#Data],$DD160,31),0)</f>
        <v/>
      </c>
      <c r="AH160">
        <f>IFERROR(INDEX(PP_Grid[#Data],$DD160,32),0)</f>
        <v/>
      </c>
      <c r="AI160">
        <f>IFERROR(INDEX(PP_Grid[#Data],$DD160,33),0)</f>
        <v/>
      </c>
      <c r="AJ160">
        <f>IFERROR(INDEX(PP_Grid[#Data],$DD160,34),0)</f>
        <v/>
      </c>
      <c r="AK160">
        <f>IFERROR(INDEX(PP_Grid[#Data],$DD160,35),0)</f>
        <v/>
      </c>
      <c r="AL160">
        <f>IFERROR(INDEX(PP_Grid[#Data],$DD160,36),0)</f>
        <v/>
      </c>
      <c r="AM160">
        <f>IFERROR(INDEX(PP_Grid[#Data],$DD160,37),0)</f>
        <v/>
      </c>
      <c r="AN160">
        <f>IFERROR(INDEX(PP_Grid[#Data],$DD160,38),0)</f>
        <v/>
      </c>
      <c r="AO160">
        <f>IFERROR(INDEX(PP_Grid[#Data],$DD160,39),0)</f>
        <v/>
      </c>
      <c r="AP160">
        <f>IFERROR(INDEX(PP_Grid[#Data],$DD160,40),0)</f>
        <v/>
      </c>
      <c r="AQ160">
        <f>IFERROR(INDEX(PP_Grid[#Data],$DD160,41),0)</f>
        <v/>
      </c>
      <c r="AR160">
        <f>IFERROR(INDEX(PP_Grid[#Data],$DD160,42),0)</f>
        <v/>
      </c>
      <c r="AS160">
        <f>IFERROR(INDEX(PP_Grid[#Data],$DD160,43),0)</f>
        <v/>
      </c>
      <c r="AT160">
        <f>IFERROR(INDEX(PP_Grid[#Data],$DD160,44),0)</f>
        <v/>
      </c>
      <c r="AU160">
        <f>IFERROR(INDEX(PP_Grid[#Data],$DD160,45),0)</f>
        <v/>
      </c>
      <c r="AV160">
        <f>IFERROR(INDEX(PP_Grid[#Data],$DD160,46),0)</f>
        <v/>
      </c>
      <c r="AW160">
        <f>IFERROR(INDEX(PP_Grid[#Data],$DD160,47),0)</f>
        <v/>
      </c>
      <c r="AX160">
        <f>IFERROR(INDEX(PP_Grid[#Data],$DD160,48),0)</f>
        <v/>
      </c>
      <c r="AY160">
        <f>IFERROR(INDEX(PP_Grid[#Data],$DD160,49),0)</f>
        <v/>
      </c>
      <c r="AZ160">
        <f>IFERROR(INDEX(PP_Grid[#Data],$DD160,50),0)</f>
        <v/>
      </c>
      <c r="BA160">
        <f>IFERROR(INDEX(PP_Grid[#Data],$DD160,51),0)</f>
        <v/>
      </c>
      <c r="BB160">
        <f>IFERROR(INDEX(PP_Grid[#Data],$DD160,52),0)</f>
        <v/>
      </c>
      <c r="BC160">
        <f>IFERROR(INDEX(PP_Grid[#Data],$DD160,53),0)</f>
        <v/>
      </c>
      <c r="BD160">
        <f>IFERROR(INDEX(PP_Grid[#Data],$DD160,54),0)</f>
        <v/>
      </c>
      <c r="BE160">
        <f>IFERROR(INDEX(PP_Grid[#Data],$DD160,55),0)</f>
        <v/>
      </c>
      <c r="BF160">
        <f>IFERROR(INDEX(PP_Grid[#Data],$DD160,56),0)</f>
        <v/>
      </c>
      <c r="BG160">
        <f>IFERROR(INDEX(PP_Grid[#Data],$DD160,57),0)</f>
        <v/>
      </c>
      <c r="BH160">
        <f>IFERROR(INDEX(PP_Grid[#Data],$DD160,58),0)</f>
        <v/>
      </c>
      <c r="BI160">
        <f>IFERROR(INDEX(PP_Grid[#Data],$DD160,59),0)</f>
        <v/>
      </c>
      <c r="BJ160">
        <f>IFERROR(INDEX(PP_Grid[#Data],$DD160,60),0)</f>
        <v/>
      </c>
      <c r="BK160">
        <f>IFERROR(INDEX(PP_Grid[#Data],$DD160,61),0)</f>
        <v/>
      </c>
      <c r="BL160">
        <f>IFERROR(INDEX(PP_Grid[#Data],$DD160,62),0)</f>
        <v/>
      </c>
      <c r="BM160">
        <f>IFERROR(INDEX(PP_Grid[#Data],$DD160,63),0)</f>
        <v/>
      </c>
      <c r="BN160">
        <f>IFERROR(INDEX(PP_Grid[#Data],$DD160,64),0)</f>
        <v/>
      </c>
      <c r="BO160">
        <f>IFERROR(INDEX(PP_Grid[#Data],$DD160,65),0)</f>
        <v/>
      </c>
      <c r="BP160">
        <f>IFERROR(INDEX(PP_Grid[#Data],$DD160,66),0)</f>
        <v/>
      </c>
      <c r="BQ160">
        <f>IFERROR(INDEX(PP_Grid[#Data],$DD160,67),0)</f>
        <v/>
      </c>
      <c r="BR160">
        <f>IFERROR(INDEX(PP_Grid[#Data],$DD160,68),0)</f>
        <v/>
      </c>
      <c r="BS160">
        <f>IFERROR(INDEX(PP_Grid[#Data],$DD160,69),0)</f>
        <v/>
      </c>
      <c r="BT160">
        <f>IFERROR(INDEX(PP_Grid[#Data],$DD160,70),0)</f>
        <v/>
      </c>
      <c r="BU160">
        <f>IFERROR(INDEX(PP_Grid[#Data],$DD160,71),0)</f>
        <v/>
      </c>
      <c r="BV160">
        <f>IFERROR(INDEX(PP_Grid[#Data],$DD160,72),0)</f>
        <v/>
      </c>
      <c r="BW160">
        <f>IFERROR(INDEX(PP_Grid[#Data],$DD160,73),0)</f>
        <v/>
      </c>
      <c r="BX160">
        <f>IFERROR(INDEX(PP_Grid[#Data],$DD160,74),0)</f>
        <v/>
      </c>
      <c r="BY160">
        <f>IFERROR(INDEX(PP_Grid[#Data],$DD160,75),0)</f>
        <v/>
      </c>
      <c r="BZ160">
        <f>IFERROR(INDEX(PP_Grid[#Data],$DD160,76),0)</f>
        <v/>
      </c>
      <c r="CA160">
        <f>IFERROR(INDEX(PP_Grid[#Data],$DD160,77),0)</f>
        <v/>
      </c>
      <c r="CB160">
        <f>IFERROR(INDEX(PP_Grid[#Data],$DD160,78),0)</f>
        <v/>
      </c>
      <c r="CC160">
        <f>IFERROR(INDEX(PP_Grid[#Data],$DD160,79),0)</f>
        <v/>
      </c>
      <c r="CD160">
        <f>IFERROR(INDEX(PP_Grid[#Data],$DD160,80),0)</f>
        <v/>
      </c>
      <c r="CE160">
        <f>IFERROR(INDEX(PP_Grid[#Data],$DD160,81),0)</f>
        <v/>
      </c>
      <c r="CF160">
        <f>IFERROR(INDEX(PP_Grid[#Data],$DD160,82),0)</f>
        <v/>
      </c>
      <c r="CG160">
        <f>IFERROR(INDEX(PP_Grid[#Data],$DD160,83),0)</f>
        <v/>
      </c>
      <c r="CH160">
        <f>IFERROR(INDEX(PP_Grid[#Data],$DD160,84),0)</f>
        <v/>
      </c>
      <c r="CI160">
        <f>IFERROR(INDEX(PP_Grid[#Data],$DD160,85),0)</f>
        <v/>
      </c>
      <c r="CJ160">
        <f>IFERROR(INDEX(PP_Grid[#Data],$DD160,86),0)</f>
        <v/>
      </c>
      <c r="CK160">
        <f>IFERROR(INDEX(PP_Grid[#Data],$DD160,87),0)</f>
        <v/>
      </c>
      <c r="CL160">
        <f>IFERROR(INDEX(PP_Grid[#Data],$DD160,88),0)</f>
        <v/>
      </c>
      <c r="CM160">
        <f>IFERROR(INDEX(PP_Grid[#Data],$DD160,89),0)</f>
        <v/>
      </c>
      <c r="CN160">
        <f>IFERROR(INDEX(PP_Grid[#Data],$DD160,90),0)</f>
        <v/>
      </c>
      <c r="CO160">
        <f>IFERROR(INDEX(PP_Grid[#Data],$DD160,91),0)</f>
        <v/>
      </c>
      <c r="CP160">
        <f>IFERROR(INDEX(PP_Grid[#Data],$DD160,92),0)</f>
        <v/>
      </c>
      <c r="CQ160">
        <f>IFERROR(INDEX(PP_Grid[#Data],$DD160,93),0)</f>
        <v/>
      </c>
      <c r="CR160">
        <f>IFERROR(INDEX(PP_Grid[#Data],$DD160,94),0)</f>
        <v/>
      </c>
      <c r="CS160">
        <f>IFERROR(INDEX(PP_Grid[#Data],$DD160,95),0)</f>
        <v/>
      </c>
      <c r="CT160">
        <f>IFERROR(INDEX(PP_Grid[#Data],$DD160,96),0)</f>
        <v/>
      </c>
      <c r="CU160">
        <f>IFERROR(INDEX(PP_Grid[#Data],$DD160,97),0)</f>
        <v/>
      </c>
      <c r="CV160">
        <f>IFERROR(INDEX(PP_Grid[#Data],$DD160,98),0)</f>
        <v/>
      </c>
      <c r="CW160">
        <f>IFERROR(INDEX(PP_Grid[#Data],$DD160,99),0)</f>
        <v/>
      </c>
      <c r="CX160">
        <f>IFERROR(INDEX(PP_Grid[#Data],$DD160,100),0)</f>
        <v/>
      </c>
      <c r="CY160">
        <f>IFERROR(INDEX(PP_Grid[#Data],$DD160,101),0)</f>
        <v/>
      </c>
      <c r="CZ160">
        <f>IFERROR(INDEX(PP_Grid[#Data],$DD160,102),0)</f>
        <v/>
      </c>
      <c r="DA160">
        <f>IFERROR(INDEX(PP_Grid[#Data],$DD160,103),0)</f>
        <v/>
      </c>
      <c r="DB160">
        <f>IFERROR(INDEX(PP_Grid[#Data],$DD160,104),0)</f>
        <v/>
      </c>
      <c r="DC160">
        <f>IFERROR(INDEX(PP_Grid[#Data],$DD160,105),0)</f>
        <v/>
      </c>
      <c r="DD160" s="7">
        <f>IFERROR(MATCH($B160,PP_Grid[Intermediate],0),99999)</f>
        <v/>
      </c>
    </row>
    <row r="161">
      <c r="B161" t="inlineStr">
        <is>
          <t>使用量(kg)</t>
        </is>
      </c>
      <c r="C161">
        <f>SUMIFS(M_BOM[RM_Qty_Per_Batch],M_BOM[Intermediate],$B160,M_BOM[Part Name],$A45)</f>
        <v/>
      </c>
      <c r="D161">
        <f>$C161*D160</f>
        <v/>
      </c>
      <c r="E161">
        <f>$C161*E160</f>
        <v/>
      </c>
      <c r="F161">
        <f>$C161*F160</f>
        <v/>
      </c>
      <c r="G161">
        <f>$C161*G160</f>
        <v/>
      </c>
      <c r="H161">
        <f>$C161*H160</f>
        <v/>
      </c>
      <c r="I161">
        <f>$C161*I160</f>
        <v/>
      </c>
      <c r="J161">
        <f>$C161*J160</f>
        <v/>
      </c>
      <c r="K161">
        <f>$C161*K160</f>
        <v/>
      </c>
      <c r="L161">
        <f>$C161*L160</f>
        <v/>
      </c>
      <c r="M161">
        <f>$C161*M160</f>
        <v/>
      </c>
      <c r="N161">
        <f>$C161*N160</f>
        <v/>
      </c>
      <c r="O161">
        <f>$C161*O160</f>
        <v/>
      </c>
      <c r="P161">
        <f>$C161*P160</f>
        <v/>
      </c>
      <c r="Q161">
        <f>$C161*Q160</f>
        <v/>
      </c>
      <c r="R161">
        <f>$C161*R160</f>
        <v/>
      </c>
      <c r="S161">
        <f>$C161*S160</f>
        <v/>
      </c>
      <c r="T161">
        <f>$C161*T160</f>
        <v/>
      </c>
      <c r="U161">
        <f>$C161*U160</f>
        <v/>
      </c>
      <c r="V161">
        <f>$C161*V160</f>
        <v/>
      </c>
      <c r="W161">
        <f>$C161*W160</f>
        <v/>
      </c>
      <c r="X161">
        <f>$C161*X160</f>
        <v/>
      </c>
      <c r="Y161">
        <f>$C161*Y160</f>
        <v/>
      </c>
      <c r="Z161">
        <f>$C161*Z160</f>
        <v/>
      </c>
      <c r="AA161">
        <f>$C161*AA160</f>
        <v/>
      </c>
      <c r="AB161">
        <f>$C161*AB160</f>
        <v/>
      </c>
      <c r="AC161">
        <f>$C161*AC160</f>
        <v/>
      </c>
      <c r="AD161">
        <f>$C161*AD160</f>
        <v/>
      </c>
      <c r="AE161">
        <f>$C161*AE160</f>
        <v/>
      </c>
      <c r="AF161">
        <f>$C161*AF160</f>
        <v/>
      </c>
      <c r="AG161">
        <f>$C161*AG160</f>
        <v/>
      </c>
      <c r="AH161">
        <f>$C161*AH160</f>
        <v/>
      </c>
      <c r="AI161">
        <f>$C161*AI160</f>
        <v/>
      </c>
      <c r="AJ161">
        <f>$C161*AJ160</f>
        <v/>
      </c>
      <c r="AK161">
        <f>$C161*AK160</f>
        <v/>
      </c>
      <c r="AL161">
        <f>$C161*AL160</f>
        <v/>
      </c>
      <c r="AM161">
        <f>$C161*AM160</f>
        <v/>
      </c>
      <c r="AN161">
        <f>$C161*AN160</f>
        <v/>
      </c>
      <c r="AO161">
        <f>$C161*AO160</f>
        <v/>
      </c>
      <c r="AP161">
        <f>$C161*AP160</f>
        <v/>
      </c>
      <c r="AQ161">
        <f>$C161*AQ160</f>
        <v/>
      </c>
      <c r="AR161">
        <f>$C161*AR160</f>
        <v/>
      </c>
      <c r="AS161">
        <f>$C161*AS160</f>
        <v/>
      </c>
      <c r="AT161">
        <f>$C161*AT160</f>
        <v/>
      </c>
      <c r="AU161">
        <f>$C161*AU160</f>
        <v/>
      </c>
      <c r="AV161">
        <f>$C161*AV160</f>
        <v/>
      </c>
      <c r="AW161">
        <f>$C161*AW160</f>
        <v/>
      </c>
      <c r="AX161">
        <f>$C161*AX160</f>
        <v/>
      </c>
      <c r="AY161">
        <f>$C161*AY160</f>
        <v/>
      </c>
      <c r="AZ161">
        <f>$C161*AZ160</f>
        <v/>
      </c>
      <c r="BA161">
        <f>$C161*BA160</f>
        <v/>
      </c>
      <c r="BB161">
        <f>$C161*BB160</f>
        <v/>
      </c>
      <c r="BC161">
        <f>$C161*BC160</f>
        <v/>
      </c>
      <c r="BD161">
        <f>$C161*BD160</f>
        <v/>
      </c>
      <c r="BE161">
        <f>$C161*BE160</f>
        <v/>
      </c>
      <c r="BF161">
        <f>$C161*BF160</f>
        <v/>
      </c>
      <c r="BG161">
        <f>$C161*BG160</f>
        <v/>
      </c>
      <c r="BH161">
        <f>$C161*BH160</f>
        <v/>
      </c>
      <c r="BI161">
        <f>$C161*BI160</f>
        <v/>
      </c>
      <c r="BJ161">
        <f>$C161*BJ160</f>
        <v/>
      </c>
      <c r="BK161">
        <f>$C161*BK160</f>
        <v/>
      </c>
      <c r="BL161">
        <f>$C161*BL160</f>
        <v/>
      </c>
      <c r="BM161">
        <f>$C161*BM160</f>
        <v/>
      </c>
      <c r="BN161">
        <f>$C161*BN160</f>
        <v/>
      </c>
      <c r="BO161">
        <f>$C161*BO160</f>
        <v/>
      </c>
      <c r="BP161">
        <f>$C161*BP160</f>
        <v/>
      </c>
      <c r="BQ161">
        <f>$C161*BQ160</f>
        <v/>
      </c>
      <c r="BR161">
        <f>$C161*BR160</f>
        <v/>
      </c>
      <c r="BS161">
        <f>$C161*BS160</f>
        <v/>
      </c>
      <c r="BT161">
        <f>$C161*BT160</f>
        <v/>
      </c>
      <c r="BU161">
        <f>$C161*BU160</f>
        <v/>
      </c>
      <c r="BV161">
        <f>$C161*BV160</f>
        <v/>
      </c>
      <c r="BW161">
        <f>$C161*BW160</f>
        <v/>
      </c>
      <c r="BX161">
        <f>$C161*BX160</f>
        <v/>
      </c>
      <c r="BY161">
        <f>$C161*BY160</f>
        <v/>
      </c>
      <c r="BZ161">
        <f>$C161*BZ160</f>
        <v/>
      </c>
      <c r="CA161">
        <f>$C161*CA160</f>
        <v/>
      </c>
      <c r="CB161">
        <f>$C161*CB160</f>
        <v/>
      </c>
      <c r="CC161">
        <f>$C161*CC160</f>
        <v/>
      </c>
      <c r="CD161">
        <f>$C161*CD160</f>
        <v/>
      </c>
      <c r="CE161">
        <f>$C161*CE160</f>
        <v/>
      </c>
      <c r="CF161">
        <f>$C161*CF160</f>
        <v/>
      </c>
      <c r="CG161">
        <f>$C161*CG160</f>
        <v/>
      </c>
      <c r="CH161">
        <f>$C161*CH160</f>
        <v/>
      </c>
      <c r="CI161">
        <f>$C161*CI160</f>
        <v/>
      </c>
      <c r="CJ161">
        <f>$C161*CJ160</f>
        <v/>
      </c>
      <c r="CK161">
        <f>$C161*CK160</f>
        <v/>
      </c>
      <c r="CL161">
        <f>$C161*CL160</f>
        <v/>
      </c>
      <c r="CM161">
        <f>$C161*CM160</f>
        <v/>
      </c>
      <c r="CN161">
        <f>$C161*CN160</f>
        <v/>
      </c>
      <c r="CO161">
        <f>$C161*CO160</f>
        <v/>
      </c>
      <c r="CP161">
        <f>$C161*CP160</f>
        <v/>
      </c>
      <c r="CQ161">
        <f>$C161*CQ160</f>
        <v/>
      </c>
      <c r="CR161">
        <f>$C161*CR160</f>
        <v/>
      </c>
      <c r="CS161">
        <f>$C161*CS160</f>
        <v/>
      </c>
      <c r="CT161">
        <f>$C161*CT160</f>
        <v/>
      </c>
      <c r="CU161">
        <f>$C161*CU160</f>
        <v/>
      </c>
      <c r="CV161">
        <f>$C161*CV160</f>
        <v/>
      </c>
      <c r="CW161">
        <f>$C161*CW160</f>
        <v/>
      </c>
      <c r="CX161">
        <f>$C161*CX160</f>
        <v/>
      </c>
      <c r="CY161">
        <f>$C161*CY160</f>
        <v/>
      </c>
      <c r="CZ161">
        <f>$C161*CZ160</f>
        <v/>
      </c>
      <c r="DA161">
        <f>$C161*DA160</f>
        <v/>
      </c>
      <c r="DB161">
        <f>$C161*DB160</f>
        <v/>
      </c>
      <c r="DC161">
        <f>$C161*DC160</f>
        <v/>
      </c>
    </row>
    <row r="162">
      <c r="B162" t="inlineStr">
        <is>
          <t>TSP-1449</t>
        </is>
      </c>
      <c r="C162" t="inlineStr">
        <is>
          <t>No. of batches</t>
        </is>
      </c>
      <c r="D162">
        <f>IFERROR(INDEX(PP_Grid[#Data],$DD162,2),0)</f>
        <v/>
      </c>
      <c r="E162">
        <f>IFERROR(INDEX(PP_Grid[#Data],$DD162,3),0)</f>
        <v/>
      </c>
      <c r="F162">
        <f>IFERROR(INDEX(PP_Grid[#Data],$DD162,4),0)</f>
        <v/>
      </c>
      <c r="G162">
        <f>IFERROR(INDEX(PP_Grid[#Data],$DD162,5),0)</f>
        <v/>
      </c>
      <c r="H162">
        <f>IFERROR(INDEX(PP_Grid[#Data],$DD162,6),0)</f>
        <v/>
      </c>
      <c r="I162">
        <f>IFERROR(INDEX(PP_Grid[#Data],$DD162,7),0)</f>
        <v/>
      </c>
      <c r="J162">
        <f>IFERROR(INDEX(PP_Grid[#Data],$DD162,8),0)</f>
        <v/>
      </c>
      <c r="K162">
        <f>IFERROR(INDEX(PP_Grid[#Data],$DD162,9),0)</f>
        <v/>
      </c>
      <c r="L162">
        <f>IFERROR(INDEX(PP_Grid[#Data],$DD162,10),0)</f>
        <v/>
      </c>
      <c r="M162">
        <f>IFERROR(INDEX(PP_Grid[#Data],$DD162,11),0)</f>
        <v/>
      </c>
      <c r="N162">
        <f>IFERROR(INDEX(PP_Grid[#Data],$DD162,12),0)</f>
        <v/>
      </c>
      <c r="O162">
        <f>IFERROR(INDEX(PP_Grid[#Data],$DD162,13),0)</f>
        <v/>
      </c>
      <c r="P162">
        <f>IFERROR(INDEX(PP_Grid[#Data],$DD162,14),0)</f>
        <v/>
      </c>
      <c r="Q162">
        <f>IFERROR(INDEX(PP_Grid[#Data],$DD162,15),0)</f>
        <v/>
      </c>
      <c r="R162">
        <f>IFERROR(INDEX(PP_Grid[#Data],$DD162,16),0)</f>
        <v/>
      </c>
      <c r="S162">
        <f>IFERROR(INDEX(PP_Grid[#Data],$DD162,17),0)</f>
        <v/>
      </c>
      <c r="T162">
        <f>IFERROR(INDEX(PP_Grid[#Data],$DD162,18),0)</f>
        <v/>
      </c>
      <c r="U162">
        <f>IFERROR(INDEX(PP_Grid[#Data],$DD162,19),0)</f>
        <v/>
      </c>
      <c r="V162">
        <f>IFERROR(INDEX(PP_Grid[#Data],$DD162,20),0)</f>
        <v/>
      </c>
      <c r="W162">
        <f>IFERROR(INDEX(PP_Grid[#Data],$DD162,21),0)</f>
        <v/>
      </c>
      <c r="X162">
        <f>IFERROR(INDEX(PP_Grid[#Data],$DD162,22),0)</f>
        <v/>
      </c>
      <c r="Y162">
        <f>IFERROR(INDEX(PP_Grid[#Data],$DD162,23),0)</f>
        <v/>
      </c>
      <c r="Z162">
        <f>IFERROR(INDEX(PP_Grid[#Data],$DD162,24),0)</f>
        <v/>
      </c>
      <c r="AA162">
        <f>IFERROR(INDEX(PP_Grid[#Data],$DD162,25),0)</f>
        <v/>
      </c>
      <c r="AB162">
        <f>IFERROR(INDEX(PP_Grid[#Data],$DD162,26),0)</f>
        <v/>
      </c>
      <c r="AC162">
        <f>IFERROR(INDEX(PP_Grid[#Data],$DD162,27),0)</f>
        <v/>
      </c>
      <c r="AD162">
        <f>IFERROR(INDEX(PP_Grid[#Data],$DD162,28),0)</f>
        <v/>
      </c>
      <c r="AE162">
        <f>IFERROR(INDEX(PP_Grid[#Data],$DD162,29),0)</f>
        <v/>
      </c>
      <c r="AF162">
        <f>IFERROR(INDEX(PP_Grid[#Data],$DD162,30),0)</f>
        <v/>
      </c>
      <c r="AG162">
        <f>IFERROR(INDEX(PP_Grid[#Data],$DD162,31),0)</f>
        <v/>
      </c>
      <c r="AH162">
        <f>IFERROR(INDEX(PP_Grid[#Data],$DD162,32),0)</f>
        <v/>
      </c>
      <c r="AI162">
        <f>IFERROR(INDEX(PP_Grid[#Data],$DD162,33),0)</f>
        <v/>
      </c>
      <c r="AJ162">
        <f>IFERROR(INDEX(PP_Grid[#Data],$DD162,34),0)</f>
        <v/>
      </c>
      <c r="AK162">
        <f>IFERROR(INDEX(PP_Grid[#Data],$DD162,35),0)</f>
        <v/>
      </c>
      <c r="AL162">
        <f>IFERROR(INDEX(PP_Grid[#Data],$DD162,36),0)</f>
        <v/>
      </c>
      <c r="AM162">
        <f>IFERROR(INDEX(PP_Grid[#Data],$DD162,37),0)</f>
        <v/>
      </c>
      <c r="AN162">
        <f>IFERROR(INDEX(PP_Grid[#Data],$DD162,38),0)</f>
        <v/>
      </c>
      <c r="AO162">
        <f>IFERROR(INDEX(PP_Grid[#Data],$DD162,39),0)</f>
        <v/>
      </c>
      <c r="AP162">
        <f>IFERROR(INDEX(PP_Grid[#Data],$DD162,40),0)</f>
        <v/>
      </c>
      <c r="AQ162">
        <f>IFERROR(INDEX(PP_Grid[#Data],$DD162,41),0)</f>
        <v/>
      </c>
      <c r="AR162">
        <f>IFERROR(INDEX(PP_Grid[#Data],$DD162,42),0)</f>
        <v/>
      </c>
      <c r="AS162">
        <f>IFERROR(INDEX(PP_Grid[#Data],$DD162,43),0)</f>
        <v/>
      </c>
      <c r="AT162">
        <f>IFERROR(INDEX(PP_Grid[#Data],$DD162,44),0)</f>
        <v/>
      </c>
      <c r="AU162">
        <f>IFERROR(INDEX(PP_Grid[#Data],$DD162,45),0)</f>
        <v/>
      </c>
      <c r="AV162">
        <f>IFERROR(INDEX(PP_Grid[#Data],$DD162,46),0)</f>
        <v/>
      </c>
      <c r="AW162">
        <f>IFERROR(INDEX(PP_Grid[#Data],$DD162,47),0)</f>
        <v/>
      </c>
      <c r="AX162">
        <f>IFERROR(INDEX(PP_Grid[#Data],$DD162,48),0)</f>
        <v/>
      </c>
      <c r="AY162">
        <f>IFERROR(INDEX(PP_Grid[#Data],$DD162,49),0)</f>
        <v/>
      </c>
      <c r="AZ162">
        <f>IFERROR(INDEX(PP_Grid[#Data],$DD162,50),0)</f>
        <v/>
      </c>
      <c r="BA162">
        <f>IFERROR(INDEX(PP_Grid[#Data],$DD162,51),0)</f>
        <v/>
      </c>
      <c r="BB162">
        <f>IFERROR(INDEX(PP_Grid[#Data],$DD162,52),0)</f>
        <v/>
      </c>
      <c r="BC162">
        <f>IFERROR(INDEX(PP_Grid[#Data],$DD162,53),0)</f>
        <v/>
      </c>
      <c r="BD162">
        <f>IFERROR(INDEX(PP_Grid[#Data],$DD162,54),0)</f>
        <v/>
      </c>
      <c r="BE162">
        <f>IFERROR(INDEX(PP_Grid[#Data],$DD162,55),0)</f>
        <v/>
      </c>
      <c r="BF162">
        <f>IFERROR(INDEX(PP_Grid[#Data],$DD162,56),0)</f>
        <v/>
      </c>
      <c r="BG162">
        <f>IFERROR(INDEX(PP_Grid[#Data],$DD162,57),0)</f>
        <v/>
      </c>
      <c r="BH162">
        <f>IFERROR(INDEX(PP_Grid[#Data],$DD162,58),0)</f>
        <v/>
      </c>
      <c r="BI162">
        <f>IFERROR(INDEX(PP_Grid[#Data],$DD162,59),0)</f>
        <v/>
      </c>
      <c r="BJ162">
        <f>IFERROR(INDEX(PP_Grid[#Data],$DD162,60),0)</f>
        <v/>
      </c>
      <c r="BK162">
        <f>IFERROR(INDEX(PP_Grid[#Data],$DD162,61),0)</f>
        <v/>
      </c>
      <c r="BL162">
        <f>IFERROR(INDEX(PP_Grid[#Data],$DD162,62),0)</f>
        <v/>
      </c>
      <c r="BM162">
        <f>IFERROR(INDEX(PP_Grid[#Data],$DD162,63),0)</f>
        <v/>
      </c>
      <c r="BN162">
        <f>IFERROR(INDEX(PP_Grid[#Data],$DD162,64),0)</f>
        <v/>
      </c>
      <c r="BO162">
        <f>IFERROR(INDEX(PP_Grid[#Data],$DD162,65),0)</f>
        <v/>
      </c>
      <c r="BP162">
        <f>IFERROR(INDEX(PP_Grid[#Data],$DD162,66),0)</f>
        <v/>
      </c>
      <c r="BQ162">
        <f>IFERROR(INDEX(PP_Grid[#Data],$DD162,67),0)</f>
        <v/>
      </c>
      <c r="BR162">
        <f>IFERROR(INDEX(PP_Grid[#Data],$DD162,68),0)</f>
        <v/>
      </c>
      <c r="BS162">
        <f>IFERROR(INDEX(PP_Grid[#Data],$DD162,69),0)</f>
        <v/>
      </c>
      <c r="BT162">
        <f>IFERROR(INDEX(PP_Grid[#Data],$DD162,70),0)</f>
        <v/>
      </c>
      <c r="BU162">
        <f>IFERROR(INDEX(PP_Grid[#Data],$DD162,71),0)</f>
        <v/>
      </c>
      <c r="BV162">
        <f>IFERROR(INDEX(PP_Grid[#Data],$DD162,72),0)</f>
        <v/>
      </c>
      <c r="BW162">
        <f>IFERROR(INDEX(PP_Grid[#Data],$DD162,73),0)</f>
        <v/>
      </c>
      <c r="BX162">
        <f>IFERROR(INDEX(PP_Grid[#Data],$DD162,74),0)</f>
        <v/>
      </c>
      <c r="BY162">
        <f>IFERROR(INDEX(PP_Grid[#Data],$DD162,75),0)</f>
        <v/>
      </c>
      <c r="BZ162">
        <f>IFERROR(INDEX(PP_Grid[#Data],$DD162,76),0)</f>
        <v/>
      </c>
      <c r="CA162">
        <f>IFERROR(INDEX(PP_Grid[#Data],$DD162,77),0)</f>
        <v/>
      </c>
      <c r="CB162">
        <f>IFERROR(INDEX(PP_Grid[#Data],$DD162,78),0)</f>
        <v/>
      </c>
      <c r="CC162">
        <f>IFERROR(INDEX(PP_Grid[#Data],$DD162,79),0)</f>
        <v/>
      </c>
      <c r="CD162">
        <f>IFERROR(INDEX(PP_Grid[#Data],$DD162,80),0)</f>
        <v/>
      </c>
      <c r="CE162">
        <f>IFERROR(INDEX(PP_Grid[#Data],$DD162,81),0)</f>
        <v/>
      </c>
      <c r="CF162">
        <f>IFERROR(INDEX(PP_Grid[#Data],$DD162,82),0)</f>
        <v/>
      </c>
      <c r="CG162">
        <f>IFERROR(INDEX(PP_Grid[#Data],$DD162,83),0)</f>
        <v/>
      </c>
      <c r="CH162">
        <f>IFERROR(INDEX(PP_Grid[#Data],$DD162,84),0)</f>
        <v/>
      </c>
      <c r="CI162">
        <f>IFERROR(INDEX(PP_Grid[#Data],$DD162,85),0)</f>
        <v/>
      </c>
      <c r="CJ162">
        <f>IFERROR(INDEX(PP_Grid[#Data],$DD162,86),0)</f>
        <v/>
      </c>
      <c r="CK162">
        <f>IFERROR(INDEX(PP_Grid[#Data],$DD162,87),0)</f>
        <v/>
      </c>
      <c r="CL162">
        <f>IFERROR(INDEX(PP_Grid[#Data],$DD162,88),0)</f>
        <v/>
      </c>
      <c r="CM162">
        <f>IFERROR(INDEX(PP_Grid[#Data],$DD162,89),0)</f>
        <v/>
      </c>
      <c r="CN162">
        <f>IFERROR(INDEX(PP_Grid[#Data],$DD162,90),0)</f>
        <v/>
      </c>
      <c r="CO162">
        <f>IFERROR(INDEX(PP_Grid[#Data],$DD162,91),0)</f>
        <v/>
      </c>
      <c r="CP162">
        <f>IFERROR(INDEX(PP_Grid[#Data],$DD162,92),0)</f>
        <v/>
      </c>
      <c r="CQ162">
        <f>IFERROR(INDEX(PP_Grid[#Data],$DD162,93),0)</f>
        <v/>
      </c>
      <c r="CR162">
        <f>IFERROR(INDEX(PP_Grid[#Data],$DD162,94),0)</f>
        <v/>
      </c>
      <c r="CS162">
        <f>IFERROR(INDEX(PP_Grid[#Data],$DD162,95),0)</f>
        <v/>
      </c>
      <c r="CT162">
        <f>IFERROR(INDEX(PP_Grid[#Data],$DD162,96),0)</f>
        <v/>
      </c>
      <c r="CU162">
        <f>IFERROR(INDEX(PP_Grid[#Data],$DD162,97),0)</f>
        <v/>
      </c>
      <c r="CV162">
        <f>IFERROR(INDEX(PP_Grid[#Data],$DD162,98),0)</f>
        <v/>
      </c>
      <c r="CW162">
        <f>IFERROR(INDEX(PP_Grid[#Data],$DD162,99),0)</f>
        <v/>
      </c>
      <c r="CX162">
        <f>IFERROR(INDEX(PP_Grid[#Data],$DD162,100),0)</f>
        <v/>
      </c>
      <c r="CY162">
        <f>IFERROR(INDEX(PP_Grid[#Data],$DD162,101),0)</f>
        <v/>
      </c>
      <c r="CZ162">
        <f>IFERROR(INDEX(PP_Grid[#Data],$DD162,102),0)</f>
        <v/>
      </c>
      <c r="DA162">
        <f>IFERROR(INDEX(PP_Grid[#Data],$DD162,103),0)</f>
        <v/>
      </c>
      <c r="DB162">
        <f>IFERROR(INDEX(PP_Grid[#Data],$DD162,104),0)</f>
        <v/>
      </c>
      <c r="DC162">
        <f>IFERROR(INDEX(PP_Grid[#Data],$DD162,105),0)</f>
        <v/>
      </c>
      <c r="DD162" s="7">
        <f>IFERROR(MATCH($B162,PP_Grid[Intermediate],0),99999)</f>
        <v/>
      </c>
    </row>
    <row r="163">
      <c r="B163" t="inlineStr">
        <is>
          <t>使用量(kg)</t>
        </is>
      </c>
      <c r="C163">
        <f>SUMIFS(M_BOM[RM_Qty_Per_Batch],M_BOM[Intermediate],$B162,M_BOM[Part Name],$A45)</f>
        <v/>
      </c>
      <c r="D163">
        <f>$C163*D162</f>
        <v/>
      </c>
      <c r="E163">
        <f>$C163*E162</f>
        <v/>
      </c>
      <c r="F163">
        <f>$C163*F162</f>
        <v/>
      </c>
      <c r="G163">
        <f>$C163*G162</f>
        <v/>
      </c>
      <c r="H163">
        <f>$C163*H162</f>
        <v/>
      </c>
      <c r="I163">
        <f>$C163*I162</f>
        <v/>
      </c>
      <c r="J163">
        <f>$C163*J162</f>
        <v/>
      </c>
      <c r="K163">
        <f>$C163*K162</f>
        <v/>
      </c>
      <c r="L163">
        <f>$C163*L162</f>
        <v/>
      </c>
      <c r="M163">
        <f>$C163*M162</f>
        <v/>
      </c>
      <c r="N163">
        <f>$C163*N162</f>
        <v/>
      </c>
      <c r="O163">
        <f>$C163*O162</f>
        <v/>
      </c>
      <c r="P163">
        <f>$C163*P162</f>
        <v/>
      </c>
      <c r="Q163">
        <f>$C163*Q162</f>
        <v/>
      </c>
      <c r="R163">
        <f>$C163*R162</f>
        <v/>
      </c>
      <c r="S163">
        <f>$C163*S162</f>
        <v/>
      </c>
      <c r="T163">
        <f>$C163*T162</f>
        <v/>
      </c>
      <c r="U163">
        <f>$C163*U162</f>
        <v/>
      </c>
      <c r="V163">
        <f>$C163*V162</f>
        <v/>
      </c>
      <c r="W163">
        <f>$C163*W162</f>
        <v/>
      </c>
      <c r="X163">
        <f>$C163*X162</f>
        <v/>
      </c>
      <c r="Y163">
        <f>$C163*Y162</f>
        <v/>
      </c>
      <c r="Z163">
        <f>$C163*Z162</f>
        <v/>
      </c>
      <c r="AA163">
        <f>$C163*AA162</f>
        <v/>
      </c>
      <c r="AB163">
        <f>$C163*AB162</f>
        <v/>
      </c>
      <c r="AC163">
        <f>$C163*AC162</f>
        <v/>
      </c>
      <c r="AD163">
        <f>$C163*AD162</f>
        <v/>
      </c>
      <c r="AE163">
        <f>$C163*AE162</f>
        <v/>
      </c>
      <c r="AF163">
        <f>$C163*AF162</f>
        <v/>
      </c>
      <c r="AG163">
        <f>$C163*AG162</f>
        <v/>
      </c>
      <c r="AH163">
        <f>$C163*AH162</f>
        <v/>
      </c>
      <c r="AI163">
        <f>$C163*AI162</f>
        <v/>
      </c>
      <c r="AJ163">
        <f>$C163*AJ162</f>
        <v/>
      </c>
      <c r="AK163">
        <f>$C163*AK162</f>
        <v/>
      </c>
      <c r="AL163">
        <f>$C163*AL162</f>
        <v/>
      </c>
      <c r="AM163">
        <f>$C163*AM162</f>
        <v/>
      </c>
      <c r="AN163">
        <f>$C163*AN162</f>
        <v/>
      </c>
      <c r="AO163">
        <f>$C163*AO162</f>
        <v/>
      </c>
      <c r="AP163">
        <f>$C163*AP162</f>
        <v/>
      </c>
      <c r="AQ163">
        <f>$C163*AQ162</f>
        <v/>
      </c>
      <c r="AR163">
        <f>$C163*AR162</f>
        <v/>
      </c>
      <c r="AS163">
        <f>$C163*AS162</f>
        <v/>
      </c>
      <c r="AT163">
        <f>$C163*AT162</f>
        <v/>
      </c>
      <c r="AU163">
        <f>$C163*AU162</f>
        <v/>
      </c>
      <c r="AV163">
        <f>$C163*AV162</f>
        <v/>
      </c>
      <c r="AW163">
        <f>$C163*AW162</f>
        <v/>
      </c>
      <c r="AX163">
        <f>$C163*AX162</f>
        <v/>
      </c>
      <c r="AY163">
        <f>$C163*AY162</f>
        <v/>
      </c>
      <c r="AZ163">
        <f>$C163*AZ162</f>
        <v/>
      </c>
      <c r="BA163">
        <f>$C163*BA162</f>
        <v/>
      </c>
      <c r="BB163">
        <f>$C163*BB162</f>
        <v/>
      </c>
      <c r="BC163">
        <f>$C163*BC162</f>
        <v/>
      </c>
      <c r="BD163">
        <f>$C163*BD162</f>
        <v/>
      </c>
      <c r="BE163">
        <f>$C163*BE162</f>
        <v/>
      </c>
      <c r="BF163">
        <f>$C163*BF162</f>
        <v/>
      </c>
      <c r="BG163">
        <f>$C163*BG162</f>
        <v/>
      </c>
      <c r="BH163">
        <f>$C163*BH162</f>
        <v/>
      </c>
      <c r="BI163">
        <f>$C163*BI162</f>
        <v/>
      </c>
      <c r="BJ163">
        <f>$C163*BJ162</f>
        <v/>
      </c>
      <c r="BK163">
        <f>$C163*BK162</f>
        <v/>
      </c>
      <c r="BL163">
        <f>$C163*BL162</f>
        <v/>
      </c>
      <c r="BM163">
        <f>$C163*BM162</f>
        <v/>
      </c>
      <c r="BN163">
        <f>$C163*BN162</f>
        <v/>
      </c>
      <c r="BO163">
        <f>$C163*BO162</f>
        <v/>
      </c>
      <c r="BP163">
        <f>$C163*BP162</f>
        <v/>
      </c>
      <c r="BQ163">
        <f>$C163*BQ162</f>
        <v/>
      </c>
      <c r="BR163">
        <f>$C163*BR162</f>
        <v/>
      </c>
      <c r="BS163">
        <f>$C163*BS162</f>
        <v/>
      </c>
      <c r="BT163">
        <f>$C163*BT162</f>
        <v/>
      </c>
      <c r="BU163">
        <f>$C163*BU162</f>
        <v/>
      </c>
      <c r="BV163">
        <f>$C163*BV162</f>
        <v/>
      </c>
      <c r="BW163">
        <f>$C163*BW162</f>
        <v/>
      </c>
      <c r="BX163">
        <f>$C163*BX162</f>
        <v/>
      </c>
      <c r="BY163">
        <f>$C163*BY162</f>
        <v/>
      </c>
      <c r="BZ163">
        <f>$C163*BZ162</f>
        <v/>
      </c>
      <c r="CA163">
        <f>$C163*CA162</f>
        <v/>
      </c>
      <c r="CB163">
        <f>$C163*CB162</f>
        <v/>
      </c>
      <c r="CC163">
        <f>$C163*CC162</f>
        <v/>
      </c>
      <c r="CD163">
        <f>$C163*CD162</f>
        <v/>
      </c>
      <c r="CE163">
        <f>$C163*CE162</f>
        <v/>
      </c>
      <c r="CF163">
        <f>$C163*CF162</f>
        <v/>
      </c>
      <c r="CG163">
        <f>$C163*CG162</f>
        <v/>
      </c>
      <c r="CH163">
        <f>$C163*CH162</f>
        <v/>
      </c>
      <c r="CI163">
        <f>$C163*CI162</f>
        <v/>
      </c>
      <c r="CJ163">
        <f>$C163*CJ162</f>
        <v/>
      </c>
      <c r="CK163">
        <f>$C163*CK162</f>
        <v/>
      </c>
      <c r="CL163">
        <f>$C163*CL162</f>
        <v/>
      </c>
      <c r="CM163">
        <f>$C163*CM162</f>
        <v/>
      </c>
      <c r="CN163">
        <f>$C163*CN162</f>
        <v/>
      </c>
      <c r="CO163">
        <f>$C163*CO162</f>
        <v/>
      </c>
      <c r="CP163">
        <f>$C163*CP162</f>
        <v/>
      </c>
      <c r="CQ163">
        <f>$C163*CQ162</f>
        <v/>
      </c>
      <c r="CR163">
        <f>$C163*CR162</f>
        <v/>
      </c>
      <c r="CS163">
        <f>$C163*CS162</f>
        <v/>
      </c>
      <c r="CT163">
        <f>$C163*CT162</f>
        <v/>
      </c>
      <c r="CU163">
        <f>$C163*CU162</f>
        <v/>
      </c>
      <c r="CV163">
        <f>$C163*CV162</f>
        <v/>
      </c>
      <c r="CW163">
        <f>$C163*CW162</f>
        <v/>
      </c>
      <c r="CX163">
        <f>$C163*CX162</f>
        <v/>
      </c>
      <c r="CY163">
        <f>$C163*CY162</f>
        <v/>
      </c>
      <c r="CZ163">
        <f>$C163*CZ162</f>
        <v/>
      </c>
      <c r="DA163">
        <f>$C163*DA162</f>
        <v/>
      </c>
      <c r="DB163">
        <f>$C163*DB162</f>
        <v/>
      </c>
      <c r="DC163">
        <f>$C163*DC162</f>
        <v/>
      </c>
    </row>
    <row r="164">
      <c r="B164" t="inlineStr">
        <is>
          <t>VSP-567</t>
        </is>
      </c>
      <c r="C164" t="inlineStr">
        <is>
          <t>No. of batches</t>
        </is>
      </c>
      <c r="D164">
        <f>IFERROR(INDEX(PP_Grid[#Data],$DD164,2),0)</f>
        <v/>
      </c>
      <c r="E164">
        <f>IFERROR(INDEX(PP_Grid[#Data],$DD164,3),0)</f>
        <v/>
      </c>
      <c r="F164">
        <f>IFERROR(INDEX(PP_Grid[#Data],$DD164,4),0)</f>
        <v/>
      </c>
      <c r="G164">
        <f>IFERROR(INDEX(PP_Grid[#Data],$DD164,5),0)</f>
        <v/>
      </c>
      <c r="H164">
        <f>IFERROR(INDEX(PP_Grid[#Data],$DD164,6),0)</f>
        <v/>
      </c>
      <c r="I164">
        <f>IFERROR(INDEX(PP_Grid[#Data],$DD164,7),0)</f>
        <v/>
      </c>
      <c r="J164">
        <f>IFERROR(INDEX(PP_Grid[#Data],$DD164,8),0)</f>
        <v/>
      </c>
      <c r="K164">
        <f>IFERROR(INDEX(PP_Grid[#Data],$DD164,9),0)</f>
        <v/>
      </c>
      <c r="L164">
        <f>IFERROR(INDEX(PP_Grid[#Data],$DD164,10),0)</f>
        <v/>
      </c>
      <c r="M164">
        <f>IFERROR(INDEX(PP_Grid[#Data],$DD164,11),0)</f>
        <v/>
      </c>
      <c r="N164">
        <f>IFERROR(INDEX(PP_Grid[#Data],$DD164,12),0)</f>
        <v/>
      </c>
      <c r="O164">
        <f>IFERROR(INDEX(PP_Grid[#Data],$DD164,13),0)</f>
        <v/>
      </c>
      <c r="P164">
        <f>IFERROR(INDEX(PP_Grid[#Data],$DD164,14),0)</f>
        <v/>
      </c>
      <c r="Q164">
        <f>IFERROR(INDEX(PP_Grid[#Data],$DD164,15),0)</f>
        <v/>
      </c>
      <c r="R164">
        <f>IFERROR(INDEX(PP_Grid[#Data],$DD164,16),0)</f>
        <v/>
      </c>
      <c r="S164">
        <f>IFERROR(INDEX(PP_Grid[#Data],$DD164,17),0)</f>
        <v/>
      </c>
      <c r="T164">
        <f>IFERROR(INDEX(PP_Grid[#Data],$DD164,18),0)</f>
        <v/>
      </c>
      <c r="U164">
        <f>IFERROR(INDEX(PP_Grid[#Data],$DD164,19),0)</f>
        <v/>
      </c>
      <c r="V164">
        <f>IFERROR(INDEX(PP_Grid[#Data],$DD164,20),0)</f>
        <v/>
      </c>
      <c r="W164">
        <f>IFERROR(INDEX(PP_Grid[#Data],$DD164,21),0)</f>
        <v/>
      </c>
      <c r="X164">
        <f>IFERROR(INDEX(PP_Grid[#Data],$DD164,22),0)</f>
        <v/>
      </c>
      <c r="Y164">
        <f>IFERROR(INDEX(PP_Grid[#Data],$DD164,23),0)</f>
        <v/>
      </c>
      <c r="Z164">
        <f>IFERROR(INDEX(PP_Grid[#Data],$DD164,24),0)</f>
        <v/>
      </c>
      <c r="AA164">
        <f>IFERROR(INDEX(PP_Grid[#Data],$DD164,25),0)</f>
        <v/>
      </c>
      <c r="AB164">
        <f>IFERROR(INDEX(PP_Grid[#Data],$DD164,26),0)</f>
        <v/>
      </c>
      <c r="AC164">
        <f>IFERROR(INDEX(PP_Grid[#Data],$DD164,27),0)</f>
        <v/>
      </c>
      <c r="AD164">
        <f>IFERROR(INDEX(PP_Grid[#Data],$DD164,28),0)</f>
        <v/>
      </c>
      <c r="AE164">
        <f>IFERROR(INDEX(PP_Grid[#Data],$DD164,29),0)</f>
        <v/>
      </c>
      <c r="AF164">
        <f>IFERROR(INDEX(PP_Grid[#Data],$DD164,30),0)</f>
        <v/>
      </c>
      <c r="AG164">
        <f>IFERROR(INDEX(PP_Grid[#Data],$DD164,31),0)</f>
        <v/>
      </c>
      <c r="AH164">
        <f>IFERROR(INDEX(PP_Grid[#Data],$DD164,32),0)</f>
        <v/>
      </c>
      <c r="AI164">
        <f>IFERROR(INDEX(PP_Grid[#Data],$DD164,33),0)</f>
        <v/>
      </c>
      <c r="AJ164">
        <f>IFERROR(INDEX(PP_Grid[#Data],$DD164,34),0)</f>
        <v/>
      </c>
      <c r="AK164">
        <f>IFERROR(INDEX(PP_Grid[#Data],$DD164,35),0)</f>
        <v/>
      </c>
      <c r="AL164">
        <f>IFERROR(INDEX(PP_Grid[#Data],$DD164,36),0)</f>
        <v/>
      </c>
      <c r="AM164">
        <f>IFERROR(INDEX(PP_Grid[#Data],$DD164,37),0)</f>
        <v/>
      </c>
      <c r="AN164">
        <f>IFERROR(INDEX(PP_Grid[#Data],$DD164,38),0)</f>
        <v/>
      </c>
      <c r="AO164">
        <f>IFERROR(INDEX(PP_Grid[#Data],$DD164,39),0)</f>
        <v/>
      </c>
      <c r="AP164">
        <f>IFERROR(INDEX(PP_Grid[#Data],$DD164,40),0)</f>
        <v/>
      </c>
      <c r="AQ164">
        <f>IFERROR(INDEX(PP_Grid[#Data],$DD164,41),0)</f>
        <v/>
      </c>
      <c r="AR164">
        <f>IFERROR(INDEX(PP_Grid[#Data],$DD164,42),0)</f>
        <v/>
      </c>
      <c r="AS164">
        <f>IFERROR(INDEX(PP_Grid[#Data],$DD164,43),0)</f>
        <v/>
      </c>
      <c r="AT164">
        <f>IFERROR(INDEX(PP_Grid[#Data],$DD164,44),0)</f>
        <v/>
      </c>
      <c r="AU164">
        <f>IFERROR(INDEX(PP_Grid[#Data],$DD164,45),0)</f>
        <v/>
      </c>
      <c r="AV164">
        <f>IFERROR(INDEX(PP_Grid[#Data],$DD164,46),0)</f>
        <v/>
      </c>
      <c r="AW164">
        <f>IFERROR(INDEX(PP_Grid[#Data],$DD164,47),0)</f>
        <v/>
      </c>
      <c r="AX164">
        <f>IFERROR(INDEX(PP_Grid[#Data],$DD164,48),0)</f>
        <v/>
      </c>
      <c r="AY164">
        <f>IFERROR(INDEX(PP_Grid[#Data],$DD164,49),0)</f>
        <v/>
      </c>
      <c r="AZ164">
        <f>IFERROR(INDEX(PP_Grid[#Data],$DD164,50),0)</f>
        <v/>
      </c>
      <c r="BA164">
        <f>IFERROR(INDEX(PP_Grid[#Data],$DD164,51),0)</f>
        <v/>
      </c>
      <c r="BB164">
        <f>IFERROR(INDEX(PP_Grid[#Data],$DD164,52),0)</f>
        <v/>
      </c>
      <c r="BC164">
        <f>IFERROR(INDEX(PP_Grid[#Data],$DD164,53),0)</f>
        <v/>
      </c>
      <c r="BD164">
        <f>IFERROR(INDEX(PP_Grid[#Data],$DD164,54),0)</f>
        <v/>
      </c>
      <c r="BE164">
        <f>IFERROR(INDEX(PP_Grid[#Data],$DD164,55),0)</f>
        <v/>
      </c>
      <c r="BF164">
        <f>IFERROR(INDEX(PP_Grid[#Data],$DD164,56),0)</f>
        <v/>
      </c>
      <c r="BG164">
        <f>IFERROR(INDEX(PP_Grid[#Data],$DD164,57),0)</f>
        <v/>
      </c>
      <c r="BH164">
        <f>IFERROR(INDEX(PP_Grid[#Data],$DD164,58),0)</f>
        <v/>
      </c>
      <c r="BI164">
        <f>IFERROR(INDEX(PP_Grid[#Data],$DD164,59),0)</f>
        <v/>
      </c>
      <c r="BJ164">
        <f>IFERROR(INDEX(PP_Grid[#Data],$DD164,60),0)</f>
        <v/>
      </c>
      <c r="BK164">
        <f>IFERROR(INDEX(PP_Grid[#Data],$DD164,61),0)</f>
        <v/>
      </c>
      <c r="BL164">
        <f>IFERROR(INDEX(PP_Grid[#Data],$DD164,62),0)</f>
        <v/>
      </c>
      <c r="BM164">
        <f>IFERROR(INDEX(PP_Grid[#Data],$DD164,63),0)</f>
        <v/>
      </c>
      <c r="BN164">
        <f>IFERROR(INDEX(PP_Grid[#Data],$DD164,64),0)</f>
        <v/>
      </c>
      <c r="BO164">
        <f>IFERROR(INDEX(PP_Grid[#Data],$DD164,65),0)</f>
        <v/>
      </c>
      <c r="BP164">
        <f>IFERROR(INDEX(PP_Grid[#Data],$DD164,66),0)</f>
        <v/>
      </c>
      <c r="BQ164">
        <f>IFERROR(INDEX(PP_Grid[#Data],$DD164,67),0)</f>
        <v/>
      </c>
      <c r="BR164">
        <f>IFERROR(INDEX(PP_Grid[#Data],$DD164,68),0)</f>
        <v/>
      </c>
      <c r="BS164">
        <f>IFERROR(INDEX(PP_Grid[#Data],$DD164,69),0)</f>
        <v/>
      </c>
      <c r="BT164">
        <f>IFERROR(INDEX(PP_Grid[#Data],$DD164,70),0)</f>
        <v/>
      </c>
      <c r="BU164">
        <f>IFERROR(INDEX(PP_Grid[#Data],$DD164,71),0)</f>
        <v/>
      </c>
      <c r="BV164">
        <f>IFERROR(INDEX(PP_Grid[#Data],$DD164,72),0)</f>
        <v/>
      </c>
      <c r="BW164">
        <f>IFERROR(INDEX(PP_Grid[#Data],$DD164,73),0)</f>
        <v/>
      </c>
      <c r="BX164">
        <f>IFERROR(INDEX(PP_Grid[#Data],$DD164,74),0)</f>
        <v/>
      </c>
      <c r="BY164">
        <f>IFERROR(INDEX(PP_Grid[#Data],$DD164,75),0)</f>
        <v/>
      </c>
      <c r="BZ164">
        <f>IFERROR(INDEX(PP_Grid[#Data],$DD164,76),0)</f>
        <v/>
      </c>
      <c r="CA164">
        <f>IFERROR(INDEX(PP_Grid[#Data],$DD164,77),0)</f>
        <v/>
      </c>
      <c r="CB164">
        <f>IFERROR(INDEX(PP_Grid[#Data],$DD164,78),0)</f>
        <v/>
      </c>
      <c r="CC164">
        <f>IFERROR(INDEX(PP_Grid[#Data],$DD164,79),0)</f>
        <v/>
      </c>
      <c r="CD164">
        <f>IFERROR(INDEX(PP_Grid[#Data],$DD164,80),0)</f>
        <v/>
      </c>
      <c r="CE164">
        <f>IFERROR(INDEX(PP_Grid[#Data],$DD164,81),0)</f>
        <v/>
      </c>
      <c r="CF164">
        <f>IFERROR(INDEX(PP_Grid[#Data],$DD164,82),0)</f>
        <v/>
      </c>
      <c r="CG164">
        <f>IFERROR(INDEX(PP_Grid[#Data],$DD164,83),0)</f>
        <v/>
      </c>
      <c r="CH164">
        <f>IFERROR(INDEX(PP_Grid[#Data],$DD164,84),0)</f>
        <v/>
      </c>
      <c r="CI164">
        <f>IFERROR(INDEX(PP_Grid[#Data],$DD164,85),0)</f>
        <v/>
      </c>
      <c r="CJ164">
        <f>IFERROR(INDEX(PP_Grid[#Data],$DD164,86),0)</f>
        <v/>
      </c>
      <c r="CK164">
        <f>IFERROR(INDEX(PP_Grid[#Data],$DD164,87),0)</f>
        <v/>
      </c>
      <c r="CL164">
        <f>IFERROR(INDEX(PP_Grid[#Data],$DD164,88),0)</f>
        <v/>
      </c>
      <c r="CM164">
        <f>IFERROR(INDEX(PP_Grid[#Data],$DD164,89),0)</f>
        <v/>
      </c>
      <c r="CN164">
        <f>IFERROR(INDEX(PP_Grid[#Data],$DD164,90),0)</f>
        <v/>
      </c>
      <c r="CO164">
        <f>IFERROR(INDEX(PP_Grid[#Data],$DD164,91),0)</f>
        <v/>
      </c>
      <c r="CP164">
        <f>IFERROR(INDEX(PP_Grid[#Data],$DD164,92),0)</f>
        <v/>
      </c>
      <c r="CQ164">
        <f>IFERROR(INDEX(PP_Grid[#Data],$DD164,93),0)</f>
        <v/>
      </c>
      <c r="CR164">
        <f>IFERROR(INDEX(PP_Grid[#Data],$DD164,94),0)</f>
        <v/>
      </c>
      <c r="CS164">
        <f>IFERROR(INDEX(PP_Grid[#Data],$DD164,95),0)</f>
        <v/>
      </c>
      <c r="CT164">
        <f>IFERROR(INDEX(PP_Grid[#Data],$DD164,96),0)</f>
        <v/>
      </c>
      <c r="CU164">
        <f>IFERROR(INDEX(PP_Grid[#Data],$DD164,97),0)</f>
        <v/>
      </c>
      <c r="CV164">
        <f>IFERROR(INDEX(PP_Grid[#Data],$DD164,98),0)</f>
        <v/>
      </c>
      <c r="CW164">
        <f>IFERROR(INDEX(PP_Grid[#Data],$DD164,99),0)</f>
        <v/>
      </c>
      <c r="CX164">
        <f>IFERROR(INDEX(PP_Grid[#Data],$DD164,100),0)</f>
        <v/>
      </c>
      <c r="CY164">
        <f>IFERROR(INDEX(PP_Grid[#Data],$DD164,101),0)</f>
        <v/>
      </c>
      <c r="CZ164">
        <f>IFERROR(INDEX(PP_Grid[#Data],$DD164,102),0)</f>
        <v/>
      </c>
      <c r="DA164">
        <f>IFERROR(INDEX(PP_Grid[#Data],$DD164,103),0)</f>
        <v/>
      </c>
      <c r="DB164">
        <f>IFERROR(INDEX(PP_Grid[#Data],$DD164,104),0)</f>
        <v/>
      </c>
      <c r="DC164">
        <f>IFERROR(INDEX(PP_Grid[#Data],$DD164,105),0)</f>
        <v/>
      </c>
      <c r="DD164" s="7">
        <f>IFERROR(MATCH($B164,PP_Grid[Intermediate],0),99999)</f>
        <v/>
      </c>
    </row>
    <row r="165">
      <c r="B165" t="inlineStr">
        <is>
          <t>使用量(kg)</t>
        </is>
      </c>
      <c r="C165">
        <f>SUMIFS(M_BOM[RM_Qty_Per_Batch],M_BOM[Intermediate],$B164,M_BOM[Part Name],$A45)</f>
        <v/>
      </c>
      <c r="D165">
        <f>$C165*D164</f>
        <v/>
      </c>
      <c r="E165">
        <f>$C165*E164</f>
        <v/>
      </c>
      <c r="F165">
        <f>$C165*F164</f>
        <v/>
      </c>
      <c r="G165">
        <f>$C165*G164</f>
        <v/>
      </c>
      <c r="H165">
        <f>$C165*H164</f>
        <v/>
      </c>
      <c r="I165">
        <f>$C165*I164</f>
        <v/>
      </c>
      <c r="J165">
        <f>$C165*J164</f>
        <v/>
      </c>
      <c r="K165">
        <f>$C165*K164</f>
        <v/>
      </c>
      <c r="L165">
        <f>$C165*L164</f>
        <v/>
      </c>
      <c r="M165">
        <f>$C165*M164</f>
        <v/>
      </c>
      <c r="N165">
        <f>$C165*N164</f>
        <v/>
      </c>
      <c r="O165">
        <f>$C165*O164</f>
        <v/>
      </c>
      <c r="P165">
        <f>$C165*P164</f>
        <v/>
      </c>
      <c r="Q165">
        <f>$C165*Q164</f>
        <v/>
      </c>
      <c r="R165">
        <f>$C165*R164</f>
        <v/>
      </c>
      <c r="S165">
        <f>$C165*S164</f>
        <v/>
      </c>
      <c r="T165">
        <f>$C165*T164</f>
        <v/>
      </c>
      <c r="U165">
        <f>$C165*U164</f>
        <v/>
      </c>
      <c r="V165">
        <f>$C165*V164</f>
        <v/>
      </c>
      <c r="W165">
        <f>$C165*W164</f>
        <v/>
      </c>
      <c r="X165">
        <f>$C165*X164</f>
        <v/>
      </c>
      <c r="Y165">
        <f>$C165*Y164</f>
        <v/>
      </c>
      <c r="Z165">
        <f>$C165*Z164</f>
        <v/>
      </c>
      <c r="AA165">
        <f>$C165*AA164</f>
        <v/>
      </c>
      <c r="AB165">
        <f>$C165*AB164</f>
        <v/>
      </c>
      <c r="AC165">
        <f>$C165*AC164</f>
        <v/>
      </c>
      <c r="AD165">
        <f>$C165*AD164</f>
        <v/>
      </c>
      <c r="AE165">
        <f>$C165*AE164</f>
        <v/>
      </c>
      <c r="AF165">
        <f>$C165*AF164</f>
        <v/>
      </c>
      <c r="AG165">
        <f>$C165*AG164</f>
        <v/>
      </c>
      <c r="AH165">
        <f>$C165*AH164</f>
        <v/>
      </c>
      <c r="AI165">
        <f>$C165*AI164</f>
        <v/>
      </c>
      <c r="AJ165">
        <f>$C165*AJ164</f>
        <v/>
      </c>
      <c r="AK165">
        <f>$C165*AK164</f>
        <v/>
      </c>
      <c r="AL165">
        <f>$C165*AL164</f>
        <v/>
      </c>
      <c r="AM165">
        <f>$C165*AM164</f>
        <v/>
      </c>
      <c r="AN165">
        <f>$C165*AN164</f>
        <v/>
      </c>
      <c r="AO165">
        <f>$C165*AO164</f>
        <v/>
      </c>
      <c r="AP165">
        <f>$C165*AP164</f>
        <v/>
      </c>
      <c r="AQ165">
        <f>$C165*AQ164</f>
        <v/>
      </c>
      <c r="AR165">
        <f>$C165*AR164</f>
        <v/>
      </c>
      <c r="AS165">
        <f>$C165*AS164</f>
        <v/>
      </c>
      <c r="AT165">
        <f>$C165*AT164</f>
        <v/>
      </c>
      <c r="AU165">
        <f>$C165*AU164</f>
        <v/>
      </c>
      <c r="AV165">
        <f>$C165*AV164</f>
        <v/>
      </c>
      <c r="AW165">
        <f>$C165*AW164</f>
        <v/>
      </c>
      <c r="AX165">
        <f>$C165*AX164</f>
        <v/>
      </c>
      <c r="AY165">
        <f>$C165*AY164</f>
        <v/>
      </c>
      <c r="AZ165">
        <f>$C165*AZ164</f>
        <v/>
      </c>
      <c r="BA165">
        <f>$C165*BA164</f>
        <v/>
      </c>
      <c r="BB165">
        <f>$C165*BB164</f>
        <v/>
      </c>
      <c r="BC165">
        <f>$C165*BC164</f>
        <v/>
      </c>
      <c r="BD165">
        <f>$C165*BD164</f>
        <v/>
      </c>
      <c r="BE165">
        <f>$C165*BE164</f>
        <v/>
      </c>
      <c r="BF165">
        <f>$C165*BF164</f>
        <v/>
      </c>
      <c r="BG165">
        <f>$C165*BG164</f>
        <v/>
      </c>
      <c r="BH165">
        <f>$C165*BH164</f>
        <v/>
      </c>
      <c r="BI165">
        <f>$C165*BI164</f>
        <v/>
      </c>
      <c r="BJ165">
        <f>$C165*BJ164</f>
        <v/>
      </c>
      <c r="BK165">
        <f>$C165*BK164</f>
        <v/>
      </c>
      <c r="BL165">
        <f>$C165*BL164</f>
        <v/>
      </c>
      <c r="BM165">
        <f>$C165*BM164</f>
        <v/>
      </c>
      <c r="BN165">
        <f>$C165*BN164</f>
        <v/>
      </c>
      <c r="BO165">
        <f>$C165*BO164</f>
        <v/>
      </c>
      <c r="BP165">
        <f>$C165*BP164</f>
        <v/>
      </c>
      <c r="BQ165">
        <f>$C165*BQ164</f>
        <v/>
      </c>
      <c r="BR165">
        <f>$C165*BR164</f>
        <v/>
      </c>
      <c r="BS165">
        <f>$C165*BS164</f>
        <v/>
      </c>
      <c r="BT165">
        <f>$C165*BT164</f>
        <v/>
      </c>
      <c r="BU165">
        <f>$C165*BU164</f>
        <v/>
      </c>
      <c r="BV165">
        <f>$C165*BV164</f>
        <v/>
      </c>
      <c r="BW165">
        <f>$C165*BW164</f>
        <v/>
      </c>
      <c r="BX165">
        <f>$C165*BX164</f>
        <v/>
      </c>
      <c r="BY165">
        <f>$C165*BY164</f>
        <v/>
      </c>
      <c r="BZ165">
        <f>$C165*BZ164</f>
        <v/>
      </c>
      <c r="CA165">
        <f>$C165*CA164</f>
        <v/>
      </c>
      <c r="CB165">
        <f>$C165*CB164</f>
        <v/>
      </c>
      <c r="CC165">
        <f>$C165*CC164</f>
        <v/>
      </c>
      <c r="CD165">
        <f>$C165*CD164</f>
        <v/>
      </c>
      <c r="CE165">
        <f>$C165*CE164</f>
        <v/>
      </c>
      <c r="CF165">
        <f>$C165*CF164</f>
        <v/>
      </c>
      <c r="CG165">
        <f>$C165*CG164</f>
        <v/>
      </c>
      <c r="CH165">
        <f>$C165*CH164</f>
        <v/>
      </c>
      <c r="CI165">
        <f>$C165*CI164</f>
        <v/>
      </c>
      <c r="CJ165">
        <f>$C165*CJ164</f>
        <v/>
      </c>
      <c r="CK165">
        <f>$C165*CK164</f>
        <v/>
      </c>
      <c r="CL165">
        <f>$C165*CL164</f>
        <v/>
      </c>
      <c r="CM165">
        <f>$C165*CM164</f>
        <v/>
      </c>
      <c r="CN165">
        <f>$C165*CN164</f>
        <v/>
      </c>
      <c r="CO165">
        <f>$C165*CO164</f>
        <v/>
      </c>
      <c r="CP165">
        <f>$C165*CP164</f>
        <v/>
      </c>
      <c r="CQ165">
        <f>$C165*CQ164</f>
        <v/>
      </c>
      <c r="CR165">
        <f>$C165*CR164</f>
        <v/>
      </c>
      <c r="CS165">
        <f>$C165*CS164</f>
        <v/>
      </c>
      <c r="CT165">
        <f>$C165*CT164</f>
        <v/>
      </c>
      <c r="CU165">
        <f>$C165*CU164</f>
        <v/>
      </c>
      <c r="CV165">
        <f>$C165*CV164</f>
        <v/>
      </c>
      <c r="CW165">
        <f>$C165*CW164</f>
        <v/>
      </c>
      <c r="CX165">
        <f>$C165*CX164</f>
        <v/>
      </c>
      <c r="CY165">
        <f>$C165*CY164</f>
        <v/>
      </c>
      <c r="CZ165">
        <f>$C165*CZ164</f>
        <v/>
      </c>
      <c r="DA165">
        <f>$C165*DA164</f>
        <v/>
      </c>
      <c r="DB165">
        <f>$C165*DB164</f>
        <v/>
      </c>
      <c r="DC165">
        <f>$C165*DC164</f>
        <v/>
      </c>
    </row>
    <row r="166">
      <c r="B166" t="inlineStr">
        <is>
          <t>VSP-600</t>
        </is>
      </c>
      <c r="C166" t="inlineStr">
        <is>
          <t>No. of batches</t>
        </is>
      </c>
      <c r="D166">
        <f>IFERROR(INDEX(PP_Grid[#Data],$DD166,2),0)</f>
        <v/>
      </c>
      <c r="E166">
        <f>IFERROR(INDEX(PP_Grid[#Data],$DD166,3),0)</f>
        <v/>
      </c>
      <c r="F166">
        <f>IFERROR(INDEX(PP_Grid[#Data],$DD166,4),0)</f>
        <v/>
      </c>
      <c r="G166">
        <f>IFERROR(INDEX(PP_Grid[#Data],$DD166,5),0)</f>
        <v/>
      </c>
      <c r="H166">
        <f>IFERROR(INDEX(PP_Grid[#Data],$DD166,6),0)</f>
        <v/>
      </c>
      <c r="I166">
        <f>IFERROR(INDEX(PP_Grid[#Data],$DD166,7),0)</f>
        <v/>
      </c>
      <c r="J166">
        <f>IFERROR(INDEX(PP_Grid[#Data],$DD166,8),0)</f>
        <v/>
      </c>
      <c r="K166">
        <f>IFERROR(INDEX(PP_Grid[#Data],$DD166,9),0)</f>
        <v/>
      </c>
      <c r="L166">
        <f>IFERROR(INDEX(PP_Grid[#Data],$DD166,10),0)</f>
        <v/>
      </c>
      <c r="M166">
        <f>IFERROR(INDEX(PP_Grid[#Data],$DD166,11),0)</f>
        <v/>
      </c>
      <c r="N166">
        <f>IFERROR(INDEX(PP_Grid[#Data],$DD166,12),0)</f>
        <v/>
      </c>
      <c r="O166">
        <f>IFERROR(INDEX(PP_Grid[#Data],$DD166,13),0)</f>
        <v/>
      </c>
      <c r="P166">
        <f>IFERROR(INDEX(PP_Grid[#Data],$DD166,14),0)</f>
        <v/>
      </c>
      <c r="Q166">
        <f>IFERROR(INDEX(PP_Grid[#Data],$DD166,15),0)</f>
        <v/>
      </c>
      <c r="R166">
        <f>IFERROR(INDEX(PP_Grid[#Data],$DD166,16),0)</f>
        <v/>
      </c>
      <c r="S166">
        <f>IFERROR(INDEX(PP_Grid[#Data],$DD166,17),0)</f>
        <v/>
      </c>
      <c r="T166">
        <f>IFERROR(INDEX(PP_Grid[#Data],$DD166,18),0)</f>
        <v/>
      </c>
      <c r="U166">
        <f>IFERROR(INDEX(PP_Grid[#Data],$DD166,19),0)</f>
        <v/>
      </c>
      <c r="V166">
        <f>IFERROR(INDEX(PP_Grid[#Data],$DD166,20),0)</f>
        <v/>
      </c>
      <c r="W166">
        <f>IFERROR(INDEX(PP_Grid[#Data],$DD166,21),0)</f>
        <v/>
      </c>
      <c r="X166">
        <f>IFERROR(INDEX(PP_Grid[#Data],$DD166,22),0)</f>
        <v/>
      </c>
      <c r="Y166">
        <f>IFERROR(INDEX(PP_Grid[#Data],$DD166,23),0)</f>
        <v/>
      </c>
      <c r="Z166">
        <f>IFERROR(INDEX(PP_Grid[#Data],$DD166,24),0)</f>
        <v/>
      </c>
      <c r="AA166">
        <f>IFERROR(INDEX(PP_Grid[#Data],$DD166,25),0)</f>
        <v/>
      </c>
      <c r="AB166">
        <f>IFERROR(INDEX(PP_Grid[#Data],$DD166,26),0)</f>
        <v/>
      </c>
      <c r="AC166">
        <f>IFERROR(INDEX(PP_Grid[#Data],$DD166,27),0)</f>
        <v/>
      </c>
      <c r="AD166">
        <f>IFERROR(INDEX(PP_Grid[#Data],$DD166,28),0)</f>
        <v/>
      </c>
      <c r="AE166">
        <f>IFERROR(INDEX(PP_Grid[#Data],$DD166,29),0)</f>
        <v/>
      </c>
      <c r="AF166">
        <f>IFERROR(INDEX(PP_Grid[#Data],$DD166,30),0)</f>
        <v/>
      </c>
      <c r="AG166">
        <f>IFERROR(INDEX(PP_Grid[#Data],$DD166,31),0)</f>
        <v/>
      </c>
      <c r="AH166">
        <f>IFERROR(INDEX(PP_Grid[#Data],$DD166,32),0)</f>
        <v/>
      </c>
      <c r="AI166">
        <f>IFERROR(INDEX(PP_Grid[#Data],$DD166,33),0)</f>
        <v/>
      </c>
      <c r="AJ166">
        <f>IFERROR(INDEX(PP_Grid[#Data],$DD166,34),0)</f>
        <v/>
      </c>
      <c r="AK166">
        <f>IFERROR(INDEX(PP_Grid[#Data],$DD166,35),0)</f>
        <v/>
      </c>
      <c r="AL166">
        <f>IFERROR(INDEX(PP_Grid[#Data],$DD166,36),0)</f>
        <v/>
      </c>
      <c r="AM166">
        <f>IFERROR(INDEX(PP_Grid[#Data],$DD166,37),0)</f>
        <v/>
      </c>
      <c r="AN166">
        <f>IFERROR(INDEX(PP_Grid[#Data],$DD166,38),0)</f>
        <v/>
      </c>
      <c r="AO166">
        <f>IFERROR(INDEX(PP_Grid[#Data],$DD166,39),0)</f>
        <v/>
      </c>
      <c r="AP166">
        <f>IFERROR(INDEX(PP_Grid[#Data],$DD166,40),0)</f>
        <v/>
      </c>
      <c r="AQ166">
        <f>IFERROR(INDEX(PP_Grid[#Data],$DD166,41),0)</f>
        <v/>
      </c>
      <c r="AR166">
        <f>IFERROR(INDEX(PP_Grid[#Data],$DD166,42),0)</f>
        <v/>
      </c>
      <c r="AS166">
        <f>IFERROR(INDEX(PP_Grid[#Data],$DD166,43),0)</f>
        <v/>
      </c>
      <c r="AT166">
        <f>IFERROR(INDEX(PP_Grid[#Data],$DD166,44),0)</f>
        <v/>
      </c>
      <c r="AU166">
        <f>IFERROR(INDEX(PP_Grid[#Data],$DD166,45),0)</f>
        <v/>
      </c>
      <c r="AV166">
        <f>IFERROR(INDEX(PP_Grid[#Data],$DD166,46),0)</f>
        <v/>
      </c>
      <c r="AW166">
        <f>IFERROR(INDEX(PP_Grid[#Data],$DD166,47),0)</f>
        <v/>
      </c>
      <c r="AX166">
        <f>IFERROR(INDEX(PP_Grid[#Data],$DD166,48),0)</f>
        <v/>
      </c>
      <c r="AY166">
        <f>IFERROR(INDEX(PP_Grid[#Data],$DD166,49),0)</f>
        <v/>
      </c>
      <c r="AZ166">
        <f>IFERROR(INDEX(PP_Grid[#Data],$DD166,50),0)</f>
        <v/>
      </c>
      <c r="BA166">
        <f>IFERROR(INDEX(PP_Grid[#Data],$DD166,51),0)</f>
        <v/>
      </c>
      <c r="BB166">
        <f>IFERROR(INDEX(PP_Grid[#Data],$DD166,52),0)</f>
        <v/>
      </c>
      <c r="BC166">
        <f>IFERROR(INDEX(PP_Grid[#Data],$DD166,53),0)</f>
        <v/>
      </c>
      <c r="BD166">
        <f>IFERROR(INDEX(PP_Grid[#Data],$DD166,54),0)</f>
        <v/>
      </c>
      <c r="BE166">
        <f>IFERROR(INDEX(PP_Grid[#Data],$DD166,55),0)</f>
        <v/>
      </c>
      <c r="BF166">
        <f>IFERROR(INDEX(PP_Grid[#Data],$DD166,56),0)</f>
        <v/>
      </c>
      <c r="BG166">
        <f>IFERROR(INDEX(PP_Grid[#Data],$DD166,57),0)</f>
        <v/>
      </c>
      <c r="BH166">
        <f>IFERROR(INDEX(PP_Grid[#Data],$DD166,58),0)</f>
        <v/>
      </c>
      <c r="BI166">
        <f>IFERROR(INDEX(PP_Grid[#Data],$DD166,59),0)</f>
        <v/>
      </c>
      <c r="BJ166">
        <f>IFERROR(INDEX(PP_Grid[#Data],$DD166,60),0)</f>
        <v/>
      </c>
      <c r="BK166">
        <f>IFERROR(INDEX(PP_Grid[#Data],$DD166,61),0)</f>
        <v/>
      </c>
      <c r="BL166">
        <f>IFERROR(INDEX(PP_Grid[#Data],$DD166,62),0)</f>
        <v/>
      </c>
      <c r="BM166">
        <f>IFERROR(INDEX(PP_Grid[#Data],$DD166,63),0)</f>
        <v/>
      </c>
      <c r="BN166">
        <f>IFERROR(INDEX(PP_Grid[#Data],$DD166,64),0)</f>
        <v/>
      </c>
      <c r="BO166">
        <f>IFERROR(INDEX(PP_Grid[#Data],$DD166,65),0)</f>
        <v/>
      </c>
      <c r="BP166">
        <f>IFERROR(INDEX(PP_Grid[#Data],$DD166,66),0)</f>
        <v/>
      </c>
      <c r="BQ166">
        <f>IFERROR(INDEX(PP_Grid[#Data],$DD166,67),0)</f>
        <v/>
      </c>
      <c r="BR166">
        <f>IFERROR(INDEX(PP_Grid[#Data],$DD166,68),0)</f>
        <v/>
      </c>
      <c r="BS166">
        <f>IFERROR(INDEX(PP_Grid[#Data],$DD166,69),0)</f>
        <v/>
      </c>
      <c r="BT166">
        <f>IFERROR(INDEX(PP_Grid[#Data],$DD166,70),0)</f>
        <v/>
      </c>
      <c r="BU166">
        <f>IFERROR(INDEX(PP_Grid[#Data],$DD166,71),0)</f>
        <v/>
      </c>
      <c r="BV166">
        <f>IFERROR(INDEX(PP_Grid[#Data],$DD166,72),0)</f>
        <v/>
      </c>
      <c r="BW166">
        <f>IFERROR(INDEX(PP_Grid[#Data],$DD166,73),0)</f>
        <v/>
      </c>
      <c r="BX166">
        <f>IFERROR(INDEX(PP_Grid[#Data],$DD166,74),0)</f>
        <v/>
      </c>
      <c r="BY166">
        <f>IFERROR(INDEX(PP_Grid[#Data],$DD166,75),0)</f>
        <v/>
      </c>
      <c r="BZ166">
        <f>IFERROR(INDEX(PP_Grid[#Data],$DD166,76),0)</f>
        <v/>
      </c>
      <c r="CA166">
        <f>IFERROR(INDEX(PP_Grid[#Data],$DD166,77),0)</f>
        <v/>
      </c>
      <c r="CB166">
        <f>IFERROR(INDEX(PP_Grid[#Data],$DD166,78),0)</f>
        <v/>
      </c>
      <c r="CC166">
        <f>IFERROR(INDEX(PP_Grid[#Data],$DD166,79),0)</f>
        <v/>
      </c>
      <c r="CD166">
        <f>IFERROR(INDEX(PP_Grid[#Data],$DD166,80),0)</f>
        <v/>
      </c>
      <c r="CE166">
        <f>IFERROR(INDEX(PP_Grid[#Data],$DD166,81),0)</f>
        <v/>
      </c>
      <c r="CF166">
        <f>IFERROR(INDEX(PP_Grid[#Data],$DD166,82),0)</f>
        <v/>
      </c>
      <c r="CG166">
        <f>IFERROR(INDEX(PP_Grid[#Data],$DD166,83),0)</f>
        <v/>
      </c>
      <c r="CH166">
        <f>IFERROR(INDEX(PP_Grid[#Data],$DD166,84),0)</f>
        <v/>
      </c>
      <c r="CI166">
        <f>IFERROR(INDEX(PP_Grid[#Data],$DD166,85),0)</f>
        <v/>
      </c>
      <c r="CJ166">
        <f>IFERROR(INDEX(PP_Grid[#Data],$DD166,86),0)</f>
        <v/>
      </c>
      <c r="CK166">
        <f>IFERROR(INDEX(PP_Grid[#Data],$DD166,87),0)</f>
        <v/>
      </c>
      <c r="CL166">
        <f>IFERROR(INDEX(PP_Grid[#Data],$DD166,88),0)</f>
        <v/>
      </c>
      <c r="CM166">
        <f>IFERROR(INDEX(PP_Grid[#Data],$DD166,89),0)</f>
        <v/>
      </c>
      <c r="CN166">
        <f>IFERROR(INDEX(PP_Grid[#Data],$DD166,90),0)</f>
        <v/>
      </c>
      <c r="CO166">
        <f>IFERROR(INDEX(PP_Grid[#Data],$DD166,91),0)</f>
        <v/>
      </c>
      <c r="CP166">
        <f>IFERROR(INDEX(PP_Grid[#Data],$DD166,92),0)</f>
        <v/>
      </c>
      <c r="CQ166">
        <f>IFERROR(INDEX(PP_Grid[#Data],$DD166,93),0)</f>
        <v/>
      </c>
      <c r="CR166">
        <f>IFERROR(INDEX(PP_Grid[#Data],$DD166,94),0)</f>
        <v/>
      </c>
      <c r="CS166">
        <f>IFERROR(INDEX(PP_Grid[#Data],$DD166,95),0)</f>
        <v/>
      </c>
      <c r="CT166">
        <f>IFERROR(INDEX(PP_Grid[#Data],$DD166,96),0)</f>
        <v/>
      </c>
      <c r="CU166">
        <f>IFERROR(INDEX(PP_Grid[#Data],$DD166,97),0)</f>
        <v/>
      </c>
      <c r="CV166">
        <f>IFERROR(INDEX(PP_Grid[#Data],$DD166,98),0)</f>
        <v/>
      </c>
      <c r="CW166">
        <f>IFERROR(INDEX(PP_Grid[#Data],$DD166,99),0)</f>
        <v/>
      </c>
      <c r="CX166">
        <f>IFERROR(INDEX(PP_Grid[#Data],$DD166,100),0)</f>
        <v/>
      </c>
      <c r="CY166">
        <f>IFERROR(INDEX(PP_Grid[#Data],$DD166,101),0)</f>
        <v/>
      </c>
      <c r="CZ166">
        <f>IFERROR(INDEX(PP_Grid[#Data],$DD166,102),0)</f>
        <v/>
      </c>
      <c r="DA166">
        <f>IFERROR(INDEX(PP_Grid[#Data],$DD166,103),0)</f>
        <v/>
      </c>
      <c r="DB166">
        <f>IFERROR(INDEX(PP_Grid[#Data],$DD166,104),0)</f>
        <v/>
      </c>
      <c r="DC166">
        <f>IFERROR(INDEX(PP_Grid[#Data],$DD166,105),0)</f>
        <v/>
      </c>
      <c r="DD166" s="7">
        <f>IFERROR(MATCH($B166,PP_Grid[Intermediate],0),99999)</f>
        <v/>
      </c>
    </row>
    <row r="167">
      <c r="B167" t="inlineStr">
        <is>
          <t>使用量(kg)</t>
        </is>
      </c>
      <c r="C167">
        <f>SUMIFS(M_BOM[RM_Qty_Per_Batch],M_BOM[Intermediate],$B166,M_BOM[Part Name],$A45)</f>
        <v/>
      </c>
      <c r="D167">
        <f>$C167*D166</f>
        <v/>
      </c>
      <c r="E167">
        <f>$C167*E166</f>
        <v/>
      </c>
      <c r="F167">
        <f>$C167*F166</f>
        <v/>
      </c>
      <c r="G167">
        <f>$C167*G166</f>
        <v/>
      </c>
      <c r="H167">
        <f>$C167*H166</f>
        <v/>
      </c>
      <c r="I167">
        <f>$C167*I166</f>
        <v/>
      </c>
      <c r="J167">
        <f>$C167*J166</f>
        <v/>
      </c>
      <c r="K167">
        <f>$C167*K166</f>
        <v/>
      </c>
      <c r="L167">
        <f>$C167*L166</f>
        <v/>
      </c>
      <c r="M167">
        <f>$C167*M166</f>
        <v/>
      </c>
      <c r="N167">
        <f>$C167*N166</f>
        <v/>
      </c>
      <c r="O167">
        <f>$C167*O166</f>
        <v/>
      </c>
      <c r="P167">
        <f>$C167*P166</f>
        <v/>
      </c>
      <c r="Q167">
        <f>$C167*Q166</f>
        <v/>
      </c>
      <c r="R167">
        <f>$C167*R166</f>
        <v/>
      </c>
      <c r="S167">
        <f>$C167*S166</f>
        <v/>
      </c>
      <c r="T167">
        <f>$C167*T166</f>
        <v/>
      </c>
      <c r="U167">
        <f>$C167*U166</f>
        <v/>
      </c>
      <c r="V167">
        <f>$C167*V166</f>
        <v/>
      </c>
      <c r="W167">
        <f>$C167*W166</f>
        <v/>
      </c>
      <c r="X167">
        <f>$C167*X166</f>
        <v/>
      </c>
      <c r="Y167">
        <f>$C167*Y166</f>
        <v/>
      </c>
      <c r="Z167">
        <f>$C167*Z166</f>
        <v/>
      </c>
      <c r="AA167">
        <f>$C167*AA166</f>
        <v/>
      </c>
      <c r="AB167">
        <f>$C167*AB166</f>
        <v/>
      </c>
      <c r="AC167">
        <f>$C167*AC166</f>
        <v/>
      </c>
      <c r="AD167">
        <f>$C167*AD166</f>
        <v/>
      </c>
      <c r="AE167">
        <f>$C167*AE166</f>
        <v/>
      </c>
      <c r="AF167">
        <f>$C167*AF166</f>
        <v/>
      </c>
      <c r="AG167">
        <f>$C167*AG166</f>
        <v/>
      </c>
      <c r="AH167">
        <f>$C167*AH166</f>
        <v/>
      </c>
      <c r="AI167">
        <f>$C167*AI166</f>
        <v/>
      </c>
      <c r="AJ167">
        <f>$C167*AJ166</f>
        <v/>
      </c>
      <c r="AK167">
        <f>$C167*AK166</f>
        <v/>
      </c>
      <c r="AL167">
        <f>$C167*AL166</f>
        <v/>
      </c>
      <c r="AM167">
        <f>$C167*AM166</f>
        <v/>
      </c>
      <c r="AN167">
        <f>$C167*AN166</f>
        <v/>
      </c>
      <c r="AO167">
        <f>$C167*AO166</f>
        <v/>
      </c>
      <c r="AP167">
        <f>$C167*AP166</f>
        <v/>
      </c>
      <c r="AQ167">
        <f>$C167*AQ166</f>
        <v/>
      </c>
      <c r="AR167">
        <f>$C167*AR166</f>
        <v/>
      </c>
      <c r="AS167">
        <f>$C167*AS166</f>
        <v/>
      </c>
      <c r="AT167">
        <f>$C167*AT166</f>
        <v/>
      </c>
      <c r="AU167">
        <f>$C167*AU166</f>
        <v/>
      </c>
      <c r="AV167">
        <f>$C167*AV166</f>
        <v/>
      </c>
      <c r="AW167">
        <f>$C167*AW166</f>
        <v/>
      </c>
      <c r="AX167">
        <f>$C167*AX166</f>
        <v/>
      </c>
      <c r="AY167">
        <f>$C167*AY166</f>
        <v/>
      </c>
      <c r="AZ167">
        <f>$C167*AZ166</f>
        <v/>
      </c>
      <c r="BA167">
        <f>$C167*BA166</f>
        <v/>
      </c>
      <c r="BB167">
        <f>$C167*BB166</f>
        <v/>
      </c>
      <c r="BC167">
        <f>$C167*BC166</f>
        <v/>
      </c>
      <c r="BD167">
        <f>$C167*BD166</f>
        <v/>
      </c>
      <c r="BE167">
        <f>$C167*BE166</f>
        <v/>
      </c>
      <c r="BF167">
        <f>$C167*BF166</f>
        <v/>
      </c>
      <c r="BG167">
        <f>$C167*BG166</f>
        <v/>
      </c>
      <c r="BH167">
        <f>$C167*BH166</f>
        <v/>
      </c>
      <c r="BI167">
        <f>$C167*BI166</f>
        <v/>
      </c>
      <c r="BJ167">
        <f>$C167*BJ166</f>
        <v/>
      </c>
      <c r="BK167">
        <f>$C167*BK166</f>
        <v/>
      </c>
      <c r="BL167">
        <f>$C167*BL166</f>
        <v/>
      </c>
      <c r="BM167">
        <f>$C167*BM166</f>
        <v/>
      </c>
      <c r="BN167">
        <f>$C167*BN166</f>
        <v/>
      </c>
      <c r="BO167">
        <f>$C167*BO166</f>
        <v/>
      </c>
      <c r="BP167">
        <f>$C167*BP166</f>
        <v/>
      </c>
      <c r="BQ167">
        <f>$C167*BQ166</f>
        <v/>
      </c>
      <c r="BR167">
        <f>$C167*BR166</f>
        <v/>
      </c>
      <c r="BS167">
        <f>$C167*BS166</f>
        <v/>
      </c>
      <c r="BT167">
        <f>$C167*BT166</f>
        <v/>
      </c>
      <c r="BU167">
        <f>$C167*BU166</f>
        <v/>
      </c>
      <c r="BV167">
        <f>$C167*BV166</f>
        <v/>
      </c>
      <c r="BW167">
        <f>$C167*BW166</f>
        <v/>
      </c>
      <c r="BX167">
        <f>$C167*BX166</f>
        <v/>
      </c>
      <c r="BY167">
        <f>$C167*BY166</f>
        <v/>
      </c>
      <c r="BZ167">
        <f>$C167*BZ166</f>
        <v/>
      </c>
      <c r="CA167">
        <f>$C167*CA166</f>
        <v/>
      </c>
      <c r="CB167">
        <f>$C167*CB166</f>
        <v/>
      </c>
      <c r="CC167">
        <f>$C167*CC166</f>
        <v/>
      </c>
      <c r="CD167">
        <f>$C167*CD166</f>
        <v/>
      </c>
      <c r="CE167">
        <f>$C167*CE166</f>
        <v/>
      </c>
      <c r="CF167">
        <f>$C167*CF166</f>
        <v/>
      </c>
      <c r="CG167">
        <f>$C167*CG166</f>
        <v/>
      </c>
      <c r="CH167">
        <f>$C167*CH166</f>
        <v/>
      </c>
      <c r="CI167">
        <f>$C167*CI166</f>
        <v/>
      </c>
      <c r="CJ167">
        <f>$C167*CJ166</f>
        <v/>
      </c>
      <c r="CK167">
        <f>$C167*CK166</f>
        <v/>
      </c>
      <c r="CL167">
        <f>$C167*CL166</f>
        <v/>
      </c>
      <c r="CM167">
        <f>$C167*CM166</f>
        <v/>
      </c>
      <c r="CN167">
        <f>$C167*CN166</f>
        <v/>
      </c>
      <c r="CO167">
        <f>$C167*CO166</f>
        <v/>
      </c>
      <c r="CP167">
        <f>$C167*CP166</f>
        <v/>
      </c>
      <c r="CQ167">
        <f>$C167*CQ166</f>
        <v/>
      </c>
      <c r="CR167">
        <f>$C167*CR166</f>
        <v/>
      </c>
      <c r="CS167">
        <f>$C167*CS166</f>
        <v/>
      </c>
      <c r="CT167">
        <f>$C167*CT166</f>
        <v/>
      </c>
      <c r="CU167">
        <f>$C167*CU166</f>
        <v/>
      </c>
      <c r="CV167">
        <f>$C167*CV166</f>
        <v/>
      </c>
      <c r="CW167">
        <f>$C167*CW166</f>
        <v/>
      </c>
      <c r="CX167">
        <f>$C167*CX166</f>
        <v/>
      </c>
      <c r="CY167">
        <f>$C167*CY166</f>
        <v/>
      </c>
      <c r="CZ167">
        <f>$C167*CZ166</f>
        <v/>
      </c>
      <c r="DA167">
        <f>$C167*DA166</f>
        <v/>
      </c>
      <c r="DB167">
        <f>$C167*DB166</f>
        <v/>
      </c>
      <c r="DC167">
        <f>$C167*DC166</f>
        <v/>
      </c>
    </row>
    <row r="168">
      <c r="B168" t="inlineStr">
        <is>
          <t>VSP-601</t>
        </is>
      </c>
      <c r="C168" t="inlineStr">
        <is>
          <t>No. of batches</t>
        </is>
      </c>
      <c r="D168">
        <f>IFERROR(INDEX(PP_Grid[#Data],$DD168,2),0)</f>
        <v/>
      </c>
      <c r="E168">
        <f>IFERROR(INDEX(PP_Grid[#Data],$DD168,3),0)</f>
        <v/>
      </c>
      <c r="F168">
        <f>IFERROR(INDEX(PP_Grid[#Data],$DD168,4),0)</f>
        <v/>
      </c>
      <c r="G168">
        <f>IFERROR(INDEX(PP_Grid[#Data],$DD168,5),0)</f>
        <v/>
      </c>
      <c r="H168">
        <f>IFERROR(INDEX(PP_Grid[#Data],$DD168,6),0)</f>
        <v/>
      </c>
      <c r="I168">
        <f>IFERROR(INDEX(PP_Grid[#Data],$DD168,7),0)</f>
        <v/>
      </c>
      <c r="J168">
        <f>IFERROR(INDEX(PP_Grid[#Data],$DD168,8),0)</f>
        <v/>
      </c>
      <c r="K168">
        <f>IFERROR(INDEX(PP_Grid[#Data],$DD168,9),0)</f>
        <v/>
      </c>
      <c r="L168">
        <f>IFERROR(INDEX(PP_Grid[#Data],$DD168,10),0)</f>
        <v/>
      </c>
      <c r="M168">
        <f>IFERROR(INDEX(PP_Grid[#Data],$DD168,11),0)</f>
        <v/>
      </c>
      <c r="N168">
        <f>IFERROR(INDEX(PP_Grid[#Data],$DD168,12),0)</f>
        <v/>
      </c>
      <c r="O168">
        <f>IFERROR(INDEX(PP_Grid[#Data],$DD168,13),0)</f>
        <v/>
      </c>
      <c r="P168">
        <f>IFERROR(INDEX(PP_Grid[#Data],$DD168,14),0)</f>
        <v/>
      </c>
      <c r="Q168">
        <f>IFERROR(INDEX(PP_Grid[#Data],$DD168,15),0)</f>
        <v/>
      </c>
      <c r="R168">
        <f>IFERROR(INDEX(PP_Grid[#Data],$DD168,16),0)</f>
        <v/>
      </c>
      <c r="S168">
        <f>IFERROR(INDEX(PP_Grid[#Data],$DD168,17),0)</f>
        <v/>
      </c>
      <c r="T168">
        <f>IFERROR(INDEX(PP_Grid[#Data],$DD168,18),0)</f>
        <v/>
      </c>
      <c r="U168">
        <f>IFERROR(INDEX(PP_Grid[#Data],$DD168,19),0)</f>
        <v/>
      </c>
      <c r="V168">
        <f>IFERROR(INDEX(PP_Grid[#Data],$DD168,20),0)</f>
        <v/>
      </c>
      <c r="W168">
        <f>IFERROR(INDEX(PP_Grid[#Data],$DD168,21),0)</f>
        <v/>
      </c>
      <c r="X168">
        <f>IFERROR(INDEX(PP_Grid[#Data],$DD168,22),0)</f>
        <v/>
      </c>
      <c r="Y168">
        <f>IFERROR(INDEX(PP_Grid[#Data],$DD168,23),0)</f>
        <v/>
      </c>
      <c r="Z168">
        <f>IFERROR(INDEX(PP_Grid[#Data],$DD168,24),0)</f>
        <v/>
      </c>
      <c r="AA168">
        <f>IFERROR(INDEX(PP_Grid[#Data],$DD168,25),0)</f>
        <v/>
      </c>
      <c r="AB168">
        <f>IFERROR(INDEX(PP_Grid[#Data],$DD168,26),0)</f>
        <v/>
      </c>
      <c r="AC168">
        <f>IFERROR(INDEX(PP_Grid[#Data],$DD168,27),0)</f>
        <v/>
      </c>
      <c r="AD168">
        <f>IFERROR(INDEX(PP_Grid[#Data],$DD168,28),0)</f>
        <v/>
      </c>
      <c r="AE168">
        <f>IFERROR(INDEX(PP_Grid[#Data],$DD168,29),0)</f>
        <v/>
      </c>
      <c r="AF168">
        <f>IFERROR(INDEX(PP_Grid[#Data],$DD168,30),0)</f>
        <v/>
      </c>
      <c r="AG168">
        <f>IFERROR(INDEX(PP_Grid[#Data],$DD168,31),0)</f>
        <v/>
      </c>
      <c r="AH168">
        <f>IFERROR(INDEX(PP_Grid[#Data],$DD168,32),0)</f>
        <v/>
      </c>
      <c r="AI168">
        <f>IFERROR(INDEX(PP_Grid[#Data],$DD168,33),0)</f>
        <v/>
      </c>
      <c r="AJ168">
        <f>IFERROR(INDEX(PP_Grid[#Data],$DD168,34),0)</f>
        <v/>
      </c>
      <c r="AK168">
        <f>IFERROR(INDEX(PP_Grid[#Data],$DD168,35),0)</f>
        <v/>
      </c>
      <c r="AL168">
        <f>IFERROR(INDEX(PP_Grid[#Data],$DD168,36),0)</f>
        <v/>
      </c>
      <c r="AM168">
        <f>IFERROR(INDEX(PP_Grid[#Data],$DD168,37),0)</f>
        <v/>
      </c>
      <c r="AN168">
        <f>IFERROR(INDEX(PP_Grid[#Data],$DD168,38),0)</f>
        <v/>
      </c>
      <c r="AO168">
        <f>IFERROR(INDEX(PP_Grid[#Data],$DD168,39),0)</f>
        <v/>
      </c>
      <c r="AP168">
        <f>IFERROR(INDEX(PP_Grid[#Data],$DD168,40),0)</f>
        <v/>
      </c>
      <c r="AQ168">
        <f>IFERROR(INDEX(PP_Grid[#Data],$DD168,41),0)</f>
        <v/>
      </c>
      <c r="AR168">
        <f>IFERROR(INDEX(PP_Grid[#Data],$DD168,42),0)</f>
        <v/>
      </c>
      <c r="AS168">
        <f>IFERROR(INDEX(PP_Grid[#Data],$DD168,43),0)</f>
        <v/>
      </c>
      <c r="AT168">
        <f>IFERROR(INDEX(PP_Grid[#Data],$DD168,44),0)</f>
        <v/>
      </c>
      <c r="AU168">
        <f>IFERROR(INDEX(PP_Grid[#Data],$DD168,45),0)</f>
        <v/>
      </c>
      <c r="AV168">
        <f>IFERROR(INDEX(PP_Grid[#Data],$DD168,46),0)</f>
        <v/>
      </c>
      <c r="AW168">
        <f>IFERROR(INDEX(PP_Grid[#Data],$DD168,47),0)</f>
        <v/>
      </c>
      <c r="AX168">
        <f>IFERROR(INDEX(PP_Grid[#Data],$DD168,48),0)</f>
        <v/>
      </c>
      <c r="AY168">
        <f>IFERROR(INDEX(PP_Grid[#Data],$DD168,49),0)</f>
        <v/>
      </c>
      <c r="AZ168">
        <f>IFERROR(INDEX(PP_Grid[#Data],$DD168,50),0)</f>
        <v/>
      </c>
      <c r="BA168">
        <f>IFERROR(INDEX(PP_Grid[#Data],$DD168,51),0)</f>
        <v/>
      </c>
      <c r="BB168">
        <f>IFERROR(INDEX(PP_Grid[#Data],$DD168,52),0)</f>
        <v/>
      </c>
      <c r="BC168">
        <f>IFERROR(INDEX(PP_Grid[#Data],$DD168,53),0)</f>
        <v/>
      </c>
      <c r="BD168">
        <f>IFERROR(INDEX(PP_Grid[#Data],$DD168,54),0)</f>
        <v/>
      </c>
      <c r="BE168">
        <f>IFERROR(INDEX(PP_Grid[#Data],$DD168,55),0)</f>
        <v/>
      </c>
      <c r="BF168">
        <f>IFERROR(INDEX(PP_Grid[#Data],$DD168,56),0)</f>
        <v/>
      </c>
      <c r="BG168">
        <f>IFERROR(INDEX(PP_Grid[#Data],$DD168,57),0)</f>
        <v/>
      </c>
      <c r="BH168">
        <f>IFERROR(INDEX(PP_Grid[#Data],$DD168,58),0)</f>
        <v/>
      </c>
      <c r="BI168">
        <f>IFERROR(INDEX(PP_Grid[#Data],$DD168,59),0)</f>
        <v/>
      </c>
      <c r="BJ168">
        <f>IFERROR(INDEX(PP_Grid[#Data],$DD168,60),0)</f>
        <v/>
      </c>
      <c r="BK168">
        <f>IFERROR(INDEX(PP_Grid[#Data],$DD168,61),0)</f>
        <v/>
      </c>
      <c r="BL168">
        <f>IFERROR(INDEX(PP_Grid[#Data],$DD168,62),0)</f>
        <v/>
      </c>
      <c r="BM168">
        <f>IFERROR(INDEX(PP_Grid[#Data],$DD168,63),0)</f>
        <v/>
      </c>
      <c r="BN168">
        <f>IFERROR(INDEX(PP_Grid[#Data],$DD168,64),0)</f>
        <v/>
      </c>
      <c r="BO168">
        <f>IFERROR(INDEX(PP_Grid[#Data],$DD168,65),0)</f>
        <v/>
      </c>
      <c r="BP168">
        <f>IFERROR(INDEX(PP_Grid[#Data],$DD168,66),0)</f>
        <v/>
      </c>
      <c r="BQ168">
        <f>IFERROR(INDEX(PP_Grid[#Data],$DD168,67),0)</f>
        <v/>
      </c>
      <c r="BR168">
        <f>IFERROR(INDEX(PP_Grid[#Data],$DD168,68),0)</f>
        <v/>
      </c>
      <c r="BS168">
        <f>IFERROR(INDEX(PP_Grid[#Data],$DD168,69),0)</f>
        <v/>
      </c>
      <c r="BT168">
        <f>IFERROR(INDEX(PP_Grid[#Data],$DD168,70),0)</f>
        <v/>
      </c>
      <c r="BU168">
        <f>IFERROR(INDEX(PP_Grid[#Data],$DD168,71),0)</f>
        <v/>
      </c>
      <c r="BV168">
        <f>IFERROR(INDEX(PP_Grid[#Data],$DD168,72),0)</f>
        <v/>
      </c>
      <c r="BW168">
        <f>IFERROR(INDEX(PP_Grid[#Data],$DD168,73),0)</f>
        <v/>
      </c>
      <c r="BX168">
        <f>IFERROR(INDEX(PP_Grid[#Data],$DD168,74),0)</f>
        <v/>
      </c>
      <c r="BY168">
        <f>IFERROR(INDEX(PP_Grid[#Data],$DD168,75),0)</f>
        <v/>
      </c>
      <c r="BZ168">
        <f>IFERROR(INDEX(PP_Grid[#Data],$DD168,76),0)</f>
        <v/>
      </c>
      <c r="CA168">
        <f>IFERROR(INDEX(PP_Grid[#Data],$DD168,77),0)</f>
        <v/>
      </c>
      <c r="CB168">
        <f>IFERROR(INDEX(PP_Grid[#Data],$DD168,78),0)</f>
        <v/>
      </c>
      <c r="CC168">
        <f>IFERROR(INDEX(PP_Grid[#Data],$DD168,79),0)</f>
        <v/>
      </c>
      <c r="CD168">
        <f>IFERROR(INDEX(PP_Grid[#Data],$DD168,80),0)</f>
        <v/>
      </c>
      <c r="CE168">
        <f>IFERROR(INDEX(PP_Grid[#Data],$DD168,81),0)</f>
        <v/>
      </c>
      <c r="CF168">
        <f>IFERROR(INDEX(PP_Grid[#Data],$DD168,82),0)</f>
        <v/>
      </c>
      <c r="CG168">
        <f>IFERROR(INDEX(PP_Grid[#Data],$DD168,83),0)</f>
        <v/>
      </c>
      <c r="CH168">
        <f>IFERROR(INDEX(PP_Grid[#Data],$DD168,84),0)</f>
        <v/>
      </c>
      <c r="CI168">
        <f>IFERROR(INDEX(PP_Grid[#Data],$DD168,85),0)</f>
        <v/>
      </c>
      <c r="CJ168">
        <f>IFERROR(INDEX(PP_Grid[#Data],$DD168,86),0)</f>
        <v/>
      </c>
      <c r="CK168">
        <f>IFERROR(INDEX(PP_Grid[#Data],$DD168,87),0)</f>
        <v/>
      </c>
      <c r="CL168">
        <f>IFERROR(INDEX(PP_Grid[#Data],$DD168,88),0)</f>
        <v/>
      </c>
      <c r="CM168">
        <f>IFERROR(INDEX(PP_Grid[#Data],$DD168,89),0)</f>
        <v/>
      </c>
      <c r="CN168">
        <f>IFERROR(INDEX(PP_Grid[#Data],$DD168,90),0)</f>
        <v/>
      </c>
      <c r="CO168">
        <f>IFERROR(INDEX(PP_Grid[#Data],$DD168,91),0)</f>
        <v/>
      </c>
      <c r="CP168">
        <f>IFERROR(INDEX(PP_Grid[#Data],$DD168,92),0)</f>
        <v/>
      </c>
      <c r="CQ168">
        <f>IFERROR(INDEX(PP_Grid[#Data],$DD168,93),0)</f>
        <v/>
      </c>
      <c r="CR168">
        <f>IFERROR(INDEX(PP_Grid[#Data],$DD168,94),0)</f>
        <v/>
      </c>
      <c r="CS168">
        <f>IFERROR(INDEX(PP_Grid[#Data],$DD168,95),0)</f>
        <v/>
      </c>
      <c r="CT168">
        <f>IFERROR(INDEX(PP_Grid[#Data],$DD168,96),0)</f>
        <v/>
      </c>
      <c r="CU168">
        <f>IFERROR(INDEX(PP_Grid[#Data],$DD168,97),0)</f>
        <v/>
      </c>
      <c r="CV168">
        <f>IFERROR(INDEX(PP_Grid[#Data],$DD168,98),0)</f>
        <v/>
      </c>
      <c r="CW168">
        <f>IFERROR(INDEX(PP_Grid[#Data],$DD168,99),0)</f>
        <v/>
      </c>
      <c r="CX168">
        <f>IFERROR(INDEX(PP_Grid[#Data],$DD168,100),0)</f>
        <v/>
      </c>
      <c r="CY168">
        <f>IFERROR(INDEX(PP_Grid[#Data],$DD168,101),0)</f>
        <v/>
      </c>
      <c r="CZ168">
        <f>IFERROR(INDEX(PP_Grid[#Data],$DD168,102),0)</f>
        <v/>
      </c>
      <c r="DA168">
        <f>IFERROR(INDEX(PP_Grid[#Data],$DD168,103),0)</f>
        <v/>
      </c>
      <c r="DB168">
        <f>IFERROR(INDEX(PP_Grid[#Data],$DD168,104),0)</f>
        <v/>
      </c>
      <c r="DC168">
        <f>IFERROR(INDEX(PP_Grid[#Data],$DD168,105),0)</f>
        <v/>
      </c>
      <c r="DD168" s="7">
        <f>IFERROR(MATCH($B168,PP_Grid[Intermediate],0),99999)</f>
        <v/>
      </c>
    </row>
    <row r="169">
      <c r="B169" t="inlineStr">
        <is>
          <t>使用量(kg)</t>
        </is>
      </c>
      <c r="C169">
        <f>SUMIFS(M_BOM[RM_Qty_Per_Batch],M_BOM[Intermediate],$B168,M_BOM[Part Name],$A45)</f>
        <v/>
      </c>
      <c r="D169">
        <f>$C169*D168</f>
        <v/>
      </c>
      <c r="E169">
        <f>$C169*E168</f>
        <v/>
      </c>
      <c r="F169">
        <f>$C169*F168</f>
        <v/>
      </c>
      <c r="G169">
        <f>$C169*G168</f>
        <v/>
      </c>
      <c r="H169">
        <f>$C169*H168</f>
        <v/>
      </c>
      <c r="I169">
        <f>$C169*I168</f>
        <v/>
      </c>
      <c r="J169">
        <f>$C169*J168</f>
        <v/>
      </c>
      <c r="K169">
        <f>$C169*K168</f>
        <v/>
      </c>
      <c r="L169">
        <f>$C169*L168</f>
        <v/>
      </c>
      <c r="M169">
        <f>$C169*M168</f>
        <v/>
      </c>
      <c r="N169">
        <f>$C169*N168</f>
        <v/>
      </c>
      <c r="O169">
        <f>$C169*O168</f>
        <v/>
      </c>
      <c r="P169">
        <f>$C169*P168</f>
        <v/>
      </c>
      <c r="Q169">
        <f>$C169*Q168</f>
        <v/>
      </c>
      <c r="R169">
        <f>$C169*R168</f>
        <v/>
      </c>
      <c r="S169">
        <f>$C169*S168</f>
        <v/>
      </c>
      <c r="T169">
        <f>$C169*T168</f>
        <v/>
      </c>
      <c r="U169">
        <f>$C169*U168</f>
        <v/>
      </c>
      <c r="V169">
        <f>$C169*V168</f>
        <v/>
      </c>
      <c r="W169">
        <f>$C169*W168</f>
        <v/>
      </c>
      <c r="X169">
        <f>$C169*X168</f>
        <v/>
      </c>
      <c r="Y169">
        <f>$C169*Y168</f>
        <v/>
      </c>
      <c r="Z169">
        <f>$C169*Z168</f>
        <v/>
      </c>
      <c r="AA169">
        <f>$C169*AA168</f>
        <v/>
      </c>
      <c r="AB169">
        <f>$C169*AB168</f>
        <v/>
      </c>
      <c r="AC169">
        <f>$C169*AC168</f>
        <v/>
      </c>
      <c r="AD169">
        <f>$C169*AD168</f>
        <v/>
      </c>
      <c r="AE169">
        <f>$C169*AE168</f>
        <v/>
      </c>
      <c r="AF169">
        <f>$C169*AF168</f>
        <v/>
      </c>
      <c r="AG169">
        <f>$C169*AG168</f>
        <v/>
      </c>
      <c r="AH169">
        <f>$C169*AH168</f>
        <v/>
      </c>
      <c r="AI169">
        <f>$C169*AI168</f>
        <v/>
      </c>
      <c r="AJ169">
        <f>$C169*AJ168</f>
        <v/>
      </c>
      <c r="AK169">
        <f>$C169*AK168</f>
        <v/>
      </c>
      <c r="AL169">
        <f>$C169*AL168</f>
        <v/>
      </c>
      <c r="AM169">
        <f>$C169*AM168</f>
        <v/>
      </c>
      <c r="AN169">
        <f>$C169*AN168</f>
        <v/>
      </c>
      <c r="AO169">
        <f>$C169*AO168</f>
        <v/>
      </c>
      <c r="AP169">
        <f>$C169*AP168</f>
        <v/>
      </c>
      <c r="AQ169">
        <f>$C169*AQ168</f>
        <v/>
      </c>
      <c r="AR169">
        <f>$C169*AR168</f>
        <v/>
      </c>
      <c r="AS169">
        <f>$C169*AS168</f>
        <v/>
      </c>
      <c r="AT169">
        <f>$C169*AT168</f>
        <v/>
      </c>
      <c r="AU169">
        <f>$C169*AU168</f>
        <v/>
      </c>
      <c r="AV169">
        <f>$C169*AV168</f>
        <v/>
      </c>
      <c r="AW169">
        <f>$C169*AW168</f>
        <v/>
      </c>
      <c r="AX169">
        <f>$C169*AX168</f>
        <v/>
      </c>
      <c r="AY169">
        <f>$C169*AY168</f>
        <v/>
      </c>
      <c r="AZ169">
        <f>$C169*AZ168</f>
        <v/>
      </c>
      <c r="BA169">
        <f>$C169*BA168</f>
        <v/>
      </c>
      <c r="BB169">
        <f>$C169*BB168</f>
        <v/>
      </c>
      <c r="BC169">
        <f>$C169*BC168</f>
        <v/>
      </c>
      <c r="BD169">
        <f>$C169*BD168</f>
        <v/>
      </c>
      <c r="BE169">
        <f>$C169*BE168</f>
        <v/>
      </c>
      <c r="BF169">
        <f>$C169*BF168</f>
        <v/>
      </c>
      <c r="BG169">
        <f>$C169*BG168</f>
        <v/>
      </c>
      <c r="BH169">
        <f>$C169*BH168</f>
        <v/>
      </c>
      <c r="BI169">
        <f>$C169*BI168</f>
        <v/>
      </c>
      <c r="BJ169">
        <f>$C169*BJ168</f>
        <v/>
      </c>
      <c r="BK169">
        <f>$C169*BK168</f>
        <v/>
      </c>
      <c r="BL169">
        <f>$C169*BL168</f>
        <v/>
      </c>
      <c r="BM169">
        <f>$C169*BM168</f>
        <v/>
      </c>
      <c r="BN169">
        <f>$C169*BN168</f>
        <v/>
      </c>
      <c r="BO169">
        <f>$C169*BO168</f>
        <v/>
      </c>
      <c r="BP169">
        <f>$C169*BP168</f>
        <v/>
      </c>
      <c r="BQ169">
        <f>$C169*BQ168</f>
        <v/>
      </c>
      <c r="BR169">
        <f>$C169*BR168</f>
        <v/>
      </c>
      <c r="BS169">
        <f>$C169*BS168</f>
        <v/>
      </c>
      <c r="BT169">
        <f>$C169*BT168</f>
        <v/>
      </c>
      <c r="BU169">
        <f>$C169*BU168</f>
        <v/>
      </c>
      <c r="BV169">
        <f>$C169*BV168</f>
        <v/>
      </c>
      <c r="BW169">
        <f>$C169*BW168</f>
        <v/>
      </c>
      <c r="BX169">
        <f>$C169*BX168</f>
        <v/>
      </c>
      <c r="BY169">
        <f>$C169*BY168</f>
        <v/>
      </c>
      <c r="BZ169">
        <f>$C169*BZ168</f>
        <v/>
      </c>
      <c r="CA169">
        <f>$C169*CA168</f>
        <v/>
      </c>
      <c r="CB169">
        <f>$C169*CB168</f>
        <v/>
      </c>
      <c r="CC169">
        <f>$C169*CC168</f>
        <v/>
      </c>
      <c r="CD169">
        <f>$C169*CD168</f>
        <v/>
      </c>
      <c r="CE169">
        <f>$C169*CE168</f>
        <v/>
      </c>
      <c r="CF169">
        <f>$C169*CF168</f>
        <v/>
      </c>
      <c r="CG169">
        <f>$C169*CG168</f>
        <v/>
      </c>
      <c r="CH169">
        <f>$C169*CH168</f>
        <v/>
      </c>
      <c r="CI169">
        <f>$C169*CI168</f>
        <v/>
      </c>
      <c r="CJ169">
        <f>$C169*CJ168</f>
        <v/>
      </c>
      <c r="CK169">
        <f>$C169*CK168</f>
        <v/>
      </c>
      <c r="CL169">
        <f>$C169*CL168</f>
        <v/>
      </c>
      <c r="CM169">
        <f>$C169*CM168</f>
        <v/>
      </c>
      <c r="CN169">
        <f>$C169*CN168</f>
        <v/>
      </c>
      <c r="CO169">
        <f>$C169*CO168</f>
        <v/>
      </c>
      <c r="CP169">
        <f>$C169*CP168</f>
        <v/>
      </c>
      <c r="CQ169">
        <f>$C169*CQ168</f>
        <v/>
      </c>
      <c r="CR169">
        <f>$C169*CR168</f>
        <v/>
      </c>
      <c r="CS169">
        <f>$C169*CS168</f>
        <v/>
      </c>
      <c r="CT169">
        <f>$C169*CT168</f>
        <v/>
      </c>
      <c r="CU169">
        <f>$C169*CU168</f>
        <v/>
      </c>
      <c r="CV169">
        <f>$C169*CV168</f>
        <v/>
      </c>
      <c r="CW169">
        <f>$C169*CW168</f>
        <v/>
      </c>
      <c r="CX169">
        <f>$C169*CX168</f>
        <v/>
      </c>
      <c r="CY169">
        <f>$C169*CY168</f>
        <v/>
      </c>
      <c r="CZ169">
        <f>$C169*CZ168</f>
        <v/>
      </c>
      <c r="DA169">
        <f>$C169*DA168</f>
        <v/>
      </c>
      <c r="DB169">
        <f>$C169*DB168</f>
        <v/>
      </c>
      <c r="DC169">
        <f>$C169*DC168</f>
        <v/>
      </c>
    </row>
    <row r="170">
      <c r="B170" t="inlineStr">
        <is>
          <t>VSP-602</t>
        </is>
      </c>
      <c r="C170" t="inlineStr">
        <is>
          <t>No. of batches</t>
        </is>
      </c>
      <c r="D170">
        <f>IFERROR(INDEX(PP_Grid[#Data],$DD170,2),0)</f>
        <v/>
      </c>
      <c r="E170">
        <f>IFERROR(INDEX(PP_Grid[#Data],$DD170,3),0)</f>
        <v/>
      </c>
      <c r="F170">
        <f>IFERROR(INDEX(PP_Grid[#Data],$DD170,4),0)</f>
        <v/>
      </c>
      <c r="G170">
        <f>IFERROR(INDEX(PP_Grid[#Data],$DD170,5),0)</f>
        <v/>
      </c>
      <c r="H170">
        <f>IFERROR(INDEX(PP_Grid[#Data],$DD170,6),0)</f>
        <v/>
      </c>
      <c r="I170">
        <f>IFERROR(INDEX(PP_Grid[#Data],$DD170,7),0)</f>
        <v/>
      </c>
      <c r="J170">
        <f>IFERROR(INDEX(PP_Grid[#Data],$DD170,8),0)</f>
        <v/>
      </c>
      <c r="K170">
        <f>IFERROR(INDEX(PP_Grid[#Data],$DD170,9),0)</f>
        <v/>
      </c>
      <c r="L170">
        <f>IFERROR(INDEX(PP_Grid[#Data],$DD170,10),0)</f>
        <v/>
      </c>
      <c r="M170">
        <f>IFERROR(INDEX(PP_Grid[#Data],$DD170,11),0)</f>
        <v/>
      </c>
      <c r="N170">
        <f>IFERROR(INDEX(PP_Grid[#Data],$DD170,12),0)</f>
        <v/>
      </c>
      <c r="O170">
        <f>IFERROR(INDEX(PP_Grid[#Data],$DD170,13),0)</f>
        <v/>
      </c>
      <c r="P170">
        <f>IFERROR(INDEX(PP_Grid[#Data],$DD170,14),0)</f>
        <v/>
      </c>
      <c r="Q170">
        <f>IFERROR(INDEX(PP_Grid[#Data],$DD170,15),0)</f>
        <v/>
      </c>
      <c r="R170">
        <f>IFERROR(INDEX(PP_Grid[#Data],$DD170,16),0)</f>
        <v/>
      </c>
      <c r="S170">
        <f>IFERROR(INDEX(PP_Grid[#Data],$DD170,17),0)</f>
        <v/>
      </c>
      <c r="T170">
        <f>IFERROR(INDEX(PP_Grid[#Data],$DD170,18),0)</f>
        <v/>
      </c>
      <c r="U170">
        <f>IFERROR(INDEX(PP_Grid[#Data],$DD170,19),0)</f>
        <v/>
      </c>
      <c r="V170">
        <f>IFERROR(INDEX(PP_Grid[#Data],$DD170,20),0)</f>
        <v/>
      </c>
      <c r="W170">
        <f>IFERROR(INDEX(PP_Grid[#Data],$DD170,21),0)</f>
        <v/>
      </c>
      <c r="X170">
        <f>IFERROR(INDEX(PP_Grid[#Data],$DD170,22),0)</f>
        <v/>
      </c>
      <c r="Y170">
        <f>IFERROR(INDEX(PP_Grid[#Data],$DD170,23),0)</f>
        <v/>
      </c>
      <c r="Z170">
        <f>IFERROR(INDEX(PP_Grid[#Data],$DD170,24),0)</f>
        <v/>
      </c>
      <c r="AA170">
        <f>IFERROR(INDEX(PP_Grid[#Data],$DD170,25),0)</f>
        <v/>
      </c>
      <c r="AB170">
        <f>IFERROR(INDEX(PP_Grid[#Data],$DD170,26),0)</f>
        <v/>
      </c>
      <c r="AC170">
        <f>IFERROR(INDEX(PP_Grid[#Data],$DD170,27),0)</f>
        <v/>
      </c>
      <c r="AD170">
        <f>IFERROR(INDEX(PP_Grid[#Data],$DD170,28),0)</f>
        <v/>
      </c>
      <c r="AE170">
        <f>IFERROR(INDEX(PP_Grid[#Data],$DD170,29),0)</f>
        <v/>
      </c>
      <c r="AF170">
        <f>IFERROR(INDEX(PP_Grid[#Data],$DD170,30),0)</f>
        <v/>
      </c>
      <c r="AG170">
        <f>IFERROR(INDEX(PP_Grid[#Data],$DD170,31),0)</f>
        <v/>
      </c>
      <c r="AH170">
        <f>IFERROR(INDEX(PP_Grid[#Data],$DD170,32),0)</f>
        <v/>
      </c>
      <c r="AI170">
        <f>IFERROR(INDEX(PP_Grid[#Data],$DD170,33),0)</f>
        <v/>
      </c>
      <c r="AJ170">
        <f>IFERROR(INDEX(PP_Grid[#Data],$DD170,34),0)</f>
        <v/>
      </c>
      <c r="AK170">
        <f>IFERROR(INDEX(PP_Grid[#Data],$DD170,35),0)</f>
        <v/>
      </c>
      <c r="AL170">
        <f>IFERROR(INDEX(PP_Grid[#Data],$DD170,36),0)</f>
        <v/>
      </c>
      <c r="AM170">
        <f>IFERROR(INDEX(PP_Grid[#Data],$DD170,37),0)</f>
        <v/>
      </c>
      <c r="AN170">
        <f>IFERROR(INDEX(PP_Grid[#Data],$DD170,38),0)</f>
        <v/>
      </c>
      <c r="AO170">
        <f>IFERROR(INDEX(PP_Grid[#Data],$DD170,39),0)</f>
        <v/>
      </c>
      <c r="AP170">
        <f>IFERROR(INDEX(PP_Grid[#Data],$DD170,40),0)</f>
        <v/>
      </c>
      <c r="AQ170">
        <f>IFERROR(INDEX(PP_Grid[#Data],$DD170,41),0)</f>
        <v/>
      </c>
      <c r="AR170">
        <f>IFERROR(INDEX(PP_Grid[#Data],$DD170,42),0)</f>
        <v/>
      </c>
      <c r="AS170">
        <f>IFERROR(INDEX(PP_Grid[#Data],$DD170,43),0)</f>
        <v/>
      </c>
      <c r="AT170">
        <f>IFERROR(INDEX(PP_Grid[#Data],$DD170,44),0)</f>
        <v/>
      </c>
      <c r="AU170">
        <f>IFERROR(INDEX(PP_Grid[#Data],$DD170,45),0)</f>
        <v/>
      </c>
      <c r="AV170">
        <f>IFERROR(INDEX(PP_Grid[#Data],$DD170,46),0)</f>
        <v/>
      </c>
      <c r="AW170">
        <f>IFERROR(INDEX(PP_Grid[#Data],$DD170,47),0)</f>
        <v/>
      </c>
      <c r="AX170">
        <f>IFERROR(INDEX(PP_Grid[#Data],$DD170,48),0)</f>
        <v/>
      </c>
      <c r="AY170">
        <f>IFERROR(INDEX(PP_Grid[#Data],$DD170,49),0)</f>
        <v/>
      </c>
      <c r="AZ170">
        <f>IFERROR(INDEX(PP_Grid[#Data],$DD170,50),0)</f>
        <v/>
      </c>
      <c r="BA170">
        <f>IFERROR(INDEX(PP_Grid[#Data],$DD170,51),0)</f>
        <v/>
      </c>
      <c r="BB170">
        <f>IFERROR(INDEX(PP_Grid[#Data],$DD170,52),0)</f>
        <v/>
      </c>
      <c r="BC170">
        <f>IFERROR(INDEX(PP_Grid[#Data],$DD170,53),0)</f>
        <v/>
      </c>
      <c r="BD170">
        <f>IFERROR(INDEX(PP_Grid[#Data],$DD170,54),0)</f>
        <v/>
      </c>
      <c r="BE170">
        <f>IFERROR(INDEX(PP_Grid[#Data],$DD170,55),0)</f>
        <v/>
      </c>
      <c r="BF170">
        <f>IFERROR(INDEX(PP_Grid[#Data],$DD170,56),0)</f>
        <v/>
      </c>
      <c r="BG170">
        <f>IFERROR(INDEX(PP_Grid[#Data],$DD170,57),0)</f>
        <v/>
      </c>
      <c r="BH170">
        <f>IFERROR(INDEX(PP_Grid[#Data],$DD170,58),0)</f>
        <v/>
      </c>
      <c r="BI170">
        <f>IFERROR(INDEX(PP_Grid[#Data],$DD170,59),0)</f>
        <v/>
      </c>
      <c r="BJ170">
        <f>IFERROR(INDEX(PP_Grid[#Data],$DD170,60),0)</f>
        <v/>
      </c>
      <c r="BK170">
        <f>IFERROR(INDEX(PP_Grid[#Data],$DD170,61),0)</f>
        <v/>
      </c>
      <c r="BL170">
        <f>IFERROR(INDEX(PP_Grid[#Data],$DD170,62),0)</f>
        <v/>
      </c>
      <c r="BM170">
        <f>IFERROR(INDEX(PP_Grid[#Data],$DD170,63),0)</f>
        <v/>
      </c>
      <c r="BN170">
        <f>IFERROR(INDEX(PP_Grid[#Data],$DD170,64),0)</f>
        <v/>
      </c>
      <c r="BO170">
        <f>IFERROR(INDEX(PP_Grid[#Data],$DD170,65),0)</f>
        <v/>
      </c>
      <c r="BP170">
        <f>IFERROR(INDEX(PP_Grid[#Data],$DD170,66),0)</f>
        <v/>
      </c>
      <c r="BQ170">
        <f>IFERROR(INDEX(PP_Grid[#Data],$DD170,67),0)</f>
        <v/>
      </c>
      <c r="BR170">
        <f>IFERROR(INDEX(PP_Grid[#Data],$DD170,68),0)</f>
        <v/>
      </c>
      <c r="BS170">
        <f>IFERROR(INDEX(PP_Grid[#Data],$DD170,69),0)</f>
        <v/>
      </c>
      <c r="BT170">
        <f>IFERROR(INDEX(PP_Grid[#Data],$DD170,70),0)</f>
        <v/>
      </c>
      <c r="BU170">
        <f>IFERROR(INDEX(PP_Grid[#Data],$DD170,71),0)</f>
        <v/>
      </c>
      <c r="BV170">
        <f>IFERROR(INDEX(PP_Grid[#Data],$DD170,72),0)</f>
        <v/>
      </c>
      <c r="BW170">
        <f>IFERROR(INDEX(PP_Grid[#Data],$DD170,73),0)</f>
        <v/>
      </c>
      <c r="BX170">
        <f>IFERROR(INDEX(PP_Grid[#Data],$DD170,74),0)</f>
        <v/>
      </c>
      <c r="BY170">
        <f>IFERROR(INDEX(PP_Grid[#Data],$DD170,75),0)</f>
        <v/>
      </c>
      <c r="BZ170">
        <f>IFERROR(INDEX(PP_Grid[#Data],$DD170,76),0)</f>
        <v/>
      </c>
      <c r="CA170">
        <f>IFERROR(INDEX(PP_Grid[#Data],$DD170,77),0)</f>
        <v/>
      </c>
      <c r="CB170">
        <f>IFERROR(INDEX(PP_Grid[#Data],$DD170,78),0)</f>
        <v/>
      </c>
      <c r="CC170">
        <f>IFERROR(INDEX(PP_Grid[#Data],$DD170,79),0)</f>
        <v/>
      </c>
      <c r="CD170">
        <f>IFERROR(INDEX(PP_Grid[#Data],$DD170,80),0)</f>
        <v/>
      </c>
      <c r="CE170">
        <f>IFERROR(INDEX(PP_Grid[#Data],$DD170,81),0)</f>
        <v/>
      </c>
      <c r="CF170">
        <f>IFERROR(INDEX(PP_Grid[#Data],$DD170,82),0)</f>
        <v/>
      </c>
      <c r="CG170">
        <f>IFERROR(INDEX(PP_Grid[#Data],$DD170,83),0)</f>
        <v/>
      </c>
      <c r="CH170">
        <f>IFERROR(INDEX(PP_Grid[#Data],$DD170,84),0)</f>
        <v/>
      </c>
      <c r="CI170">
        <f>IFERROR(INDEX(PP_Grid[#Data],$DD170,85),0)</f>
        <v/>
      </c>
      <c r="CJ170">
        <f>IFERROR(INDEX(PP_Grid[#Data],$DD170,86),0)</f>
        <v/>
      </c>
      <c r="CK170">
        <f>IFERROR(INDEX(PP_Grid[#Data],$DD170,87),0)</f>
        <v/>
      </c>
      <c r="CL170">
        <f>IFERROR(INDEX(PP_Grid[#Data],$DD170,88),0)</f>
        <v/>
      </c>
      <c r="CM170">
        <f>IFERROR(INDEX(PP_Grid[#Data],$DD170,89),0)</f>
        <v/>
      </c>
      <c r="CN170">
        <f>IFERROR(INDEX(PP_Grid[#Data],$DD170,90),0)</f>
        <v/>
      </c>
      <c r="CO170">
        <f>IFERROR(INDEX(PP_Grid[#Data],$DD170,91),0)</f>
        <v/>
      </c>
      <c r="CP170">
        <f>IFERROR(INDEX(PP_Grid[#Data],$DD170,92),0)</f>
        <v/>
      </c>
      <c r="CQ170">
        <f>IFERROR(INDEX(PP_Grid[#Data],$DD170,93),0)</f>
        <v/>
      </c>
      <c r="CR170">
        <f>IFERROR(INDEX(PP_Grid[#Data],$DD170,94),0)</f>
        <v/>
      </c>
      <c r="CS170">
        <f>IFERROR(INDEX(PP_Grid[#Data],$DD170,95),0)</f>
        <v/>
      </c>
      <c r="CT170">
        <f>IFERROR(INDEX(PP_Grid[#Data],$DD170,96),0)</f>
        <v/>
      </c>
      <c r="CU170">
        <f>IFERROR(INDEX(PP_Grid[#Data],$DD170,97),0)</f>
        <v/>
      </c>
      <c r="CV170">
        <f>IFERROR(INDEX(PP_Grid[#Data],$DD170,98),0)</f>
        <v/>
      </c>
      <c r="CW170">
        <f>IFERROR(INDEX(PP_Grid[#Data],$DD170,99),0)</f>
        <v/>
      </c>
      <c r="CX170">
        <f>IFERROR(INDEX(PP_Grid[#Data],$DD170,100),0)</f>
        <v/>
      </c>
      <c r="CY170">
        <f>IFERROR(INDEX(PP_Grid[#Data],$DD170,101),0)</f>
        <v/>
      </c>
      <c r="CZ170">
        <f>IFERROR(INDEX(PP_Grid[#Data],$DD170,102),0)</f>
        <v/>
      </c>
      <c r="DA170">
        <f>IFERROR(INDEX(PP_Grid[#Data],$DD170,103),0)</f>
        <v/>
      </c>
      <c r="DB170">
        <f>IFERROR(INDEX(PP_Grid[#Data],$DD170,104),0)</f>
        <v/>
      </c>
      <c r="DC170">
        <f>IFERROR(INDEX(PP_Grid[#Data],$DD170,105),0)</f>
        <v/>
      </c>
      <c r="DD170" s="7">
        <f>IFERROR(MATCH($B170,PP_Grid[Intermediate],0),99999)</f>
        <v/>
      </c>
    </row>
    <row r="171">
      <c r="B171" t="inlineStr">
        <is>
          <t>使用量(kg)</t>
        </is>
      </c>
      <c r="C171">
        <f>SUMIFS(M_BOM[RM_Qty_Per_Batch],M_BOM[Intermediate],$B170,M_BOM[Part Name],$A45)</f>
        <v/>
      </c>
      <c r="D171">
        <f>$C171*D170</f>
        <v/>
      </c>
      <c r="E171">
        <f>$C171*E170</f>
        <v/>
      </c>
      <c r="F171">
        <f>$C171*F170</f>
        <v/>
      </c>
      <c r="G171">
        <f>$C171*G170</f>
        <v/>
      </c>
      <c r="H171">
        <f>$C171*H170</f>
        <v/>
      </c>
      <c r="I171">
        <f>$C171*I170</f>
        <v/>
      </c>
      <c r="J171">
        <f>$C171*J170</f>
        <v/>
      </c>
      <c r="K171">
        <f>$C171*K170</f>
        <v/>
      </c>
      <c r="L171">
        <f>$C171*L170</f>
        <v/>
      </c>
      <c r="M171">
        <f>$C171*M170</f>
        <v/>
      </c>
      <c r="N171">
        <f>$C171*N170</f>
        <v/>
      </c>
      <c r="O171">
        <f>$C171*O170</f>
        <v/>
      </c>
      <c r="P171">
        <f>$C171*P170</f>
        <v/>
      </c>
      <c r="Q171">
        <f>$C171*Q170</f>
        <v/>
      </c>
      <c r="R171">
        <f>$C171*R170</f>
        <v/>
      </c>
      <c r="S171">
        <f>$C171*S170</f>
        <v/>
      </c>
      <c r="T171">
        <f>$C171*T170</f>
        <v/>
      </c>
      <c r="U171">
        <f>$C171*U170</f>
        <v/>
      </c>
      <c r="V171">
        <f>$C171*V170</f>
        <v/>
      </c>
      <c r="W171">
        <f>$C171*W170</f>
        <v/>
      </c>
      <c r="X171">
        <f>$C171*X170</f>
        <v/>
      </c>
      <c r="Y171">
        <f>$C171*Y170</f>
        <v/>
      </c>
      <c r="Z171">
        <f>$C171*Z170</f>
        <v/>
      </c>
      <c r="AA171">
        <f>$C171*AA170</f>
        <v/>
      </c>
      <c r="AB171">
        <f>$C171*AB170</f>
        <v/>
      </c>
      <c r="AC171">
        <f>$C171*AC170</f>
        <v/>
      </c>
      <c r="AD171">
        <f>$C171*AD170</f>
        <v/>
      </c>
      <c r="AE171">
        <f>$C171*AE170</f>
        <v/>
      </c>
      <c r="AF171">
        <f>$C171*AF170</f>
        <v/>
      </c>
      <c r="AG171">
        <f>$C171*AG170</f>
        <v/>
      </c>
      <c r="AH171">
        <f>$C171*AH170</f>
        <v/>
      </c>
      <c r="AI171">
        <f>$C171*AI170</f>
        <v/>
      </c>
      <c r="AJ171">
        <f>$C171*AJ170</f>
        <v/>
      </c>
      <c r="AK171">
        <f>$C171*AK170</f>
        <v/>
      </c>
      <c r="AL171">
        <f>$C171*AL170</f>
        <v/>
      </c>
      <c r="AM171">
        <f>$C171*AM170</f>
        <v/>
      </c>
      <c r="AN171">
        <f>$C171*AN170</f>
        <v/>
      </c>
      <c r="AO171">
        <f>$C171*AO170</f>
        <v/>
      </c>
      <c r="AP171">
        <f>$C171*AP170</f>
        <v/>
      </c>
      <c r="AQ171">
        <f>$C171*AQ170</f>
        <v/>
      </c>
      <c r="AR171">
        <f>$C171*AR170</f>
        <v/>
      </c>
      <c r="AS171">
        <f>$C171*AS170</f>
        <v/>
      </c>
      <c r="AT171">
        <f>$C171*AT170</f>
        <v/>
      </c>
      <c r="AU171">
        <f>$C171*AU170</f>
        <v/>
      </c>
      <c r="AV171">
        <f>$C171*AV170</f>
        <v/>
      </c>
      <c r="AW171">
        <f>$C171*AW170</f>
        <v/>
      </c>
      <c r="AX171">
        <f>$C171*AX170</f>
        <v/>
      </c>
      <c r="AY171">
        <f>$C171*AY170</f>
        <v/>
      </c>
      <c r="AZ171">
        <f>$C171*AZ170</f>
        <v/>
      </c>
      <c r="BA171">
        <f>$C171*BA170</f>
        <v/>
      </c>
      <c r="BB171">
        <f>$C171*BB170</f>
        <v/>
      </c>
      <c r="BC171">
        <f>$C171*BC170</f>
        <v/>
      </c>
      <c r="BD171">
        <f>$C171*BD170</f>
        <v/>
      </c>
      <c r="BE171">
        <f>$C171*BE170</f>
        <v/>
      </c>
      <c r="BF171">
        <f>$C171*BF170</f>
        <v/>
      </c>
      <c r="BG171">
        <f>$C171*BG170</f>
        <v/>
      </c>
      <c r="BH171">
        <f>$C171*BH170</f>
        <v/>
      </c>
      <c r="BI171">
        <f>$C171*BI170</f>
        <v/>
      </c>
      <c r="BJ171">
        <f>$C171*BJ170</f>
        <v/>
      </c>
      <c r="BK171">
        <f>$C171*BK170</f>
        <v/>
      </c>
      <c r="BL171">
        <f>$C171*BL170</f>
        <v/>
      </c>
      <c r="BM171">
        <f>$C171*BM170</f>
        <v/>
      </c>
      <c r="BN171">
        <f>$C171*BN170</f>
        <v/>
      </c>
      <c r="BO171">
        <f>$C171*BO170</f>
        <v/>
      </c>
      <c r="BP171">
        <f>$C171*BP170</f>
        <v/>
      </c>
      <c r="BQ171">
        <f>$C171*BQ170</f>
        <v/>
      </c>
      <c r="BR171">
        <f>$C171*BR170</f>
        <v/>
      </c>
      <c r="BS171">
        <f>$C171*BS170</f>
        <v/>
      </c>
      <c r="BT171">
        <f>$C171*BT170</f>
        <v/>
      </c>
      <c r="BU171">
        <f>$C171*BU170</f>
        <v/>
      </c>
      <c r="BV171">
        <f>$C171*BV170</f>
        <v/>
      </c>
      <c r="BW171">
        <f>$C171*BW170</f>
        <v/>
      </c>
      <c r="BX171">
        <f>$C171*BX170</f>
        <v/>
      </c>
      <c r="BY171">
        <f>$C171*BY170</f>
        <v/>
      </c>
      <c r="BZ171">
        <f>$C171*BZ170</f>
        <v/>
      </c>
      <c r="CA171">
        <f>$C171*CA170</f>
        <v/>
      </c>
      <c r="CB171">
        <f>$C171*CB170</f>
        <v/>
      </c>
      <c r="CC171">
        <f>$C171*CC170</f>
        <v/>
      </c>
      <c r="CD171">
        <f>$C171*CD170</f>
        <v/>
      </c>
      <c r="CE171">
        <f>$C171*CE170</f>
        <v/>
      </c>
      <c r="CF171">
        <f>$C171*CF170</f>
        <v/>
      </c>
      <c r="CG171">
        <f>$C171*CG170</f>
        <v/>
      </c>
      <c r="CH171">
        <f>$C171*CH170</f>
        <v/>
      </c>
      <c r="CI171">
        <f>$C171*CI170</f>
        <v/>
      </c>
      <c r="CJ171">
        <f>$C171*CJ170</f>
        <v/>
      </c>
      <c r="CK171">
        <f>$C171*CK170</f>
        <v/>
      </c>
      <c r="CL171">
        <f>$C171*CL170</f>
        <v/>
      </c>
      <c r="CM171">
        <f>$C171*CM170</f>
        <v/>
      </c>
      <c r="CN171">
        <f>$C171*CN170</f>
        <v/>
      </c>
      <c r="CO171">
        <f>$C171*CO170</f>
        <v/>
      </c>
      <c r="CP171">
        <f>$C171*CP170</f>
        <v/>
      </c>
      <c r="CQ171">
        <f>$C171*CQ170</f>
        <v/>
      </c>
      <c r="CR171">
        <f>$C171*CR170</f>
        <v/>
      </c>
      <c r="CS171">
        <f>$C171*CS170</f>
        <v/>
      </c>
      <c r="CT171">
        <f>$C171*CT170</f>
        <v/>
      </c>
      <c r="CU171">
        <f>$C171*CU170</f>
        <v/>
      </c>
      <c r="CV171">
        <f>$C171*CV170</f>
        <v/>
      </c>
      <c r="CW171">
        <f>$C171*CW170</f>
        <v/>
      </c>
      <c r="CX171">
        <f>$C171*CX170</f>
        <v/>
      </c>
      <c r="CY171">
        <f>$C171*CY170</f>
        <v/>
      </c>
      <c r="CZ171">
        <f>$C171*CZ170</f>
        <v/>
      </c>
      <c r="DA171">
        <f>$C171*DA170</f>
        <v/>
      </c>
      <c r="DB171">
        <f>$C171*DB170</f>
        <v/>
      </c>
      <c r="DC171">
        <f>$C171*DC170</f>
        <v/>
      </c>
    </row>
    <row r="172">
      <c r="B172" t="inlineStr">
        <is>
          <t>VSP-603</t>
        </is>
      </c>
      <c r="C172" t="inlineStr">
        <is>
          <t>No. of batches</t>
        </is>
      </c>
      <c r="D172">
        <f>IFERROR(INDEX(PP_Grid[#Data],$DD172,2),0)</f>
        <v/>
      </c>
      <c r="E172">
        <f>IFERROR(INDEX(PP_Grid[#Data],$DD172,3),0)</f>
        <v/>
      </c>
      <c r="F172">
        <f>IFERROR(INDEX(PP_Grid[#Data],$DD172,4),0)</f>
        <v/>
      </c>
      <c r="G172">
        <f>IFERROR(INDEX(PP_Grid[#Data],$DD172,5),0)</f>
        <v/>
      </c>
      <c r="H172">
        <f>IFERROR(INDEX(PP_Grid[#Data],$DD172,6),0)</f>
        <v/>
      </c>
      <c r="I172">
        <f>IFERROR(INDEX(PP_Grid[#Data],$DD172,7),0)</f>
        <v/>
      </c>
      <c r="J172">
        <f>IFERROR(INDEX(PP_Grid[#Data],$DD172,8),0)</f>
        <v/>
      </c>
      <c r="K172">
        <f>IFERROR(INDEX(PP_Grid[#Data],$DD172,9),0)</f>
        <v/>
      </c>
      <c r="L172">
        <f>IFERROR(INDEX(PP_Grid[#Data],$DD172,10),0)</f>
        <v/>
      </c>
      <c r="M172">
        <f>IFERROR(INDEX(PP_Grid[#Data],$DD172,11),0)</f>
        <v/>
      </c>
      <c r="N172">
        <f>IFERROR(INDEX(PP_Grid[#Data],$DD172,12),0)</f>
        <v/>
      </c>
      <c r="O172">
        <f>IFERROR(INDEX(PP_Grid[#Data],$DD172,13),0)</f>
        <v/>
      </c>
      <c r="P172">
        <f>IFERROR(INDEX(PP_Grid[#Data],$DD172,14),0)</f>
        <v/>
      </c>
      <c r="Q172">
        <f>IFERROR(INDEX(PP_Grid[#Data],$DD172,15),0)</f>
        <v/>
      </c>
      <c r="R172">
        <f>IFERROR(INDEX(PP_Grid[#Data],$DD172,16),0)</f>
        <v/>
      </c>
      <c r="S172">
        <f>IFERROR(INDEX(PP_Grid[#Data],$DD172,17),0)</f>
        <v/>
      </c>
      <c r="T172">
        <f>IFERROR(INDEX(PP_Grid[#Data],$DD172,18),0)</f>
        <v/>
      </c>
      <c r="U172">
        <f>IFERROR(INDEX(PP_Grid[#Data],$DD172,19),0)</f>
        <v/>
      </c>
      <c r="V172">
        <f>IFERROR(INDEX(PP_Grid[#Data],$DD172,20),0)</f>
        <v/>
      </c>
      <c r="W172">
        <f>IFERROR(INDEX(PP_Grid[#Data],$DD172,21),0)</f>
        <v/>
      </c>
      <c r="X172">
        <f>IFERROR(INDEX(PP_Grid[#Data],$DD172,22),0)</f>
        <v/>
      </c>
      <c r="Y172">
        <f>IFERROR(INDEX(PP_Grid[#Data],$DD172,23),0)</f>
        <v/>
      </c>
      <c r="Z172">
        <f>IFERROR(INDEX(PP_Grid[#Data],$DD172,24),0)</f>
        <v/>
      </c>
      <c r="AA172">
        <f>IFERROR(INDEX(PP_Grid[#Data],$DD172,25),0)</f>
        <v/>
      </c>
      <c r="AB172">
        <f>IFERROR(INDEX(PP_Grid[#Data],$DD172,26),0)</f>
        <v/>
      </c>
      <c r="AC172">
        <f>IFERROR(INDEX(PP_Grid[#Data],$DD172,27),0)</f>
        <v/>
      </c>
      <c r="AD172">
        <f>IFERROR(INDEX(PP_Grid[#Data],$DD172,28),0)</f>
        <v/>
      </c>
      <c r="AE172">
        <f>IFERROR(INDEX(PP_Grid[#Data],$DD172,29),0)</f>
        <v/>
      </c>
      <c r="AF172">
        <f>IFERROR(INDEX(PP_Grid[#Data],$DD172,30),0)</f>
        <v/>
      </c>
      <c r="AG172">
        <f>IFERROR(INDEX(PP_Grid[#Data],$DD172,31),0)</f>
        <v/>
      </c>
      <c r="AH172">
        <f>IFERROR(INDEX(PP_Grid[#Data],$DD172,32),0)</f>
        <v/>
      </c>
      <c r="AI172">
        <f>IFERROR(INDEX(PP_Grid[#Data],$DD172,33),0)</f>
        <v/>
      </c>
      <c r="AJ172">
        <f>IFERROR(INDEX(PP_Grid[#Data],$DD172,34),0)</f>
        <v/>
      </c>
      <c r="AK172">
        <f>IFERROR(INDEX(PP_Grid[#Data],$DD172,35),0)</f>
        <v/>
      </c>
      <c r="AL172">
        <f>IFERROR(INDEX(PP_Grid[#Data],$DD172,36),0)</f>
        <v/>
      </c>
      <c r="AM172">
        <f>IFERROR(INDEX(PP_Grid[#Data],$DD172,37),0)</f>
        <v/>
      </c>
      <c r="AN172">
        <f>IFERROR(INDEX(PP_Grid[#Data],$DD172,38),0)</f>
        <v/>
      </c>
      <c r="AO172">
        <f>IFERROR(INDEX(PP_Grid[#Data],$DD172,39),0)</f>
        <v/>
      </c>
      <c r="AP172">
        <f>IFERROR(INDEX(PP_Grid[#Data],$DD172,40),0)</f>
        <v/>
      </c>
      <c r="AQ172">
        <f>IFERROR(INDEX(PP_Grid[#Data],$DD172,41),0)</f>
        <v/>
      </c>
      <c r="AR172">
        <f>IFERROR(INDEX(PP_Grid[#Data],$DD172,42),0)</f>
        <v/>
      </c>
      <c r="AS172">
        <f>IFERROR(INDEX(PP_Grid[#Data],$DD172,43),0)</f>
        <v/>
      </c>
      <c r="AT172">
        <f>IFERROR(INDEX(PP_Grid[#Data],$DD172,44),0)</f>
        <v/>
      </c>
      <c r="AU172">
        <f>IFERROR(INDEX(PP_Grid[#Data],$DD172,45),0)</f>
        <v/>
      </c>
      <c r="AV172">
        <f>IFERROR(INDEX(PP_Grid[#Data],$DD172,46),0)</f>
        <v/>
      </c>
      <c r="AW172">
        <f>IFERROR(INDEX(PP_Grid[#Data],$DD172,47),0)</f>
        <v/>
      </c>
      <c r="AX172">
        <f>IFERROR(INDEX(PP_Grid[#Data],$DD172,48),0)</f>
        <v/>
      </c>
      <c r="AY172">
        <f>IFERROR(INDEX(PP_Grid[#Data],$DD172,49),0)</f>
        <v/>
      </c>
      <c r="AZ172">
        <f>IFERROR(INDEX(PP_Grid[#Data],$DD172,50),0)</f>
        <v/>
      </c>
      <c r="BA172">
        <f>IFERROR(INDEX(PP_Grid[#Data],$DD172,51),0)</f>
        <v/>
      </c>
      <c r="BB172">
        <f>IFERROR(INDEX(PP_Grid[#Data],$DD172,52),0)</f>
        <v/>
      </c>
      <c r="BC172">
        <f>IFERROR(INDEX(PP_Grid[#Data],$DD172,53),0)</f>
        <v/>
      </c>
      <c r="BD172">
        <f>IFERROR(INDEX(PP_Grid[#Data],$DD172,54),0)</f>
        <v/>
      </c>
      <c r="BE172">
        <f>IFERROR(INDEX(PP_Grid[#Data],$DD172,55),0)</f>
        <v/>
      </c>
      <c r="BF172">
        <f>IFERROR(INDEX(PP_Grid[#Data],$DD172,56),0)</f>
        <v/>
      </c>
      <c r="BG172">
        <f>IFERROR(INDEX(PP_Grid[#Data],$DD172,57),0)</f>
        <v/>
      </c>
      <c r="BH172">
        <f>IFERROR(INDEX(PP_Grid[#Data],$DD172,58),0)</f>
        <v/>
      </c>
      <c r="BI172">
        <f>IFERROR(INDEX(PP_Grid[#Data],$DD172,59),0)</f>
        <v/>
      </c>
      <c r="BJ172">
        <f>IFERROR(INDEX(PP_Grid[#Data],$DD172,60),0)</f>
        <v/>
      </c>
      <c r="BK172">
        <f>IFERROR(INDEX(PP_Grid[#Data],$DD172,61),0)</f>
        <v/>
      </c>
      <c r="BL172">
        <f>IFERROR(INDEX(PP_Grid[#Data],$DD172,62),0)</f>
        <v/>
      </c>
      <c r="BM172">
        <f>IFERROR(INDEX(PP_Grid[#Data],$DD172,63),0)</f>
        <v/>
      </c>
      <c r="BN172">
        <f>IFERROR(INDEX(PP_Grid[#Data],$DD172,64),0)</f>
        <v/>
      </c>
      <c r="BO172">
        <f>IFERROR(INDEX(PP_Grid[#Data],$DD172,65),0)</f>
        <v/>
      </c>
      <c r="BP172">
        <f>IFERROR(INDEX(PP_Grid[#Data],$DD172,66),0)</f>
        <v/>
      </c>
      <c r="BQ172">
        <f>IFERROR(INDEX(PP_Grid[#Data],$DD172,67),0)</f>
        <v/>
      </c>
      <c r="BR172">
        <f>IFERROR(INDEX(PP_Grid[#Data],$DD172,68),0)</f>
        <v/>
      </c>
      <c r="BS172">
        <f>IFERROR(INDEX(PP_Grid[#Data],$DD172,69),0)</f>
        <v/>
      </c>
      <c r="BT172">
        <f>IFERROR(INDEX(PP_Grid[#Data],$DD172,70),0)</f>
        <v/>
      </c>
      <c r="BU172">
        <f>IFERROR(INDEX(PP_Grid[#Data],$DD172,71),0)</f>
        <v/>
      </c>
      <c r="BV172">
        <f>IFERROR(INDEX(PP_Grid[#Data],$DD172,72),0)</f>
        <v/>
      </c>
      <c r="BW172">
        <f>IFERROR(INDEX(PP_Grid[#Data],$DD172,73),0)</f>
        <v/>
      </c>
      <c r="BX172">
        <f>IFERROR(INDEX(PP_Grid[#Data],$DD172,74),0)</f>
        <v/>
      </c>
      <c r="BY172">
        <f>IFERROR(INDEX(PP_Grid[#Data],$DD172,75),0)</f>
        <v/>
      </c>
      <c r="BZ172">
        <f>IFERROR(INDEX(PP_Grid[#Data],$DD172,76),0)</f>
        <v/>
      </c>
      <c r="CA172">
        <f>IFERROR(INDEX(PP_Grid[#Data],$DD172,77),0)</f>
        <v/>
      </c>
      <c r="CB172">
        <f>IFERROR(INDEX(PP_Grid[#Data],$DD172,78),0)</f>
        <v/>
      </c>
      <c r="CC172">
        <f>IFERROR(INDEX(PP_Grid[#Data],$DD172,79),0)</f>
        <v/>
      </c>
      <c r="CD172">
        <f>IFERROR(INDEX(PP_Grid[#Data],$DD172,80),0)</f>
        <v/>
      </c>
      <c r="CE172">
        <f>IFERROR(INDEX(PP_Grid[#Data],$DD172,81),0)</f>
        <v/>
      </c>
      <c r="CF172">
        <f>IFERROR(INDEX(PP_Grid[#Data],$DD172,82),0)</f>
        <v/>
      </c>
      <c r="CG172">
        <f>IFERROR(INDEX(PP_Grid[#Data],$DD172,83),0)</f>
        <v/>
      </c>
      <c r="CH172">
        <f>IFERROR(INDEX(PP_Grid[#Data],$DD172,84),0)</f>
        <v/>
      </c>
      <c r="CI172">
        <f>IFERROR(INDEX(PP_Grid[#Data],$DD172,85),0)</f>
        <v/>
      </c>
      <c r="CJ172">
        <f>IFERROR(INDEX(PP_Grid[#Data],$DD172,86),0)</f>
        <v/>
      </c>
      <c r="CK172">
        <f>IFERROR(INDEX(PP_Grid[#Data],$DD172,87),0)</f>
        <v/>
      </c>
      <c r="CL172">
        <f>IFERROR(INDEX(PP_Grid[#Data],$DD172,88),0)</f>
        <v/>
      </c>
      <c r="CM172">
        <f>IFERROR(INDEX(PP_Grid[#Data],$DD172,89),0)</f>
        <v/>
      </c>
      <c r="CN172">
        <f>IFERROR(INDEX(PP_Grid[#Data],$DD172,90),0)</f>
        <v/>
      </c>
      <c r="CO172">
        <f>IFERROR(INDEX(PP_Grid[#Data],$DD172,91),0)</f>
        <v/>
      </c>
      <c r="CP172">
        <f>IFERROR(INDEX(PP_Grid[#Data],$DD172,92),0)</f>
        <v/>
      </c>
      <c r="CQ172">
        <f>IFERROR(INDEX(PP_Grid[#Data],$DD172,93),0)</f>
        <v/>
      </c>
      <c r="CR172">
        <f>IFERROR(INDEX(PP_Grid[#Data],$DD172,94),0)</f>
        <v/>
      </c>
      <c r="CS172">
        <f>IFERROR(INDEX(PP_Grid[#Data],$DD172,95),0)</f>
        <v/>
      </c>
      <c r="CT172">
        <f>IFERROR(INDEX(PP_Grid[#Data],$DD172,96),0)</f>
        <v/>
      </c>
      <c r="CU172">
        <f>IFERROR(INDEX(PP_Grid[#Data],$DD172,97),0)</f>
        <v/>
      </c>
      <c r="CV172">
        <f>IFERROR(INDEX(PP_Grid[#Data],$DD172,98),0)</f>
        <v/>
      </c>
      <c r="CW172">
        <f>IFERROR(INDEX(PP_Grid[#Data],$DD172,99),0)</f>
        <v/>
      </c>
      <c r="CX172">
        <f>IFERROR(INDEX(PP_Grid[#Data],$DD172,100),0)</f>
        <v/>
      </c>
      <c r="CY172">
        <f>IFERROR(INDEX(PP_Grid[#Data],$DD172,101),0)</f>
        <v/>
      </c>
      <c r="CZ172">
        <f>IFERROR(INDEX(PP_Grid[#Data],$DD172,102),0)</f>
        <v/>
      </c>
      <c r="DA172">
        <f>IFERROR(INDEX(PP_Grid[#Data],$DD172,103),0)</f>
        <v/>
      </c>
      <c r="DB172">
        <f>IFERROR(INDEX(PP_Grid[#Data],$DD172,104),0)</f>
        <v/>
      </c>
      <c r="DC172">
        <f>IFERROR(INDEX(PP_Grid[#Data],$DD172,105),0)</f>
        <v/>
      </c>
      <c r="DD172" s="7">
        <f>IFERROR(MATCH($B172,PP_Grid[Intermediate],0),99999)</f>
        <v/>
      </c>
    </row>
    <row r="173">
      <c r="B173" t="inlineStr">
        <is>
          <t>使用量(kg)</t>
        </is>
      </c>
      <c r="C173">
        <f>SUMIFS(M_BOM[RM_Qty_Per_Batch],M_BOM[Intermediate],$B172,M_BOM[Part Name],$A45)</f>
        <v/>
      </c>
      <c r="D173">
        <f>$C173*D172</f>
        <v/>
      </c>
      <c r="E173">
        <f>$C173*E172</f>
        <v/>
      </c>
      <c r="F173">
        <f>$C173*F172</f>
        <v/>
      </c>
      <c r="G173">
        <f>$C173*G172</f>
        <v/>
      </c>
      <c r="H173">
        <f>$C173*H172</f>
        <v/>
      </c>
      <c r="I173">
        <f>$C173*I172</f>
        <v/>
      </c>
      <c r="J173">
        <f>$C173*J172</f>
        <v/>
      </c>
      <c r="K173">
        <f>$C173*K172</f>
        <v/>
      </c>
      <c r="L173">
        <f>$C173*L172</f>
        <v/>
      </c>
      <c r="M173">
        <f>$C173*M172</f>
        <v/>
      </c>
      <c r="N173">
        <f>$C173*N172</f>
        <v/>
      </c>
      <c r="O173">
        <f>$C173*O172</f>
        <v/>
      </c>
      <c r="P173">
        <f>$C173*P172</f>
        <v/>
      </c>
      <c r="Q173">
        <f>$C173*Q172</f>
        <v/>
      </c>
      <c r="R173">
        <f>$C173*R172</f>
        <v/>
      </c>
      <c r="S173">
        <f>$C173*S172</f>
        <v/>
      </c>
      <c r="T173">
        <f>$C173*T172</f>
        <v/>
      </c>
      <c r="U173">
        <f>$C173*U172</f>
        <v/>
      </c>
      <c r="V173">
        <f>$C173*V172</f>
        <v/>
      </c>
      <c r="W173">
        <f>$C173*W172</f>
        <v/>
      </c>
      <c r="X173">
        <f>$C173*X172</f>
        <v/>
      </c>
      <c r="Y173">
        <f>$C173*Y172</f>
        <v/>
      </c>
      <c r="Z173">
        <f>$C173*Z172</f>
        <v/>
      </c>
      <c r="AA173">
        <f>$C173*AA172</f>
        <v/>
      </c>
      <c r="AB173">
        <f>$C173*AB172</f>
        <v/>
      </c>
      <c r="AC173">
        <f>$C173*AC172</f>
        <v/>
      </c>
      <c r="AD173">
        <f>$C173*AD172</f>
        <v/>
      </c>
      <c r="AE173">
        <f>$C173*AE172</f>
        <v/>
      </c>
      <c r="AF173">
        <f>$C173*AF172</f>
        <v/>
      </c>
      <c r="AG173">
        <f>$C173*AG172</f>
        <v/>
      </c>
      <c r="AH173">
        <f>$C173*AH172</f>
        <v/>
      </c>
      <c r="AI173">
        <f>$C173*AI172</f>
        <v/>
      </c>
      <c r="AJ173">
        <f>$C173*AJ172</f>
        <v/>
      </c>
      <c r="AK173">
        <f>$C173*AK172</f>
        <v/>
      </c>
      <c r="AL173">
        <f>$C173*AL172</f>
        <v/>
      </c>
      <c r="AM173">
        <f>$C173*AM172</f>
        <v/>
      </c>
      <c r="AN173">
        <f>$C173*AN172</f>
        <v/>
      </c>
      <c r="AO173">
        <f>$C173*AO172</f>
        <v/>
      </c>
      <c r="AP173">
        <f>$C173*AP172</f>
        <v/>
      </c>
      <c r="AQ173">
        <f>$C173*AQ172</f>
        <v/>
      </c>
      <c r="AR173">
        <f>$C173*AR172</f>
        <v/>
      </c>
      <c r="AS173">
        <f>$C173*AS172</f>
        <v/>
      </c>
      <c r="AT173">
        <f>$C173*AT172</f>
        <v/>
      </c>
      <c r="AU173">
        <f>$C173*AU172</f>
        <v/>
      </c>
      <c r="AV173">
        <f>$C173*AV172</f>
        <v/>
      </c>
      <c r="AW173">
        <f>$C173*AW172</f>
        <v/>
      </c>
      <c r="AX173">
        <f>$C173*AX172</f>
        <v/>
      </c>
      <c r="AY173">
        <f>$C173*AY172</f>
        <v/>
      </c>
      <c r="AZ173">
        <f>$C173*AZ172</f>
        <v/>
      </c>
      <c r="BA173">
        <f>$C173*BA172</f>
        <v/>
      </c>
      <c r="BB173">
        <f>$C173*BB172</f>
        <v/>
      </c>
      <c r="BC173">
        <f>$C173*BC172</f>
        <v/>
      </c>
      <c r="BD173">
        <f>$C173*BD172</f>
        <v/>
      </c>
      <c r="BE173">
        <f>$C173*BE172</f>
        <v/>
      </c>
      <c r="BF173">
        <f>$C173*BF172</f>
        <v/>
      </c>
      <c r="BG173">
        <f>$C173*BG172</f>
        <v/>
      </c>
      <c r="BH173">
        <f>$C173*BH172</f>
        <v/>
      </c>
      <c r="BI173">
        <f>$C173*BI172</f>
        <v/>
      </c>
      <c r="BJ173">
        <f>$C173*BJ172</f>
        <v/>
      </c>
      <c r="BK173">
        <f>$C173*BK172</f>
        <v/>
      </c>
      <c r="BL173">
        <f>$C173*BL172</f>
        <v/>
      </c>
      <c r="BM173">
        <f>$C173*BM172</f>
        <v/>
      </c>
      <c r="BN173">
        <f>$C173*BN172</f>
        <v/>
      </c>
      <c r="BO173">
        <f>$C173*BO172</f>
        <v/>
      </c>
      <c r="BP173">
        <f>$C173*BP172</f>
        <v/>
      </c>
      <c r="BQ173">
        <f>$C173*BQ172</f>
        <v/>
      </c>
      <c r="BR173">
        <f>$C173*BR172</f>
        <v/>
      </c>
      <c r="BS173">
        <f>$C173*BS172</f>
        <v/>
      </c>
      <c r="BT173">
        <f>$C173*BT172</f>
        <v/>
      </c>
      <c r="BU173">
        <f>$C173*BU172</f>
        <v/>
      </c>
      <c r="BV173">
        <f>$C173*BV172</f>
        <v/>
      </c>
      <c r="BW173">
        <f>$C173*BW172</f>
        <v/>
      </c>
      <c r="BX173">
        <f>$C173*BX172</f>
        <v/>
      </c>
      <c r="BY173">
        <f>$C173*BY172</f>
        <v/>
      </c>
      <c r="BZ173">
        <f>$C173*BZ172</f>
        <v/>
      </c>
      <c r="CA173">
        <f>$C173*CA172</f>
        <v/>
      </c>
      <c r="CB173">
        <f>$C173*CB172</f>
        <v/>
      </c>
      <c r="CC173">
        <f>$C173*CC172</f>
        <v/>
      </c>
      <c r="CD173">
        <f>$C173*CD172</f>
        <v/>
      </c>
      <c r="CE173">
        <f>$C173*CE172</f>
        <v/>
      </c>
      <c r="CF173">
        <f>$C173*CF172</f>
        <v/>
      </c>
      <c r="CG173">
        <f>$C173*CG172</f>
        <v/>
      </c>
      <c r="CH173">
        <f>$C173*CH172</f>
        <v/>
      </c>
      <c r="CI173">
        <f>$C173*CI172</f>
        <v/>
      </c>
      <c r="CJ173">
        <f>$C173*CJ172</f>
        <v/>
      </c>
      <c r="CK173">
        <f>$C173*CK172</f>
        <v/>
      </c>
      <c r="CL173">
        <f>$C173*CL172</f>
        <v/>
      </c>
      <c r="CM173">
        <f>$C173*CM172</f>
        <v/>
      </c>
      <c r="CN173">
        <f>$C173*CN172</f>
        <v/>
      </c>
      <c r="CO173">
        <f>$C173*CO172</f>
        <v/>
      </c>
      <c r="CP173">
        <f>$C173*CP172</f>
        <v/>
      </c>
      <c r="CQ173">
        <f>$C173*CQ172</f>
        <v/>
      </c>
      <c r="CR173">
        <f>$C173*CR172</f>
        <v/>
      </c>
      <c r="CS173">
        <f>$C173*CS172</f>
        <v/>
      </c>
      <c r="CT173">
        <f>$C173*CT172</f>
        <v/>
      </c>
      <c r="CU173">
        <f>$C173*CU172</f>
        <v/>
      </c>
      <c r="CV173">
        <f>$C173*CV172</f>
        <v/>
      </c>
      <c r="CW173">
        <f>$C173*CW172</f>
        <v/>
      </c>
      <c r="CX173">
        <f>$C173*CX172</f>
        <v/>
      </c>
      <c r="CY173">
        <f>$C173*CY172</f>
        <v/>
      </c>
      <c r="CZ173">
        <f>$C173*CZ172</f>
        <v/>
      </c>
      <c r="DA173">
        <f>$C173*DA172</f>
        <v/>
      </c>
      <c r="DB173">
        <f>$C173*DB172</f>
        <v/>
      </c>
      <c r="DC173">
        <f>$C173*DC172</f>
        <v/>
      </c>
    </row>
    <row r="174">
      <c r="B174" t="inlineStr">
        <is>
          <t>VSP-604</t>
        </is>
      </c>
      <c r="C174" t="inlineStr">
        <is>
          <t>No. of batches</t>
        </is>
      </c>
      <c r="D174">
        <f>IFERROR(INDEX(PP_Grid[#Data],$DD174,2),0)</f>
        <v/>
      </c>
      <c r="E174">
        <f>IFERROR(INDEX(PP_Grid[#Data],$DD174,3),0)</f>
        <v/>
      </c>
      <c r="F174">
        <f>IFERROR(INDEX(PP_Grid[#Data],$DD174,4),0)</f>
        <v/>
      </c>
      <c r="G174">
        <f>IFERROR(INDEX(PP_Grid[#Data],$DD174,5),0)</f>
        <v/>
      </c>
      <c r="H174">
        <f>IFERROR(INDEX(PP_Grid[#Data],$DD174,6),0)</f>
        <v/>
      </c>
      <c r="I174">
        <f>IFERROR(INDEX(PP_Grid[#Data],$DD174,7),0)</f>
        <v/>
      </c>
      <c r="J174">
        <f>IFERROR(INDEX(PP_Grid[#Data],$DD174,8),0)</f>
        <v/>
      </c>
      <c r="K174">
        <f>IFERROR(INDEX(PP_Grid[#Data],$DD174,9),0)</f>
        <v/>
      </c>
      <c r="L174">
        <f>IFERROR(INDEX(PP_Grid[#Data],$DD174,10),0)</f>
        <v/>
      </c>
      <c r="M174">
        <f>IFERROR(INDEX(PP_Grid[#Data],$DD174,11),0)</f>
        <v/>
      </c>
      <c r="N174">
        <f>IFERROR(INDEX(PP_Grid[#Data],$DD174,12),0)</f>
        <v/>
      </c>
      <c r="O174">
        <f>IFERROR(INDEX(PP_Grid[#Data],$DD174,13),0)</f>
        <v/>
      </c>
      <c r="P174">
        <f>IFERROR(INDEX(PP_Grid[#Data],$DD174,14),0)</f>
        <v/>
      </c>
      <c r="Q174">
        <f>IFERROR(INDEX(PP_Grid[#Data],$DD174,15),0)</f>
        <v/>
      </c>
      <c r="R174">
        <f>IFERROR(INDEX(PP_Grid[#Data],$DD174,16),0)</f>
        <v/>
      </c>
      <c r="S174">
        <f>IFERROR(INDEX(PP_Grid[#Data],$DD174,17),0)</f>
        <v/>
      </c>
      <c r="T174">
        <f>IFERROR(INDEX(PP_Grid[#Data],$DD174,18),0)</f>
        <v/>
      </c>
      <c r="U174">
        <f>IFERROR(INDEX(PP_Grid[#Data],$DD174,19),0)</f>
        <v/>
      </c>
      <c r="V174">
        <f>IFERROR(INDEX(PP_Grid[#Data],$DD174,20),0)</f>
        <v/>
      </c>
      <c r="W174">
        <f>IFERROR(INDEX(PP_Grid[#Data],$DD174,21),0)</f>
        <v/>
      </c>
      <c r="X174">
        <f>IFERROR(INDEX(PP_Grid[#Data],$DD174,22),0)</f>
        <v/>
      </c>
      <c r="Y174">
        <f>IFERROR(INDEX(PP_Grid[#Data],$DD174,23),0)</f>
        <v/>
      </c>
      <c r="Z174">
        <f>IFERROR(INDEX(PP_Grid[#Data],$DD174,24),0)</f>
        <v/>
      </c>
      <c r="AA174">
        <f>IFERROR(INDEX(PP_Grid[#Data],$DD174,25),0)</f>
        <v/>
      </c>
      <c r="AB174">
        <f>IFERROR(INDEX(PP_Grid[#Data],$DD174,26),0)</f>
        <v/>
      </c>
      <c r="AC174">
        <f>IFERROR(INDEX(PP_Grid[#Data],$DD174,27),0)</f>
        <v/>
      </c>
      <c r="AD174">
        <f>IFERROR(INDEX(PP_Grid[#Data],$DD174,28),0)</f>
        <v/>
      </c>
      <c r="AE174">
        <f>IFERROR(INDEX(PP_Grid[#Data],$DD174,29),0)</f>
        <v/>
      </c>
      <c r="AF174">
        <f>IFERROR(INDEX(PP_Grid[#Data],$DD174,30),0)</f>
        <v/>
      </c>
      <c r="AG174">
        <f>IFERROR(INDEX(PP_Grid[#Data],$DD174,31),0)</f>
        <v/>
      </c>
      <c r="AH174">
        <f>IFERROR(INDEX(PP_Grid[#Data],$DD174,32),0)</f>
        <v/>
      </c>
      <c r="AI174">
        <f>IFERROR(INDEX(PP_Grid[#Data],$DD174,33),0)</f>
        <v/>
      </c>
      <c r="AJ174">
        <f>IFERROR(INDEX(PP_Grid[#Data],$DD174,34),0)</f>
        <v/>
      </c>
      <c r="AK174">
        <f>IFERROR(INDEX(PP_Grid[#Data],$DD174,35),0)</f>
        <v/>
      </c>
      <c r="AL174">
        <f>IFERROR(INDEX(PP_Grid[#Data],$DD174,36),0)</f>
        <v/>
      </c>
      <c r="AM174">
        <f>IFERROR(INDEX(PP_Grid[#Data],$DD174,37),0)</f>
        <v/>
      </c>
      <c r="AN174">
        <f>IFERROR(INDEX(PP_Grid[#Data],$DD174,38),0)</f>
        <v/>
      </c>
      <c r="AO174">
        <f>IFERROR(INDEX(PP_Grid[#Data],$DD174,39),0)</f>
        <v/>
      </c>
      <c r="AP174">
        <f>IFERROR(INDEX(PP_Grid[#Data],$DD174,40),0)</f>
        <v/>
      </c>
      <c r="AQ174">
        <f>IFERROR(INDEX(PP_Grid[#Data],$DD174,41),0)</f>
        <v/>
      </c>
      <c r="AR174">
        <f>IFERROR(INDEX(PP_Grid[#Data],$DD174,42),0)</f>
        <v/>
      </c>
      <c r="AS174">
        <f>IFERROR(INDEX(PP_Grid[#Data],$DD174,43),0)</f>
        <v/>
      </c>
      <c r="AT174">
        <f>IFERROR(INDEX(PP_Grid[#Data],$DD174,44),0)</f>
        <v/>
      </c>
      <c r="AU174">
        <f>IFERROR(INDEX(PP_Grid[#Data],$DD174,45),0)</f>
        <v/>
      </c>
      <c r="AV174">
        <f>IFERROR(INDEX(PP_Grid[#Data],$DD174,46),0)</f>
        <v/>
      </c>
      <c r="AW174">
        <f>IFERROR(INDEX(PP_Grid[#Data],$DD174,47),0)</f>
        <v/>
      </c>
      <c r="AX174">
        <f>IFERROR(INDEX(PP_Grid[#Data],$DD174,48),0)</f>
        <v/>
      </c>
      <c r="AY174">
        <f>IFERROR(INDEX(PP_Grid[#Data],$DD174,49),0)</f>
        <v/>
      </c>
      <c r="AZ174">
        <f>IFERROR(INDEX(PP_Grid[#Data],$DD174,50),0)</f>
        <v/>
      </c>
      <c r="BA174">
        <f>IFERROR(INDEX(PP_Grid[#Data],$DD174,51),0)</f>
        <v/>
      </c>
      <c r="BB174">
        <f>IFERROR(INDEX(PP_Grid[#Data],$DD174,52),0)</f>
        <v/>
      </c>
      <c r="BC174">
        <f>IFERROR(INDEX(PP_Grid[#Data],$DD174,53),0)</f>
        <v/>
      </c>
      <c r="BD174">
        <f>IFERROR(INDEX(PP_Grid[#Data],$DD174,54),0)</f>
        <v/>
      </c>
      <c r="BE174">
        <f>IFERROR(INDEX(PP_Grid[#Data],$DD174,55),0)</f>
        <v/>
      </c>
      <c r="BF174">
        <f>IFERROR(INDEX(PP_Grid[#Data],$DD174,56),0)</f>
        <v/>
      </c>
      <c r="BG174">
        <f>IFERROR(INDEX(PP_Grid[#Data],$DD174,57),0)</f>
        <v/>
      </c>
      <c r="BH174">
        <f>IFERROR(INDEX(PP_Grid[#Data],$DD174,58),0)</f>
        <v/>
      </c>
      <c r="BI174">
        <f>IFERROR(INDEX(PP_Grid[#Data],$DD174,59),0)</f>
        <v/>
      </c>
      <c r="BJ174">
        <f>IFERROR(INDEX(PP_Grid[#Data],$DD174,60),0)</f>
        <v/>
      </c>
      <c r="BK174">
        <f>IFERROR(INDEX(PP_Grid[#Data],$DD174,61),0)</f>
        <v/>
      </c>
      <c r="BL174">
        <f>IFERROR(INDEX(PP_Grid[#Data],$DD174,62),0)</f>
        <v/>
      </c>
      <c r="BM174">
        <f>IFERROR(INDEX(PP_Grid[#Data],$DD174,63),0)</f>
        <v/>
      </c>
      <c r="BN174">
        <f>IFERROR(INDEX(PP_Grid[#Data],$DD174,64),0)</f>
        <v/>
      </c>
      <c r="BO174">
        <f>IFERROR(INDEX(PP_Grid[#Data],$DD174,65),0)</f>
        <v/>
      </c>
      <c r="BP174">
        <f>IFERROR(INDEX(PP_Grid[#Data],$DD174,66),0)</f>
        <v/>
      </c>
      <c r="BQ174">
        <f>IFERROR(INDEX(PP_Grid[#Data],$DD174,67),0)</f>
        <v/>
      </c>
      <c r="BR174">
        <f>IFERROR(INDEX(PP_Grid[#Data],$DD174,68),0)</f>
        <v/>
      </c>
      <c r="BS174">
        <f>IFERROR(INDEX(PP_Grid[#Data],$DD174,69),0)</f>
        <v/>
      </c>
      <c r="BT174">
        <f>IFERROR(INDEX(PP_Grid[#Data],$DD174,70),0)</f>
        <v/>
      </c>
      <c r="BU174">
        <f>IFERROR(INDEX(PP_Grid[#Data],$DD174,71),0)</f>
        <v/>
      </c>
      <c r="BV174">
        <f>IFERROR(INDEX(PP_Grid[#Data],$DD174,72),0)</f>
        <v/>
      </c>
      <c r="BW174">
        <f>IFERROR(INDEX(PP_Grid[#Data],$DD174,73),0)</f>
        <v/>
      </c>
      <c r="BX174">
        <f>IFERROR(INDEX(PP_Grid[#Data],$DD174,74),0)</f>
        <v/>
      </c>
      <c r="BY174">
        <f>IFERROR(INDEX(PP_Grid[#Data],$DD174,75),0)</f>
        <v/>
      </c>
      <c r="BZ174">
        <f>IFERROR(INDEX(PP_Grid[#Data],$DD174,76),0)</f>
        <v/>
      </c>
      <c r="CA174">
        <f>IFERROR(INDEX(PP_Grid[#Data],$DD174,77),0)</f>
        <v/>
      </c>
      <c r="CB174">
        <f>IFERROR(INDEX(PP_Grid[#Data],$DD174,78),0)</f>
        <v/>
      </c>
      <c r="CC174">
        <f>IFERROR(INDEX(PP_Grid[#Data],$DD174,79),0)</f>
        <v/>
      </c>
      <c r="CD174">
        <f>IFERROR(INDEX(PP_Grid[#Data],$DD174,80),0)</f>
        <v/>
      </c>
      <c r="CE174">
        <f>IFERROR(INDEX(PP_Grid[#Data],$DD174,81),0)</f>
        <v/>
      </c>
      <c r="CF174">
        <f>IFERROR(INDEX(PP_Grid[#Data],$DD174,82),0)</f>
        <v/>
      </c>
      <c r="CG174">
        <f>IFERROR(INDEX(PP_Grid[#Data],$DD174,83),0)</f>
        <v/>
      </c>
      <c r="CH174">
        <f>IFERROR(INDEX(PP_Grid[#Data],$DD174,84),0)</f>
        <v/>
      </c>
      <c r="CI174">
        <f>IFERROR(INDEX(PP_Grid[#Data],$DD174,85),0)</f>
        <v/>
      </c>
      <c r="CJ174">
        <f>IFERROR(INDEX(PP_Grid[#Data],$DD174,86),0)</f>
        <v/>
      </c>
      <c r="CK174">
        <f>IFERROR(INDEX(PP_Grid[#Data],$DD174,87),0)</f>
        <v/>
      </c>
      <c r="CL174">
        <f>IFERROR(INDEX(PP_Grid[#Data],$DD174,88),0)</f>
        <v/>
      </c>
      <c r="CM174">
        <f>IFERROR(INDEX(PP_Grid[#Data],$DD174,89),0)</f>
        <v/>
      </c>
      <c r="CN174">
        <f>IFERROR(INDEX(PP_Grid[#Data],$DD174,90),0)</f>
        <v/>
      </c>
      <c r="CO174">
        <f>IFERROR(INDEX(PP_Grid[#Data],$DD174,91),0)</f>
        <v/>
      </c>
      <c r="CP174">
        <f>IFERROR(INDEX(PP_Grid[#Data],$DD174,92),0)</f>
        <v/>
      </c>
      <c r="CQ174">
        <f>IFERROR(INDEX(PP_Grid[#Data],$DD174,93),0)</f>
        <v/>
      </c>
      <c r="CR174">
        <f>IFERROR(INDEX(PP_Grid[#Data],$DD174,94),0)</f>
        <v/>
      </c>
      <c r="CS174">
        <f>IFERROR(INDEX(PP_Grid[#Data],$DD174,95),0)</f>
        <v/>
      </c>
      <c r="CT174">
        <f>IFERROR(INDEX(PP_Grid[#Data],$DD174,96),0)</f>
        <v/>
      </c>
      <c r="CU174">
        <f>IFERROR(INDEX(PP_Grid[#Data],$DD174,97),0)</f>
        <v/>
      </c>
      <c r="CV174">
        <f>IFERROR(INDEX(PP_Grid[#Data],$DD174,98),0)</f>
        <v/>
      </c>
      <c r="CW174">
        <f>IFERROR(INDEX(PP_Grid[#Data],$DD174,99),0)</f>
        <v/>
      </c>
      <c r="CX174">
        <f>IFERROR(INDEX(PP_Grid[#Data],$DD174,100),0)</f>
        <v/>
      </c>
      <c r="CY174">
        <f>IFERROR(INDEX(PP_Grid[#Data],$DD174,101),0)</f>
        <v/>
      </c>
      <c r="CZ174">
        <f>IFERROR(INDEX(PP_Grid[#Data],$DD174,102),0)</f>
        <v/>
      </c>
      <c r="DA174">
        <f>IFERROR(INDEX(PP_Grid[#Data],$DD174,103),0)</f>
        <v/>
      </c>
      <c r="DB174">
        <f>IFERROR(INDEX(PP_Grid[#Data],$DD174,104),0)</f>
        <v/>
      </c>
      <c r="DC174">
        <f>IFERROR(INDEX(PP_Grid[#Data],$DD174,105),0)</f>
        <v/>
      </c>
      <c r="DD174" s="7">
        <f>IFERROR(MATCH($B174,PP_Grid[Intermediate],0),99999)</f>
        <v/>
      </c>
    </row>
    <row r="175">
      <c r="B175" t="inlineStr">
        <is>
          <t>使用量(kg)</t>
        </is>
      </c>
      <c r="C175">
        <f>SUMIFS(M_BOM[RM_Qty_Per_Batch],M_BOM[Intermediate],$B174,M_BOM[Part Name],$A45)</f>
        <v/>
      </c>
      <c r="D175">
        <f>$C175*D174</f>
        <v/>
      </c>
      <c r="E175">
        <f>$C175*E174</f>
        <v/>
      </c>
      <c r="F175">
        <f>$C175*F174</f>
        <v/>
      </c>
      <c r="G175">
        <f>$C175*G174</f>
        <v/>
      </c>
      <c r="H175">
        <f>$C175*H174</f>
        <v/>
      </c>
      <c r="I175">
        <f>$C175*I174</f>
        <v/>
      </c>
      <c r="J175">
        <f>$C175*J174</f>
        <v/>
      </c>
      <c r="K175">
        <f>$C175*K174</f>
        <v/>
      </c>
      <c r="L175">
        <f>$C175*L174</f>
        <v/>
      </c>
      <c r="M175">
        <f>$C175*M174</f>
        <v/>
      </c>
      <c r="N175">
        <f>$C175*N174</f>
        <v/>
      </c>
      <c r="O175">
        <f>$C175*O174</f>
        <v/>
      </c>
      <c r="P175">
        <f>$C175*P174</f>
        <v/>
      </c>
      <c r="Q175">
        <f>$C175*Q174</f>
        <v/>
      </c>
      <c r="R175">
        <f>$C175*R174</f>
        <v/>
      </c>
      <c r="S175">
        <f>$C175*S174</f>
        <v/>
      </c>
      <c r="T175">
        <f>$C175*T174</f>
        <v/>
      </c>
      <c r="U175">
        <f>$C175*U174</f>
        <v/>
      </c>
      <c r="V175">
        <f>$C175*V174</f>
        <v/>
      </c>
      <c r="W175">
        <f>$C175*W174</f>
        <v/>
      </c>
      <c r="X175">
        <f>$C175*X174</f>
        <v/>
      </c>
      <c r="Y175">
        <f>$C175*Y174</f>
        <v/>
      </c>
      <c r="Z175">
        <f>$C175*Z174</f>
        <v/>
      </c>
      <c r="AA175">
        <f>$C175*AA174</f>
        <v/>
      </c>
      <c r="AB175">
        <f>$C175*AB174</f>
        <v/>
      </c>
      <c r="AC175">
        <f>$C175*AC174</f>
        <v/>
      </c>
      <c r="AD175">
        <f>$C175*AD174</f>
        <v/>
      </c>
      <c r="AE175">
        <f>$C175*AE174</f>
        <v/>
      </c>
      <c r="AF175">
        <f>$C175*AF174</f>
        <v/>
      </c>
      <c r="AG175">
        <f>$C175*AG174</f>
        <v/>
      </c>
      <c r="AH175">
        <f>$C175*AH174</f>
        <v/>
      </c>
      <c r="AI175">
        <f>$C175*AI174</f>
        <v/>
      </c>
      <c r="AJ175">
        <f>$C175*AJ174</f>
        <v/>
      </c>
      <c r="AK175">
        <f>$C175*AK174</f>
        <v/>
      </c>
      <c r="AL175">
        <f>$C175*AL174</f>
        <v/>
      </c>
      <c r="AM175">
        <f>$C175*AM174</f>
        <v/>
      </c>
      <c r="AN175">
        <f>$C175*AN174</f>
        <v/>
      </c>
      <c r="AO175">
        <f>$C175*AO174</f>
        <v/>
      </c>
      <c r="AP175">
        <f>$C175*AP174</f>
        <v/>
      </c>
      <c r="AQ175">
        <f>$C175*AQ174</f>
        <v/>
      </c>
      <c r="AR175">
        <f>$C175*AR174</f>
        <v/>
      </c>
      <c r="AS175">
        <f>$C175*AS174</f>
        <v/>
      </c>
      <c r="AT175">
        <f>$C175*AT174</f>
        <v/>
      </c>
      <c r="AU175">
        <f>$C175*AU174</f>
        <v/>
      </c>
      <c r="AV175">
        <f>$C175*AV174</f>
        <v/>
      </c>
      <c r="AW175">
        <f>$C175*AW174</f>
        <v/>
      </c>
      <c r="AX175">
        <f>$C175*AX174</f>
        <v/>
      </c>
      <c r="AY175">
        <f>$C175*AY174</f>
        <v/>
      </c>
      <c r="AZ175">
        <f>$C175*AZ174</f>
        <v/>
      </c>
      <c r="BA175">
        <f>$C175*BA174</f>
        <v/>
      </c>
      <c r="BB175">
        <f>$C175*BB174</f>
        <v/>
      </c>
      <c r="BC175">
        <f>$C175*BC174</f>
        <v/>
      </c>
      <c r="BD175">
        <f>$C175*BD174</f>
        <v/>
      </c>
      <c r="BE175">
        <f>$C175*BE174</f>
        <v/>
      </c>
      <c r="BF175">
        <f>$C175*BF174</f>
        <v/>
      </c>
      <c r="BG175">
        <f>$C175*BG174</f>
        <v/>
      </c>
      <c r="BH175">
        <f>$C175*BH174</f>
        <v/>
      </c>
      <c r="BI175">
        <f>$C175*BI174</f>
        <v/>
      </c>
      <c r="BJ175">
        <f>$C175*BJ174</f>
        <v/>
      </c>
      <c r="BK175">
        <f>$C175*BK174</f>
        <v/>
      </c>
      <c r="BL175">
        <f>$C175*BL174</f>
        <v/>
      </c>
      <c r="BM175">
        <f>$C175*BM174</f>
        <v/>
      </c>
      <c r="BN175">
        <f>$C175*BN174</f>
        <v/>
      </c>
      <c r="BO175">
        <f>$C175*BO174</f>
        <v/>
      </c>
      <c r="BP175">
        <f>$C175*BP174</f>
        <v/>
      </c>
      <c r="BQ175">
        <f>$C175*BQ174</f>
        <v/>
      </c>
      <c r="BR175">
        <f>$C175*BR174</f>
        <v/>
      </c>
      <c r="BS175">
        <f>$C175*BS174</f>
        <v/>
      </c>
      <c r="BT175">
        <f>$C175*BT174</f>
        <v/>
      </c>
      <c r="BU175">
        <f>$C175*BU174</f>
        <v/>
      </c>
      <c r="BV175">
        <f>$C175*BV174</f>
        <v/>
      </c>
      <c r="BW175">
        <f>$C175*BW174</f>
        <v/>
      </c>
      <c r="BX175">
        <f>$C175*BX174</f>
        <v/>
      </c>
      <c r="BY175">
        <f>$C175*BY174</f>
        <v/>
      </c>
      <c r="BZ175">
        <f>$C175*BZ174</f>
        <v/>
      </c>
      <c r="CA175">
        <f>$C175*CA174</f>
        <v/>
      </c>
      <c r="CB175">
        <f>$C175*CB174</f>
        <v/>
      </c>
      <c r="CC175">
        <f>$C175*CC174</f>
        <v/>
      </c>
      <c r="CD175">
        <f>$C175*CD174</f>
        <v/>
      </c>
      <c r="CE175">
        <f>$C175*CE174</f>
        <v/>
      </c>
      <c r="CF175">
        <f>$C175*CF174</f>
        <v/>
      </c>
      <c r="CG175">
        <f>$C175*CG174</f>
        <v/>
      </c>
      <c r="CH175">
        <f>$C175*CH174</f>
        <v/>
      </c>
      <c r="CI175">
        <f>$C175*CI174</f>
        <v/>
      </c>
      <c r="CJ175">
        <f>$C175*CJ174</f>
        <v/>
      </c>
      <c r="CK175">
        <f>$C175*CK174</f>
        <v/>
      </c>
      <c r="CL175">
        <f>$C175*CL174</f>
        <v/>
      </c>
      <c r="CM175">
        <f>$C175*CM174</f>
        <v/>
      </c>
      <c r="CN175">
        <f>$C175*CN174</f>
        <v/>
      </c>
      <c r="CO175">
        <f>$C175*CO174</f>
        <v/>
      </c>
      <c r="CP175">
        <f>$C175*CP174</f>
        <v/>
      </c>
      <c r="CQ175">
        <f>$C175*CQ174</f>
        <v/>
      </c>
      <c r="CR175">
        <f>$C175*CR174</f>
        <v/>
      </c>
      <c r="CS175">
        <f>$C175*CS174</f>
        <v/>
      </c>
      <c r="CT175">
        <f>$C175*CT174</f>
        <v/>
      </c>
      <c r="CU175">
        <f>$C175*CU174</f>
        <v/>
      </c>
      <c r="CV175">
        <f>$C175*CV174</f>
        <v/>
      </c>
      <c r="CW175">
        <f>$C175*CW174</f>
        <v/>
      </c>
      <c r="CX175">
        <f>$C175*CX174</f>
        <v/>
      </c>
      <c r="CY175">
        <f>$C175*CY174</f>
        <v/>
      </c>
      <c r="CZ175">
        <f>$C175*CZ174</f>
        <v/>
      </c>
      <c r="DA175">
        <f>$C175*DA174</f>
        <v/>
      </c>
      <c r="DB175">
        <f>$C175*DB174</f>
        <v/>
      </c>
      <c r="DC175">
        <f>$C175*DC174</f>
        <v/>
      </c>
    </row>
    <row r="176">
      <c r="B176" t="inlineStr">
        <is>
          <t>VSP-605</t>
        </is>
      </c>
      <c r="C176" t="inlineStr">
        <is>
          <t>No. of batches</t>
        </is>
      </c>
      <c r="D176">
        <f>IFERROR(INDEX(PP_Grid[#Data],$DD176,2),0)</f>
        <v/>
      </c>
      <c r="E176">
        <f>IFERROR(INDEX(PP_Grid[#Data],$DD176,3),0)</f>
        <v/>
      </c>
      <c r="F176">
        <f>IFERROR(INDEX(PP_Grid[#Data],$DD176,4),0)</f>
        <v/>
      </c>
      <c r="G176">
        <f>IFERROR(INDEX(PP_Grid[#Data],$DD176,5),0)</f>
        <v/>
      </c>
      <c r="H176">
        <f>IFERROR(INDEX(PP_Grid[#Data],$DD176,6),0)</f>
        <v/>
      </c>
      <c r="I176">
        <f>IFERROR(INDEX(PP_Grid[#Data],$DD176,7),0)</f>
        <v/>
      </c>
      <c r="J176">
        <f>IFERROR(INDEX(PP_Grid[#Data],$DD176,8),0)</f>
        <v/>
      </c>
      <c r="K176">
        <f>IFERROR(INDEX(PP_Grid[#Data],$DD176,9),0)</f>
        <v/>
      </c>
      <c r="L176">
        <f>IFERROR(INDEX(PP_Grid[#Data],$DD176,10),0)</f>
        <v/>
      </c>
      <c r="M176">
        <f>IFERROR(INDEX(PP_Grid[#Data],$DD176,11),0)</f>
        <v/>
      </c>
      <c r="N176">
        <f>IFERROR(INDEX(PP_Grid[#Data],$DD176,12),0)</f>
        <v/>
      </c>
      <c r="O176">
        <f>IFERROR(INDEX(PP_Grid[#Data],$DD176,13),0)</f>
        <v/>
      </c>
      <c r="P176">
        <f>IFERROR(INDEX(PP_Grid[#Data],$DD176,14),0)</f>
        <v/>
      </c>
      <c r="Q176">
        <f>IFERROR(INDEX(PP_Grid[#Data],$DD176,15),0)</f>
        <v/>
      </c>
      <c r="R176">
        <f>IFERROR(INDEX(PP_Grid[#Data],$DD176,16),0)</f>
        <v/>
      </c>
      <c r="S176">
        <f>IFERROR(INDEX(PP_Grid[#Data],$DD176,17),0)</f>
        <v/>
      </c>
      <c r="T176">
        <f>IFERROR(INDEX(PP_Grid[#Data],$DD176,18),0)</f>
        <v/>
      </c>
      <c r="U176">
        <f>IFERROR(INDEX(PP_Grid[#Data],$DD176,19),0)</f>
        <v/>
      </c>
      <c r="V176">
        <f>IFERROR(INDEX(PP_Grid[#Data],$DD176,20),0)</f>
        <v/>
      </c>
      <c r="W176">
        <f>IFERROR(INDEX(PP_Grid[#Data],$DD176,21),0)</f>
        <v/>
      </c>
      <c r="X176">
        <f>IFERROR(INDEX(PP_Grid[#Data],$DD176,22),0)</f>
        <v/>
      </c>
      <c r="Y176">
        <f>IFERROR(INDEX(PP_Grid[#Data],$DD176,23),0)</f>
        <v/>
      </c>
      <c r="Z176">
        <f>IFERROR(INDEX(PP_Grid[#Data],$DD176,24),0)</f>
        <v/>
      </c>
      <c r="AA176">
        <f>IFERROR(INDEX(PP_Grid[#Data],$DD176,25),0)</f>
        <v/>
      </c>
      <c r="AB176">
        <f>IFERROR(INDEX(PP_Grid[#Data],$DD176,26),0)</f>
        <v/>
      </c>
      <c r="AC176">
        <f>IFERROR(INDEX(PP_Grid[#Data],$DD176,27),0)</f>
        <v/>
      </c>
      <c r="AD176">
        <f>IFERROR(INDEX(PP_Grid[#Data],$DD176,28),0)</f>
        <v/>
      </c>
      <c r="AE176">
        <f>IFERROR(INDEX(PP_Grid[#Data],$DD176,29),0)</f>
        <v/>
      </c>
      <c r="AF176">
        <f>IFERROR(INDEX(PP_Grid[#Data],$DD176,30),0)</f>
        <v/>
      </c>
      <c r="AG176">
        <f>IFERROR(INDEX(PP_Grid[#Data],$DD176,31),0)</f>
        <v/>
      </c>
      <c r="AH176">
        <f>IFERROR(INDEX(PP_Grid[#Data],$DD176,32),0)</f>
        <v/>
      </c>
      <c r="AI176">
        <f>IFERROR(INDEX(PP_Grid[#Data],$DD176,33),0)</f>
        <v/>
      </c>
      <c r="AJ176">
        <f>IFERROR(INDEX(PP_Grid[#Data],$DD176,34),0)</f>
        <v/>
      </c>
      <c r="AK176">
        <f>IFERROR(INDEX(PP_Grid[#Data],$DD176,35),0)</f>
        <v/>
      </c>
      <c r="AL176">
        <f>IFERROR(INDEX(PP_Grid[#Data],$DD176,36),0)</f>
        <v/>
      </c>
      <c r="AM176">
        <f>IFERROR(INDEX(PP_Grid[#Data],$DD176,37),0)</f>
        <v/>
      </c>
      <c r="AN176">
        <f>IFERROR(INDEX(PP_Grid[#Data],$DD176,38),0)</f>
        <v/>
      </c>
      <c r="AO176">
        <f>IFERROR(INDEX(PP_Grid[#Data],$DD176,39),0)</f>
        <v/>
      </c>
      <c r="AP176">
        <f>IFERROR(INDEX(PP_Grid[#Data],$DD176,40),0)</f>
        <v/>
      </c>
      <c r="AQ176">
        <f>IFERROR(INDEX(PP_Grid[#Data],$DD176,41),0)</f>
        <v/>
      </c>
      <c r="AR176">
        <f>IFERROR(INDEX(PP_Grid[#Data],$DD176,42),0)</f>
        <v/>
      </c>
      <c r="AS176">
        <f>IFERROR(INDEX(PP_Grid[#Data],$DD176,43),0)</f>
        <v/>
      </c>
      <c r="AT176">
        <f>IFERROR(INDEX(PP_Grid[#Data],$DD176,44),0)</f>
        <v/>
      </c>
      <c r="AU176">
        <f>IFERROR(INDEX(PP_Grid[#Data],$DD176,45),0)</f>
        <v/>
      </c>
      <c r="AV176">
        <f>IFERROR(INDEX(PP_Grid[#Data],$DD176,46),0)</f>
        <v/>
      </c>
      <c r="AW176">
        <f>IFERROR(INDEX(PP_Grid[#Data],$DD176,47),0)</f>
        <v/>
      </c>
      <c r="AX176">
        <f>IFERROR(INDEX(PP_Grid[#Data],$DD176,48),0)</f>
        <v/>
      </c>
      <c r="AY176">
        <f>IFERROR(INDEX(PP_Grid[#Data],$DD176,49),0)</f>
        <v/>
      </c>
      <c r="AZ176">
        <f>IFERROR(INDEX(PP_Grid[#Data],$DD176,50),0)</f>
        <v/>
      </c>
      <c r="BA176">
        <f>IFERROR(INDEX(PP_Grid[#Data],$DD176,51),0)</f>
        <v/>
      </c>
      <c r="BB176">
        <f>IFERROR(INDEX(PP_Grid[#Data],$DD176,52),0)</f>
        <v/>
      </c>
      <c r="BC176">
        <f>IFERROR(INDEX(PP_Grid[#Data],$DD176,53),0)</f>
        <v/>
      </c>
      <c r="BD176">
        <f>IFERROR(INDEX(PP_Grid[#Data],$DD176,54),0)</f>
        <v/>
      </c>
      <c r="BE176">
        <f>IFERROR(INDEX(PP_Grid[#Data],$DD176,55),0)</f>
        <v/>
      </c>
      <c r="BF176">
        <f>IFERROR(INDEX(PP_Grid[#Data],$DD176,56),0)</f>
        <v/>
      </c>
      <c r="BG176">
        <f>IFERROR(INDEX(PP_Grid[#Data],$DD176,57),0)</f>
        <v/>
      </c>
      <c r="BH176">
        <f>IFERROR(INDEX(PP_Grid[#Data],$DD176,58),0)</f>
        <v/>
      </c>
      <c r="BI176">
        <f>IFERROR(INDEX(PP_Grid[#Data],$DD176,59),0)</f>
        <v/>
      </c>
      <c r="BJ176">
        <f>IFERROR(INDEX(PP_Grid[#Data],$DD176,60),0)</f>
        <v/>
      </c>
      <c r="BK176">
        <f>IFERROR(INDEX(PP_Grid[#Data],$DD176,61),0)</f>
        <v/>
      </c>
      <c r="BL176">
        <f>IFERROR(INDEX(PP_Grid[#Data],$DD176,62),0)</f>
        <v/>
      </c>
      <c r="BM176">
        <f>IFERROR(INDEX(PP_Grid[#Data],$DD176,63),0)</f>
        <v/>
      </c>
      <c r="BN176">
        <f>IFERROR(INDEX(PP_Grid[#Data],$DD176,64),0)</f>
        <v/>
      </c>
      <c r="BO176">
        <f>IFERROR(INDEX(PP_Grid[#Data],$DD176,65),0)</f>
        <v/>
      </c>
      <c r="BP176">
        <f>IFERROR(INDEX(PP_Grid[#Data],$DD176,66),0)</f>
        <v/>
      </c>
      <c r="BQ176">
        <f>IFERROR(INDEX(PP_Grid[#Data],$DD176,67),0)</f>
        <v/>
      </c>
      <c r="BR176">
        <f>IFERROR(INDEX(PP_Grid[#Data],$DD176,68),0)</f>
        <v/>
      </c>
      <c r="BS176">
        <f>IFERROR(INDEX(PP_Grid[#Data],$DD176,69),0)</f>
        <v/>
      </c>
      <c r="BT176">
        <f>IFERROR(INDEX(PP_Grid[#Data],$DD176,70),0)</f>
        <v/>
      </c>
      <c r="BU176">
        <f>IFERROR(INDEX(PP_Grid[#Data],$DD176,71),0)</f>
        <v/>
      </c>
      <c r="BV176">
        <f>IFERROR(INDEX(PP_Grid[#Data],$DD176,72),0)</f>
        <v/>
      </c>
      <c r="BW176">
        <f>IFERROR(INDEX(PP_Grid[#Data],$DD176,73),0)</f>
        <v/>
      </c>
      <c r="BX176">
        <f>IFERROR(INDEX(PP_Grid[#Data],$DD176,74),0)</f>
        <v/>
      </c>
      <c r="BY176">
        <f>IFERROR(INDEX(PP_Grid[#Data],$DD176,75),0)</f>
        <v/>
      </c>
      <c r="BZ176">
        <f>IFERROR(INDEX(PP_Grid[#Data],$DD176,76),0)</f>
        <v/>
      </c>
      <c r="CA176">
        <f>IFERROR(INDEX(PP_Grid[#Data],$DD176,77),0)</f>
        <v/>
      </c>
      <c r="CB176">
        <f>IFERROR(INDEX(PP_Grid[#Data],$DD176,78),0)</f>
        <v/>
      </c>
      <c r="CC176">
        <f>IFERROR(INDEX(PP_Grid[#Data],$DD176,79),0)</f>
        <v/>
      </c>
      <c r="CD176">
        <f>IFERROR(INDEX(PP_Grid[#Data],$DD176,80),0)</f>
        <v/>
      </c>
      <c r="CE176">
        <f>IFERROR(INDEX(PP_Grid[#Data],$DD176,81),0)</f>
        <v/>
      </c>
      <c r="CF176">
        <f>IFERROR(INDEX(PP_Grid[#Data],$DD176,82),0)</f>
        <v/>
      </c>
      <c r="CG176">
        <f>IFERROR(INDEX(PP_Grid[#Data],$DD176,83),0)</f>
        <v/>
      </c>
      <c r="CH176">
        <f>IFERROR(INDEX(PP_Grid[#Data],$DD176,84),0)</f>
        <v/>
      </c>
      <c r="CI176">
        <f>IFERROR(INDEX(PP_Grid[#Data],$DD176,85),0)</f>
        <v/>
      </c>
      <c r="CJ176">
        <f>IFERROR(INDEX(PP_Grid[#Data],$DD176,86),0)</f>
        <v/>
      </c>
      <c r="CK176">
        <f>IFERROR(INDEX(PP_Grid[#Data],$DD176,87),0)</f>
        <v/>
      </c>
      <c r="CL176">
        <f>IFERROR(INDEX(PP_Grid[#Data],$DD176,88),0)</f>
        <v/>
      </c>
      <c r="CM176">
        <f>IFERROR(INDEX(PP_Grid[#Data],$DD176,89),0)</f>
        <v/>
      </c>
      <c r="CN176">
        <f>IFERROR(INDEX(PP_Grid[#Data],$DD176,90),0)</f>
        <v/>
      </c>
      <c r="CO176">
        <f>IFERROR(INDEX(PP_Grid[#Data],$DD176,91),0)</f>
        <v/>
      </c>
      <c r="CP176">
        <f>IFERROR(INDEX(PP_Grid[#Data],$DD176,92),0)</f>
        <v/>
      </c>
      <c r="CQ176">
        <f>IFERROR(INDEX(PP_Grid[#Data],$DD176,93),0)</f>
        <v/>
      </c>
      <c r="CR176">
        <f>IFERROR(INDEX(PP_Grid[#Data],$DD176,94),0)</f>
        <v/>
      </c>
      <c r="CS176">
        <f>IFERROR(INDEX(PP_Grid[#Data],$DD176,95),0)</f>
        <v/>
      </c>
      <c r="CT176">
        <f>IFERROR(INDEX(PP_Grid[#Data],$DD176,96),0)</f>
        <v/>
      </c>
      <c r="CU176">
        <f>IFERROR(INDEX(PP_Grid[#Data],$DD176,97),0)</f>
        <v/>
      </c>
      <c r="CV176">
        <f>IFERROR(INDEX(PP_Grid[#Data],$DD176,98),0)</f>
        <v/>
      </c>
      <c r="CW176">
        <f>IFERROR(INDEX(PP_Grid[#Data],$DD176,99),0)</f>
        <v/>
      </c>
      <c r="CX176">
        <f>IFERROR(INDEX(PP_Grid[#Data],$DD176,100),0)</f>
        <v/>
      </c>
      <c r="CY176">
        <f>IFERROR(INDEX(PP_Grid[#Data],$DD176,101),0)</f>
        <v/>
      </c>
      <c r="CZ176">
        <f>IFERROR(INDEX(PP_Grid[#Data],$DD176,102),0)</f>
        <v/>
      </c>
      <c r="DA176">
        <f>IFERROR(INDEX(PP_Grid[#Data],$DD176,103),0)</f>
        <v/>
      </c>
      <c r="DB176">
        <f>IFERROR(INDEX(PP_Grid[#Data],$DD176,104),0)</f>
        <v/>
      </c>
      <c r="DC176">
        <f>IFERROR(INDEX(PP_Grid[#Data],$DD176,105),0)</f>
        <v/>
      </c>
      <c r="DD176" s="7">
        <f>IFERROR(MATCH($B176,PP_Grid[Intermediate],0),99999)</f>
        <v/>
      </c>
    </row>
    <row r="177">
      <c r="B177" t="inlineStr">
        <is>
          <t>使用量(kg)</t>
        </is>
      </c>
      <c r="C177">
        <f>SUMIFS(M_BOM[RM_Qty_Per_Batch],M_BOM[Intermediate],$B176,M_BOM[Part Name],$A45)</f>
        <v/>
      </c>
      <c r="D177">
        <f>$C177*D176</f>
        <v/>
      </c>
      <c r="E177">
        <f>$C177*E176</f>
        <v/>
      </c>
      <c r="F177">
        <f>$C177*F176</f>
        <v/>
      </c>
      <c r="G177">
        <f>$C177*G176</f>
        <v/>
      </c>
      <c r="H177">
        <f>$C177*H176</f>
        <v/>
      </c>
      <c r="I177">
        <f>$C177*I176</f>
        <v/>
      </c>
      <c r="J177">
        <f>$C177*J176</f>
        <v/>
      </c>
      <c r="K177">
        <f>$C177*K176</f>
        <v/>
      </c>
      <c r="L177">
        <f>$C177*L176</f>
        <v/>
      </c>
      <c r="M177">
        <f>$C177*M176</f>
        <v/>
      </c>
      <c r="N177">
        <f>$C177*N176</f>
        <v/>
      </c>
      <c r="O177">
        <f>$C177*O176</f>
        <v/>
      </c>
      <c r="P177">
        <f>$C177*P176</f>
        <v/>
      </c>
      <c r="Q177">
        <f>$C177*Q176</f>
        <v/>
      </c>
      <c r="R177">
        <f>$C177*R176</f>
        <v/>
      </c>
      <c r="S177">
        <f>$C177*S176</f>
        <v/>
      </c>
      <c r="T177">
        <f>$C177*T176</f>
        <v/>
      </c>
      <c r="U177">
        <f>$C177*U176</f>
        <v/>
      </c>
      <c r="V177">
        <f>$C177*V176</f>
        <v/>
      </c>
      <c r="W177">
        <f>$C177*W176</f>
        <v/>
      </c>
      <c r="X177">
        <f>$C177*X176</f>
        <v/>
      </c>
      <c r="Y177">
        <f>$C177*Y176</f>
        <v/>
      </c>
      <c r="Z177">
        <f>$C177*Z176</f>
        <v/>
      </c>
      <c r="AA177">
        <f>$C177*AA176</f>
        <v/>
      </c>
      <c r="AB177">
        <f>$C177*AB176</f>
        <v/>
      </c>
      <c r="AC177">
        <f>$C177*AC176</f>
        <v/>
      </c>
      <c r="AD177">
        <f>$C177*AD176</f>
        <v/>
      </c>
      <c r="AE177">
        <f>$C177*AE176</f>
        <v/>
      </c>
      <c r="AF177">
        <f>$C177*AF176</f>
        <v/>
      </c>
      <c r="AG177">
        <f>$C177*AG176</f>
        <v/>
      </c>
      <c r="AH177">
        <f>$C177*AH176</f>
        <v/>
      </c>
      <c r="AI177">
        <f>$C177*AI176</f>
        <v/>
      </c>
      <c r="AJ177">
        <f>$C177*AJ176</f>
        <v/>
      </c>
      <c r="AK177">
        <f>$C177*AK176</f>
        <v/>
      </c>
      <c r="AL177">
        <f>$C177*AL176</f>
        <v/>
      </c>
      <c r="AM177">
        <f>$C177*AM176</f>
        <v/>
      </c>
      <c r="AN177">
        <f>$C177*AN176</f>
        <v/>
      </c>
      <c r="AO177">
        <f>$C177*AO176</f>
        <v/>
      </c>
      <c r="AP177">
        <f>$C177*AP176</f>
        <v/>
      </c>
      <c r="AQ177">
        <f>$C177*AQ176</f>
        <v/>
      </c>
      <c r="AR177">
        <f>$C177*AR176</f>
        <v/>
      </c>
      <c r="AS177">
        <f>$C177*AS176</f>
        <v/>
      </c>
      <c r="AT177">
        <f>$C177*AT176</f>
        <v/>
      </c>
      <c r="AU177">
        <f>$C177*AU176</f>
        <v/>
      </c>
      <c r="AV177">
        <f>$C177*AV176</f>
        <v/>
      </c>
      <c r="AW177">
        <f>$C177*AW176</f>
        <v/>
      </c>
      <c r="AX177">
        <f>$C177*AX176</f>
        <v/>
      </c>
      <c r="AY177">
        <f>$C177*AY176</f>
        <v/>
      </c>
      <c r="AZ177">
        <f>$C177*AZ176</f>
        <v/>
      </c>
      <c r="BA177">
        <f>$C177*BA176</f>
        <v/>
      </c>
      <c r="BB177">
        <f>$C177*BB176</f>
        <v/>
      </c>
      <c r="BC177">
        <f>$C177*BC176</f>
        <v/>
      </c>
      <c r="BD177">
        <f>$C177*BD176</f>
        <v/>
      </c>
      <c r="BE177">
        <f>$C177*BE176</f>
        <v/>
      </c>
      <c r="BF177">
        <f>$C177*BF176</f>
        <v/>
      </c>
      <c r="BG177">
        <f>$C177*BG176</f>
        <v/>
      </c>
      <c r="BH177">
        <f>$C177*BH176</f>
        <v/>
      </c>
      <c r="BI177">
        <f>$C177*BI176</f>
        <v/>
      </c>
      <c r="BJ177">
        <f>$C177*BJ176</f>
        <v/>
      </c>
      <c r="BK177">
        <f>$C177*BK176</f>
        <v/>
      </c>
      <c r="BL177">
        <f>$C177*BL176</f>
        <v/>
      </c>
      <c r="BM177">
        <f>$C177*BM176</f>
        <v/>
      </c>
      <c r="BN177">
        <f>$C177*BN176</f>
        <v/>
      </c>
      <c r="BO177">
        <f>$C177*BO176</f>
        <v/>
      </c>
      <c r="BP177">
        <f>$C177*BP176</f>
        <v/>
      </c>
      <c r="BQ177">
        <f>$C177*BQ176</f>
        <v/>
      </c>
      <c r="BR177">
        <f>$C177*BR176</f>
        <v/>
      </c>
      <c r="BS177">
        <f>$C177*BS176</f>
        <v/>
      </c>
      <c r="BT177">
        <f>$C177*BT176</f>
        <v/>
      </c>
      <c r="BU177">
        <f>$C177*BU176</f>
        <v/>
      </c>
      <c r="BV177">
        <f>$C177*BV176</f>
        <v/>
      </c>
      <c r="BW177">
        <f>$C177*BW176</f>
        <v/>
      </c>
      <c r="BX177">
        <f>$C177*BX176</f>
        <v/>
      </c>
      <c r="BY177">
        <f>$C177*BY176</f>
        <v/>
      </c>
      <c r="BZ177">
        <f>$C177*BZ176</f>
        <v/>
      </c>
      <c r="CA177">
        <f>$C177*CA176</f>
        <v/>
      </c>
      <c r="CB177">
        <f>$C177*CB176</f>
        <v/>
      </c>
      <c r="CC177">
        <f>$C177*CC176</f>
        <v/>
      </c>
      <c r="CD177">
        <f>$C177*CD176</f>
        <v/>
      </c>
      <c r="CE177">
        <f>$C177*CE176</f>
        <v/>
      </c>
      <c r="CF177">
        <f>$C177*CF176</f>
        <v/>
      </c>
      <c r="CG177">
        <f>$C177*CG176</f>
        <v/>
      </c>
      <c r="CH177">
        <f>$C177*CH176</f>
        <v/>
      </c>
      <c r="CI177">
        <f>$C177*CI176</f>
        <v/>
      </c>
      <c r="CJ177">
        <f>$C177*CJ176</f>
        <v/>
      </c>
      <c r="CK177">
        <f>$C177*CK176</f>
        <v/>
      </c>
      <c r="CL177">
        <f>$C177*CL176</f>
        <v/>
      </c>
      <c r="CM177">
        <f>$C177*CM176</f>
        <v/>
      </c>
      <c r="CN177">
        <f>$C177*CN176</f>
        <v/>
      </c>
      <c r="CO177">
        <f>$C177*CO176</f>
        <v/>
      </c>
      <c r="CP177">
        <f>$C177*CP176</f>
        <v/>
      </c>
      <c r="CQ177">
        <f>$C177*CQ176</f>
        <v/>
      </c>
      <c r="CR177">
        <f>$C177*CR176</f>
        <v/>
      </c>
      <c r="CS177">
        <f>$C177*CS176</f>
        <v/>
      </c>
      <c r="CT177">
        <f>$C177*CT176</f>
        <v/>
      </c>
      <c r="CU177">
        <f>$C177*CU176</f>
        <v/>
      </c>
      <c r="CV177">
        <f>$C177*CV176</f>
        <v/>
      </c>
      <c r="CW177">
        <f>$C177*CW176</f>
        <v/>
      </c>
      <c r="CX177">
        <f>$C177*CX176</f>
        <v/>
      </c>
      <c r="CY177">
        <f>$C177*CY176</f>
        <v/>
      </c>
      <c r="CZ177">
        <f>$C177*CZ176</f>
        <v/>
      </c>
      <c r="DA177">
        <f>$C177*DA176</f>
        <v/>
      </c>
      <c r="DB177">
        <f>$C177*DB176</f>
        <v/>
      </c>
      <c r="DC177">
        <f>$C177*DC176</f>
        <v/>
      </c>
    </row>
    <row r="178">
      <c r="B178" t="inlineStr">
        <is>
          <t>VSP-606</t>
        </is>
      </c>
      <c r="C178" t="inlineStr">
        <is>
          <t>No. of batches</t>
        </is>
      </c>
      <c r="D178">
        <f>IFERROR(INDEX(PP_Grid[#Data],$DD178,2),0)</f>
        <v/>
      </c>
      <c r="E178">
        <f>IFERROR(INDEX(PP_Grid[#Data],$DD178,3),0)</f>
        <v/>
      </c>
      <c r="F178">
        <f>IFERROR(INDEX(PP_Grid[#Data],$DD178,4),0)</f>
        <v/>
      </c>
      <c r="G178">
        <f>IFERROR(INDEX(PP_Grid[#Data],$DD178,5),0)</f>
        <v/>
      </c>
      <c r="H178">
        <f>IFERROR(INDEX(PP_Grid[#Data],$DD178,6),0)</f>
        <v/>
      </c>
      <c r="I178">
        <f>IFERROR(INDEX(PP_Grid[#Data],$DD178,7),0)</f>
        <v/>
      </c>
      <c r="J178">
        <f>IFERROR(INDEX(PP_Grid[#Data],$DD178,8),0)</f>
        <v/>
      </c>
      <c r="K178">
        <f>IFERROR(INDEX(PP_Grid[#Data],$DD178,9),0)</f>
        <v/>
      </c>
      <c r="L178">
        <f>IFERROR(INDEX(PP_Grid[#Data],$DD178,10),0)</f>
        <v/>
      </c>
      <c r="M178">
        <f>IFERROR(INDEX(PP_Grid[#Data],$DD178,11),0)</f>
        <v/>
      </c>
      <c r="N178">
        <f>IFERROR(INDEX(PP_Grid[#Data],$DD178,12),0)</f>
        <v/>
      </c>
      <c r="O178">
        <f>IFERROR(INDEX(PP_Grid[#Data],$DD178,13),0)</f>
        <v/>
      </c>
      <c r="P178">
        <f>IFERROR(INDEX(PP_Grid[#Data],$DD178,14),0)</f>
        <v/>
      </c>
      <c r="Q178">
        <f>IFERROR(INDEX(PP_Grid[#Data],$DD178,15),0)</f>
        <v/>
      </c>
      <c r="R178">
        <f>IFERROR(INDEX(PP_Grid[#Data],$DD178,16),0)</f>
        <v/>
      </c>
      <c r="S178">
        <f>IFERROR(INDEX(PP_Grid[#Data],$DD178,17),0)</f>
        <v/>
      </c>
      <c r="T178">
        <f>IFERROR(INDEX(PP_Grid[#Data],$DD178,18),0)</f>
        <v/>
      </c>
      <c r="U178">
        <f>IFERROR(INDEX(PP_Grid[#Data],$DD178,19),0)</f>
        <v/>
      </c>
      <c r="V178">
        <f>IFERROR(INDEX(PP_Grid[#Data],$DD178,20),0)</f>
        <v/>
      </c>
      <c r="W178">
        <f>IFERROR(INDEX(PP_Grid[#Data],$DD178,21),0)</f>
        <v/>
      </c>
      <c r="X178">
        <f>IFERROR(INDEX(PP_Grid[#Data],$DD178,22),0)</f>
        <v/>
      </c>
      <c r="Y178">
        <f>IFERROR(INDEX(PP_Grid[#Data],$DD178,23),0)</f>
        <v/>
      </c>
      <c r="Z178">
        <f>IFERROR(INDEX(PP_Grid[#Data],$DD178,24),0)</f>
        <v/>
      </c>
      <c r="AA178">
        <f>IFERROR(INDEX(PP_Grid[#Data],$DD178,25),0)</f>
        <v/>
      </c>
      <c r="AB178">
        <f>IFERROR(INDEX(PP_Grid[#Data],$DD178,26),0)</f>
        <v/>
      </c>
      <c r="AC178">
        <f>IFERROR(INDEX(PP_Grid[#Data],$DD178,27),0)</f>
        <v/>
      </c>
      <c r="AD178">
        <f>IFERROR(INDEX(PP_Grid[#Data],$DD178,28),0)</f>
        <v/>
      </c>
      <c r="AE178">
        <f>IFERROR(INDEX(PP_Grid[#Data],$DD178,29),0)</f>
        <v/>
      </c>
      <c r="AF178">
        <f>IFERROR(INDEX(PP_Grid[#Data],$DD178,30),0)</f>
        <v/>
      </c>
      <c r="AG178">
        <f>IFERROR(INDEX(PP_Grid[#Data],$DD178,31),0)</f>
        <v/>
      </c>
      <c r="AH178">
        <f>IFERROR(INDEX(PP_Grid[#Data],$DD178,32),0)</f>
        <v/>
      </c>
      <c r="AI178">
        <f>IFERROR(INDEX(PP_Grid[#Data],$DD178,33),0)</f>
        <v/>
      </c>
      <c r="AJ178">
        <f>IFERROR(INDEX(PP_Grid[#Data],$DD178,34),0)</f>
        <v/>
      </c>
      <c r="AK178">
        <f>IFERROR(INDEX(PP_Grid[#Data],$DD178,35),0)</f>
        <v/>
      </c>
      <c r="AL178">
        <f>IFERROR(INDEX(PP_Grid[#Data],$DD178,36),0)</f>
        <v/>
      </c>
      <c r="AM178">
        <f>IFERROR(INDEX(PP_Grid[#Data],$DD178,37),0)</f>
        <v/>
      </c>
      <c r="AN178">
        <f>IFERROR(INDEX(PP_Grid[#Data],$DD178,38),0)</f>
        <v/>
      </c>
      <c r="AO178">
        <f>IFERROR(INDEX(PP_Grid[#Data],$DD178,39),0)</f>
        <v/>
      </c>
      <c r="AP178">
        <f>IFERROR(INDEX(PP_Grid[#Data],$DD178,40),0)</f>
        <v/>
      </c>
      <c r="AQ178">
        <f>IFERROR(INDEX(PP_Grid[#Data],$DD178,41),0)</f>
        <v/>
      </c>
      <c r="AR178">
        <f>IFERROR(INDEX(PP_Grid[#Data],$DD178,42),0)</f>
        <v/>
      </c>
      <c r="AS178">
        <f>IFERROR(INDEX(PP_Grid[#Data],$DD178,43),0)</f>
        <v/>
      </c>
      <c r="AT178">
        <f>IFERROR(INDEX(PP_Grid[#Data],$DD178,44),0)</f>
        <v/>
      </c>
      <c r="AU178">
        <f>IFERROR(INDEX(PP_Grid[#Data],$DD178,45),0)</f>
        <v/>
      </c>
      <c r="AV178">
        <f>IFERROR(INDEX(PP_Grid[#Data],$DD178,46),0)</f>
        <v/>
      </c>
      <c r="AW178">
        <f>IFERROR(INDEX(PP_Grid[#Data],$DD178,47),0)</f>
        <v/>
      </c>
      <c r="AX178">
        <f>IFERROR(INDEX(PP_Grid[#Data],$DD178,48),0)</f>
        <v/>
      </c>
      <c r="AY178">
        <f>IFERROR(INDEX(PP_Grid[#Data],$DD178,49),0)</f>
        <v/>
      </c>
      <c r="AZ178">
        <f>IFERROR(INDEX(PP_Grid[#Data],$DD178,50),0)</f>
        <v/>
      </c>
      <c r="BA178">
        <f>IFERROR(INDEX(PP_Grid[#Data],$DD178,51),0)</f>
        <v/>
      </c>
      <c r="BB178">
        <f>IFERROR(INDEX(PP_Grid[#Data],$DD178,52),0)</f>
        <v/>
      </c>
      <c r="BC178">
        <f>IFERROR(INDEX(PP_Grid[#Data],$DD178,53),0)</f>
        <v/>
      </c>
      <c r="BD178">
        <f>IFERROR(INDEX(PP_Grid[#Data],$DD178,54),0)</f>
        <v/>
      </c>
      <c r="BE178">
        <f>IFERROR(INDEX(PP_Grid[#Data],$DD178,55),0)</f>
        <v/>
      </c>
      <c r="BF178">
        <f>IFERROR(INDEX(PP_Grid[#Data],$DD178,56),0)</f>
        <v/>
      </c>
      <c r="BG178">
        <f>IFERROR(INDEX(PP_Grid[#Data],$DD178,57),0)</f>
        <v/>
      </c>
      <c r="BH178">
        <f>IFERROR(INDEX(PP_Grid[#Data],$DD178,58),0)</f>
        <v/>
      </c>
      <c r="BI178">
        <f>IFERROR(INDEX(PP_Grid[#Data],$DD178,59),0)</f>
        <v/>
      </c>
      <c r="BJ178">
        <f>IFERROR(INDEX(PP_Grid[#Data],$DD178,60),0)</f>
        <v/>
      </c>
      <c r="BK178">
        <f>IFERROR(INDEX(PP_Grid[#Data],$DD178,61),0)</f>
        <v/>
      </c>
      <c r="BL178">
        <f>IFERROR(INDEX(PP_Grid[#Data],$DD178,62),0)</f>
        <v/>
      </c>
      <c r="BM178">
        <f>IFERROR(INDEX(PP_Grid[#Data],$DD178,63),0)</f>
        <v/>
      </c>
      <c r="BN178">
        <f>IFERROR(INDEX(PP_Grid[#Data],$DD178,64),0)</f>
        <v/>
      </c>
      <c r="BO178">
        <f>IFERROR(INDEX(PP_Grid[#Data],$DD178,65),0)</f>
        <v/>
      </c>
      <c r="BP178">
        <f>IFERROR(INDEX(PP_Grid[#Data],$DD178,66),0)</f>
        <v/>
      </c>
      <c r="BQ178">
        <f>IFERROR(INDEX(PP_Grid[#Data],$DD178,67),0)</f>
        <v/>
      </c>
      <c r="BR178">
        <f>IFERROR(INDEX(PP_Grid[#Data],$DD178,68),0)</f>
        <v/>
      </c>
      <c r="BS178">
        <f>IFERROR(INDEX(PP_Grid[#Data],$DD178,69),0)</f>
        <v/>
      </c>
      <c r="BT178">
        <f>IFERROR(INDEX(PP_Grid[#Data],$DD178,70),0)</f>
        <v/>
      </c>
      <c r="BU178">
        <f>IFERROR(INDEX(PP_Grid[#Data],$DD178,71),0)</f>
        <v/>
      </c>
      <c r="BV178">
        <f>IFERROR(INDEX(PP_Grid[#Data],$DD178,72),0)</f>
        <v/>
      </c>
      <c r="BW178">
        <f>IFERROR(INDEX(PP_Grid[#Data],$DD178,73),0)</f>
        <v/>
      </c>
      <c r="BX178">
        <f>IFERROR(INDEX(PP_Grid[#Data],$DD178,74),0)</f>
        <v/>
      </c>
      <c r="BY178">
        <f>IFERROR(INDEX(PP_Grid[#Data],$DD178,75),0)</f>
        <v/>
      </c>
      <c r="BZ178">
        <f>IFERROR(INDEX(PP_Grid[#Data],$DD178,76),0)</f>
        <v/>
      </c>
      <c r="CA178">
        <f>IFERROR(INDEX(PP_Grid[#Data],$DD178,77),0)</f>
        <v/>
      </c>
      <c r="CB178">
        <f>IFERROR(INDEX(PP_Grid[#Data],$DD178,78),0)</f>
        <v/>
      </c>
      <c r="CC178">
        <f>IFERROR(INDEX(PP_Grid[#Data],$DD178,79),0)</f>
        <v/>
      </c>
      <c r="CD178">
        <f>IFERROR(INDEX(PP_Grid[#Data],$DD178,80),0)</f>
        <v/>
      </c>
      <c r="CE178">
        <f>IFERROR(INDEX(PP_Grid[#Data],$DD178,81),0)</f>
        <v/>
      </c>
      <c r="CF178">
        <f>IFERROR(INDEX(PP_Grid[#Data],$DD178,82),0)</f>
        <v/>
      </c>
      <c r="CG178">
        <f>IFERROR(INDEX(PP_Grid[#Data],$DD178,83),0)</f>
        <v/>
      </c>
      <c r="CH178">
        <f>IFERROR(INDEX(PP_Grid[#Data],$DD178,84),0)</f>
        <v/>
      </c>
      <c r="CI178">
        <f>IFERROR(INDEX(PP_Grid[#Data],$DD178,85),0)</f>
        <v/>
      </c>
      <c r="CJ178">
        <f>IFERROR(INDEX(PP_Grid[#Data],$DD178,86),0)</f>
        <v/>
      </c>
      <c r="CK178">
        <f>IFERROR(INDEX(PP_Grid[#Data],$DD178,87),0)</f>
        <v/>
      </c>
      <c r="CL178">
        <f>IFERROR(INDEX(PP_Grid[#Data],$DD178,88),0)</f>
        <v/>
      </c>
      <c r="CM178">
        <f>IFERROR(INDEX(PP_Grid[#Data],$DD178,89),0)</f>
        <v/>
      </c>
      <c r="CN178">
        <f>IFERROR(INDEX(PP_Grid[#Data],$DD178,90),0)</f>
        <v/>
      </c>
      <c r="CO178">
        <f>IFERROR(INDEX(PP_Grid[#Data],$DD178,91),0)</f>
        <v/>
      </c>
      <c r="CP178">
        <f>IFERROR(INDEX(PP_Grid[#Data],$DD178,92),0)</f>
        <v/>
      </c>
      <c r="CQ178">
        <f>IFERROR(INDEX(PP_Grid[#Data],$DD178,93),0)</f>
        <v/>
      </c>
      <c r="CR178">
        <f>IFERROR(INDEX(PP_Grid[#Data],$DD178,94),0)</f>
        <v/>
      </c>
      <c r="CS178">
        <f>IFERROR(INDEX(PP_Grid[#Data],$DD178,95),0)</f>
        <v/>
      </c>
      <c r="CT178">
        <f>IFERROR(INDEX(PP_Grid[#Data],$DD178,96),0)</f>
        <v/>
      </c>
      <c r="CU178">
        <f>IFERROR(INDEX(PP_Grid[#Data],$DD178,97),0)</f>
        <v/>
      </c>
      <c r="CV178">
        <f>IFERROR(INDEX(PP_Grid[#Data],$DD178,98),0)</f>
        <v/>
      </c>
      <c r="CW178">
        <f>IFERROR(INDEX(PP_Grid[#Data],$DD178,99),0)</f>
        <v/>
      </c>
      <c r="CX178">
        <f>IFERROR(INDEX(PP_Grid[#Data],$DD178,100),0)</f>
        <v/>
      </c>
      <c r="CY178">
        <f>IFERROR(INDEX(PP_Grid[#Data],$DD178,101),0)</f>
        <v/>
      </c>
      <c r="CZ178">
        <f>IFERROR(INDEX(PP_Grid[#Data],$DD178,102),0)</f>
        <v/>
      </c>
      <c r="DA178">
        <f>IFERROR(INDEX(PP_Grid[#Data],$DD178,103),0)</f>
        <v/>
      </c>
      <c r="DB178">
        <f>IFERROR(INDEX(PP_Grid[#Data],$DD178,104),0)</f>
        <v/>
      </c>
      <c r="DC178">
        <f>IFERROR(INDEX(PP_Grid[#Data],$DD178,105),0)</f>
        <v/>
      </c>
      <c r="DD178" s="7">
        <f>IFERROR(MATCH($B178,PP_Grid[Intermediate],0),99999)</f>
        <v/>
      </c>
    </row>
    <row r="179">
      <c r="B179" t="inlineStr">
        <is>
          <t>使用量(kg)</t>
        </is>
      </c>
      <c r="C179">
        <f>SUMIFS(M_BOM[RM_Qty_Per_Batch],M_BOM[Intermediate],$B178,M_BOM[Part Name],$A45)</f>
        <v/>
      </c>
      <c r="D179">
        <f>$C179*D178</f>
        <v/>
      </c>
      <c r="E179">
        <f>$C179*E178</f>
        <v/>
      </c>
      <c r="F179">
        <f>$C179*F178</f>
        <v/>
      </c>
      <c r="G179">
        <f>$C179*G178</f>
        <v/>
      </c>
      <c r="H179">
        <f>$C179*H178</f>
        <v/>
      </c>
      <c r="I179">
        <f>$C179*I178</f>
        <v/>
      </c>
      <c r="J179">
        <f>$C179*J178</f>
        <v/>
      </c>
      <c r="K179">
        <f>$C179*K178</f>
        <v/>
      </c>
      <c r="L179">
        <f>$C179*L178</f>
        <v/>
      </c>
      <c r="M179">
        <f>$C179*M178</f>
        <v/>
      </c>
      <c r="N179">
        <f>$C179*N178</f>
        <v/>
      </c>
      <c r="O179">
        <f>$C179*O178</f>
        <v/>
      </c>
      <c r="P179">
        <f>$C179*P178</f>
        <v/>
      </c>
      <c r="Q179">
        <f>$C179*Q178</f>
        <v/>
      </c>
      <c r="R179">
        <f>$C179*R178</f>
        <v/>
      </c>
      <c r="S179">
        <f>$C179*S178</f>
        <v/>
      </c>
      <c r="T179">
        <f>$C179*T178</f>
        <v/>
      </c>
      <c r="U179">
        <f>$C179*U178</f>
        <v/>
      </c>
      <c r="V179">
        <f>$C179*V178</f>
        <v/>
      </c>
      <c r="W179">
        <f>$C179*W178</f>
        <v/>
      </c>
      <c r="X179">
        <f>$C179*X178</f>
        <v/>
      </c>
      <c r="Y179">
        <f>$C179*Y178</f>
        <v/>
      </c>
      <c r="Z179">
        <f>$C179*Z178</f>
        <v/>
      </c>
      <c r="AA179">
        <f>$C179*AA178</f>
        <v/>
      </c>
      <c r="AB179">
        <f>$C179*AB178</f>
        <v/>
      </c>
      <c r="AC179">
        <f>$C179*AC178</f>
        <v/>
      </c>
      <c r="AD179">
        <f>$C179*AD178</f>
        <v/>
      </c>
      <c r="AE179">
        <f>$C179*AE178</f>
        <v/>
      </c>
      <c r="AF179">
        <f>$C179*AF178</f>
        <v/>
      </c>
      <c r="AG179">
        <f>$C179*AG178</f>
        <v/>
      </c>
      <c r="AH179">
        <f>$C179*AH178</f>
        <v/>
      </c>
      <c r="AI179">
        <f>$C179*AI178</f>
        <v/>
      </c>
      <c r="AJ179">
        <f>$C179*AJ178</f>
        <v/>
      </c>
      <c r="AK179">
        <f>$C179*AK178</f>
        <v/>
      </c>
      <c r="AL179">
        <f>$C179*AL178</f>
        <v/>
      </c>
      <c r="AM179">
        <f>$C179*AM178</f>
        <v/>
      </c>
      <c r="AN179">
        <f>$C179*AN178</f>
        <v/>
      </c>
      <c r="AO179">
        <f>$C179*AO178</f>
        <v/>
      </c>
      <c r="AP179">
        <f>$C179*AP178</f>
        <v/>
      </c>
      <c r="AQ179">
        <f>$C179*AQ178</f>
        <v/>
      </c>
      <c r="AR179">
        <f>$C179*AR178</f>
        <v/>
      </c>
      <c r="AS179">
        <f>$C179*AS178</f>
        <v/>
      </c>
      <c r="AT179">
        <f>$C179*AT178</f>
        <v/>
      </c>
      <c r="AU179">
        <f>$C179*AU178</f>
        <v/>
      </c>
      <c r="AV179">
        <f>$C179*AV178</f>
        <v/>
      </c>
      <c r="AW179">
        <f>$C179*AW178</f>
        <v/>
      </c>
      <c r="AX179">
        <f>$C179*AX178</f>
        <v/>
      </c>
      <c r="AY179">
        <f>$C179*AY178</f>
        <v/>
      </c>
      <c r="AZ179">
        <f>$C179*AZ178</f>
        <v/>
      </c>
      <c r="BA179">
        <f>$C179*BA178</f>
        <v/>
      </c>
      <c r="BB179">
        <f>$C179*BB178</f>
        <v/>
      </c>
      <c r="BC179">
        <f>$C179*BC178</f>
        <v/>
      </c>
      <c r="BD179">
        <f>$C179*BD178</f>
        <v/>
      </c>
      <c r="BE179">
        <f>$C179*BE178</f>
        <v/>
      </c>
      <c r="BF179">
        <f>$C179*BF178</f>
        <v/>
      </c>
      <c r="BG179">
        <f>$C179*BG178</f>
        <v/>
      </c>
      <c r="BH179">
        <f>$C179*BH178</f>
        <v/>
      </c>
      <c r="BI179">
        <f>$C179*BI178</f>
        <v/>
      </c>
      <c r="BJ179">
        <f>$C179*BJ178</f>
        <v/>
      </c>
      <c r="BK179">
        <f>$C179*BK178</f>
        <v/>
      </c>
      <c r="BL179">
        <f>$C179*BL178</f>
        <v/>
      </c>
      <c r="BM179">
        <f>$C179*BM178</f>
        <v/>
      </c>
      <c r="BN179">
        <f>$C179*BN178</f>
        <v/>
      </c>
      <c r="BO179">
        <f>$C179*BO178</f>
        <v/>
      </c>
      <c r="BP179">
        <f>$C179*BP178</f>
        <v/>
      </c>
      <c r="BQ179">
        <f>$C179*BQ178</f>
        <v/>
      </c>
      <c r="BR179">
        <f>$C179*BR178</f>
        <v/>
      </c>
      <c r="BS179">
        <f>$C179*BS178</f>
        <v/>
      </c>
      <c r="BT179">
        <f>$C179*BT178</f>
        <v/>
      </c>
      <c r="BU179">
        <f>$C179*BU178</f>
        <v/>
      </c>
      <c r="BV179">
        <f>$C179*BV178</f>
        <v/>
      </c>
      <c r="BW179">
        <f>$C179*BW178</f>
        <v/>
      </c>
      <c r="BX179">
        <f>$C179*BX178</f>
        <v/>
      </c>
      <c r="BY179">
        <f>$C179*BY178</f>
        <v/>
      </c>
      <c r="BZ179">
        <f>$C179*BZ178</f>
        <v/>
      </c>
      <c r="CA179">
        <f>$C179*CA178</f>
        <v/>
      </c>
      <c r="CB179">
        <f>$C179*CB178</f>
        <v/>
      </c>
      <c r="CC179">
        <f>$C179*CC178</f>
        <v/>
      </c>
      <c r="CD179">
        <f>$C179*CD178</f>
        <v/>
      </c>
      <c r="CE179">
        <f>$C179*CE178</f>
        <v/>
      </c>
      <c r="CF179">
        <f>$C179*CF178</f>
        <v/>
      </c>
      <c r="CG179">
        <f>$C179*CG178</f>
        <v/>
      </c>
      <c r="CH179">
        <f>$C179*CH178</f>
        <v/>
      </c>
      <c r="CI179">
        <f>$C179*CI178</f>
        <v/>
      </c>
      <c r="CJ179">
        <f>$C179*CJ178</f>
        <v/>
      </c>
      <c r="CK179">
        <f>$C179*CK178</f>
        <v/>
      </c>
      <c r="CL179">
        <f>$C179*CL178</f>
        <v/>
      </c>
      <c r="CM179">
        <f>$C179*CM178</f>
        <v/>
      </c>
      <c r="CN179">
        <f>$C179*CN178</f>
        <v/>
      </c>
      <c r="CO179">
        <f>$C179*CO178</f>
        <v/>
      </c>
      <c r="CP179">
        <f>$C179*CP178</f>
        <v/>
      </c>
      <c r="CQ179">
        <f>$C179*CQ178</f>
        <v/>
      </c>
      <c r="CR179">
        <f>$C179*CR178</f>
        <v/>
      </c>
      <c r="CS179">
        <f>$C179*CS178</f>
        <v/>
      </c>
      <c r="CT179">
        <f>$C179*CT178</f>
        <v/>
      </c>
      <c r="CU179">
        <f>$C179*CU178</f>
        <v/>
      </c>
      <c r="CV179">
        <f>$C179*CV178</f>
        <v/>
      </c>
      <c r="CW179">
        <f>$C179*CW178</f>
        <v/>
      </c>
      <c r="CX179">
        <f>$C179*CX178</f>
        <v/>
      </c>
      <c r="CY179">
        <f>$C179*CY178</f>
        <v/>
      </c>
      <c r="CZ179">
        <f>$C179*CZ178</f>
        <v/>
      </c>
      <c r="DA179">
        <f>$C179*DA178</f>
        <v/>
      </c>
      <c r="DB179">
        <f>$C179*DB178</f>
        <v/>
      </c>
      <c r="DC179">
        <f>$C179*DC178</f>
        <v/>
      </c>
    </row>
    <row r="180">
      <c r="B180" t="inlineStr">
        <is>
          <t>VSP-607</t>
        </is>
      </c>
      <c r="C180" t="inlineStr">
        <is>
          <t>No. of batches</t>
        </is>
      </c>
      <c r="D180">
        <f>IFERROR(INDEX(PP_Grid[#Data],$DD180,2),0)</f>
        <v/>
      </c>
      <c r="E180">
        <f>IFERROR(INDEX(PP_Grid[#Data],$DD180,3),0)</f>
        <v/>
      </c>
      <c r="F180">
        <f>IFERROR(INDEX(PP_Grid[#Data],$DD180,4),0)</f>
        <v/>
      </c>
      <c r="G180">
        <f>IFERROR(INDEX(PP_Grid[#Data],$DD180,5),0)</f>
        <v/>
      </c>
      <c r="H180">
        <f>IFERROR(INDEX(PP_Grid[#Data],$DD180,6),0)</f>
        <v/>
      </c>
      <c r="I180">
        <f>IFERROR(INDEX(PP_Grid[#Data],$DD180,7),0)</f>
        <v/>
      </c>
      <c r="J180">
        <f>IFERROR(INDEX(PP_Grid[#Data],$DD180,8),0)</f>
        <v/>
      </c>
      <c r="K180">
        <f>IFERROR(INDEX(PP_Grid[#Data],$DD180,9),0)</f>
        <v/>
      </c>
      <c r="L180">
        <f>IFERROR(INDEX(PP_Grid[#Data],$DD180,10),0)</f>
        <v/>
      </c>
      <c r="M180">
        <f>IFERROR(INDEX(PP_Grid[#Data],$DD180,11),0)</f>
        <v/>
      </c>
      <c r="N180">
        <f>IFERROR(INDEX(PP_Grid[#Data],$DD180,12),0)</f>
        <v/>
      </c>
      <c r="O180">
        <f>IFERROR(INDEX(PP_Grid[#Data],$DD180,13),0)</f>
        <v/>
      </c>
      <c r="P180">
        <f>IFERROR(INDEX(PP_Grid[#Data],$DD180,14),0)</f>
        <v/>
      </c>
      <c r="Q180">
        <f>IFERROR(INDEX(PP_Grid[#Data],$DD180,15),0)</f>
        <v/>
      </c>
      <c r="R180">
        <f>IFERROR(INDEX(PP_Grid[#Data],$DD180,16),0)</f>
        <v/>
      </c>
      <c r="S180">
        <f>IFERROR(INDEX(PP_Grid[#Data],$DD180,17),0)</f>
        <v/>
      </c>
      <c r="T180">
        <f>IFERROR(INDEX(PP_Grid[#Data],$DD180,18),0)</f>
        <v/>
      </c>
      <c r="U180">
        <f>IFERROR(INDEX(PP_Grid[#Data],$DD180,19),0)</f>
        <v/>
      </c>
      <c r="V180">
        <f>IFERROR(INDEX(PP_Grid[#Data],$DD180,20),0)</f>
        <v/>
      </c>
      <c r="W180">
        <f>IFERROR(INDEX(PP_Grid[#Data],$DD180,21),0)</f>
        <v/>
      </c>
      <c r="X180">
        <f>IFERROR(INDEX(PP_Grid[#Data],$DD180,22),0)</f>
        <v/>
      </c>
      <c r="Y180">
        <f>IFERROR(INDEX(PP_Grid[#Data],$DD180,23),0)</f>
        <v/>
      </c>
      <c r="Z180">
        <f>IFERROR(INDEX(PP_Grid[#Data],$DD180,24),0)</f>
        <v/>
      </c>
      <c r="AA180">
        <f>IFERROR(INDEX(PP_Grid[#Data],$DD180,25),0)</f>
        <v/>
      </c>
      <c r="AB180">
        <f>IFERROR(INDEX(PP_Grid[#Data],$DD180,26),0)</f>
        <v/>
      </c>
      <c r="AC180">
        <f>IFERROR(INDEX(PP_Grid[#Data],$DD180,27),0)</f>
        <v/>
      </c>
      <c r="AD180">
        <f>IFERROR(INDEX(PP_Grid[#Data],$DD180,28),0)</f>
        <v/>
      </c>
      <c r="AE180">
        <f>IFERROR(INDEX(PP_Grid[#Data],$DD180,29),0)</f>
        <v/>
      </c>
      <c r="AF180">
        <f>IFERROR(INDEX(PP_Grid[#Data],$DD180,30),0)</f>
        <v/>
      </c>
      <c r="AG180">
        <f>IFERROR(INDEX(PP_Grid[#Data],$DD180,31),0)</f>
        <v/>
      </c>
      <c r="AH180">
        <f>IFERROR(INDEX(PP_Grid[#Data],$DD180,32),0)</f>
        <v/>
      </c>
      <c r="AI180">
        <f>IFERROR(INDEX(PP_Grid[#Data],$DD180,33),0)</f>
        <v/>
      </c>
      <c r="AJ180">
        <f>IFERROR(INDEX(PP_Grid[#Data],$DD180,34),0)</f>
        <v/>
      </c>
      <c r="AK180">
        <f>IFERROR(INDEX(PP_Grid[#Data],$DD180,35),0)</f>
        <v/>
      </c>
      <c r="AL180">
        <f>IFERROR(INDEX(PP_Grid[#Data],$DD180,36),0)</f>
        <v/>
      </c>
      <c r="AM180">
        <f>IFERROR(INDEX(PP_Grid[#Data],$DD180,37),0)</f>
        <v/>
      </c>
      <c r="AN180">
        <f>IFERROR(INDEX(PP_Grid[#Data],$DD180,38),0)</f>
        <v/>
      </c>
      <c r="AO180">
        <f>IFERROR(INDEX(PP_Grid[#Data],$DD180,39),0)</f>
        <v/>
      </c>
      <c r="AP180">
        <f>IFERROR(INDEX(PP_Grid[#Data],$DD180,40),0)</f>
        <v/>
      </c>
      <c r="AQ180">
        <f>IFERROR(INDEX(PP_Grid[#Data],$DD180,41),0)</f>
        <v/>
      </c>
      <c r="AR180">
        <f>IFERROR(INDEX(PP_Grid[#Data],$DD180,42),0)</f>
        <v/>
      </c>
      <c r="AS180">
        <f>IFERROR(INDEX(PP_Grid[#Data],$DD180,43),0)</f>
        <v/>
      </c>
      <c r="AT180">
        <f>IFERROR(INDEX(PP_Grid[#Data],$DD180,44),0)</f>
        <v/>
      </c>
      <c r="AU180">
        <f>IFERROR(INDEX(PP_Grid[#Data],$DD180,45),0)</f>
        <v/>
      </c>
      <c r="AV180">
        <f>IFERROR(INDEX(PP_Grid[#Data],$DD180,46),0)</f>
        <v/>
      </c>
      <c r="AW180">
        <f>IFERROR(INDEX(PP_Grid[#Data],$DD180,47),0)</f>
        <v/>
      </c>
      <c r="AX180">
        <f>IFERROR(INDEX(PP_Grid[#Data],$DD180,48),0)</f>
        <v/>
      </c>
      <c r="AY180">
        <f>IFERROR(INDEX(PP_Grid[#Data],$DD180,49),0)</f>
        <v/>
      </c>
      <c r="AZ180">
        <f>IFERROR(INDEX(PP_Grid[#Data],$DD180,50),0)</f>
        <v/>
      </c>
      <c r="BA180">
        <f>IFERROR(INDEX(PP_Grid[#Data],$DD180,51),0)</f>
        <v/>
      </c>
      <c r="BB180">
        <f>IFERROR(INDEX(PP_Grid[#Data],$DD180,52),0)</f>
        <v/>
      </c>
      <c r="BC180">
        <f>IFERROR(INDEX(PP_Grid[#Data],$DD180,53),0)</f>
        <v/>
      </c>
      <c r="BD180">
        <f>IFERROR(INDEX(PP_Grid[#Data],$DD180,54),0)</f>
        <v/>
      </c>
      <c r="BE180">
        <f>IFERROR(INDEX(PP_Grid[#Data],$DD180,55),0)</f>
        <v/>
      </c>
      <c r="BF180">
        <f>IFERROR(INDEX(PP_Grid[#Data],$DD180,56),0)</f>
        <v/>
      </c>
      <c r="BG180">
        <f>IFERROR(INDEX(PP_Grid[#Data],$DD180,57),0)</f>
        <v/>
      </c>
      <c r="BH180">
        <f>IFERROR(INDEX(PP_Grid[#Data],$DD180,58),0)</f>
        <v/>
      </c>
      <c r="BI180">
        <f>IFERROR(INDEX(PP_Grid[#Data],$DD180,59),0)</f>
        <v/>
      </c>
      <c r="BJ180">
        <f>IFERROR(INDEX(PP_Grid[#Data],$DD180,60),0)</f>
        <v/>
      </c>
      <c r="BK180">
        <f>IFERROR(INDEX(PP_Grid[#Data],$DD180,61),0)</f>
        <v/>
      </c>
      <c r="BL180">
        <f>IFERROR(INDEX(PP_Grid[#Data],$DD180,62),0)</f>
        <v/>
      </c>
      <c r="BM180">
        <f>IFERROR(INDEX(PP_Grid[#Data],$DD180,63),0)</f>
        <v/>
      </c>
      <c r="BN180">
        <f>IFERROR(INDEX(PP_Grid[#Data],$DD180,64),0)</f>
        <v/>
      </c>
      <c r="BO180">
        <f>IFERROR(INDEX(PP_Grid[#Data],$DD180,65),0)</f>
        <v/>
      </c>
      <c r="BP180">
        <f>IFERROR(INDEX(PP_Grid[#Data],$DD180,66),0)</f>
        <v/>
      </c>
      <c r="BQ180">
        <f>IFERROR(INDEX(PP_Grid[#Data],$DD180,67),0)</f>
        <v/>
      </c>
      <c r="BR180">
        <f>IFERROR(INDEX(PP_Grid[#Data],$DD180,68),0)</f>
        <v/>
      </c>
      <c r="BS180">
        <f>IFERROR(INDEX(PP_Grid[#Data],$DD180,69),0)</f>
        <v/>
      </c>
      <c r="BT180">
        <f>IFERROR(INDEX(PP_Grid[#Data],$DD180,70),0)</f>
        <v/>
      </c>
      <c r="BU180">
        <f>IFERROR(INDEX(PP_Grid[#Data],$DD180,71),0)</f>
        <v/>
      </c>
      <c r="BV180">
        <f>IFERROR(INDEX(PP_Grid[#Data],$DD180,72),0)</f>
        <v/>
      </c>
      <c r="BW180">
        <f>IFERROR(INDEX(PP_Grid[#Data],$DD180,73),0)</f>
        <v/>
      </c>
      <c r="BX180">
        <f>IFERROR(INDEX(PP_Grid[#Data],$DD180,74),0)</f>
        <v/>
      </c>
      <c r="BY180">
        <f>IFERROR(INDEX(PP_Grid[#Data],$DD180,75),0)</f>
        <v/>
      </c>
      <c r="BZ180">
        <f>IFERROR(INDEX(PP_Grid[#Data],$DD180,76),0)</f>
        <v/>
      </c>
      <c r="CA180">
        <f>IFERROR(INDEX(PP_Grid[#Data],$DD180,77),0)</f>
        <v/>
      </c>
      <c r="CB180">
        <f>IFERROR(INDEX(PP_Grid[#Data],$DD180,78),0)</f>
        <v/>
      </c>
      <c r="CC180">
        <f>IFERROR(INDEX(PP_Grid[#Data],$DD180,79),0)</f>
        <v/>
      </c>
      <c r="CD180">
        <f>IFERROR(INDEX(PP_Grid[#Data],$DD180,80),0)</f>
        <v/>
      </c>
      <c r="CE180">
        <f>IFERROR(INDEX(PP_Grid[#Data],$DD180,81),0)</f>
        <v/>
      </c>
      <c r="CF180">
        <f>IFERROR(INDEX(PP_Grid[#Data],$DD180,82),0)</f>
        <v/>
      </c>
      <c r="CG180">
        <f>IFERROR(INDEX(PP_Grid[#Data],$DD180,83),0)</f>
        <v/>
      </c>
      <c r="CH180">
        <f>IFERROR(INDEX(PP_Grid[#Data],$DD180,84),0)</f>
        <v/>
      </c>
      <c r="CI180">
        <f>IFERROR(INDEX(PP_Grid[#Data],$DD180,85),0)</f>
        <v/>
      </c>
      <c r="CJ180">
        <f>IFERROR(INDEX(PP_Grid[#Data],$DD180,86),0)</f>
        <v/>
      </c>
      <c r="CK180">
        <f>IFERROR(INDEX(PP_Grid[#Data],$DD180,87),0)</f>
        <v/>
      </c>
      <c r="CL180">
        <f>IFERROR(INDEX(PP_Grid[#Data],$DD180,88),0)</f>
        <v/>
      </c>
      <c r="CM180">
        <f>IFERROR(INDEX(PP_Grid[#Data],$DD180,89),0)</f>
        <v/>
      </c>
      <c r="CN180">
        <f>IFERROR(INDEX(PP_Grid[#Data],$DD180,90),0)</f>
        <v/>
      </c>
      <c r="CO180">
        <f>IFERROR(INDEX(PP_Grid[#Data],$DD180,91),0)</f>
        <v/>
      </c>
      <c r="CP180">
        <f>IFERROR(INDEX(PP_Grid[#Data],$DD180,92),0)</f>
        <v/>
      </c>
      <c r="CQ180">
        <f>IFERROR(INDEX(PP_Grid[#Data],$DD180,93),0)</f>
        <v/>
      </c>
      <c r="CR180">
        <f>IFERROR(INDEX(PP_Grid[#Data],$DD180,94),0)</f>
        <v/>
      </c>
      <c r="CS180">
        <f>IFERROR(INDEX(PP_Grid[#Data],$DD180,95),0)</f>
        <v/>
      </c>
      <c r="CT180">
        <f>IFERROR(INDEX(PP_Grid[#Data],$DD180,96),0)</f>
        <v/>
      </c>
      <c r="CU180">
        <f>IFERROR(INDEX(PP_Grid[#Data],$DD180,97),0)</f>
        <v/>
      </c>
      <c r="CV180">
        <f>IFERROR(INDEX(PP_Grid[#Data],$DD180,98),0)</f>
        <v/>
      </c>
      <c r="CW180">
        <f>IFERROR(INDEX(PP_Grid[#Data],$DD180,99),0)</f>
        <v/>
      </c>
      <c r="CX180">
        <f>IFERROR(INDEX(PP_Grid[#Data],$DD180,100),0)</f>
        <v/>
      </c>
      <c r="CY180">
        <f>IFERROR(INDEX(PP_Grid[#Data],$DD180,101),0)</f>
        <v/>
      </c>
      <c r="CZ180">
        <f>IFERROR(INDEX(PP_Grid[#Data],$DD180,102),0)</f>
        <v/>
      </c>
      <c r="DA180">
        <f>IFERROR(INDEX(PP_Grid[#Data],$DD180,103),0)</f>
        <v/>
      </c>
      <c r="DB180">
        <f>IFERROR(INDEX(PP_Grid[#Data],$DD180,104),0)</f>
        <v/>
      </c>
      <c r="DC180">
        <f>IFERROR(INDEX(PP_Grid[#Data],$DD180,105),0)</f>
        <v/>
      </c>
      <c r="DD180" s="7">
        <f>IFERROR(MATCH($B180,PP_Grid[Intermediate],0),99999)</f>
        <v/>
      </c>
    </row>
    <row r="181">
      <c r="B181" t="inlineStr">
        <is>
          <t>使用量(kg)</t>
        </is>
      </c>
      <c r="C181">
        <f>SUMIFS(M_BOM[RM_Qty_Per_Batch],M_BOM[Intermediate],$B180,M_BOM[Part Name],$A45)</f>
        <v/>
      </c>
      <c r="D181">
        <f>$C181*D180</f>
        <v/>
      </c>
      <c r="E181">
        <f>$C181*E180</f>
        <v/>
      </c>
      <c r="F181">
        <f>$C181*F180</f>
        <v/>
      </c>
      <c r="G181">
        <f>$C181*G180</f>
        <v/>
      </c>
      <c r="H181">
        <f>$C181*H180</f>
        <v/>
      </c>
      <c r="I181">
        <f>$C181*I180</f>
        <v/>
      </c>
      <c r="J181">
        <f>$C181*J180</f>
        <v/>
      </c>
      <c r="K181">
        <f>$C181*K180</f>
        <v/>
      </c>
      <c r="L181">
        <f>$C181*L180</f>
        <v/>
      </c>
      <c r="M181">
        <f>$C181*M180</f>
        <v/>
      </c>
      <c r="N181">
        <f>$C181*N180</f>
        <v/>
      </c>
      <c r="O181">
        <f>$C181*O180</f>
        <v/>
      </c>
      <c r="P181">
        <f>$C181*P180</f>
        <v/>
      </c>
      <c r="Q181">
        <f>$C181*Q180</f>
        <v/>
      </c>
      <c r="R181">
        <f>$C181*R180</f>
        <v/>
      </c>
      <c r="S181">
        <f>$C181*S180</f>
        <v/>
      </c>
      <c r="T181">
        <f>$C181*T180</f>
        <v/>
      </c>
      <c r="U181">
        <f>$C181*U180</f>
        <v/>
      </c>
      <c r="V181">
        <f>$C181*V180</f>
        <v/>
      </c>
      <c r="W181">
        <f>$C181*W180</f>
        <v/>
      </c>
      <c r="X181">
        <f>$C181*X180</f>
        <v/>
      </c>
      <c r="Y181">
        <f>$C181*Y180</f>
        <v/>
      </c>
      <c r="Z181">
        <f>$C181*Z180</f>
        <v/>
      </c>
      <c r="AA181">
        <f>$C181*AA180</f>
        <v/>
      </c>
      <c r="AB181">
        <f>$C181*AB180</f>
        <v/>
      </c>
      <c r="AC181">
        <f>$C181*AC180</f>
        <v/>
      </c>
      <c r="AD181">
        <f>$C181*AD180</f>
        <v/>
      </c>
      <c r="AE181">
        <f>$C181*AE180</f>
        <v/>
      </c>
      <c r="AF181">
        <f>$C181*AF180</f>
        <v/>
      </c>
      <c r="AG181">
        <f>$C181*AG180</f>
        <v/>
      </c>
      <c r="AH181">
        <f>$C181*AH180</f>
        <v/>
      </c>
      <c r="AI181">
        <f>$C181*AI180</f>
        <v/>
      </c>
      <c r="AJ181">
        <f>$C181*AJ180</f>
        <v/>
      </c>
      <c r="AK181">
        <f>$C181*AK180</f>
        <v/>
      </c>
      <c r="AL181">
        <f>$C181*AL180</f>
        <v/>
      </c>
      <c r="AM181">
        <f>$C181*AM180</f>
        <v/>
      </c>
      <c r="AN181">
        <f>$C181*AN180</f>
        <v/>
      </c>
      <c r="AO181">
        <f>$C181*AO180</f>
        <v/>
      </c>
      <c r="AP181">
        <f>$C181*AP180</f>
        <v/>
      </c>
      <c r="AQ181">
        <f>$C181*AQ180</f>
        <v/>
      </c>
      <c r="AR181">
        <f>$C181*AR180</f>
        <v/>
      </c>
      <c r="AS181">
        <f>$C181*AS180</f>
        <v/>
      </c>
      <c r="AT181">
        <f>$C181*AT180</f>
        <v/>
      </c>
      <c r="AU181">
        <f>$C181*AU180</f>
        <v/>
      </c>
      <c r="AV181">
        <f>$C181*AV180</f>
        <v/>
      </c>
      <c r="AW181">
        <f>$C181*AW180</f>
        <v/>
      </c>
      <c r="AX181">
        <f>$C181*AX180</f>
        <v/>
      </c>
      <c r="AY181">
        <f>$C181*AY180</f>
        <v/>
      </c>
      <c r="AZ181">
        <f>$C181*AZ180</f>
        <v/>
      </c>
      <c r="BA181">
        <f>$C181*BA180</f>
        <v/>
      </c>
      <c r="BB181">
        <f>$C181*BB180</f>
        <v/>
      </c>
      <c r="BC181">
        <f>$C181*BC180</f>
        <v/>
      </c>
      <c r="BD181">
        <f>$C181*BD180</f>
        <v/>
      </c>
      <c r="BE181">
        <f>$C181*BE180</f>
        <v/>
      </c>
      <c r="BF181">
        <f>$C181*BF180</f>
        <v/>
      </c>
      <c r="BG181">
        <f>$C181*BG180</f>
        <v/>
      </c>
      <c r="BH181">
        <f>$C181*BH180</f>
        <v/>
      </c>
      <c r="BI181">
        <f>$C181*BI180</f>
        <v/>
      </c>
      <c r="BJ181">
        <f>$C181*BJ180</f>
        <v/>
      </c>
      <c r="BK181">
        <f>$C181*BK180</f>
        <v/>
      </c>
      <c r="BL181">
        <f>$C181*BL180</f>
        <v/>
      </c>
      <c r="BM181">
        <f>$C181*BM180</f>
        <v/>
      </c>
      <c r="BN181">
        <f>$C181*BN180</f>
        <v/>
      </c>
      <c r="BO181">
        <f>$C181*BO180</f>
        <v/>
      </c>
      <c r="BP181">
        <f>$C181*BP180</f>
        <v/>
      </c>
      <c r="BQ181">
        <f>$C181*BQ180</f>
        <v/>
      </c>
      <c r="BR181">
        <f>$C181*BR180</f>
        <v/>
      </c>
      <c r="BS181">
        <f>$C181*BS180</f>
        <v/>
      </c>
      <c r="BT181">
        <f>$C181*BT180</f>
        <v/>
      </c>
      <c r="BU181">
        <f>$C181*BU180</f>
        <v/>
      </c>
      <c r="BV181">
        <f>$C181*BV180</f>
        <v/>
      </c>
      <c r="BW181">
        <f>$C181*BW180</f>
        <v/>
      </c>
      <c r="BX181">
        <f>$C181*BX180</f>
        <v/>
      </c>
      <c r="BY181">
        <f>$C181*BY180</f>
        <v/>
      </c>
      <c r="BZ181">
        <f>$C181*BZ180</f>
        <v/>
      </c>
      <c r="CA181">
        <f>$C181*CA180</f>
        <v/>
      </c>
      <c r="CB181">
        <f>$C181*CB180</f>
        <v/>
      </c>
      <c r="CC181">
        <f>$C181*CC180</f>
        <v/>
      </c>
      <c r="CD181">
        <f>$C181*CD180</f>
        <v/>
      </c>
      <c r="CE181">
        <f>$C181*CE180</f>
        <v/>
      </c>
      <c r="CF181">
        <f>$C181*CF180</f>
        <v/>
      </c>
      <c r="CG181">
        <f>$C181*CG180</f>
        <v/>
      </c>
      <c r="CH181">
        <f>$C181*CH180</f>
        <v/>
      </c>
      <c r="CI181">
        <f>$C181*CI180</f>
        <v/>
      </c>
      <c r="CJ181">
        <f>$C181*CJ180</f>
        <v/>
      </c>
      <c r="CK181">
        <f>$C181*CK180</f>
        <v/>
      </c>
      <c r="CL181">
        <f>$C181*CL180</f>
        <v/>
      </c>
      <c r="CM181">
        <f>$C181*CM180</f>
        <v/>
      </c>
      <c r="CN181">
        <f>$C181*CN180</f>
        <v/>
      </c>
      <c r="CO181">
        <f>$C181*CO180</f>
        <v/>
      </c>
      <c r="CP181">
        <f>$C181*CP180</f>
        <v/>
      </c>
      <c r="CQ181">
        <f>$C181*CQ180</f>
        <v/>
      </c>
      <c r="CR181">
        <f>$C181*CR180</f>
        <v/>
      </c>
      <c r="CS181">
        <f>$C181*CS180</f>
        <v/>
      </c>
      <c r="CT181">
        <f>$C181*CT180</f>
        <v/>
      </c>
      <c r="CU181">
        <f>$C181*CU180</f>
        <v/>
      </c>
      <c r="CV181">
        <f>$C181*CV180</f>
        <v/>
      </c>
      <c r="CW181">
        <f>$C181*CW180</f>
        <v/>
      </c>
      <c r="CX181">
        <f>$C181*CX180</f>
        <v/>
      </c>
      <c r="CY181">
        <f>$C181*CY180</f>
        <v/>
      </c>
      <c r="CZ181">
        <f>$C181*CZ180</f>
        <v/>
      </c>
      <c r="DA181">
        <f>$C181*DA180</f>
        <v/>
      </c>
      <c r="DB181">
        <f>$C181*DB180</f>
        <v/>
      </c>
      <c r="DC181">
        <f>$C181*DC180</f>
        <v/>
      </c>
    </row>
    <row r="182">
      <c r="B182" t="inlineStr">
        <is>
          <t>VSP-738</t>
        </is>
      </c>
      <c r="C182" t="inlineStr">
        <is>
          <t>No. of batches</t>
        </is>
      </c>
      <c r="D182">
        <f>IFERROR(INDEX(PP_Grid[#Data],$DD182,2),0)</f>
        <v/>
      </c>
      <c r="E182">
        <f>IFERROR(INDEX(PP_Grid[#Data],$DD182,3),0)</f>
        <v/>
      </c>
      <c r="F182">
        <f>IFERROR(INDEX(PP_Grid[#Data],$DD182,4),0)</f>
        <v/>
      </c>
      <c r="G182">
        <f>IFERROR(INDEX(PP_Grid[#Data],$DD182,5),0)</f>
        <v/>
      </c>
      <c r="H182">
        <f>IFERROR(INDEX(PP_Grid[#Data],$DD182,6),0)</f>
        <v/>
      </c>
      <c r="I182">
        <f>IFERROR(INDEX(PP_Grid[#Data],$DD182,7),0)</f>
        <v/>
      </c>
      <c r="J182">
        <f>IFERROR(INDEX(PP_Grid[#Data],$DD182,8),0)</f>
        <v/>
      </c>
      <c r="K182">
        <f>IFERROR(INDEX(PP_Grid[#Data],$DD182,9),0)</f>
        <v/>
      </c>
      <c r="L182">
        <f>IFERROR(INDEX(PP_Grid[#Data],$DD182,10),0)</f>
        <v/>
      </c>
      <c r="M182">
        <f>IFERROR(INDEX(PP_Grid[#Data],$DD182,11),0)</f>
        <v/>
      </c>
      <c r="N182">
        <f>IFERROR(INDEX(PP_Grid[#Data],$DD182,12),0)</f>
        <v/>
      </c>
      <c r="O182">
        <f>IFERROR(INDEX(PP_Grid[#Data],$DD182,13),0)</f>
        <v/>
      </c>
      <c r="P182">
        <f>IFERROR(INDEX(PP_Grid[#Data],$DD182,14),0)</f>
        <v/>
      </c>
      <c r="Q182">
        <f>IFERROR(INDEX(PP_Grid[#Data],$DD182,15),0)</f>
        <v/>
      </c>
      <c r="R182">
        <f>IFERROR(INDEX(PP_Grid[#Data],$DD182,16),0)</f>
        <v/>
      </c>
      <c r="S182">
        <f>IFERROR(INDEX(PP_Grid[#Data],$DD182,17),0)</f>
        <v/>
      </c>
      <c r="T182">
        <f>IFERROR(INDEX(PP_Grid[#Data],$DD182,18),0)</f>
        <v/>
      </c>
      <c r="U182">
        <f>IFERROR(INDEX(PP_Grid[#Data],$DD182,19),0)</f>
        <v/>
      </c>
      <c r="V182">
        <f>IFERROR(INDEX(PP_Grid[#Data],$DD182,20),0)</f>
        <v/>
      </c>
      <c r="W182">
        <f>IFERROR(INDEX(PP_Grid[#Data],$DD182,21),0)</f>
        <v/>
      </c>
      <c r="X182">
        <f>IFERROR(INDEX(PP_Grid[#Data],$DD182,22),0)</f>
        <v/>
      </c>
      <c r="Y182">
        <f>IFERROR(INDEX(PP_Grid[#Data],$DD182,23),0)</f>
        <v/>
      </c>
      <c r="Z182">
        <f>IFERROR(INDEX(PP_Grid[#Data],$DD182,24),0)</f>
        <v/>
      </c>
      <c r="AA182">
        <f>IFERROR(INDEX(PP_Grid[#Data],$DD182,25),0)</f>
        <v/>
      </c>
      <c r="AB182">
        <f>IFERROR(INDEX(PP_Grid[#Data],$DD182,26),0)</f>
        <v/>
      </c>
      <c r="AC182">
        <f>IFERROR(INDEX(PP_Grid[#Data],$DD182,27),0)</f>
        <v/>
      </c>
      <c r="AD182">
        <f>IFERROR(INDEX(PP_Grid[#Data],$DD182,28),0)</f>
        <v/>
      </c>
      <c r="AE182">
        <f>IFERROR(INDEX(PP_Grid[#Data],$DD182,29),0)</f>
        <v/>
      </c>
      <c r="AF182">
        <f>IFERROR(INDEX(PP_Grid[#Data],$DD182,30),0)</f>
        <v/>
      </c>
      <c r="AG182">
        <f>IFERROR(INDEX(PP_Grid[#Data],$DD182,31),0)</f>
        <v/>
      </c>
      <c r="AH182">
        <f>IFERROR(INDEX(PP_Grid[#Data],$DD182,32),0)</f>
        <v/>
      </c>
      <c r="AI182">
        <f>IFERROR(INDEX(PP_Grid[#Data],$DD182,33),0)</f>
        <v/>
      </c>
      <c r="AJ182">
        <f>IFERROR(INDEX(PP_Grid[#Data],$DD182,34),0)</f>
        <v/>
      </c>
      <c r="AK182">
        <f>IFERROR(INDEX(PP_Grid[#Data],$DD182,35),0)</f>
        <v/>
      </c>
      <c r="AL182">
        <f>IFERROR(INDEX(PP_Grid[#Data],$DD182,36),0)</f>
        <v/>
      </c>
      <c r="AM182">
        <f>IFERROR(INDEX(PP_Grid[#Data],$DD182,37),0)</f>
        <v/>
      </c>
      <c r="AN182">
        <f>IFERROR(INDEX(PP_Grid[#Data],$DD182,38),0)</f>
        <v/>
      </c>
      <c r="AO182">
        <f>IFERROR(INDEX(PP_Grid[#Data],$DD182,39),0)</f>
        <v/>
      </c>
      <c r="AP182">
        <f>IFERROR(INDEX(PP_Grid[#Data],$DD182,40),0)</f>
        <v/>
      </c>
      <c r="AQ182">
        <f>IFERROR(INDEX(PP_Grid[#Data],$DD182,41),0)</f>
        <v/>
      </c>
      <c r="AR182">
        <f>IFERROR(INDEX(PP_Grid[#Data],$DD182,42),0)</f>
        <v/>
      </c>
      <c r="AS182">
        <f>IFERROR(INDEX(PP_Grid[#Data],$DD182,43),0)</f>
        <v/>
      </c>
      <c r="AT182">
        <f>IFERROR(INDEX(PP_Grid[#Data],$DD182,44),0)</f>
        <v/>
      </c>
      <c r="AU182">
        <f>IFERROR(INDEX(PP_Grid[#Data],$DD182,45),0)</f>
        <v/>
      </c>
      <c r="AV182">
        <f>IFERROR(INDEX(PP_Grid[#Data],$DD182,46),0)</f>
        <v/>
      </c>
      <c r="AW182">
        <f>IFERROR(INDEX(PP_Grid[#Data],$DD182,47),0)</f>
        <v/>
      </c>
      <c r="AX182">
        <f>IFERROR(INDEX(PP_Grid[#Data],$DD182,48),0)</f>
        <v/>
      </c>
      <c r="AY182">
        <f>IFERROR(INDEX(PP_Grid[#Data],$DD182,49),0)</f>
        <v/>
      </c>
      <c r="AZ182">
        <f>IFERROR(INDEX(PP_Grid[#Data],$DD182,50),0)</f>
        <v/>
      </c>
      <c r="BA182">
        <f>IFERROR(INDEX(PP_Grid[#Data],$DD182,51),0)</f>
        <v/>
      </c>
      <c r="BB182">
        <f>IFERROR(INDEX(PP_Grid[#Data],$DD182,52),0)</f>
        <v/>
      </c>
      <c r="BC182">
        <f>IFERROR(INDEX(PP_Grid[#Data],$DD182,53),0)</f>
        <v/>
      </c>
      <c r="BD182">
        <f>IFERROR(INDEX(PP_Grid[#Data],$DD182,54),0)</f>
        <v/>
      </c>
      <c r="BE182">
        <f>IFERROR(INDEX(PP_Grid[#Data],$DD182,55),0)</f>
        <v/>
      </c>
      <c r="BF182">
        <f>IFERROR(INDEX(PP_Grid[#Data],$DD182,56),0)</f>
        <v/>
      </c>
      <c r="BG182">
        <f>IFERROR(INDEX(PP_Grid[#Data],$DD182,57),0)</f>
        <v/>
      </c>
      <c r="BH182">
        <f>IFERROR(INDEX(PP_Grid[#Data],$DD182,58),0)</f>
        <v/>
      </c>
      <c r="BI182">
        <f>IFERROR(INDEX(PP_Grid[#Data],$DD182,59),0)</f>
        <v/>
      </c>
      <c r="BJ182">
        <f>IFERROR(INDEX(PP_Grid[#Data],$DD182,60),0)</f>
        <v/>
      </c>
      <c r="BK182">
        <f>IFERROR(INDEX(PP_Grid[#Data],$DD182,61),0)</f>
        <v/>
      </c>
      <c r="BL182">
        <f>IFERROR(INDEX(PP_Grid[#Data],$DD182,62),0)</f>
        <v/>
      </c>
      <c r="BM182">
        <f>IFERROR(INDEX(PP_Grid[#Data],$DD182,63),0)</f>
        <v/>
      </c>
      <c r="BN182">
        <f>IFERROR(INDEX(PP_Grid[#Data],$DD182,64),0)</f>
        <v/>
      </c>
      <c r="BO182">
        <f>IFERROR(INDEX(PP_Grid[#Data],$DD182,65),0)</f>
        <v/>
      </c>
      <c r="BP182">
        <f>IFERROR(INDEX(PP_Grid[#Data],$DD182,66),0)</f>
        <v/>
      </c>
      <c r="BQ182">
        <f>IFERROR(INDEX(PP_Grid[#Data],$DD182,67),0)</f>
        <v/>
      </c>
      <c r="BR182">
        <f>IFERROR(INDEX(PP_Grid[#Data],$DD182,68),0)</f>
        <v/>
      </c>
      <c r="BS182">
        <f>IFERROR(INDEX(PP_Grid[#Data],$DD182,69),0)</f>
        <v/>
      </c>
      <c r="BT182">
        <f>IFERROR(INDEX(PP_Grid[#Data],$DD182,70),0)</f>
        <v/>
      </c>
      <c r="BU182">
        <f>IFERROR(INDEX(PP_Grid[#Data],$DD182,71),0)</f>
        <v/>
      </c>
      <c r="BV182">
        <f>IFERROR(INDEX(PP_Grid[#Data],$DD182,72),0)</f>
        <v/>
      </c>
      <c r="BW182">
        <f>IFERROR(INDEX(PP_Grid[#Data],$DD182,73),0)</f>
        <v/>
      </c>
      <c r="BX182">
        <f>IFERROR(INDEX(PP_Grid[#Data],$DD182,74),0)</f>
        <v/>
      </c>
      <c r="BY182">
        <f>IFERROR(INDEX(PP_Grid[#Data],$DD182,75),0)</f>
        <v/>
      </c>
      <c r="BZ182">
        <f>IFERROR(INDEX(PP_Grid[#Data],$DD182,76),0)</f>
        <v/>
      </c>
      <c r="CA182">
        <f>IFERROR(INDEX(PP_Grid[#Data],$DD182,77),0)</f>
        <v/>
      </c>
      <c r="CB182">
        <f>IFERROR(INDEX(PP_Grid[#Data],$DD182,78),0)</f>
        <v/>
      </c>
      <c r="CC182">
        <f>IFERROR(INDEX(PP_Grid[#Data],$DD182,79),0)</f>
        <v/>
      </c>
      <c r="CD182">
        <f>IFERROR(INDEX(PP_Grid[#Data],$DD182,80),0)</f>
        <v/>
      </c>
      <c r="CE182">
        <f>IFERROR(INDEX(PP_Grid[#Data],$DD182,81),0)</f>
        <v/>
      </c>
      <c r="CF182">
        <f>IFERROR(INDEX(PP_Grid[#Data],$DD182,82),0)</f>
        <v/>
      </c>
      <c r="CG182">
        <f>IFERROR(INDEX(PP_Grid[#Data],$DD182,83),0)</f>
        <v/>
      </c>
      <c r="CH182">
        <f>IFERROR(INDEX(PP_Grid[#Data],$DD182,84),0)</f>
        <v/>
      </c>
      <c r="CI182">
        <f>IFERROR(INDEX(PP_Grid[#Data],$DD182,85),0)</f>
        <v/>
      </c>
      <c r="CJ182">
        <f>IFERROR(INDEX(PP_Grid[#Data],$DD182,86),0)</f>
        <v/>
      </c>
      <c r="CK182">
        <f>IFERROR(INDEX(PP_Grid[#Data],$DD182,87),0)</f>
        <v/>
      </c>
      <c r="CL182">
        <f>IFERROR(INDEX(PP_Grid[#Data],$DD182,88),0)</f>
        <v/>
      </c>
      <c r="CM182">
        <f>IFERROR(INDEX(PP_Grid[#Data],$DD182,89),0)</f>
        <v/>
      </c>
      <c r="CN182">
        <f>IFERROR(INDEX(PP_Grid[#Data],$DD182,90),0)</f>
        <v/>
      </c>
      <c r="CO182">
        <f>IFERROR(INDEX(PP_Grid[#Data],$DD182,91),0)</f>
        <v/>
      </c>
      <c r="CP182">
        <f>IFERROR(INDEX(PP_Grid[#Data],$DD182,92),0)</f>
        <v/>
      </c>
      <c r="CQ182">
        <f>IFERROR(INDEX(PP_Grid[#Data],$DD182,93),0)</f>
        <v/>
      </c>
      <c r="CR182">
        <f>IFERROR(INDEX(PP_Grid[#Data],$DD182,94),0)</f>
        <v/>
      </c>
      <c r="CS182">
        <f>IFERROR(INDEX(PP_Grid[#Data],$DD182,95),0)</f>
        <v/>
      </c>
      <c r="CT182">
        <f>IFERROR(INDEX(PP_Grid[#Data],$DD182,96),0)</f>
        <v/>
      </c>
      <c r="CU182">
        <f>IFERROR(INDEX(PP_Grid[#Data],$DD182,97),0)</f>
        <v/>
      </c>
      <c r="CV182">
        <f>IFERROR(INDEX(PP_Grid[#Data],$DD182,98),0)</f>
        <v/>
      </c>
      <c r="CW182">
        <f>IFERROR(INDEX(PP_Grid[#Data],$DD182,99),0)</f>
        <v/>
      </c>
      <c r="CX182">
        <f>IFERROR(INDEX(PP_Grid[#Data],$DD182,100),0)</f>
        <v/>
      </c>
      <c r="CY182">
        <f>IFERROR(INDEX(PP_Grid[#Data],$DD182,101),0)</f>
        <v/>
      </c>
      <c r="CZ182">
        <f>IFERROR(INDEX(PP_Grid[#Data],$DD182,102),0)</f>
        <v/>
      </c>
      <c r="DA182">
        <f>IFERROR(INDEX(PP_Grid[#Data],$DD182,103),0)</f>
        <v/>
      </c>
      <c r="DB182">
        <f>IFERROR(INDEX(PP_Grid[#Data],$DD182,104),0)</f>
        <v/>
      </c>
      <c r="DC182">
        <f>IFERROR(INDEX(PP_Grid[#Data],$DD182,105),0)</f>
        <v/>
      </c>
      <c r="DD182" s="7">
        <f>IFERROR(MATCH($B182,PP_Grid[Intermediate],0),99999)</f>
        <v/>
      </c>
    </row>
    <row r="183">
      <c r="B183" t="inlineStr">
        <is>
          <t>使用量(kg)</t>
        </is>
      </c>
      <c r="C183">
        <f>SUMIFS(M_BOM[RM_Qty_Per_Batch],M_BOM[Intermediate],$B182,M_BOM[Part Name],$A45)</f>
        <v/>
      </c>
      <c r="D183">
        <f>$C183*D182</f>
        <v/>
      </c>
      <c r="E183">
        <f>$C183*E182</f>
        <v/>
      </c>
      <c r="F183">
        <f>$C183*F182</f>
        <v/>
      </c>
      <c r="G183">
        <f>$C183*G182</f>
        <v/>
      </c>
      <c r="H183">
        <f>$C183*H182</f>
        <v/>
      </c>
      <c r="I183">
        <f>$C183*I182</f>
        <v/>
      </c>
      <c r="J183">
        <f>$C183*J182</f>
        <v/>
      </c>
      <c r="K183">
        <f>$C183*K182</f>
        <v/>
      </c>
      <c r="L183">
        <f>$C183*L182</f>
        <v/>
      </c>
      <c r="M183">
        <f>$C183*M182</f>
        <v/>
      </c>
      <c r="N183">
        <f>$C183*N182</f>
        <v/>
      </c>
      <c r="O183">
        <f>$C183*O182</f>
        <v/>
      </c>
      <c r="P183">
        <f>$C183*P182</f>
        <v/>
      </c>
      <c r="Q183">
        <f>$C183*Q182</f>
        <v/>
      </c>
      <c r="R183">
        <f>$C183*R182</f>
        <v/>
      </c>
      <c r="S183">
        <f>$C183*S182</f>
        <v/>
      </c>
      <c r="T183">
        <f>$C183*T182</f>
        <v/>
      </c>
      <c r="U183">
        <f>$C183*U182</f>
        <v/>
      </c>
      <c r="V183">
        <f>$C183*V182</f>
        <v/>
      </c>
      <c r="W183">
        <f>$C183*W182</f>
        <v/>
      </c>
      <c r="X183">
        <f>$C183*X182</f>
        <v/>
      </c>
      <c r="Y183">
        <f>$C183*Y182</f>
        <v/>
      </c>
      <c r="Z183">
        <f>$C183*Z182</f>
        <v/>
      </c>
      <c r="AA183">
        <f>$C183*AA182</f>
        <v/>
      </c>
      <c r="AB183">
        <f>$C183*AB182</f>
        <v/>
      </c>
      <c r="AC183">
        <f>$C183*AC182</f>
        <v/>
      </c>
      <c r="AD183">
        <f>$C183*AD182</f>
        <v/>
      </c>
      <c r="AE183">
        <f>$C183*AE182</f>
        <v/>
      </c>
      <c r="AF183">
        <f>$C183*AF182</f>
        <v/>
      </c>
      <c r="AG183">
        <f>$C183*AG182</f>
        <v/>
      </c>
      <c r="AH183">
        <f>$C183*AH182</f>
        <v/>
      </c>
      <c r="AI183">
        <f>$C183*AI182</f>
        <v/>
      </c>
      <c r="AJ183">
        <f>$C183*AJ182</f>
        <v/>
      </c>
      <c r="AK183">
        <f>$C183*AK182</f>
        <v/>
      </c>
      <c r="AL183">
        <f>$C183*AL182</f>
        <v/>
      </c>
      <c r="AM183">
        <f>$C183*AM182</f>
        <v/>
      </c>
      <c r="AN183">
        <f>$C183*AN182</f>
        <v/>
      </c>
      <c r="AO183">
        <f>$C183*AO182</f>
        <v/>
      </c>
      <c r="AP183">
        <f>$C183*AP182</f>
        <v/>
      </c>
      <c r="AQ183">
        <f>$C183*AQ182</f>
        <v/>
      </c>
      <c r="AR183">
        <f>$C183*AR182</f>
        <v/>
      </c>
      <c r="AS183">
        <f>$C183*AS182</f>
        <v/>
      </c>
      <c r="AT183">
        <f>$C183*AT182</f>
        <v/>
      </c>
      <c r="AU183">
        <f>$C183*AU182</f>
        <v/>
      </c>
      <c r="AV183">
        <f>$C183*AV182</f>
        <v/>
      </c>
      <c r="AW183">
        <f>$C183*AW182</f>
        <v/>
      </c>
      <c r="AX183">
        <f>$C183*AX182</f>
        <v/>
      </c>
      <c r="AY183">
        <f>$C183*AY182</f>
        <v/>
      </c>
      <c r="AZ183">
        <f>$C183*AZ182</f>
        <v/>
      </c>
      <c r="BA183">
        <f>$C183*BA182</f>
        <v/>
      </c>
      <c r="BB183">
        <f>$C183*BB182</f>
        <v/>
      </c>
      <c r="BC183">
        <f>$C183*BC182</f>
        <v/>
      </c>
      <c r="BD183">
        <f>$C183*BD182</f>
        <v/>
      </c>
      <c r="BE183">
        <f>$C183*BE182</f>
        <v/>
      </c>
      <c r="BF183">
        <f>$C183*BF182</f>
        <v/>
      </c>
      <c r="BG183">
        <f>$C183*BG182</f>
        <v/>
      </c>
      <c r="BH183">
        <f>$C183*BH182</f>
        <v/>
      </c>
      <c r="BI183">
        <f>$C183*BI182</f>
        <v/>
      </c>
      <c r="BJ183">
        <f>$C183*BJ182</f>
        <v/>
      </c>
      <c r="BK183">
        <f>$C183*BK182</f>
        <v/>
      </c>
      <c r="BL183">
        <f>$C183*BL182</f>
        <v/>
      </c>
      <c r="BM183">
        <f>$C183*BM182</f>
        <v/>
      </c>
      <c r="BN183">
        <f>$C183*BN182</f>
        <v/>
      </c>
      <c r="BO183">
        <f>$C183*BO182</f>
        <v/>
      </c>
      <c r="BP183">
        <f>$C183*BP182</f>
        <v/>
      </c>
      <c r="BQ183">
        <f>$C183*BQ182</f>
        <v/>
      </c>
      <c r="BR183">
        <f>$C183*BR182</f>
        <v/>
      </c>
      <c r="BS183">
        <f>$C183*BS182</f>
        <v/>
      </c>
      <c r="BT183">
        <f>$C183*BT182</f>
        <v/>
      </c>
      <c r="BU183">
        <f>$C183*BU182</f>
        <v/>
      </c>
      <c r="BV183">
        <f>$C183*BV182</f>
        <v/>
      </c>
      <c r="BW183">
        <f>$C183*BW182</f>
        <v/>
      </c>
      <c r="BX183">
        <f>$C183*BX182</f>
        <v/>
      </c>
      <c r="BY183">
        <f>$C183*BY182</f>
        <v/>
      </c>
      <c r="BZ183">
        <f>$C183*BZ182</f>
        <v/>
      </c>
      <c r="CA183">
        <f>$C183*CA182</f>
        <v/>
      </c>
      <c r="CB183">
        <f>$C183*CB182</f>
        <v/>
      </c>
      <c r="CC183">
        <f>$C183*CC182</f>
        <v/>
      </c>
      <c r="CD183">
        <f>$C183*CD182</f>
        <v/>
      </c>
      <c r="CE183">
        <f>$C183*CE182</f>
        <v/>
      </c>
      <c r="CF183">
        <f>$C183*CF182</f>
        <v/>
      </c>
      <c r="CG183">
        <f>$C183*CG182</f>
        <v/>
      </c>
      <c r="CH183">
        <f>$C183*CH182</f>
        <v/>
      </c>
      <c r="CI183">
        <f>$C183*CI182</f>
        <v/>
      </c>
      <c r="CJ183">
        <f>$C183*CJ182</f>
        <v/>
      </c>
      <c r="CK183">
        <f>$C183*CK182</f>
        <v/>
      </c>
      <c r="CL183">
        <f>$C183*CL182</f>
        <v/>
      </c>
      <c r="CM183">
        <f>$C183*CM182</f>
        <v/>
      </c>
      <c r="CN183">
        <f>$C183*CN182</f>
        <v/>
      </c>
      <c r="CO183">
        <f>$C183*CO182</f>
        <v/>
      </c>
      <c r="CP183">
        <f>$C183*CP182</f>
        <v/>
      </c>
      <c r="CQ183">
        <f>$C183*CQ182</f>
        <v/>
      </c>
      <c r="CR183">
        <f>$C183*CR182</f>
        <v/>
      </c>
      <c r="CS183">
        <f>$C183*CS182</f>
        <v/>
      </c>
      <c r="CT183">
        <f>$C183*CT182</f>
        <v/>
      </c>
      <c r="CU183">
        <f>$C183*CU182</f>
        <v/>
      </c>
      <c r="CV183">
        <f>$C183*CV182</f>
        <v/>
      </c>
      <c r="CW183">
        <f>$C183*CW182</f>
        <v/>
      </c>
      <c r="CX183">
        <f>$C183*CX182</f>
        <v/>
      </c>
      <c r="CY183">
        <f>$C183*CY182</f>
        <v/>
      </c>
      <c r="CZ183">
        <f>$C183*CZ182</f>
        <v/>
      </c>
      <c r="DA183">
        <f>$C183*DA182</f>
        <v/>
      </c>
      <c r="DB183">
        <f>$C183*DB182</f>
        <v/>
      </c>
      <c r="DC183">
        <f>$C183*DC182</f>
        <v/>
      </c>
    </row>
    <row r="184">
      <c r="B184" t="inlineStr">
        <is>
          <t>VSP-739</t>
        </is>
      </c>
      <c r="C184" t="inlineStr">
        <is>
          <t>No. of batches</t>
        </is>
      </c>
      <c r="D184">
        <f>IFERROR(INDEX(PP_Grid[#Data],$DD184,2),0)</f>
        <v/>
      </c>
      <c r="E184">
        <f>IFERROR(INDEX(PP_Grid[#Data],$DD184,3),0)</f>
        <v/>
      </c>
      <c r="F184">
        <f>IFERROR(INDEX(PP_Grid[#Data],$DD184,4),0)</f>
        <v/>
      </c>
      <c r="G184">
        <f>IFERROR(INDEX(PP_Grid[#Data],$DD184,5),0)</f>
        <v/>
      </c>
      <c r="H184">
        <f>IFERROR(INDEX(PP_Grid[#Data],$DD184,6),0)</f>
        <v/>
      </c>
      <c r="I184">
        <f>IFERROR(INDEX(PP_Grid[#Data],$DD184,7),0)</f>
        <v/>
      </c>
      <c r="J184">
        <f>IFERROR(INDEX(PP_Grid[#Data],$DD184,8),0)</f>
        <v/>
      </c>
      <c r="K184">
        <f>IFERROR(INDEX(PP_Grid[#Data],$DD184,9),0)</f>
        <v/>
      </c>
      <c r="L184">
        <f>IFERROR(INDEX(PP_Grid[#Data],$DD184,10),0)</f>
        <v/>
      </c>
      <c r="M184">
        <f>IFERROR(INDEX(PP_Grid[#Data],$DD184,11),0)</f>
        <v/>
      </c>
      <c r="N184">
        <f>IFERROR(INDEX(PP_Grid[#Data],$DD184,12),0)</f>
        <v/>
      </c>
      <c r="O184">
        <f>IFERROR(INDEX(PP_Grid[#Data],$DD184,13),0)</f>
        <v/>
      </c>
      <c r="P184">
        <f>IFERROR(INDEX(PP_Grid[#Data],$DD184,14),0)</f>
        <v/>
      </c>
      <c r="Q184">
        <f>IFERROR(INDEX(PP_Grid[#Data],$DD184,15),0)</f>
        <v/>
      </c>
      <c r="R184">
        <f>IFERROR(INDEX(PP_Grid[#Data],$DD184,16),0)</f>
        <v/>
      </c>
      <c r="S184">
        <f>IFERROR(INDEX(PP_Grid[#Data],$DD184,17),0)</f>
        <v/>
      </c>
      <c r="T184">
        <f>IFERROR(INDEX(PP_Grid[#Data],$DD184,18),0)</f>
        <v/>
      </c>
      <c r="U184">
        <f>IFERROR(INDEX(PP_Grid[#Data],$DD184,19),0)</f>
        <v/>
      </c>
      <c r="V184">
        <f>IFERROR(INDEX(PP_Grid[#Data],$DD184,20),0)</f>
        <v/>
      </c>
      <c r="W184">
        <f>IFERROR(INDEX(PP_Grid[#Data],$DD184,21),0)</f>
        <v/>
      </c>
      <c r="X184">
        <f>IFERROR(INDEX(PP_Grid[#Data],$DD184,22),0)</f>
        <v/>
      </c>
      <c r="Y184">
        <f>IFERROR(INDEX(PP_Grid[#Data],$DD184,23),0)</f>
        <v/>
      </c>
      <c r="Z184">
        <f>IFERROR(INDEX(PP_Grid[#Data],$DD184,24),0)</f>
        <v/>
      </c>
      <c r="AA184">
        <f>IFERROR(INDEX(PP_Grid[#Data],$DD184,25),0)</f>
        <v/>
      </c>
      <c r="AB184">
        <f>IFERROR(INDEX(PP_Grid[#Data],$DD184,26),0)</f>
        <v/>
      </c>
      <c r="AC184">
        <f>IFERROR(INDEX(PP_Grid[#Data],$DD184,27),0)</f>
        <v/>
      </c>
      <c r="AD184">
        <f>IFERROR(INDEX(PP_Grid[#Data],$DD184,28),0)</f>
        <v/>
      </c>
      <c r="AE184">
        <f>IFERROR(INDEX(PP_Grid[#Data],$DD184,29),0)</f>
        <v/>
      </c>
      <c r="AF184">
        <f>IFERROR(INDEX(PP_Grid[#Data],$DD184,30),0)</f>
        <v/>
      </c>
      <c r="AG184">
        <f>IFERROR(INDEX(PP_Grid[#Data],$DD184,31),0)</f>
        <v/>
      </c>
      <c r="AH184">
        <f>IFERROR(INDEX(PP_Grid[#Data],$DD184,32),0)</f>
        <v/>
      </c>
      <c r="AI184">
        <f>IFERROR(INDEX(PP_Grid[#Data],$DD184,33),0)</f>
        <v/>
      </c>
      <c r="AJ184">
        <f>IFERROR(INDEX(PP_Grid[#Data],$DD184,34),0)</f>
        <v/>
      </c>
      <c r="AK184">
        <f>IFERROR(INDEX(PP_Grid[#Data],$DD184,35),0)</f>
        <v/>
      </c>
      <c r="AL184">
        <f>IFERROR(INDEX(PP_Grid[#Data],$DD184,36),0)</f>
        <v/>
      </c>
      <c r="AM184">
        <f>IFERROR(INDEX(PP_Grid[#Data],$DD184,37),0)</f>
        <v/>
      </c>
      <c r="AN184">
        <f>IFERROR(INDEX(PP_Grid[#Data],$DD184,38),0)</f>
        <v/>
      </c>
      <c r="AO184">
        <f>IFERROR(INDEX(PP_Grid[#Data],$DD184,39),0)</f>
        <v/>
      </c>
      <c r="AP184">
        <f>IFERROR(INDEX(PP_Grid[#Data],$DD184,40),0)</f>
        <v/>
      </c>
      <c r="AQ184">
        <f>IFERROR(INDEX(PP_Grid[#Data],$DD184,41),0)</f>
        <v/>
      </c>
      <c r="AR184">
        <f>IFERROR(INDEX(PP_Grid[#Data],$DD184,42),0)</f>
        <v/>
      </c>
      <c r="AS184">
        <f>IFERROR(INDEX(PP_Grid[#Data],$DD184,43),0)</f>
        <v/>
      </c>
      <c r="AT184">
        <f>IFERROR(INDEX(PP_Grid[#Data],$DD184,44),0)</f>
        <v/>
      </c>
      <c r="AU184">
        <f>IFERROR(INDEX(PP_Grid[#Data],$DD184,45),0)</f>
        <v/>
      </c>
      <c r="AV184">
        <f>IFERROR(INDEX(PP_Grid[#Data],$DD184,46),0)</f>
        <v/>
      </c>
      <c r="AW184">
        <f>IFERROR(INDEX(PP_Grid[#Data],$DD184,47),0)</f>
        <v/>
      </c>
      <c r="AX184">
        <f>IFERROR(INDEX(PP_Grid[#Data],$DD184,48),0)</f>
        <v/>
      </c>
      <c r="AY184">
        <f>IFERROR(INDEX(PP_Grid[#Data],$DD184,49),0)</f>
        <v/>
      </c>
      <c r="AZ184">
        <f>IFERROR(INDEX(PP_Grid[#Data],$DD184,50),0)</f>
        <v/>
      </c>
      <c r="BA184">
        <f>IFERROR(INDEX(PP_Grid[#Data],$DD184,51),0)</f>
        <v/>
      </c>
      <c r="BB184">
        <f>IFERROR(INDEX(PP_Grid[#Data],$DD184,52),0)</f>
        <v/>
      </c>
      <c r="BC184">
        <f>IFERROR(INDEX(PP_Grid[#Data],$DD184,53),0)</f>
        <v/>
      </c>
      <c r="BD184">
        <f>IFERROR(INDEX(PP_Grid[#Data],$DD184,54),0)</f>
        <v/>
      </c>
      <c r="BE184">
        <f>IFERROR(INDEX(PP_Grid[#Data],$DD184,55),0)</f>
        <v/>
      </c>
      <c r="BF184">
        <f>IFERROR(INDEX(PP_Grid[#Data],$DD184,56),0)</f>
        <v/>
      </c>
      <c r="BG184">
        <f>IFERROR(INDEX(PP_Grid[#Data],$DD184,57),0)</f>
        <v/>
      </c>
      <c r="BH184">
        <f>IFERROR(INDEX(PP_Grid[#Data],$DD184,58),0)</f>
        <v/>
      </c>
      <c r="BI184">
        <f>IFERROR(INDEX(PP_Grid[#Data],$DD184,59),0)</f>
        <v/>
      </c>
      <c r="BJ184">
        <f>IFERROR(INDEX(PP_Grid[#Data],$DD184,60),0)</f>
        <v/>
      </c>
      <c r="BK184">
        <f>IFERROR(INDEX(PP_Grid[#Data],$DD184,61),0)</f>
        <v/>
      </c>
      <c r="BL184">
        <f>IFERROR(INDEX(PP_Grid[#Data],$DD184,62),0)</f>
        <v/>
      </c>
      <c r="BM184">
        <f>IFERROR(INDEX(PP_Grid[#Data],$DD184,63),0)</f>
        <v/>
      </c>
      <c r="BN184">
        <f>IFERROR(INDEX(PP_Grid[#Data],$DD184,64),0)</f>
        <v/>
      </c>
      <c r="BO184">
        <f>IFERROR(INDEX(PP_Grid[#Data],$DD184,65),0)</f>
        <v/>
      </c>
      <c r="BP184">
        <f>IFERROR(INDEX(PP_Grid[#Data],$DD184,66),0)</f>
        <v/>
      </c>
      <c r="BQ184">
        <f>IFERROR(INDEX(PP_Grid[#Data],$DD184,67),0)</f>
        <v/>
      </c>
      <c r="BR184">
        <f>IFERROR(INDEX(PP_Grid[#Data],$DD184,68),0)</f>
        <v/>
      </c>
      <c r="BS184">
        <f>IFERROR(INDEX(PP_Grid[#Data],$DD184,69),0)</f>
        <v/>
      </c>
      <c r="BT184">
        <f>IFERROR(INDEX(PP_Grid[#Data],$DD184,70),0)</f>
        <v/>
      </c>
      <c r="BU184">
        <f>IFERROR(INDEX(PP_Grid[#Data],$DD184,71),0)</f>
        <v/>
      </c>
      <c r="BV184">
        <f>IFERROR(INDEX(PP_Grid[#Data],$DD184,72),0)</f>
        <v/>
      </c>
      <c r="BW184">
        <f>IFERROR(INDEX(PP_Grid[#Data],$DD184,73),0)</f>
        <v/>
      </c>
      <c r="BX184">
        <f>IFERROR(INDEX(PP_Grid[#Data],$DD184,74),0)</f>
        <v/>
      </c>
      <c r="BY184">
        <f>IFERROR(INDEX(PP_Grid[#Data],$DD184,75),0)</f>
        <v/>
      </c>
      <c r="BZ184">
        <f>IFERROR(INDEX(PP_Grid[#Data],$DD184,76),0)</f>
        <v/>
      </c>
      <c r="CA184">
        <f>IFERROR(INDEX(PP_Grid[#Data],$DD184,77),0)</f>
        <v/>
      </c>
      <c r="CB184">
        <f>IFERROR(INDEX(PP_Grid[#Data],$DD184,78),0)</f>
        <v/>
      </c>
      <c r="CC184">
        <f>IFERROR(INDEX(PP_Grid[#Data],$DD184,79),0)</f>
        <v/>
      </c>
      <c r="CD184">
        <f>IFERROR(INDEX(PP_Grid[#Data],$DD184,80),0)</f>
        <v/>
      </c>
      <c r="CE184">
        <f>IFERROR(INDEX(PP_Grid[#Data],$DD184,81),0)</f>
        <v/>
      </c>
      <c r="CF184">
        <f>IFERROR(INDEX(PP_Grid[#Data],$DD184,82),0)</f>
        <v/>
      </c>
      <c r="CG184">
        <f>IFERROR(INDEX(PP_Grid[#Data],$DD184,83),0)</f>
        <v/>
      </c>
      <c r="CH184">
        <f>IFERROR(INDEX(PP_Grid[#Data],$DD184,84),0)</f>
        <v/>
      </c>
      <c r="CI184">
        <f>IFERROR(INDEX(PP_Grid[#Data],$DD184,85),0)</f>
        <v/>
      </c>
      <c r="CJ184">
        <f>IFERROR(INDEX(PP_Grid[#Data],$DD184,86),0)</f>
        <v/>
      </c>
      <c r="CK184">
        <f>IFERROR(INDEX(PP_Grid[#Data],$DD184,87),0)</f>
        <v/>
      </c>
      <c r="CL184">
        <f>IFERROR(INDEX(PP_Grid[#Data],$DD184,88),0)</f>
        <v/>
      </c>
      <c r="CM184">
        <f>IFERROR(INDEX(PP_Grid[#Data],$DD184,89),0)</f>
        <v/>
      </c>
      <c r="CN184">
        <f>IFERROR(INDEX(PP_Grid[#Data],$DD184,90),0)</f>
        <v/>
      </c>
      <c r="CO184">
        <f>IFERROR(INDEX(PP_Grid[#Data],$DD184,91),0)</f>
        <v/>
      </c>
      <c r="CP184">
        <f>IFERROR(INDEX(PP_Grid[#Data],$DD184,92),0)</f>
        <v/>
      </c>
      <c r="CQ184">
        <f>IFERROR(INDEX(PP_Grid[#Data],$DD184,93),0)</f>
        <v/>
      </c>
      <c r="CR184">
        <f>IFERROR(INDEX(PP_Grid[#Data],$DD184,94),0)</f>
        <v/>
      </c>
      <c r="CS184">
        <f>IFERROR(INDEX(PP_Grid[#Data],$DD184,95),0)</f>
        <v/>
      </c>
      <c r="CT184">
        <f>IFERROR(INDEX(PP_Grid[#Data],$DD184,96),0)</f>
        <v/>
      </c>
      <c r="CU184">
        <f>IFERROR(INDEX(PP_Grid[#Data],$DD184,97),0)</f>
        <v/>
      </c>
      <c r="CV184">
        <f>IFERROR(INDEX(PP_Grid[#Data],$DD184,98),0)</f>
        <v/>
      </c>
      <c r="CW184">
        <f>IFERROR(INDEX(PP_Grid[#Data],$DD184,99),0)</f>
        <v/>
      </c>
      <c r="CX184">
        <f>IFERROR(INDEX(PP_Grid[#Data],$DD184,100),0)</f>
        <v/>
      </c>
      <c r="CY184">
        <f>IFERROR(INDEX(PP_Grid[#Data],$DD184,101),0)</f>
        <v/>
      </c>
      <c r="CZ184">
        <f>IFERROR(INDEX(PP_Grid[#Data],$DD184,102),0)</f>
        <v/>
      </c>
      <c r="DA184">
        <f>IFERROR(INDEX(PP_Grid[#Data],$DD184,103),0)</f>
        <v/>
      </c>
      <c r="DB184">
        <f>IFERROR(INDEX(PP_Grid[#Data],$DD184,104),0)</f>
        <v/>
      </c>
      <c r="DC184">
        <f>IFERROR(INDEX(PP_Grid[#Data],$DD184,105),0)</f>
        <v/>
      </c>
      <c r="DD184" s="7">
        <f>IFERROR(MATCH($B184,PP_Grid[Intermediate],0),99999)</f>
        <v/>
      </c>
    </row>
    <row r="185">
      <c r="B185" t="inlineStr">
        <is>
          <t>使用量(kg)</t>
        </is>
      </c>
      <c r="C185">
        <f>SUMIFS(M_BOM[RM_Qty_Per_Batch],M_BOM[Intermediate],$B184,M_BOM[Part Name],$A45)</f>
        <v/>
      </c>
      <c r="D185">
        <f>$C185*D184</f>
        <v/>
      </c>
      <c r="E185">
        <f>$C185*E184</f>
        <v/>
      </c>
      <c r="F185">
        <f>$C185*F184</f>
        <v/>
      </c>
      <c r="G185">
        <f>$C185*G184</f>
        <v/>
      </c>
      <c r="H185">
        <f>$C185*H184</f>
        <v/>
      </c>
      <c r="I185">
        <f>$C185*I184</f>
        <v/>
      </c>
      <c r="J185">
        <f>$C185*J184</f>
        <v/>
      </c>
      <c r="K185">
        <f>$C185*K184</f>
        <v/>
      </c>
      <c r="L185">
        <f>$C185*L184</f>
        <v/>
      </c>
      <c r="M185">
        <f>$C185*M184</f>
        <v/>
      </c>
      <c r="N185">
        <f>$C185*N184</f>
        <v/>
      </c>
      <c r="O185">
        <f>$C185*O184</f>
        <v/>
      </c>
      <c r="P185">
        <f>$C185*P184</f>
        <v/>
      </c>
      <c r="Q185">
        <f>$C185*Q184</f>
        <v/>
      </c>
      <c r="R185">
        <f>$C185*R184</f>
        <v/>
      </c>
      <c r="S185">
        <f>$C185*S184</f>
        <v/>
      </c>
      <c r="T185">
        <f>$C185*T184</f>
        <v/>
      </c>
      <c r="U185">
        <f>$C185*U184</f>
        <v/>
      </c>
      <c r="V185">
        <f>$C185*V184</f>
        <v/>
      </c>
      <c r="W185">
        <f>$C185*W184</f>
        <v/>
      </c>
      <c r="X185">
        <f>$C185*X184</f>
        <v/>
      </c>
      <c r="Y185">
        <f>$C185*Y184</f>
        <v/>
      </c>
      <c r="Z185">
        <f>$C185*Z184</f>
        <v/>
      </c>
      <c r="AA185">
        <f>$C185*AA184</f>
        <v/>
      </c>
      <c r="AB185">
        <f>$C185*AB184</f>
        <v/>
      </c>
      <c r="AC185">
        <f>$C185*AC184</f>
        <v/>
      </c>
      <c r="AD185">
        <f>$C185*AD184</f>
        <v/>
      </c>
      <c r="AE185">
        <f>$C185*AE184</f>
        <v/>
      </c>
      <c r="AF185">
        <f>$C185*AF184</f>
        <v/>
      </c>
      <c r="AG185">
        <f>$C185*AG184</f>
        <v/>
      </c>
      <c r="AH185">
        <f>$C185*AH184</f>
        <v/>
      </c>
      <c r="AI185">
        <f>$C185*AI184</f>
        <v/>
      </c>
      <c r="AJ185">
        <f>$C185*AJ184</f>
        <v/>
      </c>
      <c r="AK185">
        <f>$C185*AK184</f>
        <v/>
      </c>
      <c r="AL185">
        <f>$C185*AL184</f>
        <v/>
      </c>
      <c r="AM185">
        <f>$C185*AM184</f>
        <v/>
      </c>
      <c r="AN185">
        <f>$C185*AN184</f>
        <v/>
      </c>
      <c r="AO185">
        <f>$C185*AO184</f>
        <v/>
      </c>
      <c r="AP185">
        <f>$C185*AP184</f>
        <v/>
      </c>
      <c r="AQ185">
        <f>$C185*AQ184</f>
        <v/>
      </c>
      <c r="AR185">
        <f>$C185*AR184</f>
        <v/>
      </c>
      <c r="AS185">
        <f>$C185*AS184</f>
        <v/>
      </c>
      <c r="AT185">
        <f>$C185*AT184</f>
        <v/>
      </c>
      <c r="AU185">
        <f>$C185*AU184</f>
        <v/>
      </c>
      <c r="AV185">
        <f>$C185*AV184</f>
        <v/>
      </c>
      <c r="AW185">
        <f>$C185*AW184</f>
        <v/>
      </c>
      <c r="AX185">
        <f>$C185*AX184</f>
        <v/>
      </c>
      <c r="AY185">
        <f>$C185*AY184</f>
        <v/>
      </c>
      <c r="AZ185">
        <f>$C185*AZ184</f>
        <v/>
      </c>
      <c r="BA185">
        <f>$C185*BA184</f>
        <v/>
      </c>
      <c r="BB185">
        <f>$C185*BB184</f>
        <v/>
      </c>
      <c r="BC185">
        <f>$C185*BC184</f>
        <v/>
      </c>
      <c r="BD185">
        <f>$C185*BD184</f>
        <v/>
      </c>
      <c r="BE185">
        <f>$C185*BE184</f>
        <v/>
      </c>
      <c r="BF185">
        <f>$C185*BF184</f>
        <v/>
      </c>
      <c r="BG185">
        <f>$C185*BG184</f>
        <v/>
      </c>
      <c r="BH185">
        <f>$C185*BH184</f>
        <v/>
      </c>
      <c r="BI185">
        <f>$C185*BI184</f>
        <v/>
      </c>
      <c r="BJ185">
        <f>$C185*BJ184</f>
        <v/>
      </c>
      <c r="BK185">
        <f>$C185*BK184</f>
        <v/>
      </c>
      <c r="BL185">
        <f>$C185*BL184</f>
        <v/>
      </c>
      <c r="BM185">
        <f>$C185*BM184</f>
        <v/>
      </c>
      <c r="BN185">
        <f>$C185*BN184</f>
        <v/>
      </c>
      <c r="BO185">
        <f>$C185*BO184</f>
        <v/>
      </c>
      <c r="BP185">
        <f>$C185*BP184</f>
        <v/>
      </c>
      <c r="BQ185">
        <f>$C185*BQ184</f>
        <v/>
      </c>
      <c r="BR185">
        <f>$C185*BR184</f>
        <v/>
      </c>
      <c r="BS185">
        <f>$C185*BS184</f>
        <v/>
      </c>
      <c r="BT185">
        <f>$C185*BT184</f>
        <v/>
      </c>
      <c r="BU185">
        <f>$C185*BU184</f>
        <v/>
      </c>
      <c r="BV185">
        <f>$C185*BV184</f>
        <v/>
      </c>
      <c r="BW185">
        <f>$C185*BW184</f>
        <v/>
      </c>
      <c r="BX185">
        <f>$C185*BX184</f>
        <v/>
      </c>
      <c r="BY185">
        <f>$C185*BY184</f>
        <v/>
      </c>
      <c r="BZ185">
        <f>$C185*BZ184</f>
        <v/>
      </c>
      <c r="CA185">
        <f>$C185*CA184</f>
        <v/>
      </c>
      <c r="CB185">
        <f>$C185*CB184</f>
        <v/>
      </c>
      <c r="CC185">
        <f>$C185*CC184</f>
        <v/>
      </c>
      <c r="CD185">
        <f>$C185*CD184</f>
        <v/>
      </c>
      <c r="CE185">
        <f>$C185*CE184</f>
        <v/>
      </c>
      <c r="CF185">
        <f>$C185*CF184</f>
        <v/>
      </c>
      <c r="CG185">
        <f>$C185*CG184</f>
        <v/>
      </c>
      <c r="CH185">
        <f>$C185*CH184</f>
        <v/>
      </c>
      <c r="CI185">
        <f>$C185*CI184</f>
        <v/>
      </c>
      <c r="CJ185">
        <f>$C185*CJ184</f>
        <v/>
      </c>
      <c r="CK185">
        <f>$C185*CK184</f>
        <v/>
      </c>
      <c r="CL185">
        <f>$C185*CL184</f>
        <v/>
      </c>
      <c r="CM185">
        <f>$C185*CM184</f>
        <v/>
      </c>
      <c r="CN185">
        <f>$C185*CN184</f>
        <v/>
      </c>
      <c r="CO185">
        <f>$C185*CO184</f>
        <v/>
      </c>
      <c r="CP185">
        <f>$C185*CP184</f>
        <v/>
      </c>
      <c r="CQ185">
        <f>$C185*CQ184</f>
        <v/>
      </c>
      <c r="CR185">
        <f>$C185*CR184</f>
        <v/>
      </c>
      <c r="CS185">
        <f>$C185*CS184</f>
        <v/>
      </c>
      <c r="CT185">
        <f>$C185*CT184</f>
        <v/>
      </c>
      <c r="CU185">
        <f>$C185*CU184</f>
        <v/>
      </c>
      <c r="CV185">
        <f>$C185*CV184</f>
        <v/>
      </c>
      <c r="CW185">
        <f>$C185*CW184</f>
        <v/>
      </c>
      <c r="CX185">
        <f>$C185*CX184</f>
        <v/>
      </c>
      <c r="CY185">
        <f>$C185*CY184</f>
        <v/>
      </c>
      <c r="CZ185">
        <f>$C185*CZ184</f>
        <v/>
      </c>
      <c r="DA185">
        <f>$C185*DA184</f>
        <v/>
      </c>
      <c r="DB185">
        <f>$C185*DB184</f>
        <v/>
      </c>
      <c r="DC185">
        <f>$C185*DC184</f>
        <v/>
      </c>
    </row>
    <row r="186">
      <c r="B186" t="inlineStr">
        <is>
          <t>VSP-740</t>
        </is>
      </c>
      <c r="C186" t="inlineStr">
        <is>
          <t>No. of batches</t>
        </is>
      </c>
      <c r="D186">
        <f>IFERROR(INDEX(PP_Grid[#Data],$DD186,2),0)</f>
        <v/>
      </c>
      <c r="E186">
        <f>IFERROR(INDEX(PP_Grid[#Data],$DD186,3),0)</f>
        <v/>
      </c>
      <c r="F186">
        <f>IFERROR(INDEX(PP_Grid[#Data],$DD186,4),0)</f>
        <v/>
      </c>
      <c r="G186">
        <f>IFERROR(INDEX(PP_Grid[#Data],$DD186,5),0)</f>
        <v/>
      </c>
      <c r="H186">
        <f>IFERROR(INDEX(PP_Grid[#Data],$DD186,6),0)</f>
        <v/>
      </c>
      <c r="I186">
        <f>IFERROR(INDEX(PP_Grid[#Data],$DD186,7),0)</f>
        <v/>
      </c>
      <c r="J186">
        <f>IFERROR(INDEX(PP_Grid[#Data],$DD186,8),0)</f>
        <v/>
      </c>
      <c r="K186">
        <f>IFERROR(INDEX(PP_Grid[#Data],$DD186,9),0)</f>
        <v/>
      </c>
      <c r="L186">
        <f>IFERROR(INDEX(PP_Grid[#Data],$DD186,10),0)</f>
        <v/>
      </c>
      <c r="M186">
        <f>IFERROR(INDEX(PP_Grid[#Data],$DD186,11),0)</f>
        <v/>
      </c>
      <c r="N186">
        <f>IFERROR(INDEX(PP_Grid[#Data],$DD186,12),0)</f>
        <v/>
      </c>
      <c r="O186">
        <f>IFERROR(INDEX(PP_Grid[#Data],$DD186,13),0)</f>
        <v/>
      </c>
      <c r="P186">
        <f>IFERROR(INDEX(PP_Grid[#Data],$DD186,14),0)</f>
        <v/>
      </c>
      <c r="Q186">
        <f>IFERROR(INDEX(PP_Grid[#Data],$DD186,15),0)</f>
        <v/>
      </c>
      <c r="R186">
        <f>IFERROR(INDEX(PP_Grid[#Data],$DD186,16),0)</f>
        <v/>
      </c>
      <c r="S186">
        <f>IFERROR(INDEX(PP_Grid[#Data],$DD186,17),0)</f>
        <v/>
      </c>
      <c r="T186">
        <f>IFERROR(INDEX(PP_Grid[#Data],$DD186,18),0)</f>
        <v/>
      </c>
      <c r="U186">
        <f>IFERROR(INDEX(PP_Grid[#Data],$DD186,19),0)</f>
        <v/>
      </c>
      <c r="V186">
        <f>IFERROR(INDEX(PP_Grid[#Data],$DD186,20),0)</f>
        <v/>
      </c>
      <c r="W186">
        <f>IFERROR(INDEX(PP_Grid[#Data],$DD186,21),0)</f>
        <v/>
      </c>
      <c r="X186">
        <f>IFERROR(INDEX(PP_Grid[#Data],$DD186,22),0)</f>
        <v/>
      </c>
      <c r="Y186">
        <f>IFERROR(INDEX(PP_Grid[#Data],$DD186,23),0)</f>
        <v/>
      </c>
      <c r="Z186">
        <f>IFERROR(INDEX(PP_Grid[#Data],$DD186,24),0)</f>
        <v/>
      </c>
      <c r="AA186">
        <f>IFERROR(INDEX(PP_Grid[#Data],$DD186,25),0)</f>
        <v/>
      </c>
      <c r="AB186">
        <f>IFERROR(INDEX(PP_Grid[#Data],$DD186,26),0)</f>
        <v/>
      </c>
      <c r="AC186">
        <f>IFERROR(INDEX(PP_Grid[#Data],$DD186,27),0)</f>
        <v/>
      </c>
      <c r="AD186">
        <f>IFERROR(INDEX(PP_Grid[#Data],$DD186,28),0)</f>
        <v/>
      </c>
      <c r="AE186">
        <f>IFERROR(INDEX(PP_Grid[#Data],$DD186,29),0)</f>
        <v/>
      </c>
      <c r="AF186">
        <f>IFERROR(INDEX(PP_Grid[#Data],$DD186,30),0)</f>
        <v/>
      </c>
      <c r="AG186">
        <f>IFERROR(INDEX(PP_Grid[#Data],$DD186,31),0)</f>
        <v/>
      </c>
      <c r="AH186">
        <f>IFERROR(INDEX(PP_Grid[#Data],$DD186,32),0)</f>
        <v/>
      </c>
      <c r="AI186">
        <f>IFERROR(INDEX(PP_Grid[#Data],$DD186,33),0)</f>
        <v/>
      </c>
      <c r="AJ186">
        <f>IFERROR(INDEX(PP_Grid[#Data],$DD186,34),0)</f>
        <v/>
      </c>
      <c r="AK186">
        <f>IFERROR(INDEX(PP_Grid[#Data],$DD186,35),0)</f>
        <v/>
      </c>
      <c r="AL186">
        <f>IFERROR(INDEX(PP_Grid[#Data],$DD186,36),0)</f>
        <v/>
      </c>
      <c r="AM186">
        <f>IFERROR(INDEX(PP_Grid[#Data],$DD186,37),0)</f>
        <v/>
      </c>
      <c r="AN186">
        <f>IFERROR(INDEX(PP_Grid[#Data],$DD186,38),0)</f>
        <v/>
      </c>
      <c r="AO186">
        <f>IFERROR(INDEX(PP_Grid[#Data],$DD186,39),0)</f>
        <v/>
      </c>
      <c r="AP186">
        <f>IFERROR(INDEX(PP_Grid[#Data],$DD186,40),0)</f>
        <v/>
      </c>
      <c r="AQ186">
        <f>IFERROR(INDEX(PP_Grid[#Data],$DD186,41),0)</f>
        <v/>
      </c>
      <c r="AR186">
        <f>IFERROR(INDEX(PP_Grid[#Data],$DD186,42),0)</f>
        <v/>
      </c>
      <c r="AS186">
        <f>IFERROR(INDEX(PP_Grid[#Data],$DD186,43),0)</f>
        <v/>
      </c>
      <c r="AT186">
        <f>IFERROR(INDEX(PP_Grid[#Data],$DD186,44),0)</f>
        <v/>
      </c>
      <c r="AU186">
        <f>IFERROR(INDEX(PP_Grid[#Data],$DD186,45),0)</f>
        <v/>
      </c>
      <c r="AV186">
        <f>IFERROR(INDEX(PP_Grid[#Data],$DD186,46),0)</f>
        <v/>
      </c>
      <c r="AW186">
        <f>IFERROR(INDEX(PP_Grid[#Data],$DD186,47),0)</f>
        <v/>
      </c>
      <c r="AX186">
        <f>IFERROR(INDEX(PP_Grid[#Data],$DD186,48),0)</f>
        <v/>
      </c>
      <c r="AY186">
        <f>IFERROR(INDEX(PP_Grid[#Data],$DD186,49),0)</f>
        <v/>
      </c>
      <c r="AZ186">
        <f>IFERROR(INDEX(PP_Grid[#Data],$DD186,50),0)</f>
        <v/>
      </c>
      <c r="BA186">
        <f>IFERROR(INDEX(PP_Grid[#Data],$DD186,51),0)</f>
        <v/>
      </c>
      <c r="BB186">
        <f>IFERROR(INDEX(PP_Grid[#Data],$DD186,52),0)</f>
        <v/>
      </c>
      <c r="BC186">
        <f>IFERROR(INDEX(PP_Grid[#Data],$DD186,53),0)</f>
        <v/>
      </c>
      <c r="BD186">
        <f>IFERROR(INDEX(PP_Grid[#Data],$DD186,54),0)</f>
        <v/>
      </c>
      <c r="BE186">
        <f>IFERROR(INDEX(PP_Grid[#Data],$DD186,55),0)</f>
        <v/>
      </c>
      <c r="BF186">
        <f>IFERROR(INDEX(PP_Grid[#Data],$DD186,56),0)</f>
        <v/>
      </c>
      <c r="BG186">
        <f>IFERROR(INDEX(PP_Grid[#Data],$DD186,57),0)</f>
        <v/>
      </c>
      <c r="BH186">
        <f>IFERROR(INDEX(PP_Grid[#Data],$DD186,58),0)</f>
        <v/>
      </c>
      <c r="BI186">
        <f>IFERROR(INDEX(PP_Grid[#Data],$DD186,59),0)</f>
        <v/>
      </c>
      <c r="BJ186">
        <f>IFERROR(INDEX(PP_Grid[#Data],$DD186,60),0)</f>
        <v/>
      </c>
      <c r="BK186">
        <f>IFERROR(INDEX(PP_Grid[#Data],$DD186,61),0)</f>
        <v/>
      </c>
      <c r="BL186">
        <f>IFERROR(INDEX(PP_Grid[#Data],$DD186,62),0)</f>
        <v/>
      </c>
      <c r="BM186">
        <f>IFERROR(INDEX(PP_Grid[#Data],$DD186,63),0)</f>
        <v/>
      </c>
      <c r="BN186">
        <f>IFERROR(INDEX(PP_Grid[#Data],$DD186,64),0)</f>
        <v/>
      </c>
      <c r="BO186">
        <f>IFERROR(INDEX(PP_Grid[#Data],$DD186,65),0)</f>
        <v/>
      </c>
      <c r="BP186">
        <f>IFERROR(INDEX(PP_Grid[#Data],$DD186,66),0)</f>
        <v/>
      </c>
      <c r="BQ186">
        <f>IFERROR(INDEX(PP_Grid[#Data],$DD186,67),0)</f>
        <v/>
      </c>
      <c r="BR186">
        <f>IFERROR(INDEX(PP_Grid[#Data],$DD186,68),0)</f>
        <v/>
      </c>
      <c r="BS186">
        <f>IFERROR(INDEX(PP_Grid[#Data],$DD186,69),0)</f>
        <v/>
      </c>
      <c r="BT186">
        <f>IFERROR(INDEX(PP_Grid[#Data],$DD186,70),0)</f>
        <v/>
      </c>
      <c r="BU186">
        <f>IFERROR(INDEX(PP_Grid[#Data],$DD186,71),0)</f>
        <v/>
      </c>
      <c r="BV186">
        <f>IFERROR(INDEX(PP_Grid[#Data],$DD186,72),0)</f>
        <v/>
      </c>
      <c r="BW186">
        <f>IFERROR(INDEX(PP_Grid[#Data],$DD186,73),0)</f>
        <v/>
      </c>
      <c r="BX186">
        <f>IFERROR(INDEX(PP_Grid[#Data],$DD186,74),0)</f>
        <v/>
      </c>
      <c r="BY186">
        <f>IFERROR(INDEX(PP_Grid[#Data],$DD186,75),0)</f>
        <v/>
      </c>
      <c r="BZ186">
        <f>IFERROR(INDEX(PP_Grid[#Data],$DD186,76),0)</f>
        <v/>
      </c>
      <c r="CA186">
        <f>IFERROR(INDEX(PP_Grid[#Data],$DD186,77),0)</f>
        <v/>
      </c>
      <c r="CB186">
        <f>IFERROR(INDEX(PP_Grid[#Data],$DD186,78),0)</f>
        <v/>
      </c>
      <c r="CC186">
        <f>IFERROR(INDEX(PP_Grid[#Data],$DD186,79),0)</f>
        <v/>
      </c>
      <c r="CD186">
        <f>IFERROR(INDEX(PP_Grid[#Data],$DD186,80),0)</f>
        <v/>
      </c>
      <c r="CE186">
        <f>IFERROR(INDEX(PP_Grid[#Data],$DD186,81),0)</f>
        <v/>
      </c>
      <c r="CF186">
        <f>IFERROR(INDEX(PP_Grid[#Data],$DD186,82),0)</f>
        <v/>
      </c>
      <c r="CG186">
        <f>IFERROR(INDEX(PP_Grid[#Data],$DD186,83),0)</f>
        <v/>
      </c>
      <c r="CH186">
        <f>IFERROR(INDEX(PP_Grid[#Data],$DD186,84),0)</f>
        <v/>
      </c>
      <c r="CI186">
        <f>IFERROR(INDEX(PP_Grid[#Data],$DD186,85),0)</f>
        <v/>
      </c>
      <c r="CJ186">
        <f>IFERROR(INDEX(PP_Grid[#Data],$DD186,86),0)</f>
        <v/>
      </c>
      <c r="CK186">
        <f>IFERROR(INDEX(PP_Grid[#Data],$DD186,87),0)</f>
        <v/>
      </c>
      <c r="CL186">
        <f>IFERROR(INDEX(PP_Grid[#Data],$DD186,88),0)</f>
        <v/>
      </c>
      <c r="CM186">
        <f>IFERROR(INDEX(PP_Grid[#Data],$DD186,89),0)</f>
        <v/>
      </c>
      <c r="CN186">
        <f>IFERROR(INDEX(PP_Grid[#Data],$DD186,90),0)</f>
        <v/>
      </c>
      <c r="CO186">
        <f>IFERROR(INDEX(PP_Grid[#Data],$DD186,91),0)</f>
        <v/>
      </c>
      <c r="CP186">
        <f>IFERROR(INDEX(PP_Grid[#Data],$DD186,92),0)</f>
        <v/>
      </c>
      <c r="CQ186">
        <f>IFERROR(INDEX(PP_Grid[#Data],$DD186,93),0)</f>
        <v/>
      </c>
      <c r="CR186">
        <f>IFERROR(INDEX(PP_Grid[#Data],$DD186,94),0)</f>
        <v/>
      </c>
      <c r="CS186">
        <f>IFERROR(INDEX(PP_Grid[#Data],$DD186,95),0)</f>
        <v/>
      </c>
      <c r="CT186">
        <f>IFERROR(INDEX(PP_Grid[#Data],$DD186,96),0)</f>
        <v/>
      </c>
      <c r="CU186">
        <f>IFERROR(INDEX(PP_Grid[#Data],$DD186,97),0)</f>
        <v/>
      </c>
      <c r="CV186">
        <f>IFERROR(INDEX(PP_Grid[#Data],$DD186,98),0)</f>
        <v/>
      </c>
      <c r="CW186">
        <f>IFERROR(INDEX(PP_Grid[#Data],$DD186,99),0)</f>
        <v/>
      </c>
      <c r="CX186">
        <f>IFERROR(INDEX(PP_Grid[#Data],$DD186,100),0)</f>
        <v/>
      </c>
      <c r="CY186">
        <f>IFERROR(INDEX(PP_Grid[#Data],$DD186,101),0)</f>
        <v/>
      </c>
      <c r="CZ186">
        <f>IFERROR(INDEX(PP_Grid[#Data],$DD186,102),0)</f>
        <v/>
      </c>
      <c r="DA186">
        <f>IFERROR(INDEX(PP_Grid[#Data],$DD186,103),0)</f>
        <v/>
      </c>
      <c r="DB186">
        <f>IFERROR(INDEX(PP_Grid[#Data],$DD186,104),0)</f>
        <v/>
      </c>
      <c r="DC186">
        <f>IFERROR(INDEX(PP_Grid[#Data],$DD186,105),0)</f>
        <v/>
      </c>
      <c r="DD186" s="7">
        <f>IFERROR(MATCH($B186,PP_Grid[Intermediate],0),99999)</f>
        <v/>
      </c>
    </row>
    <row r="187">
      <c r="B187" t="inlineStr">
        <is>
          <t>使用量(kg)</t>
        </is>
      </c>
      <c r="C187">
        <f>SUMIFS(M_BOM[RM_Qty_Per_Batch],M_BOM[Intermediate],$B186,M_BOM[Part Name],$A45)</f>
        <v/>
      </c>
      <c r="D187">
        <f>$C187*D186</f>
        <v/>
      </c>
      <c r="E187">
        <f>$C187*E186</f>
        <v/>
      </c>
      <c r="F187">
        <f>$C187*F186</f>
        <v/>
      </c>
      <c r="G187">
        <f>$C187*G186</f>
        <v/>
      </c>
      <c r="H187">
        <f>$C187*H186</f>
        <v/>
      </c>
      <c r="I187">
        <f>$C187*I186</f>
        <v/>
      </c>
      <c r="J187">
        <f>$C187*J186</f>
        <v/>
      </c>
      <c r="K187">
        <f>$C187*K186</f>
        <v/>
      </c>
      <c r="L187">
        <f>$C187*L186</f>
        <v/>
      </c>
      <c r="M187">
        <f>$C187*M186</f>
        <v/>
      </c>
      <c r="N187">
        <f>$C187*N186</f>
        <v/>
      </c>
      <c r="O187">
        <f>$C187*O186</f>
        <v/>
      </c>
      <c r="P187">
        <f>$C187*P186</f>
        <v/>
      </c>
      <c r="Q187">
        <f>$C187*Q186</f>
        <v/>
      </c>
      <c r="R187">
        <f>$C187*R186</f>
        <v/>
      </c>
      <c r="S187">
        <f>$C187*S186</f>
        <v/>
      </c>
      <c r="T187">
        <f>$C187*T186</f>
        <v/>
      </c>
      <c r="U187">
        <f>$C187*U186</f>
        <v/>
      </c>
      <c r="V187">
        <f>$C187*V186</f>
        <v/>
      </c>
      <c r="W187">
        <f>$C187*W186</f>
        <v/>
      </c>
      <c r="X187">
        <f>$C187*X186</f>
        <v/>
      </c>
      <c r="Y187">
        <f>$C187*Y186</f>
        <v/>
      </c>
      <c r="Z187">
        <f>$C187*Z186</f>
        <v/>
      </c>
      <c r="AA187">
        <f>$C187*AA186</f>
        <v/>
      </c>
      <c r="AB187">
        <f>$C187*AB186</f>
        <v/>
      </c>
      <c r="AC187">
        <f>$C187*AC186</f>
        <v/>
      </c>
      <c r="AD187">
        <f>$C187*AD186</f>
        <v/>
      </c>
      <c r="AE187">
        <f>$C187*AE186</f>
        <v/>
      </c>
      <c r="AF187">
        <f>$C187*AF186</f>
        <v/>
      </c>
      <c r="AG187">
        <f>$C187*AG186</f>
        <v/>
      </c>
      <c r="AH187">
        <f>$C187*AH186</f>
        <v/>
      </c>
      <c r="AI187">
        <f>$C187*AI186</f>
        <v/>
      </c>
      <c r="AJ187">
        <f>$C187*AJ186</f>
        <v/>
      </c>
      <c r="AK187">
        <f>$C187*AK186</f>
        <v/>
      </c>
      <c r="AL187">
        <f>$C187*AL186</f>
        <v/>
      </c>
      <c r="AM187">
        <f>$C187*AM186</f>
        <v/>
      </c>
      <c r="AN187">
        <f>$C187*AN186</f>
        <v/>
      </c>
      <c r="AO187">
        <f>$C187*AO186</f>
        <v/>
      </c>
      <c r="AP187">
        <f>$C187*AP186</f>
        <v/>
      </c>
      <c r="AQ187">
        <f>$C187*AQ186</f>
        <v/>
      </c>
      <c r="AR187">
        <f>$C187*AR186</f>
        <v/>
      </c>
      <c r="AS187">
        <f>$C187*AS186</f>
        <v/>
      </c>
      <c r="AT187">
        <f>$C187*AT186</f>
        <v/>
      </c>
      <c r="AU187">
        <f>$C187*AU186</f>
        <v/>
      </c>
      <c r="AV187">
        <f>$C187*AV186</f>
        <v/>
      </c>
      <c r="AW187">
        <f>$C187*AW186</f>
        <v/>
      </c>
      <c r="AX187">
        <f>$C187*AX186</f>
        <v/>
      </c>
      <c r="AY187">
        <f>$C187*AY186</f>
        <v/>
      </c>
      <c r="AZ187">
        <f>$C187*AZ186</f>
        <v/>
      </c>
      <c r="BA187">
        <f>$C187*BA186</f>
        <v/>
      </c>
      <c r="BB187">
        <f>$C187*BB186</f>
        <v/>
      </c>
      <c r="BC187">
        <f>$C187*BC186</f>
        <v/>
      </c>
      <c r="BD187">
        <f>$C187*BD186</f>
        <v/>
      </c>
      <c r="BE187">
        <f>$C187*BE186</f>
        <v/>
      </c>
      <c r="BF187">
        <f>$C187*BF186</f>
        <v/>
      </c>
      <c r="BG187">
        <f>$C187*BG186</f>
        <v/>
      </c>
      <c r="BH187">
        <f>$C187*BH186</f>
        <v/>
      </c>
      <c r="BI187">
        <f>$C187*BI186</f>
        <v/>
      </c>
      <c r="BJ187">
        <f>$C187*BJ186</f>
        <v/>
      </c>
      <c r="BK187">
        <f>$C187*BK186</f>
        <v/>
      </c>
      <c r="BL187">
        <f>$C187*BL186</f>
        <v/>
      </c>
      <c r="BM187">
        <f>$C187*BM186</f>
        <v/>
      </c>
      <c r="BN187">
        <f>$C187*BN186</f>
        <v/>
      </c>
      <c r="BO187">
        <f>$C187*BO186</f>
        <v/>
      </c>
      <c r="BP187">
        <f>$C187*BP186</f>
        <v/>
      </c>
      <c r="BQ187">
        <f>$C187*BQ186</f>
        <v/>
      </c>
      <c r="BR187">
        <f>$C187*BR186</f>
        <v/>
      </c>
      <c r="BS187">
        <f>$C187*BS186</f>
        <v/>
      </c>
      <c r="BT187">
        <f>$C187*BT186</f>
        <v/>
      </c>
      <c r="BU187">
        <f>$C187*BU186</f>
        <v/>
      </c>
      <c r="BV187">
        <f>$C187*BV186</f>
        <v/>
      </c>
      <c r="BW187">
        <f>$C187*BW186</f>
        <v/>
      </c>
      <c r="BX187">
        <f>$C187*BX186</f>
        <v/>
      </c>
      <c r="BY187">
        <f>$C187*BY186</f>
        <v/>
      </c>
      <c r="BZ187">
        <f>$C187*BZ186</f>
        <v/>
      </c>
      <c r="CA187">
        <f>$C187*CA186</f>
        <v/>
      </c>
      <c r="CB187">
        <f>$C187*CB186</f>
        <v/>
      </c>
      <c r="CC187">
        <f>$C187*CC186</f>
        <v/>
      </c>
      <c r="CD187">
        <f>$C187*CD186</f>
        <v/>
      </c>
      <c r="CE187">
        <f>$C187*CE186</f>
        <v/>
      </c>
      <c r="CF187">
        <f>$C187*CF186</f>
        <v/>
      </c>
      <c r="CG187">
        <f>$C187*CG186</f>
        <v/>
      </c>
      <c r="CH187">
        <f>$C187*CH186</f>
        <v/>
      </c>
      <c r="CI187">
        <f>$C187*CI186</f>
        <v/>
      </c>
      <c r="CJ187">
        <f>$C187*CJ186</f>
        <v/>
      </c>
      <c r="CK187">
        <f>$C187*CK186</f>
        <v/>
      </c>
      <c r="CL187">
        <f>$C187*CL186</f>
        <v/>
      </c>
      <c r="CM187">
        <f>$C187*CM186</f>
        <v/>
      </c>
      <c r="CN187">
        <f>$C187*CN186</f>
        <v/>
      </c>
      <c r="CO187">
        <f>$C187*CO186</f>
        <v/>
      </c>
      <c r="CP187">
        <f>$C187*CP186</f>
        <v/>
      </c>
      <c r="CQ187">
        <f>$C187*CQ186</f>
        <v/>
      </c>
      <c r="CR187">
        <f>$C187*CR186</f>
        <v/>
      </c>
      <c r="CS187">
        <f>$C187*CS186</f>
        <v/>
      </c>
      <c r="CT187">
        <f>$C187*CT186</f>
        <v/>
      </c>
      <c r="CU187">
        <f>$C187*CU186</f>
        <v/>
      </c>
      <c r="CV187">
        <f>$C187*CV186</f>
        <v/>
      </c>
      <c r="CW187">
        <f>$C187*CW186</f>
        <v/>
      </c>
      <c r="CX187">
        <f>$C187*CX186</f>
        <v/>
      </c>
      <c r="CY187">
        <f>$C187*CY186</f>
        <v/>
      </c>
      <c r="CZ187">
        <f>$C187*CZ186</f>
        <v/>
      </c>
      <c r="DA187">
        <f>$C187*DA186</f>
        <v/>
      </c>
      <c r="DB187">
        <f>$C187*DB186</f>
        <v/>
      </c>
      <c r="DC187">
        <f>$C187*DC186</f>
        <v/>
      </c>
    </row>
    <row r="188">
      <c r="B188" t="inlineStr">
        <is>
          <t>VSP-746</t>
        </is>
      </c>
      <c r="C188" t="inlineStr">
        <is>
          <t>No. of batches</t>
        </is>
      </c>
      <c r="D188">
        <f>IFERROR(INDEX(PP_Grid[#Data],$DD188,2),0)</f>
        <v/>
      </c>
      <c r="E188">
        <f>IFERROR(INDEX(PP_Grid[#Data],$DD188,3),0)</f>
        <v/>
      </c>
      <c r="F188">
        <f>IFERROR(INDEX(PP_Grid[#Data],$DD188,4),0)</f>
        <v/>
      </c>
      <c r="G188">
        <f>IFERROR(INDEX(PP_Grid[#Data],$DD188,5),0)</f>
        <v/>
      </c>
      <c r="H188">
        <f>IFERROR(INDEX(PP_Grid[#Data],$DD188,6),0)</f>
        <v/>
      </c>
      <c r="I188">
        <f>IFERROR(INDEX(PP_Grid[#Data],$DD188,7),0)</f>
        <v/>
      </c>
      <c r="J188">
        <f>IFERROR(INDEX(PP_Grid[#Data],$DD188,8),0)</f>
        <v/>
      </c>
      <c r="K188">
        <f>IFERROR(INDEX(PP_Grid[#Data],$DD188,9),0)</f>
        <v/>
      </c>
      <c r="L188">
        <f>IFERROR(INDEX(PP_Grid[#Data],$DD188,10),0)</f>
        <v/>
      </c>
      <c r="M188">
        <f>IFERROR(INDEX(PP_Grid[#Data],$DD188,11),0)</f>
        <v/>
      </c>
      <c r="N188">
        <f>IFERROR(INDEX(PP_Grid[#Data],$DD188,12),0)</f>
        <v/>
      </c>
      <c r="O188">
        <f>IFERROR(INDEX(PP_Grid[#Data],$DD188,13),0)</f>
        <v/>
      </c>
      <c r="P188">
        <f>IFERROR(INDEX(PP_Grid[#Data],$DD188,14),0)</f>
        <v/>
      </c>
      <c r="Q188">
        <f>IFERROR(INDEX(PP_Grid[#Data],$DD188,15),0)</f>
        <v/>
      </c>
      <c r="R188">
        <f>IFERROR(INDEX(PP_Grid[#Data],$DD188,16),0)</f>
        <v/>
      </c>
      <c r="S188">
        <f>IFERROR(INDEX(PP_Grid[#Data],$DD188,17),0)</f>
        <v/>
      </c>
      <c r="T188">
        <f>IFERROR(INDEX(PP_Grid[#Data],$DD188,18),0)</f>
        <v/>
      </c>
      <c r="U188">
        <f>IFERROR(INDEX(PP_Grid[#Data],$DD188,19),0)</f>
        <v/>
      </c>
      <c r="V188">
        <f>IFERROR(INDEX(PP_Grid[#Data],$DD188,20),0)</f>
        <v/>
      </c>
      <c r="W188">
        <f>IFERROR(INDEX(PP_Grid[#Data],$DD188,21),0)</f>
        <v/>
      </c>
      <c r="X188">
        <f>IFERROR(INDEX(PP_Grid[#Data],$DD188,22),0)</f>
        <v/>
      </c>
      <c r="Y188">
        <f>IFERROR(INDEX(PP_Grid[#Data],$DD188,23),0)</f>
        <v/>
      </c>
      <c r="Z188">
        <f>IFERROR(INDEX(PP_Grid[#Data],$DD188,24),0)</f>
        <v/>
      </c>
      <c r="AA188">
        <f>IFERROR(INDEX(PP_Grid[#Data],$DD188,25),0)</f>
        <v/>
      </c>
      <c r="AB188">
        <f>IFERROR(INDEX(PP_Grid[#Data],$DD188,26),0)</f>
        <v/>
      </c>
      <c r="AC188">
        <f>IFERROR(INDEX(PP_Grid[#Data],$DD188,27),0)</f>
        <v/>
      </c>
      <c r="AD188">
        <f>IFERROR(INDEX(PP_Grid[#Data],$DD188,28),0)</f>
        <v/>
      </c>
      <c r="AE188">
        <f>IFERROR(INDEX(PP_Grid[#Data],$DD188,29),0)</f>
        <v/>
      </c>
      <c r="AF188">
        <f>IFERROR(INDEX(PP_Grid[#Data],$DD188,30),0)</f>
        <v/>
      </c>
      <c r="AG188">
        <f>IFERROR(INDEX(PP_Grid[#Data],$DD188,31),0)</f>
        <v/>
      </c>
      <c r="AH188">
        <f>IFERROR(INDEX(PP_Grid[#Data],$DD188,32),0)</f>
        <v/>
      </c>
      <c r="AI188">
        <f>IFERROR(INDEX(PP_Grid[#Data],$DD188,33),0)</f>
        <v/>
      </c>
      <c r="AJ188">
        <f>IFERROR(INDEX(PP_Grid[#Data],$DD188,34),0)</f>
        <v/>
      </c>
      <c r="AK188">
        <f>IFERROR(INDEX(PP_Grid[#Data],$DD188,35),0)</f>
        <v/>
      </c>
      <c r="AL188">
        <f>IFERROR(INDEX(PP_Grid[#Data],$DD188,36),0)</f>
        <v/>
      </c>
      <c r="AM188">
        <f>IFERROR(INDEX(PP_Grid[#Data],$DD188,37),0)</f>
        <v/>
      </c>
      <c r="AN188">
        <f>IFERROR(INDEX(PP_Grid[#Data],$DD188,38),0)</f>
        <v/>
      </c>
      <c r="AO188">
        <f>IFERROR(INDEX(PP_Grid[#Data],$DD188,39),0)</f>
        <v/>
      </c>
      <c r="AP188">
        <f>IFERROR(INDEX(PP_Grid[#Data],$DD188,40),0)</f>
        <v/>
      </c>
      <c r="AQ188">
        <f>IFERROR(INDEX(PP_Grid[#Data],$DD188,41),0)</f>
        <v/>
      </c>
      <c r="AR188">
        <f>IFERROR(INDEX(PP_Grid[#Data],$DD188,42),0)</f>
        <v/>
      </c>
      <c r="AS188">
        <f>IFERROR(INDEX(PP_Grid[#Data],$DD188,43),0)</f>
        <v/>
      </c>
      <c r="AT188">
        <f>IFERROR(INDEX(PP_Grid[#Data],$DD188,44),0)</f>
        <v/>
      </c>
      <c r="AU188">
        <f>IFERROR(INDEX(PP_Grid[#Data],$DD188,45),0)</f>
        <v/>
      </c>
      <c r="AV188">
        <f>IFERROR(INDEX(PP_Grid[#Data],$DD188,46),0)</f>
        <v/>
      </c>
      <c r="AW188">
        <f>IFERROR(INDEX(PP_Grid[#Data],$DD188,47),0)</f>
        <v/>
      </c>
      <c r="AX188">
        <f>IFERROR(INDEX(PP_Grid[#Data],$DD188,48),0)</f>
        <v/>
      </c>
      <c r="AY188">
        <f>IFERROR(INDEX(PP_Grid[#Data],$DD188,49),0)</f>
        <v/>
      </c>
      <c r="AZ188">
        <f>IFERROR(INDEX(PP_Grid[#Data],$DD188,50),0)</f>
        <v/>
      </c>
      <c r="BA188">
        <f>IFERROR(INDEX(PP_Grid[#Data],$DD188,51),0)</f>
        <v/>
      </c>
      <c r="BB188">
        <f>IFERROR(INDEX(PP_Grid[#Data],$DD188,52),0)</f>
        <v/>
      </c>
      <c r="BC188">
        <f>IFERROR(INDEX(PP_Grid[#Data],$DD188,53),0)</f>
        <v/>
      </c>
      <c r="BD188">
        <f>IFERROR(INDEX(PP_Grid[#Data],$DD188,54),0)</f>
        <v/>
      </c>
      <c r="BE188">
        <f>IFERROR(INDEX(PP_Grid[#Data],$DD188,55),0)</f>
        <v/>
      </c>
      <c r="BF188">
        <f>IFERROR(INDEX(PP_Grid[#Data],$DD188,56),0)</f>
        <v/>
      </c>
      <c r="BG188">
        <f>IFERROR(INDEX(PP_Grid[#Data],$DD188,57),0)</f>
        <v/>
      </c>
      <c r="BH188">
        <f>IFERROR(INDEX(PP_Grid[#Data],$DD188,58),0)</f>
        <v/>
      </c>
      <c r="BI188">
        <f>IFERROR(INDEX(PP_Grid[#Data],$DD188,59),0)</f>
        <v/>
      </c>
      <c r="BJ188">
        <f>IFERROR(INDEX(PP_Grid[#Data],$DD188,60),0)</f>
        <v/>
      </c>
      <c r="BK188">
        <f>IFERROR(INDEX(PP_Grid[#Data],$DD188,61),0)</f>
        <v/>
      </c>
      <c r="BL188">
        <f>IFERROR(INDEX(PP_Grid[#Data],$DD188,62),0)</f>
        <v/>
      </c>
      <c r="BM188">
        <f>IFERROR(INDEX(PP_Grid[#Data],$DD188,63),0)</f>
        <v/>
      </c>
      <c r="BN188">
        <f>IFERROR(INDEX(PP_Grid[#Data],$DD188,64),0)</f>
        <v/>
      </c>
      <c r="BO188">
        <f>IFERROR(INDEX(PP_Grid[#Data],$DD188,65),0)</f>
        <v/>
      </c>
      <c r="BP188">
        <f>IFERROR(INDEX(PP_Grid[#Data],$DD188,66),0)</f>
        <v/>
      </c>
      <c r="BQ188">
        <f>IFERROR(INDEX(PP_Grid[#Data],$DD188,67),0)</f>
        <v/>
      </c>
      <c r="BR188">
        <f>IFERROR(INDEX(PP_Grid[#Data],$DD188,68),0)</f>
        <v/>
      </c>
      <c r="BS188">
        <f>IFERROR(INDEX(PP_Grid[#Data],$DD188,69),0)</f>
        <v/>
      </c>
      <c r="BT188">
        <f>IFERROR(INDEX(PP_Grid[#Data],$DD188,70),0)</f>
        <v/>
      </c>
      <c r="BU188">
        <f>IFERROR(INDEX(PP_Grid[#Data],$DD188,71),0)</f>
        <v/>
      </c>
      <c r="BV188">
        <f>IFERROR(INDEX(PP_Grid[#Data],$DD188,72),0)</f>
        <v/>
      </c>
      <c r="BW188">
        <f>IFERROR(INDEX(PP_Grid[#Data],$DD188,73),0)</f>
        <v/>
      </c>
      <c r="BX188">
        <f>IFERROR(INDEX(PP_Grid[#Data],$DD188,74),0)</f>
        <v/>
      </c>
      <c r="BY188">
        <f>IFERROR(INDEX(PP_Grid[#Data],$DD188,75),0)</f>
        <v/>
      </c>
      <c r="BZ188">
        <f>IFERROR(INDEX(PP_Grid[#Data],$DD188,76),0)</f>
        <v/>
      </c>
      <c r="CA188">
        <f>IFERROR(INDEX(PP_Grid[#Data],$DD188,77),0)</f>
        <v/>
      </c>
      <c r="CB188">
        <f>IFERROR(INDEX(PP_Grid[#Data],$DD188,78),0)</f>
        <v/>
      </c>
      <c r="CC188">
        <f>IFERROR(INDEX(PP_Grid[#Data],$DD188,79),0)</f>
        <v/>
      </c>
      <c r="CD188">
        <f>IFERROR(INDEX(PP_Grid[#Data],$DD188,80),0)</f>
        <v/>
      </c>
      <c r="CE188">
        <f>IFERROR(INDEX(PP_Grid[#Data],$DD188,81),0)</f>
        <v/>
      </c>
      <c r="CF188">
        <f>IFERROR(INDEX(PP_Grid[#Data],$DD188,82),0)</f>
        <v/>
      </c>
      <c r="CG188">
        <f>IFERROR(INDEX(PP_Grid[#Data],$DD188,83),0)</f>
        <v/>
      </c>
      <c r="CH188">
        <f>IFERROR(INDEX(PP_Grid[#Data],$DD188,84),0)</f>
        <v/>
      </c>
      <c r="CI188">
        <f>IFERROR(INDEX(PP_Grid[#Data],$DD188,85),0)</f>
        <v/>
      </c>
      <c r="CJ188">
        <f>IFERROR(INDEX(PP_Grid[#Data],$DD188,86),0)</f>
        <v/>
      </c>
      <c r="CK188">
        <f>IFERROR(INDEX(PP_Grid[#Data],$DD188,87),0)</f>
        <v/>
      </c>
      <c r="CL188">
        <f>IFERROR(INDEX(PP_Grid[#Data],$DD188,88),0)</f>
        <v/>
      </c>
      <c r="CM188">
        <f>IFERROR(INDEX(PP_Grid[#Data],$DD188,89),0)</f>
        <v/>
      </c>
      <c r="CN188">
        <f>IFERROR(INDEX(PP_Grid[#Data],$DD188,90),0)</f>
        <v/>
      </c>
      <c r="CO188">
        <f>IFERROR(INDEX(PP_Grid[#Data],$DD188,91),0)</f>
        <v/>
      </c>
      <c r="CP188">
        <f>IFERROR(INDEX(PP_Grid[#Data],$DD188,92),0)</f>
        <v/>
      </c>
      <c r="CQ188">
        <f>IFERROR(INDEX(PP_Grid[#Data],$DD188,93),0)</f>
        <v/>
      </c>
      <c r="CR188">
        <f>IFERROR(INDEX(PP_Grid[#Data],$DD188,94),0)</f>
        <v/>
      </c>
      <c r="CS188">
        <f>IFERROR(INDEX(PP_Grid[#Data],$DD188,95),0)</f>
        <v/>
      </c>
      <c r="CT188">
        <f>IFERROR(INDEX(PP_Grid[#Data],$DD188,96),0)</f>
        <v/>
      </c>
      <c r="CU188">
        <f>IFERROR(INDEX(PP_Grid[#Data],$DD188,97),0)</f>
        <v/>
      </c>
      <c r="CV188">
        <f>IFERROR(INDEX(PP_Grid[#Data],$DD188,98),0)</f>
        <v/>
      </c>
      <c r="CW188">
        <f>IFERROR(INDEX(PP_Grid[#Data],$DD188,99),0)</f>
        <v/>
      </c>
      <c r="CX188">
        <f>IFERROR(INDEX(PP_Grid[#Data],$DD188,100),0)</f>
        <v/>
      </c>
      <c r="CY188">
        <f>IFERROR(INDEX(PP_Grid[#Data],$DD188,101),0)</f>
        <v/>
      </c>
      <c r="CZ188">
        <f>IFERROR(INDEX(PP_Grid[#Data],$DD188,102),0)</f>
        <v/>
      </c>
      <c r="DA188">
        <f>IFERROR(INDEX(PP_Grid[#Data],$DD188,103),0)</f>
        <v/>
      </c>
      <c r="DB188">
        <f>IFERROR(INDEX(PP_Grid[#Data],$DD188,104),0)</f>
        <v/>
      </c>
      <c r="DC188">
        <f>IFERROR(INDEX(PP_Grid[#Data],$DD188,105),0)</f>
        <v/>
      </c>
      <c r="DD188" s="7">
        <f>IFERROR(MATCH($B188,PP_Grid[Intermediate],0),99999)</f>
        <v/>
      </c>
    </row>
    <row r="189">
      <c r="B189" t="inlineStr">
        <is>
          <t>使用量(kg)</t>
        </is>
      </c>
      <c r="C189">
        <f>SUMIFS(M_BOM[RM_Qty_Per_Batch],M_BOM[Intermediate],$B188,M_BOM[Part Name],$A45)</f>
        <v/>
      </c>
      <c r="D189">
        <f>$C189*D188</f>
        <v/>
      </c>
      <c r="E189">
        <f>$C189*E188</f>
        <v/>
      </c>
      <c r="F189">
        <f>$C189*F188</f>
        <v/>
      </c>
      <c r="G189">
        <f>$C189*G188</f>
        <v/>
      </c>
      <c r="H189">
        <f>$C189*H188</f>
        <v/>
      </c>
      <c r="I189">
        <f>$C189*I188</f>
        <v/>
      </c>
      <c r="J189">
        <f>$C189*J188</f>
        <v/>
      </c>
      <c r="K189">
        <f>$C189*K188</f>
        <v/>
      </c>
      <c r="L189">
        <f>$C189*L188</f>
        <v/>
      </c>
      <c r="M189">
        <f>$C189*M188</f>
        <v/>
      </c>
      <c r="N189">
        <f>$C189*N188</f>
        <v/>
      </c>
      <c r="O189">
        <f>$C189*O188</f>
        <v/>
      </c>
      <c r="P189">
        <f>$C189*P188</f>
        <v/>
      </c>
      <c r="Q189">
        <f>$C189*Q188</f>
        <v/>
      </c>
      <c r="R189">
        <f>$C189*R188</f>
        <v/>
      </c>
      <c r="S189">
        <f>$C189*S188</f>
        <v/>
      </c>
      <c r="T189">
        <f>$C189*T188</f>
        <v/>
      </c>
      <c r="U189">
        <f>$C189*U188</f>
        <v/>
      </c>
      <c r="V189">
        <f>$C189*V188</f>
        <v/>
      </c>
      <c r="W189">
        <f>$C189*W188</f>
        <v/>
      </c>
      <c r="X189">
        <f>$C189*X188</f>
        <v/>
      </c>
      <c r="Y189">
        <f>$C189*Y188</f>
        <v/>
      </c>
      <c r="Z189">
        <f>$C189*Z188</f>
        <v/>
      </c>
      <c r="AA189">
        <f>$C189*AA188</f>
        <v/>
      </c>
      <c r="AB189">
        <f>$C189*AB188</f>
        <v/>
      </c>
      <c r="AC189">
        <f>$C189*AC188</f>
        <v/>
      </c>
      <c r="AD189">
        <f>$C189*AD188</f>
        <v/>
      </c>
      <c r="AE189">
        <f>$C189*AE188</f>
        <v/>
      </c>
      <c r="AF189">
        <f>$C189*AF188</f>
        <v/>
      </c>
      <c r="AG189">
        <f>$C189*AG188</f>
        <v/>
      </c>
      <c r="AH189">
        <f>$C189*AH188</f>
        <v/>
      </c>
      <c r="AI189">
        <f>$C189*AI188</f>
        <v/>
      </c>
      <c r="AJ189">
        <f>$C189*AJ188</f>
        <v/>
      </c>
      <c r="AK189">
        <f>$C189*AK188</f>
        <v/>
      </c>
      <c r="AL189">
        <f>$C189*AL188</f>
        <v/>
      </c>
      <c r="AM189">
        <f>$C189*AM188</f>
        <v/>
      </c>
      <c r="AN189">
        <f>$C189*AN188</f>
        <v/>
      </c>
      <c r="AO189">
        <f>$C189*AO188</f>
        <v/>
      </c>
      <c r="AP189">
        <f>$C189*AP188</f>
        <v/>
      </c>
      <c r="AQ189">
        <f>$C189*AQ188</f>
        <v/>
      </c>
      <c r="AR189">
        <f>$C189*AR188</f>
        <v/>
      </c>
      <c r="AS189">
        <f>$C189*AS188</f>
        <v/>
      </c>
      <c r="AT189">
        <f>$C189*AT188</f>
        <v/>
      </c>
      <c r="AU189">
        <f>$C189*AU188</f>
        <v/>
      </c>
      <c r="AV189">
        <f>$C189*AV188</f>
        <v/>
      </c>
      <c r="AW189">
        <f>$C189*AW188</f>
        <v/>
      </c>
      <c r="AX189">
        <f>$C189*AX188</f>
        <v/>
      </c>
      <c r="AY189">
        <f>$C189*AY188</f>
        <v/>
      </c>
      <c r="AZ189">
        <f>$C189*AZ188</f>
        <v/>
      </c>
      <c r="BA189">
        <f>$C189*BA188</f>
        <v/>
      </c>
      <c r="BB189">
        <f>$C189*BB188</f>
        <v/>
      </c>
      <c r="BC189">
        <f>$C189*BC188</f>
        <v/>
      </c>
      <c r="BD189">
        <f>$C189*BD188</f>
        <v/>
      </c>
      <c r="BE189">
        <f>$C189*BE188</f>
        <v/>
      </c>
      <c r="BF189">
        <f>$C189*BF188</f>
        <v/>
      </c>
      <c r="BG189">
        <f>$C189*BG188</f>
        <v/>
      </c>
      <c r="BH189">
        <f>$C189*BH188</f>
        <v/>
      </c>
      <c r="BI189">
        <f>$C189*BI188</f>
        <v/>
      </c>
      <c r="BJ189">
        <f>$C189*BJ188</f>
        <v/>
      </c>
      <c r="BK189">
        <f>$C189*BK188</f>
        <v/>
      </c>
      <c r="BL189">
        <f>$C189*BL188</f>
        <v/>
      </c>
      <c r="BM189">
        <f>$C189*BM188</f>
        <v/>
      </c>
      <c r="BN189">
        <f>$C189*BN188</f>
        <v/>
      </c>
      <c r="BO189">
        <f>$C189*BO188</f>
        <v/>
      </c>
      <c r="BP189">
        <f>$C189*BP188</f>
        <v/>
      </c>
      <c r="BQ189">
        <f>$C189*BQ188</f>
        <v/>
      </c>
      <c r="BR189">
        <f>$C189*BR188</f>
        <v/>
      </c>
      <c r="BS189">
        <f>$C189*BS188</f>
        <v/>
      </c>
      <c r="BT189">
        <f>$C189*BT188</f>
        <v/>
      </c>
      <c r="BU189">
        <f>$C189*BU188</f>
        <v/>
      </c>
      <c r="BV189">
        <f>$C189*BV188</f>
        <v/>
      </c>
      <c r="BW189">
        <f>$C189*BW188</f>
        <v/>
      </c>
      <c r="BX189">
        <f>$C189*BX188</f>
        <v/>
      </c>
      <c r="BY189">
        <f>$C189*BY188</f>
        <v/>
      </c>
      <c r="BZ189">
        <f>$C189*BZ188</f>
        <v/>
      </c>
      <c r="CA189">
        <f>$C189*CA188</f>
        <v/>
      </c>
      <c r="CB189">
        <f>$C189*CB188</f>
        <v/>
      </c>
      <c r="CC189">
        <f>$C189*CC188</f>
        <v/>
      </c>
      <c r="CD189">
        <f>$C189*CD188</f>
        <v/>
      </c>
      <c r="CE189">
        <f>$C189*CE188</f>
        <v/>
      </c>
      <c r="CF189">
        <f>$C189*CF188</f>
        <v/>
      </c>
      <c r="CG189">
        <f>$C189*CG188</f>
        <v/>
      </c>
      <c r="CH189">
        <f>$C189*CH188</f>
        <v/>
      </c>
      <c r="CI189">
        <f>$C189*CI188</f>
        <v/>
      </c>
      <c r="CJ189">
        <f>$C189*CJ188</f>
        <v/>
      </c>
      <c r="CK189">
        <f>$C189*CK188</f>
        <v/>
      </c>
      <c r="CL189">
        <f>$C189*CL188</f>
        <v/>
      </c>
      <c r="CM189">
        <f>$C189*CM188</f>
        <v/>
      </c>
      <c r="CN189">
        <f>$C189*CN188</f>
        <v/>
      </c>
      <c r="CO189">
        <f>$C189*CO188</f>
        <v/>
      </c>
      <c r="CP189">
        <f>$C189*CP188</f>
        <v/>
      </c>
      <c r="CQ189">
        <f>$C189*CQ188</f>
        <v/>
      </c>
      <c r="CR189">
        <f>$C189*CR188</f>
        <v/>
      </c>
      <c r="CS189">
        <f>$C189*CS188</f>
        <v/>
      </c>
      <c r="CT189">
        <f>$C189*CT188</f>
        <v/>
      </c>
      <c r="CU189">
        <f>$C189*CU188</f>
        <v/>
      </c>
      <c r="CV189">
        <f>$C189*CV188</f>
        <v/>
      </c>
      <c r="CW189">
        <f>$C189*CW188</f>
        <v/>
      </c>
      <c r="CX189">
        <f>$C189*CX188</f>
        <v/>
      </c>
      <c r="CY189">
        <f>$C189*CY188</f>
        <v/>
      </c>
      <c r="CZ189">
        <f>$C189*CZ188</f>
        <v/>
      </c>
      <c r="DA189">
        <f>$C189*DA188</f>
        <v/>
      </c>
      <c r="DB189">
        <f>$C189*DB188</f>
        <v/>
      </c>
      <c r="DC189">
        <f>$C189*DC188</f>
        <v/>
      </c>
    </row>
    <row r="190">
      <c r="B190" t="inlineStr">
        <is>
          <t>VSP-820</t>
        </is>
      </c>
      <c r="C190" t="inlineStr">
        <is>
          <t>No. of batches</t>
        </is>
      </c>
      <c r="D190">
        <f>IFERROR(INDEX(PP_Grid[#Data],$DD190,2),0)</f>
        <v/>
      </c>
      <c r="E190">
        <f>IFERROR(INDEX(PP_Grid[#Data],$DD190,3),0)</f>
        <v/>
      </c>
      <c r="F190">
        <f>IFERROR(INDEX(PP_Grid[#Data],$DD190,4),0)</f>
        <v/>
      </c>
      <c r="G190">
        <f>IFERROR(INDEX(PP_Grid[#Data],$DD190,5),0)</f>
        <v/>
      </c>
      <c r="H190">
        <f>IFERROR(INDEX(PP_Grid[#Data],$DD190,6),0)</f>
        <v/>
      </c>
      <c r="I190">
        <f>IFERROR(INDEX(PP_Grid[#Data],$DD190,7),0)</f>
        <v/>
      </c>
      <c r="J190">
        <f>IFERROR(INDEX(PP_Grid[#Data],$DD190,8),0)</f>
        <v/>
      </c>
      <c r="K190">
        <f>IFERROR(INDEX(PP_Grid[#Data],$DD190,9),0)</f>
        <v/>
      </c>
      <c r="L190">
        <f>IFERROR(INDEX(PP_Grid[#Data],$DD190,10),0)</f>
        <v/>
      </c>
      <c r="M190">
        <f>IFERROR(INDEX(PP_Grid[#Data],$DD190,11),0)</f>
        <v/>
      </c>
      <c r="N190">
        <f>IFERROR(INDEX(PP_Grid[#Data],$DD190,12),0)</f>
        <v/>
      </c>
      <c r="O190">
        <f>IFERROR(INDEX(PP_Grid[#Data],$DD190,13),0)</f>
        <v/>
      </c>
      <c r="P190">
        <f>IFERROR(INDEX(PP_Grid[#Data],$DD190,14),0)</f>
        <v/>
      </c>
      <c r="Q190">
        <f>IFERROR(INDEX(PP_Grid[#Data],$DD190,15),0)</f>
        <v/>
      </c>
      <c r="R190">
        <f>IFERROR(INDEX(PP_Grid[#Data],$DD190,16),0)</f>
        <v/>
      </c>
      <c r="S190">
        <f>IFERROR(INDEX(PP_Grid[#Data],$DD190,17),0)</f>
        <v/>
      </c>
      <c r="T190">
        <f>IFERROR(INDEX(PP_Grid[#Data],$DD190,18),0)</f>
        <v/>
      </c>
      <c r="U190">
        <f>IFERROR(INDEX(PP_Grid[#Data],$DD190,19),0)</f>
        <v/>
      </c>
      <c r="V190">
        <f>IFERROR(INDEX(PP_Grid[#Data],$DD190,20),0)</f>
        <v/>
      </c>
      <c r="W190">
        <f>IFERROR(INDEX(PP_Grid[#Data],$DD190,21),0)</f>
        <v/>
      </c>
      <c r="X190">
        <f>IFERROR(INDEX(PP_Grid[#Data],$DD190,22),0)</f>
        <v/>
      </c>
      <c r="Y190">
        <f>IFERROR(INDEX(PP_Grid[#Data],$DD190,23),0)</f>
        <v/>
      </c>
      <c r="Z190">
        <f>IFERROR(INDEX(PP_Grid[#Data],$DD190,24),0)</f>
        <v/>
      </c>
      <c r="AA190">
        <f>IFERROR(INDEX(PP_Grid[#Data],$DD190,25),0)</f>
        <v/>
      </c>
      <c r="AB190">
        <f>IFERROR(INDEX(PP_Grid[#Data],$DD190,26),0)</f>
        <v/>
      </c>
      <c r="AC190">
        <f>IFERROR(INDEX(PP_Grid[#Data],$DD190,27),0)</f>
        <v/>
      </c>
      <c r="AD190">
        <f>IFERROR(INDEX(PP_Grid[#Data],$DD190,28),0)</f>
        <v/>
      </c>
      <c r="AE190">
        <f>IFERROR(INDEX(PP_Grid[#Data],$DD190,29),0)</f>
        <v/>
      </c>
      <c r="AF190">
        <f>IFERROR(INDEX(PP_Grid[#Data],$DD190,30),0)</f>
        <v/>
      </c>
      <c r="AG190">
        <f>IFERROR(INDEX(PP_Grid[#Data],$DD190,31),0)</f>
        <v/>
      </c>
      <c r="AH190">
        <f>IFERROR(INDEX(PP_Grid[#Data],$DD190,32),0)</f>
        <v/>
      </c>
      <c r="AI190">
        <f>IFERROR(INDEX(PP_Grid[#Data],$DD190,33),0)</f>
        <v/>
      </c>
      <c r="AJ190">
        <f>IFERROR(INDEX(PP_Grid[#Data],$DD190,34),0)</f>
        <v/>
      </c>
      <c r="AK190">
        <f>IFERROR(INDEX(PP_Grid[#Data],$DD190,35),0)</f>
        <v/>
      </c>
      <c r="AL190">
        <f>IFERROR(INDEX(PP_Grid[#Data],$DD190,36),0)</f>
        <v/>
      </c>
      <c r="AM190">
        <f>IFERROR(INDEX(PP_Grid[#Data],$DD190,37),0)</f>
        <v/>
      </c>
      <c r="AN190">
        <f>IFERROR(INDEX(PP_Grid[#Data],$DD190,38),0)</f>
        <v/>
      </c>
      <c r="AO190">
        <f>IFERROR(INDEX(PP_Grid[#Data],$DD190,39),0)</f>
        <v/>
      </c>
      <c r="AP190">
        <f>IFERROR(INDEX(PP_Grid[#Data],$DD190,40),0)</f>
        <v/>
      </c>
      <c r="AQ190">
        <f>IFERROR(INDEX(PP_Grid[#Data],$DD190,41),0)</f>
        <v/>
      </c>
      <c r="AR190">
        <f>IFERROR(INDEX(PP_Grid[#Data],$DD190,42),0)</f>
        <v/>
      </c>
      <c r="AS190">
        <f>IFERROR(INDEX(PP_Grid[#Data],$DD190,43),0)</f>
        <v/>
      </c>
      <c r="AT190">
        <f>IFERROR(INDEX(PP_Grid[#Data],$DD190,44),0)</f>
        <v/>
      </c>
      <c r="AU190">
        <f>IFERROR(INDEX(PP_Grid[#Data],$DD190,45),0)</f>
        <v/>
      </c>
      <c r="AV190">
        <f>IFERROR(INDEX(PP_Grid[#Data],$DD190,46),0)</f>
        <v/>
      </c>
      <c r="AW190">
        <f>IFERROR(INDEX(PP_Grid[#Data],$DD190,47),0)</f>
        <v/>
      </c>
      <c r="AX190">
        <f>IFERROR(INDEX(PP_Grid[#Data],$DD190,48),0)</f>
        <v/>
      </c>
      <c r="AY190">
        <f>IFERROR(INDEX(PP_Grid[#Data],$DD190,49),0)</f>
        <v/>
      </c>
      <c r="AZ190">
        <f>IFERROR(INDEX(PP_Grid[#Data],$DD190,50),0)</f>
        <v/>
      </c>
      <c r="BA190">
        <f>IFERROR(INDEX(PP_Grid[#Data],$DD190,51),0)</f>
        <v/>
      </c>
      <c r="BB190">
        <f>IFERROR(INDEX(PP_Grid[#Data],$DD190,52),0)</f>
        <v/>
      </c>
      <c r="BC190">
        <f>IFERROR(INDEX(PP_Grid[#Data],$DD190,53),0)</f>
        <v/>
      </c>
      <c r="BD190">
        <f>IFERROR(INDEX(PP_Grid[#Data],$DD190,54),0)</f>
        <v/>
      </c>
      <c r="BE190">
        <f>IFERROR(INDEX(PP_Grid[#Data],$DD190,55),0)</f>
        <v/>
      </c>
      <c r="BF190">
        <f>IFERROR(INDEX(PP_Grid[#Data],$DD190,56),0)</f>
        <v/>
      </c>
      <c r="BG190">
        <f>IFERROR(INDEX(PP_Grid[#Data],$DD190,57),0)</f>
        <v/>
      </c>
      <c r="BH190">
        <f>IFERROR(INDEX(PP_Grid[#Data],$DD190,58),0)</f>
        <v/>
      </c>
      <c r="BI190">
        <f>IFERROR(INDEX(PP_Grid[#Data],$DD190,59),0)</f>
        <v/>
      </c>
      <c r="BJ190">
        <f>IFERROR(INDEX(PP_Grid[#Data],$DD190,60),0)</f>
        <v/>
      </c>
      <c r="BK190">
        <f>IFERROR(INDEX(PP_Grid[#Data],$DD190,61),0)</f>
        <v/>
      </c>
      <c r="BL190">
        <f>IFERROR(INDEX(PP_Grid[#Data],$DD190,62),0)</f>
        <v/>
      </c>
      <c r="BM190">
        <f>IFERROR(INDEX(PP_Grid[#Data],$DD190,63),0)</f>
        <v/>
      </c>
      <c r="BN190">
        <f>IFERROR(INDEX(PP_Grid[#Data],$DD190,64),0)</f>
        <v/>
      </c>
      <c r="BO190">
        <f>IFERROR(INDEX(PP_Grid[#Data],$DD190,65),0)</f>
        <v/>
      </c>
      <c r="BP190">
        <f>IFERROR(INDEX(PP_Grid[#Data],$DD190,66),0)</f>
        <v/>
      </c>
      <c r="BQ190">
        <f>IFERROR(INDEX(PP_Grid[#Data],$DD190,67),0)</f>
        <v/>
      </c>
      <c r="BR190">
        <f>IFERROR(INDEX(PP_Grid[#Data],$DD190,68),0)</f>
        <v/>
      </c>
      <c r="BS190">
        <f>IFERROR(INDEX(PP_Grid[#Data],$DD190,69),0)</f>
        <v/>
      </c>
      <c r="BT190">
        <f>IFERROR(INDEX(PP_Grid[#Data],$DD190,70),0)</f>
        <v/>
      </c>
      <c r="BU190">
        <f>IFERROR(INDEX(PP_Grid[#Data],$DD190,71),0)</f>
        <v/>
      </c>
      <c r="BV190">
        <f>IFERROR(INDEX(PP_Grid[#Data],$DD190,72),0)</f>
        <v/>
      </c>
      <c r="BW190">
        <f>IFERROR(INDEX(PP_Grid[#Data],$DD190,73),0)</f>
        <v/>
      </c>
      <c r="BX190">
        <f>IFERROR(INDEX(PP_Grid[#Data],$DD190,74),0)</f>
        <v/>
      </c>
      <c r="BY190">
        <f>IFERROR(INDEX(PP_Grid[#Data],$DD190,75),0)</f>
        <v/>
      </c>
      <c r="BZ190">
        <f>IFERROR(INDEX(PP_Grid[#Data],$DD190,76),0)</f>
        <v/>
      </c>
      <c r="CA190">
        <f>IFERROR(INDEX(PP_Grid[#Data],$DD190,77),0)</f>
        <v/>
      </c>
      <c r="CB190">
        <f>IFERROR(INDEX(PP_Grid[#Data],$DD190,78),0)</f>
        <v/>
      </c>
      <c r="CC190">
        <f>IFERROR(INDEX(PP_Grid[#Data],$DD190,79),0)</f>
        <v/>
      </c>
      <c r="CD190">
        <f>IFERROR(INDEX(PP_Grid[#Data],$DD190,80),0)</f>
        <v/>
      </c>
      <c r="CE190">
        <f>IFERROR(INDEX(PP_Grid[#Data],$DD190,81),0)</f>
        <v/>
      </c>
      <c r="CF190">
        <f>IFERROR(INDEX(PP_Grid[#Data],$DD190,82),0)</f>
        <v/>
      </c>
      <c r="CG190">
        <f>IFERROR(INDEX(PP_Grid[#Data],$DD190,83),0)</f>
        <v/>
      </c>
      <c r="CH190">
        <f>IFERROR(INDEX(PP_Grid[#Data],$DD190,84),0)</f>
        <v/>
      </c>
      <c r="CI190">
        <f>IFERROR(INDEX(PP_Grid[#Data],$DD190,85),0)</f>
        <v/>
      </c>
      <c r="CJ190">
        <f>IFERROR(INDEX(PP_Grid[#Data],$DD190,86),0)</f>
        <v/>
      </c>
      <c r="CK190">
        <f>IFERROR(INDEX(PP_Grid[#Data],$DD190,87),0)</f>
        <v/>
      </c>
      <c r="CL190">
        <f>IFERROR(INDEX(PP_Grid[#Data],$DD190,88),0)</f>
        <v/>
      </c>
      <c r="CM190">
        <f>IFERROR(INDEX(PP_Grid[#Data],$DD190,89),0)</f>
        <v/>
      </c>
      <c r="CN190">
        <f>IFERROR(INDEX(PP_Grid[#Data],$DD190,90),0)</f>
        <v/>
      </c>
      <c r="CO190">
        <f>IFERROR(INDEX(PP_Grid[#Data],$DD190,91),0)</f>
        <v/>
      </c>
      <c r="CP190">
        <f>IFERROR(INDEX(PP_Grid[#Data],$DD190,92),0)</f>
        <v/>
      </c>
      <c r="CQ190">
        <f>IFERROR(INDEX(PP_Grid[#Data],$DD190,93),0)</f>
        <v/>
      </c>
      <c r="CR190">
        <f>IFERROR(INDEX(PP_Grid[#Data],$DD190,94),0)</f>
        <v/>
      </c>
      <c r="CS190">
        <f>IFERROR(INDEX(PP_Grid[#Data],$DD190,95),0)</f>
        <v/>
      </c>
      <c r="CT190">
        <f>IFERROR(INDEX(PP_Grid[#Data],$DD190,96),0)</f>
        <v/>
      </c>
      <c r="CU190">
        <f>IFERROR(INDEX(PP_Grid[#Data],$DD190,97),0)</f>
        <v/>
      </c>
      <c r="CV190">
        <f>IFERROR(INDEX(PP_Grid[#Data],$DD190,98),0)</f>
        <v/>
      </c>
      <c r="CW190">
        <f>IFERROR(INDEX(PP_Grid[#Data],$DD190,99),0)</f>
        <v/>
      </c>
      <c r="CX190">
        <f>IFERROR(INDEX(PP_Grid[#Data],$DD190,100),0)</f>
        <v/>
      </c>
      <c r="CY190">
        <f>IFERROR(INDEX(PP_Grid[#Data],$DD190,101),0)</f>
        <v/>
      </c>
      <c r="CZ190">
        <f>IFERROR(INDEX(PP_Grid[#Data],$DD190,102),0)</f>
        <v/>
      </c>
      <c r="DA190">
        <f>IFERROR(INDEX(PP_Grid[#Data],$DD190,103),0)</f>
        <v/>
      </c>
      <c r="DB190">
        <f>IFERROR(INDEX(PP_Grid[#Data],$DD190,104),0)</f>
        <v/>
      </c>
      <c r="DC190">
        <f>IFERROR(INDEX(PP_Grid[#Data],$DD190,105),0)</f>
        <v/>
      </c>
      <c r="DD190" s="7">
        <f>IFERROR(MATCH($B190,PP_Grid[Intermediate],0),99999)</f>
        <v/>
      </c>
    </row>
    <row r="191">
      <c r="B191" t="inlineStr">
        <is>
          <t>使用量(kg)</t>
        </is>
      </c>
      <c r="C191">
        <f>SUMIFS(M_BOM[RM_Qty_Per_Batch],M_BOM[Intermediate],$B190,M_BOM[Part Name],$A45)</f>
        <v/>
      </c>
      <c r="D191">
        <f>$C191*D190</f>
        <v/>
      </c>
      <c r="E191">
        <f>$C191*E190</f>
        <v/>
      </c>
      <c r="F191">
        <f>$C191*F190</f>
        <v/>
      </c>
      <c r="G191">
        <f>$C191*G190</f>
        <v/>
      </c>
      <c r="H191">
        <f>$C191*H190</f>
        <v/>
      </c>
      <c r="I191">
        <f>$C191*I190</f>
        <v/>
      </c>
      <c r="J191">
        <f>$C191*J190</f>
        <v/>
      </c>
      <c r="K191">
        <f>$C191*K190</f>
        <v/>
      </c>
      <c r="L191">
        <f>$C191*L190</f>
        <v/>
      </c>
      <c r="M191">
        <f>$C191*M190</f>
        <v/>
      </c>
      <c r="N191">
        <f>$C191*N190</f>
        <v/>
      </c>
      <c r="O191">
        <f>$C191*O190</f>
        <v/>
      </c>
      <c r="P191">
        <f>$C191*P190</f>
        <v/>
      </c>
      <c r="Q191">
        <f>$C191*Q190</f>
        <v/>
      </c>
      <c r="R191">
        <f>$C191*R190</f>
        <v/>
      </c>
      <c r="S191">
        <f>$C191*S190</f>
        <v/>
      </c>
      <c r="T191">
        <f>$C191*T190</f>
        <v/>
      </c>
      <c r="U191">
        <f>$C191*U190</f>
        <v/>
      </c>
      <c r="V191">
        <f>$C191*V190</f>
        <v/>
      </c>
      <c r="W191">
        <f>$C191*W190</f>
        <v/>
      </c>
      <c r="X191">
        <f>$C191*X190</f>
        <v/>
      </c>
      <c r="Y191">
        <f>$C191*Y190</f>
        <v/>
      </c>
      <c r="Z191">
        <f>$C191*Z190</f>
        <v/>
      </c>
      <c r="AA191">
        <f>$C191*AA190</f>
        <v/>
      </c>
      <c r="AB191">
        <f>$C191*AB190</f>
        <v/>
      </c>
      <c r="AC191">
        <f>$C191*AC190</f>
        <v/>
      </c>
      <c r="AD191">
        <f>$C191*AD190</f>
        <v/>
      </c>
      <c r="AE191">
        <f>$C191*AE190</f>
        <v/>
      </c>
      <c r="AF191">
        <f>$C191*AF190</f>
        <v/>
      </c>
      <c r="AG191">
        <f>$C191*AG190</f>
        <v/>
      </c>
      <c r="AH191">
        <f>$C191*AH190</f>
        <v/>
      </c>
      <c r="AI191">
        <f>$C191*AI190</f>
        <v/>
      </c>
      <c r="AJ191">
        <f>$C191*AJ190</f>
        <v/>
      </c>
      <c r="AK191">
        <f>$C191*AK190</f>
        <v/>
      </c>
      <c r="AL191">
        <f>$C191*AL190</f>
        <v/>
      </c>
      <c r="AM191">
        <f>$C191*AM190</f>
        <v/>
      </c>
      <c r="AN191">
        <f>$C191*AN190</f>
        <v/>
      </c>
      <c r="AO191">
        <f>$C191*AO190</f>
        <v/>
      </c>
      <c r="AP191">
        <f>$C191*AP190</f>
        <v/>
      </c>
      <c r="AQ191">
        <f>$C191*AQ190</f>
        <v/>
      </c>
      <c r="AR191">
        <f>$C191*AR190</f>
        <v/>
      </c>
      <c r="AS191">
        <f>$C191*AS190</f>
        <v/>
      </c>
      <c r="AT191">
        <f>$C191*AT190</f>
        <v/>
      </c>
      <c r="AU191">
        <f>$C191*AU190</f>
        <v/>
      </c>
      <c r="AV191">
        <f>$C191*AV190</f>
        <v/>
      </c>
      <c r="AW191">
        <f>$C191*AW190</f>
        <v/>
      </c>
      <c r="AX191">
        <f>$C191*AX190</f>
        <v/>
      </c>
      <c r="AY191">
        <f>$C191*AY190</f>
        <v/>
      </c>
      <c r="AZ191">
        <f>$C191*AZ190</f>
        <v/>
      </c>
      <c r="BA191">
        <f>$C191*BA190</f>
        <v/>
      </c>
      <c r="BB191">
        <f>$C191*BB190</f>
        <v/>
      </c>
      <c r="BC191">
        <f>$C191*BC190</f>
        <v/>
      </c>
      <c r="BD191">
        <f>$C191*BD190</f>
        <v/>
      </c>
      <c r="BE191">
        <f>$C191*BE190</f>
        <v/>
      </c>
      <c r="BF191">
        <f>$C191*BF190</f>
        <v/>
      </c>
      <c r="BG191">
        <f>$C191*BG190</f>
        <v/>
      </c>
      <c r="BH191">
        <f>$C191*BH190</f>
        <v/>
      </c>
      <c r="BI191">
        <f>$C191*BI190</f>
        <v/>
      </c>
      <c r="BJ191">
        <f>$C191*BJ190</f>
        <v/>
      </c>
      <c r="BK191">
        <f>$C191*BK190</f>
        <v/>
      </c>
      <c r="BL191">
        <f>$C191*BL190</f>
        <v/>
      </c>
      <c r="BM191">
        <f>$C191*BM190</f>
        <v/>
      </c>
      <c r="BN191">
        <f>$C191*BN190</f>
        <v/>
      </c>
      <c r="BO191">
        <f>$C191*BO190</f>
        <v/>
      </c>
      <c r="BP191">
        <f>$C191*BP190</f>
        <v/>
      </c>
      <c r="BQ191">
        <f>$C191*BQ190</f>
        <v/>
      </c>
      <c r="BR191">
        <f>$C191*BR190</f>
        <v/>
      </c>
      <c r="BS191">
        <f>$C191*BS190</f>
        <v/>
      </c>
      <c r="BT191">
        <f>$C191*BT190</f>
        <v/>
      </c>
      <c r="BU191">
        <f>$C191*BU190</f>
        <v/>
      </c>
      <c r="BV191">
        <f>$C191*BV190</f>
        <v/>
      </c>
      <c r="BW191">
        <f>$C191*BW190</f>
        <v/>
      </c>
      <c r="BX191">
        <f>$C191*BX190</f>
        <v/>
      </c>
      <c r="BY191">
        <f>$C191*BY190</f>
        <v/>
      </c>
      <c r="BZ191">
        <f>$C191*BZ190</f>
        <v/>
      </c>
      <c r="CA191">
        <f>$C191*CA190</f>
        <v/>
      </c>
      <c r="CB191">
        <f>$C191*CB190</f>
        <v/>
      </c>
      <c r="CC191">
        <f>$C191*CC190</f>
        <v/>
      </c>
      <c r="CD191">
        <f>$C191*CD190</f>
        <v/>
      </c>
      <c r="CE191">
        <f>$C191*CE190</f>
        <v/>
      </c>
      <c r="CF191">
        <f>$C191*CF190</f>
        <v/>
      </c>
      <c r="CG191">
        <f>$C191*CG190</f>
        <v/>
      </c>
      <c r="CH191">
        <f>$C191*CH190</f>
        <v/>
      </c>
      <c r="CI191">
        <f>$C191*CI190</f>
        <v/>
      </c>
      <c r="CJ191">
        <f>$C191*CJ190</f>
        <v/>
      </c>
      <c r="CK191">
        <f>$C191*CK190</f>
        <v/>
      </c>
      <c r="CL191">
        <f>$C191*CL190</f>
        <v/>
      </c>
      <c r="CM191">
        <f>$C191*CM190</f>
        <v/>
      </c>
      <c r="CN191">
        <f>$C191*CN190</f>
        <v/>
      </c>
      <c r="CO191">
        <f>$C191*CO190</f>
        <v/>
      </c>
      <c r="CP191">
        <f>$C191*CP190</f>
        <v/>
      </c>
      <c r="CQ191">
        <f>$C191*CQ190</f>
        <v/>
      </c>
      <c r="CR191">
        <f>$C191*CR190</f>
        <v/>
      </c>
      <c r="CS191">
        <f>$C191*CS190</f>
        <v/>
      </c>
      <c r="CT191">
        <f>$C191*CT190</f>
        <v/>
      </c>
      <c r="CU191">
        <f>$C191*CU190</f>
        <v/>
      </c>
      <c r="CV191">
        <f>$C191*CV190</f>
        <v/>
      </c>
      <c r="CW191">
        <f>$C191*CW190</f>
        <v/>
      </c>
      <c r="CX191">
        <f>$C191*CX190</f>
        <v/>
      </c>
      <c r="CY191">
        <f>$C191*CY190</f>
        <v/>
      </c>
      <c r="CZ191">
        <f>$C191*CZ190</f>
        <v/>
      </c>
      <c r="DA191">
        <f>$C191*DA190</f>
        <v/>
      </c>
      <c r="DB191">
        <f>$C191*DB190</f>
        <v/>
      </c>
      <c r="DC191">
        <f>$C191*DC190</f>
        <v/>
      </c>
    </row>
    <row r="192">
      <c r="B192" t="inlineStr">
        <is>
          <t>VSP-822</t>
        </is>
      </c>
      <c r="C192" t="inlineStr">
        <is>
          <t>No. of batches</t>
        </is>
      </c>
      <c r="D192">
        <f>IFERROR(INDEX(PP_Grid[#Data],$DD192,2),0)</f>
        <v/>
      </c>
      <c r="E192">
        <f>IFERROR(INDEX(PP_Grid[#Data],$DD192,3),0)</f>
        <v/>
      </c>
      <c r="F192">
        <f>IFERROR(INDEX(PP_Grid[#Data],$DD192,4),0)</f>
        <v/>
      </c>
      <c r="G192">
        <f>IFERROR(INDEX(PP_Grid[#Data],$DD192,5),0)</f>
        <v/>
      </c>
      <c r="H192">
        <f>IFERROR(INDEX(PP_Grid[#Data],$DD192,6),0)</f>
        <v/>
      </c>
      <c r="I192">
        <f>IFERROR(INDEX(PP_Grid[#Data],$DD192,7),0)</f>
        <v/>
      </c>
      <c r="J192">
        <f>IFERROR(INDEX(PP_Grid[#Data],$DD192,8),0)</f>
        <v/>
      </c>
      <c r="K192">
        <f>IFERROR(INDEX(PP_Grid[#Data],$DD192,9),0)</f>
        <v/>
      </c>
      <c r="L192">
        <f>IFERROR(INDEX(PP_Grid[#Data],$DD192,10),0)</f>
        <v/>
      </c>
      <c r="M192">
        <f>IFERROR(INDEX(PP_Grid[#Data],$DD192,11),0)</f>
        <v/>
      </c>
      <c r="N192">
        <f>IFERROR(INDEX(PP_Grid[#Data],$DD192,12),0)</f>
        <v/>
      </c>
      <c r="O192">
        <f>IFERROR(INDEX(PP_Grid[#Data],$DD192,13),0)</f>
        <v/>
      </c>
      <c r="P192">
        <f>IFERROR(INDEX(PP_Grid[#Data],$DD192,14),0)</f>
        <v/>
      </c>
      <c r="Q192">
        <f>IFERROR(INDEX(PP_Grid[#Data],$DD192,15),0)</f>
        <v/>
      </c>
      <c r="R192">
        <f>IFERROR(INDEX(PP_Grid[#Data],$DD192,16),0)</f>
        <v/>
      </c>
      <c r="S192">
        <f>IFERROR(INDEX(PP_Grid[#Data],$DD192,17),0)</f>
        <v/>
      </c>
      <c r="T192">
        <f>IFERROR(INDEX(PP_Grid[#Data],$DD192,18),0)</f>
        <v/>
      </c>
      <c r="U192">
        <f>IFERROR(INDEX(PP_Grid[#Data],$DD192,19),0)</f>
        <v/>
      </c>
      <c r="V192">
        <f>IFERROR(INDEX(PP_Grid[#Data],$DD192,20),0)</f>
        <v/>
      </c>
      <c r="W192">
        <f>IFERROR(INDEX(PP_Grid[#Data],$DD192,21),0)</f>
        <v/>
      </c>
      <c r="X192">
        <f>IFERROR(INDEX(PP_Grid[#Data],$DD192,22),0)</f>
        <v/>
      </c>
      <c r="Y192">
        <f>IFERROR(INDEX(PP_Grid[#Data],$DD192,23),0)</f>
        <v/>
      </c>
      <c r="Z192">
        <f>IFERROR(INDEX(PP_Grid[#Data],$DD192,24),0)</f>
        <v/>
      </c>
      <c r="AA192">
        <f>IFERROR(INDEX(PP_Grid[#Data],$DD192,25),0)</f>
        <v/>
      </c>
      <c r="AB192">
        <f>IFERROR(INDEX(PP_Grid[#Data],$DD192,26),0)</f>
        <v/>
      </c>
      <c r="AC192">
        <f>IFERROR(INDEX(PP_Grid[#Data],$DD192,27),0)</f>
        <v/>
      </c>
      <c r="AD192">
        <f>IFERROR(INDEX(PP_Grid[#Data],$DD192,28),0)</f>
        <v/>
      </c>
      <c r="AE192">
        <f>IFERROR(INDEX(PP_Grid[#Data],$DD192,29),0)</f>
        <v/>
      </c>
      <c r="AF192">
        <f>IFERROR(INDEX(PP_Grid[#Data],$DD192,30),0)</f>
        <v/>
      </c>
      <c r="AG192">
        <f>IFERROR(INDEX(PP_Grid[#Data],$DD192,31),0)</f>
        <v/>
      </c>
      <c r="AH192">
        <f>IFERROR(INDEX(PP_Grid[#Data],$DD192,32),0)</f>
        <v/>
      </c>
      <c r="AI192">
        <f>IFERROR(INDEX(PP_Grid[#Data],$DD192,33),0)</f>
        <v/>
      </c>
      <c r="AJ192">
        <f>IFERROR(INDEX(PP_Grid[#Data],$DD192,34),0)</f>
        <v/>
      </c>
      <c r="AK192">
        <f>IFERROR(INDEX(PP_Grid[#Data],$DD192,35),0)</f>
        <v/>
      </c>
      <c r="AL192">
        <f>IFERROR(INDEX(PP_Grid[#Data],$DD192,36),0)</f>
        <v/>
      </c>
      <c r="AM192">
        <f>IFERROR(INDEX(PP_Grid[#Data],$DD192,37),0)</f>
        <v/>
      </c>
      <c r="AN192">
        <f>IFERROR(INDEX(PP_Grid[#Data],$DD192,38),0)</f>
        <v/>
      </c>
      <c r="AO192">
        <f>IFERROR(INDEX(PP_Grid[#Data],$DD192,39),0)</f>
        <v/>
      </c>
      <c r="AP192">
        <f>IFERROR(INDEX(PP_Grid[#Data],$DD192,40),0)</f>
        <v/>
      </c>
      <c r="AQ192">
        <f>IFERROR(INDEX(PP_Grid[#Data],$DD192,41),0)</f>
        <v/>
      </c>
      <c r="AR192">
        <f>IFERROR(INDEX(PP_Grid[#Data],$DD192,42),0)</f>
        <v/>
      </c>
      <c r="AS192">
        <f>IFERROR(INDEX(PP_Grid[#Data],$DD192,43),0)</f>
        <v/>
      </c>
      <c r="AT192">
        <f>IFERROR(INDEX(PP_Grid[#Data],$DD192,44),0)</f>
        <v/>
      </c>
      <c r="AU192">
        <f>IFERROR(INDEX(PP_Grid[#Data],$DD192,45),0)</f>
        <v/>
      </c>
      <c r="AV192">
        <f>IFERROR(INDEX(PP_Grid[#Data],$DD192,46),0)</f>
        <v/>
      </c>
      <c r="AW192">
        <f>IFERROR(INDEX(PP_Grid[#Data],$DD192,47),0)</f>
        <v/>
      </c>
      <c r="AX192">
        <f>IFERROR(INDEX(PP_Grid[#Data],$DD192,48),0)</f>
        <v/>
      </c>
      <c r="AY192">
        <f>IFERROR(INDEX(PP_Grid[#Data],$DD192,49),0)</f>
        <v/>
      </c>
      <c r="AZ192">
        <f>IFERROR(INDEX(PP_Grid[#Data],$DD192,50),0)</f>
        <v/>
      </c>
      <c r="BA192">
        <f>IFERROR(INDEX(PP_Grid[#Data],$DD192,51),0)</f>
        <v/>
      </c>
      <c r="BB192">
        <f>IFERROR(INDEX(PP_Grid[#Data],$DD192,52),0)</f>
        <v/>
      </c>
      <c r="BC192">
        <f>IFERROR(INDEX(PP_Grid[#Data],$DD192,53),0)</f>
        <v/>
      </c>
      <c r="BD192">
        <f>IFERROR(INDEX(PP_Grid[#Data],$DD192,54),0)</f>
        <v/>
      </c>
      <c r="BE192">
        <f>IFERROR(INDEX(PP_Grid[#Data],$DD192,55),0)</f>
        <v/>
      </c>
      <c r="BF192">
        <f>IFERROR(INDEX(PP_Grid[#Data],$DD192,56),0)</f>
        <v/>
      </c>
      <c r="BG192">
        <f>IFERROR(INDEX(PP_Grid[#Data],$DD192,57),0)</f>
        <v/>
      </c>
      <c r="BH192">
        <f>IFERROR(INDEX(PP_Grid[#Data],$DD192,58),0)</f>
        <v/>
      </c>
      <c r="BI192">
        <f>IFERROR(INDEX(PP_Grid[#Data],$DD192,59),0)</f>
        <v/>
      </c>
      <c r="BJ192">
        <f>IFERROR(INDEX(PP_Grid[#Data],$DD192,60),0)</f>
        <v/>
      </c>
      <c r="BK192">
        <f>IFERROR(INDEX(PP_Grid[#Data],$DD192,61),0)</f>
        <v/>
      </c>
      <c r="BL192">
        <f>IFERROR(INDEX(PP_Grid[#Data],$DD192,62),0)</f>
        <v/>
      </c>
      <c r="BM192">
        <f>IFERROR(INDEX(PP_Grid[#Data],$DD192,63),0)</f>
        <v/>
      </c>
      <c r="BN192">
        <f>IFERROR(INDEX(PP_Grid[#Data],$DD192,64),0)</f>
        <v/>
      </c>
      <c r="BO192">
        <f>IFERROR(INDEX(PP_Grid[#Data],$DD192,65),0)</f>
        <v/>
      </c>
      <c r="BP192">
        <f>IFERROR(INDEX(PP_Grid[#Data],$DD192,66),0)</f>
        <v/>
      </c>
      <c r="BQ192">
        <f>IFERROR(INDEX(PP_Grid[#Data],$DD192,67),0)</f>
        <v/>
      </c>
      <c r="BR192">
        <f>IFERROR(INDEX(PP_Grid[#Data],$DD192,68),0)</f>
        <v/>
      </c>
      <c r="BS192">
        <f>IFERROR(INDEX(PP_Grid[#Data],$DD192,69),0)</f>
        <v/>
      </c>
      <c r="BT192">
        <f>IFERROR(INDEX(PP_Grid[#Data],$DD192,70),0)</f>
        <v/>
      </c>
      <c r="BU192">
        <f>IFERROR(INDEX(PP_Grid[#Data],$DD192,71),0)</f>
        <v/>
      </c>
      <c r="BV192">
        <f>IFERROR(INDEX(PP_Grid[#Data],$DD192,72),0)</f>
        <v/>
      </c>
      <c r="BW192">
        <f>IFERROR(INDEX(PP_Grid[#Data],$DD192,73),0)</f>
        <v/>
      </c>
      <c r="BX192">
        <f>IFERROR(INDEX(PP_Grid[#Data],$DD192,74),0)</f>
        <v/>
      </c>
      <c r="BY192">
        <f>IFERROR(INDEX(PP_Grid[#Data],$DD192,75),0)</f>
        <v/>
      </c>
      <c r="BZ192">
        <f>IFERROR(INDEX(PP_Grid[#Data],$DD192,76),0)</f>
        <v/>
      </c>
      <c r="CA192">
        <f>IFERROR(INDEX(PP_Grid[#Data],$DD192,77),0)</f>
        <v/>
      </c>
      <c r="CB192">
        <f>IFERROR(INDEX(PP_Grid[#Data],$DD192,78),0)</f>
        <v/>
      </c>
      <c r="CC192">
        <f>IFERROR(INDEX(PP_Grid[#Data],$DD192,79),0)</f>
        <v/>
      </c>
      <c r="CD192">
        <f>IFERROR(INDEX(PP_Grid[#Data],$DD192,80),0)</f>
        <v/>
      </c>
      <c r="CE192">
        <f>IFERROR(INDEX(PP_Grid[#Data],$DD192,81),0)</f>
        <v/>
      </c>
      <c r="CF192">
        <f>IFERROR(INDEX(PP_Grid[#Data],$DD192,82),0)</f>
        <v/>
      </c>
      <c r="CG192">
        <f>IFERROR(INDEX(PP_Grid[#Data],$DD192,83),0)</f>
        <v/>
      </c>
      <c r="CH192">
        <f>IFERROR(INDEX(PP_Grid[#Data],$DD192,84),0)</f>
        <v/>
      </c>
      <c r="CI192">
        <f>IFERROR(INDEX(PP_Grid[#Data],$DD192,85),0)</f>
        <v/>
      </c>
      <c r="CJ192">
        <f>IFERROR(INDEX(PP_Grid[#Data],$DD192,86),0)</f>
        <v/>
      </c>
      <c r="CK192">
        <f>IFERROR(INDEX(PP_Grid[#Data],$DD192,87),0)</f>
        <v/>
      </c>
      <c r="CL192">
        <f>IFERROR(INDEX(PP_Grid[#Data],$DD192,88),0)</f>
        <v/>
      </c>
      <c r="CM192">
        <f>IFERROR(INDEX(PP_Grid[#Data],$DD192,89),0)</f>
        <v/>
      </c>
      <c r="CN192">
        <f>IFERROR(INDEX(PP_Grid[#Data],$DD192,90),0)</f>
        <v/>
      </c>
      <c r="CO192">
        <f>IFERROR(INDEX(PP_Grid[#Data],$DD192,91),0)</f>
        <v/>
      </c>
      <c r="CP192">
        <f>IFERROR(INDEX(PP_Grid[#Data],$DD192,92),0)</f>
        <v/>
      </c>
      <c r="CQ192">
        <f>IFERROR(INDEX(PP_Grid[#Data],$DD192,93),0)</f>
        <v/>
      </c>
      <c r="CR192">
        <f>IFERROR(INDEX(PP_Grid[#Data],$DD192,94),0)</f>
        <v/>
      </c>
      <c r="CS192">
        <f>IFERROR(INDEX(PP_Grid[#Data],$DD192,95),0)</f>
        <v/>
      </c>
      <c r="CT192">
        <f>IFERROR(INDEX(PP_Grid[#Data],$DD192,96),0)</f>
        <v/>
      </c>
      <c r="CU192">
        <f>IFERROR(INDEX(PP_Grid[#Data],$DD192,97),0)</f>
        <v/>
      </c>
      <c r="CV192">
        <f>IFERROR(INDEX(PP_Grid[#Data],$DD192,98),0)</f>
        <v/>
      </c>
      <c r="CW192">
        <f>IFERROR(INDEX(PP_Grid[#Data],$DD192,99),0)</f>
        <v/>
      </c>
      <c r="CX192">
        <f>IFERROR(INDEX(PP_Grid[#Data],$DD192,100),0)</f>
        <v/>
      </c>
      <c r="CY192">
        <f>IFERROR(INDEX(PP_Grid[#Data],$DD192,101),0)</f>
        <v/>
      </c>
      <c r="CZ192">
        <f>IFERROR(INDEX(PP_Grid[#Data],$DD192,102),0)</f>
        <v/>
      </c>
      <c r="DA192">
        <f>IFERROR(INDEX(PP_Grid[#Data],$DD192,103),0)</f>
        <v/>
      </c>
      <c r="DB192">
        <f>IFERROR(INDEX(PP_Grid[#Data],$DD192,104),0)</f>
        <v/>
      </c>
      <c r="DC192">
        <f>IFERROR(INDEX(PP_Grid[#Data],$DD192,105),0)</f>
        <v/>
      </c>
      <c r="DD192" s="7">
        <f>IFERROR(MATCH($B192,PP_Grid[Intermediate],0),99999)</f>
        <v/>
      </c>
    </row>
    <row r="193">
      <c r="B193" t="inlineStr">
        <is>
          <t>使用量(kg)</t>
        </is>
      </c>
      <c r="C193">
        <f>SUMIFS(M_BOM[RM_Qty_Per_Batch],M_BOM[Intermediate],$B192,M_BOM[Part Name],$A45)</f>
        <v/>
      </c>
      <c r="D193">
        <f>$C193*D192</f>
        <v/>
      </c>
      <c r="E193">
        <f>$C193*E192</f>
        <v/>
      </c>
      <c r="F193">
        <f>$C193*F192</f>
        <v/>
      </c>
      <c r="G193">
        <f>$C193*G192</f>
        <v/>
      </c>
      <c r="H193">
        <f>$C193*H192</f>
        <v/>
      </c>
      <c r="I193">
        <f>$C193*I192</f>
        <v/>
      </c>
      <c r="J193">
        <f>$C193*J192</f>
        <v/>
      </c>
      <c r="K193">
        <f>$C193*K192</f>
        <v/>
      </c>
      <c r="L193">
        <f>$C193*L192</f>
        <v/>
      </c>
      <c r="M193">
        <f>$C193*M192</f>
        <v/>
      </c>
      <c r="N193">
        <f>$C193*N192</f>
        <v/>
      </c>
      <c r="O193">
        <f>$C193*O192</f>
        <v/>
      </c>
      <c r="P193">
        <f>$C193*P192</f>
        <v/>
      </c>
      <c r="Q193">
        <f>$C193*Q192</f>
        <v/>
      </c>
      <c r="R193">
        <f>$C193*R192</f>
        <v/>
      </c>
      <c r="S193">
        <f>$C193*S192</f>
        <v/>
      </c>
      <c r="T193">
        <f>$C193*T192</f>
        <v/>
      </c>
      <c r="U193">
        <f>$C193*U192</f>
        <v/>
      </c>
      <c r="V193">
        <f>$C193*V192</f>
        <v/>
      </c>
      <c r="W193">
        <f>$C193*W192</f>
        <v/>
      </c>
      <c r="X193">
        <f>$C193*X192</f>
        <v/>
      </c>
      <c r="Y193">
        <f>$C193*Y192</f>
        <v/>
      </c>
      <c r="Z193">
        <f>$C193*Z192</f>
        <v/>
      </c>
      <c r="AA193">
        <f>$C193*AA192</f>
        <v/>
      </c>
      <c r="AB193">
        <f>$C193*AB192</f>
        <v/>
      </c>
      <c r="AC193">
        <f>$C193*AC192</f>
        <v/>
      </c>
      <c r="AD193">
        <f>$C193*AD192</f>
        <v/>
      </c>
      <c r="AE193">
        <f>$C193*AE192</f>
        <v/>
      </c>
      <c r="AF193">
        <f>$C193*AF192</f>
        <v/>
      </c>
      <c r="AG193">
        <f>$C193*AG192</f>
        <v/>
      </c>
      <c r="AH193">
        <f>$C193*AH192</f>
        <v/>
      </c>
      <c r="AI193">
        <f>$C193*AI192</f>
        <v/>
      </c>
      <c r="AJ193">
        <f>$C193*AJ192</f>
        <v/>
      </c>
      <c r="AK193">
        <f>$C193*AK192</f>
        <v/>
      </c>
      <c r="AL193">
        <f>$C193*AL192</f>
        <v/>
      </c>
      <c r="AM193">
        <f>$C193*AM192</f>
        <v/>
      </c>
      <c r="AN193">
        <f>$C193*AN192</f>
        <v/>
      </c>
      <c r="AO193">
        <f>$C193*AO192</f>
        <v/>
      </c>
      <c r="AP193">
        <f>$C193*AP192</f>
        <v/>
      </c>
      <c r="AQ193">
        <f>$C193*AQ192</f>
        <v/>
      </c>
      <c r="AR193">
        <f>$C193*AR192</f>
        <v/>
      </c>
      <c r="AS193">
        <f>$C193*AS192</f>
        <v/>
      </c>
      <c r="AT193">
        <f>$C193*AT192</f>
        <v/>
      </c>
      <c r="AU193">
        <f>$C193*AU192</f>
        <v/>
      </c>
      <c r="AV193">
        <f>$C193*AV192</f>
        <v/>
      </c>
      <c r="AW193">
        <f>$C193*AW192</f>
        <v/>
      </c>
      <c r="AX193">
        <f>$C193*AX192</f>
        <v/>
      </c>
      <c r="AY193">
        <f>$C193*AY192</f>
        <v/>
      </c>
      <c r="AZ193">
        <f>$C193*AZ192</f>
        <v/>
      </c>
      <c r="BA193">
        <f>$C193*BA192</f>
        <v/>
      </c>
      <c r="BB193">
        <f>$C193*BB192</f>
        <v/>
      </c>
      <c r="BC193">
        <f>$C193*BC192</f>
        <v/>
      </c>
      <c r="BD193">
        <f>$C193*BD192</f>
        <v/>
      </c>
      <c r="BE193">
        <f>$C193*BE192</f>
        <v/>
      </c>
      <c r="BF193">
        <f>$C193*BF192</f>
        <v/>
      </c>
      <c r="BG193">
        <f>$C193*BG192</f>
        <v/>
      </c>
      <c r="BH193">
        <f>$C193*BH192</f>
        <v/>
      </c>
      <c r="BI193">
        <f>$C193*BI192</f>
        <v/>
      </c>
      <c r="BJ193">
        <f>$C193*BJ192</f>
        <v/>
      </c>
      <c r="BK193">
        <f>$C193*BK192</f>
        <v/>
      </c>
      <c r="BL193">
        <f>$C193*BL192</f>
        <v/>
      </c>
      <c r="BM193">
        <f>$C193*BM192</f>
        <v/>
      </c>
      <c r="BN193">
        <f>$C193*BN192</f>
        <v/>
      </c>
      <c r="BO193">
        <f>$C193*BO192</f>
        <v/>
      </c>
      <c r="BP193">
        <f>$C193*BP192</f>
        <v/>
      </c>
      <c r="BQ193">
        <f>$C193*BQ192</f>
        <v/>
      </c>
      <c r="BR193">
        <f>$C193*BR192</f>
        <v/>
      </c>
      <c r="BS193">
        <f>$C193*BS192</f>
        <v/>
      </c>
      <c r="BT193">
        <f>$C193*BT192</f>
        <v/>
      </c>
      <c r="BU193">
        <f>$C193*BU192</f>
        <v/>
      </c>
      <c r="BV193">
        <f>$C193*BV192</f>
        <v/>
      </c>
      <c r="BW193">
        <f>$C193*BW192</f>
        <v/>
      </c>
      <c r="BX193">
        <f>$C193*BX192</f>
        <v/>
      </c>
      <c r="BY193">
        <f>$C193*BY192</f>
        <v/>
      </c>
      <c r="BZ193">
        <f>$C193*BZ192</f>
        <v/>
      </c>
      <c r="CA193">
        <f>$C193*CA192</f>
        <v/>
      </c>
      <c r="CB193">
        <f>$C193*CB192</f>
        <v/>
      </c>
      <c r="CC193">
        <f>$C193*CC192</f>
        <v/>
      </c>
      <c r="CD193">
        <f>$C193*CD192</f>
        <v/>
      </c>
      <c r="CE193">
        <f>$C193*CE192</f>
        <v/>
      </c>
      <c r="CF193">
        <f>$C193*CF192</f>
        <v/>
      </c>
      <c r="CG193">
        <f>$C193*CG192</f>
        <v/>
      </c>
      <c r="CH193">
        <f>$C193*CH192</f>
        <v/>
      </c>
      <c r="CI193">
        <f>$C193*CI192</f>
        <v/>
      </c>
      <c r="CJ193">
        <f>$C193*CJ192</f>
        <v/>
      </c>
      <c r="CK193">
        <f>$C193*CK192</f>
        <v/>
      </c>
      <c r="CL193">
        <f>$C193*CL192</f>
        <v/>
      </c>
      <c r="CM193">
        <f>$C193*CM192</f>
        <v/>
      </c>
      <c r="CN193">
        <f>$C193*CN192</f>
        <v/>
      </c>
      <c r="CO193">
        <f>$C193*CO192</f>
        <v/>
      </c>
      <c r="CP193">
        <f>$C193*CP192</f>
        <v/>
      </c>
      <c r="CQ193">
        <f>$C193*CQ192</f>
        <v/>
      </c>
      <c r="CR193">
        <f>$C193*CR192</f>
        <v/>
      </c>
      <c r="CS193">
        <f>$C193*CS192</f>
        <v/>
      </c>
      <c r="CT193">
        <f>$C193*CT192</f>
        <v/>
      </c>
      <c r="CU193">
        <f>$C193*CU192</f>
        <v/>
      </c>
      <c r="CV193">
        <f>$C193*CV192</f>
        <v/>
      </c>
      <c r="CW193">
        <f>$C193*CW192</f>
        <v/>
      </c>
      <c r="CX193">
        <f>$C193*CX192</f>
        <v/>
      </c>
      <c r="CY193">
        <f>$C193*CY192</f>
        <v/>
      </c>
      <c r="CZ193">
        <f>$C193*CZ192</f>
        <v/>
      </c>
      <c r="DA193">
        <f>$C193*DA192</f>
        <v/>
      </c>
      <c r="DB193">
        <f>$C193*DB192</f>
        <v/>
      </c>
      <c r="DC193">
        <f>$C193*DC192</f>
        <v/>
      </c>
    </row>
    <row r="194">
      <c r="B194" t="inlineStr">
        <is>
          <t>VSP-869</t>
        </is>
      </c>
      <c r="C194" t="inlineStr">
        <is>
          <t>No. of batches</t>
        </is>
      </c>
      <c r="D194">
        <f>IFERROR(INDEX(PP_Grid[#Data],$DD194,2),0)</f>
        <v/>
      </c>
      <c r="E194">
        <f>IFERROR(INDEX(PP_Grid[#Data],$DD194,3),0)</f>
        <v/>
      </c>
      <c r="F194">
        <f>IFERROR(INDEX(PP_Grid[#Data],$DD194,4),0)</f>
        <v/>
      </c>
      <c r="G194">
        <f>IFERROR(INDEX(PP_Grid[#Data],$DD194,5),0)</f>
        <v/>
      </c>
      <c r="H194">
        <f>IFERROR(INDEX(PP_Grid[#Data],$DD194,6),0)</f>
        <v/>
      </c>
      <c r="I194">
        <f>IFERROR(INDEX(PP_Grid[#Data],$DD194,7),0)</f>
        <v/>
      </c>
      <c r="J194">
        <f>IFERROR(INDEX(PP_Grid[#Data],$DD194,8),0)</f>
        <v/>
      </c>
      <c r="K194">
        <f>IFERROR(INDEX(PP_Grid[#Data],$DD194,9),0)</f>
        <v/>
      </c>
      <c r="L194">
        <f>IFERROR(INDEX(PP_Grid[#Data],$DD194,10),0)</f>
        <v/>
      </c>
      <c r="M194">
        <f>IFERROR(INDEX(PP_Grid[#Data],$DD194,11),0)</f>
        <v/>
      </c>
      <c r="N194">
        <f>IFERROR(INDEX(PP_Grid[#Data],$DD194,12),0)</f>
        <v/>
      </c>
      <c r="O194">
        <f>IFERROR(INDEX(PP_Grid[#Data],$DD194,13),0)</f>
        <v/>
      </c>
      <c r="P194">
        <f>IFERROR(INDEX(PP_Grid[#Data],$DD194,14),0)</f>
        <v/>
      </c>
      <c r="Q194">
        <f>IFERROR(INDEX(PP_Grid[#Data],$DD194,15),0)</f>
        <v/>
      </c>
      <c r="R194">
        <f>IFERROR(INDEX(PP_Grid[#Data],$DD194,16),0)</f>
        <v/>
      </c>
      <c r="S194">
        <f>IFERROR(INDEX(PP_Grid[#Data],$DD194,17),0)</f>
        <v/>
      </c>
      <c r="T194">
        <f>IFERROR(INDEX(PP_Grid[#Data],$DD194,18),0)</f>
        <v/>
      </c>
      <c r="U194">
        <f>IFERROR(INDEX(PP_Grid[#Data],$DD194,19),0)</f>
        <v/>
      </c>
      <c r="V194">
        <f>IFERROR(INDEX(PP_Grid[#Data],$DD194,20),0)</f>
        <v/>
      </c>
      <c r="W194">
        <f>IFERROR(INDEX(PP_Grid[#Data],$DD194,21),0)</f>
        <v/>
      </c>
      <c r="X194">
        <f>IFERROR(INDEX(PP_Grid[#Data],$DD194,22),0)</f>
        <v/>
      </c>
      <c r="Y194">
        <f>IFERROR(INDEX(PP_Grid[#Data],$DD194,23),0)</f>
        <v/>
      </c>
      <c r="Z194">
        <f>IFERROR(INDEX(PP_Grid[#Data],$DD194,24),0)</f>
        <v/>
      </c>
      <c r="AA194">
        <f>IFERROR(INDEX(PP_Grid[#Data],$DD194,25),0)</f>
        <v/>
      </c>
      <c r="AB194">
        <f>IFERROR(INDEX(PP_Grid[#Data],$DD194,26),0)</f>
        <v/>
      </c>
      <c r="AC194">
        <f>IFERROR(INDEX(PP_Grid[#Data],$DD194,27),0)</f>
        <v/>
      </c>
      <c r="AD194">
        <f>IFERROR(INDEX(PP_Grid[#Data],$DD194,28),0)</f>
        <v/>
      </c>
      <c r="AE194">
        <f>IFERROR(INDEX(PP_Grid[#Data],$DD194,29),0)</f>
        <v/>
      </c>
      <c r="AF194">
        <f>IFERROR(INDEX(PP_Grid[#Data],$DD194,30),0)</f>
        <v/>
      </c>
      <c r="AG194">
        <f>IFERROR(INDEX(PP_Grid[#Data],$DD194,31),0)</f>
        <v/>
      </c>
      <c r="AH194">
        <f>IFERROR(INDEX(PP_Grid[#Data],$DD194,32),0)</f>
        <v/>
      </c>
      <c r="AI194">
        <f>IFERROR(INDEX(PP_Grid[#Data],$DD194,33),0)</f>
        <v/>
      </c>
      <c r="AJ194">
        <f>IFERROR(INDEX(PP_Grid[#Data],$DD194,34),0)</f>
        <v/>
      </c>
      <c r="AK194">
        <f>IFERROR(INDEX(PP_Grid[#Data],$DD194,35),0)</f>
        <v/>
      </c>
      <c r="AL194">
        <f>IFERROR(INDEX(PP_Grid[#Data],$DD194,36),0)</f>
        <v/>
      </c>
      <c r="AM194">
        <f>IFERROR(INDEX(PP_Grid[#Data],$DD194,37),0)</f>
        <v/>
      </c>
      <c r="AN194">
        <f>IFERROR(INDEX(PP_Grid[#Data],$DD194,38),0)</f>
        <v/>
      </c>
      <c r="AO194">
        <f>IFERROR(INDEX(PP_Grid[#Data],$DD194,39),0)</f>
        <v/>
      </c>
      <c r="AP194">
        <f>IFERROR(INDEX(PP_Grid[#Data],$DD194,40),0)</f>
        <v/>
      </c>
      <c r="AQ194">
        <f>IFERROR(INDEX(PP_Grid[#Data],$DD194,41),0)</f>
        <v/>
      </c>
      <c r="AR194">
        <f>IFERROR(INDEX(PP_Grid[#Data],$DD194,42),0)</f>
        <v/>
      </c>
      <c r="AS194">
        <f>IFERROR(INDEX(PP_Grid[#Data],$DD194,43),0)</f>
        <v/>
      </c>
      <c r="AT194">
        <f>IFERROR(INDEX(PP_Grid[#Data],$DD194,44),0)</f>
        <v/>
      </c>
      <c r="AU194">
        <f>IFERROR(INDEX(PP_Grid[#Data],$DD194,45),0)</f>
        <v/>
      </c>
      <c r="AV194">
        <f>IFERROR(INDEX(PP_Grid[#Data],$DD194,46),0)</f>
        <v/>
      </c>
      <c r="AW194">
        <f>IFERROR(INDEX(PP_Grid[#Data],$DD194,47),0)</f>
        <v/>
      </c>
      <c r="AX194">
        <f>IFERROR(INDEX(PP_Grid[#Data],$DD194,48),0)</f>
        <v/>
      </c>
      <c r="AY194">
        <f>IFERROR(INDEX(PP_Grid[#Data],$DD194,49),0)</f>
        <v/>
      </c>
      <c r="AZ194">
        <f>IFERROR(INDEX(PP_Grid[#Data],$DD194,50),0)</f>
        <v/>
      </c>
      <c r="BA194">
        <f>IFERROR(INDEX(PP_Grid[#Data],$DD194,51),0)</f>
        <v/>
      </c>
      <c r="BB194">
        <f>IFERROR(INDEX(PP_Grid[#Data],$DD194,52),0)</f>
        <v/>
      </c>
      <c r="BC194">
        <f>IFERROR(INDEX(PP_Grid[#Data],$DD194,53),0)</f>
        <v/>
      </c>
      <c r="BD194">
        <f>IFERROR(INDEX(PP_Grid[#Data],$DD194,54),0)</f>
        <v/>
      </c>
      <c r="BE194">
        <f>IFERROR(INDEX(PP_Grid[#Data],$DD194,55),0)</f>
        <v/>
      </c>
      <c r="BF194">
        <f>IFERROR(INDEX(PP_Grid[#Data],$DD194,56),0)</f>
        <v/>
      </c>
      <c r="BG194">
        <f>IFERROR(INDEX(PP_Grid[#Data],$DD194,57),0)</f>
        <v/>
      </c>
      <c r="BH194">
        <f>IFERROR(INDEX(PP_Grid[#Data],$DD194,58),0)</f>
        <v/>
      </c>
      <c r="BI194">
        <f>IFERROR(INDEX(PP_Grid[#Data],$DD194,59),0)</f>
        <v/>
      </c>
      <c r="BJ194">
        <f>IFERROR(INDEX(PP_Grid[#Data],$DD194,60),0)</f>
        <v/>
      </c>
      <c r="BK194">
        <f>IFERROR(INDEX(PP_Grid[#Data],$DD194,61),0)</f>
        <v/>
      </c>
      <c r="BL194">
        <f>IFERROR(INDEX(PP_Grid[#Data],$DD194,62),0)</f>
        <v/>
      </c>
      <c r="BM194">
        <f>IFERROR(INDEX(PP_Grid[#Data],$DD194,63),0)</f>
        <v/>
      </c>
      <c r="BN194">
        <f>IFERROR(INDEX(PP_Grid[#Data],$DD194,64),0)</f>
        <v/>
      </c>
      <c r="BO194">
        <f>IFERROR(INDEX(PP_Grid[#Data],$DD194,65),0)</f>
        <v/>
      </c>
      <c r="BP194">
        <f>IFERROR(INDEX(PP_Grid[#Data],$DD194,66),0)</f>
        <v/>
      </c>
      <c r="BQ194">
        <f>IFERROR(INDEX(PP_Grid[#Data],$DD194,67),0)</f>
        <v/>
      </c>
      <c r="BR194">
        <f>IFERROR(INDEX(PP_Grid[#Data],$DD194,68),0)</f>
        <v/>
      </c>
      <c r="BS194">
        <f>IFERROR(INDEX(PP_Grid[#Data],$DD194,69),0)</f>
        <v/>
      </c>
      <c r="BT194">
        <f>IFERROR(INDEX(PP_Grid[#Data],$DD194,70),0)</f>
        <v/>
      </c>
      <c r="BU194">
        <f>IFERROR(INDEX(PP_Grid[#Data],$DD194,71),0)</f>
        <v/>
      </c>
      <c r="BV194">
        <f>IFERROR(INDEX(PP_Grid[#Data],$DD194,72),0)</f>
        <v/>
      </c>
      <c r="BW194">
        <f>IFERROR(INDEX(PP_Grid[#Data],$DD194,73),0)</f>
        <v/>
      </c>
      <c r="BX194">
        <f>IFERROR(INDEX(PP_Grid[#Data],$DD194,74),0)</f>
        <v/>
      </c>
      <c r="BY194">
        <f>IFERROR(INDEX(PP_Grid[#Data],$DD194,75),0)</f>
        <v/>
      </c>
      <c r="BZ194">
        <f>IFERROR(INDEX(PP_Grid[#Data],$DD194,76),0)</f>
        <v/>
      </c>
      <c r="CA194">
        <f>IFERROR(INDEX(PP_Grid[#Data],$DD194,77),0)</f>
        <v/>
      </c>
      <c r="CB194">
        <f>IFERROR(INDEX(PP_Grid[#Data],$DD194,78),0)</f>
        <v/>
      </c>
      <c r="CC194">
        <f>IFERROR(INDEX(PP_Grid[#Data],$DD194,79),0)</f>
        <v/>
      </c>
      <c r="CD194">
        <f>IFERROR(INDEX(PP_Grid[#Data],$DD194,80),0)</f>
        <v/>
      </c>
      <c r="CE194">
        <f>IFERROR(INDEX(PP_Grid[#Data],$DD194,81),0)</f>
        <v/>
      </c>
      <c r="CF194">
        <f>IFERROR(INDEX(PP_Grid[#Data],$DD194,82),0)</f>
        <v/>
      </c>
      <c r="CG194">
        <f>IFERROR(INDEX(PP_Grid[#Data],$DD194,83),0)</f>
        <v/>
      </c>
      <c r="CH194">
        <f>IFERROR(INDEX(PP_Grid[#Data],$DD194,84),0)</f>
        <v/>
      </c>
      <c r="CI194">
        <f>IFERROR(INDEX(PP_Grid[#Data],$DD194,85),0)</f>
        <v/>
      </c>
      <c r="CJ194">
        <f>IFERROR(INDEX(PP_Grid[#Data],$DD194,86),0)</f>
        <v/>
      </c>
      <c r="CK194">
        <f>IFERROR(INDEX(PP_Grid[#Data],$DD194,87),0)</f>
        <v/>
      </c>
      <c r="CL194">
        <f>IFERROR(INDEX(PP_Grid[#Data],$DD194,88),0)</f>
        <v/>
      </c>
      <c r="CM194">
        <f>IFERROR(INDEX(PP_Grid[#Data],$DD194,89),0)</f>
        <v/>
      </c>
      <c r="CN194">
        <f>IFERROR(INDEX(PP_Grid[#Data],$DD194,90),0)</f>
        <v/>
      </c>
      <c r="CO194">
        <f>IFERROR(INDEX(PP_Grid[#Data],$DD194,91),0)</f>
        <v/>
      </c>
      <c r="CP194">
        <f>IFERROR(INDEX(PP_Grid[#Data],$DD194,92),0)</f>
        <v/>
      </c>
      <c r="CQ194">
        <f>IFERROR(INDEX(PP_Grid[#Data],$DD194,93),0)</f>
        <v/>
      </c>
      <c r="CR194">
        <f>IFERROR(INDEX(PP_Grid[#Data],$DD194,94),0)</f>
        <v/>
      </c>
      <c r="CS194">
        <f>IFERROR(INDEX(PP_Grid[#Data],$DD194,95),0)</f>
        <v/>
      </c>
      <c r="CT194">
        <f>IFERROR(INDEX(PP_Grid[#Data],$DD194,96),0)</f>
        <v/>
      </c>
      <c r="CU194">
        <f>IFERROR(INDEX(PP_Grid[#Data],$DD194,97),0)</f>
        <v/>
      </c>
      <c r="CV194">
        <f>IFERROR(INDEX(PP_Grid[#Data],$DD194,98),0)</f>
        <v/>
      </c>
      <c r="CW194">
        <f>IFERROR(INDEX(PP_Grid[#Data],$DD194,99),0)</f>
        <v/>
      </c>
      <c r="CX194">
        <f>IFERROR(INDEX(PP_Grid[#Data],$DD194,100),0)</f>
        <v/>
      </c>
      <c r="CY194">
        <f>IFERROR(INDEX(PP_Grid[#Data],$DD194,101),0)</f>
        <v/>
      </c>
      <c r="CZ194">
        <f>IFERROR(INDEX(PP_Grid[#Data],$DD194,102),0)</f>
        <v/>
      </c>
      <c r="DA194">
        <f>IFERROR(INDEX(PP_Grid[#Data],$DD194,103),0)</f>
        <v/>
      </c>
      <c r="DB194">
        <f>IFERROR(INDEX(PP_Grid[#Data],$DD194,104),0)</f>
        <v/>
      </c>
      <c r="DC194">
        <f>IFERROR(INDEX(PP_Grid[#Data],$DD194,105),0)</f>
        <v/>
      </c>
      <c r="DD194" s="7">
        <f>IFERROR(MATCH($B194,PP_Grid[Intermediate],0),99999)</f>
        <v/>
      </c>
    </row>
    <row r="195">
      <c r="B195" t="inlineStr">
        <is>
          <t>使用量(kg)</t>
        </is>
      </c>
      <c r="C195">
        <f>SUMIFS(M_BOM[RM_Qty_Per_Batch],M_BOM[Intermediate],$B194,M_BOM[Part Name],$A45)</f>
        <v/>
      </c>
      <c r="D195">
        <f>$C195*D194</f>
        <v/>
      </c>
      <c r="E195">
        <f>$C195*E194</f>
        <v/>
      </c>
      <c r="F195">
        <f>$C195*F194</f>
        <v/>
      </c>
      <c r="G195">
        <f>$C195*G194</f>
        <v/>
      </c>
      <c r="H195">
        <f>$C195*H194</f>
        <v/>
      </c>
      <c r="I195">
        <f>$C195*I194</f>
        <v/>
      </c>
      <c r="J195">
        <f>$C195*J194</f>
        <v/>
      </c>
      <c r="K195">
        <f>$C195*K194</f>
        <v/>
      </c>
      <c r="L195">
        <f>$C195*L194</f>
        <v/>
      </c>
      <c r="M195">
        <f>$C195*M194</f>
        <v/>
      </c>
      <c r="N195">
        <f>$C195*N194</f>
        <v/>
      </c>
      <c r="O195">
        <f>$C195*O194</f>
        <v/>
      </c>
      <c r="P195">
        <f>$C195*P194</f>
        <v/>
      </c>
      <c r="Q195">
        <f>$C195*Q194</f>
        <v/>
      </c>
      <c r="R195">
        <f>$C195*R194</f>
        <v/>
      </c>
      <c r="S195">
        <f>$C195*S194</f>
        <v/>
      </c>
      <c r="T195">
        <f>$C195*T194</f>
        <v/>
      </c>
      <c r="U195">
        <f>$C195*U194</f>
        <v/>
      </c>
      <c r="V195">
        <f>$C195*V194</f>
        <v/>
      </c>
      <c r="W195">
        <f>$C195*W194</f>
        <v/>
      </c>
      <c r="X195">
        <f>$C195*X194</f>
        <v/>
      </c>
      <c r="Y195">
        <f>$C195*Y194</f>
        <v/>
      </c>
      <c r="Z195">
        <f>$C195*Z194</f>
        <v/>
      </c>
      <c r="AA195">
        <f>$C195*AA194</f>
        <v/>
      </c>
      <c r="AB195">
        <f>$C195*AB194</f>
        <v/>
      </c>
      <c r="AC195">
        <f>$C195*AC194</f>
        <v/>
      </c>
      <c r="AD195">
        <f>$C195*AD194</f>
        <v/>
      </c>
      <c r="AE195">
        <f>$C195*AE194</f>
        <v/>
      </c>
      <c r="AF195">
        <f>$C195*AF194</f>
        <v/>
      </c>
      <c r="AG195">
        <f>$C195*AG194</f>
        <v/>
      </c>
      <c r="AH195">
        <f>$C195*AH194</f>
        <v/>
      </c>
      <c r="AI195">
        <f>$C195*AI194</f>
        <v/>
      </c>
      <c r="AJ195">
        <f>$C195*AJ194</f>
        <v/>
      </c>
      <c r="AK195">
        <f>$C195*AK194</f>
        <v/>
      </c>
      <c r="AL195">
        <f>$C195*AL194</f>
        <v/>
      </c>
      <c r="AM195">
        <f>$C195*AM194</f>
        <v/>
      </c>
      <c r="AN195">
        <f>$C195*AN194</f>
        <v/>
      </c>
      <c r="AO195">
        <f>$C195*AO194</f>
        <v/>
      </c>
      <c r="AP195">
        <f>$C195*AP194</f>
        <v/>
      </c>
      <c r="AQ195">
        <f>$C195*AQ194</f>
        <v/>
      </c>
      <c r="AR195">
        <f>$C195*AR194</f>
        <v/>
      </c>
      <c r="AS195">
        <f>$C195*AS194</f>
        <v/>
      </c>
      <c r="AT195">
        <f>$C195*AT194</f>
        <v/>
      </c>
      <c r="AU195">
        <f>$C195*AU194</f>
        <v/>
      </c>
      <c r="AV195">
        <f>$C195*AV194</f>
        <v/>
      </c>
      <c r="AW195">
        <f>$C195*AW194</f>
        <v/>
      </c>
      <c r="AX195">
        <f>$C195*AX194</f>
        <v/>
      </c>
      <c r="AY195">
        <f>$C195*AY194</f>
        <v/>
      </c>
      <c r="AZ195">
        <f>$C195*AZ194</f>
        <v/>
      </c>
      <c r="BA195">
        <f>$C195*BA194</f>
        <v/>
      </c>
      <c r="BB195">
        <f>$C195*BB194</f>
        <v/>
      </c>
      <c r="BC195">
        <f>$C195*BC194</f>
        <v/>
      </c>
      <c r="BD195">
        <f>$C195*BD194</f>
        <v/>
      </c>
      <c r="BE195">
        <f>$C195*BE194</f>
        <v/>
      </c>
      <c r="BF195">
        <f>$C195*BF194</f>
        <v/>
      </c>
      <c r="BG195">
        <f>$C195*BG194</f>
        <v/>
      </c>
      <c r="BH195">
        <f>$C195*BH194</f>
        <v/>
      </c>
      <c r="BI195">
        <f>$C195*BI194</f>
        <v/>
      </c>
      <c r="BJ195">
        <f>$C195*BJ194</f>
        <v/>
      </c>
      <c r="BK195">
        <f>$C195*BK194</f>
        <v/>
      </c>
      <c r="BL195">
        <f>$C195*BL194</f>
        <v/>
      </c>
      <c r="BM195">
        <f>$C195*BM194</f>
        <v/>
      </c>
      <c r="BN195">
        <f>$C195*BN194</f>
        <v/>
      </c>
      <c r="BO195">
        <f>$C195*BO194</f>
        <v/>
      </c>
      <c r="BP195">
        <f>$C195*BP194</f>
        <v/>
      </c>
      <c r="BQ195">
        <f>$C195*BQ194</f>
        <v/>
      </c>
      <c r="BR195">
        <f>$C195*BR194</f>
        <v/>
      </c>
      <c r="BS195">
        <f>$C195*BS194</f>
        <v/>
      </c>
      <c r="BT195">
        <f>$C195*BT194</f>
        <v/>
      </c>
      <c r="BU195">
        <f>$C195*BU194</f>
        <v/>
      </c>
      <c r="BV195">
        <f>$C195*BV194</f>
        <v/>
      </c>
      <c r="BW195">
        <f>$C195*BW194</f>
        <v/>
      </c>
      <c r="BX195">
        <f>$C195*BX194</f>
        <v/>
      </c>
      <c r="BY195">
        <f>$C195*BY194</f>
        <v/>
      </c>
      <c r="BZ195">
        <f>$C195*BZ194</f>
        <v/>
      </c>
      <c r="CA195">
        <f>$C195*CA194</f>
        <v/>
      </c>
      <c r="CB195">
        <f>$C195*CB194</f>
        <v/>
      </c>
      <c r="CC195">
        <f>$C195*CC194</f>
        <v/>
      </c>
      <c r="CD195">
        <f>$C195*CD194</f>
        <v/>
      </c>
      <c r="CE195">
        <f>$C195*CE194</f>
        <v/>
      </c>
      <c r="CF195">
        <f>$C195*CF194</f>
        <v/>
      </c>
      <c r="CG195">
        <f>$C195*CG194</f>
        <v/>
      </c>
      <c r="CH195">
        <f>$C195*CH194</f>
        <v/>
      </c>
      <c r="CI195">
        <f>$C195*CI194</f>
        <v/>
      </c>
      <c r="CJ195">
        <f>$C195*CJ194</f>
        <v/>
      </c>
      <c r="CK195">
        <f>$C195*CK194</f>
        <v/>
      </c>
      <c r="CL195">
        <f>$C195*CL194</f>
        <v/>
      </c>
      <c r="CM195">
        <f>$C195*CM194</f>
        <v/>
      </c>
      <c r="CN195">
        <f>$C195*CN194</f>
        <v/>
      </c>
      <c r="CO195">
        <f>$C195*CO194</f>
        <v/>
      </c>
      <c r="CP195">
        <f>$C195*CP194</f>
        <v/>
      </c>
      <c r="CQ195">
        <f>$C195*CQ194</f>
        <v/>
      </c>
      <c r="CR195">
        <f>$C195*CR194</f>
        <v/>
      </c>
      <c r="CS195">
        <f>$C195*CS194</f>
        <v/>
      </c>
      <c r="CT195">
        <f>$C195*CT194</f>
        <v/>
      </c>
      <c r="CU195">
        <f>$C195*CU194</f>
        <v/>
      </c>
      <c r="CV195">
        <f>$C195*CV194</f>
        <v/>
      </c>
      <c r="CW195">
        <f>$C195*CW194</f>
        <v/>
      </c>
      <c r="CX195">
        <f>$C195*CX194</f>
        <v/>
      </c>
      <c r="CY195">
        <f>$C195*CY194</f>
        <v/>
      </c>
      <c r="CZ195">
        <f>$C195*CZ194</f>
        <v/>
      </c>
      <c r="DA195">
        <f>$C195*DA194</f>
        <v/>
      </c>
      <c r="DB195">
        <f>$C195*DB194</f>
        <v/>
      </c>
      <c r="DC195">
        <f>$C195*DC194</f>
        <v/>
      </c>
    </row>
    <row r="196">
      <c r="B196" t="inlineStr">
        <is>
          <t>VSP-870</t>
        </is>
      </c>
      <c r="C196" t="inlineStr">
        <is>
          <t>No. of batches</t>
        </is>
      </c>
      <c r="D196">
        <f>IFERROR(INDEX(PP_Grid[#Data],$DD196,2),0)</f>
        <v/>
      </c>
      <c r="E196">
        <f>IFERROR(INDEX(PP_Grid[#Data],$DD196,3),0)</f>
        <v/>
      </c>
      <c r="F196">
        <f>IFERROR(INDEX(PP_Grid[#Data],$DD196,4),0)</f>
        <v/>
      </c>
      <c r="G196">
        <f>IFERROR(INDEX(PP_Grid[#Data],$DD196,5),0)</f>
        <v/>
      </c>
      <c r="H196">
        <f>IFERROR(INDEX(PP_Grid[#Data],$DD196,6),0)</f>
        <v/>
      </c>
      <c r="I196">
        <f>IFERROR(INDEX(PP_Grid[#Data],$DD196,7),0)</f>
        <v/>
      </c>
      <c r="J196">
        <f>IFERROR(INDEX(PP_Grid[#Data],$DD196,8),0)</f>
        <v/>
      </c>
      <c r="K196">
        <f>IFERROR(INDEX(PP_Grid[#Data],$DD196,9),0)</f>
        <v/>
      </c>
      <c r="L196">
        <f>IFERROR(INDEX(PP_Grid[#Data],$DD196,10),0)</f>
        <v/>
      </c>
      <c r="M196">
        <f>IFERROR(INDEX(PP_Grid[#Data],$DD196,11),0)</f>
        <v/>
      </c>
      <c r="N196">
        <f>IFERROR(INDEX(PP_Grid[#Data],$DD196,12),0)</f>
        <v/>
      </c>
      <c r="O196">
        <f>IFERROR(INDEX(PP_Grid[#Data],$DD196,13),0)</f>
        <v/>
      </c>
      <c r="P196">
        <f>IFERROR(INDEX(PP_Grid[#Data],$DD196,14),0)</f>
        <v/>
      </c>
      <c r="Q196">
        <f>IFERROR(INDEX(PP_Grid[#Data],$DD196,15),0)</f>
        <v/>
      </c>
      <c r="R196">
        <f>IFERROR(INDEX(PP_Grid[#Data],$DD196,16),0)</f>
        <v/>
      </c>
      <c r="S196">
        <f>IFERROR(INDEX(PP_Grid[#Data],$DD196,17),0)</f>
        <v/>
      </c>
      <c r="T196">
        <f>IFERROR(INDEX(PP_Grid[#Data],$DD196,18),0)</f>
        <v/>
      </c>
      <c r="U196">
        <f>IFERROR(INDEX(PP_Grid[#Data],$DD196,19),0)</f>
        <v/>
      </c>
      <c r="V196">
        <f>IFERROR(INDEX(PP_Grid[#Data],$DD196,20),0)</f>
        <v/>
      </c>
      <c r="W196">
        <f>IFERROR(INDEX(PP_Grid[#Data],$DD196,21),0)</f>
        <v/>
      </c>
      <c r="X196">
        <f>IFERROR(INDEX(PP_Grid[#Data],$DD196,22),0)</f>
        <v/>
      </c>
      <c r="Y196">
        <f>IFERROR(INDEX(PP_Grid[#Data],$DD196,23),0)</f>
        <v/>
      </c>
      <c r="Z196">
        <f>IFERROR(INDEX(PP_Grid[#Data],$DD196,24),0)</f>
        <v/>
      </c>
      <c r="AA196">
        <f>IFERROR(INDEX(PP_Grid[#Data],$DD196,25),0)</f>
        <v/>
      </c>
      <c r="AB196">
        <f>IFERROR(INDEX(PP_Grid[#Data],$DD196,26),0)</f>
        <v/>
      </c>
      <c r="AC196">
        <f>IFERROR(INDEX(PP_Grid[#Data],$DD196,27),0)</f>
        <v/>
      </c>
      <c r="AD196">
        <f>IFERROR(INDEX(PP_Grid[#Data],$DD196,28),0)</f>
        <v/>
      </c>
      <c r="AE196">
        <f>IFERROR(INDEX(PP_Grid[#Data],$DD196,29),0)</f>
        <v/>
      </c>
      <c r="AF196">
        <f>IFERROR(INDEX(PP_Grid[#Data],$DD196,30),0)</f>
        <v/>
      </c>
      <c r="AG196">
        <f>IFERROR(INDEX(PP_Grid[#Data],$DD196,31),0)</f>
        <v/>
      </c>
      <c r="AH196">
        <f>IFERROR(INDEX(PP_Grid[#Data],$DD196,32),0)</f>
        <v/>
      </c>
      <c r="AI196">
        <f>IFERROR(INDEX(PP_Grid[#Data],$DD196,33),0)</f>
        <v/>
      </c>
      <c r="AJ196">
        <f>IFERROR(INDEX(PP_Grid[#Data],$DD196,34),0)</f>
        <v/>
      </c>
      <c r="AK196">
        <f>IFERROR(INDEX(PP_Grid[#Data],$DD196,35),0)</f>
        <v/>
      </c>
      <c r="AL196">
        <f>IFERROR(INDEX(PP_Grid[#Data],$DD196,36),0)</f>
        <v/>
      </c>
      <c r="AM196">
        <f>IFERROR(INDEX(PP_Grid[#Data],$DD196,37),0)</f>
        <v/>
      </c>
      <c r="AN196">
        <f>IFERROR(INDEX(PP_Grid[#Data],$DD196,38),0)</f>
        <v/>
      </c>
      <c r="AO196">
        <f>IFERROR(INDEX(PP_Grid[#Data],$DD196,39),0)</f>
        <v/>
      </c>
      <c r="AP196">
        <f>IFERROR(INDEX(PP_Grid[#Data],$DD196,40),0)</f>
        <v/>
      </c>
      <c r="AQ196">
        <f>IFERROR(INDEX(PP_Grid[#Data],$DD196,41),0)</f>
        <v/>
      </c>
      <c r="AR196">
        <f>IFERROR(INDEX(PP_Grid[#Data],$DD196,42),0)</f>
        <v/>
      </c>
      <c r="AS196">
        <f>IFERROR(INDEX(PP_Grid[#Data],$DD196,43),0)</f>
        <v/>
      </c>
      <c r="AT196">
        <f>IFERROR(INDEX(PP_Grid[#Data],$DD196,44),0)</f>
        <v/>
      </c>
      <c r="AU196">
        <f>IFERROR(INDEX(PP_Grid[#Data],$DD196,45),0)</f>
        <v/>
      </c>
      <c r="AV196">
        <f>IFERROR(INDEX(PP_Grid[#Data],$DD196,46),0)</f>
        <v/>
      </c>
      <c r="AW196">
        <f>IFERROR(INDEX(PP_Grid[#Data],$DD196,47),0)</f>
        <v/>
      </c>
      <c r="AX196">
        <f>IFERROR(INDEX(PP_Grid[#Data],$DD196,48),0)</f>
        <v/>
      </c>
      <c r="AY196">
        <f>IFERROR(INDEX(PP_Grid[#Data],$DD196,49),0)</f>
        <v/>
      </c>
      <c r="AZ196">
        <f>IFERROR(INDEX(PP_Grid[#Data],$DD196,50),0)</f>
        <v/>
      </c>
      <c r="BA196">
        <f>IFERROR(INDEX(PP_Grid[#Data],$DD196,51),0)</f>
        <v/>
      </c>
      <c r="BB196">
        <f>IFERROR(INDEX(PP_Grid[#Data],$DD196,52),0)</f>
        <v/>
      </c>
      <c r="BC196">
        <f>IFERROR(INDEX(PP_Grid[#Data],$DD196,53),0)</f>
        <v/>
      </c>
      <c r="BD196">
        <f>IFERROR(INDEX(PP_Grid[#Data],$DD196,54),0)</f>
        <v/>
      </c>
      <c r="BE196">
        <f>IFERROR(INDEX(PP_Grid[#Data],$DD196,55),0)</f>
        <v/>
      </c>
      <c r="BF196">
        <f>IFERROR(INDEX(PP_Grid[#Data],$DD196,56),0)</f>
        <v/>
      </c>
      <c r="BG196">
        <f>IFERROR(INDEX(PP_Grid[#Data],$DD196,57),0)</f>
        <v/>
      </c>
      <c r="BH196">
        <f>IFERROR(INDEX(PP_Grid[#Data],$DD196,58),0)</f>
        <v/>
      </c>
      <c r="BI196">
        <f>IFERROR(INDEX(PP_Grid[#Data],$DD196,59),0)</f>
        <v/>
      </c>
      <c r="BJ196">
        <f>IFERROR(INDEX(PP_Grid[#Data],$DD196,60),0)</f>
        <v/>
      </c>
      <c r="BK196">
        <f>IFERROR(INDEX(PP_Grid[#Data],$DD196,61),0)</f>
        <v/>
      </c>
      <c r="BL196">
        <f>IFERROR(INDEX(PP_Grid[#Data],$DD196,62),0)</f>
        <v/>
      </c>
      <c r="BM196">
        <f>IFERROR(INDEX(PP_Grid[#Data],$DD196,63),0)</f>
        <v/>
      </c>
      <c r="BN196">
        <f>IFERROR(INDEX(PP_Grid[#Data],$DD196,64),0)</f>
        <v/>
      </c>
      <c r="BO196">
        <f>IFERROR(INDEX(PP_Grid[#Data],$DD196,65),0)</f>
        <v/>
      </c>
      <c r="BP196">
        <f>IFERROR(INDEX(PP_Grid[#Data],$DD196,66),0)</f>
        <v/>
      </c>
      <c r="BQ196">
        <f>IFERROR(INDEX(PP_Grid[#Data],$DD196,67),0)</f>
        <v/>
      </c>
      <c r="BR196">
        <f>IFERROR(INDEX(PP_Grid[#Data],$DD196,68),0)</f>
        <v/>
      </c>
      <c r="BS196">
        <f>IFERROR(INDEX(PP_Grid[#Data],$DD196,69),0)</f>
        <v/>
      </c>
      <c r="BT196">
        <f>IFERROR(INDEX(PP_Grid[#Data],$DD196,70),0)</f>
        <v/>
      </c>
      <c r="BU196">
        <f>IFERROR(INDEX(PP_Grid[#Data],$DD196,71),0)</f>
        <v/>
      </c>
      <c r="BV196">
        <f>IFERROR(INDEX(PP_Grid[#Data],$DD196,72),0)</f>
        <v/>
      </c>
      <c r="BW196">
        <f>IFERROR(INDEX(PP_Grid[#Data],$DD196,73),0)</f>
        <v/>
      </c>
      <c r="BX196">
        <f>IFERROR(INDEX(PP_Grid[#Data],$DD196,74),0)</f>
        <v/>
      </c>
      <c r="BY196">
        <f>IFERROR(INDEX(PP_Grid[#Data],$DD196,75),0)</f>
        <v/>
      </c>
      <c r="BZ196">
        <f>IFERROR(INDEX(PP_Grid[#Data],$DD196,76),0)</f>
        <v/>
      </c>
      <c r="CA196">
        <f>IFERROR(INDEX(PP_Grid[#Data],$DD196,77),0)</f>
        <v/>
      </c>
      <c r="CB196">
        <f>IFERROR(INDEX(PP_Grid[#Data],$DD196,78),0)</f>
        <v/>
      </c>
      <c r="CC196">
        <f>IFERROR(INDEX(PP_Grid[#Data],$DD196,79),0)</f>
        <v/>
      </c>
      <c r="CD196">
        <f>IFERROR(INDEX(PP_Grid[#Data],$DD196,80),0)</f>
        <v/>
      </c>
      <c r="CE196">
        <f>IFERROR(INDEX(PP_Grid[#Data],$DD196,81),0)</f>
        <v/>
      </c>
      <c r="CF196">
        <f>IFERROR(INDEX(PP_Grid[#Data],$DD196,82),0)</f>
        <v/>
      </c>
      <c r="CG196">
        <f>IFERROR(INDEX(PP_Grid[#Data],$DD196,83),0)</f>
        <v/>
      </c>
      <c r="CH196">
        <f>IFERROR(INDEX(PP_Grid[#Data],$DD196,84),0)</f>
        <v/>
      </c>
      <c r="CI196">
        <f>IFERROR(INDEX(PP_Grid[#Data],$DD196,85),0)</f>
        <v/>
      </c>
      <c r="CJ196">
        <f>IFERROR(INDEX(PP_Grid[#Data],$DD196,86),0)</f>
        <v/>
      </c>
      <c r="CK196">
        <f>IFERROR(INDEX(PP_Grid[#Data],$DD196,87),0)</f>
        <v/>
      </c>
      <c r="CL196">
        <f>IFERROR(INDEX(PP_Grid[#Data],$DD196,88),0)</f>
        <v/>
      </c>
      <c r="CM196">
        <f>IFERROR(INDEX(PP_Grid[#Data],$DD196,89),0)</f>
        <v/>
      </c>
      <c r="CN196">
        <f>IFERROR(INDEX(PP_Grid[#Data],$DD196,90),0)</f>
        <v/>
      </c>
      <c r="CO196">
        <f>IFERROR(INDEX(PP_Grid[#Data],$DD196,91),0)</f>
        <v/>
      </c>
      <c r="CP196">
        <f>IFERROR(INDEX(PP_Grid[#Data],$DD196,92),0)</f>
        <v/>
      </c>
      <c r="CQ196">
        <f>IFERROR(INDEX(PP_Grid[#Data],$DD196,93),0)</f>
        <v/>
      </c>
      <c r="CR196">
        <f>IFERROR(INDEX(PP_Grid[#Data],$DD196,94),0)</f>
        <v/>
      </c>
      <c r="CS196">
        <f>IFERROR(INDEX(PP_Grid[#Data],$DD196,95),0)</f>
        <v/>
      </c>
      <c r="CT196">
        <f>IFERROR(INDEX(PP_Grid[#Data],$DD196,96),0)</f>
        <v/>
      </c>
      <c r="CU196">
        <f>IFERROR(INDEX(PP_Grid[#Data],$DD196,97),0)</f>
        <v/>
      </c>
      <c r="CV196">
        <f>IFERROR(INDEX(PP_Grid[#Data],$DD196,98),0)</f>
        <v/>
      </c>
      <c r="CW196">
        <f>IFERROR(INDEX(PP_Grid[#Data],$DD196,99),0)</f>
        <v/>
      </c>
      <c r="CX196">
        <f>IFERROR(INDEX(PP_Grid[#Data],$DD196,100),0)</f>
        <v/>
      </c>
      <c r="CY196">
        <f>IFERROR(INDEX(PP_Grid[#Data],$DD196,101),0)</f>
        <v/>
      </c>
      <c r="CZ196">
        <f>IFERROR(INDEX(PP_Grid[#Data],$DD196,102),0)</f>
        <v/>
      </c>
      <c r="DA196">
        <f>IFERROR(INDEX(PP_Grid[#Data],$DD196,103),0)</f>
        <v/>
      </c>
      <c r="DB196">
        <f>IFERROR(INDEX(PP_Grid[#Data],$DD196,104),0)</f>
        <v/>
      </c>
      <c r="DC196">
        <f>IFERROR(INDEX(PP_Grid[#Data],$DD196,105),0)</f>
        <v/>
      </c>
      <c r="DD196" s="7">
        <f>IFERROR(MATCH($B196,PP_Grid[Intermediate],0),99999)</f>
        <v/>
      </c>
    </row>
    <row r="197">
      <c r="B197" t="inlineStr">
        <is>
          <t>使用量(kg)</t>
        </is>
      </c>
      <c r="C197">
        <f>SUMIFS(M_BOM[RM_Qty_Per_Batch],M_BOM[Intermediate],$B196,M_BOM[Part Name],$A45)</f>
        <v/>
      </c>
      <c r="D197">
        <f>$C197*D196</f>
        <v/>
      </c>
      <c r="E197">
        <f>$C197*E196</f>
        <v/>
      </c>
      <c r="F197">
        <f>$C197*F196</f>
        <v/>
      </c>
      <c r="G197">
        <f>$C197*G196</f>
        <v/>
      </c>
      <c r="H197">
        <f>$C197*H196</f>
        <v/>
      </c>
      <c r="I197">
        <f>$C197*I196</f>
        <v/>
      </c>
      <c r="J197">
        <f>$C197*J196</f>
        <v/>
      </c>
      <c r="K197">
        <f>$C197*K196</f>
        <v/>
      </c>
      <c r="L197">
        <f>$C197*L196</f>
        <v/>
      </c>
      <c r="M197">
        <f>$C197*M196</f>
        <v/>
      </c>
      <c r="N197">
        <f>$C197*N196</f>
        <v/>
      </c>
      <c r="O197">
        <f>$C197*O196</f>
        <v/>
      </c>
      <c r="P197">
        <f>$C197*P196</f>
        <v/>
      </c>
      <c r="Q197">
        <f>$C197*Q196</f>
        <v/>
      </c>
      <c r="R197">
        <f>$C197*R196</f>
        <v/>
      </c>
      <c r="S197">
        <f>$C197*S196</f>
        <v/>
      </c>
      <c r="T197">
        <f>$C197*T196</f>
        <v/>
      </c>
      <c r="U197">
        <f>$C197*U196</f>
        <v/>
      </c>
      <c r="V197">
        <f>$C197*V196</f>
        <v/>
      </c>
      <c r="W197">
        <f>$C197*W196</f>
        <v/>
      </c>
      <c r="X197">
        <f>$C197*X196</f>
        <v/>
      </c>
      <c r="Y197">
        <f>$C197*Y196</f>
        <v/>
      </c>
      <c r="Z197">
        <f>$C197*Z196</f>
        <v/>
      </c>
      <c r="AA197">
        <f>$C197*AA196</f>
        <v/>
      </c>
      <c r="AB197">
        <f>$C197*AB196</f>
        <v/>
      </c>
      <c r="AC197">
        <f>$C197*AC196</f>
        <v/>
      </c>
      <c r="AD197">
        <f>$C197*AD196</f>
        <v/>
      </c>
      <c r="AE197">
        <f>$C197*AE196</f>
        <v/>
      </c>
      <c r="AF197">
        <f>$C197*AF196</f>
        <v/>
      </c>
      <c r="AG197">
        <f>$C197*AG196</f>
        <v/>
      </c>
      <c r="AH197">
        <f>$C197*AH196</f>
        <v/>
      </c>
      <c r="AI197">
        <f>$C197*AI196</f>
        <v/>
      </c>
      <c r="AJ197">
        <f>$C197*AJ196</f>
        <v/>
      </c>
      <c r="AK197">
        <f>$C197*AK196</f>
        <v/>
      </c>
      <c r="AL197">
        <f>$C197*AL196</f>
        <v/>
      </c>
      <c r="AM197">
        <f>$C197*AM196</f>
        <v/>
      </c>
      <c r="AN197">
        <f>$C197*AN196</f>
        <v/>
      </c>
      <c r="AO197">
        <f>$C197*AO196</f>
        <v/>
      </c>
      <c r="AP197">
        <f>$C197*AP196</f>
        <v/>
      </c>
      <c r="AQ197">
        <f>$C197*AQ196</f>
        <v/>
      </c>
      <c r="AR197">
        <f>$C197*AR196</f>
        <v/>
      </c>
      <c r="AS197">
        <f>$C197*AS196</f>
        <v/>
      </c>
      <c r="AT197">
        <f>$C197*AT196</f>
        <v/>
      </c>
      <c r="AU197">
        <f>$C197*AU196</f>
        <v/>
      </c>
      <c r="AV197">
        <f>$C197*AV196</f>
        <v/>
      </c>
      <c r="AW197">
        <f>$C197*AW196</f>
        <v/>
      </c>
      <c r="AX197">
        <f>$C197*AX196</f>
        <v/>
      </c>
      <c r="AY197">
        <f>$C197*AY196</f>
        <v/>
      </c>
      <c r="AZ197">
        <f>$C197*AZ196</f>
        <v/>
      </c>
      <c r="BA197">
        <f>$C197*BA196</f>
        <v/>
      </c>
      <c r="BB197">
        <f>$C197*BB196</f>
        <v/>
      </c>
      <c r="BC197">
        <f>$C197*BC196</f>
        <v/>
      </c>
      <c r="BD197">
        <f>$C197*BD196</f>
        <v/>
      </c>
      <c r="BE197">
        <f>$C197*BE196</f>
        <v/>
      </c>
      <c r="BF197">
        <f>$C197*BF196</f>
        <v/>
      </c>
      <c r="BG197">
        <f>$C197*BG196</f>
        <v/>
      </c>
      <c r="BH197">
        <f>$C197*BH196</f>
        <v/>
      </c>
      <c r="BI197">
        <f>$C197*BI196</f>
        <v/>
      </c>
      <c r="BJ197">
        <f>$C197*BJ196</f>
        <v/>
      </c>
      <c r="BK197">
        <f>$C197*BK196</f>
        <v/>
      </c>
      <c r="BL197">
        <f>$C197*BL196</f>
        <v/>
      </c>
      <c r="BM197">
        <f>$C197*BM196</f>
        <v/>
      </c>
      <c r="BN197">
        <f>$C197*BN196</f>
        <v/>
      </c>
      <c r="BO197">
        <f>$C197*BO196</f>
        <v/>
      </c>
      <c r="BP197">
        <f>$C197*BP196</f>
        <v/>
      </c>
      <c r="BQ197">
        <f>$C197*BQ196</f>
        <v/>
      </c>
      <c r="BR197">
        <f>$C197*BR196</f>
        <v/>
      </c>
      <c r="BS197">
        <f>$C197*BS196</f>
        <v/>
      </c>
      <c r="BT197">
        <f>$C197*BT196</f>
        <v/>
      </c>
      <c r="BU197">
        <f>$C197*BU196</f>
        <v/>
      </c>
      <c r="BV197">
        <f>$C197*BV196</f>
        <v/>
      </c>
      <c r="BW197">
        <f>$C197*BW196</f>
        <v/>
      </c>
      <c r="BX197">
        <f>$C197*BX196</f>
        <v/>
      </c>
      <c r="BY197">
        <f>$C197*BY196</f>
        <v/>
      </c>
      <c r="BZ197">
        <f>$C197*BZ196</f>
        <v/>
      </c>
      <c r="CA197">
        <f>$C197*CA196</f>
        <v/>
      </c>
      <c r="CB197">
        <f>$C197*CB196</f>
        <v/>
      </c>
      <c r="CC197">
        <f>$C197*CC196</f>
        <v/>
      </c>
      <c r="CD197">
        <f>$C197*CD196</f>
        <v/>
      </c>
      <c r="CE197">
        <f>$C197*CE196</f>
        <v/>
      </c>
      <c r="CF197">
        <f>$C197*CF196</f>
        <v/>
      </c>
      <c r="CG197">
        <f>$C197*CG196</f>
        <v/>
      </c>
      <c r="CH197">
        <f>$C197*CH196</f>
        <v/>
      </c>
      <c r="CI197">
        <f>$C197*CI196</f>
        <v/>
      </c>
      <c r="CJ197">
        <f>$C197*CJ196</f>
        <v/>
      </c>
      <c r="CK197">
        <f>$C197*CK196</f>
        <v/>
      </c>
      <c r="CL197">
        <f>$C197*CL196</f>
        <v/>
      </c>
      <c r="CM197">
        <f>$C197*CM196</f>
        <v/>
      </c>
      <c r="CN197">
        <f>$C197*CN196</f>
        <v/>
      </c>
      <c r="CO197">
        <f>$C197*CO196</f>
        <v/>
      </c>
      <c r="CP197">
        <f>$C197*CP196</f>
        <v/>
      </c>
      <c r="CQ197">
        <f>$C197*CQ196</f>
        <v/>
      </c>
      <c r="CR197">
        <f>$C197*CR196</f>
        <v/>
      </c>
      <c r="CS197">
        <f>$C197*CS196</f>
        <v/>
      </c>
      <c r="CT197">
        <f>$C197*CT196</f>
        <v/>
      </c>
      <c r="CU197">
        <f>$C197*CU196</f>
        <v/>
      </c>
      <c r="CV197">
        <f>$C197*CV196</f>
        <v/>
      </c>
      <c r="CW197">
        <f>$C197*CW196</f>
        <v/>
      </c>
      <c r="CX197">
        <f>$C197*CX196</f>
        <v/>
      </c>
      <c r="CY197">
        <f>$C197*CY196</f>
        <v/>
      </c>
      <c r="CZ197">
        <f>$C197*CZ196</f>
        <v/>
      </c>
      <c r="DA197">
        <f>$C197*DA196</f>
        <v/>
      </c>
      <c r="DB197">
        <f>$C197*DB196</f>
        <v/>
      </c>
      <c r="DC197">
        <f>$C197*DC196</f>
        <v/>
      </c>
    </row>
    <row r="198">
      <c r="B198" t="inlineStr">
        <is>
          <t>VSP-910</t>
        </is>
      </c>
      <c r="C198" t="inlineStr">
        <is>
          <t>No. of batches</t>
        </is>
      </c>
      <c r="D198">
        <f>IFERROR(INDEX(PP_Grid[#Data],$DD198,2),0)</f>
        <v/>
      </c>
      <c r="E198">
        <f>IFERROR(INDEX(PP_Grid[#Data],$DD198,3),0)</f>
        <v/>
      </c>
      <c r="F198">
        <f>IFERROR(INDEX(PP_Grid[#Data],$DD198,4),0)</f>
        <v/>
      </c>
      <c r="G198">
        <f>IFERROR(INDEX(PP_Grid[#Data],$DD198,5),0)</f>
        <v/>
      </c>
      <c r="H198">
        <f>IFERROR(INDEX(PP_Grid[#Data],$DD198,6),0)</f>
        <v/>
      </c>
      <c r="I198">
        <f>IFERROR(INDEX(PP_Grid[#Data],$DD198,7),0)</f>
        <v/>
      </c>
      <c r="J198">
        <f>IFERROR(INDEX(PP_Grid[#Data],$DD198,8),0)</f>
        <v/>
      </c>
      <c r="K198">
        <f>IFERROR(INDEX(PP_Grid[#Data],$DD198,9),0)</f>
        <v/>
      </c>
      <c r="L198">
        <f>IFERROR(INDEX(PP_Grid[#Data],$DD198,10),0)</f>
        <v/>
      </c>
      <c r="M198">
        <f>IFERROR(INDEX(PP_Grid[#Data],$DD198,11),0)</f>
        <v/>
      </c>
      <c r="N198">
        <f>IFERROR(INDEX(PP_Grid[#Data],$DD198,12),0)</f>
        <v/>
      </c>
      <c r="O198">
        <f>IFERROR(INDEX(PP_Grid[#Data],$DD198,13),0)</f>
        <v/>
      </c>
      <c r="P198">
        <f>IFERROR(INDEX(PP_Grid[#Data],$DD198,14),0)</f>
        <v/>
      </c>
      <c r="Q198">
        <f>IFERROR(INDEX(PP_Grid[#Data],$DD198,15),0)</f>
        <v/>
      </c>
      <c r="R198">
        <f>IFERROR(INDEX(PP_Grid[#Data],$DD198,16),0)</f>
        <v/>
      </c>
      <c r="S198">
        <f>IFERROR(INDEX(PP_Grid[#Data],$DD198,17),0)</f>
        <v/>
      </c>
      <c r="T198">
        <f>IFERROR(INDEX(PP_Grid[#Data],$DD198,18),0)</f>
        <v/>
      </c>
      <c r="U198">
        <f>IFERROR(INDEX(PP_Grid[#Data],$DD198,19),0)</f>
        <v/>
      </c>
      <c r="V198">
        <f>IFERROR(INDEX(PP_Grid[#Data],$DD198,20),0)</f>
        <v/>
      </c>
      <c r="W198">
        <f>IFERROR(INDEX(PP_Grid[#Data],$DD198,21),0)</f>
        <v/>
      </c>
      <c r="X198">
        <f>IFERROR(INDEX(PP_Grid[#Data],$DD198,22),0)</f>
        <v/>
      </c>
      <c r="Y198">
        <f>IFERROR(INDEX(PP_Grid[#Data],$DD198,23),0)</f>
        <v/>
      </c>
      <c r="Z198">
        <f>IFERROR(INDEX(PP_Grid[#Data],$DD198,24),0)</f>
        <v/>
      </c>
      <c r="AA198">
        <f>IFERROR(INDEX(PP_Grid[#Data],$DD198,25),0)</f>
        <v/>
      </c>
      <c r="AB198">
        <f>IFERROR(INDEX(PP_Grid[#Data],$DD198,26),0)</f>
        <v/>
      </c>
      <c r="AC198">
        <f>IFERROR(INDEX(PP_Grid[#Data],$DD198,27),0)</f>
        <v/>
      </c>
      <c r="AD198">
        <f>IFERROR(INDEX(PP_Grid[#Data],$DD198,28),0)</f>
        <v/>
      </c>
      <c r="AE198">
        <f>IFERROR(INDEX(PP_Grid[#Data],$DD198,29),0)</f>
        <v/>
      </c>
      <c r="AF198">
        <f>IFERROR(INDEX(PP_Grid[#Data],$DD198,30),0)</f>
        <v/>
      </c>
      <c r="AG198">
        <f>IFERROR(INDEX(PP_Grid[#Data],$DD198,31),0)</f>
        <v/>
      </c>
      <c r="AH198">
        <f>IFERROR(INDEX(PP_Grid[#Data],$DD198,32),0)</f>
        <v/>
      </c>
      <c r="AI198">
        <f>IFERROR(INDEX(PP_Grid[#Data],$DD198,33),0)</f>
        <v/>
      </c>
      <c r="AJ198">
        <f>IFERROR(INDEX(PP_Grid[#Data],$DD198,34),0)</f>
        <v/>
      </c>
      <c r="AK198">
        <f>IFERROR(INDEX(PP_Grid[#Data],$DD198,35),0)</f>
        <v/>
      </c>
      <c r="AL198">
        <f>IFERROR(INDEX(PP_Grid[#Data],$DD198,36),0)</f>
        <v/>
      </c>
      <c r="AM198">
        <f>IFERROR(INDEX(PP_Grid[#Data],$DD198,37),0)</f>
        <v/>
      </c>
      <c r="AN198">
        <f>IFERROR(INDEX(PP_Grid[#Data],$DD198,38),0)</f>
        <v/>
      </c>
      <c r="AO198">
        <f>IFERROR(INDEX(PP_Grid[#Data],$DD198,39),0)</f>
        <v/>
      </c>
      <c r="AP198">
        <f>IFERROR(INDEX(PP_Grid[#Data],$DD198,40),0)</f>
        <v/>
      </c>
      <c r="AQ198">
        <f>IFERROR(INDEX(PP_Grid[#Data],$DD198,41),0)</f>
        <v/>
      </c>
      <c r="AR198">
        <f>IFERROR(INDEX(PP_Grid[#Data],$DD198,42),0)</f>
        <v/>
      </c>
      <c r="AS198">
        <f>IFERROR(INDEX(PP_Grid[#Data],$DD198,43),0)</f>
        <v/>
      </c>
      <c r="AT198">
        <f>IFERROR(INDEX(PP_Grid[#Data],$DD198,44),0)</f>
        <v/>
      </c>
      <c r="AU198">
        <f>IFERROR(INDEX(PP_Grid[#Data],$DD198,45),0)</f>
        <v/>
      </c>
      <c r="AV198">
        <f>IFERROR(INDEX(PP_Grid[#Data],$DD198,46),0)</f>
        <v/>
      </c>
      <c r="AW198">
        <f>IFERROR(INDEX(PP_Grid[#Data],$DD198,47),0)</f>
        <v/>
      </c>
      <c r="AX198">
        <f>IFERROR(INDEX(PP_Grid[#Data],$DD198,48),0)</f>
        <v/>
      </c>
      <c r="AY198">
        <f>IFERROR(INDEX(PP_Grid[#Data],$DD198,49),0)</f>
        <v/>
      </c>
      <c r="AZ198">
        <f>IFERROR(INDEX(PP_Grid[#Data],$DD198,50),0)</f>
        <v/>
      </c>
      <c r="BA198">
        <f>IFERROR(INDEX(PP_Grid[#Data],$DD198,51),0)</f>
        <v/>
      </c>
      <c r="BB198">
        <f>IFERROR(INDEX(PP_Grid[#Data],$DD198,52),0)</f>
        <v/>
      </c>
      <c r="BC198">
        <f>IFERROR(INDEX(PP_Grid[#Data],$DD198,53),0)</f>
        <v/>
      </c>
      <c r="BD198">
        <f>IFERROR(INDEX(PP_Grid[#Data],$DD198,54),0)</f>
        <v/>
      </c>
      <c r="BE198">
        <f>IFERROR(INDEX(PP_Grid[#Data],$DD198,55),0)</f>
        <v/>
      </c>
      <c r="BF198">
        <f>IFERROR(INDEX(PP_Grid[#Data],$DD198,56),0)</f>
        <v/>
      </c>
      <c r="BG198">
        <f>IFERROR(INDEX(PP_Grid[#Data],$DD198,57),0)</f>
        <v/>
      </c>
      <c r="BH198">
        <f>IFERROR(INDEX(PP_Grid[#Data],$DD198,58),0)</f>
        <v/>
      </c>
      <c r="BI198">
        <f>IFERROR(INDEX(PP_Grid[#Data],$DD198,59),0)</f>
        <v/>
      </c>
      <c r="BJ198">
        <f>IFERROR(INDEX(PP_Grid[#Data],$DD198,60),0)</f>
        <v/>
      </c>
      <c r="BK198">
        <f>IFERROR(INDEX(PP_Grid[#Data],$DD198,61),0)</f>
        <v/>
      </c>
      <c r="BL198">
        <f>IFERROR(INDEX(PP_Grid[#Data],$DD198,62),0)</f>
        <v/>
      </c>
      <c r="BM198">
        <f>IFERROR(INDEX(PP_Grid[#Data],$DD198,63),0)</f>
        <v/>
      </c>
      <c r="BN198">
        <f>IFERROR(INDEX(PP_Grid[#Data],$DD198,64),0)</f>
        <v/>
      </c>
      <c r="BO198">
        <f>IFERROR(INDEX(PP_Grid[#Data],$DD198,65),0)</f>
        <v/>
      </c>
      <c r="BP198">
        <f>IFERROR(INDEX(PP_Grid[#Data],$DD198,66),0)</f>
        <v/>
      </c>
      <c r="BQ198">
        <f>IFERROR(INDEX(PP_Grid[#Data],$DD198,67),0)</f>
        <v/>
      </c>
      <c r="BR198">
        <f>IFERROR(INDEX(PP_Grid[#Data],$DD198,68),0)</f>
        <v/>
      </c>
      <c r="BS198">
        <f>IFERROR(INDEX(PP_Grid[#Data],$DD198,69),0)</f>
        <v/>
      </c>
      <c r="BT198">
        <f>IFERROR(INDEX(PP_Grid[#Data],$DD198,70),0)</f>
        <v/>
      </c>
      <c r="BU198">
        <f>IFERROR(INDEX(PP_Grid[#Data],$DD198,71),0)</f>
        <v/>
      </c>
      <c r="BV198">
        <f>IFERROR(INDEX(PP_Grid[#Data],$DD198,72),0)</f>
        <v/>
      </c>
      <c r="BW198">
        <f>IFERROR(INDEX(PP_Grid[#Data],$DD198,73),0)</f>
        <v/>
      </c>
      <c r="BX198">
        <f>IFERROR(INDEX(PP_Grid[#Data],$DD198,74),0)</f>
        <v/>
      </c>
      <c r="BY198">
        <f>IFERROR(INDEX(PP_Grid[#Data],$DD198,75),0)</f>
        <v/>
      </c>
      <c r="BZ198">
        <f>IFERROR(INDEX(PP_Grid[#Data],$DD198,76),0)</f>
        <v/>
      </c>
      <c r="CA198">
        <f>IFERROR(INDEX(PP_Grid[#Data],$DD198,77),0)</f>
        <v/>
      </c>
      <c r="CB198">
        <f>IFERROR(INDEX(PP_Grid[#Data],$DD198,78),0)</f>
        <v/>
      </c>
      <c r="CC198">
        <f>IFERROR(INDEX(PP_Grid[#Data],$DD198,79),0)</f>
        <v/>
      </c>
      <c r="CD198">
        <f>IFERROR(INDEX(PP_Grid[#Data],$DD198,80),0)</f>
        <v/>
      </c>
      <c r="CE198">
        <f>IFERROR(INDEX(PP_Grid[#Data],$DD198,81),0)</f>
        <v/>
      </c>
      <c r="CF198">
        <f>IFERROR(INDEX(PP_Grid[#Data],$DD198,82),0)</f>
        <v/>
      </c>
      <c r="CG198">
        <f>IFERROR(INDEX(PP_Grid[#Data],$DD198,83),0)</f>
        <v/>
      </c>
      <c r="CH198">
        <f>IFERROR(INDEX(PP_Grid[#Data],$DD198,84),0)</f>
        <v/>
      </c>
      <c r="CI198">
        <f>IFERROR(INDEX(PP_Grid[#Data],$DD198,85),0)</f>
        <v/>
      </c>
      <c r="CJ198">
        <f>IFERROR(INDEX(PP_Grid[#Data],$DD198,86),0)</f>
        <v/>
      </c>
      <c r="CK198">
        <f>IFERROR(INDEX(PP_Grid[#Data],$DD198,87),0)</f>
        <v/>
      </c>
      <c r="CL198">
        <f>IFERROR(INDEX(PP_Grid[#Data],$DD198,88),0)</f>
        <v/>
      </c>
      <c r="CM198">
        <f>IFERROR(INDEX(PP_Grid[#Data],$DD198,89),0)</f>
        <v/>
      </c>
      <c r="CN198">
        <f>IFERROR(INDEX(PP_Grid[#Data],$DD198,90),0)</f>
        <v/>
      </c>
      <c r="CO198">
        <f>IFERROR(INDEX(PP_Grid[#Data],$DD198,91),0)</f>
        <v/>
      </c>
      <c r="CP198">
        <f>IFERROR(INDEX(PP_Grid[#Data],$DD198,92),0)</f>
        <v/>
      </c>
      <c r="CQ198">
        <f>IFERROR(INDEX(PP_Grid[#Data],$DD198,93),0)</f>
        <v/>
      </c>
      <c r="CR198">
        <f>IFERROR(INDEX(PP_Grid[#Data],$DD198,94),0)</f>
        <v/>
      </c>
      <c r="CS198">
        <f>IFERROR(INDEX(PP_Grid[#Data],$DD198,95),0)</f>
        <v/>
      </c>
      <c r="CT198">
        <f>IFERROR(INDEX(PP_Grid[#Data],$DD198,96),0)</f>
        <v/>
      </c>
      <c r="CU198">
        <f>IFERROR(INDEX(PP_Grid[#Data],$DD198,97),0)</f>
        <v/>
      </c>
      <c r="CV198">
        <f>IFERROR(INDEX(PP_Grid[#Data],$DD198,98),0)</f>
        <v/>
      </c>
      <c r="CW198">
        <f>IFERROR(INDEX(PP_Grid[#Data],$DD198,99),0)</f>
        <v/>
      </c>
      <c r="CX198">
        <f>IFERROR(INDEX(PP_Grid[#Data],$DD198,100),0)</f>
        <v/>
      </c>
      <c r="CY198">
        <f>IFERROR(INDEX(PP_Grid[#Data],$DD198,101),0)</f>
        <v/>
      </c>
      <c r="CZ198">
        <f>IFERROR(INDEX(PP_Grid[#Data],$DD198,102),0)</f>
        <v/>
      </c>
      <c r="DA198">
        <f>IFERROR(INDEX(PP_Grid[#Data],$DD198,103),0)</f>
        <v/>
      </c>
      <c r="DB198">
        <f>IFERROR(INDEX(PP_Grid[#Data],$DD198,104),0)</f>
        <v/>
      </c>
      <c r="DC198">
        <f>IFERROR(INDEX(PP_Grid[#Data],$DD198,105),0)</f>
        <v/>
      </c>
      <c r="DD198" s="7">
        <f>IFERROR(MATCH($B198,PP_Grid[Intermediate],0),99999)</f>
        <v/>
      </c>
    </row>
    <row r="199">
      <c r="B199" t="inlineStr">
        <is>
          <t>使用量(kg)</t>
        </is>
      </c>
      <c r="C199">
        <f>SUMIFS(M_BOM[RM_Qty_Per_Batch],M_BOM[Intermediate],$B198,M_BOM[Part Name],$A45)</f>
        <v/>
      </c>
      <c r="D199">
        <f>$C199*D198</f>
        <v/>
      </c>
      <c r="E199">
        <f>$C199*E198</f>
        <v/>
      </c>
      <c r="F199">
        <f>$C199*F198</f>
        <v/>
      </c>
      <c r="G199">
        <f>$C199*G198</f>
        <v/>
      </c>
      <c r="H199">
        <f>$C199*H198</f>
        <v/>
      </c>
      <c r="I199">
        <f>$C199*I198</f>
        <v/>
      </c>
      <c r="J199">
        <f>$C199*J198</f>
        <v/>
      </c>
      <c r="K199">
        <f>$C199*K198</f>
        <v/>
      </c>
      <c r="L199">
        <f>$C199*L198</f>
        <v/>
      </c>
      <c r="M199">
        <f>$C199*M198</f>
        <v/>
      </c>
      <c r="N199">
        <f>$C199*N198</f>
        <v/>
      </c>
      <c r="O199">
        <f>$C199*O198</f>
        <v/>
      </c>
      <c r="P199">
        <f>$C199*P198</f>
        <v/>
      </c>
      <c r="Q199">
        <f>$C199*Q198</f>
        <v/>
      </c>
      <c r="R199">
        <f>$C199*R198</f>
        <v/>
      </c>
      <c r="S199">
        <f>$C199*S198</f>
        <v/>
      </c>
      <c r="T199">
        <f>$C199*T198</f>
        <v/>
      </c>
      <c r="U199">
        <f>$C199*U198</f>
        <v/>
      </c>
      <c r="V199">
        <f>$C199*V198</f>
        <v/>
      </c>
      <c r="W199">
        <f>$C199*W198</f>
        <v/>
      </c>
      <c r="X199">
        <f>$C199*X198</f>
        <v/>
      </c>
      <c r="Y199">
        <f>$C199*Y198</f>
        <v/>
      </c>
      <c r="Z199">
        <f>$C199*Z198</f>
        <v/>
      </c>
      <c r="AA199">
        <f>$C199*AA198</f>
        <v/>
      </c>
      <c r="AB199">
        <f>$C199*AB198</f>
        <v/>
      </c>
      <c r="AC199">
        <f>$C199*AC198</f>
        <v/>
      </c>
      <c r="AD199">
        <f>$C199*AD198</f>
        <v/>
      </c>
      <c r="AE199">
        <f>$C199*AE198</f>
        <v/>
      </c>
      <c r="AF199">
        <f>$C199*AF198</f>
        <v/>
      </c>
      <c r="AG199">
        <f>$C199*AG198</f>
        <v/>
      </c>
      <c r="AH199">
        <f>$C199*AH198</f>
        <v/>
      </c>
      <c r="AI199">
        <f>$C199*AI198</f>
        <v/>
      </c>
      <c r="AJ199">
        <f>$C199*AJ198</f>
        <v/>
      </c>
      <c r="AK199">
        <f>$C199*AK198</f>
        <v/>
      </c>
      <c r="AL199">
        <f>$C199*AL198</f>
        <v/>
      </c>
      <c r="AM199">
        <f>$C199*AM198</f>
        <v/>
      </c>
      <c r="AN199">
        <f>$C199*AN198</f>
        <v/>
      </c>
      <c r="AO199">
        <f>$C199*AO198</f>
        <v/>
      </c>
      <c r="AP199">
        <f>$C199*AP198</f>
        <v/>
      </c>
      <c r="AQ199">
        <f>$C199*AQ198</f>
        <v/>
      </c>
      <c r="AR199">
        <f>$C199*AR198</f>
        <v/>
      </c>
      <c r="AS199">
        <f>$C199*AS198</f>
        <v/>
      </c>
      <c r="AT199">
        <f>$C199*AT198</f>
        <v/>
      </c>
      <c r="AU199">
        <f>$C199*AU198</f>
        <v/>
      </c>
      <c r="AV199">
        <f>$C199*AV198</f>
        <v/>
      </c>
      <c r="AW199">
        <f>$C199*AW198</f>
        <v/>
      </c>
      <c r="AX199">
        <f>$C199*AX198</f>
        <v/>
      </c>
      <c r="AY199">
        <f>$C199*AY198</f>
        <v/>
      </c>
      <c r="AZ199">
        <f>$C199*AZ198</f>
        <v/>
      </c>
      <c r="BA199">
        <f>$C199*BA198</f>
        <v/>
      </c>
      <c r="BB199">
        <f>$C199*BB198</f>
        <v/>
      </c>
      <c r="BC199">
        <f>$C199*BC198</f>
        <v/>
      </c>
      <c r="BD199">
        <f>$C199*BD198</f>
        <v/>
      </c>
      <c r="BE199">
        <f>$C199*BE198</f>
        <v/>
      </c>
      <c r="BF199">
        <f>$C199*BF198</f>
        <v/>
      </c>
      <c r="BG199">
        <f>$C199*BG198</f>
        <v/>
      </c>
      <c r="BH199">
        <f>$C199*BH198</f>
        <v/>
      </c>
      <c r="BI199">
        <f>$C199*BI198</f>
        <v/>
      </c>
      <c r="BJ199">
        <f>$C199*BJ198</f>
        <v/>
      </c>
      <c r="BK199">
        <f>$C199*BK198</f>
        <v/>
      </c>
      <c r="BL199">
        <f>$C199*BL198</f>
        <v/>
      </c>
      <c r="BM199">
        <f>$C199*BM198</f>
        <v/>
      </c>
      <c r="BN199">
        <f>$C199*BN198</f>
        <v/>
      </c>
      <c r="BO199">
        <f>$C199*BO198</f>
        <v/>
      </c>
      <c r="BP199">
        <f>$C199*BP198</f>
        <v/>
      </c>
      <c r="BQ199">
        <f>$C199*BQ198</f>
        <v/>
      </c>
      <c r="BR199">
        <f>$C199*BR198</f>
        <v/>
      </c>
      <c r="BS199">
        <f>$C199*BS198</f>
        <v/>
      </c>
      <c r="BT199">
        <f>$C199*BT198</f>
        <v/>
      </c>
      <c r="BU199">
        <f>$C199*BU198</f>
        <v/>
      </c>
      <c r="BV199">
        <f>$C199*BV198</f>
        <v/>
      </c>
      <c r="BW199">
        <f>$C199*BW198</f>
        <v/>
      </c>
      <c r="BX199">
        <f>$C199*BX198</f>
        <v/>
      </c>
      <c r="BY199">
        <f>$C199*BY198</f>
        <v/>
      </c>
      <c r="BZ199">
        <f>$C199*BZ198</f>
        <v/>
      </c>
      <c r="CA199">
        <f>$C199*CA198</f>
        <v/>
      </c>
      <c r="CB199">
        <f>$C199*CB198</f>
        <v/>
      </c>
      <c r="CC199">
        <f>$C199*CC198</f>
        <v/>
      </c>
      <c r="CD199">
        <f>$C199*CD198</f>
        <v/>
      </c>
      <c r="CE199">
        <f>$C199*CE198</f>
        <v/>
      </c>
      <c r="CF199">
        <f>$C199*CF198</f>
        <v/>
      </c>
      <c r="CG199">
        <f>$C199*CG198</f>
        <v/>
      </c>
      <c r="CH199">
        <f>$C199*CH198</f>
        <v/>
      </c>
      <c r="CI199">
        <f>$C199*CI198</f>
        <v/>
      </c>
      <c r="CJ199">
        <f>$C199*CJ198</f>
        <v/>
      </c>
      <c r="CK199">
        <f>$C199*CK198</f>
        <v/>
      </c>
      <c r="CL199">
        <f>$C199*CL198</f>
        <v/>
      </c>
      <c r="CM199">
        <f>$C199*CM198</f>
        <v/>
      </c>
      <c r="CN199">
        <f>$C199*CN198</f>
        <v/>
      </c>
      <c r="CO199">
        <f>$C199*CO198</f>
        <v/>
      </c>
      <c r="CP199">
        <f>$C199*CP198</f>
        <v/>
      </c>
      <c r="CQ199">
        <f>$C199*CQ198</f>
        <v/>
      </c>
      <c r="CR199">
        <f>$C199*CR198</f>
        <v/>
      </c>
      <c r="CS199">
        <f>$C199*CS198</f>
        <v/>
      </c>
      <c r="CT199">
        <f>$C199*CT198</f>
        <v/>
      </c>
      <c r="CU199">
        <f>$C199*CU198</f>
        <v/>
      </c>
      <c r="CV199">
        <f>$C199*CV198</f>
        <v/>
      </c>
      <c r="CW199">
        <f>$C199*CW198</f>
        <v/>
      </c>
      <c r="CX199">
        <f>$C199*CX198</f>
        <v/>
      </c>
      <c r="CY199">
        <f>$C199*CY198</f>
        <v/>
      </c>
      <c r="CZ199">
        <f>$C199*CZ198</f>
        <v/>
      </c>
      <c r="DA199">
        <f>$C199*DA198</f>
        <v/>
      </c>
      <c r="DB199">
        <f>$C199*DB198</f>
        <v/>
      </c>
      <c r="DC199">
        <f>$C199*DC198</f>
        <v/>
      </c>
    </row>
    <row r="200">
      <c r="B200" t="inlineStr">
        <is>
          <t>VSP-989</t>
        </is>
      </c>
      <c r="C200" t="inlineStr">
        <is>
          <t>No. of batches</t>
        </is>
      </c>
      <c r="D200">
        <f>IFERROR(INDEX(PP_Grid[#Data],$DD200,2),0)</f>
        <v/>
      </c>
      <c r="E200">
        <f>IFERROR(INDEX(PP_Grid[#Data],$DD200,3),0)</f>
        <v/>
      </c>
      <c r="F200">
        <f>IFERROR(INDEX(PP_Grid[#Data],$DD200,4),0)</f>
        <v/>
      </c>
      <c r="G200">
        <f>IFERROR(INDEX(PP_Grid[#Data],$DD200,5),0)</f>
        <v/>
      </c>
      <c r="H200">
        <f>IFERROR(INDEX(PP_Grid[#Data],$DD200,6),0)</f>
        <v/>
      </c>
      <c r="I200">
        <f>IFERROR(INDEX(PP_Grid[#Data],$DD200,7),0)</f>
        <v/>
      </c>
      <c r="J200">
        <f>IFERROR(INDEX(PP_Grid[#Data],$DD200,8),0)</f>
        <v/>
      </c>
      <c r="K200">
        <f>IFERROR(INDEX(PP_Grid[#Data],$DD200,9),0)</f>
        <v/>
      </c>
      <c r="L200">
        <f>IFERROR(INDEX(PP_Grid[#Data],$DD200,10),0)</f>
        <v/>
      </c>
      <c r="M200">
        <f>IFERROR(INDEX(PP_Grid[#Data],$DD200,11),0)</f>
        <v/>
      </c>
      <c r="N200">
        <f>IFERROR(INDEX(PP_Grid[#Data],$DD200,12),0)</f>
        <v/>
      </c>
      <c r="O200">
        <f>IFERROR(INDEX(PP_Grid[#Data],$DD200,13),0)</f>
        <v/>
      </c>
      <c r="P200">
        <f>IFERROR(INDEX(PP_Grid[#Data],$DD200,14),0)</f>
        <v/>
      </c>
      <c r="Q200">
        <f>IFERROR(INDEX(PP_Grid[#Data],$DD200,15),0)</f>
        <v/>
      </c>
      <c r="R200">
        <f>IFERROR(INDEX(PP_Grid[#Data],$DD200,16),0)</f>
        <v/>
      </c>
      <c r="S200">
        <f>IFERROR(INDEX(PP_Grid[#Data],$DD200,17),0)</f>
        <v/>
      </c>
      <c r="T200">
        <f>IFERROR(INDEX(PP_Grid[#Data],$DD200,18),0)</f>
        <v/>
      </c>
      <c r="U200">
        <f>IFERROR(INDEX(PP_Grid[#Data],$DD200,19),0)</f>
        <v/>
      </c>
      <c r="V200">
        <f>IFERROR(INDEX(PP_Grid[#Data],$DD200,20),0)</f>
        <v/>
      </c>
      <c r="W200">
        <f>IFERROR(INDEX(PP_Grid[#Data],$DD200,21),0)</f>
        <v/>
      </c>
      <c r="X200">
        <f>IFERROR(INDEX(PP_Grid[#Data],$DD200,22),0)</f>
        <v/>
      </c>
      <c r="Y200">
        <f>IFERROR(INDEX(PP_Grid[#Data],$DD200,23),0)</f>
        <v/>
      </c>
      <c r="Z200">
        <f>IFERROR(INDEX(PP_Grid[#Data],$DD200,24),0)</f>
        <v/>
      </c>
      <c r="AA200">
        <f>IFERROR(INDEX(PP_Grid[#Data],$DD200,25),0)</f>
        <v/>
      </c>
      <c r="AB200">
        <f>IFERROR(INDEX(PP_Grid[#Data],$DD200,26),0)</f>
        <v/>
      </c>
      <c r="AC200">
        <f>IFERROR(INDEX(PP_Grid[#Data],$DD200,27),0)</f>
        <v/>
      </c>
      <c r="AD200">
        <f>IFERROR(INDEX(PP_Grid[#Data],$DD200,28),0)</f>
        <v/>
      </c>
      <c r="AE200">
        <f>IFERROR(INDEX(PP_Grid[#Data],$DD200,29),0)</f>
        <v/>
      </c>
      <c r="AF200">
        <f>IFERROR(INDEX(PP_Grid[#Data],$DD200,30),0)</f>
        <v/>
      </c>
      <c r="AG200">
        <f>IFERROR(INDEX(PP_Grid[#Data],$DD200,31),0)</f>
        <v/>
      </c>
      <c r="AH200">
        <f>IFERROR(INDEX(PP_Grid[#Data],$DD200,32),0)</f>
        <v/>
      </c>
      <c r="AI200">
        <f>IFERROR(INDEX(PP_Grid[#Data],$DD200,33),0)</f>
        <v/>
      </c>
      <c r="AJ200">
        <f>IFERROR(INDEX(PP_Grid[#Data],$DD200,34),0)</f>
        <v/>
      </c>
      <c r="AK200">
        <f>IFERROR(INDEX(PP_Grid[#Data],$DD200,35),0)</f>
        <v/>
      </c>
      <c r="AL200">
        <f>IFERROR(INDEX(PP_Grid[#Data],$DD200,36),0)</f>
        <v/>
      </c>
      <c r="AM200">
        <f>IFERROR(INDEX(PP_Grid[#Data],$DD200,37),0)</f>
        <v/>
      </c>
      <c r="AN200">
        <f>IFERROR(INDEX(PP_Grid[#Data],$DD200,38),0)</f>
        <v/>
      </c>
      <c r="AO200">
        <f>IFERROR(INDEX(PP_Grid[#Data],$DD200,39),0)</f>
        <v/>
      </c>
      <c r="AP200">
        <f>IFERROR(INDEX(PP_Grid[#Data],$DD200,40),0)</f>
        <v/>
      </c>
      <c r="AQ200">
        <f>IFERROR(INDEX(PP_Grid[#Data],$DD200,41),0)</f>
        <v/>
      </c>
      <c r="AR200">
        <f>IFERROR(INDEX(PP_Grid[#Data],$DD200,42),0)</f>
        <v/>
      </c>
      <c r="AS200">
        <f>IFERROR(INDEX(PP_Grid[#Data],$DD200,43),0)</f>
        <v/>
      </c>
      <c r="AT200">
        <f>IFERROR(INDEX(PP_Grid[#Data],$DD200,44),0)</f>
        <v/>
      </c>
      <c r="AU200">
        <f>IFERROR(INDEX(PP_Grid[#Data],$DD200,45),0)</f>
        <v/>
      </c>
      <c r="AV200">
        <f>IFERROR(INDEX(PP_Grid[#Data],$DD200,46),0)</f>
        <v/>
      </c>
      <c r="AW200">
        <f>IFERROR(INDEX(PP_Grid[#Data],$DD200,47),0)</f>
        <v/>
      </c>
      <c r="AX200">
        <f>IFERROR(INDEX(PP_Grid[#Data],$DD200,48),0)</f>
        <v/>
      </c>
      <c r="AY200">
        <f>IFERROR(INDEX(PP_Grid[#Data],$DD200,49),0)</f>
        <v/>
      </c>
      <c r="AZ200">
        <f>IFERROR(INDEX(PP_Grid[#Data],$DD200,50),0)</f>
        <v/>
      </c>
      <c r="BA200">
        <f>IFERROR(INDEX(PP_Grid[#Data],$DD200,51),0)</f>
        <v/>
      </c>
      <c r="BB200">
        <f>IFERROR(INDEX(PP_Grid[#Data],$DD200,52),0)</f>
        <v/>
      </c>
      <c r="BC200">
        <f>IFERROR(INDEX(PP_Grid[#Data],$DD200,53),0)</f>
        <v/>
      </c>
      <c r="BD200">
        <f>IFERROR(INDEX(PP_Grid[#Data],$DD200,54),0)</f>
        <v/>
      </c>
      <c r="BE200">
        <f>IFERROR(INDEX(PP_Grid[#Data],$DD200,55),0)</f>
        <v/>
      </c>
      <c r="BF200">
        <f>IFERROR(INDEX(PP_Grid[#Data],$DD200,56),0)</f>
        <v/>
      </c>
      <c r="BG200">
        <f>IFERROR(INDEX(PP_Grid[#Data],$DD200,57),0)</f>
        <v/>
      </c>
      <c r="BH200">
        <f>IFERROR(INDEX(PP_Grid[#Data],$DD200,58),0)</f>
        <v/>
      </c>
      <c r="BI200">
        <f>IFERROR(INDEX(PP_Grid[#Data],$DD200,59),0)</f>
        <v/>
      </c>
      <c r="BJ200">
        <f>IFERROR(INDEX(PP_Grid[#Data],$DD200,60),0)</f>
        <v/>
      </c>
      <c r="BK200">
        <f>IFERROR(INDEX(PP_Grid[#Data],$DD200,61),0)</f>
        <v/>
      </c>
      <c r="BL200">
        <f>IFERROR(INDEX(PP_Grid[#Data],$DD200,62),0)</f>
        <v/>
      </c>
      <c r="BM200">
        <f>IFERROR(INDEX(PP_Grid[#Data],$DD200,63),0)</f>
        <v/>
      </c>
      <c r="BN200">
        <f>IFERROR(INDEX(PP_Grid[#Data],$DD200,64),0)</f>
        <v/>
      </c>
      <c r="BO200">
        <f>IFERROR(INDEX(PP_Grid[#Data],$DD200,65),0)</f>
        <v/>
      </c>
      <c r="BP200">
        <f>IFERROR(INDEX(PP_Grid[#Data],$DD200,66),0)</f>
        <v/>
      </c>
      <c r="BQ200">
        <f>IFERROR(INDEX(PP_Grid[#Data],$DD200,67),0)</f>
        <v/>
      </c>
      <c r="BR200">
        <f>IFERROR(INDEX(PP_Grid[#Data],$DD200,68),0)</f>
        <v/>
      </c>
      <c r="BS200">
        <f>IFERROR(INDEX(PP_Grid[#Data],$DD200,69),0)</f>
        <v/>
      </c>
      <c r="BT200">
        <f>IFERROR(INDEX(PP_Grid[#Data],$DD200,70),0)</f>
        <v/>
      </c>
      <c r="BU200">
        <f>IFERROR(INDEX(PP_Grid[#Data],$DD200,71),0)</f>
        <v/>
      </c>
      <c r="BV200">
        <f>IFERROR(INDEX(PP_Grid[#Data],$DD200,72),0)</f>
        <v/>
      </c>
      <c r="BW200">
        <f>IFERROR(INDEX(PP_Grid[#Data],$DD200,73),0)</f>
        <v/>
      </c>
      <c r="BX200">
        <f>IFERROR(INDEX(PP_Grid[#Data],$DD200,74),0)</f>
        <v/>
      </c>
      <c r="BY200">
        <f>IFERROR(INDEX(PP_Grid[#Data],$DD200,75),0)</f>
        <v/>
      </c>
      <c r="BZ200">
        <f>IFERROR(INDEX(PP_Grid[#Data],$DD200,76),0)</f>
        <v/>
      </c>
      <c r="CA200">
        <f>IFERROR(INDEX(PP_Grid[#Data],$DD200,77),0)</f>
        <v/>
      </c>
      <c r="CB200">
        <f>IFERROR(INDEX(PP_Grid[#Data],$DD200,78),0)</f>
        <v/>
      </c>
      <c r="CC200">
        <f>IFERROR(INDEX(PP_Grid[#Data],$DD200,79),0)</f>
        <v/>
      </c>
      <c r="CD200">
        <f>IFERROR(INDEX(PP_Grid[#Data],$DD200,80),0)</f>
        <v/>
      </c>
      <c r="CE200">
        <f>IFERROR(INDEX(PP_Grid[#Data],$DD200,81),0)</f>
        <v/>
      </c>
      <c r="CF200">
        <f>IFERROR(INDEX(PP_Grid[#Data],$DD200,82),0)</f>
        <v/>
      </c>
      <c r="CG200">
        <f>IFERROR(INDEX(PP_Grid[#Data],$DD200,83),0)</f>
        <v/>
      </c>
      <c r="CH200">
        <f>IFERROR(INDEX(PP_Grid[#Data],$DD200,84),0)</f>
        <v/>
      </c>
      <c r="CI200">
        <f>IFERROR(INDEX(PP_Grid[#Data],$DD200,85),0)</f>
        <v/>
      </c>
      <c r="CJ200">
        <f>IFERROR(INDEX(PP_Grid[#Data],$DD200,86),0)</f>
        <v/>
      </c>
      <c r="CK200">
        <f>IFERROR(INDEX(PP_Grid[#Data],$DD200,87),0)</f>
        <v/>
      </c>
      <c r="CL200">
        <f>IFERROR(INDEX(PP_Grid[#Data],$DD200,88),0)</f>
        <v/>
      </c>
      <c r="CM200">
        <f>IFERROR(INDEX(PP_Grid[#Data],$DD200,89),0)</f>
        <v/>
      </c>
      <c r="CN200">
        <f>IFERROR(INDEX(PP_Grid[#Data],$DD200,90),0)</f>
        <v/>
      </c>
      <c r="CO200">
        <f>IFERROR(INDEX(PP_Grid[#Data],$DD200,91),0)</f>
        <v/>
      </c>
      <c r="CP200">
        <f>IFERROR(INDEX(PP_Grid[#Data],$DD200,92),0)</f>
        <v/>
      </c>
      <c r="CQ200">
        <f>IFERROR(INDEX(PP_Grid[#Data],$DD200,93),0)</f>
        <v/>
      </c>
      <c r="CR200">
        <f>IFERROR(INDEX(PP_Grid[#Data],$DD200,94),0)</f>
        <v/>
      </c>
      <c r="CS200">
        <f>IFERROR(INDEX(PP_Grid[#Data],$DD200,95),0)</f>
        <v/>
      </c>
      <c r="CT200">
        <f>IFERROR(INDEX(PP_Grid[#Data],$DD200,96),0)</f>
        <v/>
      </c>
      <c r="CU200">
        <f>IFERROR(INDEX(PP_Grid[#Data],$DD200,97),0)</f>
        <v/>
      </c>
      <c r="CV200">
        <f>IFERROR(INDEX(PP_Grid[#Data],$DD200,98),0)</f>
        <v/>
      </c>
      <c r="CW200">
        <f>IFERROR(INDEX(PP_Grid[#Data],$DD200,99),0)</f>
        <v/>
      </c>
      <c r="CX200">
        <f>IFERROR(INDEX(PP_Grid[#Data],$DD200,100),0)</f>
        <v/>
      </c>
      <c r="CY200">
        <f>IFERROR(INDEX(PP_Grid[#Data],$DD200,101),0)</f>
        <v/>
      </c>
      <c r="CZ200">
        <f>IFERROR(INDEX(PP_Grid[#Data],$DD200,102),0)</f>
        <v/>
      </c>
      <c r="DA200">
        <f>IFERROR(INDEX(PP_Grid[#Data],$DD200,103),0)</f>
        <v/>
      </c>
      <c r="DB200">
        <f>IFERROR(INDEX(PP_Grid[#Data],$DD200,104),0)</f>
        <v/>
      </c>
      <c r="DC200">
        <f>IFERROR(INDEX(PP_Grid[#Data],$DD200,105),0)</f>
        <v/>
      </c>
      <c r="DD200" s="7">
        <f>IFERROR(MATCH($B200,PP_Grid[Intermediate],0),99999)</f>
        <v/>
      </c>
    </row>
    <row r="201">
      <c r="B201" t="inlineStr">
        <is>
          <t>使用量(kg)</t>
        </is>
      </c>
      <c r="C201">
        <f>SUMIFS(M_BOM[RM_Qty_Per_Batch],M_BOM[Intermediate],$B200,M_BOM[Part Name],$A45)</f>
        <v/>
      </c>
      <c r="D201">
        <f>$C201*D200</f>
        <v/>
      </c>
      <c r="E201">
        <f>$C201*E200</f>
        <v/>
      </c>
      <c r="F201">
        <f>$C201*F200</f>
        <v/>
      </c>
      <c r="G201">
        <f>$C201*G200</f>
        <v/>
      </c>
      <c r="H201">
        <f>$C201*H200</f>
        <v/>
      </c>
      <c r="I201">
        <f>$C201*I200</f>
        <v/>
      </c>
      <c r="J201">
        <f>$C201*J200</f>
        <v/>
      </c>
      <c r="K201">
        <f>$C201*K200</f>
        <v/>
      </c>
      <c r="L201">
        <f>$C201*L200</f>
        <v/>
      </c>
      <c r="M201">
        <f>$C201*M200</f>
        <v/>
      </c>
      <c r="N201">
        <f>$C201*N200</f>
        <v/>
      </c>
      <c r="O201">
        <f>$C201*O200</f>
        <v/>
      </c>
      <c r="P201">
        <f>$C201*P200</f>
        <v/>
      </c>
      <c r="Q201">
        <f>$C201*Q200</f>
        <v/>
      </c>
      <c r="R201">
        <f>$C201*R200</f>
        <v/>
      </c>
      <c r="S201">
        <f>$C201*S200</f>
        <v/>
      </c>
      <c r="T201">
        <f>$C201*T200</f>
        <v/>
      </c>
      <c r="U201">
        <f>$C201*U200</f>
        <v/>
      </c>
      <c r="V201">
        <f>$C201*V200</f>
        <v/>
      </c>
      <c r="W201">
        <f>$C201*W200</f>
        <v/>
      </c>
      <c r="X201">
        <f>$C201*X200</f>
        <v/>
      </c>
      <c r="Y201">
        <f>$C201*Y200</f>
        <v/>
      </c>
      <c r="Z201">
        <f>$C201*Z200</f>
        <v/>
      </c>
      <c r="AA201">
        <f>$C201*AA200</f>
        <v/>
      </c>
      <c r="AB201">
        <f>$C201*AB200</f>
        <v/>
      </c>
      <c r="AC201">
        <f>$C201*AC200</f>
        <v/>
      </c>
      <c r="AD201">
        <f>$C201*AD200</f>
        <v/>
      </c>
      <c r="AE201">
        <f>$C201*AE200</f>
        <v/>
      </c>
      <c r="AF201">
        <f>$C201*AF200</f>
        <v/>
      </c>
      <c r="AG201">
        <f>$C201*AG200</f>
        <v/>
      </c>
      <c r="AH201">
        <f>$C201*AH200</f>
        <v/>
      </c>
      <c r="AI201">
        <f>$C201*AI200</f>
        <v/>
      </c>
      <c r="AJ201">
        <f>$C201*AJ200</f>
        <v/>
      </c>
      <c r="AK201">
        <f>$C201*AK200</f>
        <v/>
      </c>
      <c r="AL201">
        <f>$C201*AL200</f>
        <v/>
      </c>
      <c r="AM201">
        <f>$C201*AM200</f>
        <v/>
      </c>
      <c r="AN201">
        <f>$C201*AN200</f>
        <v/>
      </c>
      <c r="AO201">
        <f>$C201*AO200</f>
        <v/>
      </c>
      <c r="AP201">
        <f>$C201*AP200</f>
        <v/>
      </c>
      <c r="AQ201">
        <f>$C201*AQ200</f>
        <v/>
      </c>
      <c r="AR201">
        <f>$C201*AR200</f>
        <v/>
      </c>
      <c r="AS201">
        <f>$C201*AS200</f>
        <v/>
      </c>
      <c r="AT201">
        <f>$C201*AT200</f>
        <v/>
      </c>
      <c r="AU201">
        <f>$C201*AU200</f>
        <v/>
      </c>
      <c r="AV201">
        <f>$C201*AV200</f>
        <v/>
      </c>
      <c r="AW201">
        <f>$C201*AW200</f>
        <v/>
      </c>
      <c r="AX201">
        <f>$C201*AX200</f>
        <v/>
      </c>
      <c r="AY201">
        <f>$C201*AY200</f>
        <v/>
      </c>
      <c r="AZ201">
        <f>$C201*AZ200</f>
        <v/>
      </c>
      <c r="BA201">
        <f>$C201*BA200</f>
        <v/>
      </c>
      <c r="BB201">
        <f>$C201*BB200</f>
        <v/>
      </c>
      <c r="BC201">
        <f>$C201*BC200</f>
        <v/>
      </c>
      <c r="BD201">
        <f>$C201*BD200</f>
        <v/>
      </c>
      <c r="BE201">
        <f>$C201*BE200</f>
        <v/>
      </c>
      <c r="BF201">
        <f>$C201*BF200</f>
        <v/>
      </c>
      <c r="BG201">
        <f>$C201*BG200</f>
        <v/>
      </c>
      <c r="BH201">
        <f>$C201*BH200</f>
        <v/>
      </c>
      <c r="BI201">
        <f>$C201*BI200</f>
        <v/>
      </c>
      <c r="BJ201">
        <f>$C201*BJ200</f>
        <v/>
      </c>
      <c r="BK201">
        <f>$C201*BK200</f>
        <v/>
      </c>
      <c r="BL201">
        <f>$C201*BL200</f>
        <v/>
      </c>
      <c r="BM201">
        <f>$C201*BM200</f>
        <v/>
      </c>
      <c r="BN201">
        <f>$C201*BN200</f>
        <v/>
      </c>
      <c r="BO201">
        <f>$C201*BO200</f>
        <v/>
      </c>
      <c r="BP201">
        <f>$C201*BP200</f>
        <v/>
      </c>
      <c r="BQ201">
        <f>$C201*BQ200</f>
        <v/>
      </c>
      <c r="BR201">
        <f>$C201*BR200</f>
        <v/>
      </c>
      <c r="BS201">
        <f>$C201*BS200</f>
        <v/>
      </c>
      <c r="BT201">
        <f>$C201*BT200</f>
        <v/>
      </c>
      <c r="BU201">
        <f>$C201*BU200</f>
        <v/>
      </c>
      <c r="BV201">
        <f>$C201*BV200</f>
        <v/>
      </c>
      <c r="BW201">
        <f>$C201*BW200</f>
        <v/>
      </c>
      <c r="BX201">
        <f>$C201*BX200</f>
        <v/>
      </c>
      <c r="BY201">
        <f>$C201*BY200</f>
        <v/>
      </c>
      <c r="BZ201">
        <f>$C201*BZ200</f>
        <v/>
      </c>
      <c r="CA201">
        <f>$C201*CA200</f>
        <v/>
      </c>
      <c r="CB201">
        <f>$C201*CB200</f>
        <v/>
      </c>
      <c r="CC201">
        <f>$C201*CC200</f>
        <v/>
      </c>
      <c r="CD201">
        <f>$C201*CD200</f>
        <v/>
      </c>
      <c r="CE201">
        <f>$C201*CE200</f>
        <v/>
      </c>
      <c r="CF201">
        <f>$C201*CF200</f>
        <v/>
      </c>
      <c r="CG201">
        <f>$C201*CG200</f>
        <v/>
      </c>
      <c r="CH201">
        <f>$C201*CH200</f>
        <v/>
      </c>
      <c r="CI201">
        <f>$C201*CI200</f>
        <v/>
      </c>
      <c r="CJ201">
        <f>$C201*CJ200</f>
        <v/>
      </c>
      <c r="CK201">
        <f>$C201*CK200</f>
        <v/>
      </c>
      <c r="CL201">
        <f>$C201*CL200</f>
        <v/>
      </c>
      <c r="CM201">
        <f>$C201*CM200</f>
        <v/>
      </c>
      <c r="CN201">
        <f>$C201*CN200</f>
        <v/>
      </c>
      <c r="CO201">
        <f>$C201*CO200</f>
        <v/>
      </c>
      <c r="CP201">
        <f>$C201*CP200</f>
        <v/>
      </c>
      <c r="CQ201">
        <f>$C201*CQ200</f>
        <v/>
      </c>
      <c r="CR201">
        <f>$C201*CR200</f>
        <v/>
      </c>
      <c r="CS201">
        <f>$C201*CS200</f>
        <v/>
      </c>
      <c r="CT201">
        <f>$C201*CT200</f>
        <v/>
      </c>
      <c r="CU201">
        <f>$C201*CU200</f>
        <v/>
      </c>
      <c r="CV201">
        <f>$C201*CV200</f>
        <v/>
      </c>
      <c r="CW201">
        <f>$C201*CW200</f>
        <v/>
      </c>
      <c r="CX201">
        <f>$C201*CX200</f>
        <v/>
      </c>
      <c r="CY201">
        <f>$C201*CY200</f>
        <v/>
      </c>
      <c r="CZ201">
        <f>$C201*CZ200</f>
        <v/>
      </c>
      <c r="DA201">
        <f>$C201*DA200</f>
        <v/>
      </c>
      <c r="DB201">
        <f>$C201*DB200</f>
        <v/>
      </c>
      <c r="DC201">
        <f>$C201*DC200</f>
        <v/>
      </c>
    </row>
    <row r="202">
      <c r="B202" t="inlineStr">
        <is>
          <t>VSP-990</t>
        </is>
      </c>
      <c r="C202" t="inlineStr">
        <is>
          <t>No. of batches</t>
        </is>
      </c>
      <c r="D202">
        <f>IFERROR(INDEX(PP_Grid[#Data],$DD202,2),0)</f>
        <v/>
      </c>
      <c r="E202">
        <f>IFERROR(INDEX(PP_Grid[#Data],$DD202,3),0)</f>
        <v/>
      </c>
      <c r="F202">
        <f>IFERROR(INDEX(PP_Grid[#Data],$DD202,4),0)</f>
        <v/>
      </c>
      <c r="G202">
        <f>IFERROR(INDEX(PP_Grid[#Data],$DD202,5),0)</f>
        <v/>
      </c>
      <c r="H202">
        <f>IFERROR(INDEX(PP_Grid[#Data],$DD202,6),0)</f>
        <v/>
      </c>
      <c r="I202">
        <f>IFERROR(INDEX(PP_Grid[#Data],$DD202,7),0)</f>
        <v/>
      </c>
      <c r="J202">
        <f>IFERROR(INDEX(PP_Grid[#Data],$DD202,8),0)</f>
        <v/>
      </c>
      <c r="K202">
        <f>IFERROR(INDEX(PP_Grid[#Data],$DD202,9),0)</f>
        <v/>
      </c>
      <c r="L202">
        <f>IFERROR(INDEX(PP_Grid[#Data],$DD202,10),0)</f>
        <v/>
      </c>
      <c r="M202">
        <f>IFERROR(INDEX(PP_Grid[#Data],$DD202,11),0)</f>
        <v/>
      </c>
      <c r="N202">
        <f>IFERROR(INDEX(PP_Grid[#Data],$DD202,12),0)</f>
        <v/>
      </c>
      <c r="O202">
        <f>IFERROR(INDEX(PP_Grid[#Data],$DD202,13),0)</f>
        <v/>
      </c>
      <c r="P202">
        <f>IFERROR(INDEX(PP_Grid[#Data],$DD202,14),0)</f>
        <v/>
      </c>
      <c r="Q202">
        <f>IFERROR(INDEX(PP_Grid[#Data],$DD202,15),0)</f>
        <v/>
      </c>
      <c r="R202">
        <f>IFERROR(INDEX(PP_Grid[#Data],$DD202,16),0)</f>
        <v/>
      </c>
      <c r="S202">
        <f>IFERROR(INDEX(PP_Grid[#Data],$DD202,17),0)</f>
        <v/>
      </c>
      <c r="T202">
        <f>IFERROR(INDEX(PP_Grid[#Data],$DD202,18),0)</f>
        <v/>
      </c>
      <c r="U202">
        <f>IFERROR(INDEX(PP_Grid[#Data],$DD202,19),0)</f>
        <v/>
      </c>
      <c r="V202">
        <f>IFERROR(INDEX(PP_Grid[#Data],$DD202,20),0)</f>
        <v/>
      </c>
      <c r="W202">
        <f>IFERROR(INDEX(PP_Grid[#Data],$DD202,21),0)</f>
        <v/>
      </c>
      <c r="X202">
        <f>IFERROR(INDEX(PP_Grid[#Data],$DD202,22),0)</f>
        <v/>
      </c>
      <c r="Y202">
        <f>IFERROR(INDEX(PP_Grid[#Data],$DD202,23),0)</f>
        <v/>
      </c>
      <c r="Z202">
        <f>IFERROR(INDEX(PP_Grid[#Data],$DD202,24),0)</f>
        <v/>
      </c>
      <c r="AA202">
        <f>IFERROR(INDEX(PP_Grid[#Data],$DD202,25),0)</f>
        <v/>
      </c>
      <c r="AB202">
        <f>IFERROR(INDEX(PP_Grid[#Data],$DD202,26),0)</f>
        <v/>
      </c>
      <c r="AC202">
        <f>IFERROR(INDEX(PP_Grid[#Data],$DD202,27),0)</f>
        <v/>
      </c>
      <c r="AD202">
        <f>IFERROR(INDEX(PP_Grid[#Data],$DD202,28),0)</f>
        <v/>
      </c>
      <c r="AE202">
        <f>IFERROR(INDEX(PP_Grid[#Data],$DD202,29),0)</f>
        <v/>
      </c>
      <c r="AF202">
        <f>IFERROR(INDEX(PP_Grid[#Data],$DD202,30),0)</f>
        <v/>
      </c>
      <c r="AG202">
        <f>IFERROR(INDEX(PP_Grid[#Data],$DD202,31),0)</f>
        <v/>
      </c>
      <c r="AH202">
        <f>IFERROR(INDEX(PP_Grid[#Data],$DD202,32),0)</f>
        <v/>
      </c>
      <c r="AI202">
        <f>IFERROR(INDEX(PP_Grid[#Data],$DD202,33),0)</f>
        <v/>
      </c>
      <c r="AJ202">
        <f>IFERROR(INDEX(PP_Grid[#Data],$DD202,34),0)</f>
        <v/>
      </c>
      <c r="AK202">
        <f>IFERROR(INDEX(PP_Grid[#Data],$DD202,35),0)</f>
        <v/>
      </c>
      <c r="AL202">
        <f>IFERROR(INDEX(PP_Grid[#Data],$DD202,36),0)</f>
        <v/>
      </c>
      <c r="AM202">
        <f>IFERROR(INDEX(PP_Grid[#Data],$DD202,37),0)</f>
        <v/>
      </c>
      <c r="AN202">
        <f>IFERROR(INDEX(PP_Grid[#Data],$DD202,38),0)</f>
        <v/>
      </c>
      <c r="AO202">
        <f>IFERROR(INDEX(PP_Grid[#Data],$DD202,39),0)</f>
        <v/>
      </c>
      <c r="AP202">
        <f>IFERROR(INDEX(PP_Grid[#Data],$DD202,40),0)</f>
        <v/>
      </c>
      <c r="AQ202">
        <f>IFERROR(INDEX(PP_Grid[#Data],$DD202,41),0)</f>
        <v/>
      </c>
      <c r="AR202">
        <f>IFERROR(INDEX(PP_Grid[#Data],$DD202,42),0)</f>
        <v/>
      </c>
      <c r="AS202">
        <f>IFERROR(INDEX(PP_Grid[#Data],$DD202,43),0)</f>
        <v/>
      </c>
      <c r="AT202">
        <f>IFERROR(INDEX(PP_Grid[#Data],$DD202,44),0)</f>
        <v/>
      </c>
      <c r="AU202">
        <f>IFERROR(INDEX(PP_Grid[#Data],$DD202,45),0)</f>
        <v/>
      </c>
      <c r="AV202">
        <f>IFERROR(INDEX(PP_Grid[#Data],$DD202,46),0)</f>
        <v/>
      </c>
      <c r="AW202">
        <f>IFERROR(INDEX(PP_Grid[#Data],$DD202,47),0)</f>
        <v/>
      </c>
      <c r="AX202">
        <f>IFERROR(INDEX(PP_Grid[#Data],$DD202,48),0)</f>
        <v/>
      </c>
      <c r="AY202">
        <f>IFERROR(INDEX(PP_Grid[#Data],$DD202,49),0)</f>
        <v/>
      </c>
      <c r="AZ202">
        <f>IFERROR(INDEX(PP_Grid[#Data],$DD202,50),0)</f>
        <v/>
      </c>
      <c r="BA202">
        <f>IFERROR(INDEX(PP_Grid[#Data],$DD202,51),0)</f>
        <v/>
      </c>
      <c r="BB202">
        <f>IFERROR(INDEX(PP_Grid[#Data],$DD202,52),0)</f>
        <v/>
      </c>
      <c r="BC202">
        <f>IFERROR(INDEX(PP_Grid[#Data],$DD202,53),0)</f>
        <v/>
      </c>
      <c r="BD202">
        <f>IFERROR(INDEX(PP_Grid[#Data],$DD202,54),0)</f>
        <v/>
      </c>
      <c r="BE202">
        <f>IFERROR(INDEX(PP_Grid[#Data],$DD202,55),0)</f>
        <v/>
      </c>
      <c r="BF202">
        <f>IFERROR(INDEX(PP_Grid[#Data],$DD202,56),0)</f>
        <v/>
      </c>
      <c r="BG202">
        <f>IFERROR(INDEX(PP_Grid[#Data],$DD202,57),0)</f>
        <v/>
      </c>
      <c r="BH202">
        <f>IFERROR(INDEX(PP_Grid[#Data],$DD202,58),0)</f>
        <v/>
      </c>
      <c r="BI202">
        <f>IFERROR(INDEX(PP_Grid[#Data],$DD202,59),0)</f>
        <v/>
      </c>
      <c r="BJ202">
        <f>IFERROR(INDEX(PP_Grid[#Data],$DD202,60),0)</f>
        <v/>
      </c>
      <c r="BK202">
        <f>IFERROR(INDEX(PP_Grid[#Data],$DD202,61),0)</f>
        <v/>
      </c>
      <c r="BL202">
        <f>IFERROR(INDEX(PP_Grid[#Data],$DD202,62),0)</f>
        <v/>
      </c>
      <c r="BM202">
        <f>IFERROR(INDEX(PP_Grid[#Data],$DD202,63),0)</f>
        <v/>
      </c>
      <c r="BN202">
        <f>IFERROR(INDEX(PP_Grid[#Data],$DD202,64),0)</f>
        <v/>
      </c>
      <c r="BO202">
        <f>IFERROR(INDEX(PP_Grid[#Data],$DD202,65),0)</f>
        <v/>
      </c>
      <c r="BP202">
        <f>IFERROR(INDEX(PP_Grid[#Data],$DD202,66),0)</f>
        <v/>
      </c>
      <c r="BQ202">
        <f>IFERROR(INDEX(PP_Grid[#Data],$DD202,67),0)</f>
        <v/>
      </c>
      <c r="BR202">
        <f>IFERROR(INDEX(PP_Grid[#Data],$DD202,68),0)</f>
        <v/>
      </c>
      <c r="BS202">
        <f>IFERROR(INDEX(PP_Grid[#Data],$DD202,69),0)</f>
        <v/>
      </c>
      <c r="BT202">
        <f>IFERROR(INDEX(PP_Grid[#Data],$DD202,70),0)</f>
        <v/>
      </c>
      <c r="BU202">
        <f>IFERROR(INDEX(PP_Grid[#Data],$DD202,71),0)</f>
        <v/>
      </c>
      <c r="BV202">
        <f>IFERROR(INDEX(PP_Grid[#Data],$DD202,72),0)</f>
        <v/>
      </c>
      <c r="BW202">
        <f>IFERROR(INDEX(PP_Grid[#Data],$DD202,73),0)</f>
        <v/>
      </c>
      <c r="BX202">
        <f>IFERROR(INDEX(PP_Grid[#Data],$DD202,74),0)</f>
        <v/>
      </c>
      <c r="BY202">
        <f>IFERROR(INDEX(PP_Grid[#Data],$DD202,75),0)</f>
        <v/>
      </c>
      <c r="BZ202">
        <f>IFERROR(INDEX(PP_Grid[#Data],$DD202,76),0)</f>
        <v/>
      </c>
      <c r="CA202">
        <f>IFERROR(INDEX(PP_Grid[#Data],$DD202,77),0)</f>
        <v/>
      </c>
      <c r="CB202">
        <f>IFERROR(INDEX(PP_Grid[#Data],$DD202,78),0)</f>
        <v/>
      </c>
      <c r="CC202">
        <f>IFERROR(INDEX(PP_Grid[#Data],$DD202,79),0)</f>
        <v/>
      </c>
      <c r="CD202">
        <f>IFERROR(INDEX(PP_Grid[#Data],$DD202,80),0)</f>
        <v/>
      </c>
      <c r="CE202">
        <f>IFERROR(INDEX(PP_Grid[#Data],$DD202,81),0)</f>
        <v/>
      </c>
      <c r="CF202">
        <f>IFERROR(INDEX(PP_Grid[#Data],$DD202,82),0)</f>
        <v/>
      </c>
      <c r="CG202">
        <f>IFERROR(INDEX(PP_Grid[#Data],$DD202,83),0)</f>
        <v/>
      </c>
      <c r="CH202">
        <f>IFERROR(INDEX(PP_Grid[#Data],$DD202,84),0)</f>
        <v/>
      </c>
      <c r="CI202">
        <f>IFERROR(INDEX(PP_Grid[#Data],$DD202,85),0)</f>
        <v/>
      </c>
      <c r="CJ202">
        <f>IFERROR(INDEX(PP_Grid[#Data],$DD202,86),0)</f>
        <v/>
      </c>
      <c r="CK202">
        <f>IFERROR(INDEX(PP_Grid[#Data],$DD202,87),0)</f>
        <v/>
      </c>
      <c r="CL202">
        <f>IFERROR(INDEX(PP_Grid[#Data],$DD202,88),0)</f>
        <v/>
      </c>
      <c r="CM202">
        <f>IFERROR(INDEX(PP_Grid[#Data],$DD202,89),0)</f>
        <v/>
      </c>
      <c r="CN202">
        <f>IFERROR(INDEX(PP_Grid[#Data],$DD202,90),0)</f>
        <v/>
      </c>
      <c r="CO202">
        <f>IFERROR(INDEX(PP_Grid[#Data],$DD202,91),0)</f>
        <v/>
      </c>
      <c r="CP202">
        <f>IFERROR(INDEX(PP_Grid[#Data],$DD202,92),0)</f>
        <v/>
      </c>
      <c r="CQ202">
        <f>IFERROR(INDEX(PP_Grid[#Data],$DD202,93),0)</f>
        <v/>
      </c>
      <c r="CR202">
        <f>IFERROR(INDEX(PP_Grid[#Data],$DD202,94),0)</f>
        <v/>
      </c>
      <c r="CS202">
        <f>IFERROR(INDEX(PP_Grid[#Data],$DD202,95),0)</f>
        <v/>
      </c>
      <c r="CT202">
        <f>IFERROR(INDEX(PP_Grid[#Data],$DD202,96),0)</f>
        <v/>
      </c>
      <c r="CU202">
        <f>IFERROR(INDEX(PP_Grid[#Data],$DD202,97),0)</f>
        <v/>
      </c>
      <c r="CV202">
        <f>IFERROR(INDEX(PP_Grid[#Data],$DD202,98),0)</f>
        <v/>
      </c>
      <c r="CW202">
        <f>IFERROR(INDEX(PP_Grid[#Data],$DD202,99),0)</f>
        <v/>
      </c>
      <c r="CX202">
        <f>IFERROR(INDEX(PP_Grid[#Data],$DD202,100),0)</f>
        <v/>
      </c>
      <c r="CY202">
        <f>IFERROR(INDEX(PP_Grid[#Data],$DD202,101),0)</f>
        <v/>
      </c>
      <c r="CZ202">
        <f>IFERROR(INDEX(PP_Grid[#Data],$DD202,102),0)</f>
        <v/>
      </c>
      <c r="DA202">
        <f>IFERROR(INDEX(PP_Grid[#Data],$DD202,103),0)</f>
        <v/>
      </c>
      <c r="DB202">
        <f>IFERROR(INDEX(PP_Grid[#Data],$DD202,104),0)</f>
        <v/>
      </c>
      <c r="DC202">
        <f>IFERROR(INDEX(PP_Grid[#Data],$DD202,105),0)</f>
        <v/>
      </c>
      <c r="DD202" s="7">
        <f>IFERROR(MATCH($B202,PP_Grid[Intermediate],0),99999)</f>
        <v/>
      </c>
    </row>
    <row r="203">
      <c r="B203" t="inlineStr">
        <is>
          <t>使用量(kg)</t>
        </is>
      </c>
      <c r="C203">
        <f>SUMIFS(M_BOM[RM_Qty_Per_Batch],M_BOM[Intermediate],$B202,M_BOM[Part Name],$A45)</f>
        <v/>
      </c>
      <c r="D203">
        <f>$C203*D202</f>
        <v/>
      </c>
      <c r="E203">
        <f>$C203*E202</f>
        <v/>
      </c>
      <c r="F203">
        <f>$C203*F202</f>
        <v/>
      </c>
      <c r="G203">
        <f>$C203*G202</f>
        <v/>
      </c>
      <c r="H203">
        <f>$C203*H202</f>
        <v/>
      </c>
      <c r="I203">
        <f>$C203*I202</f>
        <v/>
      </c>
      <c r="J203">
        <f>$C203*J202</f>
        <v/>
      </c>
      <c r="K203">
        <f>$C203*K202</f>
        <v/>
      </c>
      <c r="L203">
        <f>$C203*L202</f>
        <v/>
      </c>
      <c r="M203">
        <f>$C203*M202</f>
        <v/>
      </c>
      <c r="N203">
        <f>$C203*N202</f>
        <v/>
      </c>
      <c r="O203">
        <f>$C203*O202</f>
        <v/>
      </c>
      <c r="P203">
        <f>$C203*P202</f>
        <v/>
      </c>
      <c r="Q203">
        <f>$C203*Q202</f>
        <v/>
      </c>
      <c r="R203">
        <f>$C203*R202</f>
        <v/>
      </c>
      <c r="S203">
        <f>$C203*S202</f>
        <v/>
      </c>
      <c r="T203">
        <f>$C203*T202</f>
        <v/>
      </c>
      <c r="U203">
        <f>$C203*U202</f>
        <v/>
      </c>
      <c r="V203">
        <f>$C203*V202</f>
        <v/>
      </c>
      <c r="W203">
        <f>$C203*W202</f>
        <v/>
      </c>
      <c r="X203">
        <f>$C203*X202</f>
        <v/>
      </c>
      <c r="Y203">
        <f>$C203*Y202</f>
        <v/>
      </c>
      <c r="Z203">
        <f>$C203*Z202</f>
        <v/>
      </c>
      <c r="AA203">
        <f>$C203*AA202</f>
        <v/>
      </c>
      <c r="AB203">
        <f>$C203*AB202</f>
        <v/>
      </c>
      <c r="AC203">
        <f>$C203*AC202</f>
        <v/>
      </c>
      <c r="AD203">
        <f>$C203*AD202</f>
        <v/>
      </c>
      <c r="AE203">
        <f>$C203*AE202</f>
        <v/>
      </c>
      <c r="AF203">
        <f>$C203*AF202</f>
        <v/>
      </c>
      <c r="AG203">
        <f>$C203*AG202</f>
        <v/>
      </c>
      <c r="AH203">
        <f>$C203*AH202</f>
        <v/>
      </c>
      <c r="AI203">
        <f>$C203*AI202</f>
        <v/>
      </c>
      <c r="AJ203">
        <f>$C203*AJ202</f>
        <v/>
      </c>
      <c r="AK203">
        <f>$C203*AK202</f>
        <v/>
      </c>
      <c r="AL203">
        <f>$C203*AL202</f>
        <v/>
      </c>
      <c r="AM203">
        <f>$C203*AM202</f>
        <v/>
      </c>
      <c r="AN203">
        <f>$C203*AN202</f>
        <v/>
      </c>
      <c r="AO203">
        <f>$C203*AO202</f>
        <v/>
      </c>
      <c r="AP203">
        <f>$C203*AP202</f>
        <v/>
      </c>
      <c r="AQ203">
        <f>$C203*AQ202</f>
        <v/>
      </c>
      <c r="AR203">
        <f>$C203*AR202</f>
        <v/>
      </c>
      <c r="AS203">
        <f>$C203*AS202</f>
        <v/>
      </c>
      <c r="AT203">
        <f>$C203*AT202</f>
        <v/>
      </c>
      <c r="AU203">
        <f>$C203*AU202</f>
        <v/>
      </c>
      <c r="AV203">
        <f>$C203*AV202</f>
        <v/>
      </c>
      <c r="AW203">
        <f>$C203*AW202</f>
        <v/>
      </c>
      <c r="AX203">
        <f>$C203*AX202</f>
        <v/>
      </c>
      <c r="AY203">
        <f>$C203*AY202</f>
        <v/>
      </c>
      <c r="AZ203">
        <f>$C203*AZ202</f>
        <v/>
      </c>
      <c r="BA203">
        <f>$C203*BA202</f>
        <v/>
      </c>
      <c r="BB203">
        <f>$C203*BB202</f>
        <v/>
      </c>
      <c r="BC203">
        <f>$C203*BC202</f>
        <v/>
      </c>
      <c r="BD203">
        <f>$C203*BD202</f>
        <v/>
      </c>
      <c r="BE203">
        <f>$C203*BE202</f>
        <v/>
      </c>
      <c r="BF203">
        <f>$C203*BF202</f>
        <v/>
      </c>
      <c r="BG203">
        <f>$C203*BG202</f>
        <v/>
      </c>
      <c r="BH203">
        <f>$C203*BH202</f>
        <v/>
      </c>
      <c r="BI203">
        <f>$C203*BI202</f>
        <v/>
      </c>
      <c r="BJ203">
        <f>$C203*BJ202</f>
        <v/>
      </c>
      <c r="BK203">
        <f>$C203*BK202</f>
        <v/>
      </c>
      <c r="BL203">
        <f>$C203*BL202</f>
        <v/>
      </c>
      <c r="BM203">
        <f>$C203*BM202</f>
        <v/>
      </c>
      <c r="BN203">
        <f>$C203*BN202</f>
        <v/>
      </c>
      <c r="BO203">
        <f>$C203*BO202</f>
        <v/>
      </c>
      <c r="BP203">
        <f>$C203*BP202</f>
        <v/>
      </c>
      <c r="BQ203">
        <f>$C203*BQ202</f>
        <v/>
      </c>
      <c r="BR203">
        <f>$C203*BR202</f>
        <v/>
      </c>
      <c r="BS203">
        <f>$C203*BS202</f>
        <v/>
      </c>
      <c r="BT203">
        <f>$C203*BT202</f>
        <v/>
      </c>
      <c r="BU203">
        <f>$C203*BU202</f>
        <v/>
      </c>
      <c r="BV203">
        <f>$C203*BV202</f>
        <v/>
      </c>
      <c r="BW203">
        <f>$C203*BW202</f>
        <v/>
      </c>
      <c r="BX203">
        <f>$C203*BX202</f>
        <v/>
      </c>
      <c r="BY203">
        <f>$C203*BY202</f>
        <v/>
      </c>
      <c r="BZ203">
        <f>$C203*BZ202</f>
        <v/>
      </c>
      <c r="CA203">
        <f>$C203*CA202</f>
        <v/>
      </c>
      <c r="CB203">
        <f>$C203*CB202</f>
        <v/>
      </c>
      <c r="CC203">
        <f>$C203*CC202</f>
        <v/>
      </c>
      <c r="CD203">
        <f>$C203*CD202</f>
        <v/>
      </c>
      <c r="CE203">
        <f>$C203*CE202</f>
        <v/>
      </c>
      <c r="CF203">
        <f>$C203*CF202</f>
        <v/>
      </c>
      <c r="CG203">
        <f>$C203*CG202</f>
        <v/>
      </c>
      <c r="CH203">
        <f>$C203*CH202</f>
        <v/>
      </c>
      <c r="CI203">
        <f>$C203*CI202</f>
        <v/>
      </c>
      <c r="CJ203">
        <f>$C203*CJ202</f>
        <v/>
      </c>
      <c r="CK203">
        <f>$C203*CK202</f>
        <v/>
      </c>
      <c r="CL203">
        <f>$C203*CL202</f>
        <v/>
      </c>
      <c r="CM203">
        <f>$C203*CM202</f>
        <v/>
      </c>
      <c r="CN203">
        <f>$C203*CN202</f>
        <v/>
      </c>
      <c r="CO203">
        <f>$C203*CO202</f>
        <v/>
      </c>
      <c r="CP203">
        <f>$C203*CP202</f>
        <v/>
      </c>
      <c r="CQ203">
        <f>$C203*CQ202</f>
        <v/>
      </c>
      <c r="CR203">
        <f>$C203*CR202</f>
        <v/>
      </c>
      <c r="CS203">
        <f>$C203*CS202</f>
        <v/>
      </c>
      <c r="CT203">
        <f>$C203*CT202</f>
        <v/>
      </c>
      <c r="CU203">
        <f>$C203*CU202</f>
        <v/>
      </c>
      <c r="CV203">
        <f>$C203*CV202</f>
        <v/>
      </c>
      <c r="CW203">
        <f>$C203*CW202</f>
        <v/>
      </c>
      <c r="CX203">
        <f>$C203*CX202</f>
        <v/>
      </c>
      <c r="CY203">
        <f>$C203*CY202</f>
        <v/>
      </c>
      <c r="CZ203">
        <f>$C203*CZ202</f>
        <v/>
      </c>
      <c r="DA203">
        <f>$C203*DA202</f>
        <v/>
      </c>
      <c r="DB203">
        <f>$C203*DB202</f>
        <v/>
      </c>
      <c r="DC203">
        <f>$C203*DC202</f>
        <v/>
      </c>
    </row>
    <row r="204">
      <c r="B204" t="inlineStr">
        <is>
          <t>VSZ-745</t>
        </is>
      </c>
      <c r="C204" t="inlineStr">
        <is>
          <t>No. of batches</t>
        </is>
      </c>
      <c r="D204">
        <f>IFERROR(INDEX(PP_Grid[#Data],$DD204,2),0)</f>
        <v/>
      </c>
      <c r="E204">
        <f>IFERROR(INDEX(PP_Grid[#Data],$DD204,3),0)</f>
        <v/>
      </c>
      <c r="F204">
        <f>IFERROR(INDEX(PP_Grid[#Data],$DD204,4),0)</f>
        <v/>
      </c>
      <c r="G204">
        <f>IFERROR(INDEX(PP_Grid[#Data],$DD204,5),0)</f>
        <v/>
      </c>
      <c r="H204">
        <f>IFERROR(INDEX(PP_Grid[#Data],$DD204,6),0)</f>
        <v/>
      </c>
      <c r="I204">
        <f>IFERROR(INDEX(PP_Grid[#Data],$DD204,7),0)</f>
        <v/>
      </c>
      <c r="J204">
        <f>IFERROR(INDEX(PP_Grid[#Data],$DD204,8),0)</f>
        <v/>
      </c>
      <c r="K204">
        <f>IFERROR(INDEX(PP_Grid[#Data],$DD204,9),0)</f>
        <v/>
      </c>
      <c r="L204">
        <f>IFERROR(INDEX(PP_Grid[#Data],$DD204,10),0)</f>
        <v/>
      </c>
      <c r="M204">
        <f>IFERROR(INDEX(PP_Grid[#Data],$DD204,11),0)</f>
        <v/>
      </c>
      <c r="N204">
        <f>IFERROR(INDEX(PP_Grid[#Data],$DD204,12),0)</f>
        <v/>
      </c>
      <c r="O204">
        <f>IFERROR(INDEX(PP_Grid[#Data],$DD204,13),0)</f>
        <v/>
      </c>
      <c r="P204">
        <f>IFERROR(INDEX(PP_Grid[#Data],$DD204,14),0)</f>
        <v/>
      </c>
      <c r="Q204">
        <f>IFERROR(INDEX(PP_Grid[#Data],$DD204,15),0)</f>
        <v/>
      </c>
      <c r="R204">
        <f>IFERROR(INDEX(PP_Grid[#Data],$DD204,16),0)</f>
        <v/>
      </c>
      <c r="S204">
        <f>IFERROR(INDEX(PP_Grid[#Data],$DD204,17),0)</f>
        <v/>
      </c>
      <c r="T204">
        <f>IFERROR(INDEX(PP_Grid[#Data],$DD204,18),0)</f>
        <v/>
      </c>
      <c r="U204">
        <f>IFERROR(INDEX(PP_Grid[#Data],$DD204,19),0)</f>
        <v/>
      </c>
      <c r="V204">
        <f>IFERROR(INDEX(PP_Grid[#Data],$DD204,20),0)</f>
        <v/>
      </c>
      <c r="W204">
        <f>IFERROR(INDEX(PP_Grid[#Data],$DD204,21),0)</f>
        <v/>
      </c>
      <c r="X204">
        <f>IFERROR(INDEX(PP_Grid[#Data],$DD204,22),0)</f>
        <v/>
      </c>
      <c r="Y204">
        <f>IFERROR(INDEX(PP_Grid[#Data],$DD204,23),0)</f>
        <v/>
      </c>
      <c r="Z204">
        <f>IFERROR(INDEX(PP_Grid[#Data],$DD204,24),0)</f>
        <v/>
      </c>
      <c r="AA204">
        <f>IFERROR(INDEX(PP_Grid[#Data],$DD204,25),0)</f>
        <v/>
      </c>
      <c r="AB204">
        <f>IFERROR(INDEX(PP_Grid[#Data],$DD204,26),0)</f>
        <v/>
      </c>
      <c r="AC204">
        <f>IFERROR(INDEX(PP_Grid[#Data],$DD204,27),0)</f>
        <v/>
      </c>
      <c r="AD204">
        <f>IFERROR(INDEX(PP_Grid[#Data],$DD204,28),0)</f>
        <v/>
      </c>
      <c r="AE204">
        <f>IFERROR(INDEX(PP_Grid[#Data],$DD204,29),0)</f>
        <v/>
      </c>
      <c r="AF204">
        <f>IFERROR(INDEX(PP_Grid[#Data],$DD204,30),0)</f>
        <v/>
      </c>
      <c r="AG204">
        <f>IFERROR(INDEX(PP_Grid[#Data],$DD204,31),0)</f>
        <v/>
      </c>
      <c r="AH204">
        <f>IFERROR(INDEX(PP_Grid[#Data],$DD204,32),0)</f>
        <v/>
      </c>
      <c r="AI204">
        <f>IFERROR(INDEX(PP_Grid[#Data],$DD204,33),0)</f>
        <v/>
      </c>
      <c r="AJ204">
        <f>IFERROR(INDEX(PP_Grid[#Data],$DD204,34),0)</f>
        <v/>
      </c>
      <c r="AK204">
        <f>IFERROR(INDEX(PP_Grid[#Data],$DD204,35),0)</f>
        <v/>
      </c>
      <c r="AL204">
        <f>IFERROR(INDEX(PP_Grid[#Data],$DD204,36),0)</f>
        <v/>
      </c>
      <c r="AM204">
        <f>IFERROR(INDEX(PP_Grid[#Data],$DD204,37),0)</f>
        <v/>
      </c>
      <c r="AN204">
        <f>IFERROR(INDEX(PP_Grid[#Data],$DD204,38),0)</f>
        <v/>
      </c>
      <c r="AO204">
        <f>IFERROR(INDEX(PP_Grid[#Data],$DD204,39),0)</f>
        <v/>
      </c>
      <c r="AP204">
        <f>IFERROR(INDEX(PP_Grid[#Data],$DD204,40),0)</f>
        <v/>
      </c>
      <c r="AQ204">
        <f>IFERROR(INDEX(PP_Grid[#Data],$DD204,41),0)</f>
        <v/>
      </c>
      <c r="AR204">
        <f>IFERROR(INDEX(PP_Grid[#Data],$DD204,42),0)</f>
        <v/>
      </c>
      <c r="AS204">
        <f>IFERROR(INDEX(PP_Grid[#Data],$DD204,43),0)</f>
        <v/>
      </c>
      <c r="AT204">
        <f>IFERROR(INDEX(PP_Grid[#Data],$DD204,44),0)</f>
        <v/>
      </c>
      <c r="AU204">
        <f>IFERROR(INDEX(PP_Grid[#Data],$DD204,45),0)</f>
        <v/>
      </c>
      <c r="AV204">
        <f>IFERROR(INDEX(PP_Grid[#Data],$DD204,46),0)</f>
        <v/>
      </c>
      <c r="AW204">
        <f>IFERROR(INDEX(PP_Grid[#Data],$DD204,47),0)</f>
        <v/>
      </c>
      <c r="AX204">
        <f>IFERROR(INDEX(PP_Grid[#Data],$DD204,48),0)</f>
        <v/>
      </c>
      <c r="AY204">
        <f>IFERROR(INDEX(PP_Grid[#Data],$DD204,49),0)</f>
        <v/>
      </c>
      <c r="AZ204">
        <f>IFERROR(INDEX(PP_Grid[#Data],$DD204,50),0)</f>
        <v/>
      </c>
      <c r="BA204">
        <f>IFERROR(INDEX(PP_Grid[#Data],$DD204,51),0)</f>
        <v/>
      </c>
      <c r="BB204">
        <f>IFERROR(INDEX(PP_Grid[#Data],$DD204,52),0)</f>
        <v/>
      </c>
      <c r="BC204">
        <f>IFERROR(INDEX(PP_Grid[#Data],$DD204,53),0)</f>
        <v/>
      </c>
      <c r="BD204">
        <f>IFERROR(INDEX(PP_Grid[#Data],$DD204,54),0)</f>
        <v/>
      </c>
      <c r="BE204">
        <f>IFERROR(INDEX(PP_Grid[#Data],$DD204,55),0)</f>
        <v/>
      </c>
      <c r="BF204">
        <f>IFERROR(INDEX(PP_Grid[#Data],$DD204,56),0)</f>
        <v/>
      </c>
      <c r="BG204">
        <f>IFERROR(INDEX(PP_Grid[#Data],$DD204,57),0)</f>
        <v/>
      </c>
      <c r="BH204">
        <f>IFERROR(INDEX(PP_Grid[#Data],$DD204,58),0)</f>
        <v/>
      </c>
      <c r="BI204">
        <f>IFERROR(INDEX(PP_Grid[#Data],$DD204,59),0)</f>
        <v/>
      </c>
      <c r="BJ204">
        <f>IFERROR(INDEX(PP_Grid[#Data],$DD204,60),0)</f>
        <v/>
      </c>
      <c r="BK204">
        <f>IFERROR(INDEX(PP_Grid[#Data],$DD204,61),0)</f>
        <v/>
      </c>
      <c r="BL204">
        <f>IFERROR(INDEX(PP_Grid[#Data],$DD204,62),0)</f>
        <v/>
      </c>
      <c r="BM204">
        <f>IFERROR(INDEX(PP_Grid[#Data],$DD204,63),0)</f>
        <v/>
      </c>
      <c r="BN204">
        <f>IFERROR(INDEX(PP_Grid[#Data],$DD204,64),0)</f>
        <v/>
      </c>
      <c r="BO204">
        <f>IFERROR(INDEX(PP_Grid[#Data],$DD204,65),0)</f>
        <v/>
      </c>
      <c r="BP204">
        <f>IFERROR(INDEX(PP_Grid[#Data],$DD204,66),0)</f>
        <v/>
      </c>
      <c r="BQ204">
        <f>IFERROR(INDEX(PP_Grid[#Data],$DD204,67),0)</f>
        <v/>
      </c>
      <c r="BR204">
        <f>IFERROR(INDEX(PP_Grid[#Data],$DD204,68),0)</f>
        <v/>
      </c>
      <c r="BS204">
        <f>IFERROR(INDEX(PP_Grid[#Data],$DD204,69),0)</f>
        <v/>
      </c>
      <c r="BT204">
        <f>IFERROR(INDEX(PP_Grid[#Data],$DD204,70),0)</f>
        <v/>
      </c>
      <c r="BU204">
        <f>IFERROR(INDEX(PP_Grid[#Data],$DD204,71),0)</f>
        <v/>
      </c>
      <c r="BV204">
        <f>IFERROR(INDEX(PP_Grid[#Data],$DD204,72),0)</f>
        <v/>
      </c>
      <c r="BW204">
        <f>IFERROR(INDEX(PP_Grid[#Data],$DD204,73),0)</f>
        <v/>
      </c>
      <c r="BX204">
        <f>IFERROR(INDEX(PP_Grid[#Data],$DD204,74),0)</f>
        <v/>
      </c>
      <c r="BY204">
        <f>IFERROR(INDEX(PP_Grid[#Data],$DD204,75),0)</f>
        <v/>
      </c>
      <c r="BZ204">
        <f>IFERROR(INDEX(PP_Grid[#Data],$DD204,76),0)</f>
        <v/>
      </c>
      <c r="CA204">
        <f>IFERROR(INDEX(PP_Grid[#Data],$DD204,77),0)</f>
        <v/>
      </c>
      <c r="CB204">
        <f>IFERROR(INDEX(PP_Grid[#Data],$DD204,78),0)</f>
        <v/>
      </c>
      <c r="CC204">
        <f>IFERROR(INDEX(PP_Grid[#Data],$DD204,79),0)</f>
        <v/>
      </c>
      <c r="CD204">
        <f>IFERROR(INDEX(PP_Grid[#Data],$DD204,80),0)</f>
        <v/>
      </c>
      <c r="CE204">
        <f>IFERROR(INDEX(PP_Grid[#Data],$DD204,81),0)</f>
        <v/>
      </c>
      <c r="CF204">
        <f>IFERROR(INDEX(PP_Grid[#Data],$DD204,82),0)</f>
        <v/>
      </c>
      <c r="CG204">
        <f>IFERROR(INDEX(PP_Grid[#Data],$DD204,83),0)</f>
        <v/>
      </c>
      <c r="CH204">
        <f>IFERROR(INDEX(PP_Grid[#Data],$DD204,84),0)</f>
        <v/>
      </c>
      <c r="CI204">
        <f>IFERROR(INDEX(PP_Grid[#Data],$DD204,85),0)</f>
        <v/>
      </c>
      <c r="CJ204">
        <f>IFERROR(INDEX(PP_Grid[#Data],$DD204,86),0)</f>
        <v/>
      </c>
      <c r="CK204">
        <f>IFERROR(INDEX(PP_Grid[#Data],$DD204,87),0)</f>
        <v/>
      </c>
      <c r="CL204">
        <f>IFERROR(INDEX(PP_Grid[#Data],$DD204,88),0)</f>
        <v/>
      </c>
      <c r="CM204">
        <f>IFERROR(INDEX(PP_Grid[#Data],$DD204,89),0)</f>
        <v/>
      </c>
      <c r="CN204">
        <f>IFERROR(INDEX(PP_Grid[#Data],$DD204,90),0)</f>
        <v/>
      </c>
      <c r="CO204">
        <f>IFERROR(INDEX(PP_Grid[#Data],$DD204,91),0)</f>
        <v/>
      </c>
      <c r="CP204">
        <f>IFERROR(INDEX(PP_Grid[#Data],$DD204,92),0)</f>
        <v/>
      </c>
      <c r="CQ204">
        <f>IFERROR(INDEX(PP_Grid[#Data],$DD204,93),0)</f>
        <v/>
      </c>
      <c r="CR204">
        <f>IFERROR(INDEX(PP_Grid[#Data],$DD204,94),0)</f>
        <v/>
      </c>
      <c r="CS204">
        <f>IFERROR(INDEX(PP_Grid[#Data],$DD204,95),0)</f>
        <v/>
      </c>
      <c r="CT204">
        <f>IFERROR(INDEX(PP_Grid[#Data],$DD204,96),0)</f>
        <v/>
      </c>
      <c r="CU204">
        <f>IFERROR(INDEX(PP_Grid[#Data],$DD204,97),0)</f>
        <v/>
      </c>
      <c r="CV204">
        <f>IFERROR(INDEX(PP_Grid[#Data],$DD204,98),0)</f>
        <v/>
      </c>
      <c r="CW204">
        <f>IFERROR(INDEX(PP_Grid[#Data],$DD204,99),0)</f>
        <v/>
      </c>
      <c r="CX204">
        <f>IFERROR(INDEX(PP_Grid[#Data],$DD204,100),0)</f>
        <v/>
      </c>
      <c r="CY204">
        <f>IFERROR(INDEX(PP_Grid[#Data],$DD204,101),0)</f>
        <v/>
      </c>
      <c r="CZ204">
        <f>IFERROR(INDEX(PP_Grid[#Data],$DD204,102),0)</f>
        <v/>
      </c>
      <c r="DA204">
        <f>IFERROR(INDEX(PP_Grid[#Data],$DD204,103),0)</f>
        <v/>
      </c>
      <c r="DB204">
        <f>IFERROR(INDEX(PP_Grid[#Data],$DD204,104),0)</f>
        <v/>
      </c>
      <c r="DC204">
        <f>IFERROR(INDEX(PP_Grid[#Data],$DD204,105),0)</f>
        <v/>
      </c>
      <c r="DD204" s="7">
        <f>IFERROR(MATCH($B204,PP_Grid[Intermediate],0),99999)</f>
        <v/>
      </c>
    </row>
    <row r="205">
      <c r="B205" t="inlineStr">
        <is>
          <t>使用量(kg)</t>
        </is>
      </c>
      <c r="C205">
        <f>SUMIFS(M_BOM[RM_Qty_Per_Batch],M_BOM[Intermediate],$B204,M_BOM[Part Name],$A45)</f>
        <v/>
      </c>
      <c r="D205">
        <f>$C205*D204</f>
        <v/>
      </c>
      <c r="E205">
        <f>$C205*E204</f>
        <v/>
      </c>
      <c r="F205">
        <f>$C205*F204</f>
        <v/>
      </c>
      <c r="G205">
        <f>$C205*G204</f>
        <v/>
      </c>
      <c r="H205">
        <f>$C205*H204</f>
        <v/>
      </c>
      <c r="I205">
        <f>$C205*I204</f>
        <v/>
      </c>
      <c r="J205">
        <f>$C205*J204</f>
        <v/>
      </c>
      <c r="K205">
        <f>$C205*K204</f>
        <v/>
      </c>
      <c r="L205">
        <f>$C205*L204</f>
        <v/>
      </c>
      <c r="M205">
        <f>$C205*M204</f>
        <v/>
      </c>
      <c r="N205">
        <f>$C205*N204</f>
        <v/>
      </c>
      <c r="O205">
        <f>$C205*O204</f>
        <v/>
      </c>
      <c r="P205">
        <f>$C205*P204</f>
        <v/>
      </c>
      <c r="Q205">
        <f>$C205*Q204</f>
        <v/>
      </c>
      <c r="R205">
        <f>$C205*R204</f>
        <v/>
      </c>
      <c r="S205">
        <f>$C205*S204</f>
        <v/>
      </c>
      <c r="T205">
        <f>$C205*T204</f>
        <v/>
      </c>
      <c r="U205">
        <f>$C205*U204</f>
        <v/>
      </c>
      <c r="V205">
        <f>$C205*V204</f>
        <v/>
      </c>
      <c r="W205">
        <f>$C205*W204</f>
        <v/>
      </c>
      <c r="X205">
        <f>$C205*X204</f>
        <v/>
      </c>
      <c r="Y205">
        <f>$C205*Y204</f>
        <v/>
      </c>
      <c r="Z205">
        <f>$C205*Z204</f>
        <v/>
      </c>
      <c r="AA205">
        <f>$C205*AA204</f>
        <v/>
      </c>
      <c r="AB205">
        <f>$C205*AB204</f>
        <v/>
      </c>
      <c r="AC205">
        <f>$C205*AC204</f>
        <v/>
      </c>
      <c r="AD205">
        <f>$C205*AD204</f>
        <v/>
      </c>
      <c r="AE205">
        <f>$C205*AE204</f>
        <v/>
      </c>
      <c r="AF205">
        <f>$C205*AF204</f>
        <v/>
      </c>
      <c r="AG205">
        <f>$C205*AG204</f>
        <v/>
      </c>
      <c r="AH205">
        <f>$C205*AH204</f>
        <v/>
      </c>
      <c r="AI205">
        <f>$C205*AI204</f>
        <v/>
      </c>
      <c r="AJ205">
        <f>$C205*AJ204</f>
        <v/>
      </c>
      <c r="AK205">
        <f>$C205*AK204</f>
        <v/>
      </c>
      <c r="AL205">
        <f>$C205*AL204</f>
        <v/>
      </c>
      <c r="AM205">
        <f>$C205*AM204</f>
        <v/>
      </c>
      <c r="AN205">
        <f>$C205*AN204</f>
        <v/>
      </c>
      <c r="AO205">
        <f>$C205*AO204</f>
        <v/>
      </c>
      <c r="AP205">
        <f>$C205*AP204</f>
        <v/>
      </c>
      <c r="AQ205">
        <f>$C205*AQ204</f>
        <v/>
      </c>
      <c r="AR205">
        <f>$C205*AR204</f>
        <v/>
      </c>
      <c r="AS205">
        <f>$C205*AS204</f>
        <v/>
      </c>
      <c r="AT205">
        <f>$C205*AT204</f>
        <v/>
      </c>
      <c r="AU205">
        <f>$C205*AU204</f>
        <v/>
      </c>
      <c r="AV205">
        <f>$C205*AV204</f>
        <v/>
      </c>
      <c r="AW205">
        <f>$C205*AW204</f>
        <v/>
      </c>
      <c r="AX205">
        <f>$C205*AX204</f>
        <v/>
      </c>
      <c r="AY205">
        <f>$C205*AY204</f>
        <v/>
      </c>
      <c r="AZ205">
        <f>$C205*AZ204</f>
        <v/>
      </c>
      <c r="BA205">
        <f>$C205*BA204</f>
        <v/>
      </c>
      <c r="BB205">
        <f>$C205*BB204</f>
        <v/>
      </c>
      <c r="BC205">
        <f>$C205*BC204</f>
        <v/>
      </c>
      <c r="BD205">
        <f>$C205*BD204</f>
        <v/>
      </c>
      <c r="BE205">
        <f>$C205*BE204</f>
        <v/>
      </c>
      <c r="BF205">
        <f>$C205*BF204</f>
        <v/>
      </c>
      <c r="BG205">
        <f>$C205*BG204</f>
        <v/>
      </c>
      <c r="BH205">
        <f>$C205*BH204</f>
        <v/>
      </c>
      <c r="BI205">
        <f>$C205*BI204</f>
        <v/>
      </c>
      <c r="BJ205">
        <f>$C205*BJ204</f>
        <v/>
      </c>
      <c r="BK205">
        <f>$C205*BK204</f>
        <v/>
      </c>
      <c r="BL205">
        <f>$C205*BL204</f>
        <v/>
      </c>
      <c r="BM205">
        <f>$C205*BM204</f>
        <v/>
      </c>
      <c r="BN205">
        <f>$C205*BN204</f>
        <v/>
      </c>
      <c r="BO205">
        <f>$C205*BO204</f>
        <v/>
      </c>
      <c r="BP205">
        <f>$C205*BP204</f>
        <v/>
      </c>
      <c r="BQ205">
        <f>$C205*BQ204</f>
        <v/>
      </c>
      <c r="BR205">
        <f>$C205*BR204</f>
        <v/>
      </c>
      <c r="BS205">
        <f>$C205*BS204</f>
        <v/>
      </c>
      <c r="BT205">
        <f>$C205*BT204</f>
        <v/>
      </c>
      <c r="BU205">
        <f>$C205*BU204</f>
        <v/>
      </c>
      <c r="BV205">
        <f>$C205*BV204</f>
        <v/>
      </c>
      <c r="BW205">
        <f>$C205*BW204</f>
        <v/>
      </c>
      <c r="BX205">
        <f>$C205*BX204</f>
        <v/>
      </c>
      <c r="BY205">
        <f>$C205*BY204</f>
        <v/>
      </c>
      <c r="BZ205">
        <f>$C205*BZ204</f>
        <v/>
      </c>
      <c r="CA205">
        <f>$C205*CA204</f>
        <v/>
      </c>
      <c r="CB205">
        <f>$C205*CB204</f>
        <v/>
      </c>
      <c r="CC205">
        <f>$C205*CC204</f>
        <v/>
      </c>
      <c r="CD205">
        <f>$C205*CD204</f>
        <v/>
      </c>
      <c r="CE205">
        <f>$C205*CE204</f>
        <v/>
      </c>
      <c r="CF205">
        <f>$C205*CF204</f>
        <v/>
      </c>
      <c r="CG205">
        <f>$C205*CG204</f>
        <v/>
      </c>
      <c r="CH205">
        <f>$C205*CH204</f>
        <v/>
      </c>
      <c r="CI205">
        <f>$C205*CI204</f>
        <v/>
      </c>
      <c r="CJ205">
        <f>$C205*CJ204</f>
        <v/>
      </c>
      <c r="CK205">
        <f>$C205*CK204</f>
        <v/>
      </c>
      <c r="CL205">
        <f>$C205*CL204</f>
        <v/>
      </c>
      <c r="CM205">
        <f>$C205*CM204</f>
        <v/>
      </c>
      <c r="CN205">
        <f>$C205*CN204</f>
        <v/>
      </c>
      <c r="CO205">
        <f>$C205*CO204</f>
        <v/>
      </c>
      <c r="CP205">
        <f>$C205*CP204</f>
        <v/>
      </c>
      <c r="CQ205">
        <f>$C205*CQ204</f>
        <v/>
      </c>
      <c r="CR205">
        <f>$C205*CR204</f>
        <v/>
      </c>
      <c r="CS205">
        <f>$C205*CS204</f>
        <v/>
      </c>
      <c r="CT205">
        <f>$C205*CT204</f>
        <v/>
      </c>
      <c r="CU205">
        <f>$C205*CU204</f>
        <v/>
      </c>
      <c r="CV205">
        <f>$C205*CV204</f>
        <v/>
      </c>
      <c r="CW205">
        <f>$C205*CW204</f>
        <v/>
      </c>
      <c r="CX205">
        <f>$C205*CX204</f>
        <v/>
      </c>
      <c r="CY205">
        <f>$C205*CY204</f>
        <v/>
      </c>
      <c r="CZ205">
        <f>$C205*CZ204</f>
        <v/>
      </c>
      <c r="DA205">
        <f>$C205*DA204</f>
        <v/>
      </c>
      <c r="DB205">
        <f>$C205*DB204</f>
        <v/>
      </c>
      <c r="DC205">
        <f>$C205*DC204</f>
        <v/>
      </c>
    </row>
    <row r="206">
      <c r="B206" t="inlineStr">
        <is>
          <t>TVS-267</t>
        </is>
      </c>
      <c r="C206" t="inlineStr">
        <is>
          <t>No. of batches</t>
        </is>
      </c>
      <c r="D206">
        <f>IFERROR(INDEX(PP_Grid[#Data],$DD206,2),0)</f>
        <v/>
      </c>
      <c r="E206">
        <f>IFERROR(INDEX(PP_Grid[#Data],$DD206,3),0)</f>
        <v/>
      </c>
      <c r="F206">
        <f>IFERROR(INDEX(PP_Grid[#Data],$DD206,4),0)</f>
        <v/>
      </c>
      <c r="G206">
        <f>IFERROR(INDEX(PP_Grid[#Data],$DD206,5),0)</f>
        <v/>
      </c>
      <c r="H206">
        <f>IFERROR(INDEX(PP_Grid[#Data],$DD206,6),0)</f>
        <v/>
      </c>
      <c r="I206">
        <f>IFERROR(INDEX(PP_Grid[#Data],$DD206,7),0)</f>
        <v/>
      </c>
      <c r="J206">
        <f>IFERROR(INDEX(PP_Grid[#Data],$DD206,8),0)</f>
        <v/>
      </c>
      <c r="K206">
        <f>IFERROR(INDEX(PP_Grid[#Data],$DD206,9),0)</f>
        <v/>
      </c>
      <c r="L206">
        <f>IFERROR(INDEX(PP_Grid[#Data],$DD206,10),0)</f>
        <v/>
      </c>
      <c r="M206">
        <f>IFERROR(INDEX(PP_Grid[#Data],$DD206,11),0)</f>
        <v/>
      </c>
      <c r="N206">
        <f>IFERROR(INDEX(PP_Grid[#Data],$DD206,12),0)</f>
        <v/>
      </c>
      <c r="O206">
        <f>IFERROR(INDEX(PP_Grid[#Data],$DD206,13),0)</f>
        <v/>
      </c>
      <c r="P206">
        <f>IFERROR(INDEX(PP_Grid[#Data],$DD206,14),0)</f>
        <v/>
      </c>
      <c r="Q206">
        <f>IFERROR(INDEX(PP_Grid[#Data],$DD206,15),0)</f>
        <v/>
      </c>
      <c r="R206">
        <f>IFERROR(INDEX(PP_Grid[#Data],$DD206,16),0)</f>
        <v/>
      </c>
      <c r="S206">
        <f>IFERROR(INDEX(PP_Grid[#Data],$DD206,17),0)</f>
        <v/>
      </c>
      <c r="T206">
        <f>IFERROR(INDEX(PP_Grid[#Data],$DD206,18),0)</f>
        <v/>
      </c>
      <c r="U206">
        <f>IFERROR(INDEX(PP_Grid[#Data],$DD206,19),0)</f>
        <v/>
      </c>
      <c r="V206">
        <f>IFERROR(INDEX(PP_Grid[#Data],$DD206,20),0)</f>
        <v/>
      </c>
      <c r="W206">
        <f>IFERROR(INDEX(PP_Grid[#Data],$DD206,21),0)</f>
        <v/>
      </c>
      <c r="X206">
        <f>IFERROR(INDEX(PP_Grid[#Data],$DD206,22),0)</f>
        <v/>
      </c>
      <c r="Y206">
        <f>IFERROR(INDEX(PP_Grid[#Data],$DD206,23),0)</f>
        <v/>
      </c>
      <c r="Z206">
        <f>IFERROR(INDEX(PP_Grid[#Data],$DD206,24),0)</f>
        <v/>
      </c>
      <c r="AA206">
        <f>IFERROR(INDEX(PP_Grid[#Data],$DD206,25),0)</f>
        <v/>
      </c>
      <c r="AB206">
        <f>IFERROR(INDEX(PP_Grid[#Data],$DD206,26),0)</f>
        <v/>
      </c>
      <c r="AC206">
        <f>IFERROR(INDEX(PP_Grid[#Data],$DD206,27),0)</f>
        <v/>
      </c>
      <c r="AD206">
        <f>IFERROR(INDEX(PP_Grid[#Data],$DD206,28),0)</f>
        <v/>
      </c>
      <c r="AE206">
        <f>IFERROR(INDEX(PP_Grid[#Data],$DD206,29),0)</f>
        <v/>
      </c>
      <c r="AF206">
        <f>IFERROR(INDEX(PP_Grid[#Data],$DD206,30),0)</f>
        <v/>
      </c>
      <c r="AG206">
        <f>IFERROR(INDEX(PP_Grid[#Data],$DD206,31),0)</f>
        <v/>
      </c>
      <c r="AH206">
        <f>IFERROR(INDEX(PP_Grid[#Data],$DD206,32),0)</f>
        <v/>
      </c>
      <c r="AI206">
        <f>IFERROR(INDEX(PP_Grid[#Data],$DD206,33),0)</f>
        <v/>
      </c>
      <c r="AJ206">
        <f>IFERROR(INDEX(PP_Grid[#Data],$DD206,34),0)</f>
        <v/>
      </c>
      <c r="AK206">
        <f>IFERROR(INDEX(PP_Grid[#Data],$DD206,35),0)</f>
        <v/>
      </c>
      <c r="AL206">
        <f>IFERROR(INDEX(PP_Grid[#Data],$DD206,36),0)</f>
        <v/>
      </c>
      <c r="AM206">
        <f>IFERROR(INDEX(PP_Grid[#Data],$DD206,37),0)</f>
        <v/>
      </c>
      <c r="AN206">
        <f>IFERROR(INDEX(PP_Grid[#Data],$DD206,38),0)</f>
        <v/>
      </c>
      <c r="AO206">
        <f>IFERROR(INDEX(PP_Grid[#Data],$DD206,39),0)</f>
        <v/>
      </c>
      <c r="AP206">
        <f>IFERROR(INDEX(PP_Grid[#Data],$DD206,40),0)</f>
        <v/>
      </c>
      <c r="AQ206">
        <f>IFERROR(INDEX(PP_Grid[#Data],$DD206,41),0)</f>
        <v/>
      </c>
      <c r="AR206">
        <f>IFERROR(INDEX(PP_Grid[#Data],$DD206,42),0)</f>
        <v/>
      </c>
      <c r="AS206">
        <f>IFERROR(INDEX(PP_Grid[#Data],$DD206,43),0)</f>
        <v/>
      </c>
      <c r="AT206">
        <f>IFERROR(INDEX(PP_Grid[#Data],$DD206,44),0)</f>
        <v/>
      </c>
      <c r="AU206">
        <f>IFERROR(INDEX(PP_Grid[#Data],$DD206,45),0)</f>
        <v/>
      </c>
      <c r="AV206">
        <f>IFERROR(INDEX(PP_Grid[#Data],$DD206,46),0)</f>
        <v/>
      </c>
      <c r="AW206">
        <f>IFERROR(INDEX(PP_Grid[#Data],$DD206,47),0)</f>
        <v/>
      </c>
      <c r="AX206">
        <f>IFERROR(INDEX(PP_Grid[#Data],$DD206,48),0)</f>
        <v/>
      </c>
      <c r="AY206">
        <f>IFERROR(INDEX(PP_Grid[#Data],$DD206,49),0)</f>
        <v/>
      </c>
      <c r="AZ206">
        <f>IFERROR(INDEX(PP_Grid[#Data],$DD206,50),0)</f>
        <v/>
      </c>
      <c r="BA206">
        <f>IFERROR(INDEX(PP_Grid[#Data],$DD206,51),0)</f>
        <v/>
      </c>
      <c r="BB206">
        <f>IFERROR(INDEX(PP_Grid[#Data],$DD206,52),0)</f>
        <v/>
      </c>
      <c r="BC206">
        <f>IFERROR(INDEX(PP_Grid[#Data],$DD206,53),0)</f>
        <v/>
      </c>
      <c r="BD206">
        <f>IFERROR(INDEX(PP_Grid[#Data],$DD206,54),0)</f>
        <v/>
      </c>
      <c r="BE206">
        <f>IFERROR(INDEX(PP_Grid[#Data],$DD206,55),0)</f>
        <v/>
      </c>
      <c r="BF206">
        <f>IFERROR(INDEX(PP_Grid[#Data],$DD206,56),0)</f>
        <v/>
      </c>
      <c r="BG206">
        <f>IFERROR(INDEX(PP_Grid[#Data],$DD206,57),0)</f>
        <v/>
      </c>
      <c r="BH206">
        <f>IFERROR(INDEX(PP_Grid[#Data],$DD206,58),0)</f>
        <v/>
      </c>
      <c r="BI206">
        <f>IFERROR(INDEX(PP_Grid[#Data],$DD206,59),0)</f>
        <v/>
      </c>
      <c r="BJ206">
        <f>IFERROR(INDEX(PP_Grid[#Data],$DD206,60),0)</f>
        <v/>
      </c>
      <c r="BK206">
        <f>IFERROR(INDEX(PP_Grid[#Data],$DD206,61),0)</f>
        <v/>
      </c>
      <c r="BL206">
        <f>IFERROR(INDEX(PP_Grid[#Data],$DD206,62),0)</f>
        <v/>
      </c>
      <c r="BM206">
        <f>IFERROR(INDEX(PP_Grid[#Data],$DD206,63),0)</f>
        <v/>
      </c>
      <c r="BN206">
        <f>IFERROR(INDEX(PP_Grid[#Data],$DD206,64),0)</f>
        <v/>
      </c>
      <c r="BO206">
        <f>IFERROR(INDEX(PP_Grid[#Data],$DD206,65),0)</f>
        <v/>
      </c>
      <c r="BP206">
        <f>IFERROR(INDEX(PP_Grid[#Data],$DD206,66),0)</f>
        <v/>
      </c>
      <c r="BQ206">
        <f>IFERROR(INDEX(PP_Grid[#Data],$DD206,67),0)</f>
        <v/>
      </c>
      <c r="BR206">
        <f>IFERROR(INDEX(PP_Grid[#Data],$DD206,68),0)</f>
        <v/>
      </c>
      <c r="BS206">
        <f>IFERROR(INDEX(PP_Grid[#Data],$DD206,69),0)</f>
        <v/>
      </c>
      <c r="BT206">
        <f>IFERROR(INDEX(PP_Grid[#Data],$DD206,70),0)</f>
        <v/>
      </c>
      <c r="BU206">
        <f>IFERROR(INDEX(PP_Grid[#Data],$DD206,71),0)</f>
        <v/>
      </c>
      <c r="BV206">
        <f>IFERROR(INDEX(PP_Grid[#Data],$DD206,72),0)</f>
        <v/>
      </c>
      <c r="BW206">
        <f>IFERROR(INDEX(PP_Grid[#Data],$DD206,73),0)</f>
        <v/>
      </c>
      <c r="BX206">
        <f>IFERROR(INDEX(PP_Grid[#Data],$DD206,74),0)</f>
        <v/>
      </c>
      <c r="BY206">
        <f>IFERROR(INDEX(PP_Grid[#Data],$DD206,75),0)</f>
        <v/>
      </c>
      <c r="BZ206">
        <f>IFERROR(INDEX(PP_Grid[#Data],$DD206,76),0)</f>
        <v/>
      </c>
      <c r="CA206">
        <f>IFERROR(INDEX(PP_Grid[#Data],$DD206,77),0)</f>
        <v/>
      </c>
      <c r="CB206">
        <f>IFERROR(INDEX(PP_Grid[#Data],$DD206,78),0)</f>
        <v/>
      </c>
      <c r="CC206">
        <f>IFERROR(INDEX(PP_Grid[#Data],$DD206,79),0)</f>
        <v/>
      </c>
      <c r="CD206">
        <f>IFERROR(INDEX(PP_Grid[#Data],$DD206,80),0)</f>
        <v/>
      </c>
      <c r="CE206">
        <f>IFERROR(INDEX(PP_Grid[#Data],$DD206,81),0)</f>
        <v/>
      </c>
      <c r="CF206">
        <f>IFERROR(INDEX(PP_Grid[#Data],$DD206,82),0)</f>
        <v/>
      </c>
      <c r="CG206">
        <f>IFERROR(INDEX(PP_Grid[#Data],$DD206,83),0)</f>
        <v/>
      </c>
      <c r="CH206">
        <f>IFERROR(INDEX(PP_Grid[#Data],$DD206,84),0)</f>
        <v/>
      </c>
      <c r="CI206">
        <f>IFERROR(INDEX(PP_Grid[#Data],$DD206,85),0)</f>
        <v/>
      </c>
      <c r="CJ206">
        <f>IFERROR(INDEX(PP_Grid[#Data],$DD206,86),0)</f>
        <v/>
      </c>
      <c r="CK206">
        <f>IFERROR(INDEX(PP_Grid[#Data],$DD206,87),0)</f>
        <v/>
      </c>
      <c r="CL206">
        <f>IFERROR(INDEX(PP_Grid[#Data],$DD206,88),0)</f>
        <v/>
      </c>
      <c r="CM206">
        <f>IFERROR(INDEX(PP_Grid[#Data],$DD206,89),0)</f>
        <v/>
      </c>
      <c r="CN206">
        <f>IFERROR(INDEX(PP_Grid[#Data],$DD206,90),0)</f>
        <v/>
      </c>
      <c r="CO206">
        <f>IFERROR(INDEX(PP_Grid[#Data],$DD206,91),0)</f>
        <v/>
      </c>
      <c r="CP206">
        <f>IFERROR(INDEX(PP_Grid[#Data],$DD206,92),0)</f>
        <v/>
      </c>
      <c r="CQ206">
        <f>IFERROR(INDEX(PP_Grid[#Data],$DD206,93),0)</f>
        <v/>
      </c>
      <c r="CR206">
        <f>IFERROR(INDEX(PP_Grid[#Data],$DD206,94),0)</f>
        <v/>
      </c>
      <c r="CS206">
        <f>IFERROR(INDEX(PP_Grid[#Data],$DD206,95),0)</f>
        <v/>
      </c>
      <c r="CT206">
        <f>IFERROR(INDEX(PP_Grid[#Data],$DD206,96),0)</f>
        <v/>
      </c>
      <c r="CU206">
        <f>IFERROR(INDEX(PP_Grid[#Data],$DD206,97),0)</f>
        <v/>
      </c>
      <c r="CV206">
        <f>IFERROR(INDEX(PP_Grid[#Data],$DD206,98),0)</f>
        <v/>
      </c>
      <c r="CW206">
        <f>IFERROR(INDEX(PP_Grid[#Data],$DD206,99),0)</f>
        <v/>
      </c>
      <c r="CX206">
        <f>IFERROR(INDEX(PP_Grid[#Data],$DD206,100),0)</f>
        <v/>
      </c>
      <c r="CY206">
        <f>IFERROR(INDEX(PP_Grid[#Data],$DD206,101),0)</f>
        <v/>
      </c>
      <c r="CZ206">
        <f>IFERROR(INDEX(PP_Grid[#Data],$DD206,102),0)</f>
        <v/>
      </c>
      <c r="DA206">
        <f>IFERROR(INDEX(PP_Grid[#Data],$DD206,103),0)</f>
        <v/>
      </c>
      <c r="DB206">
        <f>IFERROR(INDEX(PP_Grid[#Data],$DD206,104),0)</f>
        <v/>
      </c>
      <c r="DC206">
        <f>IFERROR(INDEX(PP_Grid[#Data],$DD206,105),0)</f>
        <v/>
      </c>
      <c r="DD206" s="7">
        <f>IFERROR(MATCH($B206,PP_Grid[Intermediate],0),99999)</f>
        <v/>
      </c>
    </row>
    <row r="207">
      <c r="B207" t="inlineStr">
        <is>
          <t>使用量(kg)</t>
        </is>
      </c>
      <c r="C207">
        <f>SUMIFS(M_BOM[RM_Qty_Per_Batch],M_BOM[Intermediate],$B206,M_BOM[Part Name],$A45)</f>
        <v/>
      </c>
      <c r="D207">
        <f>$C207*D206</f>
        <v/>
      </c>
      <c r="E207">
        <f>$C207*E206</f>
        <v/>
      </c>
      <c r="F207">
        <f>$C207*F206</f>
        <v/>
      </c>
      <c r="G207">
        <f>$C207*G206</f>
        <v/>
      </c>
      <c r="H207">
        <f>$C207*H206</f>
        <v/>
      </c>
      <c r="I207">
        <f>$C207*I206</f>
        <v/>
      </c>
      <c r="J207">
        <f>$C207*J206</f>
        <v/>
      </c>
      <c r="K207">
        <f>$C207*K206</f>
        <v/>
      </c>
      <c r="L207">
        <f>$C207*L206</f>
        <v/>
      </c>
      <c r="M207">
        <f>$C207*M206</f>
        <v/>
      </c>
      <c r="N207">
        <f>$C207*N206</f>
        <v/>
      </c>
      <c r="O207">
        <f>$C207*O206</f>
        <v/>
      </c>
      <c r="P207">
        <f>$C207*P206</f>
        <v/>
      </c>
      <c r="Q207">
        <f>$C207*Q206</f>
        <v/>
      </c>
      <c r="R207">
        <f>$C207*R206</f>
        <v/>
      </c>
      <c r="S207">
        <f>$C207*S206</f>
        <v/>
      </c>
      <c r="T207">
        <f>$C207*T206</f>
        <v/>
      </c>
      <c r="U207">
        <f>$C207*U206</f>
        <v/>
      </c>
      <c r="V207">
        <f>$C207*V206</f>
        <v/>
      </c>
      <c r="W207">
        <f>$C207*W206</f>
        <v/>
      </c>
      <c r="X207">
        <f>$C207*X206</f>
        <v/>
      </c>
      <c r="Y207">
        <f>$C207*Y206</f>
        <v/>
      </c>
      <c r="Z207">
        <f>$C207*Z206</f>
        <v/>
      </c>
      <c r="AA207">
        <f>$C207*AA206</f>
        <v/>
      </c>
      <c r="AB207">
        <f>$C207*AB206</f>
        <v/>
      </c>
      <c r="AC207">
        <f>$C207*AC206</f>
        <v/>
      </c>
      <c r="AD207">
        <f>$C207*AD206</f>
        <v/>
      </c>
      <c r="AE207">
        <f>$C207*AE206</f>
        <v/>
      </c>
      <c r="AF207">
        <f>$C207*AF206</f>
        <v/>
      </c>
      <c r="AG207">
        <f>$C207*AG206</f>
        <v/>
      </c>
      <c r="AH207">
        <f>$C207*AH206</f>
        <v/>
      </c>
      <c r="AI207">
        <f>$C207*AI206</f>
        <v/>
      </c>
      <c r="AJ207">
        <f>$C207*AJ206</f>
        <v/>
      </c>
      <c r="AK207">
        <f>$C207*AK206</f>
        <v/>
      </c>
      <c r="AL207">
        <f>$C207*AL206</f>
        <v/>
      </c>
      <c r="AM207">
        <f>$C207*AM206</f>
        <v/>
      </c>
      <c r="AN207">
        <f>$C207*AN206</f>
        <v/>
      </c>
      <c r="AO207">
        <f>$C207*AO206</f>
        <v/>
      </c>
      <c r="AP207">
        <f>$C207*AP206</f>
        <v/>
      </c>
      <c r="AQ207">
        <f>$C207*AQ206</f>
        <v/>
      </c>
      <c r="AR207">
        <f>$C207*AR206</f>
        <v/>
      </c>
      <c r="AS207">
        <f>$C207*AS206</f>
        <v/>
      </c>
      <c r="AT207">
        <f>$C207*AT206</f>
        <v/>
      </c>
      <c r="AU207">
        <f>$C207*AU206</f>
        <v/>
      </c>
      <c r="AV207">
        <f>$C207*AV206</f>
        <v/>
      </c>
      <c r="AW207">
        <f>$C207*AW206</f>
        <v/>
      </c>
      <c r="AX207">
        <f>$C207*AX206</f>
        <v/>
      </c>
      <c r="AY207">
        <f>$C207*AY206</f>
        <v/>
      </c>
      <c r="AZ207">
        <f>$C207*AZ206</f>
        <v/>
      </c>
      <c r="BA207">
        <f>$C207*BA206</f>
        <v/>
      </c>
      <c r="BB207">
        <f>$C207*BB206</f>
        <v/>
      </c>
      <c r="BC207">
        <f>$C207*BC206</f>
        <v/>
      </c>
      <c r="BD207">
        <f>$C207*BD206</f>
        <v/>
      </c>
      <c r="BE207">
        <f>$C207*BE206</f>
        <v/>
      </c>
      <c r="BF207">
        <f>$C207*BF206</f>
        <v/>
      </c>
      <c r="BG207">
        <f>$C207*BG206</f>
        <v/>
      </c>
      <c r="BH207">
        <f>$C207*BH206</f>
        <v/>
      </c>
      <c r="BI207">
        <f>$C207*BI206</f>
        <v/>
      </c>
      <c r="BJ207">
        <f>$C207*BJ206</f>
        <v/>
      </c>
      <c r="BK207">
        <f>$C207*BK206</f>
        <v/>
      </c>
      <c r="BL207">
        <f>$C207*BL206</f>
        <v/>
      </c>
      <c r="BM207">
        <f>$C207*BM206</f>
        <v/>
      </c>
      <c r="BN207">
        <f>$C207*BN206</f>
        <v/>
      </c>
      <c r="BO207">
        <f>$C207*BO206</f>
        <v/>
      </c>
      <c r="BP207">
        <f>$C207*BP206</f>
        <v/>
      </c>
      <c r="BQ207">
        <f>$C207*BQ206</f>
        <v/>
      </c>
      <c r="BR207">
        <f>$C207*BR206</f>
        <v/>
      </c>
      <c r="BS207">
        <f>$C207*BS206</f>
        <v/>
      </c>
      <c r="BT207">
        <f>$C207*BT206</f>
        <v/>
      </c>
      <c r="BU207">
        <f>$C207*BU206</f>
        <v/>
      </c>
      <c r="BV207">
        <f>$C207*BV206</f>
        <v/>
      </c>
      <c r="BW207">
        <f>$C207*BW206</f>
        <v/>
      </c>
      <c r="BX207">
        <f>$C207*BX206</f>
        <v/>
      </c>
      <c r="BY207">
        <f>$C207*BY206</f>
        <v/>
      </c>
      <c r="BZ207">
        <f>$C207*BZ206</f>
        <v/>
      </c>
      <c r="CA207">
        <f>$C207*CA206</f>
        <v/>
      </c>
      <c r="CB207">
        <f>$C207*CB206</f>
        <v/>
      </c>
      <c r="CC207">
        <f>$C207*CC206</f>
        <v/>
      </c>
      <c r="CD207">
        <f>$C207*CD206</f>
        <v/>
      </c>
      <c r="CE207">
        <f>$C207*CE206</f>
        <v/>
      </c>
      <c r="CF207">
        <f>$C207*CF206</f>
        <v/>
      </c>
      <c r="CG207">
        <f>$C207*CG206</f>
        <v/>
      </c>
      <c r="CH207">
        <f>$C207*CH206</f>
        <v/>
      </c>
      <c r="CI207">
        <f>$C207*CI206</f>
        <v/>
      </c>
      <c r="CJ207">
        <f>$C207*CJ206</f>
        <v/>
      </c>
      <c r="CK207">
        <f>$C207*CK206</f>
        <v/>
      </c>
      <c r="CL207">
        <f>$C207*CL206</f>
        <v/>
      </c>
      <c r="CM207">
        <f>$C207*CM206</f>
        <v/>
      </c>
      <c r="CN207">
        <f>$C207*CN206</f>
        <v/>
      </c>
      <c r="CO207">
        <f>$C207*CO206</f>
        <v/>
      </c>
      <c r="CP207">
        <f>$C207*CP206</f>
        <v/>
      </c>
      <c r="CQ207">
        <f>$C207*CQ206</f>
        <v/>
      </c>
      <c r="CR207">
        <f>$C207*CR206</f>
        <v/>
      </c>
      <c r="CS207">
        <f>$C207*CS206</f>
        <v/>
      </c>
      <c r="CT207">
        <f>$C207*CT206</f>
        <v/>
      </c>
      <c r="CU207">
        <f>$C207*CU206</f>
        <v/>
      </c>
      <c r="CV207">
        <f>$C207*CV206</f>
        <v/>
      </c>
      <c r="CW207">
        <f>$C207*CW206</f>
        <v/>
      </c>
      <c r="CX207">
        <f>$C207*CX206</f>
        <v/>
      </c>
      <c r="CY207">
        <f>$C207*CY206</f>
        <v/>
      </c>
      <c r="CZ207">
        <f>$C207*CZ206</f>
        <v/>
      </c>
      <c r="DA207">
        <f>$C207*DA206</f>
        <v/>
      </c>
      <c r="DB207">
        <f>$C207*DB206</f>
        <v/>
      </c>
      <c r="DC207">
        <f>$C207*DC206</f>
        <v/>
      </c>
    </row>
    <row r="208">
      <c r="B208" t="inlineStr">
        <is>
          <t>TVS-500</t>
        </is>
      </c>
      <c r="C208" t="inlineStr">
        <is>
          <t>No. of batches</t>
        </is>
      </c>
      <c r="D208">
        <f>IFERROR(INDEX(PP_Grid[#Data],$DD208,2),0)</f>
        <v/>
      </c>
      <c r="E208">
        <f>IFERROR(INDEX(PP_Grid[#Data],$DD208,3),0)</f>
        <v/>
      </c>
      <c r="F208">
        <f>IFERROR(INDEX(PP_Grid[#Data],$DD208,4),0)</f>
        <v/>
      </c>
      <c r="G208">
        <f>IFERROR(INDEX(PP_Grid[#Data],$DD208,5),0)</f>
        <v/>
      </c>
      <c r="H208">
        <f>IFERROR(INDEX(PP_Grid[#Data],$DD208,6),0)</f>
        <v/>
      </c>
      <c r="I208">
        <f>IFERROR(INDEX(PP_Grid[#Data],$DD208,7),0)</f>
        <v/>
      </c>
      <c r="J208">
        <f>IFERROR(INDEX(PP_Grid[#Data],$DD208,8),0)</f>
        <v/>
      </c>
      <c r="K208">
        <f>IFERROR(INDEX(PP_Grid[#Data],$DD208,9),0)</f>
        <v/>
      </c>
      <c r="L208">
        <f>IFERROR(INDEX(PP_Grid[#Data],$DD208,10),0)</f>
        <v/>
      </c>
      <c r="M208">
        <f>IFERROR(INDEX(PP_Grid[#Data],$DD208,11),0)</f>
        <v/>
      </c>
      <c r="N208">
        <f>IFERROR(INDEX(PP_Grid[#Data],$DD208,12),0)</f>
        <v/>
      </c>
      <c r="O208">
        <f>IFERROR(INDEX(PP_Grid[#Data],$DD208,13),0)</f>
        <v/>
      </c>
      <c r="P208">
        <f>IFERROR(INDEX(PP_Grid[#Data],$DD208,14),0)</f>
        <v/>
      </c>
      <c r="Q208">
        <f>IFERROR(INDEX(PP_Grid[#Data],$DD208,15),0)</f>
        <v/>
      </c>
      <c r="R208">
        <f>IFERROR(INDEX(PP_Grid[#Data],$DD208,16),0)</f>
        <v/>
      </c>
      <c r="S208">
        <f>IFERROR(INDEX(PP_Grid[#Data],$DD208,17),0)</f>
        <v/>
      </c>
      <c r="T208">
        <f>IFERROR(INDEX(PP_Grid[#Data],$DD208,18),0)</f>
        <v/>
      </c>
      <c r="U208">
        <f>IFERROR(INDEX(PP_Grid[#Data],$DD208,19),0)</f>
        <v/>
      </c>
      <c r="V208">
        <f>IFERROR(INDEX(PP_Grid[#Data],$DD208,20),0)</f>
        <v/>
      </c>
      <c r="W208">
        <f>IFERROR(INDEX(PP_Grid[#Data],$DD208,21),0)</f>
        <v/>
      </c>
      <c r="X208">
        <f>IFERROR(INDEX(PP_Grid[#Data],$DD208,22),0)</f>
        <v/>
      </c>
      <c r="Y208">
        <f>IFERROR(INDEX(PP_Grid[#Data],$DD208,23),0)</f>
        <v/>
      </c>
      <c r="Z208">
        <f>IFERROR(INDEX(PP_Grid[#Data],$DD208,24),0)</f>
        <v/>
      </c>
      <c r="AA208">
        <f>IFERROR(INDEX(PP_Grid[#Data],$DD208,25),0)</f>
        <v/>
      </c>
      <c r="AB208">
        <f>IFERROR(INDEX(PP_Grid[#Data],$DD208,26),0)</f>
        <v/>
      </c>
      <c r="AC208">
        <f>IFERROR(INDEX(PP_Grid[#Data],$DD208,27),0)</f>
        <v/>
      </c>
      <c r="AD208">
        <f>IFERROR(INDEX(PP_Grid[#Data],$DD208,28),0)</f>
        <v/>
      </c>
      <c r="AE208">
        <f>IFERROR(INDEX(PP_Grid[#Data],$DD208,29),0)</f>
        <v/>
      </c>
      <c r="AF208">
        <f>IFERROR(INDEX(PP_Grid[#Data],$DD208,30),0)</f>
        <v/>
      </c>
      <c r="AG208">
        <f>IFERROR(INDEX(PP_Grid[#Data],$DD208,31),0)</f>
        <v/>
      </c>
      <c r="AH208">
        <f>IFERROR(INDEX(PP_Grid[#Data],$DD208,32),0)</f>
        <v/>
      </c>
      <c r="AI208">
        <f>IFERROR(INDEX(PP_Grid[#Data],$DD208,33),0)</f>
        <v/>
      </c>
      <c r="AJ208">
        <f>IFERROR(INDEX(PP_Grid[#Data],$DD208,34),0)</f>
        <v/>
      </c>
      <c r="AK208">
        <f>IFERROR(INDEX(PP_Grid[#Data],$DD208,35),0)</f>
        <v/>
      </c>
      <c r="AL208">
        <f>IFERROR(INDEX(PP_Grid[#Data],$DD208,36),0)</f>
        <v/>
      </c>
      <c r="AM208">
        <f>IFERROR(INDEX(PP_Grid[#Data],$DD208,37),0)</f>
        <v/>
      </c>
      <c r="AN208">
        <f>IFERROR(INDEX(PP_Grid[#Data],$DD208,38),0)</f>
        <v/>
      </c>
      <c r="AO208">
        <f>IFERROR(INDEX(PP_Grid[#Data],$DD208,39),0)</f>
        <v/>
      </c>
      <c r="AP208">
        <f>IFERROR(INDEX(PP_Grid[#Data],$DD208,40),0)</f>
        <v/>
      </c>
      <c r="AQ208">
        <f>IFERROR(INDEX(PP_Grid[#Data],$DD208,41),0)</f>
        <v/>
      </c>
      <c r="AR208">
        <f>IFERROR(INDEX(PP_Grid[#Data],$DD208,42),0)</f>
        <v/>
      </c>
      <c r="AS208">
        <f>IFERROR(INDEX(PP_Grid[#Data],$DD208,43),0)</f>
        <v/>
      </c>
      <c r="AT208">
        <f>IFERROR(INDEX(PP_Grid[#Data],$DD208,44),0)</f>
        <v/>
      </c>
      <c r="AU208">
        <f>IFERROR(INDEX(PP_Grid[#Data],$DD208,45),0)</f>
        <v/>
      </c>
      <c r="AV208">
        <f>IFERROR(INDEX(PP_Grid[#Data],$DD208,46),0)</f>
        <v/>
      </c>
      <c r="AW208">
        <f>IFERROR(INDEX(PP_Grid[#Data],$DD208,47),0)</f>
        <v/>
      </c>
      <c r="AX208">
        <f>IFERROR(INDEX(PP_Grid[#Data],$DD208,48),0)</f>
        <v/>
      </c>
      <c r="AY208">
        <f>IFERROR(INDEX(PP_Grid[#Data],$DD208,49),0)</f>
        <v/>
      </c>
      <c r="AZ208">
        <f>IFERROR(INDEX(PP_Grid[#Data],$DD208,50),0)</f>
        <v/>
      </c>
      <c r="BA208">
        <f>IFERROR(INDEX(PP_Grid[#Data],$DD208,51),0)</f>
        <v/>
      </c>
      <c r="BB208">
        <f>IFERROR(INDEX(PP_Grid[#Data],$DD208,52),0)</f>
        <v/>
      </c>
      <c r="BC208">
        <f>IFERROR(INDEX(PP_Grid[#Data],$DD208,53),0)</f>
        <v/>
      </c>
      <c r="BD208">
        <f>IFERROR(INDEX(PP_Grid[#Data],$DD208,54),0)</f>
        <v/>
      </c>
      <c r="BE208">
        <f>IFERROR(INDEX(PP_Grid[#Data],$DD208,55),0)</f>
        <v/>
      </c>
      <c r="BF208">
        <f>IFERROR(INDEX(PP_Grid[#Data],$DD208,56),0)</f>
        <v/>
      </c>
      <c r="BG208">
        <f>IFERROR(INDEX(PP_Grid[#Data],$DD208,57),0)</f>
        <v/>
      </c>
      <c r="BH208">
        <f>IFERROR(INDEX(PP_Grid[#Data],$DD208,58),0)</f>
        <v/>
      </c>
      <c r="BI208">
        <f>IFERROR(INDEX(PP_Grid[#Data],$DD208,59),0)</f>
        <v/>
      </c>
      <c r="BJ208">
        <f>IFERROR(INDEX(PP_Grid[#Data],$DD208,60),0)</f>
        <v/>
      </c>
      <c r="BK208">
        <f>IFERROR(INDEX(PP_Grid[#Data],$DD208,61),0)</f>
        <v/>
      </c>
      <c r="BL208">
        <f>IFERROR(INDEX(PP_Grid[#Data],$DD208,62),0)</f>
        <v/>
      </c>
      <c r="BM208">
        <f>IFERROR(INDEX(PP_Grid[#Data],$DD208,63),0)</f>
        <v/>
      </c>
      <c r="BN208">
        <f>IFERROR(INDEX(PP_Grid[#Data],$DD208,64),0)</f>
        <v/>
      </c>
      <c r="BO208">
        <f>IFERROR(INDEX(PP_Grid[#Data],$DD208,65),0)</f>
        <v/>
      </c>
      <c r="BP208">
        <f>IFERROR(INDEX(PP_Grid[#Data],$DD208,66),0)</f>
        <v/>
      </c>
      <c r="BQ208">
        <f>IFERROR(INDEX(PP_Grid[#Data],$DD208,67),0)</f>
        <v/>
      </c>
      <c r="BR208">
        <f>IFERROR(INDEX(PP_Grid[#Data],$DD208,68),0)</f>
        <v/>
      </c>
      <c r="BS208">
        <f>IFERROR(INDEX(PP_Grid[#Data],$DD208,69),0)</f>
        <v/>
      </c>
      <c r="BT208">
        <f>IFERROR(INDEX(PP_Grid[#Data],$DD208,70),0)</f>
        <v/>
      </c>
      <c r="BU208">
        <f>IFERROR(INDEX(PP_Grid[#Data],$DD208,71),0)</f>
        <v/>
      </c>
      <c r="BV208">
        <f>IFERROR(INDEX(PP_Grid[#Data],$DD208,72),0)</f>
        <v/>
      </c>
      <c r="BW208">
        <f>IFERROR(INDEX(PP_Grid[#Data],$DD208,73),0)</f>
        <v/>
      </c>
      <c r="BX208">
        <f>IFERROR(INDEX(PP_Grid[#Data],$DD208,74),0)</f>
        <v/>
      </c>
      <c r="BY208">
        <f>IFERROR(INDEX(PP_Grid[#Data],$DD208,75),0)</f>
        <v/>
      </c>
      <c r="BZ208">
        <f>IFERROR(INDEX(PP_Grid[#Data],$DD208,76),0)</f>
        <v/>
      </c>
      <c r="CA208">
        <f>IFERROR(INDEX(PP_Grid[#Data],$DD208,77),0)</f>
        <v/>
      </c>
      <c r="CB208">
        <f>IFERROR(INDEX(PP_Grid[#Data],$DD208,78),0)</f>
        <v/>
      </c>
      <c r="CC208">
        <f>IFERROR(INDEX(PP_Grid[#Data],$DD208,79),0)</f>
        <v/>
      </c>
      <c r="CD208">
        <f>IFERROR(INDEX(PP_Grid[#Data],$DD208,80),0)</f>
        <v/>
      </c>
      <c r="CE208">
        <f>IFERROR(INDEX(PP_Grid[#Data],$DD208,81),0)</f>
        <v/>
      </c>
      <c r="CF208">
        <f>IFERROR(INDEX(PP_Grid[#Data],$DD208,82),0)</f>
        <v/>
      </c>
      <c r="CG208">
        <f>IFERROR(INDEX(PP_Grid[#Data],$DD208,83),0)</f>
        <v/>
      </c>
      <c r="CH208">
        <f>IFERROR(INDEX(PP_Grid[#Data],$DD208,84),0)</f>
        <v/>
      </c>
      <c r="CI208">
        <f>IFERROR(INDEX(PP_Grid[#Data],$DD208,85),0)</f>
        <v/>
      </c>
      <c r="CJ208">
        <f>IFERROR(INDEX(PP_Grid[#Data],$DD208,86),0)</f>
        <v/>
      </c>
      <c r="CK208">
        <f>IFERROR(INDEX(PP_Grid[#Data],$DD208,87),0)</f>
        <v/>
      </c>
      <c r="CL208">
        <f>IFERROR(INDEX(PP_Grid[#Data],$DD208,88),0)</f>
        <v/>
      </c>
      <c r="CM208">
        <f>IFERROR(INDEX(PP_Grid[#Data],$DD208,89),0)</f>
        <v/>
      </c>
      <c r="CN208">
        <f>IFERROR(INDEX(PP_Grid[#Data],$DD208,90),0)</f>
        <v/>
      </c>
      <c r="CO208">
        <f>IFERROR(INDEX(PP_Grid[#Data],$DD208,91),0)</f>
        <v/>
      </c>
      <c r="CP208">
        <f>IFERROR(INDEX(PP_Grid[#Data],$DD208,92),0)</f>
        <v/>
      </c>
      <c r="CQ208">
        <f>IFERROR(INDEX(PP_Grid[#Data],$DD208,93),0)</f>
        <v/>
      </c>
      <c r="CR208">
        <f>IFERROR(INDEX(PP_Grid[#Data],$DD208,94),0)</f>
        <v/>
      </c>
      <c r="CS208">
        <f>IFERROR(INDEX(PP_Grid[#Data],$DD208,95),0)</f>
        <v/>
      </c>
      <c r="CT208">
        <f>IFERROR(INDEX(PP_Grid[#Data],$DD208,96),0)</f>
        <v/>
      </c>
      <c r="CU208">
        <f>IFERROR(INDEX(PP_Grid[#Data],$DD208,97),0)</f>
        <v/>
      </c>
      <c r="CV208">
        <f>IFERROR(INDEX(PP_Grid[#Data],$DD208,98),0)</f>
        <v/>
      </c>
      <c r="CW208">
        <f>IFERROR(INDEX(PP_Grid[#Data],$DD208,99),0)</f>
        <v/>
      </c>
      <c r="CX208">
        <f>IFERROR(INDEX(PP_Grid[#Data],$DD208,100),0)</f>
        <v/>
      </c>
      <c r="CY208">
        <f>IFERROR(INDEX(PP_Grid[#Data],$DD208,101),0)</f>
        <v/>
      </c>
      <c r="CZ208">
        <f>IFERROR(INDEX(PP_Grid[#Data],$DD208,102),0)</f>
        <v/>
      </c>
      <c r="DA208">
        <f>IFERROR(INDEX(PP_Grid[#Data],$DD208,103),0)</f>
        <v/>
      </c>
      <c r="DB208">
        <f>IFERROR(INDEX(PP_Grid[#Data],$DD208,104),0)</f>
        <v/>
      </c>
      <c r="DC208">
        <f>IFERROR(INDEX(PP_Grid[#Data],$DD208,105),0)</f>
        <v/>
      </c>
      <c r="DD208" s="7">
        <f>IFERROR(MATCH($B208,PP_Grid[Intermediate],0),99999)</f>
        <v/>
      </c>
    </row>
    <row r="209">
      <c r="B209" t="inlineStr">
        <is>
          <t>使用量(kg)</t>
        </is>
      </c>
      <c r="C209">
        <f>SUMIFS(M_BOM[RM_Qty_Per_Batch],M_BOM[Intermediate],$B208,M_BOM[Part Name],$A45)</f>
        <v/>
      </c>
      <c r="D209">
        <f>$C209*D208</f>
        <v/>
      </c>
      <c r="E209">
        <f>$C209*E208</f>
        <v/>
      </c>
      <c r="F209">
        <f>$C209*F208</f>
        <v/>
      </c>
      <c r="G209">
        <f>$C209*G208</f>
        <v/>
      </c>
      <c r="H209">
        <f>$C209*H208</f>
        <v/>
      </c>
      <c r="I209">
        <f>$C209*I208</f>
        <v/>
      </c>
      <c r="J209">
        <f>$C209*J208</f>
        <v/>
      </c>
      <c r="K209">
        <f>$C209*K208</f>
        <v/>
      </c>
      <c r="L209">
        <f>$C209*L208</f>
        <v/>
      </c>
      <c r="M209">
        <f>$C209*M208</f>
        <v/>
      </c>
      <c r="N209">
        <f>$C209*N208</f>
        <v/>
      </c>
      <c r="O209">
        <f>$C209*O208</f>
        <v/>
      </c>
      <c r="P209">
        <f>$C209*P208</f>
        <v/>
      </c>
      <c r="Q209">
        <f>$C209*Q208</f>
        <v/>
      </c>
      <c r="R209">
        <f>$C209*R208</f>
        <v/>
      </c>
      <c r="S209">
        <f>$C209*S208</f>
        <v/>
      </c>
      <c r="T209">
        <f>$C209*T208</f>
        <v/>
      </c>
      <c r="U209">
        <f>$C209*U208</f>
        <v/>
      </c>
      <c r="V209">
        <f>$C209*V208</f>
        <v/>
      </c>
      <c r="W209">
        <f>$C209*W208</f>
        <v/>
      </c>
      <c r="X209">
        <f>$C209*X208</f>
        <v/>
      </c>
      <c r="Y209">
        <f>$C209*Y208</f>
        <v/>
      </c>
      <c r="Z209">
        <f>$C209*Z208</f>
        <v/>
      </c>
      <c r="AA209">
        <f>$C209*AA208</f>
        <v/>
      </c>
      <c r="AB209">
        <f>$C209*AB208</f>
        <v/>
      </c>
      <c r="AC209">
        <f>$C209*AC208</f>
        <v/>
      </c>
      <c r="AD209">
        <f>$C209*AD208</f>
        <v/>
      </c>
      <c r="AE209">
        <f>$C209*AE208</f>
        <v/>
      </c>
      <c r="AF209">
        <f>$C209*AF208</f>
        <v/>
      </c>
      <c r="AG209">
        <f>$C209*AG208</f>
        <v/>
      </c>
      <c r="AH209">
        <f>$C209*AH208</f>
        <v/>
      </c>
      <c r="AI209">
        <f>$C209*AI208</f>
        <v/>
      </c>
      <c r="AJ209">
        <f>$C209*AJ208</f>
        <v/>
      </c>
      <c r="AK209">
        <f>$C209*AK208</f>
        <v/>
      </c>
      <c r="AL209">
        <f>$C209*AL208</f>
        <v/>
      </c>
      <c r="AM209">
        <f>$C209*AM208</f>
        <v/>
      </c>
      <c r="AN209">
        <f>$C209*AN208</f>
        <v/>
      </c>
      <c r="AO209">
        <f>$C209*AO208</f>
        <v/>
      </c>
      <c r="AP209">
        <f>$C209*AP208</f>
        <v/>
      </c>
      <c r="AQ209">
        <f>$C209*AQ208</f>
        <v/>
      </c>
      <c r="AR209">
        <f>$C209*AR208</f>
        <v/>
      </c>
      <c r="AS209">
        <f>$C209*AS208</f>
        <v/>
      </c>
      <c r="AT209">
        <f>$C209*AT208</f>
        <v/>
      </c>
      <c r="AU209">
        <f>$C209*AU208</f>
        <v/>
      </c>
      <c r="AV209">
        <f>$C209*AV208</f>
        <v/>
      </c>
      <c r="AW209">
        <f>$C209*AW208</f>
        <v/>
      </c>
      <c r="AX209">
        <f>$C209*AX208</f>
        <v/>
      </c>
      <c r="AY209">
        <f>$C209*AY208</f>
        <v/>
      </c>
      <c r="AZ209">
        <f>$C209*AZ208</f>
        <v/>
      </c>
      <c r="BA209">
        <f>$C209*BA208</f>
        <v/>
      </c>
      <c r="BB209">
        <f>$C209*BB208</f>
        <v/>
      </c>
      <c r="BC209">
        <f>$C209*BC208</f>
        <v/>
      </c>
      <c r="BD209">
        <f>$C209*BD208</f>
        <v/>
      </c>
      <c r="BE209">
        <f>$C209*BE208</f>
        <v/>
      </c>
      <c r="BF209">
        <f>$C209*BF208</f>
        <v/>
      </c>
      <c r="BG209">
        <f>$C209*BG208</f>
        <v/>
      </c>
      <c r="BH209">
        <f>$C209*BH208</f>
        <v/>
      </c>
      <c r="BI209">
        <f>$C209*BI208</f>
        <v/>
      </c>
      <c r="BJ209">
        <f>$C209*BJ208</f>
        <v/>
      </c>
      <c r="BK209">
        <f>$C209*BK208</f>
        <v/>
      </c>
      <c r="BL209">
        <f>$C209*BL208</f>
        <v/>
      </c>
      <c r="BM209">
        <f>$C209*BM208</f>
        <v/>
      </c>
      <c r="BN209">
        <f>$C209*BN208</f>
        <v/>
      </c>
      <c r="BO209">
        <f>$C209*BO208</f>
        <v/>
      </c>
      <c r="BP209">
        <f>$C209*BP208</f>
        <v/>
      </c>
      <c r="BQ209">
        <f>$C209*BQ208</f>
        <v/>
      </c>
      <c r="BR209">
        <f>$C209*BR208</f>
        <v/>
      </c>
      <c r="BS209">
        <f>$C209*BS208</f>
        <v/>
      </c>
      <c r="BT209">
        <f>$C209*BT208</f>
        <v/>
      </c>
      <c r="BU209">
        <f>$C209*BU208</f>
        <v/>
      </c>
      <c r="BV209">
        <f>$C209*BV208</f>
        <v/>
      </c>
      <c r="BW209">
        <f>$C209*BW208</f>
        <v/>
      </c>
      <c r="BX209">
        <f>$C209*BX208</f>
        <v/>
      </c>
      <c r="BY209">
        <f>$C209*BY208</f>
        <v/>
      </c>
      <c r="BZ209">
        <f>$C209*BZ208</f>
        <v/>
      </c>
      <c r="CA209">
        <f>$C209*CA208</f>
        <v/>
      </c>
      <c r="CB209">
        <f>$C209*CB208</f>
        <v/>
      </c>
      <c r="CC209">
        <f>$C209*CC208</f>
        <v/>
      </c>
      <c r="CD209">
        <f>$C209*CD208</f>
        <v/>
      </c>
      <c r="CE209">
        <f>$C209*CE208</f>
        <v/>
      </c>
      <c r="CF209">
        <f>$C209*CF208</f>
        <v/>
      </c>
      <c r="CG209">
        <f>$C209*CG208</f>
        <v/>
      </c>
      <c r="CH209">
        <f>$C209*CH208</f>
        <v/>
      </c>
      <c r="CI209">
        <f>$C209*CI208</f>
        <v/>
      </c>
      <c r="CJ209">
        <f>$C209*CJ208</f>
        <v/>
      </c>
      <c r="CK209">
        <f>$C209*CK208</f>
        <v/>
      </c>
      <c r="CL209">
        <f>$C209*CL208</f>
        <v/>
      </c>
      <c r="CM209">
        <f>$C209*CM208</f>
        <v/>
      </c>
      <c r="CN209">
        <f>$C209*CN208</f>
        <v/>
      </c>
      <c r="CO209">
        <f>$C209*CO208</f>
        <v/>
      </c>
      <c r="CP209">
        <f>$C209*CP208</f>
        <v/>
      </c>
      <c r="CQ209">
        <f>$C209*CQ208</f>
        <v/>
      </c>
      <c r="CR209">
        <f>$C209*CR208</f>
        <v/>
      </c>
      <c r="CS209">
        <f>$C209*CS208</f>
        <v/>
      </c>
      <c r="CT209">
        <f>$C209*CT208</f>
        <v/>
      </c>
      <c r="CU209">
        <f>$C209*CU208</f>
        <v/>
      </c>
      <c r="CV209">
        <f>$C209*CV208</f>
        <v/>
      </c>
      <c r="CW209">
        <f>$C209*CW208</f>
        <v/>
      </c>
      <c r="CX209">
        <f>$C209*CX208</f>
        <v/>
      </c>
      <c r="CY209">
        <f>$C209*CY208</f>
        <v/>
      </c>
      <c r="CZ209">
        <f>$C209*CZ208</f>
        <v/>
      </c>
      <c r="DA209">
        <f>$C209*DA208</f>
        <v/>
      </c>
      <c r="DB209">
        <f>$C209*DB208</f>
        <v/>
      </c>
      <c r="DC209">
        <f>$C209*DC208</f>
        <v/>
      </c>
    </row>
    <row r="210">
      <c r="B210" t="inlineStr">
        <is>
          <t>TSP-1499</t>
        </is>
      </c>
      <c r="C210" t="inlineStr">
        <is>
          <t>No. of batches</t>
        </is>
      </c>
      <c r="D210">
        <f>IFERROR(INDEX(PP_Grid[#Data],$DD210,2),0)</f>
        <v/>
      </c>
      <c r="E210">
        <f>IFERROR(INDEX(PP_Grid[#Data],$DD210,3),0)</f>
        <v/>
      </c>
      <c r="F210">
        <f>IFERROR(INDEX(PP_Grid[#Data],$DD210,4),0)</f>
        <v/>
      </c>
      <c r="G210">
        <f>IFERROR(INDEX(PP_Grid[#Data],$DD210,5),0)</f>
        <v/>
      </c>
      <c r="H210">
        <f>IFERROR(INDEX(PP_Grid[#Data],$DD210,6),0)</f>
        <v/>
      </c>
      <c r="I210">
        <f>IFERROR(INDEX(PP_Grid[#Data],$DD210,7),0)</f>
        <v/>
      </c>
      <c r="J210">
        <f>IFERROR(INDEX(PP_Grid[#Data],$DD210,8),0)</f>
        <v/>
      </c>
      <c r="K210">
        <f>IFERROR(INDEX(PP_Grid[#Data],$DD210,9),0)</f>
        <v/>
      </c>
      <c r="L210">
        <f>IFERROR(INDEX(PP_Grid[#Data],$DD210,10),0)</f>
        <v/>
      </c>
      <c r="M210">
        <f>IFERROR(INDEX(PP_Grid[#Data],$DD210,11),0)</f>
        <v/>
      </c>
      <c r="N210">
        <f>IFERROR(INDEX(PP_Grid[#Data],$DD210,12),0)</f>
        <v/>
      </c>
      <c r="O210">
        <f>IFERROR(INDEX(PP_Grid[#Data],$DD210,13),0)</f>
        <v/>
      </c>
      <c r="P210">
        <f>IFERROR(INDEX(PP_Grid[#Data],$DD210,14),0)</f>
        <v/>
      </c>
      <c r="Q210">
        <f>IFERROR(INDEX(PP_Grid[#Data],$DD210,15),0)</f>
        <v/>
      </c>
      <c r="R210">
        <f>IFERROR(INDEX(PP_Grid[#Data],$DD210,16),0)</f>
        <v/>
      </c>
      <c r="S210">
        <f>IFERROR(INDEX(PP_Grid[#Data],$DD210,17),0)</f>
        <v/>
      </c>
      <c r="T210">
        <f>IFERROR(INDEX(PP_Grid[#Data],$DD210,18),0)</f>
        <v/>
      </c>
      <c r="U210">
        <f>IFERROR(INDEX(PP_Grid[#Data],$DD210,19),0)</f>
        <v/>
      </c>
      <c r="V210">
        <f>IFERROR(INDEX(PP_Grid[#Data],$DD210,20),0)</f>
        <v/>
      </c>
      <c r="W210">
        <f>IFERROR(INDEX(PP_Grid[#Data],$DD210,21),0)</f>
        <v/>
      </c>
      <c r="X210">
        <f>IFERROR(INDEX(PP_Grid[#Data],$DD210,22),0)</f>
        <v/>
      </c>
      <c r="Y210">
        <f>IFERROR(INDEX(PP_Grid[#Data],$DD210,23),0)</f>
        <v/>
      </c>
      <c r="Z210">
        <f>IFERROR(INDEX(PP_Grid[#Data],$DD210,24),0)</f>
        <v/>
      </c>
      <c r="AA210">
        <f>IFERROR(INDEX(PP_Grid[#Data],$DD210,25),0)</f>
        <v/>
      </c>
      <c r="AB210">
        <f>IFERROR(INDEX(PP_Grid[#Data],$DD210,26),0)</f>
        <v/>
      </c>
      <c r="AC210">
        <f>IFERROR(INDEX(PP_Grid[#Data],$DD210,27),0)</f>
        <v/>
      </c>
      <c r="AD210">
        <f>IFERROR(INDEX(PP_Grid[#Data],$DD210,28),0)</f>
        <v/>
      </c>
      <c r="AE210">
        <f>IFERROR(INDEX(PP_Grid[#Data],$DD210,29),0)</f>
        <v/>
      </c>
      <c r="AF210">
        <f>IFERROR(INDEX(PP_Grid[#Data],$DD210,30),0)</f>
        <v/>
      </c>
      <c r="AG210">
        <f>IFERROR(INDEX(PP_Grid[#Data],$DD210,31),0)</f>
        <v/>
      </c>
      <c r="AH210">
        <f>IFERROR(INDEX(PP_Grid[#Data],$DD210,32),0)</f>
        <v/>
      </c>
      <c r="AI210">
        <f>IFERROR(INDEX(PP_Grid[#Data],$DD210,33),0)</f>
        <v/>
      </c>
      <c r="AJ210">
        <f>IFERROR(INDEX(PP_Grid[#Data],$DD210,34),0)</f>
        <v/>
      </c>
      <c r="AK210">
        <f>IFERROR(INDEX(PP_Grid[#Data],$DD210,35),0)</f>
        <v/>
      </c>
      <c r="AL210">
        <f>IFERROR(INDEX(PP_Grid[#Data],$DD210,36),0)</f>
        <v/>
      </c>
      <c r="AM210">
        <f>IFERROR(INDEX(PP_Grid[#Data],$DD210,37),0)</f>
        <v/>
      </c>
      <c r="AN210">
        <f>IFERROR(INDEX(PP_Grid[#Data],$DD210,38),0)</f>
        <v/>
      </c>
      <c r="AO210">
        <f>IFERROR(INDEX(PP_Grid[#Data],$DD210,39),0)</f>
        <v/>
      </c>
      <c r="AP210">
        <f>IFERROR(INDEX(PP_Grid[#Data],$DD210,40),0)</f>
        <v/>
      </c>
      <c r="AQ210">
        <f>IFERROR(INDEX(PP_Grid[#Data],$DD210,41),0)</f>
        <v/>
      </c>
      <c r="AR210">
        <f>IFERROR(INDEX(PP_Grid[#Data],$DD210,42),0)</f>
        <v/>
      </c>
      <c r="AS210">
        <f>IFERROR(INDEX(PP_Grid[#Data],$DD210,43),0)</f>
        <v/>
      </c>
      <c r="AT210">
        <f>IFERROR(INDEX(PP_Grid[#Data],$DD210,44),0)</f>
        <v/>
      </c>
      <c r="AU210">
        <f>IFERROR(INDEX(PP_Grid[#Data],$DD210,45),0)</f>
        <v/>
      </c>
      <c r="AV210">
        <f>IFERROR(INDEX(PP_Grid[#Data],$DD210,46),0)</f>
        <v/>
      </c>
      <c r="AW210">
        <f>IFERROR(INDEX(PP_Grid[#Data],$DD210,47),0)</f>
        <v/>
      </c>
      <c r="AX210">
        <f>IFERROR(INDEX(PP_Grid[#Data],$DD210,48),0)</f>
        <v/>
      </c>
      <c r="AY210">
        <f>IFERROR(INDEX(PP_Grid[#Data],$DD210,49),0)</f>
        <v/>
      </c>
      <c r="AZ210">
        <f>IFERROR(INDEX(PP_Grid[#Data],$DD210,50),0)</f>
        <v/>
      </c>
      <c r="BA210">
        <f>IFERROR(INDEX(PP_Grid[#Data],$DD210,51),0)</f>
        <v/>
      </c>
      <c r="BB210">
        <f>IFERROR(INDEX(PP_Grid[#Data],$DD210,52),0)</f>
        <v/>
      </c>
      <c r="BC210">
        <f>IFERROR(INDEX(PP_Grid[#Data],$DD210,53),0)</f>
        <v/>
      </c>
      <c r="BD210">
        <f>IFERROR(INDEX(PP_Grid[#Data],$DD210,54),0)</f>
        <v/>
      </c>
      <c r="BE210">
        <f>IFERROR(INDEX(PP_Grid[#Data],$DD210,55),0)</f>
        <v/>
      </c>
      <c r="BF210">
        <f>IFERROR(INDEX(PP_Grid[#Data],$DD210,56),0)</f>
        <v/>
      </c>
      <c r="BG210">
        <f>IFERROR(INDEX(PP_Grid[#Data],$DD210,57),0)</f>
        <v/>
      </c>
      <c r="BH210">
        <f>IFERROR(INDEX(PP_Grid[#Data],$DD210,58),0)</f>
        <v/>
      </c>
      <c r="BI210">
        <f>IFERROR(INDEX(PP_Grid[#Data],$DD210,59),0)</f>
        <v/>
      </c>
      <c r="BJ210">
        <f>IFERROR(INDEX(PP_Grid[#Data],$DD210,60),0)</f>
        <v/>
      </c>
      <c r="BK210">
        <f>IFERROR(INDEX(PP_Grid[#Data],$DD210,61),0)</f>
        <v/>
      </c>
      <c r="BL210">
        <f>IFERROR(INDEX(PP_Grid[#Data],$DD210,62),0)</f>
        <v/>
      </c>
      <c r="BM210">
        <f>IFERROR(INDEX(PP_Grid[#Data],$DD210,63),0)</f>
        <v/>
      </c>
      <c r="BN210">
        <f>IFERROR(INDEX(PP_Grid[#Data],$DD210,64),0)</f>
        <v/>
      </c>
      <c r="BO210">
        <f>IFERROR(INDEX(PP_Grid[#Data],$DD210,65),0)</f>
        <v/>
      </c>
      <c r="BP210">
        <f>IFERROR(INDEX(PP_Grid[#Data],$DD210,66),0)</f>
        <v/>
      </c>
      <c r="BQ210">
        <f>IFERROR(INDEX(PP_Grid[#Data],$DD210,67),0)</f>
        <v/>
      </c>
      <c r="BR210">
        <f>IFERROR(INDEX(PP_Grid[#Data],$DD210,68),0)</f>
        <v/>
      </c>
      <c r="BS210">
        <f>IFERROR(INDEX(PP_Grid[#Data],$DD210,69),0)</f>
        <v/>
      </c>
      <c r="BT210">
        <f>IFERROR(INDEX(PP_Grid[#Data],$DD210,70),0)</f>
        <v/>
      </c>
      <c r="BU210">
        <f>IFERROR(INDEX(PP_Grid[#Data],$DD210,71),0)</f>
        <v/>
      </c>
      <c r="BV210">
        <f>IFERROR(INDEX(PP_Grid[#Data],$DD210,72),0)</f>
        <v/>
      </c>
      <c r="BW210">
        <f>IFERROR(INDEX(PP_Grid[#Data],$DD210,73),0)</f>
        <v/>
      </c>
      <c r="BX210">
        <f>IFERROR(INDEX(PP_Grid[#Data],$DD210,74),0)</f>
        <v/>
      </c>
      <c r="BY210">
        <f>IFERROR(INDEX(PP_Grid[#Data],$DD210,75),0)</f>
        <v/>
      </c>
      <c r="BZ210">
        <f>IFERROR(INDEX(PP_Grid[#Data],$DD210,76),0)</f>
        <v/>
      </c>
      <c r="CA210">
        <f>IFERROR(INDEX(PP_Grid[#Data],$DD210,77),0)</f>
        <v/>
      </c>
      <c r="CB210">
        <f>IFERROR(INDEX(PP_Grid[#Data],$DD210,78),0)</f>
        <v/>
      </c>
      <c r="CC210">
        <f>IFERROR(INDEX(PP_Grid[#Data],$DD210,79),0)</f>
        <v/>
      </c>
      <c r="CD210">
        <f>IFERROR(INDEX(PP_Grid[#Data],$DD210,80),0)</f>
        <v/>
      </c>
      <c r="CE210">
        <f>IFERROR(INDEX(PP_Grid[#Data],$DD210,81),0)</f>
        <v/>
      </c>
      <c r="CF210">
        <f>IFERROR(INDEX(PP_Grid[#Data],$DD210,82),0)</f>
        <v/>
      </c>
      <c r="CG210">
        <f>IFERROR(INDEX(PP_Grid[#Data],$DD210,83),0)</f>
        <v/>
      </c>
      <c r="CH210">
        <f>IFERROR(INDEX(PP_Grid[#Data],$DD210,84),0)</f>
        <v/>
      </c>
      <c r="CI210">
        <f>IFERROR(INDEX(PP_Grid[#Data],$DD210,85),0)</f>
        <v/>
      </c>
      <c r="CJ210">
        <f>IFERROR(INDEX(PP_Grid[#Data],$DD210,86),0)</f>
        <v/>
      </c>
      <c r="CK210">
        <f>IFERROR(INDEX(PP_Grid[#Data],$DD210,87),0)</f>
        <v/>
      </c>
      <c r="CL210">
        <f>IFERROR(INDEX(PP_Grid[#Data],$DD210,88),0)</f>
        <v/>
      </c>
      <c r="CM210">
        <f>IFERROR(INDEX(PP_Grid[#Data],$DD210,89),0)</f>
        <v/>
      </c>
      <c r="CN210">
        <f>IFERROR(INDEX(PP_Grid[#Data],$DD210,90),0)</f>
        <v/>
      </c>
      <c r="CO210">
        <f>IFERROR(INDEX(PP_Grid[#Data],$DD210,91),0)</f>
        <v/>
      </c>
      <c r="CP210">
        <f>IFERROR(INDEX(PP_Grid[#Data],$DD210,92),0)</f>
        <v/>
      </c>
      <c r="CQ210">
        <f>IFERROR(INDEX(PP_Grid[#Data],$DD210,93),0)</f>
        <v/>
      </c>
      <c r="CR210">
        <f>IFERROR(INDEX(PP_Grid[#Data],$DD210,94),0)</f>
        <v/>
      </c>
      <c r="CS210">
        <f>IFERROR(INDEX(PP_Grid[#Data],$DD210,95),0)</f>
        <v/>
      </c>
      <c r="CT210">
        <f>IFERROR(INDEX(PP_Grid[#Data],$DD210,96),0)</f>
        <v/>
      </c>
      <c r="CU210">
        <f>IFERROR(INDEX(PP_Grid[#Data],$DD210,97),0)</f>
        <v/>
      </c>
      <c r="CV210">
        <f>IFERROR(INDEX(PP_Grid[#Data],$DD210,98),0)</f>
        <v/>
      </c>
      <c r="CW210">
        <f>IFERROR(INDEX(PP_Grid[#Data],$DD210,99),0)</f>
        <v/>
      </c>
      <c r="CX210">
        <f>IFERROR(INDEX(PP_Grid[#Data],$DD210,100),0)</f>
        <v/>
      </c>
      <c r="CY210">
        <f>IFERROR(INDEX(PP_Grid[#Data],$DD210,101),0)</f>
        <v/>
      </c>
      <c r="CZ210">
        <f>IFERROR(INDEX(PP_Grid[#Data],$DD210,102),0)</f>
        <v/>
      </c>
      <c r="DA210">
        <f>IFERROR(INDEX(PP_Grid[#Data],$DD210,103),0)</f>
        <v/>
      </c>
      <c r="DB210">
        <f>IFERROR(INDEX(PP_Grid[#Data],$DD210,104),0)</f>
        <v/>
      </c>
      <c r="DC210">
        <f>IFERROR(INDEX(PP_Grid[#Data],$DD210,105),0)</f>
        <v/>
      </c>
      <c r="DD210" s="7">
        <f>IFERROR(MATCH($B210,PP_Grid[Intermediate],0),99999)</f>
        <v/>
      </c>
    </row>
    <row r="211">
      <c r="B211" t="inlineStr">
        <is>
          <t>使用量(kg)</t>
        </is>
      </c>
      <c r="C211">
        <f>SUMIFS(M_BOM[RM_Qty_Per_Batch],M_BOM[Intermediate],$B210,M_BOM[Part Name],$A45)</f>
        <v/>
      </c>
      <c r="D211">
        <f>$C211*D210</f>
        <v/>
      </c>
      <c r="E211">
        <f>$C211*E210</f>
        <v/>
      </c>
      <c r="F211">
        <f>$C211*F210</f>
        <v/>
      </c>
      <c r="G211">
        <f>$C211*G210</f>
        <v/>
      </c>
      <c r="H211">
        <f>$C211*H210</f>
        <v/>
      </c>
      <c r="I211">
        <f>$C211*I210</f>
        <v/>
      </c>
      <c r="J211">
        <f>$C211*J210</f>
        <v/>
      </c>
      <c r="K211">
        <f>$C211*K210</f>
        <v/>
      </c>
      <c r="L211">
        <f>$C211*L210</f>
        <v/>
      </c>
      <c r="M211">
        <f>$C211*M210</f>
        <v/>
      </c>
      <c r="N211">
        <f>$C211*N210</f>
        <v/>
      </c>
      <c r="O211">
        <f>$C211*O210</f>
        <v/>
      </c>
      <c r="P211">
        <f>$C211*P210</f>
        <v/>
      </c>
      <c r="Q211">
        <f>$C211*Q210</f>
        <v/>
      </c>
      <c r="R211">
        <f>$C211*R210</f>
        <v/>
      </c>
      <c r="S211">
        <f>$C211*S210</f>
        <v/>
      </c>
      <c r="T211">
        <f>$C211*T210</f>
        <v/>
      </c>
      <c r="U211">
        <f>$C211*U210</f>
        <v/>
      </c>
      <c r="V211">
        <f>$C211*V210</f>
        <v/>
      </c>
      <c r="W211">
        <f>$C211*W210</f>
        <v/>
      </c>
      <c r="X211">
        <f>$C211*X210</f>
        <v/>
      </c>
      <c r="Y211">
        <f>$C211*Y210</f>
        <v/>
      </c>
      <c r="Z211">
        <f>$C211*Z210</f>
        <v/>
      </c>
      <c r="AA211">
        <f>$C211*AA210</f>
        <v/>
      </c>
      <c r="AB211">
        <f>$C211*AB210</f>
        <v/>
      </c>
      <c r="AC211">
        <f>$C211*AC210</f>
        <v/>
      </c>
      <c r="AD211">
        <f>$C211*AD210</f>
        <v/>
      </c>
      <c r="AE211">
        <f>$C211*AE210</f>
        <v/>
      </c>
      <c r="AF211">
        <f>$C211*AF210</f>
        <v/>
      </c>
      <c r="AG211">
        <f>$C211*AG210</f>
        <v/>
      </c>
      <c r="AH211">
        <f>$C211*AH210</f>
        <v/>
      </c>
      <c r="AI211">
        <f>$C211*AI210</f>
        <v/>
      </c>
      <c r="AJ211">
        <f>$C211*AJ210</f>
        <v/>
      </c>
      <c r="AK211">
        <f>$C211*AK210</f>
        <v/>
      </c>
      <c r="AL211">
        <f>$C211*AL210</f>
        <v/>
      </c>
      <c r="AM211">
        <f>$C211*AM210</f>
        <v/>
      </c>
      <c r="AN211">
        <f>$C211*AN210</f>
        <v/>
      </c>
      <c r="AO211">
        <f>$C211*AO210</f>
        <v/>
      </c>
      <c r="AP211">
        <f>$C211*AP210</f>
        <v/>
      </c>
      <c r="AQ211">
        <f>$C211*AQ210</f>
        <v/>
      </c>
      <c r="AR211">
        <f>$C211*AR210</f>
        <v/>
      </c>
      <c r="AS211">
        <f>$C211*AS210</f>
        <v/>
      </c>
      <c r="AT211">
        <f>$C211*AT210</f>
        <v/>
      </c>
      <c r="AU211">
        <f>$C211*AU210</f>
        <v/>
      </c>
      <c r="AV211">
        <f>$C211*AV210</f>
        <v/>
      </c>
      <c r="AW211">
        <f>$C211*AW210</f>
        <v/>
      </c>
      <c r="AX211">
        <f>$C211*AX210</f>
        <v/>
      </c>
      <c r="AY211">
        <f>$C211*AY210</f>
        <v/>
      </c>
      <c r="AZ211">
        <f>$C211*AZ210</f>
        <v/>
      </c>
      <c r="BA211">
        <f>$C211*BA210</f>
        <v/>
      </c>
      <c r="BB211">
        <f>$C211*BB210</f>
        <v/>
      </c>
      <c r="BC211">
        <f>$C211*BC210</f>
        <v/>
      </c>
      <c r="BD211">
        <f>$C211*BD210</f>
        <v/>
      </c>
      <c r="BE211">
        <f>$C211*BE210</f>
        <v/>
      </c>
      <c r="BF211">
        <f>$C211*BF210</f>
        <v/>
      </c>
      <c r="BG211">
        <f>$C211*BG210</f>
        <v/>
      </c>
      <c r="BH211">
        <f>$C211*BH210</f>
        <v/>
      </c>
      <c r="BI211">
        <f>$C211*BI210</f>
        <v/>
      </c>
      <c r="BJ211">
        <f>$C211*BJ210</f>
        <v/>
      </c>
      <c r="BK211">
        <f>$C211*BK210</f>
        <v/>
      </c>
      <c r="BL211">
        <f>$C211*BL210</f>
        <v/>
      </c>
      <c r="BM211">
        <f>$C211*BM210</f>
        <v/>
      </c>
      <c r="BN211">
        <f>$C211*BN210</f>
        <v/>
      </c>
      <c r="BO211">
        <f>$C211*BO210</f>
        <v/>
      </c>
      <c r="BP211">
        <f>$C211*BP210</f>
        <v/>
      </c>
      <c r="BQ211">
        <f>$C211*BQ210</f>
        <v/>
      </c>
      <c r="BR211">
        <f>$C211*BR210</f>
        <v/>
      </c>
      <c r="BS211">
        <f>$C211*BS210</f>
        <v/>
      </c>
      <c r="BT211">
        <f>$C211*BT210</f>
        <v/>
      </c>
      <c r="BU211">
        <f>$C211*BU210</f>
        <v/>
      </c>
      <c r="BV211">
        <f>$C211*BV210</f>
        <v/>
      </c>
      <c r="BW211">
        <f>$C211*BW210</f>
        <v/>
      </c>
      <c r="BX211">
        <f>$C211*BX210</f>
        <v/>
      </c>
      <c r="BY211">
        <f>$C211*BY210</f>
        <v/>
      </c>
      <c r="BZ211">
        <f>$C211*BZ210</f>
        <v/>
      </c>
      <c r="CA211">
        <f>$C211*CA210</f>
        <v/>
      </c>
      <c r="CB211">
        <f>$C211*CB210</f>
        <v/>
      </c>
      <c r="CC211">
        <f>$C211*CC210</f>
        <v/>
      </c>
      <c r="CD211">
        <f>$C211*CD210</f>
        <v/>
      </c>
      <c r="CE211">
        <f>$C211*CE210</f>
        <v/>
      </c>
      <c r="CF211">
        <f>$C211*CF210</f>
        <v/>
      </c>
      <c r="CG211">
        <f>$C211*CG210</f>
        <v/>
      </c>
      <c r="CH211">
        <f>$C211*CH210</f>
        <v/>
      </c>
      <c r="CI211">
        <f>$C211*CI210</f>
        <v/>
      </c>
      <c r="CJ211">
        <f>$C211*CJ210</f>
        <v/>
      </c>
      <c r="CK211">
        <f>$C211*CK210</f>
        <v/>
      </c>
      <c r="CL211">
        <f>$C211*CL210</f>
        <v/>
      </c>
      <c r="CM211">
        <f>$C211*CM210</f>
        <v/>
      </c>
      <c r="CN211">
        <f>$C211*CN210</f>
        <v/>
      </c>
      <c r="CO211">
        <f>$C211*CO210</f>
        <v/>
      </c>
      <c r="CP211">
        <f>$C211*CP210</f>
        <v/>
      </c>
      <c r="CQ211">
        <f>$C211*CQ210</f>
        <v/>
      </c>
      <c r="CR211">
        <f>$C211*CR210</f>
        <v/>
      </c>
      <c r="CS211">
        <f>$C211*CS210</f>
        <v/>
      </c>
      <c r="CT211">
        <f>$C211*CT210</f>
        <v/>
      </c>
      <c r="CU211">
        <f>$C211*CU210</f>
        <v/>
      </c>
      <c r="CV211">
        <f>$C211*CV210</f>
        <v/>
      </c>
      <c r="CW211">
        <f>$C211*CW210</f>
        <v/>
      </c>
      <c r="CX211">
        <f>$C211*CX210</f>
        <v/>
      </c>
      <c r="CY211">
        <f>$C211*CY210</f>
        <v/>
      </c>
      <c r="CZ211">
        <f>$C211*CZ210</f>
        <v/>
      </c>
      <c r="DA211">
        <f>$C211*DA210</f>
        <v/>
      </c>
      <c r="DB211">
        <f>$C211*DB210</f>
        <v/>
      </c>
      <c r="DC211">
        <f>$C211*DC210</f>
        <v/>
      </c>
    </row>
    <row r="212">
      <c r="B212" t="inlineStr">
        <is>
          <t>TSP-1558</t>
        </is>
      </c>
      <c r="C212" t="inlineStr">
        <is>
          <t>No. of batches</t>
        </is>
      </c>
      <c r="D212">
        <f>IFERROR(INDEX(PP_Grid[#Data],$DD212,2),0)</f>
        <v/>
      </c>
      <c r="E212">
        <f>IFERROR(INDEX(PP_Grid[#Data],$DD212,3),0)</f>
        <v/>
      </c>
      <c r="F212">
        <f>IFERROR(INDEX(PP_Grid[#Data],$DD212,4),0)</f>
        <v/>
      </c>
      <c r="G212">
        <f>IFERROR(INDEX(PP_Grid[#Data],$DD212,5),0)</f>
        <v/>
      </c>
      <c r="H212">
        <f>IFERROR(INDEX(PP_Grid[#Data],$DD212,6),0)</f>
        <v/>
      </c>
      <c r="I212">
        <f>IFERROR(INDEX(PP_Grid[#Data],$DD212,7),0)</f>
        <v/>
      </c>
      <c r="J212">
        <f>IFERROR(INDEX(PP_Grid[#Data],$DD212,8),0)</f>
        <v/>
      </c>
      <c r="K212">
        <f>IFERROR(INDEX(PP_Grid[#Data],$DD212,9),0)</f>
        <v/>
      </c>
      <c r="L212">
        <f>IFERROR(INDEX(PP_Grid[#Data],$DD212,10),0)</f>
        <v/>
      </c>
      <c r="M212">
        <f>IFERROR(INDEX(PP_Grid[#Data],$DD212,11),0)</f>
        <v/>
      </c>
      <c r="N212">
        <f>IFERROR(INDEX(PP_Grid[#Data],$DD212,12),0)</f>
        <v/>
      </c>
      <c r="O212">
        <f>IFERROR(INDEX(PP_Grid[#Data],$DD212,13),0)</f>
        <v/>
      </c>
      <c r="P212">
        <f>IFERROR(INDEX(PP_Grid[#Data],$DD212,14),0)</f>
        <v/>
      </c>
      <c r="Q212">
        <f>IFERROR(INDEX(PP_Grid[#Data],$DD212,15),0)</f>
        <v/>
      </c>
      <c r="R212">
        <f>IFERROR(INDEX(PP_Grid[#Data],$DD212,16),0)</f>
        <v/>
      </c>
      <c r="S212">
        <f>IFERROR(INDEX(PP_Grid[#Data],$DD212,17),0)</f>
        <v/>
      </c>
      <c r="T212">
        <f>IFERROR(INDEX(PP_Grid[#Data],$DD212,18),0)</f>
        <v/>
      </c>
      <c r="U212">
        <f>IFERROR(INDEX(PP_Grid[#Data],$DD212,19),0)</f>
        <v/>
      </c>
      <c r="V212">
        <f>IFERROR(INDEX(PP_Grid[#Data],$DD212,20),0)</f>
        <v/>
      </c>
      <c r="W212">
        <f>IFERROR(INDEX(PP_Grid[#Data],$DD212,21),0)</f>
        <v/>
      </c>
      <c r="X212">
        <f>IFERROR(INDEX(PP_Grid[#Data],$DD212,22),0)</f>
        <v/>
      </c>
      <c r="Y212">
        <f>IFERROR(INDEX(PP_Grid[#Data],$DD212,23),0)</f>
        <v/>
      </c>
      <c r="Z212">
        <f>IFERROR(INDEX(PP_Grid[#Data],$DD212,24),0)</f>
        <v/>
      </c>
      <c r="AA212">
        <f>IFERROR(INDEX(PP_Grid[#Data],$DD212,25),0)</f>
        <v/>
      </c>
      <c r="AB212">
        <f>IFERROR(INDEX(PP_Grid[#Data],$DD212,26),0)</f>
        <v/>
      </c>
      <c r="AC212">
        <f>IFERROR(INDEX(PP_Grid[#Data],$DD212,27),0)</f>
        <v/>
      </c>
      <c r="AD212">
        <f>IFERROR(INDEX(PP_Grid[#Data],$DD212,28),0)</f>
        <v/>
      </c>
      <c r="AE212">
        <f>IFERROR(INDEX(PP_Grid[#Data],$DD212,29),0)</f>
        <v/>
      </c>
      <c r="AF212">
        <f>IFERROR(INDEX(PP_Grid[#Data],$DD212,30),0)</f>
        <v/>
      </c>
      <c r="AG212">
        <f>IFERROR(INDEX(PP_Grid[#Data],$DD212,31),0)</f>
        <v/>
      </c>
      <c r="AH212">
        <f>IFERROR(INDEX(PP_Grid[#Data],$DD212,32),0)</f>
        <v/>
      </c>
      <c r="AI212">
        <f>IFERROR(INDEX(PP_Grid[#Data],$DD212,33),0)</f>
        <v/>
      </c>
      <c r="AJ212">
        <f>IFERROR(INDEX(PP_Grid[#Data],$DD212,34),0)</f>
        <v/>
      </c>
      <c r="AK212">
        <f>IFERROR(INDEX(PP_Grid[#Data],$DD212,35),0)</f>
        <v/>
      </c>
      <c r="AL212">
        <f>IFERROR(INDEX(PP_Grid[#Data],$DD212,36),0)</f>
        <v/>
      </c>
      <c r="AM212">
        <f>IFERROR(INDEX(PP_Grid[#Data],$DD212,37),0)</f>
        <v/>
      </c>
      <c r="AN212">
        <f>IFERROR(INDEX(PP_Grid[#Data],$DD212,38),0)</f>
        <v/>
      </c>
      <c r="AO212">
        <f>IFERROR(INDEX(PP_Grid[#Data],$DD212,39),0)</f>
        <v/>
      </c>
      <c r="AP212">
        <f>IFERROR(INDEX(PP_Grid[#Data],$DD212,40),0)</f>
        <v/>
      </c>
      <c r="AQ212">
        <f>IFERROR(INDEX(PP_Grid[#Data],$DD212,41),0)</f>
        <v/>
      </c>
      <c r="AR212">
        <f>IFERROR(INDEX(PP_Grid[#Data],$DD212,42),0)</f>
        <v/>
      </c>
      <c r="AS212">
        <f>IFERROR(INDEX(PP_Grid[#Data],$DD212,43),0)</f>
        <v/>
      </c>
      <c r="AT212">
        <f>IFERROR(INDEX(PP_Grid[#Data],$DD212,44),0)</f>
        <v/>
      </c>
      <c r="AU212">
        <f>IFERROR(INDEX(PP_Grid[#Data],$DD212,45),0)</f>
        <v/>
      </c>
      <c r="AV212">
        <f>IFERROR(INDEX(PP_Grid[#Data],$DD212,46),0)</f>
        <v/>
      </c>
      <c r="AW212">
        <f>IFERROR(INDEX(PP_Grid[#Data],$DD212,47),0)</f>
        <v/>
      </c>
      <c r="AX212">
        <f>IFERROR(INDEX(PP_Grid[#Data],$DD212,48),0)</f>
        <v/>
      </c>
      <c r="AY212">
        <f>IFERROR(INDEX(PP_Grid[#Data],$DD212,49),0)</f>
        <v/>
      </c>
      <c r="AZ212">
        <f>IFERROR(INDEX(PP_Grid[#Data],$DD212,50),0)</f>
        <v/>
      </c>
      <c r="BA212">
        <f>IFERROR(INDEX(PP_Grid[#Data],$DD212,51),0)</f>
        <v/>
      </c>
      <c r="BB212">
        <f>IFERROR(INDEX(PP_Grid[#Data],$DD212,52),0)</f>
        <v/>
      </c>
      <c r="BC212">
        <f>IFERROR(INDEX(PP_Grid[#Data],$DD212,53),0)</f>
        <v/>
      </c>
      <c r="BD212">
        <f>IFERROR(INDEX(PP_Grid[#Data],$DD212,54),0)</f>
        <v/>
      </c>
      <c r="BE212">
        <f>IFERROR(INDEX(PP_Grid[#Data],$DD212,55),0)</f>
        <v/>
      </c>
      <c r="BF212">
        <f>IFERROR(INDEX(PP_Grid[#Data],$DD212,56),0)</f>
        <v/>
      </c>
      <c r="BG212">
        <f>IFERROR(INDEX(PP_Grid[#Data],$DD212,57),0)</f>
        <v/>
      </c>
      <c r="BH212">
        <f>IFERROR(INDEX(PP_Grid[#Data],$DD212,58),0)</f>
        <v/>
      </c>
      <c r="BI212">
        <f>IFERROR(INDEX(PP_Grid[#Data],$DD212,59),0)</f>
        <v/>
      </c>
      <c r="BJ212">
        <f>IFERROR(INDEX(PP_Grid[#Data],$DD212,60),0)</f>
        <v/>
      </c>
      <c r="BK212">
        <f>IFERROR(INDEX(PP_Grid[#Data],$DD212,61),0)</f>
        <v/>
      </c>
      <c r="BL212">
        <f>IFERROR(INDEX(PP_Grid[#Data],$DD212,62),0)</f>
        <v/>
      </c>
      <c r="BM212">
        <f>IFERROR(INDEX(PP_Grid[#Data],$DD212,63),0)</f>
        <v/>
      </c>
      <c r="BN212">
        <f>IFERROR(INDEX(PP_Grid[#Data],$DD212,64),0)</f>
        <v/>
      </c>
      <c r="BO212">
        <f>IFERROR(INDEX(PP_Grid[#Data],$DD212,65),0)</f>
        <v/>
      </c>
      <c r="BP212">
        <f>IFERROR(INDEX(PP_Grid[#Data],$DD212,66),0)</f>
        <v/>
      </c>
      <c r="BQ212">
        <f>IFERROR(INDEX(PP_Grid[#Data],$DD212,67),0)</f>
        <v/>
      </c>
      <c r="BR212">
        <f>IFERROR(INDEX(PP_Grid[#Data],$DD212,68),0)</f>
        <v/>
      </c>
      <c r="BS212">
        <f>IFERROR(INDEX(PP_Grid[#Data],$DD212,69),0)</f>
        <v/>
      </c>
      <c r="BT212">
        <f>IFERROR(INDEX(PP_Grid[#Data],$DD212,70),0)</f>
        <v/>
      </c>
      <c r="BU212">
        <f>IFERROR(INDEX(PP_Grid[#Data],$DD212,71),0)</f>
        <v/>
      </c>
      <c r="BV212">
        <f>IFERROR(INDEX(PP_Grid[#Data],$DD212,72),0)</f>
        <v/>
      </c>
      <c r="BW212">
        <f>IFERROR(INDEX(PP_Grid[#Data],$DD212,73),0)</f>
        <v/>
      </c>
      <c r="BX212">
        <f>IFERROR(INDEX(PP_Grid[#Data],$DD212,74),0)</f>
        <v/>
      </c>
      <c r="BY212">
        <f>IFERROR(INDEX(PP_Grid[#Data],$DD212,75),0)</f>
        <v/>
      </c>
      <c r="BZ212">
        <f>IFERROR(INDEX(PP_Grid[#Data],$DD212,76),0)</f>
        <v/>
      </c>
      <c r="CA212">
        <f>IFERROR(INDEX(PP_Grid[#Data],$DD212,77),0)</f>
        <v/>
      </c>
      <c r="CB212">
        <f>IFERROR(INDEX(PP_Grid[#Data],$DD212,78),0)</f>
        <v/>
      </c>
      <c r="CC212">
        <f>IFERROR(INDEX(PP_Grid[#Data],$DD212,79),0)</f>
        <v/>
      </c>
      <c r="CD212">
        <f>IFERROR(INDEX(PP_Grid[#Data],$DD212,80),0)</f>
        <v/>
      </c>
      <c r="CE212">
        <f>IFERROR(INDEX(PP_Grid[#Data],$DD212,81),0)</f>
        <v/>
      </c>
      <c r="CF212">
        <f>IFERROR(INDEX(PP_Grid[#Data],$DD212,82),0)</f>
        <v/>
      </c>
      <c r="CG212">
        <f>IFERROR(INDEX(PP_Grid[#Data],$DD212,83),0)</f>
        <v/>
      </c>
      <c r="CH212">
        <f>IFERROR(INDEX(PP_Grid[#Data],$DD212,84),0)</f>
        <v/>
      </c>
      <c r="CI212">
        <f>IFERROR(INDEX(PP_Grid[#Data],$DD212,85),0)</f>
        <v/>
      </c>
      <c r="CJ212">
        <f>IFERROR(INDEX(PP_Grid[#Data],$DD212,86),0)</f>
        <v/>
      </c>
      <c r="CK212">
        <f>IFERROR(INDEX(PP_Grid[#Data],$DD212,87),0)</f>
        <v/>
      </c>
      <c r="CL212">
        <f>IFERROR(INDEX(PP_Grid[#Data],$DD212,88),0)</f>
        <v/>
      </c>
      <c r="CM212">
        <f>IFERROR(INDEX(PP_Grid[#Data],$DD212,89),0)</f>
        <v/>
      </c>
      <c r="CN212">
        <f>IFERROR(INDEX(PP_Grid[#Data],$DD212,90),0)</f>
        <v/>
      </c>
      <c r="CO212">
        <f>IFERROR(INDEX(PP_Grid[#Data],$DD212,91),0)</f>
        <v/>
      </c>
      <c r="CP212">
        <f>IFERROR(INDEX(PP_Grid[#Data],$DD212,92),0)</f>
        <v/>
      </c>
      <c r="CQ212">
        <f>IFERROR(INDEX(PP_Grid[#Data],$DD212,93),0)</f>
        <v/>
      </c>
      <c r="CR212">
        <f>IFERROR(INDEX(PP_Grid[#Data],$DD212,94),0)</f>
        <v/>
      </c>
      <c r="CS212">
        <f>IFERROR(INDEX(PP_Grid[#Data],$DD212,95),0)</f>
        <v/>
      </c>
      <c r="CT212">
        <f>IFERROR(INDEX(PP_Grid[#Data],$DD212,96),0)</f>
        <v/>
      </c>
      <c r="CU212">
        <f>IFERROR(INDEX(PP_Grid[#Data],$DD212,97),0)</f>
        <v/>
      </c>
      <c r="CV212">
        <f>IFERROR(INDEX(PP_Grid[#Data],$DD212,98),0)</f>
        <v/>
      </c>
      <c r="CW212">
        <f>IFERROR(INDEX(PP_Grid[#Data],$DD212,99),0)</f>
        <v/>
      </c>
      <c r="CX212">
        <f>IFERROR(INDEX(PP_Grid[#Data],$DD212,100),0)</f>
        <v/>
      </c>
      <c r="CY212">
        <f>IFERROR(INDEX(PP_Grid[#Data],$DD212,101),0)</f>
        <v/>
      </c>
      <c r="CZ212">
        <f>IFERROR(INDEX(PP_Grid[#Data],$DD212,102),0)</f>
        <v/>
      </c>
      <c r="DA212">
        <f>IFERROR(INDEX(PP_Grid[#Data],$DD212,103),0)</f>
        <v/>
      </c>
      <c r="DB212">
        <f>IFERROR(INDEX(PP_Grid[#Data],$DD212,104),0)</f>
        <v/>
      </c>
      <c r="DC212">
        <f>IFERROR(INDEX(PP_Grid[#Data],$DD212,105),0)</f>
        <v/>
      </c>
      <c r="DD212" s="7">
        <f>IFERROR(MATCH($B212,PP_Grid[Intermediate],0),99999)</f>
        <v/>
      </c>
    </row>
    <row r="213">
      <c r="B213" t="inlineStr">
        <is>
          <t>使用量(kg)</t>
        </is>
      </c>
      <c r="C213">
        <f>SUMIFS(M_BOM[RM_Qty_Per_Batch],M_BOM[Intermediate],$B212,M_BOM[Part Name],$A45)</f>
        <v/>
      </c>
      <c r="D213">
        <f>$C213*D212</f>
        <v/>
      </c>
      <c r="E213">
        <f>$C213*E212</f>
        <v/>
      </c>
      <c r="F213">
        <f>$C213*F212</f>
        <v/>
      </c>
      <c r="G213">
        <f>$C213*G212</f>
        <v/>
      </c>
      <c r="H213">
        <f>$C213*H212</f>
        <v/>
      </c>
      <c r="I213">
        <f>$C213*I212</f>
        <v/>
      </c>
      <c r="J213">
        <f>$C213*J212</f>
        <v/>
      </c>
      <c r="K213">
        <f>$C213*K212</f>
        <v/>
      </c>
      <c r="L213">
        <f>$C213*L212</f>
        <v/>
      </c>
      <c r="M213">
        <f>$C213*M212</f>
        <v/>
      </c>
      <c r="N213">
        <f>$C213*N212</f>
        <v/>
      </c>
      <c r="O213">
        <f>$C213*O212</f>
        <v/>
      </c>
      <c r="P213">
        <f>$C213*P212</f>
        <v/>
      </c>
      <c r="Q213">
        <f>$C213*Q212</f>
        <v/>
      </c>
      <c r="R213">
        <f>$C213*R212</f>
        <v/>
      </c>
      <c r="S213">
        <f>$C213*S212</f>
        <v/>
      </c>
      <c r="T213">
        <f>$C213*T212</f>
        <v/>
      </c>
      <c r="U213">
        <f>$C213*U212</f>
        <v/>
      </c>
      <c r="V213">
        <f>$C213*V212</f>
        <v/>
      </c>
      <c r="W213">
        <f>$C213*W212</f>
        <v/>
      </c>
      <c r="X213">
        <f>$C213*X212</f>
        <v/>
      </c>
      <c r="Y213">
        <f>$C213*Y212</f>
        <v/>
      </c>
      <c r="Z213">
        <f>$C213*Z212</f>
        <v/>
      </c>
      <c r="AA213">
        <f>$C213*AA212</f>
        <v/>
      </c>
      <c r="AB213">
        <f>$C213*AB212</f>
        <v/>
      </c>
      <c r="AC213">
        <f>$C213*AC212</f>
        <v/>
      </c>
      <c r="AD213">
        <f>$C213*AD212</f>
        <v/>
      </c>
      <c r="AE213">
        <f>$C213*AE212</f>
        <v/>
      </c>
      <c r="AF213">
        <f>$C213*AF212</f>
        <v/>
      </c>
      <c r="AG213">
        <f>$C213*AG212</f>
        <v/>
      </c>
      <c r="AH213">
        <f>$C213*AH212</f>
        <v/>
      </c>
      <c r="AI213">
        <f>$C213*AI212</f>
        <v/>
      </c>
      <c r="AJ213">
        <f>$C213*AJ212</f>
        <v/>
      </c>
      <c r="AK213">
        <f>$C213*AK212</f>
        <v/>
      </c>
      <c r="AL213">
        <f>$C213*AL212</f>
        <v/>
      </c>
      <c r="AM213">
        <f>$C213*AM212</f>
        <v/>
      </c>
      <c r="AN213">
        <f>$C213*AN212</f>
        <v/>
      </c>
      <c r="AO213">
        <f>$C213*AO212</f>
        <v/>
      </c>
      <c r="AP213">
        <f>$C213*AP212</f>
        <v/>
      </c>
      <c r="AQ213">
        <f>$C213*AQ212</f>
        <v/>
      </c>
      <c r="AR213">
        <f>$C213*AR212</f>
        <v/>
      </c>
      <c r="AS213">
        <f>$C213*AS212</f>
        <v/>
      </c>
      <c r="AT213">
        <f>$C213*AT212</f>
        <v/>
      </c>
      <c r="AU213">
        <f>$C213*AU212</f>
        <v/>
      </c>
      <c r="AV213">
        <f>$C213*AV212</f>
        <v/>
      </c>
      <c r="AW213">
        <f>$C213*AW212</f>
        <v/>
      </c>
      <c r="AX213">
        <f>$C213*AX212</f>
        <v/>
      </c>
      <c r="AY213">
        <f>$C213*AY212</f>
        <v/>
      </c>
      <c r="AZ213">
        <f>$C213*AZ212</f>
        <v/>
      </c>
      <c r="BA213">
        <f>$C213*BA212</f>
        <v/>
      </c>
      <c r="BB213">
        <f>$C213*BB212</f>
        <v/>
      </c>
      <c r="BC213">
        <f>$C213*BC212</f>
        <v/>
      </c>
      <c r="BD213">
        <f>$C213*BD212</f>
        <v/>
      </c>
      <c r="BE213">
        <f>$C213*BE212</f>
        <v/>
      </c>
      <c r="BF213">
        <f>$C213*BF212</f>
        <v/>
      </c>
      <c r="BG213">
        <f>$C213*BG212</f>
        <v/>
      </c>
      <c r="BH213">
        <f>$C213*BH212</f>
        <v/>
      </c>
      <c r="BI213">
        <f>$C213*BI212</f>
        <v/>
      </c>
      <c r="BJ213">
        <f>$C213*BJ212</f>
        <v/>
      </c>
      <c r="BK213">
        <f>$C213*BK212</f>
        <v/>
      </c>
      <c r="BL213">
        <f>$C213*BL212</f>
        <v/>
      </c>
      <c r="BM213">
        <f>$C213*BM212</f>
        <v/>
      </c>
      <c r="BN213">
        <f>$C213*BN212</f>
        <v/>
      </c>
      <c r="BO213">
        <f>$C213*BO212</f>
        <v/>
      </c>
      <c r="BP213">
        <f>$C213*BP212</f>
        <v/>
      </c>
      <c r="BQ213">
        <f>$C213*BQ212</f>
        <v/>
      </c>
      <c r="BR213">
        <f>$C213*BR212</f>
        <v/>
      </c>
      <c r="BS213">
        <f>$C213*BS212</f>
        <v/>
      </c>
      <c r="BT213">
        <f>$C213*BT212</f>
        <v/>
      </c>
      <c r="BU213">
        <f>$C213*BU212</f>
        <v/>
      </c>
      <c r="BV213">
        <f>$C213*BV212</f>
        <v/>
      </c>
      <c r="BW213">
        <f>$C213*BW212</f>
        <v/>
      </c>
      <c r="BX213">
        <f>$C213*BX212</f>
        <v/>
      </c>
      <c r="BY213">
        <f>$C213*BY212</f>
        <v/>
      </c>
      <c r="BZ213">
        <f>$C213*BZ212</f>
        <v/>
      </c>
      <c r="CA213">
        <f>$C213*CA212</f>
        <v/>
      </c>
      <c r="CB213">
        <f>$C213*CB212</f>
        <v/>
      </c>
      <c r="CC213">
        <f>$C213*CC212</f>
        <v/>
      </c>
      <c r="CD213">
        <f>$C213*CD212</f>
        <v/>
      </c>
      <c r="CE213">
        <f>$C213*CE212</f>
        <v/>
      </c>
      <c r="CF213">
        <f>$C213*CF212</f>
        <v/>
      </c>
      <c r="CG213">
        <f>$C213*CG212</f>
        <v/>
      </c>
      <c r="CH213">
        <f>$C213*CH212</f>
        <v/>
      </c>
      <c r="CI213">
        <f>$C213*CI212</f>
        <v/>
      </c>
      <c r="CJ213">
        <f>$C213*CJ212</f>
        <v/>
      </c>
      <c r="CK213">
        <f>$C213*CK212</f>
        <v/>
      </c>
      <c r="CL213">
        <f>$C213*CL212</f>
        <v/>
      </c>
      <c r="CM213">
        <f>$C213*CM212</f>
        <v/>
      </c>
      <c r="CN213">
        <f>$C213*CN212</f>
        <v/>
      </c>
      <c r="CO213">
        <f>$C213*CO212</f>
        <v/>
      </c>
      <c r="CP213">
        <f>$C213*CP212</f>
        <v/>
      </c>
      <c r="CQ213">
        <f>$C213*CQ212</f>
        <v/>
      </c>
      <c r="CR213">
        <f>$C213*CR212</f>
        <v/>
      </c>
      <c r="CS213">
        <f>$C213*CS212</f>
        <v/>
      </c>
      <c r="CT213">
        <f>$C213*CT212</f>
        <v/>
      </c>
      <c r="CU213">
        <f>$C213*CU212</f>
        <v/>
      </c>
      <c r="CV213">
        <f>$C213*CV212</f>
        <v/>
      </c>
      <c r="CW213">
        <f>$C213*CW212</f>
        <v/>
      </c>
      <c r="CX213">
        <f>$C213*CX212</f>
        <v/>
      </c>
      <c r="CY213">
        <f>$C213*CY212</f>
        <v/>
      </c>
      <c r="CZ213">
        <f>$C213*CZ212</f>
        <v/>
      </c>
      <c r="DA213">
        <f>$C213*DA212</f>
        <v/>
      </c>
      <c r="DB213">
        <f>$C213*DB212</f>
        <v/>
      </c>
      <c r="DC213">
        <f>$C213*DC212</f>
        <v/>
      </c>
    </row>
    <row r="214">
      <c r="B214" s="4" t="inlineStr">
        <is>
          <t>合計使用量(kg)/週</t>
        </is>
      </c>
      <c r="D214">
        <f>'Grid_Requirement'!B5</f>
        <v/>
      </c>
      <c r="E214">
        <f>'Grid_Requirement'!C5</f>
        <v/>
      </c>
      <c r="F214">
        <f>'Grid_Requirement'!D5</f>
        <v/>
      </c>
      <c r="G214">
        <f>'Grid_Requirement'!E5</f>
        <v/>
      </c>
      <c r="H214">
        <f>'Grid_Requirement'!F5</f>
        <v/>
      </c>
      <c r="I214">
        <f>'Grid_Requirement'!G5</f>
        <v/>
      </c>
      <c r="J214">
        <f>'Grid_Requirement'!H5</f>
        <v/>
      </c>
      <c r="K214">
        <f>'Grid_Requirement'!I5</f>
        <v/>
      </c>
      <c r="L214">
        <f>'Grid_Requirement'!J5</f>
        <v/>
      </c>
      <c r="M214">
        <f>'Grid_Requirement'!K5</f>
        <v/>
      </c>
      <c r="N214">
        <f>'Grid_Requirement'!L5</f>
        <v/>
      </c>
      <c r="O214">
        <f>'Grid_Requirement'!M5</f>
        <v/>
      </c>
      <c r="P214">
        <f>'Grid_Requirement'!N5</f>
        <v/>
      </c>
      <c r="Q214">
        <f>'Grid_Requirement'!O5</f>
        <v/>
      </c>
      <c r="R214">
        <f>'Grid_Requirement'!P5</f>
        <v/>
      </c>
      <c r="S214">
        <f>'Grid_Requirement'!Q5</f>
        <v/>
      </c>
      <c r="T214">
        <f>'Grid_Requirement'!R5</f>
        <v/>
      </c>
      <c r="U214">
        <f>'Grid_Requirement'!S5</f>
        <v/>
      </c>
      <c r="V214">
        <f>'Grid_Requirement'!T5</f>
        <v/>
      </c>
      <c r="W214">
        <f>'Grid_Requirement'!U5</f>
        <v/>
      </c>
      <c r="X214">
        <f>'Grid_Requirement'!V5</f>
        <v/>
      </c>
      <c r="Y214">
        <f>'Grid_Requirement'!W5</f>
        <v/>
      </c>
      <c r="Z214">
        <f>'Grid_Requirement'!X5</f>
        <v/>
      </c>
      <c r="AA214">
        <f>'Grid_Requirement'!Y5</f>
        <v/>
      </c>
      <c r="AB214">
        <f>'Grid_Requirement'!Z5</f>
        <v/>
      </c>
      <c r="AC214">
        <f>'Grid_Requirement'!AA5</f>
        <v/>
      </c>
      <c r="AD214">
        <f>'Grid_Requirement'!AB5</f>
        <v/>
      </c>
      <c r="AE214">
        <f>'Grid_Requirement'!AC5</f>
        <v/>
      </c>
      <c r="AF214">
        <f>'Grid_Requirement'!AD5</f>
        <v/>
      </c>
      <c r="AG214">
        <f>'Grid_Requirement'!AE5</f>
        <v/>
      </c>
      <c r="AH214">
        <f>'Grid_Requirement'!AF5</f>
        <v/>
      </c>
      <c r="AI214">
        <f>'Grid_Requirement'!AG5</f>
        <v/>
      </c>
      <c r="AJ214">
        <f>'Grid_Requirement'!AH5</f>
        <v/>
      </c>
      <c r="AK214">
        <f>'Grid_Requirement'!AI5</f>
        <v/>
      </c>
      <c r="AL214">
        <f>'Grid_Requirement'!AJ5</f>
        <v/>
      </c>
      <c r="AM214">
        <f>'Grid_Requirement'!AK5</f>
        <v/>
      </c>
      <c r="AN214">
        <f>'Grid_Requirement'!AL5</f>
        <v/>
      </c>
      <c r="AO214">
        <f>'Grid_Requirement'!AM5</f>
        <v/>
      </c>
      <c r="AP214">
        <f>'Grid_Requirement'!AN5</f>
        <v/>
      </c>
      <c r="AQ214">
        <f>'Grid_Requirement'!AO5</f>
        <v/>
      </c>
      <c r="AR214">
        <f>'Grid_Requirement'!AP5</f>
        <v/>
      </c>
      <c r="AS214">
        <f>'Grid_Requirement'!AQ5</f>
        <v/>
      </c>
      <c r="AT214">
        <f>'Grid_Requirement'!AR5</f>
        <v/>
      </c>
      <c r="AU214">
        <f>'Grid_Requirement'!AS5</f>
        <v/>
      </c>
      <c r="AV214">
        <f>'Grid_Requirement'!AT5</f>
        <v/>
      </c>
      <c r="AW214">
        <f>'Grid_Requirement'!AU5</f>
        <v/>
      </c>
      <c r="AX214">
        <f>'Grid_Requirement'!AV5</f>
        <v/>
      </c>
      <c r="AY214">
        <f>'Grid_Requirement'!AW5</f>
        <v/>
      </c>
      <c r="AZ214">
        <f>'Grid_Requirement'!AX5</f>
        <v/>
      </c>
      <c r="BA214">
        <f>'Grid_Requirement'!AY5</f>
        <v/>
      </c>
      <c r="BB214">
        <f>'Grid_Requirement'!AZ5</f>
        <v/>
      </c>
      <c r="BC214">
        <f>'Grid_Requirement'!BA5</f>
        <v/>
      </c>
      <c r="BD214">
        <f>'Grid_Requirement'!BB5</f>
        <v/>
      </c>
      <c r="BE214">
        <f>'Grid_Requirement'!BC5</f>
        <v/>
      </c>
      <c r="BF214">
        <f>'Grid_Requirement'!BD5</f>
        <v/>
      </c>
      <c r="BG214">
        <f>'Grid_Requirement'!BE5</f>
        <v/>
      </c>
      <c r="BH214">
        <f>'Grid_Requirement'!BF5</f>
        <v/>
      </c>
      <c r="BI214">
        <f>'Grid_Requirement'!BG5</f>
        <v/>
      </c>
      <c r="BJ214">
        <f>'Grid_Requirement'!BH5</f>
        <v/>
      </c>
      <c r="BK214">
        <f>'Grid_Requirement'!BI5</f>
        <v/>
      </c>
      <c r="BL214">
        <f>'Grid_Requirement'!BJ5</f>
        <v/>
      </c>
      <c r="BM214">
        <f>'Grid_Requirement'!BK5</f>
        <v/>
      </c>
      <c r="BN214">
        <f>'Grid_Requirement'!BL5</f>
        <v/>
      </c>
      <c r="BO214">
        <f>'Grid_Requirement'!BM5</f>
        <v/>
      </c>
      <c r="BP214">
        <f>'Grid_Requirement'!BN5</f>
        <v/>
      </c>
      <c r="BQ214">
        <f>'Grid_Requirement'!BO5</f>
        <v/>
      </c>
      <c r="BR214">
        <f>'Grid_Requirement'!BP5</f>
        <v/>
      </c>
      <c r="BS214">
        <f>'Grid_Requirement'!BQ5</f>
        <v/>
      </c>
      <c r="BT214">
        <f>'Grid_Requirement'!BR5</f>
        <v/>
      </c>
      <c r="BU214">
        <f>'Grid_Requirement'!BS5</f>
        <v/>
      </c>
      <c r="BV214">
        <f>'Grid_Requirement'!BT5</f>
        <v/>
      </c>
      <c r="BW214">
        <f>'Grid_Requirement'!BU5</f>
        <v/>
      </c>
      <c r="BX214">
        <f>'Grid_Requirement'!BV5</f>
        <v/>
      </c>
      <c r="BY214">
        <f>'Grid_Requirement'!BW5</f>
        <v/>
      </c>
      <c r="BZ214">
        <f>'Grid_Requirement'!BX5</f>
        <v/>
      </c>
      <c r="CA214">
        <f>'Grid_Requirement'!BY5</f>
        <v/>
      </c>
      <c r="CB214">
        <f>'Grid_Requirement'!BZ5</f>
        <v/>
      </c>
      <c r="CC214">
        <f>'Grid_Requirement'!CA5</f>
        <v/>
      </c>
      <c r="CD214">
        <f>'Grid_Requirement'!CB5</f>
        <v/>
      </c>
      <c r="CE214">
        <f>'Grid_Requirement'!CC5</f>
        <v/>
      </c>
      <c r="CF214">
        <f>'Grid_Requirement'!CD5</f>
        <v/>
      </c>
      <c r="CG214">
        <f>'Grid_Requirement'!CE5</f>
        <v/>
      </c>
      <c r="CH214">
        <f>'Grid_Requirement'!CF5</f>
        <v/>
      </c>
      <c r="CI214">
        <f>'Grid_Requirement'!CG5</f>
        <v/>
      </c>
      <c r="CJ214">
        <f>'Grid_Requirement'!CH5</f>
        <v/>
      </c>
      <c r="CK214">
        <f>'Grid_Requirement'!CI5</f>
        <v/>
      </c>
      <c r="CL214">
        <f>'Grid_Requirement'!CJ5</f>
        <v/>
      </c>
      <c r="CM214">
        <f>'Grid_Requirement'!CK5</f>
        <v/>
      </c>
      <c r="CN214">
        <f>'Grid_Requirement'!CL5</f>
        <v/>
      </c>
      <c r="CO214">
        <f>'Grid_Requirement'!CM5</f>
        <v/>
      </c>
      <c r="CP214">
        <f>'Grid_Requirement'!CN5</f>
        <v/>
      </c>
      <c r="CQ214">
        <f>'Grid_Requirement'!CO5</f>
        <v/>
      </c>
      <c r="CR214">
        <f>'Grid_Requirement'!CP5</f>
        <v/>
      </c>
      <c r="CS214">
        <f>'Grid_Requirement'!CQ5</f>
        <v/>
      </c>
      <c r="CT214">
        <f>'Grid_Requirement'!CR5</f>
        <v/>
      </c>
      <c r="CU214">
        <f>'Grid_Requirement'!CS5</f>
        <v/>
      </c>
      <c r="CV214">
        <f>'Grid_Requirement'!CT5</f>
        <v/>
      </c>
      <c r="CW214">
        <f>'Grid_Requirement'!CU5</f>
        <v/>
      </c>
      <c r="CX214">
        <f>'Grid_Requirement'!CV5</f>
        <v/>
      </c>
      <c r="CY214">
        <f>'Grid_Requirement'!CW5</f>
        <v/>
      </c>
      <c r="CZ214">
        <f>'Grid_Requirement'!CX5</f>
        <v/>
      </c>
      <c r="DA214">
        <f>'Grid_Requirement'!CY5</f>
        <v/>
      </c>
      <c r="DB214">
        <f>'Grid_Requirement'!CZ5</f>
        <v/>
      </c>
      <c r="DC214">
        <f>'Grid_Requirement'!DA5</f>
        <v/>
      </c>
    </row>
    <row r="215">
      <c r="B215" t="inlineStr">
        <is>
          <t>TTAF在庫(実績,kg)</t>
        </is>
      </c>
      <c r="D215">
        <f>'T_TTAFStock'!B9</f>
        <v/>
      </c>
      <c r="E215">
        <f>'T_TTAFStock'!C9</f>
        <v/>
      </c>
      <c r="F215">
        <f>'T_TTAFStock'!D9</f>
        <v/>
      </c>
      <c r="G215">
        <f>'T_TTAFStock'!E9</f>
        <v/>
      </c>
      <c r="H215">
        <f>'T_TTAFStock'!F9</f>
        <v/>
      </c>
      <c r="I215">
        <f>'T_TTAFStock'!G9</f>
        <v/>
      </c>
      <c r="J215">
        <f>'T_TTAFStock'!H9</f>
        <v/>
      </c>
      <c r="K215">
        <f>'T_TTAFStock'!I9</f>
        <v/>
      </c>
      <c r="L215">
        <f>'T_TTAFStock'!J9</f>
        <v/>
      </c>
      <c r="M215">
        <f>'T_TTAFStock'!K9</f>
        <v/>
      </c>
      <c r="N215">
        <f>'T_TTAFStock'!L9</f>
        <v/>
      </c>
      <c r="O215">
        <f>'T_TTAFStock'!M9</f>
        <v/>
      </c>
      <c r="P215">
        <f>'T_TTAFStock'!N9</f>
        <v/>
      </c>
      <c r="Q215">
        <f>'T_TTAFStock'!O9</f>
        <v/>
      </c>
      <c r="R215">
        <f>'T_TTAFStock'!P9</f>
        <v/>
      </c>
      <c r="S215">
        <f>'T_TTAFStock'!Q9</f>
        <v/>
      </c>
      <c r="T215">
        <f>'T_TTAFStock'!R9</f>
        <v/>
      </c>
      <c r="U215">
        <f>'T_TTAFStock'!S9</f>
        <v/>
      </c>
      <c r="V215">
        <f>'T_TTAFStock'!T9</f>
        <v/>
      </c>
      <c r="W215">
        <f>'T_TTAFStock'!U9</f>
        <v/>
      </c>
      <c r="X215">
        <f>'T_TTAFStock'!V9</f>
        <v/>
      </c>
      <c r="Y215">
        <f>'T_TTAFStock'!W9</f>
        <v/>
      </c>
      <c r="Z215">
        <f>'T_TTAFStock'!X9</f>
        <v/>
      </c>
      <c r="AA215">
        <f>'T_TTAFStock'!Y9</f>
        <v/>
      </c>
      <c r="AB215">
        <f>'T_TTAFStock'!Z9</f>
        <v/>
      </c>
      <c r="AC215">
        <f>'T_TTAFStock'!AA9</f>
        <v/>
      </c>
      <c r="AD215">
        <f>'T_TTAFStock'!AB9</f>
        <v/>
      </c>
      <c r="AE215">
        <f>'T_TTAFStock'!AC9</f>
        <v/>
      </c>
      <c r="AF215">
        <f>'T_TTAFStock'!AD9</f>
        <v/>
      </c>
      <c r="AG215">
        <f>'T_TTAFStock'!AE9</f>
        <v/>
      </c>
      <c r="AH215">
        <f>'T_TTAFStock'!AF9</f>
        <v/>
      </c>
      <c r="AI215">
        <f>'T_TTAFStock'!AG9</f>
        <v/>
      </c>
      <c r="AJ215">
        <f>'T_TTAFStock'!AH9</f>
        <v/>
      </c>
      <c r="AK215">
        <f>'T_TTAFStock'!AI9</f>
        <v/>
      </c>
      <c r="AL215">
        <f>'T_TTAFStock'!AJ9</f>
        <v/>
      </c>
      <c r="AM215">
        <f>'T_TTAFStock'!AK9</f>
        <v/>
      </c>
      <c r="AN215">
        <f>'T_TTAFStock'!AL9</f>
        <v/>
      </c>
      <c r="AO215">
        <f>'T_TTAFStock'!AM9</f>
        <v/>
      </c>
      <c r="AP215">
        <f>'T_TTAFStock'!AN9</f>
        <v/>
      </c>
      <c r="AQ215">
        <f>'T_TTAFStock'!AO9</f>
        <v/>
      </c>
      <c r="AR215">
        <f>'T_TTAFStock'!AP9</f>
        <v/>
      </c>
      <c r="AS215">
        <f>'T_TTAFStock'!AQ9</f>
        <v/>
      </c>
      <c r="AT215">
        <f>'T_TTAFStock'!AR9</f>
        <v/>
      </c>
      <c r="AU215">
        <f>'T_TTAFStock'!AS9</f>
        <v/>
      </c>
      <c r="AV215">
        <f>'T_TTAFStock'!AT9</f>
        <v/>
      </c>
      <c r="AW215">
        <f>'T_TTAFStock'!AU9</f>
        <v/>
      </c>
      <c r="AX215">
        <f>'T_TTAFStock'!AV9</f>
        <v/>
      </c>
      <c r="AY215">
        <f>'T_TTAFStock'!AW9</f>
        <v/>
      </c>
      <c r="AZ215">
        <f>'T_TTAFStock'!AX9</f>
        <v/>
      </c>
      <c r="BA215">
        <f>'T_TTAFStock'!AY9</f>
        <v/>
      </c>
      <c r="BB215">
        <f>'T_TTAFStock'!AZ9</f>
        <v/>
      </c>
      <c r="BC215">
        <f>'T_TTAFStock'!BA9</f>
        <v/>
      </c>
      <c r="BD215">
        <f>'T_TTAFStock'!BB9</f>
        <v/>
      </c>
      <c r="BE215">
        <f>'T_TTAFStock'!BC9</f>
        <v/>
      </c>
      <c r="BF215">
        <f>'T_TTAFStock'!BD9</f>
        <v/>
      </c>
      <c r="BG215">
        <f>'T_TTAFStock'!BE9</f>
        <v/>
      </c>
      <c r="BH215">
        <f>'T_TTAFStock'!BF9</f>
        <v/>
      </c>
      <c r="BI215">
        <f>'T_TTAFStock'!BG9</f>
        <v/>
      </c>
      <c r="BJ215">
        <f>'T_TTAFStock'!BH9</f>
        <v/>
      </c>
      <c r="BK215">
        <f>'T_TTAFStock'!BI9</f>
        <v/>
      </c>
      <c r="BL215">
        <f>'T_TTAFStock'!BJ9</f>
        <v/>
      </c>
      <c r="BM215">
        <f>'T_TTAFStock'!BK9</f>
        <v/>
      </c>
      <c r="BN215">
        <f>'T_TTAFStock'!BL9</f>
        <v/>
      </c>
      <c r="BO215">
        <f>'T_TTAFStock'!BM9</f>
        <v/>
      </c>
      <c r="BP215">
        <f>'T_TTAFStock'!BN9</f>
        <v/>
      </c>
      <c r="BQ215">
        <f>'T_TTAFStock'!BO9</f>
        <v/>
      </c>
      <c r="BR215">
        <f>'T_TTAFStock'!BP9</f>
        <v/>
      </c>
      <c r="BS215">
        <f>'T_TTAFStock'!BQ9</f>
        <v/>
      </c>
      <c r="BT215">
        <f>'T_TTAFStock'!BR9</f>
        <v/>
      </c>
      <c r="BU215">
        <f>'T_TTAFStock'!BS9</f>
        <v/>
      </c>
      <c r="BV215">
        <f>'T_TTAFStock'!BT9</f>
        <v/>
      </c>
      <c r="BW215">
        <f>'T_TTAFStock'!BU9</f>
        <v/>
      </c>
      <c r="BX215">
        <f>'T_TTAFStock'!BV9</f>
        <v/>
      </c>
      <c r="BY215">
        <f>'T_TTAFStock'!BW9</f>
        <v/>
      </c>
      <c r="BZ215">
        <f>'T_TTAFStock'!BX9</f>
        <v/>
      </c>
      <c r="CA215">
        <f>'T_TTAFStock'!BY9</f>
        <v/>
      </c>
      <c r="CB215">
        <f>'T_TTAFStock'!BZ9</f>
        <v/>
      </c>
      <c r="CC215">
        <f>'T_TTAFStock'!CA9</f>
        <v/>
      </c>
      <c r="CD215">
        <f>'T_TTAFStock'!CB9</f>
        <v/>
      </c>
      <c r="CE215">
        <f>'T_TTAFStock'!CC9</f>
        <v/>
      </c>
      <c r="CF215">
        <f>'T_TTAFStock'!CD9</f>
        <v/>
      </c>
      <c r="CG215">
        <f>'T_TTAFStock'!CE9</f>
        <v/>
      </c>
      <c r="CH215">
        <f>'T_TTAFStock'!CF9</f>
        <v/>
      </c>
      <c r="CI215">
        <f>'T_TTAFStock'!CG9</f>
        <v/>
      </c>
      <c r="CJ215">
        <f>'T_TTAFStock'!CH9</f>
        <v/>
      </c>
      <c r="CK215">
        <f>'T_TTAFStock'!CI9</f>
        <v/>
      </c>
      <c r="CL215">
        <f>'T_TTAFStock'!CJ9</f>
        <v/>
      </c>
      <c r="CM215">
        <f>'T_TTAFStock'!CK9</f>
        <v/>
      </c>
      <c r="CN215">
        <f>'T_TTAFStock'!CL9</f>
        <v/>
      </c>
      <c r="CO215">
        <f>'T_TTAFStock'!CM9</f>
        <v/>
      </c>
      <c r="CP215">
        <f>'T_TTAFStock'!CN9</f>
        <v/>
      </c>
      <c r="CQ215">
        <f>'T_TTAFStock'!CO9</f>
        <v/>
      </c>
      <c r="CR215">
        <f>'T_TTAFStock'!CP9</f>
        <v/>
      </c>
      <c r="CS215">
        <f>'T_TTAFStock'!CQ9</f>
        <v/>
      </c>
      <c r="CT215">
        <f>'T_TTAFStock'!CR9</f>
        <v/>
      </c>
      <c r="CU215">
        <f>'T_TTAFStock'!CS9</f>
        <v/>
      </c>
      <c r="CV215">
        <f>'T_TTAFStock'!CT9</f>
        <v/>
      </c>
      <c r="CW215">
        <f>'T_TTAFStock'!CU9</f>
        <v/>
      </c>
      <c r="CX215">
        <f>'T_TTAFStock'!CV9</f>
        <v/>
      </c>
      <c r="CY215">
        <f>'T_TTAFStock'!CW9</f>
        <v/>
      </c>
      <c r="CZ215">
        <f>'T_TTAFStock'!CX9</f>
        <v/>
      </c>
      <c r="DA215">
        <f>'T_TTAFStock'!CY9</f>
        <v/>
      </c>
      <c r="DB215">
        <f>'T_TTAFStock'!CZ9</f>
        <v/>
      </c>
      <c r="DC215">
        <f>'T_TTAFStock'!DA9</f>
        <v/>
      </c>
    </row>
    <row r="216">
      <c r="B216" t="inlineStr">
        <is>
          <t>自社在庫(実績,kg)</t>
        </is>
      </c>
      <c r="D216">
        <f>'T_SelfStock'!B9</f>
        <v/>
      </c>
      <c r="E216">
        <f>'T_SelfStock'!C9</f>
        <v/>
      </c>
      <c r="F216">
        <f>'T_SelfStock'!D9</f>
        <v/>
      </c>
      <c r="G216">
        <f>'T_SelfStock'!E9</f>
        <v/>
      </c>
      <c r="H216">
        <f>'T_SelfStock'!F9</f>
        <v/>
      </c>
      <c r="I216">
        <f>'T_SelfStock'!G9</f>
        <v/>
      </c>
      <c r="J216">
        <f>'T_SelfStock'!H9</f>
        <v/>
      </c>
      <c r="K216">
        <f>'T_SelfStock'!I9</f>
        <v/>
      </c>
      <c r="L216">
        <f>'T_SelfStock'!J9</f>
        <v/>
      </c>
      <c r="M216">
        <f>'T_SelfStock'!K9</f>
        <v/>
      </c>
      <c r="N216">
        <f>'T_SelfStock'!L9</f>
        <v/>
      </c>
      <c r="O216">
        <f>'T_SelfStock'!M9</f>
        <v/>
      </c>
      <c r="P216">
        <f>'T_SelfStock'!N9</f>
        <v/>
      </c>
      <c r="Q216">
        <f>'T_SelfStock'!O9</f>
        <v/>
      </c>
      <c r="R216">
        <f>'T_SelfStock'!P9</f>
        <v/>
      </c>
      <c r="S216">
        <f>'T_SelfStock'!Q9</f>
        <v/>
      </c>
      <c r="T216">
        <f>'T_SelfStock'!R9</f>
        <v/>
      </c>
      <c r="U216">
        <f>'T_SelfStock'!S9</f>
        <v/>
      </c>
      <c r="V216">
        <f>'T_SelfStock'!T9</f>
        <v/>
      </c>
      <c r="W216">
        <f>'T_SelfStock'!U9</f>
        <v/>
      </c>
      <c r="X216">
        <f>'T_SelfStock'!V9</f>
        <v/>
      </c>
      <c r="Y216">
        <f>'T_SelfStock'!W9</f>
        <v/>
      </c>
      <c r="Z216">
        <f>'T_SelfStock'!X9</f>
        <v/>
      </c>
      <c r="AA216">
        <f>'T_SelfStock'!Y9</f>
        <v/>
      </c>
      <c r="AB216">
        <f>'T_SelfStock'!Z9</f>
        <v/>
      </c>
      <c r="AC216">
        <f>'T_SelfStock'!AA9</f>
        <v/>
      </c>
      <c r="AD216">
        <f>'T_SelfStock'!AB9</f>
        <v/>
      </c>
      <c r="AE216">
        <f>'T_SelfStock'!AC9</f>
        <v/>
      </c>
      <c r="AF216">
        <f>'T_SelfStock'!AD9</f>
        <v/>
      </c>
      <c r="AG216">
        <f>'T_SelfStock'!AE9</f>
        <v/>
      </c>
      <c r="AH216">
        <f>'T_SelfStock'!AF9</f>
        <v/>
      </c>
      <c r="AI216">
        <f>'T_SelfStock'!AG9</f>
        <v/>
      </c>
      <c r="AJ216">
        <f>'T_SelfStock'!AH9</f>
        <v/>
      </c>
      <c r="AK216">
        <f>'T_SelfStock'!AI9</f>
        <v/>
      </c>
      <c r="AL216">
        <f>'T_SelfStock'!AJ9</f>
        <v/>
      </c>
      <c r="AM216">
        <f>'T_SelfStock'!AK9</f>
        <v/>
      </c>
      <c r="AN216">
        <f>'T_SelfStock'!AL9</f>
        <v/>
      </c>
      <c r="AO216">
        <f>'T_SelfStock'!AM9</f>
        <v/>
      </c>
      <c r="AP216">
        <f>'T_SelfStock'!AN9</f>
        <v/>
      </c>
      <c r="AQ216">
        <f>'T_SelfStock'!AO9</f>
        <v/>
      </c>
      <c r="AR216">
        <f>'T_SelfStock'!AP9</f>
        <v/>
      </c>
      <c r="AS216">
        <f>'T_SelfStock'!AQ9</f>
        <v/>
      </c>
      <c r="AT216">
        <f>'T_SelfStock'!AR9</f>
        <v/>
      </c>
      <c r="AU216">
        <f>'T_SelfStock'!AS9</f>
        <v/>
      </c>
      <c r="AV216">
        <f>'T_SelfStock'!AT9</f>
        <v/>
      </c>
      <c r="AW216">
        <f>'T_SelfStock'!AU9</f>
        <v/>
      </c>
      <c r="AX216">
        <f>'T_SelfStock'!AV9</f>
        <v/>
      </c>
      <c r="AY216">
        <f>'T_SelfStock'!AW9</f>
        <v/>
      </c>
      <c r="AZ216">
        <f>'T_SelfStock'!AX9</f>
        <v/>
      </c>
      <c r="BA216">
        <f>'T_SelfStock'!AY9</f>
        <v/>
      </c>
      <c r="BB216">
        <f>'T_SelfStock'!AZ9</f>
        <v/>
      </c>
      <c r="BC216">
        <f>'T_SelfStock'!BA9</f>
        <v/>
      </c>
      <c r="BD216">
        <f>'T_SelfStock'!BB9</f>
        <v/>
      </c>
      <c r="BE216">
        <f>'T_SelfStock'!BC9</f>
        <v/>
      </c>
      <c r="BF216">
        <f>'T_SelfStock'!BD9</f>
        <v/>
      </c>
      <c r="BG216">
        <f>'T_SelfStock'!BE9</f>
        <v/>
      </c>
      <c r="BH216">
        <f>'T_SelfStock'!BF9</f>
        <v/>
      </c>
      <c r="BI216">
        <f>'T_SelfStock'!BG9</f>
        <v/>
      </c>
      <c r="BJ216">
        <f>'T_SelfStock'!BH9</f>
        <v/>
      </c>
      <c r="BK216">
        <f>'T_SelfStock'!BI9</f>
        <v/>
      </c>
      <c r="BL216">
        <f>'T_SelfStock'!BJ9</f>
        <v/>
      </c>
      <c r="BM216">
        <f>'T_SelfStock'!BK9</f>
        <v/>
      </c>
      <c r="BN216">
        <f>'T_SelfStock'!BL9</f>
        <v/>
      </c>
      <c r="BO216">
        <f>'T_SelfStock'!BM9</f>
        <v/>
      </c>
      <c r="BP216">
        <f>'T_SelfStock'!BN9</f>
        <v/>
      </c>
      <c r="BQ216">
        <f>'T_SelfStock'!BO9</f>
        <v/>
      </c>
      <c r="BR216">
        <f>'T_SelfStock'!BP9</f>
        <v/>
      </c>
      <c r="BS216">
        <f>'T_SelfStock'!BQ9</f>
        <v/>
      </c>
      <c r="BT216">
        <f>'T_SelfStock'!BR9</f>
        <v/>
      </c>
      <c r="BU216">
        <f>'T_SelfStock'!BS9</f>
        <v/>
      </c>
      <c r="BV216">
        <f>'T_SelfStock'!BT9</f>
        <v/>
      </c>
      <c r="BW216">
        <f>'T_SelfStock'!BU9</f>
        <v/>
      </c>
      <c r="BX216">
        <f>'T_SelfStock'!BV9</f>
        <v/>
      </c>
      <c r="BY216">
        <f>'T_SelfStock'!BW9</f>
        <v/>
      </c>
      <c r="BZ216">
        <f>'T_SelfStock'!BX9</f>
        <v/>
      </c>
      <c r="CA216">
        <f>'T_SelfStock'!BY9</f>
        <v/>
      </c>
      <c r="CB216">
        <f>'T_SelfStock'!BZ9</f>
        <v/>
      </c>
      <c r="CC216">
        <f>'T_SelfStock'!CA9</f>
        <v/>
      </c>
      <c r="CD216">
        <f>'T_SelfStock'!CB9</f>
        <v/>
      </c>
      <c r="CE216">
        <f>'T_SelfStock'!CC9</f>
        <v/>
      </c>
      <c r="CF216">
        <f>'T_SelfStock'!CD9</f>
        <v/>
      </c>
      <c r="CG216">
        <f>'T_SelfStock'!CE9</f>
        <v/>
      </c>
      <c r="CH216">
        <f>'T_SelfStock'!CF9</f>
        <v/>
      </c>
      <c r="CI216">
        <f>'T_SelfStock'!CG9</f>
        <v/>
      </c>
      <c r="CJ216">
        <f>'T_SelfStock'!CH9</f>
        <v/>
      </c>
      <c r="CK216">
        <f>'T_SelfStock'!CI9</f>
        <v/>
      </c>
      <c r="CL216">
        <f>'T_SelfStock'!CJ9</f>
        <v/>
      </c>
      <c r="CM216">
        <f>'T_SelfStock'!CK9</f>
        <v/>
      </c>
      <c r="CN216">
        <f>'T_SelfStock'!CL9</f>
        <v/>
      </c>
      <c r="CO216">
        <f>'T_SelfStock'!CM9</f>
        <v/>
      </c>
      <c r="CP216">
        <f>'T_SelfStock'!CN9</f>
        <v/>
      </c>
      <c r="CQ216">
        <f>'T_SelfStock'!CO9</f>
        <v/>
      </c>
      <c r="CR216">
        <f>'T_SelfStock'!CP9</f>
        <v/>
      </c>
      <c r="CS216">
        <f>'T_SelfStock'!CQ9</f>
        <v/>
      </c>
      <c r="CT216">
        <f>'T_SelfStock'!CR9</f>
        <v/>
      </c>
      <c r="CU216">
        <f>'T_SelfStock'!CS9</f>
        <v/>
      </c>
      <c r="CV216">
        <f>'T_SelfStock'!CT9</f>
        <v/>
      </c>
      <c r="CW216">
        <f>'T_SelfStock'!CU9</f>
        <v/>
      </c>
      <c r="CX216">
        <f>'T_SelfStock'!CV9</f>
        <v/>
      </c>
      <c r="CY216">
        <f>'T_SelfStock'!CW9</f>
        <v/>
      </c>
      <c r="CZ216">
        <f>'T_SelfStock'!CX9</f>
        <v/>
      </c>
      <c r="DA216">
        <f>'T_SelfStock'!CY9</f>
        <v/>
      </c>
      <c r="DB216">
        <f>'T_SelfStock'!CZ9</f>
        <v/>
      </c>
      <c r="DC216">
        <f>'T_SelfStock'!DA9</f>
        <v/>
      </c>
    </row>
    <row r="217">
      <c r="B217" t="inlineStr">
        <is>
          <t>Order(発注予定,kg)</t>
        </is>
      </c>
      <c r="D217">
        <f>IF(SUMIFS(T_PlannedOrders[EffectiveQty],T_PlannedOrders[Part Name],$A45,T_PlannedOrders[WeekIndex],1)=0,"",SUMIFS(T_PlannedOrders[EffectiveQty],T_PlannedOrders[Part Name],$A45,T_PlannedOrders[WeekIndex],1)&amp;" ("&amp;TEXT(SUMPRODUCT(MAX((T_PlannedOrders[Part Name]=$A45)*(T_PlannedOrders[WeekIndex]=1)*(T_PlannedOrders[EffectiveQty]&gt;0)*T_PlannedOrders[Order_Month])),"m月")&amp;"発注)")</f>
        <v/>
      </c>
      <c r="E217">
        <f>IF(SUMIFS(T_PlannedOrders[EffectiveQty],T_PlannedOrders[Part Name],$A45,T_PlannedOrders[WeekIndex],2)=0,"",SUMIFS(T_PlannedOrders[EffectiveQty],T_PlannedOrders[Part Name],$A45,T_PlannedOrders[WeekIndex],2)&amp;" ("&amp;TEXT(SUMPRODUCT(MAX((T_PlannedOrders[Part Name]=$A45)*(T_PlannedOrders[WeekIndex]=2)*(T_PlannedOrders[EffectiveQty]&gt;0)*T_PlannedOrders[Order_Month])),"m月")&amp;"発注)")</f>
        <v/>
      </c>
      <c r="F217">
        <f>IF(SUMIFS(T_PlannedOrders[EffectiveQty],T_PlannedOrders[Part Name],$A45,T_PlannedOrders[WeekIndex],3)=0,"",SUMIFS(T_PlannedOrders[EffectiveQty],T_PlannedOrders[Part Name],$A45,T_PlannedOrders[WeekIndex],3)&amp;" ("&amp;TEXT(SUMPRODUCT(MAX((T_PlannedOrders[Part Name]=$A45)*(T_PlannedOrders[WeekIndex]=3)*(T_PlannedOrders[EffectiveQty]&gt;0)*T_PlannedOrders[Order_Month])),"m月")&amp;"発注)")</f>
        <v/>
      </c>
      <c r="G217">
        <f>IF(SUMIFS(T_PlannedOrders[EffectiveQty],T_PlannedOrders[Part Name],$A45,T_PlannedOrders[WeekIndex],4)=0,"",SUMIFS(T_PlannedOrders[EffectiveQty],T_PlannedOrders[Part Name],$A45,T_PlannedOrders[WeekIndex],4)&amp;" ("&amp;TEXT(SUMPRODUCT(MAX((T_PlannedOrders[Part Name]=$A45)*(T_PlannedOrders[WeekIndex]=4)*(T_PlannedOrders[EffectiveQty]&gt;0)*T_PlannedOrders[Order_Month])),"m月")&amp;"発注)")</f>
        <v/>
      </c>
      <c r="H217">
        <f>IF(SUMIFS(T_PlannedOrders[EffectiveQty],T_PlannedOrders[Part Name],$A45,T_PlannedOrders[WeekIndex],5)=0,"",SUMIFS(T_PlannedOrders[EffectiveQty],T_PlannedOrders[Part Name],$A45,T_PlannedOrders[WeekIndex],5)&amp;" ("&amp;TEXT(SUMPRODUCT(MAX((T_PlannedOrders[Part Name]=$A45)*(T_PlannedOrders[WeekIndex]=5)*(T_PlannedOrders[EffectiveQty]&gt;0)*T_PlannedOrders[Order_Month])),"m月")&amp;"発注)")</f>
        <v/>
      </c>
      <c r="I217">
        <f>IF(SUMIFS(T_PlannedOrders[EffectiveQty],T_PlannedOrders[Part Name],$A45,T_PlannedOrders[WeekIndex],6)=0,"",SUMIFS(T_PlannedOrders[EffectiveQty],T_PlannedOrders[Part Name],$A45,T_PlannedOrders[WeekIndex],6)&amp;" ("&amp;TEXT(SUMPRODUCT(MAX((T_PlannedOrders[Part Name]=$A45)*(T_PlannedOrders[WeekIndex]=6)*(T_PlannedOrders[EffectiveQty]&gt;0)*T_PlannedOrders[Order_Month])),"m月")&amp;"発注)")</f>
        <v/>
      </c>
      <c r="J217">
        <f>IF(SUMIFS(T_PlannedOrders[EffectiveQty],T_PlannedOrders[Part Name],$A45,T_PlannedOrders[WeekIndex],7)=0,"",SUMIFS(T_PlannedOrders[EffectiveQty],T_PlannedOrders[Part Name],$A45,T_PlannedOrders[WeekIndex],7)&amp;" ("&amp;TEXT(SUMPRODUCT(MAX((T_PlannedOrders[Part Name]=$A45)*(T_PlannedOrders[WeekIndex]=7)*(T_PlannedOrders[EffectiveQty]&gt;0)*T_PlannedOrders[Order_Month])),"m月")&amp;"発注)")</f>
        <v/>
      </c>
      <c r="K217">
        <f>IF(SUMIFS(T_PlannedOrders[EffectiveQty],T_PlannedOrders[Part Name],$A45,T_PlannedOrders[WeekIndex],8)=0,"",SUMIFS(T_PlannedOrders[EffectiveQty],T_PlannedOrders[Part Name],$A45,T_PlannedOrders[WeekIndex],8)&amp;" ("&amp;TEXT(SUMPRODUCT(MAX((T_PlannedOrders[Part Name]=$A45)*(T_PlannedOrders[WeekIndex]=8)*(T_PlannedOrders[EffectiveQty]&gt;0)*T_PlannedOrders[Order_Month])),"m月")&amp;"発注)")</f>
        <v/>
      </c>
      <c r="L217">
        <f>IF(SUMIFS(T_PlannedOrders[EffectiveQty],T_PlannedOrders[Part Name],$A45,T_PlannedOrders[WeekIndex],9)=0,"",SUMIFS(T_PlannedOrders[EffectiveQty],T_PlannedOrders[Part Name],$A45,T_PlannedOrders[WeekIndex],9)&amp;" ("&amp;TEXT(SUMPRODUCT(MAX((T_PlannedOrders[Part Name]=$A45)*(T_PlannedOrders[WeekIndex]=9)*(T_PlannedOrders[EffectiveQty]&gt;0)*T_PlannedOrders[Order_Month])),"m月")&amp;"発注)")</f>
        <v/>
      </c>
      <c r="M217">
        <f>IF(SUMIFS(T_PlannedOrders[EffectiveQty],T_PlannedOrders[Part Name],$A45,T_PlannedOrders[WeekIndex],10)=0,"",SUMIFS(T_PlannedOrders[EffectiveQty],T_PlannedOrders[Part Name],$A45,T_PlannedOrders[WeekIndex],10)&amp;" ("&amp;TEXT(SUMPRODUCT(MAX((T_PlannedOrders[Part Name]=$A45)*(T_PlannedOrders[WeekIndex]=10)*(T_PlannedOrders[EffectiveQty]&gt;0)*T_PlannedOrders[Order_Month])),"m月")&amp;"発注)")</f>
        <v/>
      </c>
      <c r="N217">
        <f>IF(SUMIFS(T_PlannedOrders[EffectiveQty],T_PlannedOrders[Part Name],$A45,T_PlannedOrders[WeekIndex],11)=0,"",SUMIFS(T_PlannedOrders[EffectiveQty],T_PlannedOrders[Part Name],$A45,T_PlannedOrders[WeekIndex],11)&amp;" ("&amp;TEXT(SUMPRODUCT(MAX((T_PlannedOrders[Part Name]=$A45)*(T_PlannedOrders[WeekIndex]=11)*(T_PlannedOrders[EffectiveQty]&gt;0)*T_PlannedOrders[Order_Month])),"m月")&amp;"発注)")</f>
        <v/>
      </c>
      <c r="O217">
        <f>IF(SUMIFS(T_PlannedOrders[EffectiveQty],T_PlannedOrders[Part Name],$A45,T_PlannedOrders[WeekIndex],12)=0,"",SUMIFS(T_PlannedOrders[EffectiveQty],T_PlannedOrders[Part Name],$A45,T_PlannedOrders[WeekIndex],12)&amp;" ("&amp;TEXT(SUMPRODUCT(MAX((T_PlannedOrders[Part Name]=$A45)*(T_PlannedOrders[WeekIndex]=12)*(T_PlannedOrders[EffectiveQty]&gt;0)*T_PlannedOrders[Order_Month])),"m月")&amp;"発注)")</f>
        <v/>
      </c>
      <c r="P217">
        <f>IF(SUMIFS(T_PlannedOrders[EffectiveQty],T_PlannedOrders[Part Name],$A45,T_PlannedOrders[WeekIndex],13)=0,"",SUMIFS(T_PlannedOrders[EffectiveQty],T_PlannedOrders[Part Name],$A45,T_PlannedOrders[WeekIndex],13)&amp;" ("&amp;TEXT(SUMPRODUCT(MAX((T_PlannedOrders[Part Name]=$A45)*(T_PlannedOrders[WeekIndex]=13)*(T_PlannedOrders[EffectiveQty]&gt;0)*T_PlannedOrders[Order_Month])),"m月")&amp;"発注)")</f>
        <v/>
      </c>
      <c r="Q217">
        <f>IF(SUMIFS(T_PlannedOrders[EffectiveQty],T_PlannedOrders[Part Name],$A45,T_PlannedOrders[WeekIndex],14)=0,"",SUMIFS(T_PlannedOrders[EffectiveQty],T_PlannedOrders[Part Name],$A45,T_PlannedOrders[WeekIndex],14)&amp;" ("&amp;TEXT(SUMPRODUCT(MAX((T_PlannedOrders[Part Name]=$A45)*(T_PlannedOrders[WeekIndex]=14)*(T_PlannedOrders[EffectiveQty]&gt;0)*T_PlannedOrders[Order_Month])),"m月")&amp;"発注)")</f>
        <v/>
      </c>
      <c r="R217">
        <f>IF(SUMIFS(T_PlannedOrders[EffectiveQty],T_PlannedOrders[Part Name],$A45,T_PlannedOrders[WeekIndex],15)=0,"",SUMIFS(T_PlannedOrders[EffectiveQty],T_PlannedOrders[Part Name],$A45,T_PlannedOrders[WeekIndex],15)&amp;" ("&amp;TEXT(SUMPRODUCT(MAX((T_PlannedOrders[Part Name]=$A45)*(T_PlannedOrders[WeekIndex]=15)*(T_PlannedOrders[EffectiveQty]&gt;0)*T_PlannedOrders[Order_Month])),"m月")&amp;"発注)")</f>
        <v/>
      </c>
      <c r="S217">
        <f>IF(SUMIFS(T_PlannedOrders[EffectiveQty],T_PlannedOrders[Part Name],$A45,T_PlannedOrders[WeekIndex],16)=0,"",SUMIFS(T_PlannedOrders[EffectiveQty],T_PlannedOrders[Part Name],$A45,T_PlannedOrders[WeekIndex],16)&amp;" ("&amp;TEXT(SUMPRODUCT(MAX((T_PlannedOrders[Part Name]=$A45)*(T_PlannedOrders[WeekIndex]=16)*(T_PlannedOrders[EffectiveQty]&gt;0)*T_PlannedOrders[Order_Month])),"m月")&amp;"発注)")</f>
        <v/>
      </c>
      <c r="T217">
        <f>IF(SUMIFS(T_PlannedOrders[EffectiveQty],T_PlannedOrders[Part Name],$A45,T_PlannedOrders[WeekIndex],17)=0,"",SUMIFS(T_PlannedOrders[EffectiveQty],T_PlannedOrders[Part Name],$A45,T_PlannedOrders[WeekIndex],17)&amp;" ("&amp;TEXT(SUMPRODUCT(MAX((T_PlannedOrders[Part Name]=$A45)*(T_PlannedOrders[WeekIndex]=17)*(T_PlannedOrders[EffectiveQty]&gt;0)*T_PlannedOrders[Order_Month])),"m月")&amp;"発注)")</f>
        <v/>
      </c>
      <c r="U217">
        <f>IF(SUMIFS(T_PlannedOrders[EffectiveQty],T_PlannedOrders[Part Name],$A45,T_PlannedOrders[WeekIndex],18)=0,"",SUMIFS(T_PlannedOrders[EffectiveQty],T_PlannedOrders[Part Name],$A45,T_PlannedOrders[WeekIndex],18)&amp;" ("&amp;TEXT(SUMPRODUCT(MAX((T_PlannedOrders[Part Name]=$A45)*(T_PlannedOrders[WeekIndex]=18)*(T_PlannedOrders[EffectiveQty]&gt;0)*T_PlannedOrders[Order_Month])),"m月")&amp;"発注)")</f>
        <v/>
      </c>
      <c r="V217">
        <f>IF(SUMIFS(T_PlannedOrders[EffectiveQty],T_PlannedOrders[Part Name],$A45,T_PlannedOrders[WeekIndex],19)=0,"",SUMIFS(T_PlannedOrders[EffectiveQty],T_PlannedOrders[Part Name],$A45,T_PlannedOrders[WeekIndex],19)&amp;" ("&amp;TEXT(SUMPRODUCT(MAX((T_PlannedOrders[Part Name]=$A45)*(T_PlannedOrders[WeekIndex]=19)*(T_PlannedOrders[EffectiveQty]&gt;0)*T_PlannedOrders[Order_Month])),"m月")&amp;"発注)")</f>
        <v/>
      </c>
      <c r="W217">
        <f>IF(SUMIFS(T_PlannedOrders[EffectiveQty],T_PlannedOrders[Part Name],$A45,T_PlannedOrders[WeekIndex],20)=0,"",SUMIFS(T_PlannedOrders[EffectiveQty],T_PlannedOrders[Part Name],$A45,T_PlannedOrders[WeekIndex],20)&amp;" ("&amp;TEXT(SUMPRODUCT(MAX((T_PlannedOrders[Part Name]=$A45)*(T_PlannedOrders[WeekIndex]=20)*(T_PlannedOrders[EffectiveQty]&gt;0)*T_PlannedOrders[Order_Month])),"m月")&amp;"発注)")</f>
        <v/>
      </c>
      <c r="X217">
        <f>IF(SUMIFS(T_PlannedOrders[EffectiveQty],T_PlannedOrders[Part Name],$A45,T_PlannedOrders[WeekIndex],21)=0,"",SUMIFS(T_PlannedOrders[EffectiveQty],T_PlannedOrders[Part Name],$A45,T_PlannedOrders[WeekIndex],21)&amp;" ("&amp;TEXT(SUMPRODUCT(MAX((T_PlannedOrders[Part Name]=$A45)*(T_PlannedOrders[WeekIndex]=21)*(T_PlannedOrders[EffectiveQty]&gt;0)*T_PlannedOrders[Order_Month])),"m月")&amp;"発注)")</f>
        <v/>
      </c>
      <c r="Y217">
        <f>IF(SUMIFS(T_PlannedOrders[EffectiveQty],T_PlannedOrders[Part Name],$A45,T_PlannedOrders[WeekIndex],22)=0,"",SUMIFS(T_PlannedOrders[EffectiveQty],T_PlannedOrders[Part Name],$A45,T_PlannedOrders[WeekIndex],22)&amp;" ("&amp;TEXT(SUMPRODUCT(MAX((T_PlannedOrders[Part Name]=$A45)*(T_PlannedOrders[WeekIndex]=22)*(T_PlannedOrders[EffectiveQty]&gt;0)*T_PlannedOrders[Order_Month])),"m月")&amp;"発注)")</f>
        <v/>
      </c>
      <c r="Z217">
        <f>IF(SUMIFS(T_PlannedOrders[EffectiveQty],T_PlannedOrders[Part Name],$A45,T_PlannedOrders[WeekIndex],23)=0,"",SUMIFS(T_PlannedOrders[EffectiveQty],T_PlannedOrders[Part Name],$A45,T_PlannedOrders[WeekIndex],23)&amp;" ("&amp;TEXT(SUMPRODUCT(MAX((T_PlannedOrders[Part Name]=$A45)*(T_PlannedOrders[WeekIndex]=23)*(T_PlannedOrders[EffectiveQty]&gt;0)*T_PlannedOrders[Order_Month])),"m月")&amp;"発注)")</f>
        <v/>
      </c>
      <c r="AA217">
        <f>IF(SUMIFS(T_PlannedOrders[EffectiveQty],T_PlannedOrders[Part Name],$A45,T_PlannedOrders[WeekIndex],24)=0,"",SUMIFS(T_PlannedOrders[EffectiveQty],T_PlannedOrders[Part Name],$A45,T_PlannedOrders[WeekIndex],24)&amp;" ("&amp;TEXT(SUMPRODUCT(MAX((T_PlannedOrders[Part Name]=$A45)*(T_PlannedOrders[WeekIndex]=24)*(T_PlannedOrders[EffectiveQty]&gt;0)*T_PlannedOrders[Order_Month])),"m月")&amp;"発注)")</f>
        <v/>
      </c>
      <c r="AB217">
        <f>IF(SUMIFS(T_PlannedOrders[EffectiveQty],T_PlannedOrders[Part Name],$A45,T_PlannedOrders[WeekIndex],25)=0,"",SUMIFS(T_PlannedOrders[EffectiveQty],T_PlannedOrders[Part Name],$A45,T_PlannedOrders[WeekIndex],25)&amp;" ("&amp;TEXT(SUMPRODUCT(MAX((T_PlannedOrders[Part Name]=$A45)*(T_PlannedOrders[WeekIndex]=25)*(T_PlannedOrders[EffectiveQty]&gt;0)*T_PlannedOrders[Order_Month])),"m月")&amp;"発注)")</f>
        <v/>
      </c>
      <c r="AC217">
        <f>IF(SUMIFS(T_PlannedOrders[EffectiveQty],T_PlannedOrders[Part Name],$A45,T_PlannedOrders[WeekIndex],26)=0,"",SUMIFS(T_PlannedOrders[EffectiveQty],T_PlannedOrders[Part Name],$A45,T_PlannedOrders[WeekIndex],26)&amp;" ("&amp;TEXT(SUMPRODUCT(MAX((T_PlannedOrders[Part Name]=$A45)*(T_PlannedOrders[WeekIndex]=26)*(T_PlannedOrders[EffectiveQty]&gt;0)*T_PlannedOrders[Order_Month])),"m月")&amp;"発注)")</f>
        <v/>
      </c>
      <c r="AD217">
        <f>IF(SUMIFS(T_PlannedOrders[EffectiveQty],T_PlannedOrders[Part Name],$A45,T_PlannedOrders[WeekIndex],27)=0,"",SUMIFS(T_PlannedOrders[EffectiveQty],T_PlannedOrders[Part Name],$A45,T_PlannedOrders[WeekIndex],27)&amp;" ("&amp;TEXT(SUMPRODUCT(MAX((T_PlannedOrders[Part Name]=$A45)*(T_PlannedOrders[WeekIndex]=27)*(T_PlannedOrders[EffectiveQty]&gt;0)*T_PlannedOrders[Order_Month])),"m月")&amp;"発注)")</f>
        <v/>
      </c>
      <c r="AE217">
        <f>IF(SUMIFS(T_PlannedOrders[EffectiveQty],T_PlannedOrders[Part Name],$A45,T_PlannedOrders[WeekIndex],28)=0,"",SUMIFS(T_PlannedOrders[EffectiveQty],T_PlannedOrders[Part Name],$A45,T_PlannedOrders[WeekIndex],28)&amp;" ("&amp;TEXT(SUMPRODUCT(MAX((T_PlannedOrders[Part Name]=$A45)*(T_PlannedOrders[WeekIndex]=28)*(T_PlannedOrders[EffectiveQty]&gt;0)*T_PlannedOrders[Order_Month])),"m月")&amp;"発注)")</f>
        <v/>
      </c>
      <c r="AF217">
        <f>IF(SUMIFS(T_PlannedOrders[EffectiveQty],T_PlannedOrders[Part Name],$A45,T_PlannedOrders[WeekIndex],29)=0,"",SUMIFS(T_PlannedOrders[EffectiveQty],T_PlannedOrders[Part Name],$A45,T_PlannedOrders[WeekIndex],29)&amp;" ("&amp;TEXT(SUMPRODUCT(MAX((T_PlannedOrders[Part Name]=$A45)*(T_PlannedOrders[WeekIndex]=29)*(T_PlannedOrders[EffectiveQty]&gt;0)*T_PlannedOrders[Order_Month])),"m月")&amp;"発注)")</f>
        <v/>
      </c>
      <c r="AG217">
        <f>IF(SUMIFS(T_PlannedOrders[EffectiveQty],T_PlannedOrders[Part Name],$A45,T_PlannedOrders[WeekIndex],30)=0,"",SUMIFS(T_PlannedOrders[EffectiveQty],T_PlannedOrders[Part Name],$A45,T_PlannedOrders[WeekIndex],30)&amp;" ("&amp;TEXT(SUMPRODUCT(MAX((T_PlannedOrders[Part Name]=$A45)*(T_PlannedOrders[WeekIndex]=30)*(T_PlannedOrders[EffectiveQty]&gt;0)*T_PlannedOrders[Order_Month])),"m月")&amp;"発注)")</f>
        <v/>
      </c>
      <c r="AH217">
        <f>IF(SUMIFS(T_PlannedOrders[EffectiveQty],T_PlannedOrders[Part Name],$A45,T_PlannedOrders[WeekIndex],31)=0,"",SUMIFS(T_PlannedOrders[EffectiveQty],T_PlannedOrders[Part Name],$A45,T_PlannedOrders[WeekIndex],31)&amp;" ("&amp;TEXT(SUMPRODUCT(MAX((T_PlannedOrders[Part Name]=$A45)*(T_PlannedOrders[WeekIndex]=31)*(T_PlannedOrders[EffectiveQty]&gt;0)*T_PlannedOrders[Order_Month])),"m月")&amp;"発注)")</f>
        <v/>
      </c>
      <c r="AI217">
        <f>IF(SUMIFS(T_PlannedOrders[EffectiveQty],T_PlannedOrders[Part Name],$A45,T_PlannedOrders[WeekIndex],32)=0,"",SUMIFS(T_PlannedOrders[EffectiveQty],T_PlannedOrders[Part Name],$A45,T_PlannedOrders[WeekIndex],32)&amp;" ("&amp;TEXT(SUMPRODUCT(MAX((T_PlannedOrders[Part Name]=$A45)*(T_PlannedOrders[WeekIndex]=32)*(T_PlannedOrders[EffectiveQty]&gt;0)*T_PlannedOrders[Order_Month])),"m月")&amp;"発注)")</f>
        <v/>
      </c>
      <c r="AJ217">
        <f>IF(SUMIFS(T_PlannedOrders[EffectiveQty],T_PlannedOrders[Part Name],$A45,T_PlannedOrders[WeekIndex],33)=0,"",SUMIFS(T_PlannedOrders[EffectiveQty],T_PlannedOrders[Part Name],$A45,T_PlannedOrders[WeekIndex],33)&amp;" ("&amp;TEXT(SUMPRODUCT(MAX((T_PlannedOrders[Part Name]=$A45)*(T_PlannedOrders[WeekIndex]=33)*(T_PlannedOrders[EffectiveQty]&gt;0)*T_PlannedOrders[Order_Month])),"m月")&amp;"発注)")</f>
        <v/>
      </c>
      <c r="AK217">
        <f>IF(SUMIFS(T_PlannedOrders[EffectiveQty],T_PlannedOrders[Part Name],$A45,T_PlannedOrders[WeekIndex],34)=0,"",SUMIFS(T_PlannedOrders[EffectiveQty],T_PlannedOrders[Part Name],$A45,T_PlannedOrders[WeekIndex],34)&amp;" ("&amp;TEXT(SUMPRODUCT(MAX((T_PlannedOrders[Part Name]=$A45)*(T_PlannedOrders[WeekIndex]=34)*(T_PlannedOrders[EffectiveQty]&gt;0)*T_PlannedOrders[Order_Month])),"m月")&amp;"発注)")</f>
        <v/>
      </c>
      <c r="AL217">
        <f>IF(SUMIFS(T_PlannedOrders[EffectiveQty],T_PlannedOrders[Part Name],$A45,T_PlannedOrders[WeekIndex],35)=0,"",SUMIFS(T_PlannedOrders[EffectiveQty],T_PlannedOrders[Part Name],$A45,T_PlannedOrders[WeekIndex],35)&amp;" ("&amp;TEXT(SUMPRODUCT(MAX((T_PlannedOrders[Part Name]=$A45)*(T_PlannedOrders[WeekIndex]=35)*(T_PlannedOrders[EffectiveQty]&gt;0)*T_PlannedOrders[Order_Month])),"m月")&amp;"発注)")</f>
        <v/>
      </c>
      <c r="AM217">
        <f>IF(SUMIFS(T_PlannedOrders[EffectiveQty],T_PlannedOrders[Part Name],$A45,T_PlannedOrders[WeekIndex],36)=0,"",SUMIFS(T_PlannedOrders[EffectiveQty],T_PlannedOrders[Part Name],$A45,T_PlannedOrders[WeekIndex],36)&amp;" ("&amp;TEXT(SUMPRODUCT(MAX((T_PlannedOrders[Part Name]=$A45)*(T_PlannedOrders[WeekIndex]=36)*(T_PlannedOrders[EffectiveQty]&gt;0)*T_PlannedOrders[Order_Month])),"m月")&amp;"発注)")</f>
        <v/>
      </c>
      <c r="AN217">
        <f>IF(SUMIFS(T_PlannedOrders[EffectiveQty],T_PlannedOrders[Part Name],$A45,T_PlannedOrders[WeekIndex],37)=0,"",SUMIFS(T_PlannedOrders[EffectiveQty],T_PlannedOrders[Part Name],$A45,T_PlannedOrders[WeekIndex],37)&amp;" ("&amp;TEXT(SUMPRODUCT(MAX((T_PlannedOrders[Part Name]=$A45)*(T_PlannedOrders[WeekIndex]=37)*(T_PlannedOrders[EffectiveQty]&gt;0)*T_PlannedOrders[Order_Month])),"m月")&amp;"発注)")</f>
        <v/>
      </c>
      <c r="AO217">
        <f>IF(SUMIFS(T_PlannedOrders[EffectiveQty],T_PlannedOrders[Part Name],$A45,T_PlannedOrders[WeekIndex],38)=0,"",SUMIFS(T_PlannedOrders[EffectiveQty],T_PlannedOrders[Part Name],$A45,T_PlannedOrders[WeekIndex],38)&amp;" ("&amp;TEXT(SUMPRODUCT(MAX((T_PlannedOrders[Part Name]=$A45)*(T_PlannedOrders[WeekIndex]=38)*(T_PlannedOrders[EffectiveQty]&gt;0)*T_PlannedOrders[Order_Month])),"m月")&amp;"発注)")</f>
        <v/>
      </c>
      <c r="AP217">
        <f>IF(SUMIFS(T_PlannedOrders[EffectiveQty],T_PlannedOrders[Part Name],$A45,T_PlannedOrders[WeekIndex],39)=0,"",SUMIFS(T_PlannedOrders[EffectiveQty],T_PlannedOrders[Part Name],$A45,T_PlannedOrders[WeekIndex],39)&amp;" ("&amp;TEXT(SUMPRODUCT(MAX((T_PlannedOrders[Part Name]=$A45)*(T_PlannedOrders[WeekIndex]=39)*(T_PlannedOrders[EffectiveQty]&gt;0)*T_PlannedOrders[Order_Month])),"m月")&amp;"発注)")</f>
        <v/>
      </c>
      <c r="AQ217">
        <f>IF(SUMIFS(T_PlannedOrders[EffectiveQty],T_PlannedOrders[Part Name],$A45,T_PlannedOrders[WeekIndex],40)=0,"",SUMIFS(T_PlannedOrders[EffectiveQty],T_PlannedOrders[Part Name],$A45,T_PlannedOrders[WeekIndex],40)&amp;" ("&amp;TEXT(SUMPRODUCT(MAX((T_PlannedOrders[Part Name]=$A45)*(T_PlannedOrders[WeekIndex]=40)*(T_PlannedOrders[EffectiveQty]&gt;0)*T_PlannedOrders[Order_Month])),"m月")&amp;"発注)")</f>
        <v/>
      </c>
      <c r="AR217">
        <f>IF(SUMIFS(T_PlannedOrders[EffectiveQty],T_PlannedOrders[Part Name],$A45,T_PlannedOrders[WeekIndex],41)=0,"",SUMIFS(T_PlannedOrders[EffectiveQty],T_PlannedOrders[Part Name],$A45,T_PlannedOrders[WeekIndex],41)&amp;" ("&amp;TEXT(SUMPRODUCT(MAX((T_PlannedOrders[Part Name]=$A45)*(T_PlannedOrders[WeekIndex]=41)*(T_PlannedOrders[EffectiveQty]&gt;0)*T_PlannedOrders[Order_Month])),"m月")&amp;"発注)")</f>
        <v/>
      </c>
      <c r="AS217">
        <f>IF(SUMIFS(T_PlannedOrders[EffectiveQty],T_PlannedOrders[Part Name],$A45,T_PlannedOrders[WeekIndex],42)=0,"",SUMIFS(T_PlannedOrders[EffectiveQty],T_PlannedOrders[Part Name],$A45,T_PlannedOrders[WeekIndex],42)&amp;" ("&amp;TEXT(SUMPRODUCT(MAX((T_PlannedOrders[Part Name]=$A45)*(T_PlannedOrders[WeekIndex]=42)*(T_PlannedOrders[EffectiveQty]&gt;0)*T_PlannedOrders[Order_Month])),"m月")&amp;"発注)")</f>
        <v/>
      </c>
      <c r="AT217">
        <f>IF(SUMIFS(T_PlannedOrders[EffectiveQty],T_PlannedOrders[Part Name],$A45,T_PlannedOrders[WeekIndex],43)=0,"",SUMIFS(T_PlannedOrders[EffectiveQty],T_PlannedOrders[Part Name],$A45,T_PlannedOrders[WeekIndex],43)&amp;" ("&amp;TEXT(SUMPRODUCT(MAX((T_PlannedOrders[Part Name]=$A45)*(T_PlannedOrders[WeekIndex]=43)*(T_PlannedOrders[EffectiveQty]&gt;0)*T_PlannedOrders[Order_Month])),"m月")&amp;"発注)")</f>
        <v/>
      </c>
      <c r="AU217">
        <f>IF(SUMIFS(T_PlannedOrders[EffectiveQty],T_PlannedOrders[Part Name],$A45,T_PlannedOrders[WeekIndex],44)=0,"",SUMIFS(T_PlannedOrders[EffectiveQty],T_PlannedOrders[Part Name],$A45,T_PlannedOrders[WeekIndex],44)&amp;" ("&amp;TEXT(SUMPRODUCT(MAX((T_PlannedOrders[Part Name]=$A45)*(T_PlannedOrders[WeekIndex]=44)*(T_PlannedOrders[EffectiveQty]&gt;0)*T_PlannedOrders[Order_Month])),"m月")&amp;"発注)")</f>
        <v/>
      </c>
      <c r="AV217">
        <f>IF(SUMIFS(T_PlannedOrders[EffectiveQty],T_PlannedOrders[Part Name],$A45,T_PlannedOrders[WeekIndex],45)=0,"",SUMIFS(T_PlannedOrders[EffectiveQty],T_PlannedOrders[Part Name],$A45,T_PlannedOrders[WeekIndex],45)&amp;" ("&amp;TEXT(SUMPRODUCT(MAX((T_PlannedOrders[Part Name]=$A45)*(T_PlannedOrders[WeekIndex]=45)*(T_PlannedOrders[EffectiveQty]&gt;0)*T_PlannedOrders[Order_Month])),"m月")&amp;"発注)")</f>
        <v/>
      </c>
      <c r="AW217">
        <f>IF(SUMIFS(T_PlannedOrders[EffectiveQty],T_PlannedOrders[Part Name],$A45,T_PlannedOrders[WeekIndex],46)=0,"",SUMIFS(T_PlannedOrders[EffectiveQty],T_PlannedOrders[Part Name],$A45,T_PlannedOrders[WeekIndex],46)&amp;" ("&amp;TEXT(SUMPRODUCT(MAX((T_PlannedOrders[Part Name]=$A45)*(T_PlannedOrders[WeekIndex]=46)*(T_PlannedOrders[EffectiveQty]&gt;0)*T_PlannedOrders[Order_Month])),"m月")&amp;"発注)")</f>
        <v/>
      </c>
      <c r="AX217">
        <f>IF(SUMIFS(T_PlannedOrders[EffectiveQty],T_PlannedOrders[Part Name],$A45,T_PlannedOrders[WeekIndex],47)=0,"",SUMIFS(T_PlannedOrders[EffectiveQty],T_PlannedOrders[Part Name],$A45,T_PlannedOrders[WeekIndex],47)&amp;" ("&amp;TEXT(SUMPRODUCT(MAX((T_PlannedOrders[Part Name]=$A45)*(T_PlannedOrders[WeekIndex]=47)*(T_PlannedOrders[EffectiveQty]&gt;0)*T_PlannedOrders[Order_Month])),"m月")&amp;"発注)")</f>
        <v/>
      </c>
      <c r="AY217">
        <f>IF(SUMIFS(T_PlannedOrders[EffectiveQty],T_PlannedOrders[Part Name],$A45,T_PlannedOrders[WeekIndex],48)=0,"",SUMIFS(T_PlannedOrders[EffectiveQty],T_PlannedOrders[Part Name],$A45,T_PlannedOrders[WeekIndex],48)&amp;" ("&amp;TEXT(SUMPRODUCT(MAX((T_PlannedOrders[Part Name]=$A45)*(T_PlannedOrders[WeekIndex]=48)*(T_PlannedOrders[EffectiveQty]&gt;0)*T_PlannedOrders[Order_Month])),"m月")&amp;"発注)")</f>
        <v/>
      </c>
      <c r="AZ217">
        <f>IF(SUMIFS(T_PlannedOrders[EffectiveQty],T_PlannedOrders[Part Name],$A45,T_PlannedOrders[WeekIndex],49)=0,"",SUMIFS(T_PlannedOrders[EffectiveQty],T_PlannedOrders[Part Name],$A45,T_PlannedOrders[WeekIndex],49)&amp;" ("&amp;TEXT(SUMPRODUCT(MAX((T_PlannedOrders[Part Name]=$A45)*(T_PlannedOrders[WeekIndex]=49)*(T_PlannedOrders[EffectiveQty]&gt;0)*T_PlannedOrders[Order_Month])),"m月")&amp;"発注)")</f>
        <v/>
      </c>
      <c r="BA217">
        <f>IF(SUMIFS(T_PlannedOrders[EffectiveQty],T_PlannedOrders[Part Name],$A45,T_PlannedOrders[WeekIndex],50)=0,"",SUMIFS(T_PlannedOrders[EffectiveQty],T_PlannedOrders[Part Name],$A45,T_PlannedOrders[WeekIndex],50)&amp;" ("&amp;TEXT(SUMPRODUCT(MAX((T_PlannedOrders[Part Name]=$A45)*(T_PlannedOrders[WeekIndex]=50)*(T_PlannedOrders[EffectiveQty]&gt;0)*T_PlannedOrders[Order_Month])),"m月")&amp;"発注)")</f>
        <v/>
      </c>
      <c r="BB217">
        <f>IF(SUMIFS(T_PlannedOrders[EffectiveQty],T_PlannedOrders[Part Name],$A45,T_PlannedOrders[WeekIndex],51)=0,"",SUMIFS(T_PlannedOrders[EffectiveQty],T_PlannedOrders[Part Name],$A45,T_PlannedOrders[WeekIndex],51)&amp;" ("&amp;TEXT(SUMPRODUCT(MAX((T_PlannedOrders[Part Name]=$A45)*(T_PlannedOrders[WeekIndex]=51)*(T_PlannedOrders[EffectiveQty]&gt;0)*T_PlannedOrders[Order_Month])),"m月")&amp;"発注)")</f>
        <v/>
      </c>
      <c r="BC217">
        <f>IF(SUMIFS(T_PlannedOrders[EffectiveQty],T_PlannedOrders[Part Name],$A45,T_PlannedOrders[WeekIndex],52)=0,"",SUMIFS(T_PlannedOrders[EffectiveQty],T_PlannedOrders[Part Name],$A45,T_PlannedOrders[WeekIndex],52)&amp;" ("&amp;TEXT(SUMPRODUCT(MAX((T_PlannedOrders[Part Name]=$A45)*(T_PlannedOrders[WeekIndex]=52)*(T_PlannedOrders[EffectiveQty]&gt;0)*T_PlannedOrders[Order_Month])),"m月")&amp;"発注)")</f>
        <v/>
      </c>
      <c r="BD217">
        <f>IF(SUMIFS(T_PlannedOrders[EffectiveQty],T_PlannedOrders[Part Name],$A45,T_PlannedOrders[WeekIndex],53)=0,"",SUMIFS(T_PlannedOrders[EffectiveQty],T_PlannedOrders[Part Name],$A45,T_PlannedOrders[WeekIndex],53)&amp;" ("&amp;TEXT(SUMPRODUCT(MAX((T_PlannedOrders[Part Name]=$A45)*(T_PlannedOrders[WeekIndex]=53)*(T_PlannedOrders[EffectiveQty]&gt;0)*T_PlannedOrders[Order_Month])),"m月")&amp;"発注)")</f>
        <v/>
      </c>
      <c r="BE217">
        <f>IF(SUMIFS(T_PlannedOrders[EffectiveQty],T_PlannedOrders[Part Name],$A45,T_PlannedOrders[WeekIndex],54)=0,"",SUMIFS(T_PlannedOrders[EffectiveQty],T_PlannedOrders[Part Name],$A45,T_PlannedOrders[WeekIndex],54)&amp;" ("&amp;TEXT(SUMPRODUCT(MAX((T_PlannedOrders[Part Name]=$A45)*(T_PlannedOrders[WeekIndex]=54)*(T_PlannedOrders[EffectiveQty]&gt;0)*T_PlannedOrders[Order_Month])),"m月")&amp;"発注)")</f>
        <v/>
      </c>
      <c r="BF217">
        <f>IF(SUMIFS(T_PlannedOrders[EffectiveQty],T_PlannedOrders[Part Name],$A45,T_PlannedOrders[WeekIndex],55)=0,"",SUMIFS(T_PlannedOrders[EffectiveQty],T_PlannedOrders[Part Name],$A45,T_PlannedOrders[WeekIndex],55)&amp;" ("&amp;TEXT(SUMPRODUCT(MAX((T_PlannedOrders[Part Name]=$A45)*(T_PlannedOrders[WeekIndex]=55)*(T_PlannedOrders[EffectiveQty]&gt;0)*T_PlannedOrders[Order_Month])),"m月")&amp;"発注)")</f>
        <v/>
      </c>
      <c r="BG217">
        <f>IF(SUMIFS(T_PlannedOrders[EffectiveQty],T_PlannedOrders[Part Name],$A45,T_PlannedOrders[WeekIndex],56)=0,"",SUMIFS(T_PlannedOrders[EffectiveQty],T_PlannedOrders[Part Name],$A45,T_PlannedOrders[WeekIndex],56)&amp;" ("&amp;TEXT(SUMPRODUCT(MAX((T_PlannedOrders[Part Name]=$A45)*(T_PlannedOrders[WeekIndex]=56)*(T_PlannedOrders[EffectiveQty]&gt;0)*T_PlannedOrders[Order_Month])),"m月")&amp;"発注)")</f>
        <v/>
      </c>
      <c r="BH217">
        <f>IF(SUMIFS(T_PlannedOrders[EffectiveQty],T_PlannedOrders[Part Name],$A45,T_PlannedOrders[WeekIndex],57)=0,"",SUMIFS(T_PlannedOrders[EffectiveQty],T_PlannedOrders[Part Name],$A45,T_PlannedOrders[WeekIndex],57)&amp;" ("&amp;TEXT(SUMPRODUCT(MAX((T_PlannedOrders[Part Name]=$A45)*(T_PlannedOrders[WeekIndex]=57)*(T_PlannedOrders[EffectiveQty]&gt;0)*T_PlannedOrders[Order_Month])),"m月")&amp;"発注)")</f>
        <v/>
      </c>
      <c r="BI217">
        <f>IF(SUMIFS(T_PlannedOrders[EffectiveQty],T_PlannedOrders[Part Name],$A45,T_PlannedOrders[WeekIndex],58)=0,"",SUMIFS(T_PlannedOrders[EffectiveQty],T_PlannedOrders[Part Name],$A45,T_PlannedOrders[WeekIndex],58)&amp;" ("&amp;TEXT(SUMPRODUCT(MAX((T_PlannedOrders[Part Name]=$A45)*(T_PlannedOrders[WeekIndex]=58)*(T_PlannedOrders[EffectiveQty]&gt;0)*T_PlannedOrders[Order_Month])),"m月")&amp;"発注)")</f>
        <v/>
      </c>
      <c r="BJ217">
        <f>IF(SUMIFS(T_PlannedOrders[EffectiveQty],T_PlannedOrders[Part Name],$A45,T_PlannedOrders[WeekIndex],59)=0,"",SUMIFS(T_PlannedOrders[EffectiveQty],T_PlannedOrders[Part Name],$A45,T_PlannedOrders[WeekIndex],59)&amp;" ("&amp;TEXT(SUMPRODUCT(MAX((T_PlannedOrders[Part Name]=$A45)*(T_PlannedOrders[WeekIndex]=59)*(T_PlannedOrders[EffectiveQty]&gt;0)*T_PlannedOrders[Order_Month])),"m月")&amp;"発注)")</f>
        <v/>
      </c>
      <c r="BK217">
        <f>IF(SUMIFS(T_PlannedOrders[EffectiveQty],T_PlannedOrders[Part Name],$A45,T_PlannedOrders[WeekIndex],60)=0,"",SUMIFS(T_PlannedOrders[EffectiveQty],T_PlannedOrders[Part Name],$A45,T_PlannedOrders[WeekIndex],60)&amp;" ("&amp;TEXT(SUMPRODUCT(MAX((T_PlannedOrders[Part Name]=$A45)*(T_PlannedOrders[WeekIndex]=60)*(T_PlannedOrders[EffectiveQty]&gt;0)*T_PlannedOrders[Order_Month])),"m月")&amp;"発注)")</f>
        <v/>
      </c>
      <c r="BL217">
        <f>IF(SUMIFS(T_PlannedOrders[EffectiveQty],T_PlannedOrders[Part Name],$A45,T_PlannedOrders[WeekIndex],61)=0,"",SUMIFS(T_PlannedOrders[EffectiveQty],T_PlannedOrders[Part Name],$A45,T_PlannedOrders[WeekIndex],61)&amp;" ("&amp;TEXT(SUMPRODUCT(MAX((T_PlannedOrders[Part Name]=$A45)*(T_PlannedOrders[WeekIndex]=61)*(T_PlannedOrders[EffectiveQty]&gt;0)*T_PlannedOrders[Order_Month])),"m月")&amp;"発注)")</f>
        <v/>
      </c>
      <c r="BM217">
        <f>IF(SUMIFS(T_PlannedOrders[EffectiveQty],T_PlannedOrders[Part Name],$A45,T_PlannedOrders[WeekIndex],62)=0,"",SUMIFS(T_PlannedOrders[EffectiveQty],T_PlannedOrders[Part Name],$A45,T_PlannedOrders[WeekIndex],62)&amp;" ("&amp;TEXT(SUMPRODUCT(MAX((T_PlannedOrders[Part Name]=$A45)*(T_PlannedOrders[WeekIndex]=62)*(T_PlannedOrders[EffectiveQty]&gt;0)*T_PlannedOrders[Order_Month])),"m月")&amp;"発注)")</f>
        <v/>
      </c>
      <c r="BN217">
        <f>IF(SUMIFS(T_PlannedOrders[EffectiveQty],T_PlannedOrders[Part Name],$A45,T_PlannedOrders[WeekIndex],63)=0,"",SUMIFS(T_PlannedOrders[EffectiveQty],T_PlannedOrders[Part Name],$A45,T_PlannedOrders[WeekIndex],63)&amp;" ("&amp;TEXT(SUMPRODUCT(MAX((T_PlannedOrders[Part Name]=$A45)*(T_PlannedOrders[WeekIndex]=63)*(T_PlannedOrders[EffectiveQty]&gt;0)*T_PlannedOrders[Order_Month])),"m月")&amp;"発注)")</f>
        <v/>
      </c>
      <c r="BO217">
        <f>IF(SUMIFS(T_PlannedOrders[EffectiveQty],T_PlannedOrders[Part Name],$A45,T_PlannedOrders[WeekIndex],64)=0,"",SUMIFS(T_PlannedOrders[EffectiveQty],T_PlannedOrders[Part Name],$A45,T_PlannedOrders[WeekIndex],64)&amp;" ("&amp;TEXT(SUMPRODUCT(MAX((T_PlannedOrders[Part Name]=$A45)*(T_PlannedOrders[WeekIndex]=64)*(T_PlannedOrders[EffectiveQty]&gt;0)*T_PlannedOrders[Order_Month])),"m月")&amp;"発注)")</f>
        <v/>
      </c>
      <c r="BP217">
        <f>IF(SUMIFS(T_PlannedOrders[EffectiveQty],T_PlannedOrders[Part Name],$A45,T_PlannedOrders[WeekIndex],65)=0,"",SUMIFS(T_PlannedOrders[EffectiveQty],T_PlannedOrders[Part Name],$A45,T_PlannedOrders[WeekIndex],65)&amp;" ("&amp;TEXT(SUMPRODUCT(MAX((T_PlannedOrders[Part Name]=$A45)*(T_PlannedOrders[WeekIndex]=65)*(T_PlannedOrders[EffectiveQty]&gt;0)*T_PlannedOrders[Order_Month])),"m月")&amp;"発注)")</f>
        <v/>
      </c>
      <c r="BQ217">
        <f>IF(SUMIFS(T_PlannedOrders[EffectiveQty],T_PlannedOrders[Part Name],$A45,T_PlannedOrders[WeekIndex],66)=0,"",SUMIFS(T_PlannedOrders[EffectiveQty],T_PlannedOrders[Part Name],$A45,T_PlannedOrders[WeekIndex],66)&amp;" ("&amp;TEXT(SUMPRODUCT(MAX((T_PlannedOrders[Part Name]=$A45)*(T_PlannedOrders[WeekIndex]=66)*(T_PlannedOrders[EffectiveQty]&gt;0)*T_PlannedOrders[Order_Month])),"m月")&amp;"発注)")</f>
        <v/>
      </c>
      <c r="BR217">
        <f>IF(SUMIFS(T_PlannedOrders[EffectiveQty],T_PlannedOrders[Part Name],$A45,T_PlannedOrders[WeekIndex],67)=0,"",SUMIFS(T_PlannedOrders[EffectiveQty],T_PlannedOrders[Part Name],$A45,T_PlannedOrders[WeekIndex],67)&amp;" ("&amp;TEXT(SUMPRODUCT(MAX((T_PlannedOrders[Part Name]=$A45)*(T_PlannedOrders[WeekIndex]=67)*(T_PlannedOrders[EffectiveQty]&gt;0)*T_PlannedOrders[Order_Month])),"m月")&amp;"発注)")</f>
        <v/>
      </c>
      <c r="BS217">
        <f>IF(SUMIFS(T_PlannedOrders[EffectiveQty],T_PlannedOrders[Part Name],$A45,T_PlannedOrders[WeekIndex],68)=0,"",SUMIFS(T_PlannedOrders[EffectiveQty],T_PlannedOrders[Part Name],$A45,T_PlannedOrders[WeekIndex],68)&amp;" ("&amp;TEXT(SUMPRODUCT(MAX((T_PlannedOrders[Part Name]=$A45)*(T_PlannedOrders[WeekIndex]=68)*(T_PlannedOrders[EffectiveQty]&gt;0)*T_PlannedOrders[Order_Month])),"m月")&amp;"発注)")</f>
        <v/>
      </c>
      <c r="BT217">
        <f>IF(SUMIFS(T_PlannedOrders[EffectiveQty],T_PlannedOrders[Part Name],$A45,T_PlannedOrders[WeekIndex],69)=0,"",SUMIFS(T_PlannedOrders[EffectiveQty],T_PlannedOrders[Part Name],$A45,T_PlannedOrders[WeekIndex],69)&amp;" ("&amp;TEXT(SUMPRODUCT(MAX((T_PlannedOrders[Part Name]=$A45)*(T_PlannedOrders[WeekIndex]=69)*(T_PlannedOrders[EffectiveQty]&gt;0)*T_PlannedOrders[Order_Month])),"m月")&amp;"発注)")</f>
        <v/>
      </c>
      <c r="BU217">
        <f>IF(SUMIFS(T_PlannedOrders[EffectiveQty],T_PlannedOrders[Part Name],$A45,T_PlannedOrders[WeekIndex],70)=0,"",SUMIFS(T_PlannedOrders[EffectiveQty],T_PlannedOrders[Part Name],$A45,T_PlannedOrders[WeekIndex],70)&amp;" ("&amp;TEXT(SUMPRODUCT(MAX((T_PlannedOrders[Part Name]=$A45)*(T_PlannedOrders[WeekIndex]=70)*(T_PlannedOrders[EffectiveQty]&gt;0)*T_PlannedOrders[Order_Month])),"m月")&amp;"発注)")</f>
        <v/>
      </c>
      <c r="BV217">
        <f>IF(SUMIFS(T_PlannedOrders[EffectiveQty],T_PlannedOrders[Part Name],$A45,T_PlannedOrders[WeekIndex],71)=0,"",SUMIFS(T_PlannedOrders[EffectiveQty],T_PlannedOrders[Part Name],$A45,T_PlannedOrders[WeekIndex],71)&amp;" ("&amp;TEXT(SUMPRODUCT(MAX((T_PlannedOrders[Part Name]=$A45)*(T_PlannedOrders[WeekIndex]=71)*(T_PlannedOrders[EffectiveQty]&gt;0)*T_PlannedOrders[Order_Month])),"m月")&amp;"発注)")</f>
        <v/>
      </c>
      <c r="BW217">
        <f>IF(SUMIFS(T_PlannedOrders[EffectiveQty],T_PlannedOrders[Part Name],$A45,T_PlannedOrders[WeekIndex],72)=0,"",SUMIFS(T_PlannedOrders[EffectiveQty],T_PlannedOrders[Part Name],$A45,T_PlannedOrders[WeekIndex],72)&amp;" ("&amp;TEXT(SUMPRODUCT(MAX((T_PlannedOrders[Part Name]=$A45)*(T_PlannedOrders[WeekIndex]=72)*(T_PlannedOrders[EffectiveQty]&gt;0)*T_PlannedOrders[Order_Month])),"m月")&amp;"発注)")</f>
        <v/>
      </c>
      <c r="BX217">
        <f>IF(SUMIFS(T_PlannedOrders[EffectiveQty],T_PlannedOrders[Part Name],$A45,T_PlannedOrders[WeekIndex],73)=0,"",SUMIFS(T_PlannedOrders[EffectiveQty],T_PlannedOrders[Part Name],$A45,T_PlannedOrders[WeekIndex],73)&amp;" ("&amp;TEXT(SUMPRODUCT(MAX((T_PlannedOrders[Part Name]=$A45)*(T_PlannedOrders[WeekIndex]=73)*(T_PlannedOrders[EffectiveQty]&gt;0)*T_PlannedOrders[Order_Month])),"m月")&amp;"発注)")</f>
        <v/>
      </c>
      <c r="BY217">
        <f>IF(SUMIFS(T_PlannedOrders[EffectiveQty],T_PlannedOrders[Part Name],$A45,T_PlannedOrders[WeekIndex],74)=0,"",SUMIFS(T_PlannedOrders[EffectiveQty],T_PlannedOrders[Part Name],$A45,T_PlannedOrders[WeekIndex],74)&amp;" ("&amp;TEXT(SUMPRODUCT(MAX((T_PlannedOrders[Part Name]=$A45)*(T_PlannedOrders[WeekIndex]=74)*(T_PlannedOrders[EffectiveQty]&gt;0)*T_PlannedOrders[Order_Month])),"m月")&amp;"発注)")</f>
        <v/>
      </c>
      <c r="BZ217">
        <f>IF(SUMIFS(T_PlannedOrders[EffectiveQty],T_PlannedOrders[Part Name],$A45,T_PlannedOrders[WeekIndex],75)=0,"",SUMIFS(T_PlannedOrders[EffectiveQty],T_PlannedOrders[Part Name],$A45,T_PlannedOrders[WeekIndex],75)&amp;" ("&amp;TEXT(SUMPRODUCT(MAX((T_PlannedOrders[Part Name]=$A45)*(T_PlannedOrders[WeekIndex]=75)*(T_PlannedOrders[EffectiveQty]&gt;0)*T_PlannedOrders[Order_Month])),"m月")&amp;"発注)")</f>
        <v/>
      </c>
      <c r="CA217">
        <f>IF(SUMIFS(T_PlannedOrders[EffectiveQty],T_PlannedOrders[Part Name],$A45,T_PlannedOrders[WeekIndex],76)=0,"",SUMIFS(T_PlannedOrders[EffectiveQty],T_PlannedOrders[Part Name],$A45,T_PlannedOrders[WeekIndex],76)&amp;" ("&amp;TEXT(SUMPRODUCT(MAX((T_PlannedOrders[Part Name]=$A45)*(T_PlannedOrders[WeekIndex]=76)*(T_PlannedOrders[EffectiveQty]&gt;0)*T_PlannedOrders[Order_Month])),"m月")&amp;"発注)")</f>
        <v/>
      </c>
      <c r="CB217">
        <f>IF(SUMIFS(T_PlannedOrders[EffectiveQty],T_PlannedOrders[Part Name],$A45,T_PlannedOrders[WeekIndex],77)=0,"",SUMIFS(T_PlannedOrders[EffectiveQty],T_PlannedOrders[Part Name],$A45,T_PlannedOrders[WeekIndex],77)&amp;" ("&amp;TEXT(SUMPRODUCT(MAX((T_PlannedOrders[Part Name]=$A45)*(T_PlannedOrders[WeekIndex]=77)*(T_PlannedOrders[EffectiveQty]&gt;0)*T_PlannedOrders[Order_Month])),"m月")&amp;"発注)")</f>
        <v/>
      </c>
      <c r="CC217">
        <f>IF(SUMIFS(T_PlannedOrders[EffectiveQty],T_PlannedOrders[Part Name],$A45,T_PlannedOrders[WeekIndex],78)=0,"",SUMIFS(T_PlannedOrders[EffectiveQty],T_PlannedOrders[Part Name],$A45,T_PlannedOrders[WeekIndex],78)&amp;" ("&amp;TEXT(SUMPRODUCT(MAX((T_PlannedOrders[Part Name]=$A45)*(T_PlannedOrders[WeekIndex]=78)*(T_PlannedOrders[EffectiveQty]&gt;0)*T_PlannedOrders[Order_Month])),"m月")&amp;"発注)")</f>
        <v/>
      </c>
      <c r="CD217">
        <f>IF(SUMIFS(T_PlannedOrders[EffectiveQty],T_PlannedOrders[Part Name],$A45,T_PlannedOrders[WeekIndex],79)=0,"",SUMIFS(T_PlannedOrders[EffectiveQty],T_PlannedOrders[Part Name],$A45,T_PlannedOrders[WeekIndex],79)&amp;" ("&amp;TEXT(SUMPRODUCT(MAX((T_PlannedOrders[Part Name]=$A45)*(T_PlannedOrders[WeekIndex]=79)*(T_PlannedOrders[EffectiveQty]&gt;0)*T_PlannedOrders[Order_Month])),"m月")&amp;"発注)")</f>
        <v/>
      </c>
      <c r="CE217">
        <f>IF(SUMIFS(T_PlannedOrders[EffectiveQty],T_PlannedOrders[Part Name],$A45,T_PlannedOrders[WeekIndex],80)=0,"",SUMIFS(T_PlannedOrders[EffectiveQty],T_PlannedOrders[Part Name],$A45,T_PlannedOrders[WeekIndex],80)&amp;" ("&amp;TEXT(SUMPRODUCT(MAX((T_PlannedOrders[Part Name]=$A45)*(T_PlannedOrders[WeekIndex]=80)*(T_PlannedOrders[EffectiveQty]&gt;0)*T_PlannedOrders[Order_Month])),"m月")&amp;"発注)")</f>
        <v/>
      </c>
      <c r="CF217">
        <f>IF(SUMIFS(T_PlannedOrders[EffectiveQty],T_PlannedOrders[Part Name],$A45,T_PlannedOrders[WeekIndex],81)=0,"",SUMIFS(T_PlannedOrders[EffectiveQty],T_PlannedOrders[Part Name],$A45,T_PlannedOrders[WeekIndex],81)&amp;" ("&amp;TEXT(SUMPRODUCT(MAX((T_PlannedOrders[Part Name]=$A45)*(T_PlannedOrders[WeekIndex]=81)*(T_PlannedOrders[EffectiveQty]&gt;0)*T_PlannedOrders[Order_Month])),"m月")&amp;"発注)")</f>
        <v/>
      </c>
      <c r="CG217">
        <f>IF(SUMIFS(T_PlannedOrders[EffectiveQty],T_PlannedOrders[Part Name],$A45,T_PlannedOrders[WeekIndex],82)=0,"",SUMIFS(T_PlannedOrders[EffectiveQty],T_PlannedOrders[Part Name],$A45,T_PlannedOrders[WeekIndex],82)&amp;" ("&amp;TEXT(SUMPRODUCT(MAX((T_PlannedOrders[Part Name]=$A45)*(T_PlannedOrders[WeekIndex]=82)*(T_PlannedOrders[EffectiveQty]&gt;0)*T_PlannedOrders[Order_Month])),"m月")&amp;"発注)")</f>
        <v/>
      </c>
      <c r="CH217">
        <f>IF(SUMIFS(T_PlannedOrders[EffectiveQty],T_PlannedOrders[Part Name],$A45,T_PlannedOrders[WeekIndex],83)=0,"",SUMIFS(T_PlannedOrders[EffectiveQty],T_PlannedOrders[Part Name],$A45,T_PlannedOrders[WeekIndex],83)&amp;" ("&amp;TEXT(SUMPRODUCT(MAX((T_PlannedOrders[Part Name]=$A45)*(T_PlannedOrders[WeekIndex]=83)*(T_PlannedOrders[EffectiveQty]&gt;0)*T_PlannedOrders[Order_Month])),"m月")&amp;"発注)")</f>
        <v/>
      </c>
      <c r="CI217">
        <f>IF(SUMIFS(T_PlannedOrders[EffectiveQty],T_PlannedOrders[Part Name],$A45,T_PlannedOrders[WeekIndex],84)=0,"",SUMIFS(T_PlannedOrders[EffectiveQty],T_PlannedOrders[Part Name],$A45,T_PlannedOrders[WeekIndex],84)&amp;" ("&amp;TEXT(SUMPRODUCT(MAX((T_PlannedOrders[Part Name]=$A45)*(T_PlannedOrders[WeekIndex]=84)*(T_PlannedOrders[EffectiveQty]&gt;0)*T_PlannedOrders[Order_Month])),"m月")&amp;"発注)")</f>
        <v/>
      </c>
      <c r="CJ217">
        <f>IF(SUMIFS(T_PlannedOrders[EffectiveQty],T_PlannedOrders[Part Name],$A45,T_PlannedOrders[WeekIndex],85)=0,"",SUMIFS(T_PlannedOrders[EffectiveQty],T_PlannedOrders[Part Name],$A45,T_PlannedOrders[WeekIndex],85)&amp;" ("&amp;TEXT(SUMPRODUCT(MAX((T_PlannedOrders[Part Name]=$A45)*(T_PlannedOrders[WeekIndex]=85)*(T_PlannedOrders[EffectiveQty]&gt;0)*T_PlannedOrders[Order_Month])),"m月")&amp;"発注)")</f>
        <v/>
      </c>
      <c r="CK217">
        <f>IF(SUMIFS(T_PlannedOrders[EffectiveQty],T_PlannedOrders[Part Name],$A45,T_PlannedOrders[WeekIndex],86)=0,"",SUMIFS(T_PlannedOrders[EffectiveQty],T_PlannedOrders[Part Name],$A45,T_PlannedOrders[WeekIndex],86)&amp;" ("&amp;TEXT(SUMPRODUCT(MAX((T_PlannedOrders[Part Name]=$A45)*(T_PlannedOrders[WeekIndex]=86)*(T_PlannedOrders[EffectiveQty]&gt;0)*T_PlannedOrders[Order_Month])),"m月")&amp;"発注)")</f>
        <v/>
      </c>
      <c r="CL217">
        <f>IF(SUMIFS(T_PlannedOrders[EffectiveQty],T_PlannedOrders[Part Name],$A45,T_PlannedOrders[WeekIndex],87)=0,"",SUMIFS(T_PlannedOrders[EffectiveQty],T_PlannedOrders[Part Name],$A45,T_PlannedOrders[WeekIndex],87)&amp;" ("&amp;TEXT(SUMPRODUCT(MAX((T_PlannedOrders[Part Name]=$A45)*(T_PlannedOrders[WeekIndex]=87)*(T_PlannedOrders[EffectiveQty]&gt;0)*T_PlannedOrders[Order_Month])),"m月")&amp;"発注)")</f>
        <v/>
      </c>
      <c r="CM217">
        <f>IF(SUMIFS(T_PlannedOrders[EffectiveQty],T_PlannedOrders[Part Name],$A45,T_PlannedOrders[WeekIndex],88)=0,"",SUMIFS(T_PlannedOrders[EffectiveQty],T_PlannedOrders[Part Name],$A45,T_PlannedOrders[WeekIndex],88)&amp;" ("&amp;TEXT(SUMPRODUCT(MAX((T_PlannedOrders[Part Name]=$A45)*(T_PlannedOrders[WeekIndex]=88)*(T_PlannedOrders[EffectiveQty]&gt;0)*T_PlannedOrders[Order_Month])),"m月")&amp;"発注)")</f>
        <v/>
      </c>
      <c r="CN217">
        <f>IF(SUMIFS(T_PlannedOrders[EffectiveQty],T_PlannedOrders[Part Name],$A45,T_PlannedOrders[WeekIndex],89)=0,"",SUMIFS(T_PlannedOrders[EffectiveQty],T_PlannedOrders[Part Name],$A45,T_PlannedOrders[WeekIndex],89)&amp;" ("&amp;TEXT(SUMPRODUCT(MAX((T_PlannedOrders[Part Name]=$A45)*(T_PlannedOrders[WeekIndex]=89)*(T_PlannedOrders[EffectiveQty]&gt;0)*T_PlannedOrders[Order_Month])),"m月")&amp;"発注)")</f>
        <v/>
      </c>
      <c r="CO217">
        <f>IF(SUMIFS(T_PlannedOrders[EffectiveQty],T_PlannedOrders[Part Name],$A45,T_PlannedOrders[WeekIndex],90)=0,"",SUMIFS(T_PlannedOrders[EffectiveQty],T_PlannedOrders[Part Name],$A45,T_PlannedOrders[WeekIndex],90)&amp;" ("&amp;TEXT(SUMPRODUCT(MAX((T_PlannedOrders[Part Name]=$A45)*(T_PlannedOrders[WeekIndex]=90)*(T_PlannedOrders[EffectiveQty]&gt;0)*T_PlannedOrders[Order_Month])),"m月")&amp;"発注)")</f>
        <v/>
      </c>
      <c r="CP217">
        <f>IF(SUMIFS(T_PlannedOrders[EffectiveQty],T_PlannedOrders[Part Name],$A45,T_PlannedOrders[WeekIndex],91)=0,"",SUMIFS(T_PlannedOrders[EffectiveQty],T_PlannedOrders[Part Name],$A45,T_PlannedOrders[WeekIndex],91)&amp;" ("&amp;TEXT(SUMPRODUCT(MAX((T_PlannedOrders[Part Name]=$A45)*(T_PlannedOrders[WeekIndex]=91)*(T_PlannedOrders[EffectiveQty]&gt;0)*T_PlannedOrders[Order_Month])),"m月")&amp;"発注)")</f>
        <v/>
      </c>
      <c r="CQ217">
        <f>IF(SUMIFS(T_PlannedOrders[EffectiveQty],T_PlannedOrders[Part Name],$A45,T_PlannedOrders[WeekIndex],92)=0,"",SUMIFS(T_PlannedOrders[EffectiveQty],T_PlannedOrders[Part Name],$A45,T_PlannedOrders[WeekIndex],92)&amp;" ("&amp;TEXT(SUMPRODUCT(MAX((T_PlannedOrders[Part Name]=$A45)*(T_PlannedOrders[WeekIndex]=92)*(T_PlannedOrders[EffectiveQty]&gt;0)*T_PlannedOrders[Order_Month])),"m月")&amp;"発注)")</f>
        <v/>
      </c>
      <c r="CR217">
        <f>IF(SUMIFS(T_PlannedOrders[EffectiveQty],T_PlannedOrders[Part Name],$A45,T_PlannedOrders[WeekIndex],93)=0,"",SUMIFS(T_PlannedOrders[EffectiveQty],T_PlannedOrders[Part Name],$A45,T_PlannedOrders[WeekIndex],93)&amp;" ("&amp;TEXT(SUMPRODUCT(MAX((T_PlannedOrders[Part Name]=$A45)*(T_PlannedOrders[WeekIndex]=93)*(T_PlannedOrders[EffectiveQty]&gt;0)*T_PlannedOrders[Order_Month])),"m月")&amp;"発注)")</f>
        <v/>
      </c>
      <c r="CS217">
        <f>IF(SUMIFS(T_PlannedOrders[EffectiveQty],T_PlannedOrders[Part Name],$A45,T_PlannedOrders[WeekIndex],94)=0,"",SUMIFS(T_PlannedOrders[EffectiveQty],T_PlannedOrders[Part Name],$A45,T_PlannedOrders[WeekIndex],94)&amp;" ("&amp;TEXT(SUMPRODUCT(MAX((T_PlannedOrders[Part Name]=$A45)*(T_PlannedOrders[WeekIndex]=94)*(T_PlannedOrders[EffectiveQty]&gt;0)*T_PlannedOrders[Order_Month])),"m月")&amp;"発注)")</f>
        <v/>
      </c>
      <c r="CT217">
        <f>IF(SUMIFS(T_PlannedOrders[EffectiveQty],T_PlannedOrders[Part Name],$A45,T_PlannedOrders[WeekIndex],95)=0,"",SUMIFS(T_PlannedOrders[EffectiveQty],T_PlannedOrders[Part Name],$A45,T_PlannedOrders[WeekIndex],95)&amp;" ("&amp;TEXT(SUMPRODUCT(MAX((T_PlannedOrders[Part Name]=$A45)*(T_PlannedOrders[WeekIndex]=95)*(T_PlannedOrders[EffectiveQty]&gt;0)*T_PlannedOrders[Order_Month])),"m月")&amp;"発注)")</f>
        <v/>
      </c>
      <c r="CU217">
        <f>IF(SUMIFS(T_PlannedOrders[EffectiveQty],T_PlannedOrders[Part Name],$A45,T_PlannedOrders[WeekIndex],96)=0,"",SUMIFS(T_PlannedOrders[EffectiveQty],T_PlannedOrders[Part Name],$A45,T_PlannedOrders[WeekIndex],96)&amp;" ("&amp;TEXT(SUMPRODUCT(MAX((T_PlannedOrders[Part Name]=$A45)*(T_PlannedOrders[WeekIndex]=96)*(T_PlannedOrders[EffectiveQty]&gt;0)*T_PlannedOrders[Order_Month])),"m月")&amp;"発注)")</f>
        <v/>
      </c>
      <c r="CV217">
        <f>IF(SUMIFS(T_PlannedOrders[EffectiveQty],T_PlannedOrders[Part Name],$A45,T_PlannedOrders[WeekIndex],97)=0,"",SUMIFS(T_PlannedOrders[EffectiveQty],T_PlannedOrders[Part Name],$A45,T_PlannedOrders[WeekIndex],97)&amp;" ("&amp;TEXT(SUMPRODUCT(MAX((T_PlannedOrders[Part Name]=$A45)*(T_PlannedOrders[WeekIndex]=97)*(T_PlannedOrders[EffectiveQty]&gt;0)*T_PlannedOrders[Order_Month])),"m月")&amp;"発注)")</f>
        <v/>
      </c>
      <c r="CW217">
        <f>IF(SUMIFS(T_PlannedOrders[EffectiveQty],T_PlannedOrders[Part Name],$A45,T_PlannedOrders[WeekIndex],98)=0,"",SUMIFS(T_PlannedOrders[EffectiveQty],T_PlannedOrders[Part Name],$A45,T_PlannedOrders[WeekIndex],98)&amp;" ("&amp;TEXT(SUMPRODUCT(MAX((T_PlannedOrders[Part Name]=$A45)*(T_PlannedOrders[WeekIndex]=98)*(T_PlannedOrders[EffectiveQty]&gt;0)*T_PlannedOrders[Order_Month])),"m月")&amp;"発注)")</f>
        <v/>
      </c>
      <c r="CX217">
        <f>IF(SUMIFS(T_PlannedOrders[EffectiveQty],T_PlannedOrders[Part Name],$A45,T_PlannedOrders[WeekIndex],99)=0,"",SUMIFS(T_PlannedOrders[EffectiveQty],T_PlannedOrders[Part Name],$A45,T_PlannedOrders[WeekIndex],99)&amp;" ("&amp;TEXT(SUMPRODUCT(MAX((T_PlannedOrders[Part Name]=$A45)*(T_PlannedOrders[WeekIndex]=99)*(T_PlannedOrders[EffectiveQty]&gt;0)*T_PlannedOrders[Order_Month])),"m月")&amp;"発注)")</f>
        <v/>
      </c>
      <c r="CY217">
        <f>IF(SUMIFS(T_PlannedOrders[EffectiveQty],T_PlannedOrders[Part Name],$A45,T_PlannedOrders[WeekIndex],100)=0,"",SUMIFS(T_PlannedOrders[EffectiveQty],T_PlannedOrders[Part Name],$A45,T_PlannedOrders[WeekIndex],100)&amp;" ("&amp;TEXT(SUMPRODUCT(MAX((T_PlannedOrders[Part Name]=$A45)*(T_PlannedOrders[WeekIndex]=100)*(T_PlannedOrders[EffectiveQty]&gt;0)*T_PlannedOrders[Order_Month])),"m月")&amp;"発注)")</f>
        <v/>
      </c>
      <c r="CZ217">
        <f>IF(SUMIFS(T_PlannedOrders[EffectiveQty],T_PlannedOrders[Part Name],$A45,T_PlannedOrders[WeekIndex],101)=0,"",SUMIFS(T_PlannedOrders[EffectiveQty],T_PlannedOrders[Part Name],$A45,T_PlannedOrders[WeekIndex],101)&amp;" ("&amp;TEXT(SUMPRODUCT(MAX((T_PlannedOrders[Part Name]=$A45)*(T_PlannedOrders[WeekIndex]=101)*(T_PlannedOrders[EffectiveQty]&gt;0)*T_PlannedOrders[Order_Month])),"m月")&amp;"発注)")</f>
        <v/>
      </c>
      <c r="DA217">
        <f>IF(SUMIFS(T_PlannedOrders[EffectiveQty],T_PlannedOrders[Part Name],$A45,T_PlannedOrders[WeekIndex],102)=0,"",SUMIFS(T_PlannedOrders[EffectiveQty],T_PlannedOrders[Part Name],$A45,T_PlannedOrders[WeekIndex],102)&amp;" ("&amp;TEXT(SUMPRODUCT(MAX((T_PlannedOrders[Part Name]=$A45)*(T_PlannedOrders[WeekIndex]=102)*(T_PlannedOrders[EffectiveQty]&gt;0)*T_PlannedOrders[Order_Month])),"m月")&amp;"発注)")</f>
        <v/>
      </c>
      <c r="DB217">
        <f>IF(SUMIFS(T_PlannedOrders[EffectiveQty],T_PlannedOrders[Part Name],$A45,T_PlannedOrders[WeekIndex],103)=0,"",SUMIFS(T_PlannedOrders[EffectiveQty],T_PlannedOrders[Part Name],$A45,T_PlannedOrders[WeekIndex],103)&amp;" ("&amp;TEXT(SUMPRODUCT(MAX((T_PlannedOrders[Part Name]=$A45)*(T_PlannedOrders[WeekIndex]=103)*(T_PlannedOrders[EffectiveQty]&gt;0)*T_PlannedOrders[Order_Month])),"m月")&amp;"発注)")</f>
        <v/>
      </c>
      <c r="DC217">
        <f>IF(SUMIFS(T_PlannedOrders[EffectiveQty],T_PlannedOrders[Part Name],$A45,T_PlannedOrders[WeekIndex],104)=0,"",SUMIFS(T_PlannedOrders[EffectiveQty],T_PlannedOrders[Part Name],$A45,T_PlannedOrders[WeekIndex],104)&amp;" ("&amp;TEXT(SUMPRODUCT(MAX((T_PlannedOrders[Part Name]=$A45)*(T_PlannedOrders[WeekIndex]=104)*(T_PlannedOrders[EffectiveQty]&gt;0)*T_PlannedOrders[Order_Month])),"m月")&amp;"発注)")</f>
        <v/>
      </c>
    </row>
    <row r="218">
      <c r="B218" s="4" t="inlineStr">
        <is>
          <t>合計在庫(週末時点,kg)</t>
        </is>
      </c>
      <c r="D218">
        <f>'Grid_Stock'!B5</f>
        <v/>
      </c>
      <c r="E218">
        <f>'Grid_Stock'!C5</f>
        <v/>
      </c>
      <c r="F218">
        <f>'Grid_Stock'!D5</f>
        <v/>
      </c>
      <c r="G218">
        <f>'Grid_Stock'!E5</f>
        <v/>
      </c>
      <c r="H218">
        <f>'Grid_Stock'!F5</f>
        <v/>
      </c>
      <c r="I218">
        <f>'Grid_Stock'!G5</f>
        <v/>
      </c>
      <c r="J218">
        <f>'Grid_Stock'!H5</f>
        <v/>
      </c>
      <c r="K218">
        <f>'Grid_Stock'!I5</f>
        <v/>
      </c>
      <c r="L218">
        <f>'Grid_Stock'!J5</f>
        <v/>
      </c>
      <c r="M218">
        <f>'Grid_Stock'!K5</f>
        <v/>
      </c>
      <c r="N218">
        <f>'Grid_Stock'!L5</f>
        <v/>
      </c>
      <c r="O218">
        <f>'Grid_Stock'!M5</f>
        <v/>
      </c>
      <c r="P218">
        <f>'Grid_Stock'!N5</f>
        <v/>
      </c>
      <c r="Q218">
        <f>'Grid_Stock'!O5</f>
        <v/>
      </c>
      <c r="R218">
        <f>'Grid_Stock'!P5</f>
        <v/>
      </c>
      <c r="S218">
        <f>'Grid_Stock'!Q5</f>
        <v/>
      </c>
      <c r="T218">
        <f>'Grid_Stock'!R5</f>
        <v/>
      </c>
      <c r="U218">
        <f>'Grid_Stock'!S5</f>
        <v/>
      </c>
      <c r="V218">
        <f>'Grid_Stock'!T5</f>
        <v/>
      </c>
      <c r="W218">
        <f>'Grid_Stock'!U5</f>
        <v/>
      </c>
      <c r="X218">
        <f>'Grid_Stock'!V5</f>
        <v/>
      </c>
      <c r="Y218">
        <f>'Grid_Stock'!W5</f>
        <v/>
      </c>
      <c r="Z218">
        <f>'Grid_Stock'!X5</f>
        <v/>
      </c>
      <c r="AA218">
        <f>'Grid_Stock'!Y5</f>
        <v/>
      </c>
      <c r="AB218">
        <f>'Grid_Stock'!Z5</f>
        <v/>
      </c>
      <c r="AC218">
        <f>'Grid_Stock'!AA5</f>
        <v/>
      </c>
      <c r="AD218">
        <f>'Grid_Stock'!AB5</f>
        <v/>
      </c>
      <c r="AE218">
        <f>'Grid_Stock'!AC5</f>
        <v/>
      </c>
      <c r="AF218">
        <f>'Grid_Stock'!AD5</f>
        <v/>
      </c>
      <c r="AG218">
        <f>'Grid_Stock'!AE5</f>
        <v/>
      </c>
      <c r="AH218">
        <f>'Grid_Stock'!AF5</f>
        <v/>
      </c>
      <c r="AI218">
        <f>'Grid_Stock'!AG5</f>
        <v/>
      </c>
      <c r="AJ218">
        <f>'Grid_Stock'!AH5</f>
        <v/>
      </c>
      <c r="AK218">
        <f>'Grid_Stock'!AI5</f>
        <v/>
      </c>
      <c r="AL218">
        <f>'Grid_Stock'!AJ5</f>
        <v/>
      </c>
      <c r="AM218">
        <f>'Grid_Stock'!AK5</f>
        <v/>
      </c>
      <c r="AN218">
        <f>'Grid_Stock'!AL5</f>
        <v/>
      </c>
      <c r="AO218">
        <f>'Grid_Stock'!AM5</f>
        <v/>
      </c>
      <c r="AP218">
        <f>'Grid_Stock'!AN5</f>
        <v/>
      </c>
      <c r="AQ218">
        <f>'Grid_Stock'!AO5</f>
        <v/>
      </c>
      <c r="AR218">
        <f>'Grid_Stock'!AP5</f>
        <v/>
      </c>
      <c r="AS218">
        <f>'Grid_Stock'!AQ5</f>
        <v/>
      </c>
      <c r="AT218">
        <f>'Grid_Stock'!AR5</f>
        <v/>
      </c>
      <c r="AU218">
        <f>'Grid_Stock'!AS5</f>
        <v/>
      </c>
      <c r="AV218">
        <f>'Grid_Stock'!AT5</f>
        <v/>
      </c>
      <c r="AW218">
        <f>'Grid_Stock'!AU5</f>
        <v/>
      </c>
      <c r="AX218">
        <f>'Grid_Stock'!AV5</f>
        <v/>
      </c>
      <c r="AY218">
        <f>'Grid_Stock'!AW5</f>
        <v/>
      </c>
      <c r="AZ218">
        <f>'Grid_Stock'!AX5</f>
        <v/>
      </c>
      <c r="BA218">
        <f>'Grid_Stock'!AY5</f>
        <v/>
      </c>
      <c r="BB218">
        <f>'Grid_Stock'!AZ5</f>
        <v/>
      </c>
      <c r="BC218">
        <f>'Grid_Stock'!BA5</f>
        <v/>
      </c>
      <c r="BD218">
        <f>'Grid_Stock'!BB5</f>
        <v/>
      </c>
      <c r="BE218">
        <f>'Grid_Stock'!BC5</f>
        <v/>
      </c>
      <c r="BF218">
        <f>'Grid_Stock'!BD5</f>
        <v/>
      </c>
      <c r="BG218">
        <f>'Grid_Stock'!BE5</f>
        <v/>
      </c>
      <c r="BH218">
        <f>'Grid_Stock'!BF5</f>
        <v/>
      </c>
      <c r="BI218">
        <f>'Grid_Stock'!BG5</f>
        <v/>
      </c>
      <c r="BJ218">
        <f>'Grid_Stock'!BH5</f>
        <v/>
      </c>
      <c r="BK218">
        <f>'Grid_Stock'!BI5</f>
        <v/>
      </c>
      <c r="BL218">
        <f>'Grid_Stock'!BJ5</f>
        <v/>
      </c>
      <c r="BM218">
        <f>'Grid_Stock'!BK5</f>
        <v/>
      </c>
      <c r="BN218">
        <f>'Grid_Stock'!BL5</f>
        <v/>
      </c>
      <c r="BO218">
        <f>'Grid_Stock'!BM5</f>
        <v/>
      </c>
      <c r="BP218">
        <f>'Grid_Stock'!BN5</f>
        <v/>
      </c>
      <c r="BQ218">
        <f>'Grid_Stock'!BO5</f>
        <v/>
      </c>
      <c r="BR218">
        <f>'Grid_Stock'!BP5</f>
        <v/>
      </c>
      <c r="BS218">
        <f>'Grid_Stock'!BQ5</f>
        <v/>
      </c>
      <c r="BT218">
        <f>'Grid_Stock'!BR5</f>
        <v/>
      </c>
      <c r="BU218">
        <f>'Grid_Stock'!BS5</f>
        <v/>
      </c>
      <c r="BV218">
        <f>'Grid_Stock'!BT5</f>
        <v/>
      </c>
      <c r="BW218">
        <f>'Grid_Stock'!BU5</f>
        <v/>
      </c>
      <c r="BX218">
        <f>'Grid_Stock'!BV5</f>
        <v/>
      </c>
      <c r="BY218">
        <f>'Grid_Stock'!BW5</f>
        <v/>
      </c>
      <c r="BZ218">
        <f>'Grid_Stock'!BX5</f>
        <v/>
      </c>
      <c r="CA218">
        <f>'Grid_Stock'!BY5</f>
        <v/>
      </c>
      <c r="CB218">
        <f>'Grid_Stock'!BZ5</f>
        <v/>
      </c>
      <c r="CC218">
        <f>'Grid_Stock'!CA5</f>
        <v/>
      </c>
      <c r="CD218">
        <f>'Grid_Stock'!CB5</f>
        <v/>
      </c>
      <c r="CE218">
        <f>'Grid_Stock'!CC5</f>
        <v/>
      </c>
      <c r="CF218">
        <f>'Grid_Stock'!CD5</f>
        <v/>
      </c>
      <c r="CG218">
        <f>'Grid_Stock'!CE5</f>
        <v/>
      </c>
      <c r="CH218">
        <f>'Grid_Stock'!CF5</f>
        <v/>
      </c>
      <c r="CI218">
        <f>'Grid_Stock'!CG5</f>
        <v/>
      </c>
      <c r="CJ218">
        <f>'Grid_Stock'!CH5</f>
        <v/>
      </c>
      <c r="CK218">
        <f>'Grid_Stock'!CI5</f>
        <v/>
      </c>
      <c r="CL218">
        <f>'Grid_Stock'!CJ5</f>
        <v/>
      </c>
      <c r="CM218">
        <f>'Grid_Stock'!CK5</f>
        <v/>
      </c>
      <c r="CN218">
        <f>'Grid_Stock'!CL5</f>
        <v/>
      </c>
      <c r="CO218">
        <f>'Grid_Stock'!CM5</f>
        <v/>
      </c>
      <c r="CP218">
        <f>'Grid_Stock'!CN5</f>
        <v/>
      </c>
      <c r="CQ218">
        <f>'Grid_Stock'!CO5</f>
        <v/>
      </c>
      <c r="CR218">
        <f>'Grid_Stock'!CP5</f>
        <v/>
      </c>
      <c r="CS218">
        <f>'Grid_Stock'!CQ5</f>
        <v/>
      </c>
      <c r="CT218">
        <f>'Grid_Stock'!CR5</f>
        <v/>
      </c>
      <c r="CU218">
        <f>'Grid_Stock'!CS5</f>
        <v/>
      </c>
      <c r="CV218">
        <f>'Grid_Stock'!CT5</f>
        <v/>
      </c>
      <c r="CW218">
        <f>'Grid_Stock'!CU5</f>
        <v/>
      </c>
      <c r="CX218">
        <f>'Grid_Stock'!CV5</f>
        <v/>
      </c>
      <c r="CY218">
        <f>'Grid_Stock'!CW5</f>
        <v/>
      </c>
      <c r="CZ218">
        <f>'Grid_Stock'!CX5</f>
        <v/>
      </c>
      <c r="DA218">
        <f>'Grid_Stock'!CY5</f>
        <v/>
      </c>
      <c r="DB218">
        <f>'Grid_Stock'!CZ5</f>
        <v/>
      </c>
      <c r="DC218">
        <f>'Grid_Stock'!DA5</f>
        <v/>
      </c>
    </row>
    <row r="219">
      <c r="B219" s="16" t="inlineStr">
        <is>
          <t>（発注の目安はDashboardの基準在庫[下限/上限]と色分けを参照）</t>
        </is>
      </c>
    </row>
    <row r="221">
      <c r="A221" s="14" t="inlineStr">
        <is>
          <t>CHEM-1440</t>
        </is>
      </c>
      <c r="B221" s="14" t="inlineStr">
        <is>
          <t>CITRIC ACID</t>
        </is>
      </c>
      <c r="C221" s="15" t="n"/>
      <c r="D221" s="14" t="n"/>
      <c r="E221" s="14" t="n"/>
      <c r="F221" s="14" t="n"/>
      <c r="G221" s="14" t="n"/>
      <c r="H221" s="14" t="n"/>
      <c r="I221" s="14" t="n"/>
      <c r="J221" s="14" t="n"/>
      <c r="K221" s="14" t="n"/>
      <c r="L221" s="14" t="n"/>
      <c r="M221" s="14" t="n"/>
      <c r="N221" s="14" t="n"/>
      <c r="O221" s="14" t="n"/>
      <c r="P221" s="14" t="n"/>
      <c r="Q221" s="14" t="n"/>
      <c r="R221" s="14" t="n"/>
      <c r="S221" s="14" t="n"/>
      <c r="T221" s="14" t="n"/>
      <c r="U221" s="14" t="n"/>
      <c r="V221" s="14" t="n"/>
      <c r="W221" s="14" t="n"/>
      <c r="X221" s="14" t="n"/>
      <c r="Y221" s="14" t="n"/>
      <c r="Z221" s="14" t="n"/>
      <c r="AA221" s="14" t="n"/>
      <c r="AB221" s="14" t="n"/>
      <c r="AC221" s="14" t="n"/>
      <c r="AD221" s="14" t="n"/>
      <c r="AE221" s="14" t="n"/>
      <c r="AF221" s="14" t="n"/>
      <c r="AG221" s="14" t="n"/>
      <c r="AH221" s="14" t="n"/>
      <c r="AI221" s="14" t="n"/>
      <c r="AJ221" s="14" t="n"/>
      <c r="AK221" s="14" t="n"/>
      <c r="AL221" s="14" t="n"/>
      <c r="AM221" s="14" t="n"/>
      <c r="AN221" s="14" t="n"/>
      <c r="AO221" s="14" t="n"/>
      <c r="AP221" s="14" t="n"/>
      <c r="AQ221" s="14" t="n"/>
      <c r="AR221" s="14" t="n"/>
      <c r="AS221" s="14" t="n"/>
      <c r="AT221" s="14" t="n"/>
      <c r="AU221" s="14" t="n"/>
      <c r="AV221" s="14" t="n"/>
      <c r="AW221" s="14" t="n"/>
      <c r="AX221" s="14" t="n"/>
      <c r="AY221" s="14" t="n"/>
      <c r="AZ221" s="14" t="n"/>
      <c r="BA221" s="14" t="n"/>
      <c r="BB221" s="14" t="n"/>
      <c r="BC221" s="14" t="n"/>
      <c r="BD221" s="14" t="n"/>
      <c r="BE221" s="14" t="n"/>
      <c r="BF221" s="14" t="n"/>
      <c r="BG221" s="14" t="n"/>
      <c r="BH221" s="14" t="n"/>
      <c r="BI221" s="14" t="n"/>
      <c r="BJ221" s="14" t="n"/>
      <c r="BK221" s="14" t="n"/>
      <c r="BL221" s="14" t="n"/>
      <c r="BM221" s="14" t="n"/>
      <c r="BN221" s="14" t="n"/>
      <c r="BO221" s="14" t="n"/>
      <c r="BP221" s="14" t="n"/>
      <c r="BQ221" s="14" t="n"/>
      <c r="BR221" s="14" t="n"/>
      <c r="BS221" s="14" t="n"/>
      <c r="BT221" s="14" t="n"/>
      <c r="BU221" s="14" t="n"/>
      <c r="BV221" s="14" t="n"/>
      <c r="BW221" s="14" t="n"/>
      <c r="BX221" s="14" t="n"/>
      <c r="BY221" s="14" t="n"/>
      <c r="BZ221" s="14" t="n"/>
      <c r="CA221" s="14" t="n"/>
      <c r="CB221" s="14" t="n"/>
      <c r="CC221" s="14" t="n"/>
      <c r="CD221" s="14" t="n"/>
      <c r="CE221" s="14" t="n"/>
      <c r="CF221" s="14" t="n"/>
      <c r="CG221" s="14" t="n"/>
      <c r="CH221" s="14" t="n"/>
      <c r="CI221" s="14" t="n"/>
      <c r="CJ221" s="14" t="n"/>
      <c r="CK221" s="14" t="n"/>
      <c r="CL221" s="14" t="n"/>
      <c r="CM221" s="14" t="n"/>
      <c r="CN221" s="14" t="n"/>
      <c r="CO221" s="14" t="n"/>
      <c r="CP221" s="14" t="n"/>
      <c r="CQ221" s="14" t="n"/>
      <c r="CR221" s="14" t="n"/>
      <c r="CS221" s="14" t="n"/>
      <c r="CT221" s="14" t="n"/>
      <c r="CU221" s="14" t="n"/>
      <c r="CV221" s="14" t="n"/>
      <c r="CW221" s="14" t="n"/>
      <c r="CX221" s="14" t="n"/>
      <c r="CY221" s="14" t="n"/>
      <c r="CZ221" s="14" t="n"/>
      <c r="DA221" s="14" t="n"/>
      <c r="DB221" s="14" t="n"/>
      <c r="DC221" s="14" t="n"/>
    </row>
    <row r="222">
      <c r="B222" t="inlineStr">
        <is>
          <t>TSP-049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Name],$A221)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TSP-067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Name],$A221)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TSP-069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Name],$A221)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TSP-077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Name],$A221)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TSP-104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Name],$A221)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TSP-199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Name],$A221)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TSP-205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Name],$A221)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TSP-206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Name],$A221)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TSP-224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Name],$A221)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TSP-367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Name],$A221)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TSP-369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Name],$A221)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TSP-390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Name],$A221)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TSP-399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Name],$A221)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TSP-544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Name],$A221)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TSP-618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Name],$A221)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TSP-620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Name],$A221)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TSP-623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Name],$A221)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TSP-668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Name],$A221)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TSP-669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Name],$A221)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TSP-670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Name],$A221)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TSP-699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Name],$A221)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TSP-710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Name],$A221)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TSP-828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Name],$A221)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TSP-903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Name],$A221)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TSP-924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Name],$A221)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TSP-925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Name],$A221)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TSP-927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Name],$A221)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TSP-928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Name],$A221)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TSP-929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Name],$A221)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TSP-930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Name],$A221)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TSP-934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Name],$A221)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TSP-935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Name],$A221)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TSP-936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Name],$A221)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TSP-937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Name],$A221)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TSP-1388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Name],$A221)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TSP-1444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Name],$A221)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TSP-1448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Name],$A221)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TSP-1445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Name],$A221)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TSP-1446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Name],$A221)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TSP-1449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Name],$A221)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VSP-567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Name],$A221)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VSP-600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Name],$A221)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VSP-602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Name],$A221)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VSP-603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Name],$A221)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VSP-605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Name],$A221)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VSP-606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Name],$A221)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VSP-607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Name],$A221)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VSP-739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Name],$A221)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VSP-740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Name],$A221)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VSP-746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Name],$A221)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VSP-822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Name],$A221)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VSP-870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Name],$A221)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VSP-910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Name],$A221)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VSP-989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Name],$A221)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VSP-990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Name],$A221)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VSZ-745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Name],$A221)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t="inlineStr">
        <is>
          <t>TSP-1558</t>
        </is>
      </c>
      <c r="C334" t="inlineStr">
        <is>
          <t>No. of batches</t>
        </is>
      </c>
      <c r="D334">
        <f>IFERROR(INDEX(PP_Grid[#Data],$DD334,2),0)</f>
        <v/>
      </c>
      <c r="E334">
        <f>IFERROR(INDEX(PP_Grid[#Data],$DD334,3),0)</f>
        <v/>
      </c>
      <c r="F334">
        <f>IFERROR(INDEX(PP_Grid[#Data],$DD334,4),0)</f>
        <v/>
      </c>
      <c r="G334">
        <f>IFERROR(INDEX(PP_Grid[#Data],$DD334,5),0)</f>
        <v/>
      </c>
      <c r="H334">
        <f>IFERROR(INDEX(PP_Grid[#Data],$DD334,6),0)</f>
        <v/>
      </c>
      <c r="I334">
        <f>IFERROR(INDEX(PP_Grid[#Data],$DD334,7),0)</f>
        <v/>
      </c>
      <c r="J334">
        <f>IFERROR(INDEX(PP_Grid[#Data],$DD334,8),0)</f>
        <v/>
      </c>
      <c r="K334">
        <f>IFERROR(INDEX(PP_Grid[#Data],$DD334,9),0)</f>
        <v/>
      </c>
      <c r="L334">
        <f>IFERROR(INDEX(PP_Grid[#Data],$DD334,10),0)</f>
        <v/>
      </c>
      <c r="M334">
        <f>IFERROR(INDEX(PP_Grid[#Data],$DD334,11),0)</f>
        <v/>
      </c>
      <c r="N334">
        <f>IFERROR(INDEX(PP_Grid[#Data],$DD334,12),0)</f>
        <v/>
      </c>
      <c r="O334">
        <f>IFERROR(INDEX(PP_Grid[#Data],$DD334,13),0)</f>
        <v/>
      </c>
      <c r="P334">
        <f>IFERROR(INDEX(PP_Grid[#Data],$DD334,14),0)</f>
        <v/>
      </c>
      <c r="Q334">
        <f>IFERROR(INDEX(PP_Grid[#Data],$DD334,15),0)</f>
        <v/>
      </c>
      <c r="R334">
        <f>IFERROR(INDEX(PP_Grid[#Data],$DD334,16),0)</f>
        <v/>
      </c>
      <c r="S334">
        <f>IFERROR(INDEX(PP_Grid[#Data],$DD334,17),0)</f>
        <v/>
      </c>
      <c r="T334">
        <f>IFERROR(INDEX(PP_Grid[#Data],$DD334,18),0)</f>
        <v/>
      </c>
      <c r="U334">
        <f>IFERROR(INDEX(PP_Grid[#Data],$DD334,19),0)</f>
        <v/>
      </c>
      <c r="V334">
        <f>IFERROR(INDEX(PP_Grid[#Data],$DD334,20),0)</f>
        <v/>
      </c>
      <c r="W334">
        <f>IFERROR(INDEX(PP_Grid[#Data],$DD334,21),0)</f>
        <v/>
      </c>
      <c r="X334">
        <f>IFERROR(INDEX(PP_Grid[#Data],$DD334,22),0)</f>
        <v/>
      </c>
      <c r="Y334">
        <f>IFERROR(INDEX(PP_Grid[#Data],$DD334,23),0)</f>
        <v/>
      </c>
      <c r="Z334">
        <f>IFERROR(INDEX(PP_Grid[#Data],$DD334,24),0)</f>
        <v/>
      </c>
      <c r="AA334">
        <f>IFERROR(INDEX(PP_Grid[#Data],$DD334,25),0)</f>
        <v/>
      </c>
      <c r="AB334">
        <f>IFERROR(INDEX(PP_Grid[#Data],$DD334,26),0)</f>
        <v/>
      </c>
      <c r="AC334">
        <f>IFERROR(INDEX(PP_Grid[#Data],$DD334,27),0)</f>
        <v/>
      </c>
      <c r="AD334">
        <f>IFERROR(INDEX(PP_Grid[#Data],$DD334,28),0)</f>
        <v/>
      </c>
      <c r="AE334">
        <f>IFERROR(INDEX(PP_Grid[#Data],$DD334,29),0)</f>
        <v/>
      </c>
      <c r="AF334">
        <f>IFERROR(INDEX(PP_Grid[#Data],$DD334,30),0)</f>
        <v/>
      </c>
      <c r="AG334">
        <f>IFERROR(INDEX(PP_Grid[#Data],$DD334,31),0)</f>
        <v/>
      </c>
      <c r="AH334">
        <f>IFERROR(INDEX(PP_Grid[#Data],$DD334,32),0)</f>
        <v/>
      </c>
      <c r="AI334">
        <f>IFERROR(INDEX(PP_Grid[#Data],$DD334,33),0)</f>
        <v/>
      </c>
      <c r="AJ334">
        <f>IFERROR(INDEX(PP_Grid[#Data],$DD334,34),0)</f>
        <v/>
      </c>
      <c r="AK334">
        <f>IFERROR(INDEX(PP_Grid[#Data],$DD334,35),0)</f>
        <v/>
      </c>
      <c r="AL334">
        <f>IFERROR(INDEX(PP_Grid[#Data],$DD334,36),0)</f>
        <v/>
      </c>
      <c r="AM334">
        <f>IFERROR(INDEX(PP_Grid[#Data],$DD334,37),0)</f>
        <v/>
      </c>
      <c r="AN334">
        <f>IFERROR(INDEX(PP_Grid[#Data],$DD334,38),0)</f>
        <v/>
      </c>
      <c r="AO334">
        <f>IFERROR(INDEX(PP_Grid[#Data],$DD334,39),0)</f>
        <v/>
      </c>
      <c r="AP334">
        <f>IFERROR(INDEX(PP_Grid[#Data],$DD334,40),0)</f>
        <v/>
      </c>
      <c r="AQ334">
        <f>IFERROR(INDEX(PP_Grid[#Data],$DD334,41),0)</f>
        <v/>
      </c>
      <c r="AR334">
        <f>IFERROR(INDEX(PP_Grid[#Data],$DD334,42),0)</f>
        <v/>
      </c>
      <c r="AS334">
        <f>IFERROR(INDEX(PP_Grid[#Data],$DD334,43),0)</f>
        <v/>
      </c>
      <c r="AT334">
        <f>IFERROR(INDEX(PP_Grid[#Data],$DD334,44),0)</f>
        <v/>
      </c>
      <c r="AU334">
        <f>IFERROR(INDEX(PP_Grid[#Data],$DD334,45),0)</f>
        <v/>
      </c>
      <c r="AV334">
        <f>IFERROR(INDEX(PP_Grid[#Data],$DD334,46),0)</f>
        <v/>
      </c>
      <c r="AW334">
        <f>IFERROR(INDEX(PP_Grid[#Data],$DD334,47),0)</f>
        <v/>
      </c>
      <c r="AX334">
        <f>IFERROR(INDEX(PP_Grid[#Data],$DD334,48),0)</f>
        <v/>
      </c>
      <c r="AY334">
        <f>IFERROR(INDEX(PP_Grid[#Data],$DD334,49),0)</f>
        <v/>
      </c>
      <c r="AZ334">
        <f>IFERROR(INDEX(PP_Grid[#Data],$DD334,50),0)</f>
        <v/>
      </c>
      <c r="BA334">
        <f>IFERROR(INDEX(PP_Grid[#Data],$DD334,51),0)</f>
        <v/>
      </c>
      <c r="BB334">
        <f>IFERROR(INDEX(PP_Grid[#Data],$DD334,52),0)</f>
        <v/>
      </c>
      <c r="BC334">
        <f>IFERROR(INDEX(PP_Grid[#Data],$DD334,53),0)</f>
        <v/>
      </c>
      <c r="BD334">
        <f>IFERROR(INDEX(PP_Grid[#Data],$DD334,54),0)</f>
        <v/>
      </c>
      <c r="BE334">
        <f>IFERROR(INDEX(PP_Grid[#Data],$DD334,55),0)</f>
        <v/>
      </c>
      <c r="BF334">
        <f>IFERROR(INDEX(PP_Grid[#Data],$DD334,56),0)</f>
        <v/>
      </c>
      <c r="BG334">
        <f>IFERROR(INDEX(PP_Grid[#Data],$DD334,57),0)</f>
        <v/>
      </c>
      <c r="BH334">
        <f>IFERROR(INDEX(PP_Grid[#Data],$DD334,58),0)</f>
        <v/>
      </c>
      <c r="BI334">
        <f>IFERROR(INDEX(PP_Grid[#Data],$DD334,59),0)</f>
        <v/>
      </c>
      <c r="BJ334">
        <f>IFERROR(INDEX(PP_Grid[#Data],$DD334,60),0)</f>
        <v/>
      </c>
      <c r="BK334">
        <f>IFERROR(INDEX(PP_Grid[#Data],$DD334,61),0)</f>
        <v/>
      </c>
      <c r="BL334">
        <f>IFERROR(INDEX(PP_Grid[#Data],$DD334,62),0)</f>
        <v/>
      </c>
      <c r="BM334">
        <f>IFERROR(INDEX(PP_Grid[#Data],$DD334,63),0)</f>
        <v/>
      </c>
      <c r="BN334">
        <f>IFERROR(INDEX(PP_Grid[#Data],$DD334,64),0)</f>
        <v/>
      </c>
      <c r="BO334">
        <f>IFERROR(INDEX(PP_Grid[#Data],$DD334,65),0)</f>
        <v/>
      </c>
      <c r="BP334">
        <f>IFERROR(INDEX(PP_Grid[#Data],$DD334,66),0)</f>
        <v/>
      </c>
      <c r="BQ334">
        <f>IFERROR(INDEX(PP_Grid[#Data],$DD334,67),0)</f>
        <v/>
      </c>
      <c r="BR334">
        <f>IFERROR(INDEX(PP_Grid[#Data],$DD334,68),0)</f>
        <v/>
      </c>
      <c r="BS334">
        <f>IFERROR(INDEX(PP_Grid[#Data],$DD334,69),0)</f>
        <v/>
      </c>
      <c r="BT334">
        <f>IFERROR(INDEX(PP_Grid[#Data],$DD334,70),0)</f>
        <v/>
      </c>
      <c r="BU334">
        <f>IFERROR(INDEX(PP_Grid[#Data],$DD334,71),0)</f>
        <v/>
      </c>
      <c r="BV334">
        <f>IFERROR(INDEX(PP_Grid[#Data],$DD334,72),0)</f>
        <v/>
      </c>
      <c r="BW334">
        <f>IFERROR(INDEX(PP_Grid[#Data],$DD334,73),0)</f>
        <v/>
      </c>
      <c r="BX334">
        <f>IFERROR(INDEX(PP_Grid[#Data],$DD334,74),0)</f>
        <v/>
      </c>
      <c r="BY334">
        <f>IFERROR(INDEX(PP_Grid[#Data],$DD334,75),0)</f>
        <v/>
      </c>
      <c r="BZ334">
        <f>IFERROR(INDEX(PP_Grid[#Data],$DD334,76),0)</f>
        <v/>
      </c>
      <c r="CA334">
        <f>IFERROR(INDEX(PP_Grid[#Data],$DD334,77),0)</f>
        <v/>
      </c>
      <c r="CB334">
        <f>IFERROR(INDEX(PP_Grid[#Data],$DD334,78),0)</f>
        <v/>
      </c>
      <c r="CC334">
        <f>IFERROR(INDEX(PP_Grid[#Data],$DD334,79),0)</f>
        <v/>
      </c>
      <c r="CD334">
        <f>IFERROR(INDEX(PP_Grid[#Data],$DD334,80),0)</f>
        <v/>
      </c>
      <c r="CE334">
        <f>IFERROR(INDEX(PP_Grid[#Data],$DD334,81),0)</f>
        <v/>
      </c>
      <c r="CF334">
        <f>IFERROR(INDEX(PP_Grid[#Data],$DD334,82),0)</f>
        <v/>
      </c>
      <c r="CG334">
        <f>IFERROR(INDEX(PP_Grid[#Data],$DD334,83),0)</f>
        <v/>
      </c>
      <c r="CH334">
        <f>IFERROR(INDEX(PP_Grid[#Data],$DD334,84),0)</f>
        <v/>
      </c>
      <c r="CI334">
        <f>IFERROR(INDEX(PP_Grid[#Data],$DD334,85),0)</f>
        <v/>
      </c>
      <c r="CJ334">
        <f>IFERROR(INDEX(PP_Grid[#Data],$DD334,86),0)</f>
        <v/>
      </c>
      <c r="CK334">
        <f>IFERROR(INDEX(PP_Grid[#Data],$DD334,87),0)</f>
        <v/>
      </c>
      <c r="CL334">
        <f>IFERROR(INDEX(PP_Grid[#Data],$DD334,88),0)</f>
        <v/>
      </c>
      <c r="CM334">
        <f>IFERROR(INDEX(PP_Grid[#Data],$DD334,89),0)</f>
        <v/>
      </c>
      <c r="CN334">
        <f>IFERROR(INDEX(PP_Grid[#Data],$DD334,90),0)</f>
        <v/>
      </c>
      <c r="CO334">
        <f>IFERROR(INDEX(PP_Grid[#Data],$DD334,91),0)</f>
        <v/>
      </c>
      <c r="CP334">
        <f>IFERROR(INDEX(PP_Grid[#Data],$DD334,92),0)</f>
        <v/>
      </c>
      <c r="CQ334">
        <f>IFERROR(INDEX(PP_Grid[#Data],$DD334,93),0)</f>
        <v/>
      </c>
      <c r="CR334">
        <f>IFERROR(INDEX(PP_Grid[#Data],$DD334,94),0)</f>
        <v/>
      </c>
      <c r="CS334">
        <f>IFERROR(INDEX(PP_Grid[#Data],$DD334,95),0)</f>
        <v/>
      </c>
      <c r="CT334">
        <f>IFERROR(INDEX(PP_Grid[#Data],$DD334,96),0)</f>
        <v/>
      </c>
      <c r="CU334">
        <f>IFERROR(INDEX(PP_Grid[#Data],$DD334,97),0)</f>
        <v/>
      </c>
      <c r="CV334">
        <f>IFERROR(INDEX(PP_Grid[#Data],$DD334,98),0)</f>
        <v/>
      </c>
      <c r="CW334">
        <f>IFERROR(INDEX(PP_Grid[#Data],$DD334,99),0)</f>
        <v/>
      </c>
      <c r="CX334">
        <f>IFERROR(INDEX(PP_Grid[#Data],$DD334,100),0)</f>
        <v/>
      </c>
      <c r="CY334">
        <f>IFERROR(INDEX(PP_Grid[#Data],$DD334,101),0)</f>
        <v/>
      </c>
      <c r="CZ334">
        <f>IFERROR(INDEX(PP_Grid[#Data],$DD334,102),0)</f>
        <v/>
      </c>
      <c r="DA334">
        <f>IFERROR(INDEX(PP_Grid[#Data],$DD334,103),0)</f>
        <v/>
      </c>
      <c r="DB334">
        <f>IFERROR(INDEX(PP_Grid[#Data],$DD334,104),0)</f>
        <v/>
      </c>
      <c r="DC334">
        <f>IFERROR(INDEX(PP_Grid[#Data],$DD334,105),0)</f>
        <v/>
      </c>
      <c r="DD334" s="7">
        <f>IFERROR(MATCH($B334,PP_Grid[Intermediate],0),99999)</f>
        <v/>
      </c>
    </row>
    <row r="335">
      <c r="B335" t="inlineStr">
        <is>
          <t>使用量(kg)</t>
        </is>
      </c>
      <c r="C335">
        <f>SUMIFS(M_BOM[RM_Qty_Per_Batch],M_BOM[Intermediate],$B334,M_BOM[Part Name],$A221)</f>
        <v/>
      </c>
      <c r="D335">
        <f>$C335*D334</f>
        <v/>
      </c>
      <c r="E335">
        <f>$C335*E334</f>
        <v/>
      </c>
      <c r="F335">
        <f>$C335*F334</f>
        <v/>
      </c>
      <c r="G335">
        <f>$C335*G334</f>
        <v/>
      </c>
      <c r="H335">
        <f>$C335*H334</f>
        <v/>
      </c>
      <c r="I335">
        <f>$C335*I334</f>
        <v/>
      </c>
      <c r="J335">
        <f>$C335*J334</f>
        <v/>
      </c>
      <c r="K335">
        <f>$C335*K334</f>
        <v/>
      </c>
      <c r="L335">
        <f>$C335*L334</f>
        <v/>
      </c>
      <c r="M335">
        <f>$C335*M334</f>
        <v/>
      </c>
      <c r="N335">
        <f>$C335*N334</f>
        <v/>
      </c>
      <c r="O335">
        <f>$C335*O334</f>
        <v/>
      </c>
      <c r="P335">
        <f>$C335*P334</f>
        <v/>
      </c>
      <c r="Q335">
        <f>$C335*Q334</f>
        <v/>
      </c>
      <c r="R335">
        <f>$C335*R334</f>
        <v/>
      </c>
      <c r="S335">
        <f>$C335*S334</f>
        <v/>
      </c>
      <c r="T335">
        <f>$C335*T334</f>
        <v/>
      </c>
      <c r="U335">
        <f>$C335*U334</f>
        <v/>
      </c>
      <c r="V335">
        <f>$C335*V334</f>
        <v/>
      </c>
      <c r="W335">
        <f>$C335*W334</f>
        <v/>
      </c>
      <c r="X335">
        <f>$C335*X334</f>
        <v/>
      </c>
      <c r="Y335">
        <f>$C335*Y334</f>
        <v/>
      </c>
      <c r="Z335">
        <f>$C335*Z334</f>
        <v/>
      </c>
      <c r="AA335">
        <f>$C335*AA334</f>
        <v/>
      </c>
      <c r="AB335">
        <f>$C335*AB334</f>
        <v/>
      </c>
      <c r="AC335">
        <f>$C335*AC334</f>
        <v/>
      </c>
      <c r="AD335">
        <f>$C335*AD334</f>
        <v/>
      </c>
      <c r="AE335">
        <f>$C335*AE334</f>
        <v/>
      </c>
      <c r="AF335">
        <f>$C335*AF334</f>
        <v/>
      </c>
      <c r="AG335">
        <f>$C335*AG334</f>
        <v/>
      </c>
      <c r="AH335">
        <f>$C335*AH334</f>
        <v/>
      </c>
      <c r="AI335">
        <f>$C335*AI334</f>
        <v/>
      </c>
      <c r="AJ335">
        <f>$C335*AJ334</f>
        <v/>
      </c>
      <c r="AK335">
        <f>$C335*AK334</f>
        <v/>
      </c>
      <c r="AL335">
        <f>$C335*AL334</f>
        <v/>
      </c>
      <c r="AM335">
        <f>$C335*AM334</f>
        <v/>
      </c>
      <c r="AN335">
        <f>$C335*AN334</f>
        <v/>
      </c>
      <c r="AO335">
        <f>$C335*AO334</f>
        <v/>
      </c>
      <c r="AP335">
        <f>$C335*AP334</f>
        <v/>
      </c>
      <c r="AQ335">
        <f>$C335*AQ334</f>
        <v/>
      </c>
      <c r="AR335">
        <f>$C335*AR334</f>
        <v/>
      </c>
      <c r="AS335">
        <f>$C335*AS334</f>
        <v/>
      </c>
      <c r="AT335">
        <f>$C335*AT334</f>
        <v/>
      </c>
      <c r="AU335">
        <f>$C335*AU334</f>
        <v/>
      </c>
      <c r="AV335">
        <f>$C335*AV334</f>
        <v/>
      </c>
      <c r="AW335">
        <f>$C335*AW334</f>
        <v/>
      </c>
      <c r="AX335">
        <f>$C335*AX334</f>
        <v/>
      </c>
      <c r="AY335">
        <f>$C335*AY334</f>
        <v/>
      </c>
      <c r="AZ335">
        <f>$C335*AZ334</f>
        <v/>
      </c>
      <c r="BA335">
        <f>$C335*BA334</f>
        <v/>
      </c>
      <c r="BB335">
        <f>$C335*BB334</f>
        <v/>
      </c>
      <c r="BC335">
        <f>$C335*BC334</f>
        <v/>
      </c>
      <c r="BD335">
        <f>$C335*BD334</f>
        <v/>
      </c>
      <c r="BE335">
        <f>$C335*BE334</f>
        <v/>
      </c>
      <c r="BF335">
        <f>$C335*BF334</f>
        <v/>
      </c>
      <c r="BG335">
        <f>$C335*BG334</f>
        <v/>
      </c>
      <c r="BH335">
        <f>$C335*BH334</f>
        <v/>
      </c>
      <c r="BI335">
        <f>$C335*BI334</f>
        <v/>
      </c>
      <c r="BJ335">
        <f>$C335*BJ334</f>
        <v/>
      </c>
      <c r="BK335">
        <f>$C335*BK334</f>
        <v/>
      </c>
      <c r="BL335">
        <f>$C335*BL334</f>
        <v/>
      </c>
      <c r="BM335">
        <f>$C335*BM334</f>
        <v/>
      </c>
      <c r="BN335">
        <f>$C335*BN334</f>
        <v/>
      </c>
      <c r="BO335">
        <f>$C335*BO334</f>
        <v/>
      </c>
      <c r="BP335">
        <f>$C335*BP334</f>
        <v/>
      </c>
      <c r="BQ335">
        <f>$C335*BQ334</f>
        <v/>
      </c>
      <c r="BR335">
        <f>$C335*BR334</f>
        <v/>
      </c>
      <c r="BS335">
        <f>$C335*BS334</f>
        <v/>
      </c>
      <c r="BT335">
        <f>$C335*BT334</f>
        <v/>
      </c>
      <c r="BU335">
        <f>$C335*BU334</f>
        <v/>
      </c>
      <c r="BV335">
        <f>$C335*BV334</f>
        <v/>
      </c>
      <c r="BW335">
        <f>$C335*BW334</f>
        <v/>
      </c>
      <c r="BX335">
        <f>$C335*BX334</f>
        <v/>
      </c>
      <c r="BY335">
        <f>$C335*BY334</f>
        <v/>
      </c>
      <c r="BZ335">
        <f>$C335*BZ334</f>
        <v/>
      </c>
      <c r="CA335">
        <f>$C335*CA334</f>
        <v/>
      </c>
      <c r="CB335">
        <f>$C335*CB334</f>
        <v/>
      </c>
      <c r="CC335">
        <f>$C335*CC334</f>
        <v/>
      </c>
      <c r="CD335">
        <f>$C335*CD334</f>
        <v/>
      </c>
      <c r="CE335">
        <f>$C335*CE334</f>
        <v/>
      </c>
      <c r="CF335">
        <f>$C335*CF334</f>
        <v/>
      </c>
      <c r="CG335">
        <f>$C335*CG334</f>
        <v/>
      </c>
      <c r="CH335">
        <f>$C335*CH334</f>
        <v/>
      </c>
      <c r="CI335">
        <f>$C335*CI334</f>
        <v/>
      </c>
      <c r="CJ335">
        <f>$C335*CJ334</f>
        <v/>
      </c>
      <c r="CK335">
        <f>$C335*CK334</f>
        <v/>
      </c>
      <c r="CL335">
        <f>$C335*CL334</f>
        <v/>
      </c>
      <c r="CM335">
        <f>$C335*CM334</f>
        <v/>
      </c>
      <c r="CN335">
        <f>$C335*CN334</f>
        <v/>
      </c>
      <c r="CO335">
        <f>$C335*CO334</f>
        <v/>
      </c>
      <c r="CP335">
        <f>$C335*CP334</f>
        <v/>
      </c>
      <c r="CQ335">
        <f>$C335*CQ334</f>
        <v/>
      </c>
      <c r="CR335">
        <f>$C335*CR334</f>
        <v/>
      </c>
      <c r="CS335">
        <f>$C335*CS334</f>
        <v/>
      </c>
      <c r="CT335">
        <f>$C335*CT334</f>
        <v/>
      </c>
      <c r="CU335">
        <f>$C335*CU334</f>
        <v/>
      </c>
      <c r="CV335">
        <f>$C335*CV334</f>
        <v/>
      </c>
      <c r="CW335">
        <f>$C335*CW334</f>
        <v/>
      </c>
      <c r="CX335">
        <f>$C335*CX334</f>
        <v/>
      </c>
      <c r="CY335">
        <f>$C335*CY334</f>
        <v/>
      </c>
      <c r="CZ335">
        <f>$C335*CZ334</f>
        <v/>
      </c>
      <c r="DA335">
        <f>$C335*DA334</f>
        <v/>
      </c>
      <c r="DB335">
        <f>$C335*DB334</f>
        <v/>
      </c>
      <c r="DC335">
        <f>$C335*DC334</f>
        <v/>
      </c>
    </row>
    <row r="336">
      <c r="B336" s="4" t="inlineStr">
        <is>
          <t>合計使用量(kg)/週</t>
        </is>
      </c>
      <c r="D336">
        <f>'Grid_Requirement'!B10</f>
        <v/>
      </c>
      <c r="E336">
        <f>'Grid_Requirement'!C10</f>
        <v/>
      </c>
      <c r="F336">
        <f>'Grid_Requirement'!D10</f>
        <v/>
      </c>
      <c r="G336">
        <f>'Grid_Requirement'!E10</f>
        <v/>
      </c>
      <c r="H336">
        <f>'Grid_Requirement'!F10</f>
        <v/>
      </c>
      <c r="I336">
        <f>'Grid_Requirement'!G10</f>
        <v/>
      </c>
      <c r="J336">
        <f>'Grid_Requirement'!H10</f>
        <v/>
      </c>
      <c r="K336">
        <f>'Grid_Requirement'!I10</f>
        <v/>
      </c>
      <c r="L336">
        <f>'Grid_Requirement'!J10</f>
        <v/>
      </c>
      <c r="M336">
        <f>'Grid_Requirement'!K10</f>
        <v/>
      </c>
      <c r="N336">
        <f>'Grid_Requirement'!L10</f>
        <v/>
      </c>
      <c r="O336">
        <f>'Grid_Requirement'!M10</f>
        <v/>
      </c>
      <c r="P336">
        <f>'Grid_Requirement'!N10</f>
        <v/>
      </c>
      <c r="Q336">
        <f>'Grid_Requirement'!O10</f>
        <v/>
      </c>
      <c r="R336">
        <f>'Grid_Requirement'!P10</f>
        <v/>
      </c>
      <c r="S336">
        <f>'Grid_Requirement'!Q10</f>
        <v/>
      </c>
      <c r="T336">
        <f>'Grid_Requirement'!R10</f>
        <v/>
      </c>
      <c r="U336">
        <f>'Grid_Requirement'!S10</f>
        <v/>
      </c>
      <c r="V336">
        <f>'Grid_Requirement'!T10</f>
        <v/>
      </c>
      <c r="W336">
        <f>'Grid_Requirement'!U10</f>
        <v/>
      </c>
      <c r="X336">
        <f>'Grid_Requirement'!V10</f>
        <v/>
      </c>
      <c r="Y336">
        <f>'Grid_Requirement'!W10</f>
        <v/>
      </c>
      <c r="Z336">
        <f>'Grid_Requirement'!X10</f>
        <v/>
      </c>
      <c r="AA336">
        <f>'Grid_Requirement'!Y10</f>
        <v/>
      </c>
      <c r="AB336">
        <f>'Grid_Requirement'!Z10</f>
        <v/>
      </c>
      <c r="AC336">
        <f>'Grid_Requirement'!AA10</f>
        <v/>
      </c>
      <c r="AD336">
        <f>'Grid_Requirement'!AB10</f>
        <v/>
      </c>
      <c r="AE336">
        <f>'Grid_Requirement'!AC10</f>
        <v/>
      </c>
      <c r="AF336">
        <f>'Grid_Requirement'!AD10</f>
        <v/>
      </c>
      <c r="AG336">
        <f>'Grid_Requirement'!AE10</f>
        <v/>
      </c>
      <c r="AH336">
        <f>'Grid_Requirement'!AF10</f>
        <v/>
      </c>
      <c r="AI336">
        <f>'Grid_Requirement'!AG10</f>
        <v/>
      </c>
      <c r="AJ336">
        <f>'Grid_Requirement'!AH10</f>
        <v/>
      </c>
      <c r="AK336">
        <f>'Grid_Requirement'!AI10</f>
        <v/>
      </c>
      <c r="AL336">
        <f>'Grid_Requirement'!AJ10</f>
        <v/>
      </c>
      <c r="AM336">
        <f>'Grid_Requirement'!AK10</f>
        <v/>
      </c>
      <c r="AN336">
        <f>'Grid_Requirement'!AL10</f>
        <v/>
      </c>
      <c r="AO336">
        <f>'Grid_Requirement'!AM10</f>
        <v/>
      </c>
      <c r="AP336">
        <f>'Grid_Requirement'!AN10</f>
        <v/>
      </c>
      <c r="AQ336">
        <f>'Grid_Requirement'!AO10</f>
        <v/>
      </c>
      <c r="AR336">
        <f>'Grid_Requirement'!AP10</f>
        <v/>
      </c>
      <c r="AS336">
        <f>'Grid_Requirement'!AQ10</f>
        <v/>
      </c>
      <c r="AT336">
        <f>'Grid_Requirement'!AR10</f>
        <v/>
      </c>
      <c r="AU336">
        <f>'Grid_Requirement'!AS10</f>
        <v/>
      </c>
      <c r="AV336">
        <f>'Grid_Requirement'!AT10</f>
        <v/>
      </c>
      <c r="AW336">
        <f>'Grid_Requirement'!AU10</f>
        <v/>
      </c>
      <c r="AX336">
        <f>'Grid_Requirement'!AV10</f>
        <v/>
      </c>
      <c r="AY336">
        <f>'Grid_Requirement'!AW10</f>
        <v/>
      </c>
      <c r="AZ336">
        <f>'Grid_Requirement'!AX10</f>
        <v/>
      </c>
      <c r="BA336">
        <f>'Grid_Requirement'!AY10</f>
        <v/>
      </c>
      <c r="BB336">
        <f>'Grid_Requirement'!AZ10</f>
        <v/>
      </c>
      <c r="BC336">
        <f>'Grid_Requirement'!BA10</f>
        <v/>
      </c>
      <c r="BD336">
        <f>'Grid_Requirement'!BB10</f>
        <v/>
      </c>
      <c r="BE336">
        <f>'Grid_Requirement'!BC10</f>
        <v/>
      </c>
      <c r="BF336">
        <f>'Grid_Requirement'!BD10</f>
        <v/>
      </c>
      <c r="BG336">
        <f>'Grid_Requirement'!BE10</f>
        <v/>
      </c>
      <c r="BH336">
        <f>'Grid_Requirement'!BF10</f>
        <v/>
      </c>
      <c r="BI336">
        <f>'Grid_Requirement'!BG10</f>
        <v/>
      </c>
      <c r="BJ336">
        <f>'Grid_Requirement'!BH10</f>
        <v/>
      </c>
      <c r="BK336">
        <f>'Grid_Requirement'!BI10</f>
        <v/>
      </c>
      <c r="BL336">
        <f>'Grid_Requirement'!BJ10</f>
        <v/>
      </c>
      <c r="BM336">
        <f>'Grid_Requirement'!BK10</f>
        <v/>
      </c>
      <c r="BN336">
        <f>'Grid_Requirement'!BL10</f>
        <v/>
      </c>
      <c r="BO336">
        <f>'Grid_Requirement'!BM10</f>
        <v/>
      </c>
      <c r="BP336">
        <f>'Grid_Requirement'!BN10</f>
        <v/>
      </c>
      <c r="BQ336">
        <f>'Grid_Requirement'!BO10</f>
        <v/>
      </c>
      <c r="BR336">
        <f>'Grid_Requirement'!BP10</f>
        <v/>
      </c>
      <c r="BS336">
        <f>'Grid_Requirement'!BQ10</f>
        <v/>
      </c>
      <c r="BT336">
        <f>'Grid_Requirement'!BR10</f>
        <v/>
      </c>
      <c r="BU336">
        <f>'Grid_Requirement'!BS10</f>
        <v/>
      </c>
      <c r="BV336">
        <f>'Grid_Requirement'!BT10</f>
        <v/>
      </c>
      <c r="BW336">
        <f>'Grid_Requirement'!BU10</f>
        <v/>
      </c>
      <c r="BX336">
        <f>'Grid_Requirement'!BV10</f>
        <v/>
      </c>
      <c r="BY336">
        <f>'Grid_Requirement'!BW10</f>
        <v/>
      </c>
      <c r="BZ336">
        <f>'Grid_Requirement'!BX10</f>
        <v/>
      </c>
      <c r="CA336">
        <f>'Grid_Requirement'!BY10</f>
        <v/>
      </c>
      <c r="CB336">
        <f>'Grid_Requirement'!BZ10</f>
        <v/>
      </c>
      <c r="CC336">
        <f>'Grid_Requirement'!CA10</f>
        <v/>
      </c>
      <c r="CD336">
        <f>'Grid_Requirement'!CB10</f>
        <v/>
      </c>
      <c r="CE336">
        <f>'Grid_Requirement'!CC10</f>
        <v/>
      </c>
      <c r="CF336">
        <f>'Grid_Requirement'!CD10</f>
        <v/>
      </c>
      <c r="CG336">
        <f>'Grid_Requirement'!CE10</f>
        <v/>
      </c>
      <c r="CH336">
        <f>'Grid_Requirement'!CF10</f>
        <v/>
      </c>
      <c r="CI336">
        <f>'Grid_Requirement'!CG10</f>
        <v/>
      </c>
      <c r="CJ336">
        <f>'Grid_Requirement'!CH10</f>
        <v/>
      </c>
      <c r="CK336">
        <f>'Grid_Requirement'!CI10</f>
        <v/>
      </c>
      <c r="CL336">
        <f>'Grid_Requirement'!CJ10</f>
        <v/>
      </c>
      <c r="CM336">
        <f>'Grid_Requirement'!CK10</f>
        <v/>
      </c>
      <c r="CN336">
        <f>'Grid_Requirement'!CL10</f>
        <v/>
      </c>
      <c r="CO336">
        <f>'Grid_Requirement'!CM10</f>
        <v/>
      </c>
      <c r="CP336">
        <f>'Grid_Requirement'!CN10</f>
        <v/>
      </c>
      <c r="CQ336">
        <f>'Grid_Requirement'!CO10</f>
        <v/>
      </c>
      <c r="CR336">
        <f>'Grid_Requirement'!CP10</f>
        <v/>
      </c>
      <c r="CS336">
        <f>'Grid_Requirement'!CQ10</f>
        <v/>
      </c>
      <c r="CT336">
        <f>'Grid_Requirement'!CR10</f>
        <v/>
      </c>
      <c r="CU336">
        <f>'Grid_Requirement'!CS10</f>
        <v/>
      </c>
      <c r="CV336">
        <f>'Grid_Requirement'!CT10</f>
        <v/>
      </c>
      <c r="CW336">
        <f>'Grid_Requirement'!CU10</f>
        <v/>
      </c>
      <c r="CX336">
        <f>'Grid_Requirement'!CV10</f>
        <v/>
      </c>
      <c r="CY336">
        <f>'Grid_Requirement'!CW10</f>
        <v/>
      </c>
      <c r="CZ336">
        <f>'Grid_Requirement'!CX10</f>
        <v/>
      </c>
      <c r="DA336">
        <f>'Grid_Requirement'!CY10</f>
        <v/>
      </c>
      <c r="DB336">
        <f>'Grid_Requirement'!CZ10</f>
        <v/>
      </c>
      <c r="DC336">
        <f>'Grid_Requirement'!DA10</f>
        <v/>
      </c>
    </row>
    <row r="337">
      <c r="B337" t="inlineStr">
        <is>
          <t>TTAF在庫(実績,kg)</t>
        </is>
      </c>
      <c r="D337">
        <f>'T_TTAFStock'!B14</f>
        <v/>
      </c>
      <c r="E337">
        <f>'T_TTAFStock'!C14</f>
        <v/>
      </c>
      <c r="F337">
        <f>'T_TTAFStock'!D14</f>
        <v/>
      </c>
      <c r="G337">
        <f>'T_TTAFStock'!E14</f>
        <v/>
      </c>
      <c r="H337">
        <f>'T_TTAFStock'!F14</f>
        <v/>
      </c>
      <c r="I337">
        <f>'T_TTAFStock'!G14</f>
        <v/>
      </c>
      <c r="J337">
        <f>'T_TTAFStock'!H14</f>
        <v/>
      </c>
      <c r="K337">
        <f>'T_TTAFStock'!I14</f>
        <v/>
      </c>
      <c r="L337">
        <f>'T_TTAFStock'!J14</f>
        <v/>
      </c>
      <c r="M337">
        <f>'T_TTAFStock'!K14</f>
        <v/>
      </c>
      <c r="N337">
        <f>'T_TTAFStock'!L14</f>
        <v/>
      </c>
      <c r="O337">
        <f>'T_TTAFStock'!M14</f>
        <v/>
      </c>
      <c r="P337">
        <f>'T_TTAFStock'!N14</f>
        <v/>
      </c>
      <c r="Q337">
        <f>'T_TTAFStock'!O14</f>
        <v/>
      </c>
      <c r="R337">
        <f>'T_TTAFStock'!P14</f>
        <v/>
      </c>
      <c r="S337">
        <f>'T_TTAFStock'!Q14</f>
        <v/>
      </c>
      <c r="T337">
        <f>'T_TTAFStock'!R14</f>
        <v/>
      </c>
      <c r="U337">
        <f>'T_TTAFStock'!S14</f>
        <v/>
      </c>
      <c r="V337">
        <f>'T_TTAFStock'!T14</f>
        <v/>
      </c>
      <c r="W337">
        <f>'T_TTAFStock'!U14</f>
        <v/>
      </c>
      <c r="X337">
        <f>'T_TTAFStock'!V14</f>
        <v/>
      </c>
      <c r="Y337">
        <f>'T_TTAFStock'!W14</f>
        <v/>
      </c>
      <c r="Z337">
        <f>'T_TTAFStock'!X14</f>
        <v/>
      </c>
      <c r="AA337">
        <f>'T_TTAFStock'!Y14</f>
        <v/>
      </c>
      <c r="AB337">
        <f>'T_TTAFStock'!Z14</f>
        <v/>
      </c>
      <c r="AC337">
        <f>'T_TTAFStock'!AA14</f>
        <v/>
      </c>
      <c r="AD337">
        <f>'T_TTAFStock'!AB14</f>
        <v/>
      </c>
      <c r="AE337">
        <f>'T_TTAFStock'!AC14</f>
        <v/>
      </c>
      <c r="AF337">
        <f>'T_TTAFStock'!AD14</f>
        <v/>
      </c>
      <c r="AG337">
        <f>'T_TTAFStock'!AE14</f>
        <v/>
      </c>
      <c r="AH337">
        <f>'T_TTAFStock'!AF14</f>
        <v/>
      </c>
      <c r="AI337">
        <f>'T_TTAFStock'!AG14</f>
        <v/>
      </c>
      <c r="AJ337">
        <f>'T_TTAFStock'!AH14</f>
        <v/>
      </c>
      <c r="AK337">
        <f>'T_TTAFStock'!AI14</f>
        <v/>
      </c>
      <c r="AL337">
        <f>'T_TTAFStock'!AJ14</f>
        <v/>
      </c>
      <c r="AM337">
        <f>'T_TTAFStock'!AK14</f>
        <v/>
      </c>
      <c r="AN337">
        <f>'T_TTAFStock'!AL14</f>
        <v/>
      </c>
      <c r="AO337">
        <f>'T_TTAFStock'!AM14</f>
        <v/>
      </c>
      <c r="AP337">
        <f>'T_TTAFStock'!AN14</f>
        <v/>
      </c>
      <c r="AQ337">
        <f>'T_TTAFStock'!AO14</f>
        <v/>
      </c>
      <c r="AR337">
        <f>'T_TTAFStock'!AP14</f>
        <v/>
      </c>
      <c r="AS337">
        <f>'T_TTAFStock'!AQ14</f>
        <v/>
      </c>
      <c r="AT337">
        <f>'T_TTAFStock'!AR14</f>
        <v/>
      </c>
      <c r="AU337">
        <f>'T_TTAFStock'!AS14</f>
        <v/>
      </c>
      <c r="AV337">
        <f>'T_TTAFStock'!AT14</f>
        <v/>
      </c>
      <c r="AW337">
        <f>'T_TTAFStock'!AU14</f>
        <v/>
      </c>
      <c r="AX337">
        <f>'T_TTAFStock'!AV14</f>
        <v/>
      </c>
      <c r="AY337">
        <f>'T_TTAFStock'!AW14</f>
        <v/>
      </c>
      <c r="AZ337">
        <f>'T_TTAFStock'!AX14</f>
        <v/>
      </c>
      <c r="BA337">
        <f>'T_TTAFStock'!AY14</f>
        <v/>
      </c>
      <c r="BB337">
        <f>'T_TTAFStock'!AZ14</f>
        <v/>
      </c>
      <c r="BC337">
        <f>'T_TTAFStock'!BA14</f>
        <v/>
      </c>
      <c r="BD337">
        <f>'T_TTAFStock'!BB14</f>
        <v/>
      </c>
      <c r="BE337">
        <f>'T_TTAFStock'!BC14</f>
        <v/>
      </c>
      <c r="BF337">
        <f>'T_TTAFStock'!BD14</f>
        <v/>
      </c>
      <c r="BG337">
        <f>'T_TTAFStock'!BE14</f>
        <v/>
      </c>
      <c r="BH337">
        <f>'T_TTAFStock'!BF14</f>
        <v/>
      </c>
      <c r="BI337">
        <f>'T_TTAFStock'!BG14</f>
        <v/>
      </c>
      <c r="BJ337">
        <f>'T_TTAFStock'!BH14</f>
        <v/>
      </c>
      <c r="BK337">
        <f>'T_TTAFStock'!BI14</f>
        <v/>
      </c>
      <c r="BL337">
        <f>'T_TTAFStock'!BJ14</f>
        <v/>
      </c>
      <c r="BM337">
        <f>'T_TTAFStock'!BK14</f>
        <v/>
      </c>
      <c r="BN337">
        <f>'T_TTAFStock'!BL14</f>
        <v/>
      </c>
      <c r="BO337">
        <f>'T_TTAFStock'!BM14</f>
        <v/>
      </c>
      <c r="BP337">
        <f>'T_TTAFStock'!BN14</f>
        <v/>
      </c>
      <c r="BQ337">
        <f>'T_TTAFStock'!BO14</f>
        <v/>
      </c>
      <c r="BR337">
        <f>'T_TTAFStock'!BP14</f>
        <v/>
      </c>
      <c r="BS337">
        <f>'T_TTAFStock'!BQ14</f>
        <v/>
      </c>
      <c r="BT337">
        <f>'T_TTAFStock'!BR14</f>
        <v/>
      </c>
      <c r="BU337">
        <f>'T_TTAFStock'!BS14</f>
        <v/>
      </c>
      <c r="BV337">
        <f>'T_TTAFStock'!BT14</f>
        <v/>
      </c>
      <c r="BW337">
        <f>'T_TTAFStock'!BU14</f>
        <v/>
      </c>
      <c r="BX337">
        <f>'T_TTAFStock'!BV14</f>
        <v/>
      </c>
      <c r="BY337">
        <f>'T_TTAFStock'!BW14</f>
        <v/>
      </c>
      <c r="BZ337">
        <f>'T_TTAFStock'!BX14</f>
        <v/>
      </c>
      <c r="CA337">
        <f>'T_TTAFStock'!BY14</f>
        <v/>
      </c>
      <c r="CB337">
        <f>'T_TTAFStock'!BZ14</f>
        <v/>
      </c>
      <c r="CC337">
        <f>'T_TTAFStock'!CA14</f>
        <v/>
      </c>
      <c r="CD337">
        <f>'T_TTAFStock'!CB14</f>
        <v/>
      </c>
      <c r="CE337">
        <f>'T_TTAFStock'!CC14</f>
        <v/>
      </c>
      <c r="CF337">
        <f>'T_TTAFStock'!CD14</f>
        <v/>
      </c>
      <c r="CG337">
        <f>'T_TTAFStock'!CE14</f>
        <v/>
      </c>
      <c r="CH337">
        <f>'T_TTAFStock'!CF14</f>
        <v/>
      </c>
      <c r="CI337">
        <f>'T_TTAFStock'!CG14</f>
        <v/>
      </c>
      <c r="CJ337">
        <f>'T_TTAFStock'!CH14</f>
        <v/>
      </c>
      <c r="CK337">
        <f>'T_TTAFStock'!CI14</f>
        <v/>
      </c>
      <c r="CL337">
        <f>'T_TTAFStock'!CJ14</f>
        <v/>
      </c>
      <c r="CM337">
        <f>'T_TTAFStock'!CK14</f>
        <v/>
      </c>
      <c r="CN337">
        <f>'T_TTAFStock'!CL14</f>
        <v/>
      </c>
      <c r="CO337">
        <f>'T_TTAFStock'!CM14</f>
        <v/>
      </c>
      <c r="CP337">
        <f>'T_TTAFStock'!CN14</f>
        <v/>
      </c>
      <c r="CQ337">
        <f>'T_TTAFStock'!CO14</f>
        <v/>
      </c>
      <c r="CR337">
        <f>'T_TTAFStock'!CP14</f>
        <v/>
      </c>
      <c r="CS337">
        <f>'T_TTAFStock'!CQ14</f>
        <v/>
      </c>
      <c r="CT337">
        <f>'T_TTAFStock'!CR14</f>
        <v/>
      </c>
      <c r="CU337">
        <f>'T_TTAFStock'!CS14</f>
        <v/>
      </c>
      <c r="CV337">
        <f>'T_TTAFStock'!CT14</f>
        <v/>
      </c>
      <c r="CW337">
        <f>'T_TTAFStock'!CU14</f>
        <v/>
      </c>
      <c r="CX337">
        <f>'T_TTAFStock'!CV14</f>
        <v/>
      </c>
      <c r="CY337">
        <f>'T_TTAFStock'!CW14</f>
        <v/>
      </c>
      <c r="CZ337">
        <f>'T_TTAFStock'!CX14</f>
        <v/>
      </c>
      <c r="DA337">
        <f>'T_TTAFStock'!CY14</f>
        <v/>
      </c>
      <c r="DB337">
        <f>'T_TTAFStock'!CZ14</f>
        <v/>
      </c>
      <c r="DC337">
        <f>'T_TTAFStock'!DA14</f>
        <v/>
      </c>
    </row>
    <row r="338">
      <c r="B338" t="inlineStr">
        <is>
          <t>自社在庫(実績,kg)</t>
        </is>
      </c>
      <c r="D338">
        <f>'T_SelfStock'!B14</f>
        <v/>
      </c>
      <c r="E338">
        <f>'T_SelfStock'!C14</f>
        <v/>
      </c>
      <c r="F338">
        <f>'T_SelfStock'!D14</f>
        <v/>
      </c>
      <c r="G338">
        <f>'T_SelfStock'!E14</f>
        <v/>
      </c>
      <c r="H338">
        <f>'T_SelfStock'!F14</f>
        <v/>
      </c>
      <c r="I338">
        <f>'T_SelfStock'!G14</f>
        <v/>
      </c>
      <c r="J338">
        <f>'T_SelfStock'!H14</f>
        <v/>
      </c>
      <c r="K338">
        <f>'T_SelfStock'!I14</f>
        <v/>
      </c>
      <c r="L338">
        <f>'T_SelfStock'!J14</f>
        <v/>
      </c>
      <c r="M338">
        <f>'T_SelfStock'!K14</f>
        <v/>
      </c>
      <c r="N338">
        <f>'T_SelfStock'!L14</f>
        <v/>
      </c>
      <c r="O338">
        <f>'T_SelfStock'!M14</f>
        <v/>
      </c>
      <c r="P338">
        <f>'T_SelfStock'!N14</f>
        <v/>
      </c>
      <c r="Q338">
        <f>'T_SelfStock'!O14</f>
        <v/>
      </c>
      <c r="R338">
        <f>'T_SelfStock'!P14</f>
        <v/>
      </c>
      <c r="S338">
        <f>'T_SelfStock'!Q14</f>
        <v/>
      </c>
      <c r="T338">
        <f>'T_SelfStock'!R14</f>
        <v/>
      </c>
      <c r="U338">
        <f>'T_SelfStock'!S14</f>
        <v/>
      </c>
      <c r="V338">
        <f>'T_SelfStock'!T14</f>
        <v/>
      </c>
      <c r="W338">
        <f>'T_SelfStock'!U14</f>
        <v/>
      </c>
      <c r="X338">
        <f>'T_SelfStock'!V14</f>
        <v/>
      </c>
      <c r="Y338">
        <f>'T_SelfStock'!W14</f>
        <v/>
      </c>
      <c r="Z338">
        <f>'T_SelfStock'!X14</f>
        <v/>
      </c>
      <c r="AA338">
        <f>'T_SelfStock'!Y14</f>
        <v/>
      </c>
      <c r="AB338">
        <f>'T_SelfStock'!Z14</f>
        <v/>
      </c>
      <c r="AC338">
        <f>'T_SelfStock'!AA14</f>
        <v/>
      </c>
      <c r="AD338">
        <f>'T_SelfStock'!AB14</f>
        <v/>
      </c>
      <c r="AE338">
        <f>'T_SelfStock'!AC14</f>
        <v/>
      </c>
      <c r="AF338">
        <f>'T_SelfStock'!AD14</f>
        <v/>
      </c>
      <c r="AG338">
        <f>'T_SelfStock'!AE14</f>
        <v/>
      </c>
      <c r="AH338">
        <f>'T_SelfStock'!AF14</f>
        <v/>
      </c>
      <c r="AI338">
        <f>'T_SelfStock'!AG14</f>
        <v/>
      </c>
      <c r="AJ338">
        <f>'T_SelfStock'!AH14</f>
        <v/>
      </c>
      <c r="AK338">
        <f>'T_SelfStock'!AI14</f>
        <v/>
      </c>
      <c r="AL338">
        <f>'T_SelfStock'!AJ14</f>
        <v/>
      </c>
      <c r="AM338">
        <f>'T_SelfStock'!AK14</f>
        <v/>
      </c>
      <c r="AN338">
        <f>'T_SelfStock'!AL14</f>
        <v/>
      </c>
      <c r="AO338">
        <f>'T_SelfStock'!AM14</f>
        <v/>
      </c>
      <c r="AP338">
        <f>'T_SelfStock'!AN14</f>
        <v/>
      </c>
      <c r="AQ338">
        <f>'T_SelfStock'!AO14</f>
        <v/>
      </c>
      <c r="AR338">
        <f>'T_SelfStock'!AP14</f>
        <v/>
      </c>
      <c r="AS338">
        <f>'T_SelfStock'!AQ14</f>
        <v/>
      </c>
      <c r="AT338">
        <f>'T_SelfStock'!AR14</f>
        <v/>
      </c>
      <c r="AU338">
        <f>'T_SelfStock'!AS14</f>
        <v/>
      </c>
      <c r="AV338">
        <f>'T_SelfStock'!AT14</f>
        <v/>
      </c>
      <c r="AW338">
        <f>'T_SelfStock'!AU14</f>
        <v/>
      </c>
      <c r="AX338">
        <f>'T_SelfStock'!AV14</f>
        <v/>
      </c>
      <c r="AY338">
        <f>'T_SelfStock'!AW14</f>
        <v/>
      </c>
      <c r="AZ338">
        <f>'T_SelfStock'!AX14</f>
        <v/>
      </c>
      <c r="BA338">
        <f>'T_SelfStock'!AY14</f>
        <v/>
      </c>
      <c r="BB338">
        <f>'T_SelfStock'!AZ14</f>
        <v/>
      </c>
      <c r="BC338">
        <f>'T_SelfStock'!BA14</f>
        <v/>
      </c>
      <c r="BD338">
        <f>'T_SelfStock'!BB14</f>
        <v/>
      </c>
      <c r="BE338">
        <f>'T_SelfStock'!BC14</f>
        <v/>
      </c>
      <c r="BF338">
        <f>'T_SelfStock'!BD14</f>
        <v/>
      </c>
      <c r="BG338">
        <f>'T_SelfStock'!BE14</f>
        <v/>
      </c>
      <c r="BH338">
        <f>'T_SelfStock'!BF14</f>
        <v/>
      </c>
      <c r="BI338">
        <f>'T_SelfStock'!BG14</f>
        <v/>
      </c>
      <c r="BJ338">
        <f>'T_SelfStock'!BH14</f>
        <v/>
      </c>
      <c r="BK338">
        <f>'T_SelfStock'!BI14</f>
        <v/>
      </c>
      <c r="BL338">
        <f>'T_SelfStock'!BJ14</f>
        <v/>
      </c>
      <c r="BM338">
        <f>'T_SelfStock'!BK14</f>
        <v/>
      </c>
      <c r="BN338">
        <f>'T_SelfStock'!BL14</f>
        <v/>
      </c>
      <c r="BO338">
        <f>'T_SelfStock'!BM14</f>
        <v/>
      </c>
      <c r="BP338">
        <f>'T_SelfStock'!BN14</f>
        <v/>
      </c>
      <c r="BQ338">
        <f>'T_SelfStock'!BO14</f>
        <v/>
      </c>
      <c r="BR338">
        <f>'T_SelfStock'!BP14</f>
        <v/>
      </c>
      <c r="BS338">
        <f>'T_SelfStock'!BQ14</f>
        <v/>
      </c>
      <c r="BT338">
        <f>'T_SelfStock'!BR14</f>
        <v/>
      </c>
      <c r="BU338">
        <f>'T_SelfStock'!BS14</f>
        <v/>
      </c>
      <c r="BV338">
        <f>'T_SelfStock'!BT14</f>
        <v/>
      </c>
      <c r="BW338">
        <f>'T_SelfStock'!BU14</f>
        <v/>
      </c>
      <c r="BX338">
        <f>'T_SelfStock'!BV14</f>
        <v/>
      </c>
      <c r="BY338">
        <f>'T_SelfStock'!BW14</f>
        <v/>
      </c>
      <c r="BZ338">
        <f>'T_SelfStock'!BX14</f>
        <v/>
      </c>
      <c r="CA338">
        <f>'T_SelfStock'!BY14</f>
        <v/>
      </c>
      <c r="CB338">
        <f>'T_SelfStock'!BZ14</f>
        <v/>
      </c>
      <c r="CC338">
        <f>'T_SelfStock'!CA14</f>
        <v/>
      </c>
      <c r="CD338">
        <f>'T_SelfStock'!CB14</f>
        <v/>
      </c>
      <c r="CE338">
        <f>'T_SelfStock'!CC14</f>
        <v/>
      </c>
      <c r="CF338">
        <f>'T_SelfStock'!CD14</f>
        <v/>
      </c>
      <c r="CG338">
        <f>'T_SelfStock'!CE14</f>
        <v/>
      </c>
      <c r="CH338">
        <f>'T_SelfStock'!CF14</f>
        <v/>
      </c>
      <c r="CI338">
        <f>'T_SelfStock'!CG14</f>
        <v/>
      </c>
      <c r="CJ338">
        <f>'T_SelfStock'!CH14</f>
        <v/>
      </c>
      <c r="CK338">
        <f>'T_SelfStock'!CI14</f>
        <v/>
      </c>
      <c r="CL338">
        <f>'T_SelfStock'!CJ14</f>
        <v/>
      </c>
      <c r="CM338">
        <f>'T_SelfStock'!CK14</f>
        <v/>
      </c>
      <c r="CN338">
        <f>'T_SelfStock'!CL14</f>
        <v/>
      </c>
      <c r="CO338">
        <f>'T_SelfStock'!CM14</f>
        <v/>
      </c>
      <c r="CP338">
        <f>'T_SelfStock'!CN14</f>
        <v/>
      </c>
      <c r="CQ338">
        <f>'T_SelfStock'!CO14</f>
        <v/>
      </c>
      <c r="CR338">
        <f>'T_SelfStock'!CP14</f>
        <v/>
      </c>
      <c r="CS338">
        <f>'T_SelfStock'!CQ14</f>
        <v/>
      </c>
      <c r="CT338">
        <f>'T_SelfStock'!CR14</f>
        <v/>
      </c>
      <c r="CU338">
        <f>'T_SelfStock'!CS14</f>
        <v/>
      </c>
      <c r="CV338">
        <f>'T_SelfStock'!CT14</f>
        <v/>
      </c>
      <c r="CW338">
        <f>'T_SelfStock'!CU14</f>
        <v/>
      </c>
      <c r="CX338">
        <f>'T_SelfStock'!CV14</f>
        <v/>
      </c>
      <c r="CY338">
        <f>'T_SelfStock'!CW14</f>
        <v/>
      </c>
      <c r="CZ338">
        <f>'T_SelfStock'!CX14</f>
        <v/>
      </c>
      <c r="DA338">
        <f>'T_SelfStock'!CY14</f>
        <v/>
      </c>
      <c r="DB338">
        <f>'T_SelfStock'!CZ14</f>
        <v/>
      </c>
      <c r="DC338">
        <f>'T_SelfStock'!DA14</f>
        <v/>
      </c>
    </row>
    <row r="339">
      <c r="B339" t="inlineStr">
        <is>
          <t>Order(発注予定,kg)</t>
        </is>
      </c>
      <c r="D339">
        <f>IF(SUMIFS(T_PlannedOrders[EffectiveQty],T_PlannedOrders[Part Name],$A221,T_PlannedOrders[WeekIndex],1)=0,"",SUMIFS(T_PlannedOrders[EffectiveQty],T_PlannedOrders[Part Name],$A221,T_PlannedOrders[WeekIndex],1)&amp;" ("&amp;TEXT(SUMPRODUCT(MAX((T_PlannedOrders[Part Name]=$A221)*(T_PlannedOrders[WeekIndex]=1)*(T_PlannedOrders[EffectiveQty]&gt;0)*T_PlannedOrders[Order_Month])),"m月")&amp;"発注)")</f>
        <v/>
      </c>
      <c r="E339">
        <f>IF(SUMIFS(T_PlannedOrders[EffectiveQty],T_PlannedOrders[Part Name],$A221,T_PlannedOrders[WeekIndex],2)=0,"",SUMIFS(T_PlannedOrders[EffectiveQty],T_PlannedOrders[Part Name],$A221,T_PlannedOrders[WeekIndex],2)&amp;" ("&amp;TEXT(SUMPRODUCT(MAX((T_PlannedOrders[Part Name]=$A221)*(T_PlannedOrders[WeekIndex]=2)*(T_PlannedOrders[EffectiveQty]&gt;0)*T_PlannedOrders[Order_Month])),"m月")&amp;"発注)")</f>
        <v/>
      </c>
      <c r="F339">
        <f>IF(SUMIFS(T_PlannedOrders[EffectiveQty],T_PlannedOrders[Part Name],$A221,T_PlannedOrders[WeekIndex],3)=0,"",SUMIFS(T_PlannedOrders[EffectiveQty],T_PlannedOrders[Part Name],$A221,T_PlannedOrders[WeekIndex],3)&amp;" ("&amp;TEXT(SUMPRODUCT(MAX((T_PlannedOrders[Part Name]=$A221)*(T_PlannedOrders[WeekIndex]=3)*(T_PlannedOrders[EffectiveQty]&gt;0)*T_PlannedOrders[Order_Month])),"m月")&amp;"発注)")</f>
        <v/>
      </c>
      <c r="G339">
        <f>IF(SUMIFS(T_PlannedOrders[EffectiveQty],T_PlannedOrders[Part Name],$A221,T_PlannedOrders[WeekIndex],4)=0,"",SUMIFS(T_PlannedOrders[EffectiveQty],T_PlannedOrders[Part Name],$A221,T_PlannedOrders[WeekIndex],4)&amp;" ("&amp;TEXT(SUMPRODUCT(MAX((T_PlannedOrders[Part Name]=$A221)*(T_PlannedOrders[WeekIndex]=4)*(T_PlannedOrders[EffectiveQty]&gt;0)*T_PlannedOrders[Order_Month])),"m月")&amp;"発注)")</f>
        <v/>
      </c>
      <c r="H339">
        <f>IF(SUMIFS(T_PlannedOrders[EffectiveQty],T_PlannedOrders[Part Name],$A221,T_PlannedOrders[WeekIndex],5)=0,"",SUMIFS(T_PlannedOrders[EffectiveQty],T_PlannedOrders[Part Name],$A221,T_PlannedOrders[WeekIndex],5)&amp;" ("&amp;TEXT(SUMPRODUCT(MAX((T_PlannedOrders[Part Name]=$A221)*(T_PlannedOrders[WeekIndex]=5)*(T_PlannedOrders[EffectiveQty]&gt;0)*T_PlannedOrders[Order_Month])),"m月")&amp;"発注)")</f>
        <v/>
      </c>
      <c r="I339">
        <f>IF(SUMIFS(T_PlannedOrders[EffectiveQty],T_PlannedOrders[Part Name],$A221,T_PlannedOrders[WeekIndex],6)=0,"",SUMIFS(T_PlannedOrders[EffectiveQty],T_PlannedOrders[Part Name],$A221,T_PlannedOrders[WeekIndex],6)&amp;" ("&amp;TEXT(SUMPRODUCT(MAX((T_PlannedOrders[Part Name]=$A221)*(T_PlannedOrders[WeekIndex]=6)*(T_PlannedOrders[EffectiveQty]&gt;0)*T_PlannedOrders[Order_Month])),"m月")&amp;"発注)")</f>
        <v/>
      </c>
      <c r="J339">
        <f>IF(SUMIFS(T_PlannedOrders[EffectiveQty],T_PlannedOrders[Part Name],$A221,T_PlannedOrders[WeekIndex],7)=0,"",SUMIFS(T_PlannedOrders[EffectiveQty],T_PlannedOrders[Part Name],$A221,T_PlannedOrders[WeekIndex],7)&amp;" ("&amp;TEXT(SUMPRODUCT(MAX((T_PlannedOrders[Part Name]=$A221)*(T_PlannedOrders[WeekIndex]=7)*(T_PlannedOrders[EffectiveQty]&gt;0)*T_PlannedOrders[Order_Month])),"m月")&amp;"発注)")</f>
        <v/>
      </c>
      <c r="K339">
        <f>IF(SUMIFS(T_PlannedOrders[EffectiveQty],T_PlannedOrders[Part Name],$A221,T_PlannedOrders[WeekIndex],8)=0,"",SUMIFS(T_PlannedOrders[EffectiveQty],T_PlannedOrders[Part Name],$A221,T_PlannedOrders[WeekIndex],8)&amp;" ("&amp;TEXT(SUMPRODUCT(MAX((T_PlannedOrders[Part Name]=$A221)*(T_PlannedOrders[WeekIndex]=8)*(T_PlannedOrders[EffectiveQty]&gt;0)*T_PlannedOrders[Order_Month])),"m月")&amp;"発注)")</f>
        <v/>
      </c>
      <c r="L339">
        <f>IF(SUMIFS(T_PlannedOrders[EffectiveQty],T_PlannedOrders[Part Name],$A221,T_PlannedOrders[WeekIndex],9)=0,"",SUMIFS(T_PlannedOrders[EffectiveQty],T_PlannedOrders[Part Name],$A221,T_PlannedOrders[WeekIndex],9)&amp;" ("&amp;TEXT(SUMPRODUCT(MAX((T_PlannedOrders[Part Name]=$A221)*(T_PlannedOrders[WeekIndex]=9)*(T_PlannedOrders[EffectiveQty]&gt;0)*T_PlannedOrders[Order_Month])),"m月")&amp;"発注)")</f>
        <v/>
      </c>
      <c r="M339">
        <f>IF(SUMIFS(T_PlannedOrders[EffectiveQty],T_PlannedOrders[Part Name],$A221,T_PlannedOrders[WeekIndex],10)=0,"",SUMIFS(T_PlannedOrders[EffectiveQty],T_PlannedOrders[Part Name],$A221,T_PlannedOrders[WeekIndex],10)&amp;" ("&amp;TEXT(SUMPRODUCT(MAX((T_PlannedOrders[Part Name]=$A221)*(T_PlannedOrders[WeekIndex]=10)*(T_PlannedOrders[EffectiveQty]&gt;0)*T_PlannedOrders[Order_Month])),"m月")&amp;"発注)")</f>
        <v/>
      </c>
      <c r="N339">
        <f>IF(SUMIFS(T_PlannedOrders[EffectiveQty],T_PlannedOrders[Part Name],$A221,T_PlannedOrders[WeekIndex],11)=0,"",SUMIFS(T_PlannedOrders[EffectiveQty],T_PlannedOrders[Part Name],$A221,T_PlannedOrders[WeekIndex],11)&amp;" ("&amp;TEXT(SUMPRODUCT(MAX((T_PlannedOrders[Part Name]=$A221)*(T_PlannedOrders[WeekIndex]=11)*(T_PlannedOrders[EffectiveQty]&gt;0)*T_PlannedOrders[Order_Month])),"m月")&amp;"発注)")</f>
        <v/>
      </c>
      <c r="O339">
        <f>IF(SUMIFS(T_PlannedOrders[EffectiveQty],T_PlannedOrders[Part Name],$A221,T_PlannedOrders[WeekIndex],12)=0,"",SUMIFS(T_PlannedOrders[EffectiveQty],T_PlannedOrders[Part Name],$A221,T_PlannedOrders[WeekIndex],12)&amp;" ("&amp;TEXT(SUMPRODUCT(MAX((T_PlannedOrders[Part Name]=$A221)*(T_PlannedOrders[WeekIndex]=12)*(T_PlannedOrders[EffectiveQty]&gt;0)*T_PlannedOrders[Order_Month])),"m月")&amp;"発注)")</f>
        <v/>
      </c>
      <c r="P339">
        <f>IF(SUMIFS(T_PlannedOrders[EffectiveQty],T_PlannedOrders[Part Name],$A221,T_PlannedOrders[WeekIndex],13)=0,"",SUMIFS(T_PlannedOrders[EffectiveQty],T_PlannedOrders[Part Name],$A221,T_PlannedOrders[WeekIndex],13)&amp;" ("&amp;TEXT(SUMPRODUCT(MAX((T_PlannedOrders[Part Name]=$A221)*(T_PlannedOrders[WeekIndex]=13)*(T_PlannedOrders[EffectiveQty]&gt;0)*T_PlannedOrders[Order_Month])),"m月")&amp;"発注)")</f>
        <v/>
      </c>
      <c r="Q339">
        <f>IF(SUMIFS(T_PlannedOrders[EffectiveQty],T_PlannedOrders[Part Name],$A221,T_PlannedOrders[WeekIndex],14)=0,"",SUMIFS(T_PlannedOrders[EffectiveQty],T_PlannedOrders[Part Name],$A221,T_PlannedOrders[WeekIndex],14)&amp;" ("&amp;TEXT(SUMPRODUCT(MAX((T_PlannedOrders[Part Name]=$A221)*(T_PlannedOrders[WeekIndex]=14)*(T_PlannedOrders[EffectiveQty]&gt;0)*T_PlannedOrders[Order_Month])),"m月")&amp;"発注)")</f>
        <v/>
      </c>
      <c r="R339">
        <f>IF(SUMIFS(T_PlannedOrders[EffectiveQty],T_PlannedOrders[Part Name],$A221,T_PlannedOrders[WeekIndex],15)=0,"",SUMIFS(T_PlannedOrders[EffectiveQty],T_PlannedOrders[Part Name],$A221,T_PlannedOrders[WeekIndex],15)&amp;" ("&amp;TEXT(SUMPRODUCT(MAX((T_PlannedOrders[Part Name]=$A221)*(T_PlannedOrders[WeekIndex]=15)*(T_PlannedOrders[EffectiveQty]&gt;0)*T_PlannedOrders[Order_Month])),"m月")&amp;"発注)")</f>
        <v/>
      </c>
      <c r="S339">
        <f>IF(SUMIFS(T_PlannedOrders[EffectiveQty],T_PlannedOrders[Part Name],$A221,T_PlannedOrders[WeekIndex],16)=0,"",SUMIFS(T_PlannedOrders[EffectiveQty],T_PlannedOrders[Part Name],$A221,T_PlannedOrders[WeekIndex],16)&amp;" ("&amp;TEXT(SUMPRODUCT(MAX((T_PlannedOrders[Part Name]=$A221)*(T_PlannedOrders[WeekIndex]=16)*(T_PlannedOrders[EffectiveQty]&gt;0)*T_PlannedOrders[Order_Month])),"m月")&amp;"発注)")</f>
        <v/>
      </c>
      <c r="T339">
        <f>IF(SUMIFS(T_PlannedOrders[EffectiveQty],T_PlannedOrders[Part Name],$A221,T_PlannedOrders[WeekIndex],17)=0,"",SUMIFS(T_PlannedOrders[EffectiveQty],T_PlannedOrders[Part Name],$A221,T_PlannedOrders[WeekIndex],17)&amp;" ("&amp;TEXT(SUMPRODUCT(MAX((T_PlannedOrders[Part Name]=$A221)*(T_PlannedOrders[WeekIndex]=17)*(T_PlannedOrders[EffectiveQty]&gt;0)*T_PlannedOrders[Order_Month])),"m月")&amp;"発注)")</f>
        <v/>
      </c>
      <c r="U339">
        <f>IF(SUMIFS(T_PlannedOrders[EffectiveQty],T_PlannedOrders[Part Name],$A221,T_PlannedOrders[WeekIndex],18)=0,"",SUMIFS(T_PlannedOrders[EffectiveQty],T_PlannedOrders[Part Name],$A221,T_PlannedOrders[WeekIndex],18)&amp;" ("&amp;TEXT(SUMPRODUCT(MAX((T_PlannedOrders[Part Name]=$A221)*(T_PlannedOrders[WeekIndex]=18)*(T_PlannedOrders[EffectiveQty]&gt;0)*T_PlannedOrders[Order_Month])),"m月")&amp;"発注)")</f>
        <v/>
      </c>
      <c r="V339">
        <f>IF(SUMIFS(T_PlannedOrders[EffectiveQty],T_PlannedOrders[Part Name],$A221,T_PlannedOrders[WeekIndex],19)=0,"",SUMIFS(T_PlannedOrders[EffectiveQty],T_PlannedOrders[Part Name],$A221,T_PlannedOrders[WeekIndex],19)&amp;" ("&amp;TEXT(SUMPRODUCT(MAX((T_PlannedOrders[Part Name]=$A221)*(T_PlannedOrders[WeekIndex]=19)*(T_PlannedOrders[EffectiveQty]&gt;0)*T_PlannedOrders[Order_Month])),"m月")&amp;"発注)")</f>
        <v/>
      </c>
      <c r="W339">
        <f>IF(SUMIFS(T_PlannedOrders[EffectiveQty],T_PlannedOrders[Part Name],$A221,T_PlannedOrders[WeekIndex],20)=0,"",SUMIFS(T_PlannedOrders[EffectiveQty],T_PlannedOrders[Part Name],$A221,T_PlannedOrders[WeekIndex],20)&amp;" ("&amp;TEXT(SUMPRODUCT(MAX((T_PlannedOrders[Part Name]=$A221)*(T_PlannedOrders[WeekIndex]=20)*(T_PlannedOrders[EffectiveQty]&gt;0)*T_PlannedOrders[Order_Month])),"m月")&amp;"発注)")</f>
        <v/>
      </c>
      <c r="X339">
        <f>IF(SUMIFS(T_PlannedOrders[EffectiveQty],T_PlannedOrders[Part Name],$A221,T_PlannedOrders[WeekIndex],21)=0,"",SUMIFS(T_PlannedOrders[EffectiveQty],T_PlannedOrders[Part Name],$A221,T_PlannedOrders[WeekIndex],21)&amp;" ("&amp;TEXT(SUMPRODUCT(MAX((T_PlannedOrders[Part Name]=$A221)*(T_PlannedOrders[WeekIndex]=21)*(T_PlannedOrders[EffectiveQty]&gt;0)*T_PlannedOrders[Order_Month])),"m月")&amp;"発注)")</f>
        <v/>
      </c>
      <c r="Y339">
        <f>IF(SUMIFS(T_PlannedOrders[EffectiveQty],T_PlannedOrders[Part Name],$A221,T_PlannedOrders[WeekIndex],22)=0,"",SUMIFS(T_PlannedOrders[EffectiveQty],T_PlannedOrders[Part Name],$A221,T_PlannedOrders[WeekIndex],22)&amp;" ("&amp;TEXT(SUMPRODUCT(MAX((T_PlannedOrders[Part Name]=$A221)*(T_PlannedOrders[WeekIndex]=22)*(T_PlannedOrders[EffectiveQty]&gt;0)*T_PlannedOrders[Order_Month])),"m月")&amp;"発注)")</f>
        <v/>
      </c>
      <c r="Z339">
        <f>IF(SUMIFS(T_PlannedOrders[EffectiveQty],T_PlannedOrders[Part Name],$A221,T_PlannedOrders[WeekIndex],23)=0,"",SUMIFS(T_PlannedOrders[EffectiveQty],T_PlannedOrders[Part Name],$A221,T_PlannedOrders[WeekIndex],23)&amp;" ("&amp;TEXT(SUMPRODUCT(MAX((T_PlannedOrders[Part Name]=$A221)*(T_PlannedOrders[WeekIndex]=23)*(T_PlannedOrders[EffectiveQty]&gt;0)*T_PlannedOrders[Order_Month])),"m月")&amp;"発注)")</f>
        <v/>
      </c>
      <c r="AA339">
        <f>IF(SUMIFS(T_PlannedOrders[EffectiveQty],T_PlannedOrders[Part Name],$A221,T_PlannedOrders[WeekIndex],24)=0,"",SUMIFS(T_PlannedOrders[EffectiveQty],T_PlannedOrders[Part Name],$A221,T_PlannedOrders[WeekIndex],24)&amp;" ("&amp;TEXT(SUMPRODUCT(MAX((T_PlannedOrders[Part Name]=$A221)*(T_PlannedOrders[WeekIndex]=24)*(T_PlannedOrders[EffectiveQty]&gt;0)*T_PlannedOrders[Order_Month])),"m月")&amp;"発注)")</f>
        <v/>
      </c>
      <c r="AB339">
        <f>IF(SUMIFS(T_PlannedOrders[EffectiveQty],T_PlannedOrders[Part Name],$A221,T_PlannedOrders[WeekIndex],25)=0,"",SUMIFS(T_PlannedOrders[EffectiveQty],T_PlannedOrders[Part Name],$A221,T_PlannedOrders[WeekIndex],25)&amp;" ("&amp;TEXT(SUMPRODUCT(MAX((T_PlannedOrders[Part Name]=$A221)*(T_PlannedOrders[WeekIndex]=25)*(T_PlannedOrders[EffectiveQty]&gt;0)*T_PlannedOrders[Order_Month])),"m月")&amp;"発注)")</f>
        <v/>
      </c>
      <c r="AC339">
        <f>IF(SUMIFS(T_PlannedOrders[EffectiveQty],T_PlannedOrders[Part Name],$A221,T_PlannedOrders[WeekIndex],26)=0,"",SUMIFS(T_PlannedOrders[EffectiveQty],T_PlannedOrders[Part Name],$A221,T_PlannedOrders[WeekIndex],26)&amp;" ("&amp;TEXT(SUMPRODUCT(MAX((T_PlannedOrders[Part Name]=$A221)*(T_PlannedOrders[WeekIndex]=26)*(T_PlannedOrders[EffectiveQty]&gt;0)*T_PlannedOrders[Order_Month])),"m月")&amp;"発注)")</f>
        <v/>
      </c>
      <c r="AD339">
        <f>IF(SUMIFS(T_PlannedOrders[EffectiveQty],T_PlannedOrders[Part Name],$A221,T_PlannedOrders[WeekIndex],27)=0,"",SUMIFS(T_PlannedOrders[EffectiveQty],T_PlannedOrders[Part Name],$A221,T_PlannedOrders[WeekIndex],27)&amp;" ("&amp;TEXT(SUMPRODUCT(MAX((T_PlannedOrders[Part Name]=$A221)*(T_PlannedOrders[WeekIndex]=27)*(T_PlannedOrders[EffectiveQty]&gt;0)*T_PlannedOrders[Order_Month])),"m月")&amp;"発注)")</f>
        <v/>
      </c>
      <c r="AE339">
        <f>IF(SUMIFS(T_PlannedOrders[EffectiveQty],T_PlannedOrders[Part Name],$A221,T_PlannedOrders[WeekIndex],28)=0,"",SUMIFS(T_PlannedOrders[EffectiveQty],T_PlannedOrders[Part Name],$A221,T_PlannedOrders[WeekIndex],28)&amp;" ("&amp;TEXT(SUMPRODUCT(MAX((T_PlannedOrders[Part Name]=$A221)*(T_PlannedOrders[WeekIndex]=28)*(T_PlannedOrders[EffectiveQty]&gt;0)*T_PlannedOrders[Order_Month])),"m月")&amp;"発注)")</f>
        <v/>
      </c>
      <c r="AF339">
        <f>IF(SUMIFS(T_PlannedOrders[EffectiveQty],T_PlannedOrders[Part Name],$A221,T_PlannedOrders[WeekIndex],29)=0,"",SUMIFS(T_PlannedOrders[EffectiveQty],T_PlannedOrders[Part Name],$A221,T_PlannedOrders[WeekIndex],29)&amp;" ("&amp;TEXT(SUMPRODUCT(MAX((T_PlannedOrders[Part Name]=$A221)*(T_PlannedOrders[WeekIndex]=29)*(T_PlannedOrders[EffectiveQty]&gt;0)*T_PlannedOrders[Order_Month])),"m月")&amp;"発注)")</f>
        <v/>
      </c>
      <c r="AG339">
        <f>IF(SUMIFS(T_PlannedOrders[EffectiveQty],T_PlannedOrders[Part Name],$A221,T_PlannedOrders[WeekIndex],30)=0,"",SUMIFS(T_PlannedOrders[EffectiveQty],T_PlannedOrders[Part Name],$A221,T_PlannedOrders[WeekIndex],30)&amp;" ("&amp;TEXT(SUMPRODUCT(MAX((T_PlannedOrders[Part Name]=$A221)*(T_PlannedOrders[WeekIndex]=30)*(T_PlannedOrders[EffectiveQty]&gt;0)*T_PlannedOrders[Order_Month])),"m月")&amp;"発注)")</f>
        <v/>
      </c>
      <c r="AH339">
        <f>IF(SUMIFS(T_PlannedOrders[EffectiveQty],T_PlannedOrders[Part Name],$A221,T_PlannedOrders[WeekIndex],31)=0,"",SUMIFS(T_PlannedOrders[EffectiveQty],T_PlannedOrders[Part Name],$A221,T_PlannedOrders[WeekIndex],31)&amp;" ("&amp;TEXT(SUMPRODUCT(MAX((T_PlannedOrders[Part Name]=$A221)*(T_PlannedOrders[WeekIndex]=31)*(T_PlannedOrders[EffectiveQty]&gt;0)*T_PlannedOrders[Order_Month])),"m月")&amp;"発注)")</f>
        <v/>
      </c>
      <c r="AI339">
        <f>IF(SUMIFS(T_PlannedOrders[EffectiveQty],T_PlannedOrders[Part Name],$A221,T_PlannedOrders[WeekIndex],32)=0,"",SUMIFS(T_PlannedOrders[EffectiveQty],T_PlannedOrders[Part Name],$A221,T_PlannedOrders[WeekIndex],32)&amp;" ("&amp;TEXT(SUMPRODUCT(MAX((T_PlannedOrders[Part Name]=$A221)*(T_PlannedOrders[WeekIndex]=32)*(T_PlannedOrders[EffectiveQty]&gt;0)*T_PlannedOrders[Order_Month])),"m月")&amp;"発注)")</f>
        <v/>
      </c>
      <c r="AJ339">
        <f>IF(SUMIFS(T_PlannedOrders[EffectiveQty],T_PlannedOrders[Part Name],$A221,T_PlannedOrders[WeekIndex],33)=0,"",SUMIFS(T_PlannedOrders[EffectiveQty],T_PlannedOrders[Part Name],$A221,T_PlannedOrders[WeekIndex],33)&amp;" ("&amp;TEXT(SUMPRODUCT(MAX((T_PlannedOrders[Part Name]=$A221)*(T_PlannedOrders[WeekIndex]=33)*(T_PlannedOrders[EffectiveQty]&gt;0)*T_PlannedOrders[Order_Month])),"m月")&amp;"発注)")</f>
        <v/>
      </c>
      <c r="AK339">
        <f>IF(SUMIFS(T_PlannedOrders[EffectiveQty],T_PlannedOrders[Part Name],$A221,T_PlannedOrders[WeekIndex],34)=0,"",SUMIFS(T_PlannedOrders[EffectiveQty],T_PlannedOrders[Part Name],$A221,T_PlannedOrders[WeekIndex],34)&amp;" ("&amp;TEXT(SUMPRODUCT(MAX((T_PlannedOrders[Part Name]=$A221)*(T_PlannedOrders[WeekIndex]=34)*(T_PlannedOrders[EffectiveQty]&gt;0)*T_PlannedOrders[Order_Month])),"m月")&amp;"発注)")</f>
        <v/>
      </c>
      <c r="AL339">
        <f>IF(SUMIFS(T_PlannedOrders[EffectiveQty],T_PlannedOrders[Part Name],$A221,T_PlannedOrders[WeekIndex],35)=0,"",SUMIFS(T_PlannedOrders[EffectiveQty],T_PlannedOrders[Part Name],$A221,T_PlannedOrders[WeekIndex],35)&amp;" ("&amp;TEXT(SUMPRODUCT(MAX((T_PlannedOrders[Part Name]=$A221)*(T_PlannedOrders[WeekIndex]=35)*(T_PlannedOrders[EffectiveQty]&gt;0)*T_PlannedOrders[Order_Month])),"m月")&amp;"発注)")</f>
        <v/>
      </c>
      <c r="AM339">
        <f>IF(SUMIFS(T_PlannedOrders[EffectiveQty],T_PlannedOrders[Part Name],$A221,T_PlannedOrders[WeekIndex],36)=0,"",SUMIFS(T_PlannedOrders[EffectiveQty],T_PlannedOrders[Part Name],$A221,T_PlannedOrders[WeekIndex],36)&amp;" ("&amp;TEXT(SUMPRODUCT(MAX((T_PlannedOrders[Part Name]=$A221)*(T_PlannedOrders[WeekIndex]=36)*(T_PlannedOrders[EffectiveQty]&gt;0)*T_PlannedOrders[Order_Month])),"m月")&amp;"発注)")</f>
        <v/>
      </c>
      <c r="AN339">
        <f>IF(SUMIFS(T_PlannedOrders[EffectiveQty],T_PlannedOrders[Part Name],$A221,T_PlannedOrders[WeekIndex],37)=0,"",SUMIFS(T_PlannedOrders[EffectiveQty],T_PlannedOrders[Part Name],$A221,T_PlannedOrders[WeekIndex],37)&amp;" ("&amp;TEXT(SUMPRODUCT(MAX((T_PlannedOrders[Part Name]=$A221)*(T_PlannedOrders[WeekIndex]=37)*(T_PlannedOrders[EffectiveQty]&gt;0)*T_PlannedOrders[Order_Month])),"m月")&amp;"発注)")</f>
        <v/>
      </c>
      <c r="AO339">
        <f>IF(SUMIFS(T_PlannedOrders[EffectiveQty],T_PlannedOrders[Part Name],$A221,T_PlannedOrders[WeekIndex],38)=0,"",SUMIFS(T_PlannedOrders[EffectiveQty],T_PlannedOrders[Part Name],$A221,T_PlannedOrders[WeekIndex],38)&amp;" ("&amp;TEXT(SUMPRODUCT(MAX((T_PlannedOrders[Part Name]=$A221)*(T_PlannedOrders[WeekIndex]=38)*(T_PlannedOrders[EffectiveQty]&gt;0)*T_PlannedOrders[Order_Month])),"m月")&amp;"発注)")</f>
        <v/>
      </c>
      <c r="AP339">
        <f>IF(SUMIFS(T_PlannedOrders[EffectiveQty],T_PlannedOrders[Part Name],$A221,T_PlannedOrders[WeekIndex],39)=0,"",SUMIFS(T_PlannedOrders[EffectiveQty],T_PlannedOrders[Part Name],$A221,T_PlannedOrders[WeekIndex],39)&amp;" ("&amp;TEXT(SUMPRODUCT(MAX((T_PlannedOrders[Part Name]=$A221)*(T_PlannedOrders[WeekIndex]=39)*(T_PlannedOrders[EffectiveQty]&gt;0)*T_PlannedOrders[Order_Month])),"m月")&amp;"発注)")</f>
        <v/>
      </c>
      <c r="AQ339">
        <f>IF(SUMIFS(T_PlannedOrders[EffectiveQty],T_PlannedOrders[Part Name],$A221,T_PlannedOrders[WeekIndex],40)=0,"",SUMIFS(T_PlannedOrders[EffectiveQty],T_PlannedOrders[Part Name],$A221,T_PlannedOrders[WeekIndex],40)&amp;" ("&amp;TEXT(SUMPRODUCT(MAX((T_PlannedOrders[Part Name]=$A221)*(T_PlannedOrders[WeekIndex]=40)*(T_PlannedOrders[EffectiveQty]&gt;0)*T_PlannedOrders[Order_Month])),"m月")&amp;"発注)")</f>
        <v/>
      </c>
      <c r="AR339">
        <f>IF(SUMIFS(T_PlannedOrders[EffectiveQty],T_PlannedOrders[Part Name],$A221,T_PlannedOrders[WeekIndex],41)=0,"",SUMIFS(T_PlannedOrders[EffectiveQty],T_PlannedOrders[Part Name],$A221,T_PlannedOrders[WeekIndex],41)&amp;" ("&amp;TEXT(SUMPRODUCT(MAX((T_PlannedOrders[Part Name]=$A221)*(T_PlannedOrders[WeekIndex]=41)*(T_PlannedOrders[EffectiveQty]&gt;0)*T_PlannedOrders[Order_Month])),"m月")&amp;"発注)")</f>
        <v/>
      </c>
      <c r="AS339">
        <f>IF(SUMIFS(T_PlannedOrders[EffectiveQty],T_PlannedOrders[Part Name],$A221,T_PlannedOrders[WeekIndex],42)=0,"",SUMIFS(T_PlannedOrders[EffectiveQty],T_PlannedOrders[Part Name],$A221,T_PlannedOrders[WeekIndex],42)&amp;" ("&amp;TEXT(SUMPRODUCT(MAX((T_PlannedOrders[Part Name]=$A221)*(T_PlannedOrders[WeekIndex]=42)*(T_PlannedOrders[EffectiveQty]&gt;0)*T_PlannedOrders[Order_Month])),"m月")&amp;"発注)")</f>
        <v/>
      </c>
      <c r="AT339">
        <f>IF(SUMIFS(T_PlannedOrders[EffectiveQty],T_PlannedOrders[Part Name],$A221,T_PlannedOrders[WeekIndex],43)=0,"",SUMIFS(T_PlannedOrders[EffectiveQty],T_PlannedOrders[Part Name],$A221,T_PlannedOrders[WeekIndex],43)&amp;" ("&amp;TEXT(SUMPRODUCT(MAX((T_PlannedOrders[Part Name]=$A221)*(T_PlannedOrders[WeekIndex]=43)*(T_PlannedOrders[EffectiveQty]&gt;0)*T_PlannedOrders[Order_Month])),"m月")&amp;"発注)")</f>
        <v/>
      </c>
      <c r="AU339">
        <f>IF(SUMIFS(T_PlannedOrders[EffectiveQty],T_PlannedOrders[Part Name],$A221,T_PlannedOrders[WeekIndex],44)=0,"",SUMIFS(T_PlannedOrders[EffectiveQty],T_PlannedOrders[Part Name],$A221,T_PlannedOrders[WeekIndex],44)&amp;" ("&amp;TEXT(SUMPRODUCT(MAX((T_PlannedOrders[Part Name]=$A221)*(T_PlannedOrders[WeekIndex]=44)*(T_PlannedOrders[EffectiveQty]&gt;0)*T_PlannedOrders[Order_Month])),"m月")&amp;"発注)")</f>
        <v/>
      </c>
      <c r="AV339">
        <f>IF(SUMIFS(T_PlannedOrders[EffectiveQty],T_PlannedOrders[Part Name],$A221,T_PlannedOrders[WeekIndex],45)=0,"",SUMIFS(T_PlannedOrders[EffectiveQty],T_PlannedOrders[Part Name],$A221,T_PlannedOrders[WeekIndex],45)&amp;" ("&amp;TEXT(SUMPRODUCT(MAX((T_PlannedOrders[Part Name]=$A221)*(T_PlannedOrders[WeekIndex]=45)*(T_PlannedOrders[EffectiveQty]&gt;0)*T_PlannedOrders[Order_Month])),"m月")&amp;"発注)")</f>
        <v/>
      </c>
      <c r="AW339">
        <f>IF(SUMIFS(T_PlannedOrders[EffectiveQty],T_PlannedOrders[Part Name],$A221,T_PlannedOrders[WeekIndex],46)=0,"",SUMIFS(T_PlannedOrders[EffectiveQty],T_PlannedOrders[Part Name],$A221,T_PlannedOrders[WeekIndex],46)&amp;" ("&amp;TEXT(SUMPRODUCT(MAX((T_PlannedOrders[Part Name]=$A221)*(T_PlannedOrders[WeekIndex]=46)*(T_PlannedOrders[EffectiveQty]&gt;0)*T_PlannedOrders[Order_Month])),"m月")&amp;"発注)")</f>
        <v/>
      </c>
      <c r="AX339">
        <f>IF(SUMIFS(T_PlannedOrders[EffectiveQty],T_PlannedOrders[Part Name],$A221,T_PlannedOrders[WeekIndex],47)=0,"",SUMIFS(T_PlannedOrders[EffectiveQty],T_PlannedOrders[Part Name],$A221,T_PlannedOrders[WeekIndex],47)&amp;" ("&amp;TEXT(SUMPRODUCT(MAX((T_PlannedOrders[Part Name]=$A221)*(T_PlannedOrders[WeekIndex]=47)*(T_PlannedOrders[EffectiveQty]&gt;0)*T_PlannedOrders[Order_Month])),"m月")&amp;"発注)")</f>
        <v/>
      </c>
      <c r="AY339">
        <f>IF(SUMIFS(T_PlannedOrders[EffectiveQty],T_PlannedOrders[Part Name],$A221,T_PlannedOrders[WeekIndex],48)=0,"",SUMIFS(T_PlannedOrders[EffectiveQty],T_PlannedOrders[Part Name],$A221,T_PlannedOrders[WeekIndex],48)&amp;" ("&amp;TEXT(SUMPRODUCT(MAX((T_PlannedOrders[Part Name]=$A221)*(T_PlannedOrders[WeekIndex]=48)*(T_PlannedOrders[EffectiveQty]&gt;0)*T_PlannedOrders[Order_Month])),"m月")&amp;"発注)")</f>
        <v/>
      </c>
      <c r="AZ339">
        <f>IF(SUMIFS(T_PlannedOrders[EffectiveQty],T_PlannedOrders[Part Name],$A221,T_PlannedOrders[WeekIndex],49)=0,"",SUMIFS(T_PlannedOrders[EffectiveQty],T_PlannedOrders[Part Name],$A221,T_PlannedOrders[WeekIndex],49)&amp;" ("&amp;TEXT(SUMPRODUCT(MAX((T_PlannedOrders[Part Name]=$A221)*(T_PlannedOrders[WeekIndex]=49)*(T_PlannedOrders[EffectiveQty]&gt;0)*T_PlannedOrders[Order_Month])),"m月")&amp;"発注)")</f>
        <v/>
      </c>
      <c r="BA339">
        <f>IF(SUMIFS(T_PlannedOrders[EffectiveQty],T_PlannedOrders[Part Name],$A221,T_PlannedOrders[WeekIndex],50)=0,"",SUMIFS(T_PlannedOrders[EffectiveQty],T_PlannedOrders[Part Name],$A221,T_PlannedOrders[WeekIndex],50)&amp;" ("&amp;TEXT(SUMPRODUCT(MAX((T_PlannedOrders[Part Name]=$A221)*(T_PlannedOrders[WeekIndex]=50)*(T_PlannedOrders[EffectiveQty]&gt;0)*T_PlannedOrders[Order_Month])),"m月")&amp;"発注)")</f>
        <v/>
      </c>
      <c r="BB339">
        <f>IF(SUMIFS(T_PlannedOrders[EffectiveQty],T_PlannedOrders[Part Name],$A221,T_PlannedOrders[WeekIndex],51)=0,"",SUMIFS(T_PlannedOrders[EffectiveQty],T_PlannedOrders[Part Name],$A221,T_PlannedOrders[WeekIndex],51)&amp;" ("&amp;TEXT(SUMPRODUCT(MAX((T_PlannedOrders[Part Name]=$A221)*(T_PlannedOrders[WeekIndex]=51)*(T_PlannedOrders[EffectiveQty]&gt;0)*T_PlannedOrders[Order_Month])),"m月")&amp;"発注)")</f>
        <v/>
      </c>
      <c r="BC339">
        <f>IF(SUMIFS(T_PlannedOrders[EffectiveQty],T_PlannedOrders[Part Name],$A221,T_PlannedOrders[WeekIndex],52)=0,"",SUMIFS(T_PlannedOrders[EffectiveQty],T_PlannedOrders[Part Name],$A221,T_PlannedOrders[WeekIndex],52)&amp;" ("&amp;TEXT(SUMPRODUCT(MAX((T_PlannedOrders[Part Name]=$A221)*(T_PlannedOrders[WeekIndex]=52)*(T_PlannedOrders[EffectiveQty]&gt;0)*T_PlannedOrders[Order_Month])),"m月")&amp;"発注)")</f>
        <v/>
      </c>
      <c r="BD339">
        <f>IF(SUMIFS(T_PlannedOrders[EffectiveQty],T_PlannedOrders[Part Name],$A221,T_PlannedOrders[WeekIndex],53)=0,"",SUMIFS(T_PlannedOrders[EffectiveQty],T_PlannedOrders[Part Name],$A221,T_PlannedOrders[WeekIndex],53)&amp;" ("&amp;TEXT(SUMPRODUCT(MAX((T_PlannedOrders[Part Name]=$A221)*(T_PlannedOrders[WeekIndex]=53)*(T_PlannedOrders[EffectiveQty]&gt;0)*T_PlannedOrders[Order_Month])),"m月")&amp;"発注)")</f>
        <v/>
      </c>
      <c r="BE339">
        <f>IF(SUMIFS(T_PlannedOrders[EffectiveQty],T_PlannedOrders[Part Name],$A221,T_PlannedOrders[WeekIndex],54)=0,"",SUMIFS(T_PlannedOrders[EffectiveQty],T_PlannedOrders[Part Name],$A221,T_PlannedOrders[WeekIndex],54)&amp;" ("&amp;TEXT(SUMPRODUCT(MAX((T_PlannedOrders[Part Name]=$A221)*(T_PlannedOrders[WeekIndex]=54)*(T_PlannedOrders[EffectiveQty]&gt;0)*T_PlannedOrders[Order_Month])),"m月")&amp;"発注)")</f>
        <v/>
      </c>
      <c r="BF339">
        <f>IF(SUMIFS(T_PlannedOrders[EffectiveQty],T_PlannedOrders[Part Name],$A221,T_PlannedOrders[WeekIndex],55)=0,"",SUMIFS(T_PlannedOrders[EffectiveQty],T_PlannedOrders[Part Name],$A221,T_PlannedOrders[WeekIndex],55)&amp;" ("&amp;TEXT(SUMPRODUCT(MAX((T_PlannedOrders[Part Name]=$A221)*(T_PlannedOrders[WeekIndex]=55)*(T_PlannedOrders[EffectiveQty]&gt;0)*T_PlannedOrders[Order_Month])),"m月")&amp;"発注)")</f>
        <v/>
      </c>
      <c r="BG339">
        <f>IF(SUMIFS(T_PlannedOrders[EffectiveQty],T_PlannedOrders[Part Name],$A221,T_PlannedOrders[WeekIndex],56)=0,"",SUMIFS(T_PlannedOrders[EffectiveQty],T_PlannedOrders[Part Name],$A221,T_PlannedOrders[WeekIndex],56)&amp;" ("&amp;TEXT(SUMPRODUCT(MAX((T_PlannedOrders[Part Name]=$A221)*(T_PlannedOrders[WeekIndex]=56)*(T_PlannedOrders[EffectiveQty]&gt;0)*T_PlannedOrders[Order_Month])),"m月")&amp;"発注)")</f>
        <v/>
      </c>
      <c r="BH339">
        <f>IF(SUMIFS(T_PlannedOrders[EffectiveQty],T_PlannedOrders[Part Name],$A221,T_PlannedOrders[WeekIndex],57)=0,"",SUMIFS(T_PlannedOrders[EffectiveQty],T_PlannedOrders[Part Name],$A221,T_PlannedOrders[WeekIndex],57)&amp;" ("&amp;TEXT(SUMPRODUCT(MAX((T_PlannedOrders[Part Name]=$A221)*(T_PlannedOrders[WeekIndex]=57)*(T_PlannedOrders[EffectiveQty]&gt;0)*T_PlannedOrders[Order_Month])),"m月")&amp;"発注)")</f>
        <v/>
      </c>
      <c r="BI339">
        <f>IF(SUMIFS(T_PlannedOrders[EffectiveQty],T_PlannedOrders[Part Name],$A221,T_PlannedOrders[WeekIndex],58)=0,"",SUMIFS(T_PlannedOrders[EffectiveQty],T_PlannedOrders[Part Name],$A221,T_PlannedOrders[WeekIndex],58)&amp;" ("&amp;TEXT(SUMPRODUCT(MAX((T_PlannedOrders[Part Name]=$A221)*(T_PlannedOrders[WeekIndex]=58)*(T_PlannedOrders[EffectiveQty]&gt;0)*T_PlannedOrders[Order_Month])),"m月")&amp;"発注)")</f>
        <v/>
      </c>
      <c r="BJ339">
        <f>IF(SUMIFS(T_PlannedOrders[EffectiveQty],T_PlannedOrders[Part Name],$A221,T_PlannedOrders[WeekIndex],59)=0,"",SUMIFS(T_PlannedOrders[EffectiveQty],T_PlannedOrders[Part Name],$A221,T_PlannedOrders[WeekIndex],59)&amp;" ("&amp;TEXT(SUMPRODUCT(MAX((T_PlannedOrders[Part Name]=$A221)*(T_PlannedOrders[WeekIndex]=59)*(T_PlannedOrders[EffectiveQty]&gt;0)*T_PlannedOrders[Order_Month])),"m月")&amp;"発注)")</f>
        <v/>
      </c>
      <c r="BK339">
        <f>IF(SUMIFS(T_PlannedOrders[EffectiveQty],T_PlannedOrders[Part Name],$A221,T_PlannedOrders[WeekIndex],60)=0,"",SUMIFS(T_PlannedOrders[EffectiveQty],T_PlannedOrders[Part Name],$A221,T_PlannedOrders[WeekIndex],60)&amp;" ("&amp;TEXT(SUMPRODUCT(MAX((T_PlannedOrders[Part Name]=$A221)*(T_PlannedOrders[WeekIndex]=60)*(T_PlannedOrders[EffectiveQty]&gt;0)*T_PlannedOrders[Order_Month])),"m月")&amp;"発注)")</f>
        <v/>
      </c>
      <c r="BL339">
        <f>IF(SUMIFS(T_PlannedOrders[EffectiveQty],T_PlannedOrders[Part Name],$A221,T_PlannedOrders[WeekIndex],61)=0,"",SUMIFS(T_PlannedOrders[EffectiveQty],T_PlannedOrders[Part Name],$A221,T_PlannedOrders[WeekIndex],61)&amp;" ("&amp;TEXT(SUMPRODUCT(MAX((T_PlannedOrders[Part Name]=$A221)*(T_PlannedOrders[WeekIndex]=61)*(T_PlannedOrders[EffectiveQty]&gt;0)*T_PlannedOrders[Order_Month])),"m月")&amp;"発注)")</f>
        <v/>
      </c>
      <c r="BM339">
        <f>IF(SUMIFS(T_PlannedOrders[EffectiveQty],T_PlannedOrders[Part Name],$A221,T_PlannedOrders[WeekIndex],62)=0,"",SUMIFS(T_PlannedOrders[EffectiveQty],T_PlannedOrders[Part Name],$A221,T_PlannedOrders[WeekIndex],62)&amp;" ("&amp;TEXT(SUMPRODUCT(MAX((T_PlannedOrders[Part Name]=$A221)*(T_PlannedOrders[WeekIndex]=62)*(T_PlannedOrders[EffectiveQty]&gt;0)*T_PlannedOrders[Order_Month])),"m月")&amp;"発注)")</f>
        <v/>
      </c>
      <c r="BN339">
        <f>IF(SUMIFS(T_PlannedOrders[EffectiveQty],T_PlannedOrders[Part Name],$A221,T_PlannedOrders[WeekIndex],63)=0,"",SUMIFS(T_PlannedOrders[EffectiveQty],T_PlannedOrders[Part Name],$A221,T_PlannedOrders[WeekIndex],63)&amp;" ("&amp;TEXT(SUMPRODUCT(MAX((T_PlannedOrders[Part Name]=$A221)*(T_PlannedOrders[WeekIndex]=63)*(T_PlannedOrders[EffectiveQty]&gt;0)*T_PlannedOrders[Order_Month])),"m月")&amp;"発注)")</f>
        <v/>
      </c>
      <c r="BO339">
        <f>IF(SUMIFS(T_PlannedOrders[EffectiveQty],T_PlannedOrders[Part Name],$A221,T_PlannedOrders[WeekIndex],64)=0,"",SUMIFS(T_PlannedOrders[EffectiveQty],T_PlannedOrders[Part Name],$A221,T_PlannedOrders[WeekIndex],64)&amp;" ("&amp;TEXT(SUMPRODUCT(MAX((T_PlannedOrders[Part Name]=$A221)*(T_PlannedOrders[WeekIndex]=64)*(T_PlannedOrders[EffectiveQty]&gt;0)*T_PlannedOrders[Order_Month])),"m月")&amp;"発注)")</f>
        <v/>
      </c>
      <c r="BP339">
        <f>IF(SUMIFS(T_PlannedOrders[EffectiveQty],T_PlannedOrders[Part Name],$A221,T_PlannedOrders[WeekIndex],65)=0,"",SUMIFS(T_PlannedOrders[EffectiveQty],T_PlannedOrders[Part Name],$A221,T_PlannedOrders[WeekIndex],65)&amp;" ("&amp;TEXT(SUMPRODUCT(MAX((T_PlannedOrders[Part Name]=$A221)*(T_PlannedOrders[WeekIndex]=65)*(T_PlannedOrders[EffectiveQty]&gt;0)*T_PlannedOrders[Order_Month])),"m月")&amp;"発注)")</f>
        <v/>
      </c>
      <c r="BQ339">
        <f>IF(SUMIFS(T_PlannedOrders[EffectiveQty],T_PlannedOrders[Part Name],$A221,T_PlannedOrders[WeekIndex],66)=0,"",SUMIFS(T_PlannedOrders[EffectiveQty],T_PlannedOrders[Part Name],$A221,T_PlannedOrders[WeekIndex],66)&amp;" ("&amp;TEXT(SUMPRODUCT(MAX((T_PlannedOrders[Part Name]=$A221)*(T_PlannedOrders[WeekIndex]=66)*(T_PlannedOrders[EffectiveQty]&gt;0)*T_PlannedOrders[Order_Month])),"m月")&amp;"発注)")</f>
        <v/>
      </c>
      <c r="BR339">
        <f>IF(SUMIFS(T_PlannedOrders[EffectiveQty],T_PlannedOrders[Part Name],$A221,T_PlannedOrders[WeekIndex],67)=0,"",SUMIFS(T_PlannedOrders[EffectiveQty],T_PlannedOrders[Part Name],$A221,T_PlannedOrders[WeekIndex],67)&amp;" ("&amp;TEXT(SUMPRODUCT(MAX((T_PlannedOrders[Part Name]=$A221)*(T_PlannedOrders[WeekIndex]=67)*(T_PlannedOrders[EffectiveQty]&gt;0)*T_PlannedOrders[Order_Month])),"m月")&amp;"発注)")</f>
        <v/>
      </c>
      <c r="BS339">
        <f>IF(SUMIFS(T_PlannedOrders[EffectiveQty],T_PlannedOrders[Part Name],$A221,T_PlannedOrders[WeekIndex],68)=0,"",SUMIFS(T_PlannedOrders[EffectiveQty],T_PlannedOrders[Part Name],$A221,T_PlannedOrders[WeekIndex],68)&amp;" ("&amp;TEXT(SUMPRODUCT(MAX((T_PlannedOrders[Part Name]=$A221)*(T_PlannedOrders[WeekIndex]=68)*(T_PlannedOrders[EffectiveQty]&gt;0)*T_PlannedOrders[Order_Month])),"m月")&amp;"発注)")</f>
        <v/>
      </c>
      <c r="BT339">
        <f>IF(SUMIFS(T_PlannedOrders[EffectiveQty],T_PlannedOrders[Part Name],$A221,T_PlannedOrders[WeekIndex],69)=0,"",SUMIFS(T_PlannedOrders[EffectiveQty],T_PlannedOrders[Part Name],$A221,T_PlannedOrders[WeekIndex],69)&amp;" ("&amp;TEXT(SUMPRODUCT(MAX((T_PlannedOrders[Part Name]=$A221)*(T_PlannedOrders[WeekIndex]=69)*(T_PlannedOrders[EffectiveQty]&gt;0)*T_PlannedOrders[Order_Month])),"m月")&amp;"発注)")</f>
        <v/>
      </c>
      <c r="BU339">
        <f>IF(SUMIFS(T_PlannedOrders[EffectiveQty],T_PlannedOrders[Part Name],$A221,T_PlannedOrders[WeekIndex],70)=0,"",SUMIFS(T_PlannedOrders[EffectiveQty],T_PlannedOrders[Part Name],$A221,T_PlannedOrders[WeekIndex],70)&amp;" ("&amp;TEXT(SUMPRODUCT(MAX((T_PlannedOrders[Part Name]=$A221)*(T_PlannedOrders[WeekIndex]=70)*(T_PlannedOrders[EffectiveQty]&gt;0)*T_PlannedOrders[Order_Month])),"m月")&amp;"発注)")</f>
        <v/>
      </c>
      <c r="BV339">
        <f>IF(SUMIFS(T_PlannedOrders[EffectiveQty],T_PlannedOrders[Part Name],$A221,T_PlannedOrders[WeekIndex],71)=0,"",SUMIFS(T_PlannedOrders[EffectiveQty],T_PlannedOrders[Part Name],$A221,T_PlannedOrders[WeekIndex],71)&amp;" ("&amp;TEXT(SUMPRODUCT(MAX((T_PlannedOrders[Part Name]=$A221)*(T_PlannedOrders[WeekIndex]=71)*(T_PlannedOrders[EffectiveQty]&gt;0)*T_PlannedOrders[Order_Month])),"m月")&amp;"発注)")</f>
        <v/>
      </c>
      <c r="BW339">
        <f>IF(SUMIFS(T_PlannedOrders[EffectiveQty],T_PlannedOrders[Part Name],$A221,T_PlannedOrders[WeekIndex],72)=0,"",SUMIFS(T_PlannedOrders[EffectiveQty],T_PlannedOrders[Part Name],$A221,T_PlannedOrders[WeekIndex],72)&amp;" ("&amp;TEXT(SUMPRODUCT(MAX((T_PlannedOrders[Part Name]=$A221)*(T_PlannedOrders[WeekIndex]=72)*(T_PlannedOrders[EffectiveQty]&gt;0)*T_PlannedOrders[Order_Month])),"m月")&amp;"発注)")</f>
        <v/>
      </c>
      <c r="BX339">
        <f>IF(SUMIFS(T_PlannedOrders[EffectiveQty],T_PlannedOrders[Part Name],$A221,T_PlannedOrders[WeekIndex],73)=0,"",SUMIFS(T_PlannedOrders[EffectiveQty],T_PlannedOrders[Part Name],$A221,T_PlannedOrders[WeekIndex],73)&amp;" ("&amp;TEXT(SUMPRODUCT(MAX((T_PlannedOrders[Part Name]=$A221)*(T_PlannedOrders[WeekIndex]=73)*(T_PlannedOrders[EffectiveQty]&gt;0)*T_PlannedOrders[Order_Month])),"m月")&amp;"発注)")</f>
        <v/>
      </c>
      <c r="BY339">
        <f>IF(SUMIFS(T_PlannedOrders[EffectiveQty],T_PlannedOrders[Part Name],$A221,T_PlannedOrders[WeekIndex],74)=0,"",SUMIFS(T_PlannedOrders[EffectiveQty],T_PlannedOrders[Part Name],$A221,T_PlannedOrders[WeekIndex],74)&amp;" ("&amp;TEXT(SUMPRODUCT(MAX((T_PlannedOrders[Part Name]=$A221)*(T_PlannedOrders[WeekIndex]=74)*(T_PlannedOrders[EffectiveQty]&gt;0)*T_PlannedOrders[Order_Month])),"m月")&amp;"発注)")</f>
        <v/>
      </c>
      <c r="BZ339">
        <f>IF(SUMIFS(T_PlannedOrders[EffectiveQty],T_PlannedOrders[Part Name],$A221,T_PlannedOrders[WeekIndex],75)=0,"",SUMIFS(T_PlannedOrders[EffectiveQty],T_PlannedOrders[Part Name],$A221,T_PlannedOrders[WeekIndex],75)&amp;" ("&amp;TEXT(SUMPRODUCT(MAX((T_PlannedOrders[Part Name]=$A221)*(T_PlannedOrders[WeekIndex]=75)*(T_PlannedOrders[EffectiveQty]&gt;0)*T_PlannedOrders[Order_Month])),"m月")&amp;"発注)")</f>
        <v/>
      </c>
      <c r="CA339">
        <f>IF(SUMIFS(T_PlannedOrders[EffectiveQty],T_PlannedOrders[Part Name],$A221,T_PlannedOrders[WeekIndex],76)=0,"",SUMIFS(T_PlannedOrders[EffectiveQty],T_PlannedOrders[Part Name],$A221,T_PlannedOrders[WeekIndex],76)&amp;" ("&amp;TEXT(SUMPRODUCT(MAX((T_PlannedOrders[Part Name]=$A221)*(T_PlannedOrders[WeekIndex]=76)*(T_PlannedOrders[EffectiveQty]&gt;0)*T_PlannedOrders[Order_Month])),"m月")&amp;"発注)")</f>
        <v/>
      </c>
      <c r="CB339">
        <f>IF(SUMIFS(T_PlannedOrders[EffectiveQty],T_PlannedOrders[Part Name],$A221,T_PlannedOrders[WeekIndex],77)=0,"",SUMIFS(T_PlannedOrders[EffectiveQty],T_PlannedOrders[Part Name],$A221,T_PlannedOrders[WeekIndex],77)&amp;" ("&amp;TEXT(SUMPRODUCT(MAX((T_PlannedOrders[Part Name]=$A221)*(T_PlannedOrders[WeekIndex]=77)*(T_PlannedOrders[EffectiveQty]&gt;0)*T_PlannedOrders[Order_Month])),"m月")&amp;"発注)")</f>
        <v/>
      </c>
      <c r="CC339">
        <f>IF(SUMIFS(T_PlannedOrders[EffectiveQty],T_PlannedOrders[Part Name],$A221,T_PlannedOrders[WeekIndex],78)=0,"",SUMIFS(T_PlannedOrders[EffectiveQty],T_PlannedOrders[Part Name],$A221,T_PlannedOrders[WeekIndex],78)&amp;" ("&amp;TEXT(SUMPRODUCT(MAX((T_PlannedOrders[Part Name]=$A221)*(T_PlannedOrders[WeekIndex]=78)*(T_PlannedOrders[EffectiveQty]&gt;0)*T_PlannedOrders[Order_Month])),"m月")&amp;"発注)")</f>
        <v/>
      </c>
      <c r="CD339">
        <f>IF(SUMIFS(T_PlannedOrders[EffectiveQty],T_PlannedOrders[Part Name],$A221,T_PlannedOrders[WeekIndex],79)=0,"",SUMIFS(T_PlannedOrders[EffectiveQty],T_PlannedOrders[Part Name],$A221,T_PlannedOrders[WeekIndex],79)&amp;" ("&amp;TEXT(SUMPRODUCT(MAX((T_PlannedOrders[Part Name]=$A221)*(T_PlannedOrders[WeekIndex]=79)*(T_PlannedOrders[EffectiveQty]&gt;0)*T_PlannedOrders[Order_Month])),"m月")&amp;"発注)")</f>
        <v/>
      </c>
      <c r="CE339">
        <f>IF(SUMIFS(T_PlannedOrders[EffectiveQty],T_PlannedOrders[Part Name],$A221,T_PlannedOrders[WeekIndex],80)=0,"",SUMIFS(T_PlannedOrders[EffectiveQty],T_PlannedOrders[Part Name],$A221,T_PlannedOrders[WeekIndex],80)&amp;" ("&amp;TEXT(SUMPRODUCT(MAX((T_PlannedOrders[Part Name]=$A221)*(T_PlannedOrders[WeekIndex]=80)*(T_PlannedOrders[EffectiveQty]&gt;0)*T_PlannedOrders[Order_Month])),"m月")&amp;"発注)")</f>
        <v/>
      </c>
      <c r="CF339">
        <f>IF(SUMIFS(T_PlannedOrders[EffectiveQty],T_PlannedOrders[Part Name],$A221,T_PlannedOrders[WeekIndex],81)=0,"",SUMIFS(T_PlannedOrders[EffectiveQty],T_PlannedOrders[Part Name],$A221,T_PlannedOrders[WeekIndex],81)&amp;" ("&amp;TEXT(SUMPRODUCT(MAX((T_PlannedOrders[Part Name]=$A221)*(T_PlannedOrders[WeekIndex]=81)*(T_PlannedOrders[EffectiveQty]&gt;0)*T_PlannedOrders[Order_Month])),"m月")&amp;"発注)")</f>
        <v/>
      </c>
      <c r="CG339">
        <f>IF(SUMIFS(T_PlannedOrders[EffectiveQty],T_PlannedOrders[Part Name],$A221,T_PlannedOrders[WeekIndex],82)=0,"",SUMIFS(T_PlannedOrders[EffectiveQty],T_PlannedOrders[Part Name],$A221,T_PlannedOrders[WeekIndex],82)&amp;" ("&amp;TEXT(SUMPRODUCT(MAX((T_PlannedOrders[Part Name]=$A221)*(T_PlannedOrders[WeekIndex]=82)*(T_PlannedOrders[EffectiveQty]&gt;0)*T_PlannedOrders[Order_Month])),"m月")&amp;"発注)")</f>
        <v/>
      </c>
      <c r="CH339">
        <f>IF(SUMIFS(T_PlannedOrders[EffectiveQty],T_PlannedOrders[Part Name],$A221,T_PlannedOrders[WeekIndex],83)=0,"",SUMIFS(T_PlannedOrders[EffectiveQty],T_PlannedOrders[Part Name],$A221,T_PlannedOrders[WeekIndex],83)&amp;" ("&amp;TEXT(SUMPRODUCT(MAX((T_PlannedOrders[Part Name]=$A221)*(T_PlannedOrders[WeekIndex]=83)*(T_PlannedOrders[EffectiveQty]&gt;0)*T_PlannedOrders[Order_Month])),"m月")&amp;"発注)")</f>
        <v/>
      </c>
      <c r="CI339">
        <f>IF(SUMIFS(T_PlannedOrders[EffectiveQty],T_PlannedOrders[Part Name],$A221,T_PlannedOrders[WeekIndex],84)=0,"",SUMIFS(T_PlannedOrders[EffectiveQty],T_PlannedOrders[Part Name],$A221,T_PlannedOrders[WeekIndex],84)&amp;" ("&amp;TEXT(SUMPRODUCT(MAX((T_PlannedOrders[Part Name]=$A221)*(T_PlannedOrders[WeekIndex]=84)*(T_PlannedOrders[EffectiveQty]&gt;0)*T_PlannedOrders[Order_Month])),"m月")&amp;"発注)")</f>
        <v/>
      </c>
      <c r="CJ339">
        <f>IF(SUMIFS(T_PlannedOrders[EffectiveQty],T_PlannedOrders[Part Name],$A221,T_PlannedOrders[WeekIndex],85)=0,"",SUMIFS(T_PlannedOrders[EffectiveQty],T_PlannedOrders[Part Name],$A221,T_PlannedOrders[WeekIndex],85)&amp;" ("&amp;TEXT(SUMPRODUCT(MAX((T_PlannedOrders[Part Name]=$A221)*(T_PlannedOrders[WeekIndex]=85)*(T_PlannedOrders[EffectiveQty]&gt;0)*T_PlannedOrders[Order_Month])),"m月")&amp;"発注)")</f>
        <v/>
      </c>
      <c r="CK339">
        <f>IF(SUMIFS(T_PlannedOrders[EffectiveQty],T_PlannedOrders[Part Name],$A221,T_PlannedOrders[WeekIndex],86)=0,"",SUMIFS(T_PlannedOrders[EffectiveQty],T_PlannedOrders[Part Name],$A221,T_PlannedOrders[WeekIndex],86)&amp;" ("&amp;TEXT(SUMPRODUCT(MAX((T_PlannedOrders[Part Name]=$A221)*(T_PlannedOrders[WeekIndex]=86)*(T_PlannedOrders[EffectiveQty]&gt;0)*T_PlannedOrders[Order_Month])),"m月")&amp;"発注)")</f>
        <v/>
      </c>
      <c r="CL339">
        <f>IF(SUMIFS(T_PlannedOrders[EffectiveQty],T_PlannedOrders[Part Name],$A221,T_PlannedOrders[WeekIndex],87)=0,"",SUMIFS(T_PlannedOrders[EffectiveQty],T_PlannedOrders[Part Name],$A221,T_PlannedOrders[WeekIndex],87)&amp;" ("&amp;TEXT(SUMPRODUCT(MAX((T_PlannedOrders[Part Name]=$A221)*(T_PlannedOrders[WeekIndex]=87)*(T_PlannedOrders[EffectiveQty]&gt;0)*T_PlannedOrders[Order_Month])),"m月")&amp;"発注)")</f>
        <v/>
      </c>
      <c r="CM339">
        <f>IF(SUMIFS(T_PlannedOrders[EffectiveQty],T_PlannedOrders[Part Name],$A221,T_PlannedOrders[WeekIndex],88)=0,"",SUMIFS(T_PlannedOrders[EffectiveQty],T_PlannedOrders[Part Name],$A221,T_PlannedOrders[WeekIndex],88)&amp;" ("&amp;TEXT(SUMPRODUCT(MAX((T_PlannedOrders[Part Name]=$A221)*(T_PlannedOrders[WeekIndex]=88)*(T_PlannedOrders[EffectiveQty]&gt;0)*T_PlannedOrders[Order_Month])),"m月")&amp;"発注)")</f>
        <v/>
      </c>
      <c r="CN339">
        <f>IF(SUMIFS(T_PlannedOrders[EffectiveQty],T_PlannedOrders[Part Name],$A221,T_PlannedOrders[WeekIndex],89)=0,"",SUMIFS(T_PlannedOrders[EffectiveQty],T_PlannedOrders[Part Name],$A221,T_PlannedOrders[WeekIndex],89)&amp;" ("&amp;TEXT(SUMPRODUCT(MAX((T_PlannedOrders[Part Name]=$A221)*(T_PlannedOrders[WeekIndex]=89)*(T_PlannedOrders[EffectiveQty]&gt;0)*T_PlannedOrders[Order_Month])),"m月")&amp;"発注)")</f>
        <v/>
      </c>
      <c r="CO339">
        <f>IF(SUMIFS(T_PlannedOrders[EffectiveQty],T_PlannedOrders[Part Name],$A221,T_PlannedOrders[WeekIndex],90)=0,"",SUMIFS(T_PlannedOrders[EffectiveQty],T_PlannedOrders[Part Name],$A221,T_PlannedOrders[WeekIndex],90)&amp;" ("&amp;TEXT(SUMPRODUCT(MAX((T_PlannedOrders[Part Name]=$A221)*(T_PlannedOrders[WeekIndex]=90)*(T_PlannedOrders[EffectiveQty]&gt;0)*T_PlannedOrders[Order_Month])),"m月")&amp;"発注)")</f>
        <v/>
      </c>
      <c r="CP339">
        <f>IF(SUMIFS(T_PlannedOrders[EffectiveQty],T_PlannedOrders[Part Name],$A221,T_PlannedOrders[WeekIndex],91)=0,"",SUMIFS(T_PlannedOrders[EffectiveQty],T_PlannedOrders[Part Name],$A221,T_PlannedOrders[WeekIndex],91)&amp;" ("&amp;TEXT(SUMPRODUCT(MAX((T_PlannedOrders[Part Name]=$A221)*(T_PlannedOrders[WeekIndex]=91)*(T_PlannedOrders[EffectiveQty]&gt;0)*T_PlannedOrders[Order_Month])),"m月")&amp;"発注)")</f>
        <v/>
      </c>
      <c r="CQ339">
        <f>IF(SUMIFS(T_PlannedOrders[EffectiveQty],T_PlannedOrders[Part Name],$A221,T_PlannedOrders[WeekIndex],92)=0,"",SUMIFS(T_PlannedOrders[EffectiveQty],T_PlannedOrders[Part Name],$A221,T_PlannedOrders[WeekIndex],92)&amp;" ("&amp;TEXT(SUMPRODUCT(MAX((T_PlannedOrders[Part Name]=$A221)*(T_PlannedOrders[WeekIndex]=92)*(T_PlannedOrders[EffectiveQty]&gt;0)*T_PlannedOrders[Order_Month])),"m月")&amp;"発注)")</f>
        <v/>
      </c>
      <c r="CR339">
        <f>IF(SUMIFS(T_PlannedOrders[EffectiveQty],T_PlannedOrders[Part Name],$A221,T_PlannedOrders[WeekIndex],93)=0,"",SUMIFS(T_PlannedOrders[EffectiveQty],T_PlannedOrders[Part Name],$A221,T_PlannedOrders[WeekIndex],93)&amp;" ("&amp;TEXT(SUMPRODUCT(MAX((T_PlannedOrders[Part Name]=$A221)*(T_PlannedOrders[WeekIndex]=93)*(T_PlannedOrders[EffectiveQty]&gt;0)*T_PlannedOrders[Order_Month])),"m月")&amp;"発注)")</f>
        <v/>
      </c>
      <c r="CS339">
        <f>IF(SUMIFS(T_PlannedOrders[EffectiveQty],T_PlannedOrders[Part Name],$A221,T_PlannedOrders[WeekIndex],94)=0,"",SUMIFS(T_PlannedOrders[EffectiveQty],T_PlannedOrders[Part Name],$A221,T_PlannedOrders[WeekIndex],94)&amp;" ("&amp;TEXT(SUMPRODUCT(MAX((T_PlannedOrders[Part Name]=$A221)*(T_PlannedOrders[WeekIndex]=94)*(T_PlannedOrders[EffectiveQty]&gt;0)*T_PlannedOrders[Order_Month])),"m月")&amp;"発注)")</f>
        <v/>
      </c>
      <c r="CT339">
        <f>IF(SUMIFS(T_PlannedOrders[EffectiveQty],T_PlannedOrders[Part Name],$A221,T_PlannedOrders[WeekIndex],95)=0,"",SUMIFS(T_PlannedOrders[EffectiveQty],T_PlannedOrders[Part Name],$A221,T_PlannedOrders[WeekIndex],95)&amp;" ("&amp;TEXT(SUMPRODUCT(MAX((T_PlannedOrders[Part Name]=$A221)*(T_PlannedOrders[WeekIndex]=95)*(T_PlannedOrders[EffectiveQty]&gt;0)*T_PlannedOrders[Order_Month])),"m月")&amp;"発注)")</f>
        <v/>
      </c>
      <c r="CU339">
        <f>IF(SUMIFS(T_PlannedOrders[EffectiveQty],T_PlannedOrders[Part Name],$A221,T_PlannedOrders[WeekIndex],96)=0,"",SUMIFS(T_PlannedOrders[EffectiveQty],T_PlannedOrders[Part Name],$A221,T_PlannedOrders[WeekIndex],96)&amp;" ("&amp;TEXT(SUMPRODUCT(MAX((T_PlannedOrders[Part Name]=$A221)*(T_PlannedOrders[WeekIndex]=96)*(T_PlannedOrders[EffectiveQty]&gt;0)*T_PlannedOrders[Order_Month])),"m月")&amp;"発注)")</f>
        <v/>
      </c>
      <c r="CV339">
        <f>IF(SUMIFS(T_PlannedOrders[EffectiveQty],T_PlannedOrders[Part Name],$A221,T_PlannedOrders[WeekIndex],97)=0,"",SUMIFS(T_PlannedOrders[EffectiveQty],T_PlannedOrders[Part Name],$A221,T_PlannedOrders[WeekIndex],97)&amp;" ("&amp;TEXT(SUMPRODUCT(MAX((T_PlannedOrders[Part Name]=$A221)*(T_PlannedOrders[WeekIndex]=97)*(T_PlannedOrders[EffectiveQty]&gt;0)*T_PlannedOrders[Order_Month])),"m月")&amp;"発注)")</f>
        <v/>
      </c>
      <c r="CW339">
        <f>IF(SUMIFS(T_PlannedOrders[EffectiveQty],T_PlannedOrders[Part Name],$A221,T_PlannedOrders[WeekIndex],98)=0,"",SUMIFS(T_PlannedOrders[EffectiveQty],T_PlannedOrders[Part Name],$A221,T_PlannedOrders[WeekIndex],98)&amp;" ("&amp;TEXT(SUMPRODUCT(MAX((T_PlannedOrders[Part Name]=$A221)*(T_PlannedOrders[WeekIndex]=98)*(T_PlannedOrders[EffectiveQty]&gt;0)*T_PlannedOrders[Order_Month])),"m月")&amp;"発注)")</f>
        <v/>
      </c>
      <c r="CX339">
        <f>IF(SUMIFS(T_PlannedOrders[EffectiveQty],T_PlannedOrders[Part Name],$A221,T_PlannedOrders[WeekIndex],99)=0,"",SUMIFS(T_PlannedOrders[EffectiveQty],T_PlannedOrders[Part Name],$A221,T_PlannedOrders[WeekIndex],99)&amp;" ("&amp;TEXT(SUMPRODUCT(MAX((T_PlannedOrders[Part Name]=$A221)*(T_PlannedOrders[WeekIndex]=99)*(T_PlannedOrders[EffectiveQty]&gt;0)*T_PlannedOrders[Order_Month])),"m月")&amp;"発注)")</f>
        <v/>
      </c>
      <c r="CY339">
        <f>IF(SUMIFS(T_PlannedOrders[EffectiveQty],T_PlannedOrders[Part Name],$A221,T_PlannedOrders[WeekIndex],100)=0,"",SUMIFS(T_PlannedOrders[EffectiveQty],T_PlannedOrders[Part Name],$A221,T_PlannedOrders[WeekIndex],100)&amp;" ("&amp;TEXT(SUMPRODUCT(MAX((T_PlannedOrders[Part Name]=$A221)*(T_PlannedOrders[WeekIndex]=100)*(T_PlannedOrders[EffectiveQty]&gt;0)*T_PlannedOrders[Order_Month])),"m月")&amp;"発注)")</f>
        <v/>
      </c>
      <c r="CZ339">
        <f>IF(SUMIFS(T_PlannedOrders[EffectiveQty],T_PlannedOrders[Part Name],$A221,T_PlannedOrders[WeekIndex],101)=0,"",SUMIFS(T_PlannedOrders[EffectiveQty],T_PlannedOrders[Part Name],$A221,T_PlannedOrders[WeekIndex],101)&amp;" ("&amp;TEXT(SUMPRODUCT(MAX((T_PlannedOrders[Part Name]=$A221)*(T_PlannedOrders[WeekIndex]=101)*(T_PlannedOrders[EffectiveQty]&gt;0)*T_PlannedOrders[Order_Month])),"m月")&amp;"発注)")</f>
        <v/>
      </c>
      <c r="DA339">
        <f>IF(SUMIFS(T_PlannedOrders[EffectiveQty],T_PlannedOrders[Part Name],$A221,T_PlannedOrders[WeekIndex],102)=0,"",SUMIFS(T_PlannedOrders[EffectiveQty],T_PlannedOrders[Part Name],$A221,T_PlannedOrders[WeekIndex],102)&amp;" ("&amp;TEXT(SUMPRODUCT(MAX((T_PlannedOrders[Part Name]=$A221)*(T_PlannedOrders[WeekIndex]=102)*(T_PlannedOrders[EffectiveQty]&gt;0)*T_PlannedOrders[Order_Month])),"m月")&amp;"発注)")</f>
        <v/>
      </c>
      <c r="DB339">
        <f>IF(SUMIFS(T_PlannedOrders[EffectiveQty],T_PlannedOrders[Part Name],$A221,T_PlannedOrders[WeekIndex],103)=0,"",SUMIFS(T_PlannedOrders[EffectiveQty],T_PlannedOrders[Part Name],$A221,T_PlannedOrders[WeekIndex],103)&amp;" ("&amp;TEXT(SUMPRODUCT(MAX((T_PlannedOrders[Part Name]=$A221)*(T_PlannedOrders[WeekIndex]=103)*(T_PlannedOrders[EffectiveQty]&gt;0)*T_PlannedOrders[Order_Month])),"m月")&amp;"発注)")</f>
        <v/>
      </c>
      <c r="DC339">
        <f>IF(SUMIFS(T_PlannedOrders[EffectiveQty],T_PlannedOrders[Part Name],$A221,T_PlannedOrders[WeekIndex],104)=0,"",SUMIFS(T_PlannedOrders[EffectiveQty],T_PlannedOrders[Part Name],$A221,T_PlannedOrders[WeekIndex],104)&amp;" ("&amp;TEXT(SUMPRODUCT(MAX((T_PlannedOrders[Part Name]=$A221)*(T_PlannedOrders[WeekIndex]=104)*(T_PlannedOrders[EffectiveQty]&gt;0)*T_PlannedOrders[Order_Month])),"m月")&amp;"発注)")</f>
        <v/>
      </c>
    </row>
    <row r="340">
      <c r="B340" s="4" t="inlineStr">
        <is>
          <t>合計在庫(週末時点,kg)</t>
        </is>
      </c>
      <c r="D340">
        <f>'Grid_Stock'!B10</f>
        <v/>
      </c>
      <c r="E340">
        <f>'Grid_Stock'!C10</f>
        <v/>
      </c>
      <c r="F340">
        <f>'Grid_Stock'!D10</f>
        <v/>
      </c>
      <c r="G340">
        <f>'Grid_Stock'!E10</f>
        <v/>
      </c>
      <c r="H340">
        <f>'Grid_Stock'!F10</f>
        <v/>
      </c>
      <c r="I340">
        <f>'Grid_Stock'!G10</f>
        <v/>
      </c>
      <c r="J340">
        <f>'Grid_Stock'!H10</f>
        <v/>
      </c>
      <c r="K340">
        <f>'Grid_Stock'!I10</f>
        <v/>
      </c>
      <c r="L340">
        <f>'Grid_Stock'!J10</f>
        <v/>
      </c>
      <c r="M340">
        <f>'Grid_Stock'!K10</f>
        <v/>
      </c>
      <c r="N340">
        <f>'Grid_Stock'!L10</f>
        <v/>
      </c>
      <c r="O340">
        <f>'Grid_Stock'!M10</f>
        <v/>
      </c>
      <c r="P340">
        <f>'Grid_Stock'!N10</f>
        <v/>
      </c>
      <c r="Q340">
        <f>'Grid_Stock'!O10</f>
        <v/>
      </c>
      <c r="R340">
        <f>'Grid_Stock'!P10</f>
        <v/>
      </c>
      <c r="S340">
        <f>'Grid_Stock'!Q10</f>
        <v/>
      </c>
      <c r="T340">
        <f>'Grid_Stock'!R10</f>
        <v/>
      </c>
      <c r="U340">
        <f>'Grid_Stock'!S10</f>
        <v/>
      </c>
      <c r="V340">
        <f>'Grid_Stock'!T10</f>
        <v/>
      </c>
      <c r="W340">
        <f>'Grid_Stock'!U10</f>
        <v/>
      </c>
      <c r="X340">
        <f>'Grid_Stock'!V10</f>
        <v/>
      </c>
      <c r="Y340">
        <f>'Grid_Stock'!W10</f>
        <v/>
      </c>
      <c r="Z340">
        <f>'Grid_Stock'!X10</f>
        <v/>
      </c>
      <c r="AA340">
        <f>'Grid_Stock'!Y10</f>
        <v/>
      </c>
      <c r="AB340">
        <f>'Grid_Stock'!Z10</f>
        <v/>
      </c>
      <c r="AC340">
        <f>'Grid_Stock'!AA10</f>
        <v/>
      </c>
      <c r="AD340">
        <f>'Grid_Stock'!AB10</f>
        <v/>
      </c>
      <c r="AE340">
        <f>'Grid_Stock'!AC10</f>
        <v/>
      </c>
      <c r="AF340">
        <f>'Grid_Stock'!AD10</f>
        <v/>
      </c>
      <c r="AG340">
        <f>'Grid_Stock'!AE10</f>
        <v/>
      </c>
      <c r="AH340">
        <f>'Grid_Stock'!AF10</f>
        <v/>
      </c>
      <c r="AI340">
        <f>'Grid_Stock'!AG10</f>
        <v/>
      </c>
      <c r="AJ340">
        <f>'Grid_Stock'!AH10</f>
        <v/>
      </c>
      <c r="AK340">
        <f>'Grid_Stock'!AI10</f>
        <v/>
      </c>
      <c r="AL340">
        <f>'Grid_Stock'!AJ10</f>
        <v/>
      </c>
      <c r="AM340">
        <f>'Grid_Stock'!AK10</f>
        <v/>
      </c>
      <c r="AN340">
        <f>'Grid_Stock'!AL10</f>
        <v/>
      </c>
      <c r="AO340">
        <f>'Grid_Stock'!AM10</f>
        <v/>
      </c>
      <c r="AP340">
        <f>'Grid_Stock'!AN10</f>
        <v/>
      </c>
      <c r="AQ340">
        <f>'Grid_Stock'!AO10</f>
        <v/>
      </c>
      <c r="AR340">
        <f>'Grid_Stock'!AP10</f>
        <v/>
      </c>
      <c r="AS340">
        <f>'Grid_Stock'!AQ10</f>
        <v/>
      </c>
      <c r="AT340">
        <f>'Grid_Stock'!AR10</f>
        <v/>
      </c>
      <c r="AU340">
        <f>'Grid_Stock'!AS10</f>
        <v/>
      </c>
      <c r="AV340">
        <f>'Grid_Stock'!AT10</f>
        <v/>
      </c>
      <c r="AW340">
        <f>'Grid_Stock'!AU10</f>
        <v/>
      </c>
      <c r="AX340">
        <f>'Grid_Stock'!AV10</f>
        <v/>
      </c>
      <c r="AY340">
        <f>'Grid_Stock'!AW10</f>
        <v/>
      </c>
      <c r="AZ340">
        <f>'Grid_Stock'!AX10</f>
        <v/>
      </c>
      <c r="BA340">
        <f>'Grid_Stock'!AY10</f>
        <v/>
      </c>
      <c r="BB340">
        <f>'Grid_Stock'!AZ10</f>
        <v/>
      </c>
      <c r="BC340">
        <f>'Grid_Stock'!BA10</f>
        <v/>
      </c>
      <c r="BD340">
        <f>'Grid_Stock'!BB10</f>
        <v/>
      </c>
      <c r="BE340">
        <f>'Grid_Stock'!BC10</f>
        <v/>
      </c>
      <c r="BF340">
        <f>'Grid_Stock'!BD10</f>
        <v/>
      </c>
      <c r="BG340">
        <f>'Grid_Stock'!BE10</f>
        <v/>
      </c>
      <c r="BH340">
        <f>'Grid_Stock'!BF10</f>
        <v/>
      </c>
      <c r="BI340">
        <f>'Grid_Stock'!BG10</f>
        <v/>
      </c>
      <c r="BJ340">
        <f>'Grid_Stock'!BH10</f>
        <v/>
      </c>
      <c r="BK340">
        <f>'Grid_Stock'!BI10</f>
        <v/>
      </c>
      <c r="BL340">
        <f>'Grid_Stock'!BJ10</f>
        <v/>
      </c>
      <c r="BM340">
        <f>'Grid_Stock'!BK10</f>
        <v/>
      </c>
      <c r="BN340">
        <f>'Grid_Stock'!BL10</f>
        <v/>
      </c>
      <c r="BO340">
        <f>'Grid_Stock'!BM10</f>
        <v/>
      </c>
      <c r="BP340">
        <f>'Grid_Stock'!BN10</f>
        <v/>
      </c>
      <c r="BQ340">
        <f>'Grid_Stock'!BO10</f>
        <v/>
      </c>
      <c r="BR340">
        <f>'Grid_Stock'!BP10</f>
        <v/>
      </c>
      <c r="BS340">
        <f>'Grid_Stock'!BQ10</f>
        <v/>
      </c>
      <c r="BT340">
        <f>'Grid_Stock'!BR10</f>
        <v/>
      </c>
      <c r="BU340">
        <f>'Grid_Stock'!BS10</f>
        <v/>
      </c>
      <c r="BV340">
        <f>'Grid_Stock'!BT10</f>
        <v/>
      </c>
      <c r="BW340">
        <f>'Grid_Stock'!BU10</f>
        <v/>
      </c>
      <c r="BX340">
        <f>'Grid_Stock'!BV10</f>
        <v/>
      </c>
      <c r="BY340">
        <f>'Grid_Stock'!BW10</f>
        <v/>
      </c>
      <c r="BZ340">
        <f>'Grid_Stock'!BX10</f>
        <v/>
      </c>
      <c r="CA340">
        <f>'Grid_Stock'!BY10</f>
        <v/>
      </c>
      <c r="CB340">
        <f>'Grid_Stock'!BZ10</f>
        <v/>
      </c>
      <c r="CC340">
        <f>'Grid_Stock'!CA10</f>
        <v/>
      </c>
      <c r="CD340">
        <f>'Grid_Stock'!CB10</f>
        <v/>
      </c>
      <c r="CE340">
        <f>'Grid_Stock'!CC10</f>
        <v/>
      </c>
      <c r="CF340">
        <f>'Grid_Stock'!CD10</f>
        <v/>
      </c>
      <c r="CG340">
        <f>'Grid_Stock'!CE10</f>
        <v/>
      </c>
      <c r="CH340">
        <f>'Grid_Stock'!CF10</f>
        <v/>
      </c>
      <c r="CI340">
        <f>'Grid_Stock'!CG10</f>
        <v/>
      </c>
      <c r="CJ340">
        <f>'Grid_Stock'!CH10</f>
        <v/>
      </c>
      <c r="CK340">
        <f>'Grid_Stock'!CI10</f>
        <v/>
      </c>
      <c r="CL340">
        <f>'Grid_Stock'!CJ10</f>
        <v/>
      </c>
      <c r="CM340">
        <f>'Grid_Stock'!CK10</f>
        <v/>
      </c>
      <c r="CN340">
        <f>'Grid_Stock'!CL10</f>
        <v/>
      </c>
      <c r="CO340">
        <f>'Grid_Stock'!CM10</f>
        <v/>
      </c>
      <c r="CP340">
        <f>'Grid_Stock'!CN10</f>
        <v/>
      </c>
      <c r="CQ340">
        <f>'Grid_Stock'!CO10</f>
        <v/>
      </c>
      <c r="CR340">
        <f>'Grid_Stock'!CP10</f>
        <v/>
      </c>
      <c r="CS340">
        <f>'Grid_Stock'!CQ10</f>
        <v/>
      </c>
      <c r="CT340">
        <f>'Grid_Stock'!CR10</f>
        <v/>
      </c>
      <c r="CU340">
        <f>'Grid_Stock'!CS10</f>
        <v/>
      </c>
      <c r="CV340">
        <f>'Grid_Stock'!CT10</f>
        <v/>
      </c>
      <c r="CW340">
        <f>'Grid_Stock'!CU10</f>
        <v/>
      </c>
      <c r="CX340">
        <f>'Grid_Stock'!CV10</f>
        <v/>
      </c>
      <c r="CY340">
        <f>'Grid_Stock'!CW10</f>
        <v/>
      </c>
      <c r="CZ340">
        <f>'Grid_Stock'!CX10</f>
        <v/>
      </c>
      <c r="DA340">
        <f>'Grid_Stock'!CY10</f>
        <v/>
      </c>
      <c r="DB340">
        <f>'Grid_Stock'!CZ10</f>
        <v/>
      </c>
      <c r="DC340">
        <f>'Grid_Stock'!DA10</f>
        <v/>
      </c>
    </row>
    <row r="341">
      <c r="B341" s="16" t="inlineStr">
        <is>
          <t>（発注の目安はDashboardの基準在庫[下限/上限]と色分けを参照）</t>
        </is>
      </c>
    </row>
    <row r="343">
      <c r="A343" s="14" t="inlineStr">
        <is>
          <t>CHEM-1400</t>
        </is>
      </c>
      <c r="B343" s="14" t="inlineStr">
        <is>
          <t>DISPAL 23N4-80</t>
        </is>
      </c>
      <c r="C343" s="15" t="n"/>
      <c r="D343" s="14" t="n"/>
      <c r="E343" s="14" t="n"/>
      <c r="F343" s="14" t="n"/>
      <c r="G343" s="14" t="n"/>
      <c r="H343" s="14" t="n"/>
      <c r="I343" s="14" t="n"/>
      <c r="J343" s="14" t="n"/>
      <c r="K343" s="14" t="n"/>
      <c r="L343" s="14" t="n"/>
      <c r="M343" s="14" t="n"/>
      <c r="N343" s="14" t="n"/>
      <c r="O343" s="14" t="n"/>
      <c r="P343" s="14" t="n"/>
      <c r="Q343" s="14" t="n"/>
      <c r="R343" s="14" t="n"/>
      <c r="S343" s="14" t="n"/>
      <c r="T343" s="14" t="n"/>
      <c r="U343" s="14" t="n"/>
      <c r="V343" s="14" t="n"/>
      <c r="W343" s="14" t="n"/>
      <c r="X343" s="14" t="n"/>
      <c r="Y343" s="14" t="n"/>
      <c r="Z343" s="14" t="n"/>
      <c r="AA343" s="14" t="n"/>
      <c r="AB343" s="14" t="n"/>
      <c r="AC343" s="14" t="n"/>
      <c r="AD343" s="14" t="n"/>
      <c r="AE343" s="14" t="n"/>
      <c r="AF343" s="14" t="n"/>
      <c r="AG343" s="14" t="n"/>
      <c r="AH343" s="14" t="n"/>
      <c r="AI343" s="14" t="n"/>
      <c r="AJ343" s="14" t="n"/>
      <c r="AK343" s="14" t="n"/>
      <c r="AL343" s="14" t="n"/>
      <c r="AM343" s="14" t="n"/>
      <c r="AN343" s="14" t="n"/>
      <c r="AO343" s="14" t="n"/>
      <c r="AP343" s="14" t="n"/>
      <c r="AQ343" s="14" t="n"/>
      <c r="AR343" s="14" t="n"/>
      <c r="AS343" s="14" t="n"/>
      <c r="AT343" s="14" t="n"/>
      <c r="AU343" s="14" t="n"/>
      <c r="AV343" s="14" t="n"/>
      <c r="AW343" s="14" t="n"/>
      <c r="AX343" s="14" t="n"/>
      <c r="AY343" s="14" t="n"/>
      <c r="AZ343" s="14" t="n"/>
      <c r="BA343" s="14" t="n"/>
      <c r="BB343" s="14" t="n"/>
      <c r="BC343" s="14" t="n"/>
      <c r="BD343" s="14" t="n"/>
      <c r="BE343" s="14" t="n"/>
      <c r="BF343" s="14" t="n"/>
      <c r="BG343" s="14" t="n"/>
      <c r="BH343" s="14" t="n"/>
      <c r="BI343" s="14" t="n"/>
      <c r="BJ343" s="14" t="n"/>
      <c r="BK343" s="14" t="n"/>
      <c r="BL343" s="14" t="n"/>
      <c r="BM343" s="14" t="n"/>
      <c r="BN343" s="14" t="n"/>
      <c r="BO343" s="14" t="n"/>
      <c r="BP343" s="14" t="n"/>
      <c r="BQ343" s="14" t="n"/>
      <c r="BR343" s="14" t="n"/>
      <c r="BS343" s="14" t="n"/>
      <c r="BT343" s="14" t="n"/>
      <c r="BU343" s="14" t="n"/>
      <c r="BV343" s="14" t="n"/>
      <c r="BW343" s="14" t="n"/>
      <c r="BX343" s="14" t="n"/>
      <c r="BY343" s="14" t="n"/>
      <c r="BZ343" s="14" t="n"/>
      <c r="CA343" s="14" t="n"/>
      <c r="CB343" s="14" t="n"/>
      <c r="CC343" s="14" t="n"/>
      <c r="CD343" s="14" t="n"/>
      <c r="CE343" s="14" t="n"/>
      <c r="CF343" s="14" t="n"/>
      <c r="CG343" s="14" t="n"/>
      <c r="CH343" s="14" t="n"/>
      <c r="CI343" s="14" t="n"/>
      <c r="CJ343" s="14" t="n"/>
      <c r="CK343" s="14" t="n"/>
      <c r="CL343" s="14" t="n"/>
      <c r="CM343" s="14" t="n"/>
      <c r="CN343" s="14" t="n"/>
      <c r="CO343" s="14" t="n"/>
      <c r="CP343" s="14" t="n"/>
      <c r="CQ343" s="14" t="n"/>
      <c r="CR343" s="14" t="n"/>
      <c r="CS343" s="14" t="n"/>
      <c r="CT343" s="14" t="n"/>
      <c r="CU343" s="14" t="n"/>
      <c r="CV343" s="14" t="n"/>
      <c r="CW343" s="14" t="n"/>
      <c r="CX343" s="14" t="n"/>
      <c r="CY343" s="14" t="n"/>
      <c r="CZ343" s="14" t="n"/>
      <c r="DA343" s="14" t="n"/>
      <c r="DB343" s="14" t="n"/>
      <c r="DC343" s="14" t="n"/>
    </row>
    <row r="344">
      <c r="B344" t="inlineStr">
        <is>
          <t>TSP-050</t>
        </is>
      </c>
      <c r="C344" t="inlineStr">
        <is>
          <t>No. of batches</t>
        </is>
      </c>
      <c r="D344">
        <f>IFERROR(INDEX(PP_Grid[#Data],$DD344,2),0)</f>
        <v/>
      </c>
      <c r="E344">
        <f>IFERROR(INDEX(PP_Grid[#Data],$DD344,3),0)</f>
        <v/>
      </c>
      <c r="F344">
        <f>IFERROR(INDEX(PP_Grid[#Data],$DD344,4),0)</f>
        <v/>
      </c>
      <c r="G344">
        <f>IFERROR(INDEX(PP_Grid[#Data],$DD344,5),0)</f>
        <v/>
      </c>
      <c r="H344">
        <f>IFERROR(INDEX(PP_Grid[#Data],$DD344,6),0)</f>
        <v/>
      </c>
      <c r="I344">
        <f>IFERROR(INDEX(PP_Grid[#Data],$DD344,7),0)</f>
        <v/>
      </c>
      <c r="J344">
        <f>IFERROR(INDEX(PP_Grid[#Data],$DD344,8),0)</f>
        <v/>
      </c>
      <c r="K344">
        <f>IFERROR(INDEX(PP_Grid[#Data],$DD344,9),0)</f>
        <v/>
      </c>
      <c r="L344">
        <f>IFERROR(INDEX(PP_Grid[#Data],$DD344,10),0)</f>
        <v/>
      </c>
      <c r="M344">
        <f>IFERROR(INDEX(PP_Grid[#Data],$DD344,11),0)</f>
        <v/>
      </c>
      <c r="N344">
        <f>IFERROR(INDEX(PP_Grid[#Data],$DD344,12),0)</f>
        <v/>
      </c>
      <c r="O344">
        <f>IFERROR(INDEX(PP_Grid[#Data],$DD344,13),0)</f>
        <v/>
      </c>
      <c r="P344">
        <f>IFERROR(INDEX(PP_Grid[#Data],$DD344,14),0)</f>
        <v/>
      </c>
      <c r="Q344">
        <f>IFERROR(INDEX(PP_Grid[#Data],$DD344,15),0)</f>
        <v/>
      </c>
      <c r="R344">
        <f>IFERROR(INDEX(PP_Grid[#Data],$DD344,16),0)</f>
        <v/>
      </c>
      <c r="S344">
        <f>IFERROR(INDEX(PP_Grid[#Data],$DD344,17),0)</f>
        <v/>
      </c>
      <c r="T344">
        <f>IFERROR(INDEX(PP_Grid[#Data],$DD344,18),0)</f>
        <v/>
      </c>
      <c r="U344">
        <f>IFERROR(INDEX(PP_Grid[#Data],$DD344,19),0)</f>
        <v/>
      </c>
      <c r="V344">
        <f>IFERROR(INDEX(PP_Grid[#Data],$DD344,20),0)</f>
        <v/>
      </c>
      <c r="W344">
        <f>IFERROR(INDEX(PP_Grid[#Data],$DD344,21),0)</f>
        <v/>
      </c>
      <c r="X344">
        <f>IFERROR(INDEX(PP_Grid[#Data],$DD344,22),0)</f>
        <v/>
      </c>
      <c r="Y344">
        <f>IFERROR(INDEX(PP_Grid[#Data],$DD344,23),0)</f>
        <v/>
      </c>
      <c r="Z344">
        <f>IFERROR(INDEX(PP_Grid[#Data],$DD344,24),0)</f>
        <v/>
      </c>
      <c r="AA344">
        <f>IFERROR(INDEX(PP_Grid[#Data],$DD344,25),0)</f>
        <v/>
      </c>
      <c r="AB344">
        <f>IFERROR(INDEX(PP_Grid[#Data],$DD344,26),0)</f>
        <v/>
      </c>
      <c r="AC344">
        <f>IFERROR(INDEX(PP_Grid[#Data],$DD344,27),0)</f>
        <v/>
      </c>
      <c r="AD344">
        <f>IFERROR(INDEX(PP_Grid[#Data],$DD344,28),0)</f>
        <v/>
      </c>
      <c r="AE344">
        <f>IFERROR(INDEX(PP_Grid[#Data],$DD344,29),0)</f>
        <v/>
      </c>
      <c r="AF344">
        <f>IFERROR(INDEX(PP_Grid[#Data],$DD344,30),0)</f>
        <v/>
      </c>
      <c r="AG344">
        <f>IFERROR(INDEX(PP_Grid[#Data],$DD344,31),0)</f>
        <v/>
      </c>
      <c r="AH344">
        <f>IFERROR(INDEX(PP_Grid[#Data],$DD344,32),0)</f>
        <v/>
      </c>
      <c r="AI344">
        <f>IFERROR(INDEX(PP_Grid[#Data],$DD344,33),0)</f>
        <v/>
      </c>
      <c r="AJ344">
        <f>IFERROR(INDEX(PP_Grid[#Data],$DD344,34),0)</f>
        <v/>
      </c>
      <c r="AK344">
        <f>IFERROR(INDEX(PP_Grid[#Data],$DD344,35),0)</f>
        <v/>
      </c>
      <c r="AL344">
        <f>IFERROR(INDEX(PP_Grid[#Data],$DD344,36),0)</f>
        <v/>
      </c>
      <c r="AM344">
        <f>IFERROR(INDEX(PP_Grid[#Data],$DD344,37),0)</f>
        <v/>
      </c>
      <c r="AN344">
        <f>IFERROR(INDEX(PP_Grid[#Data],$DD344,38),0)</f>
        <v/>
      </c>
      <c r="AO344">
        <f>IFERROR(INDEX(PP_Grid[#Data],$DD344,39),0)</f>
        <v/>
      </c>
      <c r="AP344">
        <f>IFERROR(INDEX(PP_Grid[#Data],$DD344,40),0)</f>
        <v/>
      </c>
      <c r="AQ344">
        <f>IFERROR(INDEX(PP_Grid[#Data],$DD344,41),0)</f>
        <v/>
      </c>
      <c r="AR344">
        <f>IFERROR(INDEX(PP_Grid[#Data],$DD344,42),0)</f>
        <v/>
      </c>
      <c r="AS344">
        <f>IFERROR(INDEX(PP_Grid[#Data],$DD344,43),0)</f>
        <v/>
      </c>
      <c r="AT344">
        <f>IFERROR(INDEX(PP_Grid[#Data],$DD344,44),0)</f>
        <v/>
      </c>
      <c r="AU344">
        <f>IFERROR(INDEX(PP_Grid[#Data],$DD344,45),0)</f>
        <v/>
      </c>
      <c r="AV344">
        <f>IFERROR(INDEX(PP_Grid[#Data],$DD344,46),0)</f>
        <v/>
      </c>
      <c r="AW344">
        <f>IFERROR(INDEX(PP_Grid[#Data],$DD344,47),0)</f>
        <v/>
      </c>
      <c r="AX344">
        <f>IFERROR(INDEX(PP_Grid[#Data],$DD344,48),0)</f>
        <v/>
      </c>
      <c r="AY344">
        <f>IFERROR(INDEX(PP_Grid[#Data],$DD344,49),0)</f>
        <v/>
      </c>
      <c r="AZ344">
        <f>IFERROR(INDEX(PP_Grid[#Data],$DD344,50),0)</f>
        <v/>
      </c>
      <c r="BA344">
        <f>IFERROR(INDEX(PP_Grid[#Data],$DD344,51),0)</f>
        <v/>
      </c>
      <c r="BB344">
        <f>IFERROR(INDEX(PP_Grid[#Data],$DD344,52),0)</f>
        <v/>
      </c>
      <c r="BC344">
        <f>IFERROR(INDEX(PP_Grid[#Data],$DD344,53),0)</f>
        <v/>
      </c>
      <c r="BD344">
        <f>IFERROR(INDEX(PP_Grid[#Data],$DD344,54),0)</f>
        <v/>
      </c>
      <c r="BE344">
        <f>IFERROR(INDEX(PP_Grid[#Data],$DD344,55),0)</f>
        <v/>
      </c>
      <c r="BF344">
        <f>IFERROR(INDEX(PP_Grid[#Data],$DD344,56),0)</f>
        <v/>
      </c>
      <c r="BG344">
        <f>IFERROR(INDEX(PP_Grid[#Data],$DD344,57),0)</f>
        <v/>
      </c>
      <c r="BH344">
        <f>IFERROR(INDEX(PP_Grid[#Data],$DD344,58),0)</f>
        <v/>
      </c>
      <c r="BI344">
        <f>IFERROR(INDEX(PP_Grid[#Data],$DD344,59),0)</f>
        <v/>
      </c>
      <c r="BJ344">
        <f>IFERROR(INDEX(PP_Grid[#Data],$DD344,60),0)</f>
        <v/>
      </c>
      <c r="BK344">
        <f>IFERROR(INDEX(PP_Grid[#Data],$DD344,61),0)</f>
        <v/>
      </c>
      <c r="BL344">
        <f>IFERROR(INDEX(PP_Grid[#Data],$DD344,62),0)</f>
        <v/>
      </c>
      <c r="BM344">
        <f>IFERROR(INDEX(PP_Grid[#Data],$DD344,63),0)</f>
        <v/>
      </c>
      <c r="BN344">
        <f>IFERROR(INDEX(PP_Grid[#Data],$DD344,64),0)</f>
        <v/>
      </c>
      <c r="BO344">
        <f>IFERROR(INDEX(PP_Grid[#Data],$DD344,65),0)</f>
        <v/>
      </c>
      <c r="BP344">
        <f>IFERROR(INDEX(PP_Grid[#Data],$DD344,66),0)</f>
        <v/>
      </c>
      <c r="BQ344">
        <f>IFERROR(INDEX(PP_Grid[#Data],$DD344,67),0)</f>
        <v/>
      </c>
      <c r="BR344">
        <f>IFERROR(INDEX(PP_Grid[#Data],$DD344,68),0)</f>
        <v/>
      </c>
      <c r="BS344">
        <f>IFERROR(INDEX(PP_Grid[#Data],$DD344,69),0)</f>
        <v/>
      </c>
      <c r="BT344">
        <f>IFERROR(INDEX(PP_Grid[#Data],$DD344,70),0)</f>
        <v/>
      </c>
      <c r="BU344">
        <f>IFERROR(INDEX(PP_Grid[#Data],$DD344,71),0)</f>
        <v/>
      </c>
      <c r="BV344">
        <f>IFERROR(INDEX(PP_Grid[#Data],$DD344,72),0)</f>
        <v/>
      </c>
      <c r="BW344">
        <f>IFERROR(INDEX(PP_Grid[#Data],$DD344,73),0)</f>
        <v/>
      </c>
      <c r="BX344">
        <f>IFERROR(INDEX(PP_Grid[#Data],$DD344,74),0)</f>
        <v/>
      </c>
      <c r="BY344">
        <f>IFERROR(INDEX(PP_Grid[#Data],$DD344,75),0)</f>
        <v/>
      </c>
      <c r="BZ344">
        <f>IFERROR(INDEX(PP_Grid[#Data],$DD344,76),0)</f>
        <v/>
      </c>
      <c r="CA344">
        <f>IFERROR(INDEX(PP_Grid[#Data],$DD344,77),0)</f>
        <v/>
      </c>
      <c r="CB344">
        <f>IFERROR(INDEX(PP_Grid[#Data],$DD344,78),0)</f>
        <v/>
      </c>
      <c r="CC344">
        <f>IFERROR(INDEX(PP_Grid[#Data],$DD344,79),0)</f>
        <v/>
      </c>
      <c r="CD344">
        <f>IFERROR(INDEX(PP_Grid[#Data],$DD344,80),0)</f>
        <v/>
      </c>
      <c r="CE344">
        <f>IFERROR(INDEX(PP_Grid[#Data],$DD344,81),0)</f>
        <v/>
      </c>
      <c r="CF344">
        <f>IFERROR(INDEX(PP_Grid[#Data],$DD344,82),0)</f>
        <v/>
      </c>
      <c r="CG344">
        <f>IFERROR(INDEX(PP_Grid[#Data],$DD344,83),0)</f>
        <v/>
      </c>
      <c r="CH344">
        <f>IFERROR(INDEX(PP_Grid[#Data],$DD344,84),0)</f>
        <v/>
      </c>
      <c r="CI344">
        <f>IFERROR(INDEX(PP_Grid[#Data],$DD344,85),0)</f>
        <v/>
      </c>
      <c r="CJ344">
        <f>IFERROR(INDEX(PP_Grid[#Data],$DD344,86),0)</f>
        <v/>
      </c>
      <c r="CK344">
        <f>IFERROR(INDEX(PP_Grid[#Data],$DD344,87),0)</f>
        <v/>
      </c>
      <c r="CL344">
        <f>IFERROR(INDEX(PP_Grid[#Data],$DD344,88),0)</f>
        <v/>
      </c>
      <c r="CM344">
        <f>IFERROR(INDEX(PP_Grid[#Data],$DD344,89),0)</f>
        <v/>
      </c>
      <c r="CN344">
        <f>IFERROR(INDEX(PP_Grid[#Data],$DD344,90),0)</f>
        <v/>
      </c>
      <c r="CO344">
        <f>IFERROR(INDEX(PP_Grid[#Data],$DD344,91),0)</f>
        <v/>
      </c>
      <c r="CP344">
        <f>IFERROR(INDEX(PP_Grid[#Data],$DD344,92),0)</f>
        <v/>
      </c>
      <c r="CQ344">
        <f>IFERROR(INDEX(PP_Grid[#Data],$DD344,93),0)</f>
        <v/>
      </c>
      <c r="CR344">
        <f>IFERROR(INDEX(PP_Grid[#Data],$DD344,94),0)</f>
        <v/>
      </c>
      <c r="CS344">
        <f>IFERROR(INDEX(PP_Grid[#Data],$DD344,95),0)</f>
        <v/>
      </c>
      <c r="CT344">
        <f>IFERROR(INDEX(PP_Grid[#Data],$DD344,96),0)</f>
        <v/>
      </c>
      <c r="CU344">
        <f>IFERROR(INDEX(PP_Grid[#Data],$DD344,97),0)</f>
        <v/>
      </c>
      <c r="CV344">
        <f>IFERROR(INDEX(PP_Grid[#Data],$DD344,98),0)</f>
        <v/>
      </c>
      <c r="CW344">
        <f>IFERROR(INDEX(PP_Grid[#Data],$DD344,99),0)</f>
        <v/>
      </c>
      <c r="CX344">
        <f>IFERROR(INDEX(PP_Grid[#Data],$DD344,100),0)</f>
        <v/>
      </c>
      <c r="CY344">
        <f>IFERROR(INDEX(PP_Grid[#Data],$DD344,101),0)</f>
        <v/>
      </c>
      <c r="CZ344">
        <f>IFERROR(INDEX(PP_Grid[#Data],$DD344,102),0)</f>
        <v/>
      </c>
      <c r="DA344">
        <f>IFERROR(INDEX(PP_Grid[#Data],$DD344,103),0)</f>
        <v/>
      </c>
      <c r="DB344">
        <f>IFERROR(INDEX(PP_Grid[#Data],$DD344,104),0)</f>
        <v/>
      </c>
      <c r="DC344">
        <f>IFERROR(INDEX(PP_Grid[#Data],$DD344,105),0)</f>
        <v/>
      </c>
      <c r="DD344" s="7">
        <f>IFERROR(MATCH($B344,PP_Grid[Intermediate],0),99999)</f>
        <v/>
      </c>
    </row>
    <row r="345">
      <c r="B345" t="inlineStr">
        <is>
          <t>使用量(kg)</t>
        </is>
      </c>
      <c r="C345">
        <f>SUMIFS(M_BOM[RM_Qty_Per_Batch],M_BOM[Intermediate],$B344,M_BOM[Part Name],$A343)</f>
        <v/>
      </c>
      <c r="D345">
        <f>$C345*D344</f>
        <v/>
      </c>
      <c r="E345">
        <f>$C345*E344</f>
        <v/>
      </c>
      <c r="F345">
        <f>$C345*F344</f>
        <v/>
      </c>
      <c r="G345">
        <f>$C345*G344</f>
        <v/>
      </c>
      <c r="H345">
        <f>$C345*H344</f>
        <v/>
      </c>
      <c r="I345">
        <f>$C345*I344</f>
        <v/>
      </c>
      <c r="J345">
        <f>$C345*J344</f>
        <v/>
      </c>
      <c r="K345">
        <f>$C345*K344</f>
        <v/>
      </c>
      <c r="L345">
        <f>$C345*L344</f>
        <v/>
      </c>
      <c r="M345">
        <f>$C345*M344</f>
        <v/>
      </c>
      <c r="N345">
        <f>$C345*N344</f>
        <v/>
      </c>
      <c r="O345">
        <f>$C345*O344</f>
        <v/>
      </c>
      <c r="P345">
        <f>$C345*P344</f>
        <v/>
      </c>
      <c r="Q345">
        <f>$C345*Q344</f>
        <v/>
      </c>
      <c r="R345">
        <f>$C345*R344</f>
        <v/>
      </c>
      <c r="S345">
        <f>$C345*S344</f>
        <v/>
      </c>
      <c r="T345">
        <f>$C345*T344</f>
        <v/>
      </c>
      <c r="U345">
        <f>$C345*U344</f>
        <v/>
      </c>
      <c r="V345">
        <f>$C345*V344</f>
        <v/>
      </c>
      <c r="W345">
        <f>$C345*W344</f>
        <v/>
      </c>
      <c r="X345">
        <f>$C345*X344</f>
        <v/>
      </c>
      <c r="Y345">
        <f>$C345*Y344</f>
        <v/>
      </c>
      <c r="Z345">
        <f>$C345*Z344</f>
        <v/>
      </c>
      <c r="AA345">
        <f>$C345*AA344</f>
        <v/>
      </c>
      <c r="AB345">
        <f>$C345*AB344</f>
        <v/>
      </c>
      <c r="AC345">
        <f>$C345*AC344</f>
        <v/>
      </c>
      <c r="AD345">
        <f>$C345*AD344</f>
        <v/>
      </c>
      <c r="AE345">
        <f>$C345*AE344</f>
        <v/>
      </c>
      <c r="AF345">
        <f>$C345*AF344</f>
        <v/>
      </c>
      <c r="AG345">
        <f>$C345*AG344</f>
        <v/>
      </c>
      <c r="AH345">
        <f>$C345*AH344</f>
        <v/>
      </c>
      <c r="AI345">
        <f>$C345*AI344</f>
        <v/>
      </c>
      <c r="AJ345">
        <f>$C345*AJ344</f>
        <v/>
      </c>
      <c r="AK345">
        <f>$C345*AK344</f>
        <v/>
      </c>
      <c r="AL345">
        <f>$C345*AL344</f>
        <v/>
      </c>
      <c r="AM345">
        <f>$C345*AM344</f>
        <v/>
      </c>
      <c r="AN345">
        <f>$C345*AN344</f>
        <v/>
      </c>
      <c r="AO345">
        <f>$C345*AO344</f>
        <v/>
      </c>
      <c r="AP345">
        <f>$C345*AP344</f>
        <v/>
      </c>
      <c r="AQ345">
        <f>$C345*AQ344</f>
        <v/>
      </c>
      <c r="AR345">
        <f>$C345*AR344</f>
        <v/>
      </c>
      <c r="AS345">
        <f>$C345*AS344</f>
        <v/>
      </c>
      <c r="AT345">
        <f>$C345*AT344</f>
        <v/>
      </c>
      <c r="AU345">
        <f>$C345*AU344</f>
        <v/>
      </c>
      <c r="AV345">
        <f>$C345*AV344</f>
        <v/>
      </c>
      <c r="AW345">
        <f>$C345*AW344</f>
        <v/>
      </c>
      <c r="AX345">
        <f>$C345*AX344</f>
        <v/>
      </c>
      <c r="AY345">
        <f>$C345*AY344</f>
        <v/>
      </c>
      <c r="AZ345">
        <f>$C345*AZ344</f>
        <v/>
      </c>
      <c r="BA345">
        <f>$C345*BA344</f>
        <v/>
      </c>
      <c r="BB345">
        <f>$C345*BB344</f>
        <v/>
      </c>
      <c r="BC345">
        <f>$C345*BC344</f>
        <v/>
      </c>
      <c r="BD345">
        <f>$C345*BD344</f>
        <v/>
      </c>
      <c r="BE345">
        <f>$C345*BE344</f>
        <v/>
      </c>
      <c r="BF345">
        <f>$C345*BF344</f>
        <v/>
      </c>
      <c r="BG345">
        <f>$C345*BG344</f>
        <v/>
      </c>
      <c r="BH345">
        <f>$C345*BH344</f>
        <v/>
      </c>
      <c r="BI345">
        <f>$C345*BI344</f>
        <v/>
      </c>
      <c r="BJ345">
        <f>$C345*BJ344</f>
        <v/>
      </c>
      <c r="BK345">
        <f>$C345*BK344</f>
        <v/>
      </c>
      <c r="BL345">
        <f>$C345*BL344</f>
        <v/>
      </c>
      <c r="BM345">
        <f>$C345*BM344</f>
        <v/>
      </c>
      <c r="BN345">
        <f>$C345*BN344</f>
        <v/>
      </c>
      <c r="BO345">
        <f>$C345*BO344</f>
        <v/>
      </c>
      <c r="BP345">
        <f>$C345*BP344</f>
        <v/>
      </c>
      <c r="BQ345">
        <f>$C345*BQ344</f>
        <v/>
      </c>
      <c r="BR345">
        <f>$C345*BR344</f>
        <v/>
      </c>
      <c r="BS345">
        <f>$C345*BS344</f>
        <v/>
      </c>
      <c r="BT345">
        <f>$C345*BT344</f>
        <v/>
      </c>
      <c r="BU345">
        <f>$C345*BU344</f>
        <v/>
      </c>
      <c r="BV345">
        <f>$C345*BV344</f>
        <v/>
      </c>
      <c r="BW345">
        <f>$C345*BW344</f>
        <v/>
      </c>
      <c r="BX345">
        <f>$C345*BX344</f>
        <v/>
      </c>
      <c r="BY345">
        <f>$C345*BY344</f>
        <v/>
      </c>
      <c r="BZ345">
        <f>$C345*BZ344</f>
        <v/>
      </c>
      <c r="CA345">
        <f>$C345*CA344</f>
        <v/>
      </c>
      <c r="CB345">
        <f>$C345*CB344</f>
        <v/>
      </c>
      <c r="CC345">
        <f>$C345*CC344</f>
        <v/>
      </c>
      <c r="CD345">
        <f>$C345*CD344</f>
        <v/>
      </c>
      <c r="CE345">
        <f>$C345*CE344</f>
        <v/>
      </c>
      <c r="CF345">
        <f>$C345*CF344</f>
        <v/>
      </c>
      <c r="CG345">
        <f>$C345*CG344</f>
        <v/>
      </c>
      <c r="CH345">
        <f>$C345*CH344</f>
        <v/>
      </c>
      <c r="CI345">
        <f>$C345*CI344</f>
        <v/>
      </c>
      <c r="CJ345">
        <f>$C345*CJ344</f>
        <v/>
      </c>
      <c r="CK345">
        <f>$C345*CK344</f>
        <v/>
      </c>
      <c r="CL345">
        <f>$C345*CL344</f>
        <v/>
      </c>
      <c r="CM345">
        <f>$C345*CM344</f>
        <v/>
      </c>
      <c r="CN345">
        <f>$C345*CN344</f>
        <v/>
      </c>
      <c r="CO345">
        <f>$C345*CO344</f>
        <v/>
      </c>
      <c r="CP345">
        <f>$C345*CP344</f>
        <v/>
      </c>
      <c r="CQ345">
        <f>$C345*CQ344</f>
        <v/>
      </c>
      <c r="CR345">
        <f>$C345*CR344</f>
        <v/>
      </c>
      <c r="CS345">
        <f>$C345*CS344</f>
        <v/>
      </c>
      <c r="CT345">
        <f>$C345*CT344</f>
        <v/>
      </c>
      <c r="CU345">
        <f>$C345*CU344</f>
        <v/>
      </c>
      <c r="CV345">
        <f>$C345*CV344</f>
        <v/>
      </c>
      <c r="CW345">
        <f>$C345*CW344</f>
        <v/>
      </c>
      <c r="CX345">
        <f>$C345*CX344</f>
        <v/>
      </c>
      <c r="CY345">
        <f>$C345*CY344</f>
        <v/>
      </c>
      <c r="CZ345">
        <f>$C345*CZ344</f>
        <v/>
      </c>
      <c r="DA345">
        <f>$C345*DA344</f>
        <v/>
      </c>
      <c r="DB345">
        <f>$C345*DB344</f>
        <v/>
      </c>
      <c r="DC345">
        <f>$C345*DC344</f>
        <v/>
      </c>
    </row>
    <row r="346">
      <c r="B346" t="inlineStr">
        <is>
          <t>TSP-078</t>
        </is>
      </c>
      <c r="C346" t="inlineStr">
        <is>
          <t>No. of batches</t>
        </is>
      </c>
      <c r="D346">
        <f>IFERROR(INDEX(PP_Grid[#Data],$DD346,2),0)</f>
        <v/>
      </c>
      <c r="E346">
        <f>IFERROR(INDEX(PP_Grid[#Data],$DD346,3),0)</f>
        <v/>
      </c>
      <c r="F346">
        <f>IFERROR(INDEX(PP_Grid[#Data],$DD346,4),0)</f>
        <v/>
      </c>
      <c r="G346">
        <f>IFERROR(INDEX(PP_Grid[#Data],$DD346,5),0)</f>
        <v/>
      </c>
      <c r="H346">
        <f>IFERROR(INDEX(PP_Grid[#Data],$DD346,6),0)</f>
        <v/>
      </c>
      <c r="I346">
        <f>IFERROR(INDEX(PP_Grid[#Data],$DD346,7),0)</f>
        <v/>
      </c>
      <c r="J346">
        <f>IFERROR(INDEX(PP_Grid[#Data],$DD346,8),0)</f>
        <v/>
      </c>
      <c r="K346">
        <f>IFERROR(INDEX(PP_Grid[#Data],$DD346,9),0)</f>
        <v/>
      </c>
      <c r="L346">
        <f>IFERROR(INDEX(PP_Grid[#Data],$DD346,10),0)</f>
        <v/>
      </c>
      <c r="M346">
        <f>IFERROR(INDEX(PP_Grid[#Data],$DD346,11),0)</f>
        <v/>
      </c>
      <c r="N346">
        <f>IFERROR(INDEX(PP_Grid[#Data],$DD346,12),0)</f>
        <v/>
      </c>
      <c r="O346">
        <f>IFERROR(INDEX(PP_Grid[#Data],$DD346,13),0)</f>
        <v/>
      </c>
      <c r="P346">
        <f>IFERROR(INDEX(PP_Grid[#Data],$DD346,14),0)</f>
        <v/>
      </c>
      <c r="Q346">
        <f>IFERROR(INDEX(PP_Grid[#Data],$DD346,15),0)</f>
        <v/>
      </c>
      <c r="R346">
        <f>IFERROR(INDEX(PP_Grid[#Data],$DD346,16),0)</f>
        <v/>
      </c>
      <c r="S346">
        <f>IFERROR(INDEX(PP_Grid[#Data],$DD346,17),0)</f>
        <v/>
      </c>
      <c r="T346">
        <f>IFERROR(INDEX(PP_Grid[#Data],$DD346,18),0)</f>
        <v/>
      </c>
      <c r="U346">
        <f>IFERROR(INDEX(PP_Grid[#Data],$DD346,19),0)</f>
        <v/>
      </c>
      <c r="V346">
        <f>IFERROR(INDEX(PP_Grid[#Data],$DD346,20),0)</f>
        <v/>
      </c>
      <c r="W346">
        <f>IFERROR(INDEX(PP_Grid[#Data],$DD346,21),0)</f>
        <v/>
      </c>
      <c r="X346">
        <f>IFERROR(INDEX(PP_Grid[#Data],$DD346,22),0)</f>
        <v/>
      </c>
      <c r="Y346">
        <f>IFERROR(INDEX(PP_Grid[#Data],$DD346,23),0)</f>
        <v/>
      </c>
      <c r="Z346">
        <f>IFERROR(INDEX(PP_Grid[#Data],$DD346,24),0)</f>
        <v/>
      </c>
      <c r="AA346">
        <f>IFERROR(INDEX(PP_Grid[#Data],$DD346,25),0)</f>
        <v/>
      </c>
      <c r="AB346">
        <f>IFERROR(INDEX(PP_Grid[#Data],$DD346,26),0)</f>
        <v/>
      </c>
      <c r="AC346">
        <f>IFERROR(INDEX(PP_Grid[#Data],$DD346,27),0)</f>
        <v/>
      </c>
      <c r="AD346">
        <f>IFERROR(INDEX(PP_Grid[#Data],$DD346,28),0)</f>
        <v/>
      </c>
      <c r="AE346">
        <f>IFERROR(INDEX(PP_Grid[#Data],$DD346,29),0)</f>
        <v/>
      </c>
      <c r="AF346">
        <f>IFERROR(INDEX(PP_Grid[#Data],$DD346,30),0)</f>
        <v/>
      </c>
      <c r="AG346">
        <f>IFERROR(INDEX(PP_Grid[#Data],$DD346,31),0)</f>
        <v/>
      </c>
      <c r="AH346">
        <f>IFERROR(INDEX(PP_Grid[#Data],$DD346,32),0)</f>
        <v/>
      </c>
      <c r="AI346">
        <f>IFERROR(INDEX(PP_Grid[#Data],$DD346,33),0)</f>
        <v/>
      </c>
      <c r="AJ346">
        <f>IFERROR(INDEX(PP_Grid[#Data],$DD346,34),0)</f>
        <v/>
      </c>
      <c r="AK346">
        <f>IFERROR(INDEX(PP_Grid[#Data],$DD346,35),0)</f>
        <v/>
      </c>
      <c r="AL346">
        <f>IFERROR(INDEX(PP_Grid[#Data],$DD346,36),0)</f>
        <v/>
      </c>
      <c r="AM346">
        <f>IFERROR(INDEX(PP_Grid[#Data],$DD346,37),0)</f>
        <v/>
      </c>
      <c r="AN346">
        <f>IFERROR(INDEX(PP_Grid[#Data],$DD346,38),0)</f>
        <v/>
      </c>
      <c r="AO346">
        <f>IFERROR(INDEX(PP_Grid[#Data],$DD346,39),0)</f>
        <v/>
      </c>
      <c r="AP346">
        <f>IFERROR(INDEX(PP_Grid[#Data],$DD346,40),0)</f>
        <v/>
      </c>
      <c r="AQ346">
        <f>IFERROR(INDEX(PP_Grid[#Data],$DD346,41),0)</f>
        <v/>
      </c>
      <c r="AR346">
        <f>IFERROR(INDEX(PP_Grid[#Data],$DD346,42),0)</f>
        <v/>
      </c>
      <c r="AS346">
        <f>IFERROR(INDEX(PP_Grid[#Data],$DD346,43),0)</f>
        <v/>
      </c>
      <c r="AT346">
        <f>IFERROR(INDEX(PP_Grid[#Data],$DD346,44),0)</f>
        <v/>
      </c>
      <c r="AU346">
        <f>IFERROR(INDEX(PP_Grid[#Data],$DD346,45),0)</f>
        <v/>
      </c>
      <c r="AV346">
        <f>IFERROR(INDEX(PP_Grid[#Data],$DD346,46),0)</f>
        <v/>
      </c>
      <c r="AW346">
        <f>IFERROR(INDEX(PP_Grid[#Data],$DD346,47),0)</f>
        <v/>
      </c>
      <c r="AX346">
        <f>IFERROR(INDEX(PP_Grid[#Data],$DD346,48),0)</f>
        <v/>
      </c>
      <c r="AY346">
        <f>IFERROR(INDEX(PP_Grid[#Data],$DD346,49),0)</f>
        <v/>
      </c>
      <c r="AZ346">
        <f>IFERROR(INDEX(PP_Grid[#Data],$DD346,50),0)</f>
        <v/>
      </c>
      <c r="BA346">
        <f>IFERROR(INDEX(PP_Grid[#Data],$DD346,51),0)</f>
        <v/>
      </c>
      <c r="BB346">
        <f>IFERROR(INDEX(PP_Grid[#Data],$DD346,52),0)</f>
        <v/>
      </c>
      <c r="BC346">
        <f>IFERROR(INDEX(PP_Grid[#Data],$DD346,53),0)</f>
        <v/>
      </c>
      <c r="BD346">
        <f>IFERROR(INDEX(PP_Grid[#Data],$DD346,54),0)</f>
        <v/>
      </c>
      <c r="BE346">
        <f>IFERROR(INDEX(PP_Grid[#Data],$DD346,55),0)</f>
        <v/>
      </c>
      <c r="BF346">
        <f>IFERROR(INDEX(PP_Grid[#Data],$DD346,56),0)</f>
        <v/>
      </c>
      <c r="BG346">
        <f>IFERROR(INDEX(PP_Grid[#Data],$DD346,57),0)</f>
        <v/>
      </c>
      <c r="BH346">
        <f>IFERROR(INDEX(PP_Grid[#Data],$DD346,58),0)</f>
        <v/>
      </c>
      <c r="BI346">
        <f>IFERROR(INDEX(PP_Grid[#Data],$DD346,59),0)</f>
        <v/>
      </c>
      <c r="BJ346">
        <f>IFERROR(INDEX(PP_Grid[#Data],$DD346,60),0)</f>
        <v/>
      </c>
      <c r="BK346">
        <f>IFERROR(INDEX(PP_Grid[#Data],$DD346,61),0)</f>
        <v/>
      </c>
      <c r="BL346">
        <f>IFERROR(INDEX(PP_Grid[#Data],$DD346,62),0)</f>
        <v/>
      </c>
      <c r="BM346">
        <f>IFERROR(INDEX(PP_Grid[#Data],$DD346,63),0)</f>
        <v/>
      </c>
      <c r="BN346">
        <f>IFERROR(INDEX(PP_Grid[#Data],$DD346,64),0)</f>
        <v/>
      </c>
      <c r="BO346">
        <f>IFERROR(INDEX(PP_Grid[#Data],$DD346,65),0)</f>
        <v/>
      </c>
      <c r="BP346">
        <f>IFERROR(INDEX(PP_Grid[#Data],$DD346,66),0)</f>
        <v/>
      </c>
      <c r="BQ346">
        <f>IFERROR(INDEX(PP_Grid[#Data],$DD346,67),0)</f>
        <v/>
      </c>
      <c r="BR346">
        <f>IFERROR(INDEX(PP_Grid[#Data],$DD346,68),0)</f>
        <v/>
      </c>
      <c r="BS346">
        <f>IFERROR(INDEX(PP_Grid[#Data],$DD346,69),0)</f>
        <v/>
      </c>
      <c r="BT346">
        <f>IFERROR(INDEX(PP_Grid[#Data],$DD346,70),0)</f>
        <v/>
      </c>
      <c r="BU346">
        <f>IFERROR(INDEX(PP_Grid[#Data],$DD346,71),0)</f>
        <v/>
      </c>
      <c r="BV346">
        <f>IFERROR(INDEX(PP_Grid[#Data],$DD346,72),0)</f>
        <v/>
      </c>
      <c r="BW346">
        <f>IFERROR(INDEX(PP_Grid[#Data],$DD346,73),0)</f>
        <v/>
      </c>
      <c r="BX346">
        <f>IFERROR(INDEX(PP_Grid[#Data],$DD346,74),0)</f>
        <v/>
      </c>
      <c r="BY346">
        <f>IFERROR(INDEX(PP_Grid[#Data],$DD346,75),0)</f>
        <v/>
      </c>
      <c r="BZ346">
        <f>IFERROR(INDEX(PP_Grid[#Data],$DD346,76),0)</f>
        <v/>
      </c>
      <c r="CA346">
        <f>IFERROR(INDEX(PP_Grid[#Data],$DD346,77),0)</f>
        <v/>
      </c>
      <c r="CB346">
        <f>IFERROR(INDEX(PP_Grid[#Data],$DD346,78),0)</f>
        <v/>
      </c>
      <c r="CC346">
        <f>IFERROR(INDEX(PP_Grid[#Data],$DD346,79),0)</f>
        <v/>
      </c>
      <c r="CD346">
        <f>IFERROR(INDEX(PP_Grid[#Data],$DD346,80),0)</f>
        <v/>
      </c>
      <c r="CE346">
        <f>IFERROR(INDEX(PP_Grid[#Data],$DD346,81),0)</f>
        <v/>
      </c>
      <c r="CF346">
        <f>IFERROR(INDEX(PP_Grid[#Data],$DD346,82),0)</f>
        <v/>
      </c>
      <c r="CG346">
        <f>IFERROR(INDEX(PP_Grid[#Data],$DD346,83),0)</f>
        <v/>
      </c>
      <c r="CH346">
        <f>IFERROR(INDEX(PP_Grid[#Data],$DD346,84),0)</f>
        <v/>
      </c>
      <c r="CI346">
        <f>IFERROR(INDEX(PP_Grid[#Data],$DD346,85),0)</f>
        <v/>
      </c>
      <c r="CJ346">
        <f>IFERROR(INDEX(PP_Grid[#Data],$DD346,86),0)</f>
        <v/>
      </c>
      <c r="CK346">
        <f>IFERROR(INDEX(PP_Grid[#Data],$DD346,87),0)</f>
        <v/>
      </c>
      <c r="CL346">
        <f>IFERROR(INDEX(PP_Grid[#Data],$DD346,88),0)</f>
        <v/>
      </c>
      <c r="CM346">
        <f>IFERROR(INDEX(PP_Grid[#Data],$DD346,89),0)</f>
        <v/>
      </c>
      <c r="CN346">
        <f>IFERROR(INDEX(PP_Grid[#Data],$DD346,90),0)</f>
        <v/>
      </c>
      <c r="CO346">
        <f>IFERROR(INDEX(PP_Grid[#Data],$DD346,91),0)</f>
        <v/>
      </c>
      <c r="CP346">
        <f>IFERROR(INDEX(PP_Grid[#Data],$DD346,92),0)</f>
        <v/>
      </c>
      <c r="CQ346">
        <f>IFERROR(INDEX(PP_Grid[#Data],$DD346,93),0)</f>
        <v/>
      </c>
      <c r="CR346">
        <f>IFERROR(INDEX(PP_Grid[#Data],$DD346,94),0)</f>
        <v/>
      </c>
      <c r="CS346">
        <f>IFERROR(INDEX(PP_Grid[#Data],$DD346,95),0)</f>
        <v/>
      </c>
      <c r="CT346">
        <f>IFERROR(INDEX(PP_Grid[#Data],$DD346,96),0)</f>
        <v/>
      </c>
      <c r="CU346">
        <f>IFERROR(INDEX(PP_Grid[#Data],$DD346,97),0)</f>
        <v/>
      </c>
      <c r="CV346">
        <f>IFERROR(INDEX(PP_Grid[#Data],$DD346,98),0)</f>
        <v/>
      </c>
      <c r="CW346">
        <f>IFERROR(INDEX(PP_Grid[#Data],$DD346,99),0)</f>
        <v/>
      </c>
      <c r="CX346">
        <f>IFERROR(INDEX(PP_Grid[#Data],$DD346,100),0)</f>
        <v/>
      </c>
      <c r="CY346">
        <f>IFERROR(INDEX(PP_Grid[#Data],$DD346,101),0)</f>
        <v/>
      </c>
      <c r="CZ346">
        <f>IFERROR(INDEX(PP_Grid[#Data],$DD346,102),0)</f>
        <v/>
      </c>
      <c r="DA346">
        <f>IFERROR(INDEX(PP_Grid[#Data],$DD346,103),0)</f>
        <v/>
      </c>
      <c r="DB346">
        <f>IFERROR(INDEX(PP_Grid[#Data],$DD346,104),0)</f>
        <v/>
      </c>
      <c r="DC346">
        <f>IFERROR(INDEX(PP_Grid[#Data],$DD346,105),0)</f>
        <v/>
      </c>
      <c r="DD346" s="7">
        <f>IFERROR(MATCH($B346,PP_Grid[Intermediate],0),99999)</f>
        <v/>
      </c>
    </row>
    <row r="347">
      <c r="B347" t="inlineStr">
        <is>
          <t>使用量(kg)</t>
        </is>
      </c>
      <c r="C347">
        <f>SUMIFS(M_BOM[RM_Qty_Per_Batch],M_BOM[Intermediate],$B346,M_BOM[Part Name],$A343)</f>
        <v/>
      </c>
      <c r="D347">
        <f>$C347*D346</f>
        <v/>
      </c>
      <c r="E347">
        <f>$C347*E346</f>
        <v/>
      </c>
      <c r="F347">
        <f>$C347*F346</f>
        <v/>
      </c>
      <c r="G347">
        <f>$C347*G346</f>
        <v/>
      </c>
      <c r="H347">
        <f>$C347*H346</f>
        <v/>
      </c>
      <c r="I347">
        <f>$C347*I346</f>
        <v/>
      </c>
      <c r="J347">
        <f>$C347*J346</f>
        <v/>
      </c>
      <c r="K347">
        <f>$C347*K346</f>
        <v/>
      </c>
      <c r="L347">
        <f>$C347*L346</f>
        <v/>
      </c>
      <c r="M347">
        <f>$C347*M346</f>
        <v/>
      </c>
      <c r="N347">
        <f>$C347*N346</f>
        <v/>
      </c>
      <c r="O347">
        <f>$C347*O346</f>
        <v/>
      </c>
      <c r="P347">
        <f>$C347*P346</f>
        <v/>
      </c>
      <c r="Q347">
        <f>$C347*Q346</f>
        <v/>
      </c>
      <c r="R347">
        <f>$C347*R346</f>
        <v/>
      </c>
      <c r="S347">
        <f>$C347*S346</f>
        <v/>
      </c>
      <c r="T347">
        <f>$C347*T346</f>
        <v/>
      </c>
      <c r="U347">
        <f>$C347*U346</f>
        <v/>
      </c>
      <c r="V347">
        <f>$C347*V346</f>
        <v/>
      </c>
      <c r="W347">
        <f>$C347*W346</f>
        <v/>
      </c>
      <c r="X347">
        <f>$C347*X346</f>
        <v/>
      </c>
      <c r="Y347">
        <f>$C347*Y346</f>
        <v/>
      </c>
      <c r="Z347">
        <f>$C347*Z346</f>
        <v/>
      </c>
      <c r="AA347">
        <f>$C347*AA346</f>
        <v/>
      </c>
      <c r="AB347">
        <f>$C347*AB346</f>
        <v/>
      </c>
      <c r="AC347">
        <f>$C347*AC346</f>
        <v/>
      </c>
      <c r="AD347">
        <f>$C347*AD346</f>
        <v/>
      </c>
      <c r="AE347">
        <f>$C347*AE346</f>
        <v/>
      </c>
      <c r="AF347">
        <f>$C347*AF346</f>
        <v/>
      </c>
      <c r="AG347">
        <f>$C347*AG346</f>
        <v/>
      </c>
      <c r="AH347">
        <f>$C347*AH346</f>
        <v/>
      </c>
      <c r="AI347">
        <f>$C347*AI346</f>
        <v/>
      </c>
      <c r="AJ347">
        <f>$C347*AJ346</f>
        <v/>
      </c>
      <c r="AK347">
        <f>$C347*AK346</f>
        <v/>
      </c>
      <c r="AL347">
        <f>$C347*AL346</f>
        <v/>
      </c>
      <c r="AM347">
        <f>$C347*AM346</f>
        <v/>
      </c>
      <c r="AN347">
        <f>$C347*AN346</f>
        <v/>
      </c>
      <c r="AO347">
        <f>$C347*AO346</f>
        <v/>
      </c>
      <c r="AP347">
        <f>$C347*AP346</f>
        <v/>
      </c>
      <c r="AQ347">
        <f>$C347*AQ346</f>
        <v/>
      </c>
      <c r="AR347">
        <f>$C347*AR346</f>
        <v/>
      </c>
      <c r="AS347">
        <f>$C347*AS346</f>
        <v/>
      </c>
      <c r="AT347">
        <f>$C347*AT346</f>
        <v/>
      </c>
      <c r="AU347">
        <f>$C347*AU346</f>
        <v/>
      </c>
      <c r="AV347">
        <f>$C347*AV346</f>
        <v/>
      </c>
      <c r="AW347">
        <f>$C347*AW346</f>
        <v/>
      </c>
      <c r="AX347">
        <f>$C347*AX346</f>
        <v/>
      </c>
      <c r="AY347">
        <f>$C347*AY346</f>
        <v/>
      </c>
      <c r="AZ347">
        <f>$C347*AZ346</f>
        <v/>
      </c>
      <c r="BA347">
        <f>$C347*BA346</f>
        <v/>
      </c>
      <c r="BB347">
        <f>$C347*BB346</f>
        <v/>
      </c>
      <c r="BC347">
        <f>$C347*BC346</f>
        <v/>
      </c>
      <c r="BD347">
        <f>$C347*BD346</f>
        <v/>
      </c>
      <c r="BE347">
        <f>$C347*BE346</f>
        <v/>
      </c>
      <c r="BF347">
        <f>$C347*BF346</f>
        <v/>
      </c>
      <c r="BG347">
        <f>$C347*BG346</f>
        <v/>
      </c>
      <c r="BH347">
        <f>$C347*BH346</f>
        <v/>
      </c>
      <c r="BI347">
        <f>$C347*BI346</f>
        <v/>
      </c>
      <c r="BJ347">
        <f>$C347*BJ346</f>
        <v/>
      </c>
      <c r="BK347">
        <f>$C347*BK346</f>
        <v/>
      </c>
      <c r="BL347">
        <f>$C347*BL346</f>
        <v/>
      </c>
      <c r="BM347">
        <f>$C347*BM346</f>
        <v/>
      </c>
      <c r="BN347">
        <f>$C347*BN346</f>
        <v/>
      </c>
      <c r="BO347">
        <f>$C347*BO346</f>
        <v/>
      </c>
      <c r="BP347">
        <f>$C347*BP346</f>
        <v/>
      </c>
      <c r="BQ347">
        <f>$C347*BQ346</f>
        <v/>
      </c>
      <c r="BR347">
        <f>$C347*BR346</f>
        <v/>
      </c>
      <c r="BS347">
        <f>$C347*BS346</f>
        <v/>
      </c>
      <c r="BT347">
        <f>$C347*BT346</f>
        <v/>
      </c>
      <c r="BU347">
        <f>$C347*BU346</f>
        <v/>
      </c>
      <c r="BV347">
        <f>$C347*BV346</f>
        <v/>
      </c>
      <c r="BW347">
        <f>$C347*BW346</f>
        <v/>
      </c>
      <c r="BX347">
        <f>$C347*BX346</f>
        <v/>
      </c>
      <c r="BY347">
        <f>$C347*BY346</f>
        <v/>
      </c>
      <c r="BZ347">
        <f>$C347*BZ346</f>
        <v/>
      </c>
      <c r="CA347">
        <f>$C347*CA346</f>
        <v/>
      </c>
      <c r="CB347">
        <f>$C347*CB346</f>
        <v/>
      </c>
      <c r="CC347">
        <f>$C347*CC346</f>
        <v/>
      </c>
      <c r="CD347">
        <f>$C347*CD346</f>
        <v/>
      </c>
      <c r="CE347">
        <f>$C347*CE346</f>
        <v/>
      </c>
      <c r="CF347">
        <f>$C347*CF346</f>
        <v/>
      </c>
      <c r="CG347">
        <f>$C347*CG346</f>
        <v/>
      </c>
      <c r="CH347">
        <f>$C347*CH346</f>
        <v/>
      </c>
      <c r="CI347">
        <f>$C347*CI346</f>
        <v/>
      </c>
      <c r="CJ347">
        <f>$C347*CJ346</f>
        <v/>
      </c>
      <c r="CK347">
        <f>$C347*CK346</f>
        <v/>
      </c>
      <c r="CL347">
        <f>$C347*CL346</f>
        <v/>
      </c>
      <c r="CM347">
        <f>$C347*CM346</f>
        <v/>
      </c>
      <c r="CN347">
        <f>$C347*CN346</f>
        <v/>
      </c>
      <c r="CO347">
        <f>$C347*CO346</f>
        <v/>
      </c>
      <c r="CP347">
        <f>$C347*CP346</f>
        <v/>
      </c>
      <c r="CQ347">
        <f>$C347*CQ346</f>
        <v/>
      </c>
      <c r="CR347">
        <f>$C347*CR346</f>
        <v/>
      </c>
      <c r="CS347">
        <f>$C347*CS346</f>
        <v/>
      </c>
      <c r="CT347">
        <f>$C347*CT346</f>
        <v/>
      </c>
      <c r="CU347">
        <f>$C347*CU346</f>
        <v/>
      </c>
      <c r="CV347">
        <f>$C347*CV346</f>
        <v/>
      </c>
      <c r="CW347">
        <f>$C347*CW346</f>
        <v/>
      </c>
      <c r="CX347">
        <f>$C347*CX346</f>
        <v/>
      </c>
      <c r="CY347">
        <f>$C347*CY346</f>
        <v/>
      </c>
      <c r="CZ347">
        <f>$C347*CZ346</f>
        <v/>
      </c>
      <c r="DA347">
        <f>$C347*DA346</f>
        <v/>
      </c>
      <c r="DB347">
        <f>$C347*DB346</f>
        <v/>
      </c>
      <c r="DC347">
        <f>$C347*DC346</f>
        <v/>
      </c>
    </row>
    <row r="348">
      <c r="B348" t="inlineStr">
        <is>
          <t>TSP-105</t>
        </is>
      </c>
      <c r="C348" t="inlineStr">
        <is>
          <t>No. of batches</t>
        </is>
      </c>
      <c r="D348">
        <f>IFERROR(INDEX(PP_Grid[#Data],$DD348,2),0)</f>
        <v/>
      </c>
      <c r="E348">
        <f>IFERROR(INDEX(PP_Grid[#Data],$DD348,3),0)</f>
        <v/>
      </c>
      <c r="F348">
        <f>IFERROR(INDEX(PP_Grid[#Data],$DD348,4),0)</f>
        <v/>
      </c>
      <c r="G348">
        <f>IFERROR(INDEX(PP_Grid[#Data],$DD348,5),0)</f>
        <v/>
      </c>
      <c r="H348">
        <f>IFERROR(INDEX(PP_Grid[#Data],$DD348,6),0)</f>
        <v/>
      </c>
      <c r="I348">
        <f>IFERROR(INDEX(PP_Grid[#Data],$DD348,7),0)</f>
        <v/>
      </c>
      <c r="J348">
        <f>IFERROR(INDEX(PP_Grid[#Data],$DD348,8),0)</f>
        <v/>
      </c>
      <c r="K348">
        <f>IFERROR(INDEX(PP_Grid[#Data],$DD348,9),0)</f>
        <v/>
      </c>
      <c r="L348">
        <f>IFERROR(INDEX(PP_Grid[#Data],$DD348,10),0)</f>
        <v/>
      </c>
      <c r="M348">
        <f>IFERROR(INDEX(PP_Grid[#Data],$DD348,11),0)</f>
        <v/>
      </c>
      <c r="N348">
        <f>IFERROR(INDEX(PP_Grid[#Data],$DD348,12),0)</f>
        <v/>
      </c>
      <c r="O348">
        <f>IFERROR(INDEX(PP_Grid[#Data],$DD348,13),0)</f>
        <v/>
      </c>
      <c r="P348">
        <f>IFERROR(INDEX(PP_Grid[#Data],$DD348,14),0)</f>
        <v/>
      </c>
      <c r="Q348">
        <f>IFERROR(INDEX(PP_Grid[#Data],$DD348,15),0)</f>
        <v/>
      </c>
      <c r="R348">
        <f>IFERROR(INDEX(PP_Grid[#Data],$DD348,16),0)</f>
        <v/>
      </c>
      <c r="S348">
        <f>IFERROR(INDEX(PP_Grid[#Data],$DD348,17),0)</f>
        <v/>
      </c>
      <c r="T348">
        <f>IFERROR(INDEX(PP_Grid[#Data],$DD348,18),0)</f>
        <v/>
      </c>
      <c r="U348">
        <f>IFERROR(INDEX(PP_Grid[#Data],$DD348,19),0)</f>
        <v/>
      </c>
      <c r="V348">
        <f>IFERROR(INDEX(PP_Grid[#Data],$DD348,20),0)</f>
        <v/>
      </c>
      <c r="W348">
        <f>IFERROR(INDEX(PP_Grid[#Data],$DD348,21),0)</f>
        <v/>
      </c>
      <c r="X348">
        <f>IFERROR(INDEX(PP_Grid[#Data],$DD348,22),0)</f>
        <v/>
      </c>
      <c r="Y348">
        <f>IFERROR(INDEX(PP_Grid[#Data],$DD348,23),0)</f>
        <v/>
      </c>
      <c r="Z348">
        <f>IFERROR(INDEX(PP_Grid[#Data],$DD348,24),0)</f>
        <v/>
      </c>
      <c r="AA348">
        <f>IFERROR(INDEX(PP_Grid[#Data],$DD348,25),0)</f>
        <v/>
      </c>
      <c r="AB348">
        <f>IFERROR(INDEX(PP_Grid[#Data],$DD348,26),0)</f>
        <v/>
      </c>
      <c r="AC348">
        <f>IFERROR(INDEX(PP_Grid[#Data],$DD348,27),0)</f>
        <v/>
      </c>
      <c r="AD348">
        <f>IFERROR(INDEX(PP_Grid[#Data],$DD348,28),0)</f>
        <v/>
      </c>
      <c r="AE348">
        <f>IFERROR(INDEX(PP_Grid[#Data],$DD348,29),0)</f>
        <v/>
      </c>
      <c r="AF348">
        <f>IFERROR(INDEX(PP_Grid[#Data],$DD348,30),0)</f>
        <v/>
      </c>
      <c r="AG348">
        <f>IFERROR(INDEX(PP_Grid[#Data],$DD348,31),0)</f>
        <v/>
      </c>
      <c r="AH348">
        <f>IFERROR(INDEX(PP_Grid[#Data],$DD348,32),0)</f>
        <v/>
      </c>
      <c r="AI348">
        <f>IFERROR(INDEX(PP_Grid[#Data],$DD348,33),0)</f>
        <v/>
      </c>
      <c r="AJ348">
        <f>IFERROR(INDEX(PP_Grid[#Data],$DD348,34),0)</f>
        <v/>
      </c>
      <c r="AK348">
        <f>IFERROR(INDEX(PP_Grid[#Data],$DD348,35),0)</f>
        <v/>
      </c>
      <c r="AL348">
        <f>IFERROR(INDEX(PP_Grid[#Data],$DD348,36),0)</f>
        <v/>
      </c>
      <c r="AM348">
        <f>IFERROR(INDEX(PP_Grid[#Data],$DD348,37),0)</f>
        <v/>
      </c>
      <c r="AN348">
        <f>IFERROR(INDEX(PP_Grid[#Data],$DD348,38),0)</f>
        <v/>
      </c>
      <c r="AO348">
        <f>IFERROR(INDEX(PP_Grid[#Data],$DD348,39),0)</f>
        <v/>
      </c>
      <c r="AP348">
        <f>IFERROR(INDEX(PP_Grid[#Data],$DD348,40),0)</f>
        <v/>
      </c>
      <c r="AQ348">
        <f>IFERROR(INDEX(PP_Grid[#Data],$DD348,41),0)</f>
        <v/>
      </c>
      <c r="AR348">
        <f>IFERROR(INDEX(PP_Grid[#Data],$DD348,42),0)</f>
        <v/>
      </c>
      <c r="AS348">
        <f>IFERROR(INDEX(PP_Grid[#Data],$DD348,43),0)</f>
        <v/>
      </c>
      <c r="AT348">
        <f>IFERROR(INDEX(PP_Grid[#Data],$DD348,44),0)</f>
        <v/>
      </c>
      <c r="AU348">
        <f>IFERROR(INDEX(PP_Grid[#Data],$DD348,45),0)</f>
        <v/>
      </c>
      <c r="AV348">
        <f>IFERROR(INDEX(PP_Grid[#Data],$DD348,46),0)</f>
        <v/>
      </c>
      <c r="AW348">
        <f>IFERROR(INDEX(PP_Grid[#Data],$DD348,47),0)</f>
        <v/>
      </c>
      <c r="AX348">
        <f>IFERROR(INDEX(PP_Grid[#Data],$DD348,48),0)</f>
        <v/>
      </c>
      <c r="AY348">
        <f>IFERROR(INDEX(PP_Grid[#Data],$DD348,49),0)</f>
        <v/>
      </c>
      <c r="AZ348">
        <f>IFERROR(INDEX(PP_Grid[#Data],$DD348,50),0)</f>
        <v/>
      </c>
      <c r="BA348">
        <f>IFERROR(INDEX(PP_Grid[#Data],$DD348,51),0)</f>
        <v/>
      </c>
      <c r="BB348">
        <f>IFERROR(INDEX(PP_Grid[#Data],$DD348,52),0)</f>
        <v/>
      </c>
      <c r="BC348">
        <f>IFERROR(INDEX(PP_Grid[#Data],$DD348,53),0)</f>
        <v/>
      </c>
      <c r="BD348">
        <f>IFERROR(INDEX(PP_Grid[#Data],$DD348,54),0)</f>
        <v/>
      </c>
      <c r="BE348">
        <f>IFERROR(INDEX(PP_Grid[#Data],$DD348,55),0)</f>
        <v/>
      </c>
      <c r="BF348">
        <f>IFERROR(INDEX(PP_Grid[#Data],$DD348,56),0)</f>
        <v/>
      </c>
      <c r="BG348">
        <f>IFERROR(INDEX(PP_Grid[#Data],$DD348,57),0)</f>
        <v/>
      </c>
      <c r="BH348">
        <f>IFERROR(INDEX(PP_Grid[#Data],$DD348,58),0)</f>
        <v/>
      </c>
      <c r="BI348">
        <f>IFERROR(INDEX(PP_Grid[#Data],$DD348,59),0)</f>
        <v/>
      </c>
      <c r="BJ348">
        <f>IFERROR(INDEX(PP_Grid[#Data],$DD348,60),0)</f>
        <v/>
      </c>
      <c r="BK348">
        <f>IFERROR(INDEX(PP_Grid[#Data],$DD348,61),0)</f>
        <v/>
      </c>
      <c r="BL348">
        <f>IFERROR(INDEX(PP_Grid[#Data],$DD348,62),0)</f>
        <v/>
      </c>
      <c r="BM348">
        <f>IFERROR(INDEX(PP_Grid[#Data],$DD348,63),0)</f>
        <v/>
      </c>
      <c r="BN348">
        <f>IFERROR(INDEX(PP_Grid[#Data],$DD348,64),0)</f>
        <v/>
      </c>
      <c r="BO348">
        <f>IFERROR(INDEX(PP_Grid[#Data],$DD348,65),0)</f>
        <v/>
      </c>
      <c r="BP348">
        <f>IFERROR(INDEX(PP_Grid[#Data],$DD348,66),0)</f>
        <v/>
      </c>
      <c r="BQ348">
        <f>IFERROR(INDEX(PP_Grid[#Data],$DD348,67),0)</f>
        <v/>
      </c>
      <c r="BR348">
        <f>IFERROR(INDEX(PP_Grid[#Data],$DD348,68),0)</f>
        <v/>
      </c>
      <c r="BS348">
        <f>IFERROR(INDEX(PP_Grid[#Data],$DD348,69),0)</f>
        <v/>
      </c>
      <c r="BT348">
        <f>IFERROR(INDEX(PP_Grid[#Data],$DD348,70),0)</f>
        <v/>
      </c>
      <c r="BU348">
        <f>IFERROR(INDEX(PP_Grid[#Data],$DD348,71),0)</f>
        <v/>
      </c>
      <c r="BV348">
        <f>IFERROR(INDEX(PP_Grid[#Data],$DD348,72),0)</f>
        <v/>
      </c>
      <c r="BW348">
        <f>IFERROR(INDEX(PP_Grid[#Data],$DD348,73),0)</f>
        <v/>
      </c>
      <c r="BX348">
        <f>IFERROR(INDEX(PP_Grid[#Data],$DD348,74),0)</f>
        <v/>
      </c>
      <c r="BY348">
        <f>IFERROR(INDEX(PP_Grid[#Data],$DD348,75),0)</f>
        <v/>
      </c>
      <c r="BZ348">
        <f>IFERROR(INDEX(PP_Grid[#Data],$DD348,76),0)</f>
        <v/>
      </c>
      <c r="CA348">
        <f>IFERROR(INDEX(PP_Grid[#Data],$DD348,77),0)</f>
        <v/>
      </c>
      <c r="CB348">
        <f>IFERROR(INDEX(PP_Grid[#Data],$DD348,78),0)</f>
        <v/>
      </c>
      <c r="CC348">
        <f>IFERROR(INDEX(PP_Grid[#Data],$DD348,79),0)</f>
        <v/>
      </c>
      <c r="CD348">
        <f>IFERROR(INDEX(PP_Grid[#Data],$DD348,80),0)</f>
        <v/>
      </c>
      <c r="CE348">
        <f>IFERROR(INDEX(PP_Grid[#Data],$DD348,81),0)</f>
        <v/>
      </c>
      <c r="CF348">
        <f>IFERROR(INDEX(PP_Grid[#Data],$DD348,82),0)</f>
        <v/>
      </c>
      <c r="CG348">
        <f>IFERROR(INDEX(PP_Grid[#Data],$DD348,83),0)</f>
        <v/>
      </c>
      <c r="CH348">
        <f>IFERROR(INDEX(PP_Grid[#Data],$DD348,84),0)</f>
        <v/>
      </c>
      <c r="CI348">
        <f>IFERROR(INDEX(PP_Grid[#Data],$DD348,85),0)</f>
        <v/>
      </c>
      <c r="CJ348">
        <f>IFERROR(INDEX(PP_Grid[#Data],$DD348,86),0)</f>
        <v/>
      </c>
      <c r="CK348">
        <f>IFERROR(INDEX(PP_Grid[#Data],$DD348,87),0)</f>
        <v/>
      </c>
      <c r="CL348">
        <f>IFERROR(INDEX(PP_Grid[#Data],$DD348,88),0)</f>
        <v/>
      </c>
      <c r="CM348">
        <f>IFERROR(INDEX(PP_Grid[#Data],$DD348,89),0)</f>
        <v/>
      </c>
      <c r="CN348">
        <f>IFERROR(INDEX(PP_Grid[#Data],$DD348,90),0)</f>
        <v/>
      </c>
      <c r="CO348">
        <f>IFERROR(INDEX(PP_Grid[#Data],$DD348,91),0)</f>
        <v/>
      </c>
      <c r="CP348">
        <f>IFERROR(INDEX(PP_Grid[#Data],$DD348,92),0)</f>
        <v/>
      </c>
      <c r="CQ348">
        <f>IFERROR(INDEX(PP_Grid[#Data],$DD348,93),0)</f>
        <v/>
      </c>
      <c r="CR348">
        <f>IFERROR(INDEX(PP_Grid[#Data],$DD348,94),0)</f>
        <v/>
      </c>
      <c r="CS348">
        <f>IFERROR(INDEX(PP_Grid[#Data],$DD348,95),0)</f>
        <v/>
      </c>
      <c r="CT348">
        <f>IFERROR(INDEX(PP_Grid[#Data],$DD348,96),0)</f>
        <v/>
      </c>
      <c r="CU348">
        <f>IFERROR(INDEX(PP_Grid[#Data],$DD348,97),0)</f>
        <v/>
      </c>
      <c r="CV348">
        <f>IFERROR(INDEX(PP_Grid[#Data],$DD348,98),0)</f>
        <v/>
      </c>
      <c r="CW348">
        <f>IFERROR(INDEX(PP_Grid[#Data],$DD348,99),0)</f>
        <v/>
      </c>
      <c r="CX348">
        <f>IFERROR(INDEX(PP_Grid[#Data],$DD348,100),0)</f>
        <v/>
      </c>
      <c r="CY348">
        <f>IFERROR(INDEX(PP_Grid[#Data],$DD348,101),0)</f>
        <v/>
      </c>
      <c r="CZ348">
        <f>IFERROR(INDEX(PP_Grid[#Data],$DD348,102),0)</f>
        <v/>
      </c>
      <c r="DA348">
        <f>IFERROR(INDEX(PP_Grid[#Data],$DD348,103),0)</f>
        <v/>
      </c>
      <c r="DB348">
        <f>IFERROR(INDEX(PP_Grid[#Data],$DD348,104),0)</f>
        <v/>
      </c>
      <c r="DC348">
        <f>IFERROR(INDEX(PP_Grid[#Data],$DD348,105),0)</f>
        <v/>
      </c>
      <c r="DD348" s="7">
        <f>IFERROR(MATCH($B348,PP_Grid[Intermediate],0),99999)</f>
        <v/>
      </c>
    </row>
    <row r="349">
      <c r="B349" t="inlineStr">
        <is>
          <t>使用量(kg)</t>
        </is>
      </c>
      <c r="C349">
        <f>SUMIFS(M_BOM[RM_Qty_Per_Batch],M_BOM[Intermediate],$B348,M_BOM[Part Name],$A343)</f>
        <v/>
      </c>
      <c r="D349">
        <f>$C349*D348</f>
        <v/>
      </c>
      <c r="E349">
        <f>$C349*E348</f>
        <v/>
      </c>
      <c r="F349">
        <f>$C349*F348</f>
        <v/>
      </c>
      <c r="G349">
        <f>$C349*G348</f>
        <v/>
      </c>
      <c r="H349">
        <f>$C349*H348</f>
        <v/>
      </c>
      <c r="I349">
        <f>$C349*I348</f>
        <v/>
      </c>
      <c r="J349">
        <f>$C349*J348</f>
        <v/>
      </c>
      <c r="K349">
        <f>$C349*K348</f>
        <v/>
      </c>
      <c r="L349">
        <f>$C349*L348</f>
        <v/>
      </c>
      <c r="M349">
        <f>$C349*M348</f>
        <v/>
      </c>
      <c r="N349">
        <f>$C349*N348</f>
        <v/>
      </c>
      <c r="O349">
        <f>$C349*O348</f>
        <v/>
      </c>
      <c r="P349">
        <f>$C349*P348</f>
        <v/>
      </c>
      <c r="Q349">
        <f>$C349*Q348</f>
        <v/>
      </c>
      <c r="R349">
        <f>$C349*R348</f>
        <v/>
      </c>
      <c r="S349">
        <f>$C349*S348</f>
        <v/>
      </c>
      <c r="T349">
        <f>$C349*T348</f>
        <v/>
      </c>
      <c r="U349">
        <f>$C349*U348</f>
        <v/>
      </c>
      <c r="V349">
        <f>$C349*V348</f>
        <v/>
      </c>
      <c r="W349">
        <f>$C349*W348</f>
        <v/>
      </c>
      <c r="X349">
        <f>$C349*X348</f>
        <v/>
      </c>
      <c r="Y349">
        <f>$C349*Y348</f>
        <v/>
      </c>
      <c r="Z349">
        <f>$C349*Z348</f>
        <v/>
      </c>
      <c r="AA349">
        <f>$C349*AA348</f>
        <v/>
      </c>
      <c r="AB349">
        <f>$C349*AB348</f>
        <v/>
      </c>
      <c r="AC349">
        <f>$C349*AC348</f>
        <v/>
      </c>
      <c r="AD349">
        <f>$C349*AD348</f>
        <v/>
      </c>
      <c r="AE349">
        <f>$C349*AE348</f>
        <v/>
      </c>
      <c r="AF349">
        <f>$C349*AF348</f>
        <v/>
      </c>
      <c r="AG349">
        <f>$C349*AG348</f>
        <v/>
      </c>
      <c r="AH349">
        <f>$C349*AH348</f>
        <v/>
      </c>
      <c r="AI349">
        <f>$C349*AI348</f>
        <v/>
      </c>
      <c r="AJ349">
        <f>$C349*AJ348</f>
        <v/>
      </c>
      <c r="AK349">
        <f>$C349*AK348</f>
        <v/>
      </c>
      <c r="AL349">
        <f>$C349*AL348</f>
        <v/>
      </c>
      <c r="AM349">
        <f>$C349*AM348</f>
        <v/>
      </c>
      <c r="AN349">
        <f>$C349*AN348</f>
        <v/>
      </c>
      <c r="AO349">
        <f>$C349*AO348</f>
        <v/>
      </c>
      <c r="AP349">
        <f>$C349*AP348</f>
        <v/>
      </c>
      <c r="AQ349">
        <f>$C349*AQ348</f>
        <v/>
      </c>
      <c r="AR349">
        <f>$C349*AR348</f>
        <v/>
      </c>
      <c r="AS349">
        <f>$C349*AS348</f>
        <v/>
      </c>
      <c r="AT349">
        <f>$C349*AT348</f>
        <v/>
      </c>
      <c r="AU349">
        <f>$C349*AU348</f>
        <v/>
      </c>
      <c r="AV349">
        <f>$C349*AV348</f>
        <v/>
      </c>
      <c r="AW349">
        <f>$C349*AW348</f>
        <v/>
      </c>
      <c r="AX349">
        <f>$C349*AX348</f>
        <v/>
      </c>
      <c r="AY349">
        <f>$C349*AY348</f>
        <v/>
      </c>
      <c r="AZ349">
        <f>$C349*AZ348</f>
        <v/>
      </c>
      <c r="BA349">
        <f>$C349*BA348</f>
        <v/>
      </c>
      <c r="BB349">
        <f>$C349*BB348</f>
        <v/>
      </c>
      <c r="BC349">
        <f>$C349*BC348</f>
        <v/>
      </c>
      <c r="BD349">
        <f>$C349*BD348</f>
        <v/>
      </c>
      <c r="BE349">
        <f>$C349*BE348</f>
        <v/>
      </c>
      <c r="BF349">
        <f>$C349*BF348</f>
        <v/>
      </c>
      <c r="BG349">
        <f>$C349*BG348</f>
        <v/>
      </c>
      <c r="BH349">
        <f>$C349*BH348</f>
        <v/>
      </c>
      <c r="BI349">
        <f>$C349*BI348</f>
        <v/>
      </c>
      <c r="BJ349">
        <f>$C349*BJ348</f>
        <v/>
      </c>
      <c r="BK349">
        <f>$C349*BK348</f>
        <v/>
      </c>
      <c r="BL349">
        <f>$C349*BL348</f>
        <v/>
      </c>
      <c r="BM349">
        <f>$C349*BM348</f>
        <v/>
      </c>
      <c r="BN349">
        <f>$C349*BN348</f>
        <v/>
      </c>
      <c r="BO349">
        <f>$C349*BO348</f>
        <v/>
      </c>
      <c r="BP349">
        <f>$C349*BP348</f>
        <v/>
      </c>
      <c r="BQ349">
        <f>$C349*BQ348</f>
        <v/>
      </c>
      <c r="BR349">
        <f>$C349*BR348</f>
        <v/>
      </c>
      <c r="BS349">
        <f>$C349*BS348</f>
        <v/>
      </c>
      <c r="BT349">
        <f>$C349*BT348</f>
        <v/>
      </c>
      <c r="BU349">
        <f>$C349*BU348</f>
        <v/>
      </c>
      <c r="BV349">
        <f>$C349*BV348</f>
        <v/>
      </c>
      <c r="BW349">
        <f>$C349*BW348</f>
        <v/>
      </c>
      <c r="BX349">
        <f>$C349*BX348</f>
        <v/>
      </c>
      <c r="BY349">
        <f>$C349*BY348</f>
        <v/>
      </c>
      <c r="BZ349">
        <f>$C349*BZ348</f>
        <v/>
      </c>
      <c r="CA349">
        <f>$C349*CA348</f>
        <v/>
      </c>
      <c r="CB349">
        <f>$C349*CB348</f>
        <v/>
      </c>
      <c r="CC349">
        <f>$C349*CC348</f>
        <v/>
      </c>
      <c r="CD349">
        <f>$C349*CD348</f>
        <v/>
      </c>
      <c r="CE349">
        <f>$C349*CE348</f>
        <v/>
      </c>
      <c r="CF349">
        <f>$C349*CF348</f>
        <v/>
      </c>
      <c r="CG349">
        <f>$C349*CG348</f>
        <v/>
      </c>
      <c r="CH349">
        <f>$C349*CH348</f>
        <v/>
      </c>
      <c r="CI349">
        <f>$C349*CI348</f>
        <v/>
      </c>
      <c r="CJ349">
        <f>$C349*CJ348</f>
        <v/>
      </c>
      <c r="CK349">
        <f>$C349*CK348</f>
        <v/>
      </c>
      <c r="CL349">
        <f>$C349*CL348</f>
        <v/>
      </c>
      <c r="CM349">
        <f>$C349*CM348</f>
        <v/>
      </c>
      <c r="CN349">
        <f>$C349*CN348</f>
        <v/>
      </c>
      <c r="CO349">
        <f>$C349*CO348</f>
        <v/>
      </c>
      <c r="CP349">
        <f>$C349*CP348</f>
        <v/>
      </c>
      <c r="CQ349">
        <f>$C349*CQ348</f>
        <v/>
      </c>
      <c r="CR349">
        <f>$C349*CR348</f>
        <v/>
      </c>
      <c r="CS349">
        <f>$C349*CS348</f>
        <v/>
      </c>
      <c r="CT349">
        <f>$C349*CT348</f>
        <v/>
      </c>
      <c r="CU349">
        <f>$C349*CU348</f>
        <v/>
      </c>
      <c r="CV349">
        <f>$C349*CV348</f>
        <v/>
      </c>
      <c r="CW349">
        <f>$C349*CW348</f>
        <v/>
      </c>
      <c r="CX349">
        <f>$C349*CX348</f>
        <v/>
      </c>
      <c r="CY349">
        <f>$C349*CY348</f>
        <v/>
      </c>
      <c r="CZ349">
        <f>$C349*CZ348</f>
        <v/>
      </c>
      <c r="DA349">
        <f>$C349*DA348</f>
        <v/>
      </c>
      <c r="DB349">
        <f>$C349*DB348</f>
        <v/>
      </c>
      <c r="DC349">
        <f>$C349*DC348</f>
        <v/>
      </c>
    </row>
    <row r="350">
      <c r="B350" t="inlineStr">
        <is>
          <t>TSP-199</t>
        </is>
      </c>
      <c r="C350" t="inlineStr">
        <is>
          <t>No. of batches</t>
        </is>
      </c>
      <c r="D350">
        <f>IFERROR(INDEX(PP_Grid[#Data],$DD350,2),0)</f>
        <v/>
      </c>
      <c r="E350">
        <f>IFERROR(INDEX(PP_Grid[#Data],$DD350,3),0)</f>
        <v/>
      </c>
      <c r="F350">
        <f>IFERROR(INDEX(PP_Grid[#Data],$DD350,4),0)</f>
        <v/>
      </c>
      <c r="G350">
        <f>IFERROR(INDEX(PP_Grid[#Data],$DD350,5),0)</f>
        <v/>
      </c>
      <c r="H350">
        <f>IFERROR(INDEX(PP_Grid[#Data],$DD350,6),0)</f>
        <v/>
      </c>
      <c r="I350">
        <f>IFERROR(INDEX(PP_Grid[#Data],$DD350,7),0)</f>
        <v/>
      </c>
      <c r="J350">
        <f>IFERROR(INDEX(PP_Grid[#Data],$DD350,8),0)</f>
        <v/>
      </c>
      <c r="K350">
        <f>IFERROR(INDEX(PP_Grid[#Data],$DD350,9),0)</f>
        <v/>
      </c>
      <c r="L350">
        <f>IFERROR(INDEX(PP_Grid[#Data],$DD350,10),0)</f>
        <v/>
      </c>
      <c r="M350">
        <f>IFERROR(INDEX(PP_Grid[#Data],$DD350,11),0)</f>
        <v/>
      </c>
      <c r="N350">
        <f>IFERROR(INDEX(PP_Grid[#Data],$DD350,12),0)</f>
        <v/>
      </c>
      <c r="O350">
        <f>IFERROR(INDEX(PP_Grid[#Data],$DD350,13),0)</f>
        <v/>
      </c>
      <c r="P350">
        <f>IFERROR(INDEX(PP_Grid[#Data],$DD350,14),0)</f>
        <v/>
      </c>
      <c r="Q350">
        <f>IFERROR(INDEX(PP_Grid[#Data],$DD350,15),0)</f>
        <v/>
      </c>
      <c r="R350">
        <f>IFERROR(INDEX(PP_Grid[#Data],$DD350,16),0)</f>
        <v/>
      </c>
      <c r="S350">
        <f>IFERROR(INDEX(PP_Grid[#Data],$DD350,17),0)</f>
        <v/>
      </c>
      <c r="T350">
        <f>IFERROR(INDEX(PP_Grid[#Data],$DD350,18),0)</f>
        <v/>
      </c>
      <c r="U350">
        <f>IFERROR(INDEX(PP_Grid[#Data],$DD350,19),0)</f>
        <v/>
      </c>
      <c r="V350">
        <f>IFERROR(INDEX(PP_Grid[#Data],$DD350,20),0)</f>
        <v/>
      </c>
      <c r="W350">
        <f>IFERROR(INDEX(PP_Grid[#Data],$DD350,21),0)</f>
        <v/>
      </c>
      <c r="X350">
        <f>IFERROR(INDEX(PP_Grid[#Data],$DD350,22),0)</f>
        <v/>
      </c>
      <c r="Y350">
        <f>IFERROR(INDEX(PP_Grid[#Data],$DD350,23),0)</f>
        <v/>
      </c>
      <c r="Z350">
        <f>IFERROR(INDEX(PP_Grid[#Data],$DD350,24),0)</f>
        <v/>
      </c>
      <c r="AA350">
        <f>IFERROR(INDEX(PP_Grid[#Data],$DD350,25),0)</f>
        <v/>
      </c>
      <c r="AB350">
        <f>IFERROR(INDEX(PP_Grid[#Data],$DD350,26),0)</f>
        <v/>
      </c>
      <c r="AC350">
        <f>IFERROR(INDEX(PP_Grid[#Data],$DD350,27),0)</f>
        <v/>
      </c>
      <c r="AD350">
        <f>IFERROR(INDEX(PP_Grid[#Data],$DD350,28),0)</f>
        <v/>
      </c>
      <c r="AE350">
        <f>IFERROR(INDEX(PP_Grid[#Data],$DD350,29),0)</f>
        <v/>
      </c>
      <c r="AF350">
        <f>IFERROR(INDEX(PP_Grid[#Data],$DD350,30),0)</f>
        <v/>
      </c>
      <c r="AG350">
        <f>IFERROR(INDEX(PP_Grid[#Data],$DD350,31),0)</f>
        <v/>
      </c>
      <c r="AH350">
        <f>IFERROR(INDEX(PP_Grid[#Data],$DD350,32),0)</f>
        <v/>
      </c>
      <c r="AI350">
        <f>IFERROR(INDEX(PP_Grid[#Data],$DD350,33),0)</f>
        <v/>
      </c>
      <c r="AJ350">
        <f>IFERROR(INDEX(PP_Grid[#Data],$DD350,34),0)</f>
        <v/>
      </c>
      <c r="AK350">
        <f>IFERROR(INDEX(PP_Grid[#Data],$DD350,35),0)</f>
        <v/>
      </c>
      <c r="AL350">
        <f>IFERROR(INDEX(PP_Grid[#Data],$DD350,36),0)</f>
        <v/>
      </c>
      <c r="AM350">
        <f>IFERROR(INDEX(PP_Grid[#Data],$DD350,37),0)</f>
        <v/>
      </c>
      <c r="AN350">
        <f>IFERROR(INDEX(PP_Grid[#Data],$DD350,38),0)</f>
        <v/>
      </c>
      <c r="AO350">
        <f>IFERROR(INDEX(PP_Grid[#Data],$DD350,39),0)</f>
        <v/>
      </c>
      <c r="AP350">
        <f>IFERROR(INDEX(PP_Grid[#Data],$DD350,40),0)</f>
        <v/>
      </c>
      <c r="AQ350">
        <f>IFERROR(INDEX(PP_Grid[#Data],$DD350,41),0)</f>
        <v/>
      </c>
      <c r="AR350">
        <f>IFERROR(INDEX(PP_Grid[#Data],$DD350,42),0)</f>
        <v/>
      </c>
      <c r="AS350">
        <f>IFERROR(INDEX(PP_Grid[#Data],$DD350,43),0)</f>
        <v/>
      </c>
      <c r="AT350">
        <f>IFERROR(INDEX(PP_Grid[#Data],$DD350,44),0)</f>
        <v/>
      </c>
      <c r="AU350">
        <f>IFERROR(INDEX(PP_Grid[#Data],$DD350,45),0)</f>
        <v/>
      </c>
      <c r="AV350">
        <f>IFERROR(INDEX(PP_Grid[#Data],$DD350,46),0)</f>
        <v/>
      </c>
      <c r="AW350">
        <f>IFERROR(INDEX(PP_Grid[#Data],$DD350,47),0)</f>
        <v/>
      </c>
      <c r="AX350">
        <f>IFERROR(INDEX(PP_Grid[#Data],$DD350,48),0)</f>
        <v/>
      </c>
      <c r="AY350">
        <f>IFERROR(INDEX(PP_Grid[#Data],$DD350,49),0)</f>
        <v/>
      </c>
      <c r="AZ350">
        <f>IFERROR(INDEX(PP_Grid[#Data],$DD350,50),0)</f>
        <v/>
      </c>
      <c r="BA350">
        <f>IFERROR(INDEX(PP_Grid[#Data],$DD350,51),0)</f>
        <v/>
      </c>
      <c r="BB350">
        <f>IFERROR(INDEX(PP_Grid[#Data],$DD350,52),0)</f>
        <v/>
      </c>
      <c r="BC350">
        <f>IFERROR(INDEX(PP_Grid[#Data],$DD350,53),0)</f>
        <v/>
      </c>
      <c r="BD350">
        <f>IFERROR(INDEX(PP_Grid[#Data],$DD350,54),0)</f>
        <v/>
      </c>
      <c r="BE350">
        <f>IFERROR(INDEX(PP_Grid[#Data],$DD350,55),0)</f>
        <v/>
      </c>
      <c r="BF350">
        <f>IFERROR(INDEX(PP_Grid[#Data],$DD350,56),0)</f>
        <v/>
      </c>
      <c r="BG350">
        <f>IFERROR(INDEX(PP_Grid[#Data],$DD350,57),0)</f>
        <v/>
      </c>
      <c r="BH350">
        <f>IFERROR(INDEX(PP_Grid[#Data],$DD350,58),0)</f>
        <v/>
      </c>
      <c r="BI350">
        <f>IFERROR(INDEX(PP_Grid[#Data],$DD350,59),0)</f>
        <v/>
      </c>
      <c r="BJ350">
        <f>IFERROR(INDEX(PP_Grid[#Data],$DD350,60),0)</f>
        <v/>
      </c>
      <c r="BK350">
        <f>IFERROR(INDEX(PP_Grid[#Data],$DD350,61),0)</f>
        <v/>
      </c>
      <c r="BL350">
        <f>IFERROR(INDEX(PP_Grid[#Data],$DD350,62),0)</f>
        <v/>
      </c>
      <c r="BM350">
        <f>IFERROR(INDEX(PP_Grid[#Data],$DD350,63),0)</f>
        <v/>
      </c>
      <c r="BN350">
        <f>IFERROR(INDEX(PP_Grid[#Data],$DD350,64),0)</f>
        <v/>
      </c>
      <c r="BO350">
        <f>IFERROR(INDEX(PP_Grid[#Data],$DD350,65),0)</f>
        <v/>
      </c>
      <c r="BP350">
        <f>IFERROR(INDEX(PP_Grid[#Data],$DD350,66),0)</f>
        <v/>
      </c>
      <c r="BQ350">
        <f>IFERROR(INDEX(PP_Grid[#Data],$DD350,67),0)</f>
        <v/>
      </c>
      <c r="BR350">
        <f>IFERROR(INDEX(PP_Grid[#Data],$DD350,68),0)</f>
        <v/>
      </c>
      <c r="BS350">
        <f>IFERROR(INDEX(PP_Grid[#Data],$DD350,69),0)</f>
        <v/>
      </c>
      <c r="BT350">
        <f>IFERROR(INDEX(PP_Grid[#Data],$DD350,70),0)</f>
        <v/>
      </c>
      <c r="BU350">
        <f>IFERROR(INDEX(PP_Grid[#Data],$DD350,71),0)</f>
        <v/>
      </c>
      <c r="BV350">
        <f>IFERROR(INDEX(PP_Grid[#Data],$DD350,72),0)</f>
        <v/>
      </c>
      <c r="BW350">
        <f>IFERROR(INDEX(PP_Grid[#Data],$DD350,73),0)</f>
        <v/>
      </c>
      <c r="BX350">
        <f>IFERROR(INDEX(PP_Grid[#Data],$DD350,74),0)</f>
        <v/>
      </c>
      <c r="BY350">
        <f>IFERROR(INDEX(PP_Grid[#Data],$DD350,75),0)</f>
        <v/>
      </c>
      <c r="BZ350">
        <f>IFERROR(INDEX(PP_Grid[#Data],$DD350,76),0)</f>
        <v/>
      </c>
      <c r="CA350">
        <f>IFERROR(INDEX(PP_Grid[#Data],$DD350,77),0)</f>
        <v/>
      </c>
      <c r="CB350">
        <f>IFERROR(INDEX(PP_Grid[#Data],$DD350,78),0)</f>
        <v/>
      </c>
      <c r="CC350">
        <f>IFERROR(INDEX(PP_Grid[#Data],$DD350,79),0)</f>
        <v/>
      </c>
      <c r="CD350">
        <f>IFERROR(INDEX(PP_Grid[#Data],$DD350,80),0)</f>
        <v/>
      </c>
      <c r="CE350">
        <f>IFERROR(INDEX(PP_Grid[#Data],$DD350,81),0)</f>
        <v/>
      </c>
      <c r="CF350">
        <f>IFERROR(INDEX(PP_Grid[#Data],$DD350,82),0)</f>
        <v/>
      </c>
      <c r="CG350">
        <f>IFERROR(INDEX(PP_Grid[#Data],$DD350,83),0)</f>
        <v/>
      </c>
      <c r="CH350">
        <f>IFERROR(INDEX(PP_Grid[#Data],$DD350,84),0)</f>
        <v/>
      </c>
      <c r="CI350">
        <f>IFERROR(INDEX(PP_Grid[#Data],$DD350,85),0)</f>
        <v/>
      </c>
      <c r="CJ350">
        <f>IFERROR(INDEX(PP_Grid[#Data],$DD350,86),0)</f>
        <v/>
      </c>
      <c r="CK350">
        <f>IFERROR(INDEX(PP_Grid[#Data],$DD350,87),0)</f>
        <v/>
      </c>
      <c r="CL350">
        <f>IFERROR(INDEX(PP_Grid[#Data],$DD350,88),0)</f>
        <v/>
      </c>
      <c r="CM350">
        <f>IFERROR(INDEX(PP_Grid[#Data],$DD350,89),0)</f>
        <v/>
      </c>
      <c r="CN350">
        <f>IFERROR(INDEX(PP_Grid[#Data],$DD350,90),0)</f>
        <v/>
      </c>
      <c r="CO350">
        <f>IFERROR(INDEX(PP_Grid[#Data],$DD350,91),0)</f>
        <v/>
      </c>
      <c r="CP350">
        <f>IFERROR(INDEX(PP_Grid[#Data],$DD350,92),0)</f>
        <v/>
      </c>
      <c r="CQ350">
        <f>IFERROR(INDEX(PP_Grid[#Data],$DD350,93),0)</f>
        <v/>
      </c>
      <c r="CR350">
        <f>IFERROR(INDEX(PP_Grid[#Data],$DD350,94),0)</f>
        <v/>
      </c>
      <c r="CS350">
        <f>IFERROR(INDEX(PP_Grid[#Data],$DD350,95),0)</f>
        <v/>
      </c>
      <c r="CT350">
        <f>IFERROR(INDEX(PP_Grid[#Data],$DD350,96),0)</f>
        <v/>
      </c>
      <c r="CU350">
        <f>IFERROR(INDEX(PP_Grid[#Data],$DD350,97),0)</f>
        <v/>
      </c>
      <c r="CV350">
        <f>IFERROR(INDEX(PP_Grid[#Data],$DD350,98),0)</f>
        <v/>
      </c>
      <c r="CW350">
        <f>IFERROR(INDEX(PP_Grid[#Data],$DD350,99),0)</f>
        <v/>
      </c>
      <c r="CX350">
        <f>IFERROR(INDEX(PP_Grid[#Data],$DD350,100),0)</f>
        <v/>
      </c>
      <c r="CY350">
        <f>IFERROR(INDEX(PP_Grid[#Data],$DD350,101),0)</f>
        <v/>
      </c>
      <c r="CZ350">
        <f>IFERROR(INDEX(PP_Grid[#Data],$DD350,102),0)</f>
        <v/>
      </c>
      <c r="DA350">
        <f>IFERROR(INDEX(PP_Grid[#Data],$DD350,103),0)</f>
        <v/>
      </c>
      <c r="DB350">
        <f>IFERROR(INDEX(PP_Grid[#Data],$DD350,104),0)</f>
        <v/>
      </c>
      <c r="DC350">
        <f>IFERROR(INDEX(PP_Grid[#Data],$DD350,105),0)</f>
        <v/>
      </c>
      <c r="DD350" s="7">
        <f>IFERROR(MATCH($B350,PP_Grid[Intermediate],0),99999)</f>
        <v/>
      </c>
    </row>
    <row r="351">
      <c r="B351" t="inlineStr">
        <is>
          <t>使用量(kg)</t>
        </is>
      </c>
      <c r="C351">
        <f>SUMIFS(M_BOM[RM_Qty_Per_Batch],M_BOM[Intermediate],$B350,M_BOM[Part Name],$A343)</f>
        <v/>
      </c>
      <c r="D351">
        <f>$C351*D350</f>
        <v/>
      </c>
      <c r="E351">
        <f>$C351*E350</f>
        <v/>
      </c>
      <c r="F351">
        <f>$C351*F350</f>
        <v/>
      </c>
      <c r="G351">
        <f>$C351*G350</f>
        <v/>
      </c>
      <c r="H351">
        <f>$C351*H350</f>
        <v/>
      </c>
      <c r="I351">
        <f>$C351*I350</f>
        <v/>
      </c>
      <c r="J351">
        <f>$C351*J350</f>
        <v/>
      </c>
      <c r="K351">
        <f>$C351*K350</f>
        <v/>
      </c>
      <c r="L351">
        <f>$C351*L350</f>
        <v/>
      </c>
      <c r="M351">
        <f>$C351*M350</f>
        <v/>
      </c>
      <c r="N351">
        <f>$C351*N350</f>
        <v/>
      </c>
      <c r="O351">
        <f>$C351*O350</f>
        <v/>
      </c>
      <c r="P351">
        <f>$C351*P350</f>
        <v/>
      </c>
      <c r="Q351">
        <f>$C351*Q350</f>
        <v/>
      </c>
      <c r="R351">
        <f>$C351*R350</f>
        <v/>
      </c>
      <c r="S351">
        <f>$C351*S350</f>
        <v/>
      </c>
      <c r="T351">
        <f>$C351*T350</f>
        <v/>
      </c>
      <c r="U351">
        <f>$C351*U350</f>
        <v/>
      </c>
      <c r="V351">
        <f>$C351*V350</f>
        <v/>
      </c>
      <c r="W351">
        <f>$C351*W350</f>
        <v/>
      </c>
      <c r="X351">
        <f>$C351*X350</f>
        <v/>
      </c>
      <c r="Y351">
        <f>$C351*Y350</f>
        <v/>
      </c>
      <c r="Z351">
        <f>$C351*Z350</f>
        <v/>
      </c>
      <c r="AA351">
        <f>$C351*AA350</f>
        <v/>
      </c>
      <c r="AB351">
        <f>$C351*AB350</f>
        <v/>
      </c>
      <c r="AC351">
        <f>$C351*AC350</f>
        <v/>
      </c>
      <c r="AD351">
        <f>$C351*AD350</f>
        <v/>
      </c>
      <c r="AE351">
        <f>$C351*AE350</f>
        <v/>
      </c>
      <c r="AF351">
        <f>$C351*AF350</f>
        <v/>
      </c>
      <c r="AG351">
        <f>$C351*AG350</f>
        <v/>
      </c>
      <c r="AH351">
        <f>$C351*AH350</f>
        <v/>
      </c>
      <c r="AI351">
        <f>$C351*AI350</f>
        <v/>
      </c>
      <c r="AJ351">
        <f>$C351*AJ350</f>
        <v/>
      </c>
      <c r="AK351">
        <f>$C351*AK350</f>
        <v/>
      </c>
      <c r="AL351">
        <f>$C351*AL350</f>
        <v/>
      </c>
      <c r="AM351">
        <f>$C351*AM350</f>
        <v/>
      </c>
      <c r="AN351">
        <f>$C351*AN350</f>
        <v/>
      </c>
      <c r="AO351">
        <f>$C351*AO350</f>
        <v/>
      </c>
      <c r="AP351">
        <f>$C351*AP350</f>
        <v/>
      </c>
      <c r="AQ351">
        <f>$C351*AQ350</f>
        <v/>
      </c>
      <c r="AR351">
        <f>$C351*AR350</f>
        <v/>
      </c>
      <c r="AS351">
        <f>$C351*AS350</f>
        <v/>
      </c>
      <c r="AT351">
        <f>$C351*AT350</f>
        <v/>
      </c>
      <c r="AU351">
        <f>$C351*AU350</f>
        <v/>
      </c>
      <c r="AV351">
        <f>$C351*AV350</f>
        <v/>
      </c>
      <c r="AW351">
        <f>$C351*AW350</f>
        <v/>
      </c>
      <c r="AX351">
        <f>$C351*AX350</f>
        <v/>
      </c>
      <c r="AY351">
        <f>$C351*AY350</f>
        <v/>
      </c>
      <c r="AZ351">
        <f>$C351*AZ350</f>
        <v/>
      </c>
      <c r="BA351">
        <f>$C351*BA350</f>
        <v/>
      </c>
      <c r="BB351">
        <f>$C351*BB350</f>
        <v/>
      </c>
      <c r="BC351">
        <f>$C351*BC350</f>
        <v/>
      </c>
      <c r="BD351">
        <f>$C351*BD350</f>
        <v/>
      </c>
      <c r="BE351">
        <f>$C351*BE350</f>
        <v/>
      </c>
      <c r="BF351">
        <f>$C351*BF350</f>
        <v/>
      </c>
      <c r="BG351">
        <f>$C351*BG350</f>
        <v/>
      </c>
      <c r="BH351">
        <f>$C351*BH350</f>
        <v/>
      </c>
      <c r="BI351">
        <f>$C351*BI350</f>
        <v/>
      </c>
      <c r="BJ351">
        <f>$C351*BJ350</f>
        <v/>
      </c>
      <c r="BK351">
        <f>$C351*BK350</f>
        <v/>
      </c>
      <c r="BL351">
        <f>$C351*BL350</f>
        <v/>
      </c>
      <c r="BM351">
        <f>$C351*BM350</f>
        <v/>
      </c>
      <c r="BN351">
        <f>$C351*BN350</f>
        <v/>
      </c>
      <c r="BO351">
        <f>$C351*BO350</f>
        <v/>
      </c>
      <c r="BP351">
        <f>$C351*BP350</f>
        <v/>
      </c>
      <c r="BQ351">
        <f>$C351*BQ350</f>
        <v/>
      </c>
      <c r="BR351">
        <f>$C351*BR350</f>
        <v/>
      </c>
      <c r="BS351">
        <f>$C351*BS350</f>
        <v/>
      </c>
      <c r="BT351">
        <f>$C351*BT350</f>
        <v/>
      </c>
      <c r="BU351">
        <f>$C351*BU350</f>
        <v/>
      </c>
      <c r="BV351">
        <f>$C351*BV350</f>
        <v/>
      </c>
      <c r="BW351">
        <f>$C351*BW350</f>
        <v/>
      </c>
      <c r="BX351">
        <f>$C351*BX350</f>
        <v/>
      </c>
      <c r="BY351">
        <f>$C351*BY350</f>
        <v/>
      </c>
      <c r="BZ351">
        <f>$C351*BZ350</f>
        <v/>
      </c>
      <c r="CA351">
        <f>$C351*CA350</f>
        <v/>
      </c>
      <c r="CB351">
        <f>$C351*CB350</f>
        <v/>
      </c>
      <c r="CC351">
        <f>$C351*CC350</f>
        <v/>
      </c>
      <c r="CD351">
        <f>$C351*CD350</f>
        <v/>
      </c>
      <c r="CE351">
        <f>$C351*CE350</f>
        <v/>
      </c>
      <c r="CF351">
        <f>$C351*CF350</f>
        <v/>
      </c>
      <c r="CG351">
        <f>$C351*CG350</f>
        <v/>
      </c>
      <c r="CH351">
        <f>$C351*CH350</f>
        <v/>
      </c>
      <c r="CI351">
        <f>$C351*CI350</f>
        <v/>
      </c>
      <c r="CJ351">
        <f>$C351*CJ350</f>
        <v/>
      </c>
      <c r="CK351">
        <f>$C351*CK350</f>
        <v/>
      </c>
      <c r="CL351">
        <f>$C351*CL350</f>
        <v/>
      </c>
      <c r="CM351">
        <f>$C351*CM350</f>
        <v/>
      </c>
      <c r="CN351">
        <f>$C351*CN350</f>
        <v/>
      </c>
      <c r="CO351">
        <f>$C351*CO350</f>
        <v/>
      </c>
      <c r="CP351">
        <f>$C351*CP350</f>
        <v/>
      </c>
      <c r="CQ351">
        <f>$C351*CQ350</f>
        <v/>
      </c>
      <c r="CR351">
        <f>$C351*CR350</f>
        <v/>
      </c>
      <c r="CS351">
        <f>$C351*CS350</f>
        <v/>
      </c>
      <c r="CT351">
        <f>$C351*CT350</f>
        <v/>
      </c>
      <c r="CU351">
        <f>$C351*CU350</f>
        <v/>
      </c>
      <c r="CV351">
        <f>$C351*CV350</f>
        <v/>
      </c>
      <c r="CW351">
        <f>$C351*CW350</f>
        <v/>
      </c>
      <c r="CX351">
        <f>$C351*CX350</f>
        <v/>
      </c>
      <c r="CY351">
        <f>$C351*CY350</f>
        <v/>
      </c>
      <c r="CZ351">
        <f>$C351*CZ350</f>
        <v/>
      </c>
      <c r="DA351">
        <f>$C351*DA350</f>
        <v/>
      </c>
      <c r="DB351">
        <f>$C351*DB350</f>
        <v/>
      </c>
      <c r="DC351">
        <f>$C351*DC350</f>
        <v/>
      </c>
    </row>
    <row r="352">
      <c r="B352" t="inlineStr">
        <is>
          <t>TSP-205</t>
        </is>
      </c>
      <c r="C352" t="inlineStr">
        <is>
          <t>No. of batches</t>
        </is>
      </c>
      <c r="D352">
        <f>IFERROR(INDEX(PP_Grid[#Data],$DD352,2),0)</f>
        <v/>
      </c>
      <c r="E352">
        <f>IFERROR(INDEX(PP_Grid[#Data],$DD352,3),0)</f>
        <v/>
      </c>
      <c r="F352">
        <f>IFERROR(INDEX(PP_Grid[#Data],$DD352,4),0)</f>
        <v/>
      </c>
      <c r="G352">
        <f>IFERROR(INDEX(PP_Grid[#Data],$DD352,5),0)</f>
        <v/>
      </c>
      <c r="H352">
        <f>IFERROR(INDEX(PP_Grid[#Data],$DD352,6),0)</f>
        <v/>
      </c>
      <c r="I352">
        <f>IFERROR(INDEX(PP_Grid[#Data],$DD352,7),0)</f>
        <v/>
      </c>
      <c r="J352">
        <f>IFERROR(INDEX(PP_Grid[#Data],$DD352,8),0)</f>
        <v/>
      </c>
      <c r="K352">
        <f>IFERROR(INDEX(PP_Grid[#Data],$DD352,9),0)</f>
        <v/>
      </c>
      <c r="L352">
        <f>IFERROR(INDEX(PP_Grid[#Data],$DD352,10),0)</f>
        <v/>
      </c>
      <c r="M352">
        <f>IFERROR(INDEX(PP_Grid[#Data],$DD352,11),0)</f>
        <v/>
      </c>
      <c r="N352">
        <f>IFERROR(INDEX(PP_Grid[#Data],$DD352,12),0)</f>
        <v/>
      </c>
      <c r="O352">
        <f>IFERROR(INDEX(PP_Grid[#Data],$DD352,13),0)</f>
        <v/>
      </c>
      <c r="P352">
        <f>IFERROR(INDEX(PP_Grid[#Data],$DD352,14),0)</f>
        <v/>
      </c>
      <c r="Q352">
        <f>IFERROR(INDEX(PP_Grid[#Data],$DD352,15),0)</f>
        <v/>
      </c>
      <c r="R352">
        <f>IFERROR(INDEX(PP_Grid[#Data],$DD352,16),0)</f>
        <v/>
      </c>
      <c r="S352">
        <f>IFERROR(INDEX(PP_Grid[#Data],$DD352,17),0)</f>
        <v/>
      </c>
      <c r="T352">
        <f>IFERROR(INDEX(PP_Grid[#Data],$DD352,18),0)</f>
        <v/>
      </c>
      <c r="U352">
        <f>IFERROR(INDEX(PP_Grid[#Data],$DD352,19),0)</f>
        <v/>
      </c>
      <c r="V352">
        <f>IFERROR(INDEX(PP_Grid[#Data],$DD352,20),0)</f>
        <v/>
      </c>
      <c r="W352">
        <f>IFERROR(INDEX(PP_Grid[#Data],$DD352,21),0)</f>
        <v/>
      </c>
      <c r="X352">
        <f>IFERROR(INDEX(PP_Grid[#Data],$DD352,22),0)</f>
        <v/>
      </c>
      <c r="Y352">
        <f>IFERROR(INDEX(PP_Grid[#Data],$DD352,23),0)</f>
        <v/>
      </c>
      <c r="Z352">
        <f>IFERROR(INDEX(PP_Grid[#Data],$DD352,24),0)</f>
        <v/>
      </c>
      <c r="AA352">
        <f>IFERROR(INDEX(PP_Grid[#Data],$DD352,25),0)</f>
        <v/>
      </c>
      <c r="AB352">
        <f>IFERROR(INDEX(PP_Grid[#Data],$DD352,26),0)</f>
        <v/>
      </c>
      <c r="AC352">
        <f>IFERROR(INDEX(PP_Grid[#Data],$DD352,27),0)</f>
        <v/>
      </c>
      <c r="AD352">
        <f>IFERROR(INDEX(PP_Grid[#Data],$DD352,28),0)</f>
        <v/>
      </c>
      <c r="AE352">
        <f>IFERROR(INDEX(PP_Grid[#Data],$DD352,29),0)</f>
        <v/>
      </c>
      <c r="AF352">
        <f>IFERROR(INDEX(PP_Grid[#Data],$DD352,30),0)</f>
        <v/>
      </c>
      <c r="AG352">
        <f>IFERROR(INDEX(PP_Grid[#Data],$DD352,31),0)</f>
        <v/>
      </c>
      <c r="AH352">
        <f>IFERROR(INDEX(PP_Grid[#Data],$DD352,32),0)</f>
        <v/>
      </c>
      <c r="AI352">
        <f>IFERROR(INDEX(PP_Grid[#Data],$DD352,33),0)</f>
        <v/>
      </c>
      <c r="AJ352">
        <f>IFERROR(INDEX(PP_Grid[#Data],$DD352,34),0)</f>
        <v/>
      </c>
      <c r="AK352">
        <f>IFERROR(INDEX(PP_Grid[#Data],$DD352,35),0)</f>
        <v/>
      </c>
      <c r="AL352">
        <f>IFERROR(INDEX(PP_Grid[#Data],$DD352,36),0)</f>
        <v/>
      </c>
      <c r="AM352">
        <f>IFERROR(INDEX(PP_Grid[#Data],$DD352,37),0)</f>
        <v/>
      </c>
      <c r="AN352">
        <f>IFERROR(INDEX(PP_Grid[#Data],$DD352,38),0)</f>
        <v/>
      </c>
      <c r="AO352">
        <f>IFERROR(INDEX(PP_Grid[#Data],$DD352,39),0)</f>
        <v/>
      </c>
      <c r="AP352">
        <f>IFERROR(INDEX(PP_Grid[#Data],$DD352,40),0)</f>
        <v/>
      </c>
      <c r="AQ352">
        <f>IFERROR(INDEX(PP_Grid[#Data],$DD352,41),0)</f>
        <v/>
      </c>
      <c r="AR352">
        <f>IFERROR(INDEX(PP_Grid[#Data],$DD352,42),0)</f>
        <v/>
      </c>
      <c r="AS352">
        <f>IFERROR(INDEX(PP_Grid[#Data],$DD352,43),0)</f>
        <v/>
      </c>
      <c r="AT352">
        <f>IFERROR(INDEX(PP_Grid[#Data],$DD352,44),0)</f>
        <v/>
      </c>
      <c r="AU352">
        <f>IFERROR(INDEX(PP_Grid[#Data],$DD352,45),0)</f>
        <v/>
      </c>
      <c r="AV352">
        <f>IFERROR(INDEX(PP_Grid[#Data],$DD352,46),0)</f>
        <v/>
      </c>
      <c r="AW352">
        <f>IFERROR(INDEX(PP_Grid[#Data],$DD352,47),0)</f>
        <v/>
      </c>
      <c r="AX352">
        <f>IFERROR(INDEX(PP_Grid[#Data],$DD352,48),0)</f>
        <v/>
      </c>
      <c r="AY352">
        <f>IFERROR(INDEX(PP_Grid[#Data],$DD352,49),0)</f>
        <v/>
      </c>
      <c r="AZ352">
        <f>IFERROR(INDEX(PP_Grid[#Data],$DD352,50),0)</f>
        <v/>
      </c>
      <c r="BA352">
        <f>IFERROR(INDEX(PP_Grid[#Data],$DD352,51),0)</f>
        <v/>
      </c>
      <c r="BB352">
        <f>IFERROR(INDEX(PP_Grid[#Data],$DD352,52),0)</f>
        <v/>
      </c>
      <c r="BC352">
        <f>IFERROR(INDEX(PP_Grid[#Data],$DD352,53),0)</f>
        <v/>
      </c>
      <c r="BD352">
        <f>IFERROR(INDEX(PP_Grid[#Data],$DD352,54),0)</f>
        <v/>
      </c>
      <c r="BE352">
        <f>IFERROR(INDEX(PP_Grid[#Data],$DD352,55),0)</f>
        <v/>
      </c>
      <c r="BF352">
        <f>IFERROR(INDEX(PP_Grid[#Data],$DD352,56),0)</f>
        <v/>
      </c>
      <c r="BG352">
        <f>IFERROR(INDEX(PP_Grid[#Data],$DD352,57),0)</f>
        <v/>
      </c>
      <c r="BH352">
        <f>IFERROR(INDEX(PP_Grid[#Data],$DD352,58),0)</f>
        <v/>
      </c>
      <c r="BI352">
        <f>IFERROR(INDEX(PP_Grid[#Data],$DD352,59),0)</f>
        <v/>
      </c>
      <c r="BJ352">
        <f>IFERROR(INDEX(PP_Grid[#Data],$DD352,60),0)</f>
        <v/>
      </c>
      <c r="BK352">
        <f>IFERROR(INDEX(PP_Grid[#Data],$DD352,61),0)</f>
        <v/>
      </c>
      <c r="BL352">
        <f>IFERROR(INDEX(PP_Grid[#Data],$DD352,62),0)</f>
        <v/>
      </c>
      <c r="BM352">
        <f>IFERROR(INDEX(PP_Grid[#Data],$DD352,63),0)</f>
        <v/>
      </c>
      <c r="BN352">
        <f>IFERROR(INDEX(PP_Grid[#Data],$DD352,64),0)</f>
        <v/>
      </c>
      <c r="BO352">
        <f>IFERROR(INDEX(PP_Grid[#Data],$DD352,65),0)</f>
        <v/>
      </c>
      <c r="BP352">
        <f>IFERROR(INDEX(PP_Grid[#Data],$DD352,66),0)</f>
        <v/>
      </c>
      <c r="BQ352">
        <f>IFERROR(INDEX(PP_Grid[#Data],$DD352,67),0)</f>
        <v/>
      </c>
      <c r="BR352">
        <f>IFERROR(INDEX(PP_Grid[#Data],$DD352,68),0)</f>
        <v/>
      </c>
      <c r="BS352">
        <f>IFERROR(INDEX(PP_Grid[#Data],$DD352,69),0)</f>
        <v/>
      </c>
      <c r="BT352">
        <f>IFERROR(INDEX(PP_Grid[#Data],$DD352,70),0)</f>
        <v/>
      </c>
      <c r="BU352">
        <f>IFERROR(INDEX(PP_Grid[#Data],$DD352,71),0)</f>
        <v/>
      </c>
      <c r="BV352">
        <f>IFERROR(INDEX(PP_Grid[#Data],$DD352,72),0)</f>
        <v/>
      </c>
      <c r="BW352">
        <f>IFERROR(INDEX(PP_Grid[#Data],$DD352,73),0)</f>
        <v/>
      </c>
      <c r="BX352">
        <f>IFERROR(INDEX(PP_Grid[#Data],$DD352,74),0)</f>
        <v/>
      </c>
      <c r="BY352">
        <f>IFERROR(INDEX(PP_Grid[#Data],$DD352,75),0)</f>
        <v/>
      </c>
      <c r="BZ352">
        <f>IFERROR(INDEX(PP_Grid[#Data],$DD352,76),0)</f>
        <v/>
      </c>
      <c r="CA352">
        <f>IFERROR(INDEX(PP_Grid[#Data],$DD352,77),0)</f>
        <v/>
      </c>
      <c r="CB352">
        <f>IFERROR(INDEX(PP_Grid[#Data],$DD352,78),0)</f>
        <v/>
      </c>
      <c r="CC352">
        <f>IFERROR(INDEX(PP_Grid[#Data],$DD352,79),0)</f>
        <v/>
      </c>
      <c r="CD352">
        <f>IFERROR(INDEX(PP_Grid[#Data],$DD352,80),0)</f>
        <v/>
      </c>
      <c r="CE352">
        <f>IFERROR(INDEX(PP_Grid[#Data],$DD352,81),0)</f>
        <v/>
      </c>
      <c r="CF352">
        <f>IFERROR(INDEX(PP_Grid[#Data],$DD352,82),0)</f>
        <v/>
      </c>
      <c r="CG352">
        <f>IFERROR(INDEX(PP_Grid[#Data],$DD352,83),0)</f>
        <v/>
      </c>
      <c r="CH352">
        <f>IFERROR(INDEX(PP_Grid[#Data],$DD352,84),0)</f>
        <v/>
      </c>
      <c r="CI352">
        <f>IFERROR(INDEX(PP_Grid[#Data],$DD352,85),0)</f>
        <v/>
      </c>
      <c r="CJ352">
        <f>IFERROR(INDEX(PP_Grid[#Data],$DD352,86),0)</f>
        <v/>
      </c>
      <c r="CK352">
        <f>IFERROR(INDEX(PP_Grid[#Data],$DD352,87),0)</f>
        <v/>
      </c>
      <c r="CL352">
        <f>IFERROR(INDEX(PP_Grid[#Data],$DD352,88),0)</f>
        <v/>
      </c>
      <c r="CM352">
        <f>IFERROR(INDEX(PP_Grid[#Data],$DD352,89),0)</f>
        <v/>
      </c>
      <c r="CN352">
        <f>IFERROR(INDEX(PP_Grid[#Data],$DD352,90),0)</f>
        <v/>
      </c>
      <c r="CO352">
        <f>IFERROR(INDEX(PP_Grid[#Data],$DD352,91),0)</f>
        <v/>
      </c>
      <c r="CP352">
        <f>IFERROR(INDEX(PP_Grid[#Data],$DD352,92),0)</f>
        <v/>
      </c>
      <c r="CQ352">
        <f>IFERROR(INDEX(PP_Grid[#Data],$DD352,93),0)</f>
        <v/>
      </c>
      <c r="CR352">
        <f>IFERROR(INDEX(PP_Grid[#Data],$DD352,94),0)</f>
        <v/>
      </c>
      <c r="CS352">
        <f>IFERROR(INDEX(PP_Grid[#Data],$DD352,95),0)</f>
        <v/>
      </c>
      <c r="CT352">
        <f>IFERROR(INDEX(PP_Grid[#Data],$DD352,96),0)</f>
        <v/>
      </c>
      <c r="CU352">
        <f>IFERROR(INDEX(PP_Grid[#Data],$DD352,97),0)</f>
        <v/>
      </c>
      <c r="CV352">
        <f>IFERROR(INDEX(PP_Grid[#Data],$DD352,98),0)</f>
        <v/>
      </c>
      <c r="CW352">
        <f>IFERROR(INDEX(PP_Grid[#Data],$DD352,99),0)</f>
        <v/>
      </c>
      <c r="CX352">
        <f>IFERROR(INDEX(PP_Grid[#Data],$DD352,100),0)</f>
        <v/>
      </c>
      <c r="CY352">
        <f>IFERROR(INDEX(PP_Grid[#Data],$DD352,101),0)</f>
        <v/>
      </c>
      <c r="CZ352">
        <f>IFERROR(INDEX(PP_Grid[#Data],$DD352,102),0)</f>
        <v/>
      </c>
      <c r="DA352">
        <f>IFERROR(INDEX(PP_Grid[#Data],$DD352,103),0)</f>
        <v/>
      </c>
      <c r="DB352">
        <f>IFERROR(INDEX(PP_Grid[#Data],$DD352,104),0)</f>
        <v/>
      </c>
      <c r="DC352">
        <f>IFERROR(INDEX(PP_Grid[#Data],$DD352,105),0)</f>
        <v/>
      </c>
      <c r="DD352" s="7">
        <f>IFERROR(MATCH($B352,PP_Grid[Intermediate],0),99999)</f>
        <v/>
      </c>
    </row>
    <row r="353">
      <c r="B353" t="inlineStr">
        <is>
          <t>使用量(kg)</t>
        </is>
      </c>
      <c r="C353">
        <f>SUMIFS(M_BOM[RM_Qty_Per_Batch],M_BOM[Intermediate],$B352,M_BOM[Part Name],$A343)</f>
        <v/>
      </c>
      <c r="D353">
        <f>$C353*D352</f>
        <v/>
      </c>
      <c r="E353">
        <f>$C353*E352</f>
        <v/>
      </c>
      <c r="F353">
        <f>$C353*F352</f>
        <v/>
      </c>
      <c r="G353">
        <f>$C353*G352</f>
        <v/>
      </c>
      <c r="H353">
        <f>$C353*H352</f>
        <v/>
      </c>
      <c r="I353">
        <f>$C353*I352</f>
        <v/>
      </c>
      <c r="J353">
        <f>$C353*J352</f>
        <v/>
      </c>
      <c r="K353">
        <f>$C353*K352</f>
        <v/>
      </c>
      <c r="L353">
        <f>$C353*L352</f>
        <v/>
      </c>
      <c r="M353">
        <f>$C353*M352</f>
        <v/>
      </c>
      <c r="N353">
        <f>$C353*N352</f>
        <v/>
      </c>
      <c r="O353">
        <f>$C353*O352</f>
        <v/>
      </c>
      <c r="P353">
        <f>$C353*P352</f>
        <v/>
      </c>
      <c r="Q353">
        <f>$C353*Q352</f>
        <v/>
      </c>
      <c r="R353">
        <f>$C353*R352</f>
        <v/>
      </c>
      <c r="S353">
        <f>$C353*S352</f>
        <v/>
      </c>
      <c r="T353">
        <f>$C353*T352</f>
        <v/>
      </c>
      <c r="U353">
        <f>$C353*U352</f>
        <v/>
      </c>
      <c r="V353">
        <f>$C353*V352</f>
        <v/>
      </c>
      <c r="W353">
        <f>$C353*W352</f>
        <v/>
      </c>
      <c r="X353">
        <f>$C353*X352</f>
        <v/>
      </c>
      <c r="Y353">
        <f>$C353*Y352</f>
        <v/>
      </c>
      <c r="Z353">
        <f>$C353*Z352</f>
        <v/>
      </c>
      <c r="AA353">
        <f>$C353*AA352</f>
        <v/>
      </c>
      <c r="AB353">
        <f>$C353*AB352</f>
        <v/>
      </c>
      <c r="AC353">
        <f>$C353*AC352</f>
        <v/>
      </c>
      <c r="AD353">
        <f>$C353*AD352</f>
        <v/>
      </c>
      <c r="AE353">
        <f>$C353*AE352</f>
        <v/>
      </c>
      <c r="AF353">
        <f>$C353*AF352</f>
        <v/>
      </c>
      <c r="AG353">
        <f>$C353*AG352</f>
        <v/>
      </c>
      <c r="AH353">
        <f>$C353*AH352</f>
        <v/>
      </c>
      <c r="AI353">
        <f>$C353*AI352</f>
        <v/>
      </c>
      <c r="AJ353">
        <f>$C353*AJ352</f>
        <v/>
      </c>
      <c r="AK353">
        <f>$C353*AK352</f>
        <v/>
      </c>
      <c r="AL353">
        <f>$C353*AL352</f>
        <v/>
      </c>
      <c r="AM353">
        <f>$C353*AM352</f>
        <v/>
      </c>
      <c r="AN353">
        <f>$C353*AN352</f>
        <v/>
      </c>
      <c r="AO353">
        <f>$C353*AO352</f>
        <v/>
      </c>
      <c r="AP353">
        <f>$C353*AP352</f>
        <v/>
      </c>
      <c r="AQ353">
        <f>$C353*AQ352</f>
        <v/>
      </c>
      <c r="AR353">
        <f>$C353*AR352</f>
        <v/>
      </c>
      <c r="AS353">
        <f>$C353*AS352</f>
        <v/>
      </c>
      <c r="AT353">
        <f>$C353*AT352</f>
        <v/>
      </c>
      <c r="AU353">
        <f>$C353*AU352</f>
        <v/>
      </c>
      <c r="AV353">
        <f>$C353*AV352</f>
        <v/>
      </c>
      <c r="AW353">
        <f>$C353*AW352</f>
        <v/>
      </c>
      <c r="AX353">
        <f>$C353*AX352</f>
        <v/>
      </c>
      <c r="AY353">
        <f>$C353*AY352</f>
        <v/>
      </c>
      <c r="AZ353">
        <f>$C353*AZ352</f>
        <v/>
      </c>
      <c r="BA353">
        <f>$C353*BA352</f>
        <v/>
      </c>
      <c r="BB353">
        <f>$C353*BB352</f>
        <v/>
      </c>
      <c r="BC353">
        <f>$C353*BC352</f>
        <v/>
      </c>
      <c r="BD353">
        <f>$C353*BD352</f>
        <v/>
      </c>
      <c r="BE353">
        <f>$C353*BE352</f>
        <v/>
      </c>
      <c r="BF353">
        <f>$C353*BF352</f>
        <v/>
      </c>
      <c r="BG353">
        <f>$C353*BG352</f>
        <v/>
      </c>
      <c r="BH353">
        <f>$C353*BH352</f>
        <v/>
      </c>
      <c r="BI353">
        <f>$C353*BI352</f>
        <v/>
      </c>
      <c r="BJ353">
        <f>$C353*BJ352</f>
        <v/>
      </c>
      <c r="BK353">
        <f>$C353*BK352</f>
        <v/>
      </c>
      <c r="BL353">
        <f>$C353*BL352</f>
        <v/>
      </c>
      <c r="BM353">
        <f>$C353*BM352</f>
        <v/>
      </c>
      <c r="BN353">
        <f>$C353*BN352</f>
        <v/>
      </c>
      <c r="BO353">
        <f>$C353*BO352</f>
        <v/>
      </c>
      <c r="BP353">
        <f>$C353*BP352</f>
        <v/>
      </c>
      <c r="BQ353">
        <f>$C353*BQ352</f>
        <v/>
      </c>
      <c r="BR353">
        <f>$C353*BR352</f>
        <v/>
      </c>
      <c r="BS353">
        <f>$C353*BS352</f>
        <v/>
      </c>
      <c r="BT353">
        <f>$C353*BT352</f>
        <v/>
      </c>
      <c r="BU353">
        <f>$C353*BU352</f>
        <v/>
      </c>
      <c r="BV353">
        <f>$C353*BV352</f>
        <v/>
      </c>
      <c r="BW353">
        <f>$C353*BW352</f>
        <v/>
      </c>
      <c r="BX353">
        <f>$C353*BX352</f>
        <v/>
      </c>
      <c r="BY353">
        <f>$C353*BY352</f>
        <v/>
      </c>
      <c r="BZ353">
        <f>$C353*BZ352</f>
        <v/>
      </c>
      <c r="CA353">
        <f>$C353*CA352</f>
        <v/>
      </c>
      <c r="CB353">
        <f>$C353*CB352</f>
        <v/>
      </c>
      <c r="CC353">
        <f>$C353*CC352</f>
        <v/>
      </c>
      <c r="CD353">
        <f>$C353*CD352</f>
        <v/>
      </c>
      <c r="CE353">
        <f>$C353*CE352</f>
        <v/>
      </c>
      <c r="CF353">
        <f>$C353*CF352</f>
        <v/>
      </c>
      <c r="CG353">
        <f>$C353*CG352</f>
        <v/>
      </c>
      <c r="CH353">
        <f>$C353*CH352</f>
        <v/>
      </c>
      <c r="CI353">
        <f>$C353*CI352</f>
        <v/>
      </c>
      <c r="CJ353">
        <f>$C353*CJ352</f>
        <v/>
      </c>
      <c r="CK353">
        <f>$C353*CK352</f>
        <v/>
      </c>
      <c r="CL353">
        <f>$C353*CL352</f>
        <v/>
      </c>
      <c r="CM353">
        <f>$C353*CM352</f>
        <v/>
      </c>
      <c r="CN353">
        <f>$C353*CN352</f>
        <v/>
      </c>
      <c r="CO353">
        <f>$C353*CO352</f>
        <v/>
      </c>
      <c r="CP353">
        <f>$C353*CP352</f>
        <v/>
      </c>
      <c r="CQ353">
        <f>$C353*CQ352</f>
        <v/>
      </c>
      <c r="CR353">
        <f>$C353*CR352</f>
        <v/>
      </c>
      <c r="CS353">
        <f>$C353*CS352</f>
        <v/>
      </c>
      <c r="CT353">
        <f>$C353*CT352</f>
        <v/>
      </c>
      <c r="CU353">
        <f>$C353*CU352</f>
        <v/>
      </c>
      <c r="CV353">
        <f>$C353*CV352</f>
        <v/>
      </c>
      <c r="CW353">
        <f>$C353*CW352</f>
        <v/>
      </c>
      <c r="CX353">
        <f>$C353*CX352</f>
        <v/>
      </c>
      <c r="CY353">
        <f>$C353*CY352</f>
        <v/>
      </c>
      <c r="CZ353">
        <f>$C353*CZ352</f>
        <v/>
      </c>
      <c r="DA353">
        <f>$C353*DA352</f>
        <v/>
      </c>
      <c r="DB353">
        <f>$C353*DB352</f>
        <v/>
      </c>
      <c r="DC353">
        <f>$C353*DC352</f>
        <v/>
      </c>
    </row>
    <row r="354">
      <c r="B354" t="inlineStr">
        <is>
          <t>TSP-206</t>
        </is>
      </c>
      <c r="C354" t="inlineStr">
        <is>
          <t>No. of batches</t>
        </is>
      </c>
      <c r="D354">
        <f>IFERROR(INDEX(PP_Grid[#Data],$DD354,2),0)</f>
        <v/>
      </c>
      <c r="E354">
        <f>IFERROR(INDEX(PP_Grid[#Data],$DD354,3),0)</f>
        <v/>
      </c>
      <c r="F354">
        <f>IFERROR(INDEX(PP_Grid[#Data],$DD354,4),0)</f>
        <v/>
      </c>
      <c r="G354">
        <f>IFERROR(INDEX(PP_Grid[#Data],$DD354,5),0)</f>
        <v/>
      </c>
      <c r="H354">
        <f>IFERROR(INDEX(PP_Grid[#Data],$DD354,6),0)</f>
        <v/>
      </c>
      <c r="I354">
        <f>IFERROR(INDEX(PP_Grid[#Data],$DD354,7),0)</f>
        <v/>
      </c>
      <c r="J354">
        <f>IFERROR(INDEX(PP_Grid[#Data],$DD354,8),0)</f>
        <v/>
      </c>
      <c r="K354">
        <f>IFERROR(INDEX(PP_Grid[#Data],$DD354,9),0)</f>
        <v/>
      </c>
      <c r="L354">
        <f>IFERROR(INDEX(PP_Grid[#Data],$DD354,10),0)</f>
        <v/>
      </c>
      <c r="M354">
        <f>IFERROR(INDEX(PP_Grid[#Data],$DD354,11),0)</f>
        <v/>
      </c>
      <c r="N354">
        <f>IFERROR(INDEX(PP_Grid[#Data],$DD354,12),0)</f>
        <v/>
      </c>
      <c r="O354">
        <f>IFERROR(INDEX(PP_Grid[#Data],$DD354,13),0)</f>
        <v/>
      </c>
      <c r="P354">
        <f>IFERROR(INDEX(PP_Grid[#Data],$DD354,14),0)</f>
        <v/>
      </c>
      <c r="Q354">
        <f>IFERROR(INDEX(PP_Grid[#Data],$DD354,15),0)</f>
        <v/>
      </c>
      <c r="R354">
        <f>IFERROR(INDEX(PP_Grid[#Data],$DD354,16),0)</f>
        <v/>
      </c>
      <c r="S354">
        <f>IFERROR(INDEX(PP_Grid[#Data],$DD354,17),0)</f>
        <v/>
      </c>
      <c r="T354">
        <f>IFERROR(INDEX(PP_Grid[#Data],$DD354,18),0)</f>
        <v/>
      </c>
      <c r="U354">
        <f>IFERROR(INDEX(PP_Grid[#Data],$DD354,19),0)</f>
        <v/>
      </c>
      <c r="V354">
        <f>IFERROR(INDEX(PP_Grid[#Data],$DD354,20),0)</f>
        <v/>
      </c>
      <c r="W354">
        <f>IFERROR(INDEX(PP_Grid[#Data],$DD354,21),0)</f>
        <v/>
      </c>
      <c r="X354">
        <f>IFERROR(INDEX(PP_Grid[#Data],$DD354,22),0)</f>
        <v/>
      </c>
      <c r="Y354">
        <f>IFERROR(INDEX(PP_Grid[#Data],$DD354,23),0)</f>
        <v/>
      </c>
      <c r="Z354">
        <f>IFERROR(INDEX(PP_Grid[#Data],$DD354,24),0)</f>
        <v/>
      </c>
      <c r="AA354">
        <f>IFERROR(INDEX(PP_Grid[#Data],$DD354,25),0)</f>
        <v/>
      </c>
      <c r="AB354">
        <f>IFERROR(INDEX(PP_Grid[#Data],$DD354,26),0)</f>
        <v/>
      </c>
      <c r="AC354">
        <f>IFERROR(INDEX(PP_Grid[#Data],$DD354,27),0)</f>
        <v/>
      </c>
      <c r="AD354">
        <f>IFERROR(INDEX(PP_Grid[#Data],$DD354,28),0)</f>
        <v/>
      </c>
      <c r="AE354">
        <f>IFERROR(INDEX(PP_Grid[#Data],$DD354,29),0)</f>
        <v/>
      </c>
      <c r="AF354">
        <f>IFERROR(INDEX(PP_Grid[#Data],$DD354,30),0)</f>
        <v/>
      </c>
      <c r="AG354">
        <f>IFERROR(INDEX(PP_Grid[#Data],$DD354,31),0)</f>
        <v/>
      </c>
      <c r="AH354">
        <f>IFERROR(INDEX(PP_Grid[#Data],$DD354,32),0)</f>
        <v/>
      </c>
      <c r="AI354">
        <f>IFERROR(INDEX(PP_Grid[#Data],$DD354,33),0)</f>
        <v/>
      </c>
      <c r="AJ354">
        <f>IFERROR(INDEX(PP_Grid[#Data],$DD354,34),0)</f>
        <v/>
      </c>
      <c r="AK354">
        <f>IFERROR(INDEX(PP_Grid[#Data],$DD354,35),0)</f>
        <v/>
      </c>
      <c r="AL354">
        <f>IFERROR(INDEX(PP_Grid[#Data],$DD354,36),0)</f>
        <v/>
      </c>
      <c r="AM354">
        <f>IFERROR(INDEX(PP_Grid[#Data],$DD354,37),0)</f>
        <v/>
      </c>
      <c r="AN354">
        <f>IFERROR(INDEX(PP_Grid[#Data],$DD354,38),0)</f>
        <v/>
      </c>
      <c r="AO354">
        <f>IFERROR(INDEX(PP_Grid[#Data],$DD354,39),0)</f>
        <v/>
      </c>
      <c r="AP354">
        <f>IFERROR(INDEX(PP_Grid[#Data],$DD354,40),0)</f>
        <v/>
      </c>
      <c r="AQ354">
        <f>IFERROR(INDEX(PP_Grid[#Data],$DD354,41),0)</f>
        <v/>
      </c>
      <c r="AR354">
        <f>IFERROR(INDEX(PP_Grid[#Data],$DD354,42),0)</f>
        <v/>
      </c>
      <c r="AS354">
        <f>IFERROR(INDEX(PP_Grid[#Data],$DD354,43),0)</f>
        <v/>
      </c>
      <c r="AT354">
        <f>IFERROR(INDEX(PP_Grid[#Data],$DD354,44),0)</f>
        <v/>
      </c>
      <c r="AU354">
        <f>IFERROR(INDEX(PP_Grid[#Data],$DD354,45),0)</f>
        <v/>
      </c>
      <c r="AV354">
        <f>IFERROR(INDEX(PP_Grid[#Data],$DD354,46),0)</f>
        <v/>
      </c>
      <c r="AW354">
        <f>IFERROR(INDEX(PP_Grid[#Data],$DD354,47),0)</f>
        <v/>
      </c>
      <c r="AX354">
        <f>IFERROR(INDEX(PP_Grid[#Data],$DD354,48),0)</f>
        <v/>
      </c>
      <c r="AY354">
        <f>IFERROR(INDEX(PP_Grid[#Data],$DD354,49),0)</f>
        <v/>
      </c>
      <c r="AZ354">
        <f>IFERROR(INDEX(PP_Grid[#Data],$DD354,50),0)</f>
        <v/>
      </c>
      <c r="BA354">
        <f>IFERROR(INDEX(PP_Grid[#Data],$DD354,51),0)</f>
        <v/>
      </c>
      <c r="BB354">
        <f>IFERROR(INDEX(PP_Grid[#Data],$DD354,52),0)</f>
        <v/>
      </c>
      <c r="BC354">
        <f>IFERROR(INDEX(PP_Grid[#Data],$DD354,53),0)</f>
        <v/>
      </c>
      <c r="BD354">
        <f>IFERROR(INDEX(PP_Grid[#Data],$DD354,54),0)</f>
        <v/>
      </c>
      <c r="BE354">
        <f>IFERROR(INDEX(PP_Grid[#Data],$DD354,55),0)</f>
        <v/>
      </c>
      <c r="BF354">
        <f>IFERROR(INDEX(PP_Grid[#Data],$DD354,56),0)</f>
        <v/>
      </c>
      <c r="BG354">
        <f>IFERROR(INDEX(PP_Grid[#Data],$DD354,57),0)</f>
        <v/>
      </c>
      <c r="BH354">
        <f>IFERROR(INDEX(PP_Grid[#Data],$DD354,58),0)</f>
        <v/>
      </c>
      <c r="BI354">
        <f>IFERROR(INDEX(PP_Grid[#Data],$DD354,59),0)</f>
        <v/>
      </c>
      <c r="BJ354">
        <f>IFERROR(INDEX(PP_Grid[#Data],$DD354,60),0)</f>
        <v/>
      </c>
      <c r="BK354">
        <f>IFERROR(INDEX(PP_Grid[#Data],$DD354,61),0)</f>
        <v/>
      </c>
      <c r="BL354">
        <f>IFERROR(INDEX(PP_Grid[#Data],$DD354,62),0)</f>
        <v/>
      </c>
      <c r="BM354">
        <f>IFERROR(INDEX(PP_Grid[#Data],$DD354,63),0)</f>
        <v/>
      </c>
      <c r="BN354">
        <f>IFERROR(INDEX(PP_Grid[#Data],$DD354,64),0)</f>
        <v/>
      </c>
      <c r="BO354">
        <f>IFERROR(INDEX(PP_Grid[#Data],$DD354,65),0)</f>
        <v/>
      </c>
      <c r="BP354">
        <f>IFERROR(INDEX(PP_Grid[#Data],$DD354,66),0)</f>
        <v/>
      </c>
      <c r="BQ354">
        <f>IFERROR(INDEX(PP_Grid[#Data],$DD354,67),0)</f>
        <v/>
      </c>
      <c r="BR354">
        <f>IFERROR(INDEX(PP_Grid[#Data],$DD354,68),0)</f>
        <v/>
      </c>
      <c r="BS354">
        <f>IFERROR(INDEX(PP_Grid[#Data],$DD354,69),0)</f>
        <v/>
      </c>
      <c r="BT354">
        <f>IFERROR(INDEX(PP_Grid[#Data],$DD354,70),0)</f>
        <v/>
      </c>
      <c r="BU354">
        <f>IFERROR(INDEX(PP_Grid[#Data],$DD354,71),0)</f>
        <v/>
      </c>
      <c r="BV354">
        <f>IFERROR(INDEX(PP_Grid[#Data],$DD354,72),0)</f>
        <v/>
      </c>
      <c r="BW354">
        <f>IFERROR(INDEX(PP_Grid[#Data],$DD354,73),0)</f>
        <v/>
      </c>
      <c r="BX354">
        <f>IFERROR(INDEX(PP_Grid[#Data],$DD354,74),0)</f>
        <v/>
      </c>
      <c r="BY354">
        <f>IFERROR(INDEX(PP_Grid[#Data],$DD354,75),0)</f>
        <v/>
      </c>
      <c r="BZ354">
        <f>IFERROR(INDEX(PP_Grid[#Data],$DD354,76),0)</f>
        <v/>
      </c>
      <c r="CA354">
        <f>IFERROR(INDEX(PP_Grid[#Data],$DD354,77),0)</f>
        <v/>
      </c>
      <c r="CB354">
        <f>IFERROR(INDEX(PP_Grid[#Data],$DD354,78),0)</f>
        <v/>
      </c>
      <c r="CC354">
        <f>IFERROR(INDEX(PP_Grid[#Data],$DD354,79),0)</f>
        <v/>
      </c>
      <c r="CD354">
        <f>IFERROR(INDEX(PP_Grid[#Data],$DD354,80),0)</f>
        <v/>
      </c>
      <c r="CE354">
        <f>IFERROR(INDEX(PP_Grid[#Data],$DD354,81),0)</f>
        <v/>
      </c>
      <c r="CF354">
        <f>IFERROR(INDEX(PP_Grid[#Data],$DD354,82),0)</f>
        <v/>
      </c>
      <c r="CG354">
        <f>IFERROR(INDEX(PP_Grid[#Data],$DD354,83),0)</f>
        <v/>
      </c>
      <c r="CH354">
        <f>IFERROR(INDEX(PP_Grid[#Data],$DD354,84),0)</f>
        <v/>
      </c>
      <c r="CI354">
        <f>IFERROR(INDEX(PP_Grid[#Data],$DD354,85),0)</f>
        <v/>
      </c>
      <c r="CJ354">
        <f>IFERROR(INDEX(PP_Grid[#Data],$DD354,86),0)</f>
        <v/>
      </c>
      <c r="CK354">
        <f>IFERROR(INDEX(PP_Grid[#Data],$DD354,87),0)</f>
        <v/>
      </c>
      <c r="CL354">
        <f>IFERROR(INDEX(PP_Grid[#Data],$DD354,88),0)</f>
        <v/>
      </c>
      <c r="CM354">
        <f>IFERROR(INDEX(PP_Grid[#Data],$DD354,89),0)</f>
        <v/>
      </c>
      <c r="CN354">
        <f>IFERROR(INDEX(PP_Grid[#Data],$DD354,90),0)</f>
        <v/>
      </c>
      <c r="CO354">
        <f>IFERROR(INDEX(PP_Grid[#Data],$DD354,91),0)</f>
        <v/>
      </c>
      <c r="CP354">
        <f>IFERROR(INDEX(PP_Grid[#Data],$DD354,92),0)</f>
        <v/>
      </c>
      <c r="CQ354">
        <f>IFERROR(INDEX(PP_Grid[#Data],$DD354,93),0)</f>
        <v/>
      </c>
      <c r="CR354">
        <f>IFERROR(INDEX(PP_Grid[#Data],$DD354,94),0)</f>
        <v/>
      </c>
      <c r="CS354">
        <f>IFERROR(INDEX(PP_Grid[#Data],$DD354,95),0)</f>
        <v/>
      </c>
      <c r="CT354">
        <f>IFERROR(INDEX(PP_Grid[#Data],$DD354,96),0)</f>
        <v/>
      </c>
      <c r="CU354">
        <f>IFERROR(INDEX(PP_Grid[#Data],$DD354,97),0)</f>
        <v/>
      </c>
      <c r="CV354">
        <f>IFERROR(INDEX(PP_Grid[#Data],$DD354,98),0)</f>
        <v/>
      </c>
      <c r="CW354">
        <f>IFERROR(INDEX(PP_Grid[#Data],$DD354,99),0)</f>
        <v/>
      </c>
      <c r="CX354">
        <f>IFERROR(INDEX(PP_Grid[#Data],$DD354,100),0)</f>
        <v/>
      </c>
      <c r="CY354">
        <f>IFERROR(INDEX(PP_Grid[#Data],$DD354,101),0)</f>
        <v/>
      </c>
      <c r="CZ354">
        <f>IFERROR(INDEX(PP_Grid[#Data],$DD354,102),0)</f>
        <v/>
      </c>
      <c r="DA354">
        <f>IFERROR(INDEX(PP_Grid[#Data],$DD354,103),0)</f>
        <v/>
      </c>
      <c r="DB354">
        <f>IFERROR(INDEX(PP_Grid[#Data],$DD354,104),0)</f>
        <v/>
      </c>
      <c r="DC354">
        <f>IFERROR(INDEX(PP_Grid[#Data],$DD354,105),0)</f>
        <v/>
      </c>
      <c r="DD354" s="7">
        <f>IFERROR(MATCH($B354,PP_Grid[Intermediate],0),99999)</f>
        <v/>
      </c>
    </row>
    <row r="355">
      <c r="B355" t="inlineStr">
        <is>
          <t>使用量(kg)</t>
        </is>
      </c>
      <c r="C355">
        <f>SUMIFS(M_BOM[RM_Qty_Per_Batch],M_BOM[Intermediate],$B354,M_BOM[Part Name],$A343)</f>
        <v/>
      </c>
      <c r="D355">
        <f>$C355*D354</f>
        <v/>
      </c>
      <c r="E355">
        <f>$C355*E354</f>
        <v/>
      </c>
      <c r="F355">
        <f>$C355*F354</f>
        <v/>
      </c>
      <c r="G355">
        <f>$C355*G354</f>
        <v/>
      </c>
      <c r="H355">
        <f>$C355*H354</f>
        <v/>
      </c>
      <c r="I355">
        <f>$C355*I354</f>
        <v/>
      </c>
      <c r="J355">
        <f>$C355*J354</f>
        <v/>
      </c>
      <c r="K355">
        <f>$C355*K354</f>
        <v/>
      </c>
      <c r="L355">
        <f>$C355*L354</f>
        <v/>
      </c>
      <c r="M355">
        <f>$C355*M354</f>
        <v/>
      </c>
      <c r="N355">
        <f>$C355*N354</f>
        <v/>
      </c>
      <c r="O355">
        <f>$C355*O354</f>
        <v/>
      </c>
      <c r="P355">
        <f>$C355*P354</f>
        <v/>
      </c>
      <c r="Q355">
        <f>$C355*Q354</f>
        <v/>
      </c>
      <c r="R355">
        <f>$C355*R354</f>
        <v/>
      </c>
      <c r="S355">
        <f>$C355*S354</f>
        <v/>
      </c>
      <c r="T355">
        <f>$C355*T354</f>
        <v/>
      </c>
      <c r="U355">
        <f>$C355*U354</f>
        <v/>
      </c>
      <c r="V355">
        <f>$C355*V354</f>
        <v/>
      </c>
      <c r="W355">
        <f>$C355*W354</f>
        <v/>
      </c>
      <c r="X355">
        <f>$C355*X354</f>
        <v/>
      </c>
      <c r="Y355">
        <f>$C355*Y354</f>
        <v/>
      </c>
      <c r="Z355">
        <f>$C355*Z354</f>
        <v/>
      </c>
      <c r="AA355">
        <f>$C355*AA354</f>
        <v/>
      </c>
      <c r="AB355">
        <f>$C355*AB354</f>
        <v/>
      </c>
      <c r="AC355">
        <f>$C355*AC354</f>
        <v/>
      </c>
      <c r="AD355">
        <f>$C355*AD354</f>
        <v/>
      </c>
      <c r="AE355">
        <f>$C355*AE354</f>
        <v/>
      </c>
      <c r="AF355">
        <f>$C355*AF354</f>
        <v/>
      </c>
      <c r="AG355">
        <f>$C355*AG354</f>
        <v/>
      </c>
      <c r="AH355">
        <f>$C355*AH354</f>
        <v/>
      </c>
      <c r="AI355">
        <f>$C355*AI354</f>
        <v/>
      </c>
      <c r="AJ355">
        <f>$C355*AJ354</f>
        <v/>
      </c>
      <c r="AK355">
        <f>$C355*AK354</f>
        <v/>
      </c>
      <c r="AL355">
        <f>$C355*AL354</f>
        <v/>
      </c>
      <c r="AM355">
        <f>$C355*AM354</f>
        <v/>
      </c>
      <c r="AN355">
        <f>$C355*AN354</f>
        <v/>
      </c>
      <c r="AO355">
        <f>$C355*AO354</f>
        <v/>
      </c>
      <c r="AP355">
        <f>$C355*AP354</f>
        <v/>
      </c>
      <c r="AQ355">
        <f>$C355*AQ354</f>
        <v/>
      </c>
      <c r="AR355">
        <f>$C355*AR354</f>
        <v/>
      </c>
      <c r="AS355">
        <f>$C355*AS354</f>
        <v/>
      </c>
      <c r="AT355">
        <f>$C355*AT354</f>
        <v/>
      </c>
      <c r="AU355">
        <f>$C355*AU354</f>
        <v/>
      </c>
      <c r="AV355">
        <f>$C355*AV354</f>
        <v/>
      </c>
      <c r="AW355">
        <f>$C355*AW354</f>
        <v/>
      </c>
      <c r="AX355">
        <f>$C355*AX354</f>
        <v/>
      </c>
      <c r="AY355">
        <f>$C355*AY354</f>
        <v/>
      </c>
      <c r="AZ355">
        <f>$C355*AZ354</f>
        <v/>
      </c>
      <c r="BA355">
        <f>$C355*BA354</f>
        <v/>
      </c>
      <c r="BB355">
        <f>$C355*BB354</f>
        <v/>
      </c>
      <c r="BC355">
        <f>$C355*BC354</f>
        <v/>
      </c>
      <c r="BD355">
        <f>$C355*BD354</f>
        <v/>
      </c>
      <c r="BE355">
        <f>$C355*BE354</f>
        <v/>
      </c>
      <c r="BF355">
        <f>$C355*BF354</f>
        <v/>
      </c>
      <c r="BG355">
        <f>$C355*BG354</f>
        <v/>
      </c>
      <c r="BH355">
        <f>$C355*BH354</f>
        <v/>
      </c>
      <c r="BI355">
        <f>$C355*BI354</f>
        <v/>
      </c>
      <c r="BJ355">
        <f>$C355*BJ354</f>
        <v/>
      </c>
      <c r="BK355">
        <f>$C355*BK354</f>
        <v/>
      </c>
      <c r="BL355">
        <f>$C355*BL354</f>
        <v/>
      </c>
      <c r="BM355">
        <f>$C355*BM354</f>
        <v/>
      </c>
      <c r="BN355">
        <f>$C355*BN354</f>
        <v/>
      </c>
      <c r="BO355">
        <f>$C355*BO354</f>
        <v/>
      </c>
      <c r="BP355">
        <f>$C355*BP354</f>
        <v/>
      </c>
      <c r="BQ355">
        <f>$C355*BQ354</f>
        <v/>
      </c>
      <c r="BR355">
        <f>$C355*BR354</f>
        <v/>
      </c>
      <c r="BS355">
        <f>$C355*BS354</f>
        <v/>
      </c>
      <c r="BT355">
        <f>$C355*BT354</f>
        <v/>
      </c>
      <c r="BU355">
        <f>$C355*BU354</f>
        <v/>
      </c>
      <c r="BV355">
        <f>$C355*BV354</f>
        <v/>
      </c>
      <c r="BW355">
        <f>$C355*BW354</f>
        <v/>
      </c>
      <c r="BX355">
        <f>$C355*BX354</f>
        <v/>
      </c>
      <c r="BY355">
        <f>$C355*BY354</f>
        <v/>
      </c>
      <c r="BZ355">
        <f>$C355*BZ354</f>
        <v/>
      </c>
      <c r="CA355">
        <f>$C355*CA354</f>
        <v/>
      </c>
      <c r="CB355">
        <f>$C355*CB354</f>
        <v/>
      </c>
      <c r="CC355">
        <f>$C355*CC354</f>
        <v/>
      </c>
      <c r="CD355">
        <f>$C355*CD354</f>
        <v/>
      </c>
      <c r="CE355">
        <f>$C355*CE354</f>
        <v/>
      </c>
      <c r="CF355">
        <f>$C355*CF354</f>
        <v/>
      </c>
      <c r="CG355">
        <f>$C355*CG354</f>
        <v/>
      </c>
      <c r="CH355">
        <f>$C355*CH354</f>
        <v/>
      </c>
      <c r="CI355">
        <f>$C355*CI354</f>
        <v/>
      </c>
      <c r="CJ355">
        <f>$C355*CJ354</f>
        <v/>
      </c>
      <c r="CK355">
        <f>$C355*CK354</f>
        <v/>
      </c>
      <c r="CL355">
        <f>$C355*CL354</f>
        <v/>
      </c>
      <c r="CM355">
        <f>$C355*CM354</f>
        <v/>
      </c>
      <c r="CN355">
        <f>$C355*CN354</f>
        <v/>
      </c>
      <c r="CO355">
        <f>$C355*CO354</f>
        <v/>
      </c>
      <c r="CP355">
        <f>$C355*CP354</f>
        <v/>
      </c>
      <c r="CQ355">
        <f>$C355*CQ354</f>
        <v/>
      </c>
      <c r="CR355">
        <f>$C355*CR354</f>
        <v/>
      </c>
      <c r="CS355">
        <f>$C355*CS354</f>
        <v/>
      </c>
      <c r="CT355">
        <f>$C355*CT354</f>
        <v/>
      </c>
      <c r="CU355">
        <f>$C355*CU354</f>
        <v/>
      </c>
      <c r="CV355">
        <f>$C355*CV354</f>
        <v/>
      </c>
      <c r="CW355">
        <f>$C355*CW354</f>
        <v/>
      </c>
      <c r="CX355">
        <f>$C355*CX354</f>
        <v/>
      </c>
      <c r="CY355">
        <f>$C355*CY354</f>
        <v/>
      </c>
      <c r="CZ355">
        <f>$C355*CZ354</f>
        <v/>
      </c>
      <c r="DA355">
        <f>$C355*DA354</f>
        <v/>
      </c>
      <c r="DB355">
        <f>$C355*DB354</f>
        <v/>
      </c>
      <c r="DC355">
        <f>$C355*DC354</f>
        <v/>
      </c>
    </row>
    <row r="356">
      <c r="B356" t="inlineStr">
        <is>
          <t>TSP-218</t>
        </is>
      </c>
      <c r="C356" t="inlineStr">
        <is>
          <t>No. of batches</t>
        </is>
      </c>
      <c r="D356">
        <f>IFERROR(INDEX(PP_Grid[#Data],$DD356,2),0)</f>
        <v/>
      </c>
      <c r="E356">
        <f>IFERROR(INDEX(PP_Grid[#Data],$DD356,3),0)</f>
        <v/>
      </c>
      <c r="F356">
        <f>IFERROR(INDEX(PP_Grid[#Data],$DD356,4),0)</f>
        <v/>
      </c>
      <c r="G356">
        <f>IFERROR(INDEX(PP_Grid[#Data],$DD356,5),0)</f>
        <v/>
      </c>
      <c r="H356">
        <f>IFERROR(INDEX(PP_Grid[#Data],$DD356,6),0)</f>
        <v/>
      </c>
      <c r="I356">
        <f>IFERROR(INDEX(PP_Grid[#Data],$DD356,7),0)</f>
        <v/>
      </c>
      <c r="J356">
        <f>IFERROR(INDEX(PP_Grid[#Data],$DD356,8),0)</f>
        <v/>
      </c>
      <c r="K356">
        <f>IFERROR(INDEX(PP_Grid[#Data],$DD356,9),0)</f>
        <v/>
      </c>
      <c r="L356">
        <f>IFERROR(INDEX(PP_Grid[#Data],$DD356,10),0)</f>
        <v/>
      </c>
      <c r="M356">
        <f>IFERROR(INDEX(PP_Grid[#Data],$DD356,11),0)</f>
        <v/>
      </c>
      <c r="N356">
        <f>IFERROR(INDEX(PP_Grid[#Data],$DD356,12),0)</f>
        <v/>
      </c>
      <c r="O356">
        <f>IFERROR(INDEX(PP_Grid[#Data],$DD356,13),0)</f>
        <v/>
      </c>
      <c r="P356">
        <f>IFERROR(INDEX(PP_Grid[#Data],$DD356,14),0)</f>
        <v/>
      </c>
      <c r="Q356">
        <f>IFERROR(INDEX(PP_Grid[#Data],$DD356,15),0)</f>
        <v/>
      </c>
      <c r="R356">
        <f>IFERROR(INDEX(PP_Grid[#Data],$DD356,16),0)</f>
        <v/>
      </c>
      <c r="S356">
        <f>IFERROR(INDEX(PP_Grid[#Data],$DD356,17),0)</f>
        <v/>
      </c>
      <c r="T356">
        <f>IFERROR(INDEX(PP_Grid[#Data],$DD356,18),0)</f>
        <v/>
      </c>
      <c r="U356">
        <f>IFERROR(INDEX(PP_Grid[#Data],$DD356,19),0)</f>
        <v/>
      </c>
      <c r="V356">
        <f>IFERROR(INDEX(PP_Grid[#Data],$DD356,20),0)</f>
        <v/>
      </c>
      <c r="W356">
        <f>IFERROR(INDEX(PP_Grid[#Data],$DD356,21),0)</f>
        <v/>
      </c>
      <c r="X356">
        <f>IFERROR(INDEX(PP_Grid[#Data],$DD356,22),0)</f>
        <v/>
      </c>
      <c r="Y356">
        <f>IFERROR(INDEX(PP_Grid[#Data],$DD356,23),0)</f>
        <v/>
      </c>
      <c r="Z356">
        <f>IFERROR(INDEX(PP_Grid[#Data],$DD356,24),0)</f>
        <v/>
      </c>
      <c r="AA356">
        <f>IFERROR(INDEX(PP_Grid[#Data],$DD356,25),0)</f>
        <v/>
      </c>
      <c r="AB356">
        <f>IFERROR(INDEX(PP_Grid[#Data],$DD356,26),0)</f>
        <v/>
      </c>
      <c r="AC356">
        <f>IFERROR(INDEX(PP_Grid[#Data],$DD356,27),0)</f>
        <v/>
      </c>
      <c r="AD356">
        <f>IFERROR(INDEX(PP_Grid[#Data],$DD356,28),0)</f>
        <v/>
      </c>
      <c r="AE356">
        <f>IFERROR(INDEX(PP_Grid[#Data],$DD356,29),0)</f>
        <v/>
      </c>
      <c r="AF356">
        <f>IFERROR(INDEX(PP_Grid[#Data],$DD356,30),0)</f>
        <v/>
      </c>
      <c r="AG356">
        <f>IFERROR(INDEX(PP_Grid[#Data],$DD356,31),0)</f>
        <v/>
      </c>
      <c r="AH356">
        <f>IFERROR(INDEX(PP_Grid[#Data],$DD356,32),0)</f>
        <v/>
      </c>
      <c r="AI356">
        <f>IFERROR(INDEX(PP_Grid[#Data],$DD356,33),0)</f>
        <v/>
      </c>
      <c r="AJ356">
        <f>IFERROR(INDEX(PP_Grid[#Data],$DD356,34),0)</f>
        <v/>
      </c>
      <c r="AK356">
        <f>IFERROR(INDEX(PP_Grid[#Data],$DD356,35),0)</f>
        <v/>
      </c>
      <c r="AL356">
        <f>IFERROR(INDEX(PP_Grid[#Data],$DD356,36),0)</f>
        <v/>
      </c>
      <c r="AM356">
        <f>IFERROR(INDEX(PP_Grid[#Data],$DD356,37),0)</f>
        <v/>
      </c>
      <c r="AN356">
        <f>IFERROR(INDEX(PP_Grid[#Data],$DD356,38),0)</f>
        <v/>
      </c>
      <c r="AO356">
        <f>IFERROR(INDEX(PP_Grid[#Data],$DD356,39),0)</f>
        <v/>
      </c>
      <c r="AP356">
        <f>IFERROR(INDEX(PP_Grid[#Data],$DD356,40),0)</f>
        <v/>
      </c>
      <c r="AQ356">
        <f>IFERROR(INDEX(PP_Grid[#Data],$DD356,41),0)</f>
        <v/>
      </c>
      <c r="AR356">
        <f>IFERROR(INDEX(PP_Grid[#Data],$DD356,42),0)</f>
        <v/>
      </c>
      <c r="AS356">
        <f>IFERROR(INDEX(PP_Grid[#Data],$DD356,43),0)</f>
        <v/>
      </c>
      <c r="AT356">
        <f>IFERROR(INDEX(PP_Grid[#Data],$DD356,44),0)</f>
        <v/>
      </c>
      <c r="AU356">
        <f>IFERROR(INDEX(PP_Grid[#Data],$DD356,45),0)</f>
        <v/>
      </c>
      <c r="AV356">
        <f>IFERROR(INDEX(PP_Grid[#Data],$DD356,46),0)</f>
        <v/>
      </c>
      <c r="AW356">
        <f>IFERROR(INDEX(PP_Grid[#Data],$DD356,47),0)</f>
        <v/>
      </c>
      <c r="AX356">
        <f>IFERROR(INDEX(PP_Grid[#Data],$DD356,48),0)</f>
        <v/>
      </c>
      <c r="AY356">
        <f>IFERROR(INDEX(PP_Grid[#Data],$DD356,49),0)</f>
        <v/>
      </c>
      <c r="AZ356">
        <f>IFERROR(INDEX(PP_Grid[#Data],$DD356,50),0)</f>
        <v/>
      </c>
      <c r="BA356">
        <f>IFERROR(INDEX(PP_Grid[#Data],$DD356,51),0)</f>
        <v/>
      </c>
      <c r="BB356">
        <f>IFERROR(INDEX(PP_Grid[#Data],$DD356,52),0)</f>
        <v/>
      </c>
      <c r="BC356">
        <f>IFERROR(INDEX(PP_Grid[#Data],$DD356,53),0)</f>
        <v/>
      </c>
      <c r="BD356">
        <f>IFERROR(INDEX(PP_Grid[#Data],$DD356,54),0)</f>
        <v/>
      </c>
      <c r="BE356">
        <f>IFERROR(INDEX(PP_Grid[#Data],$DD356,55),0)</f>
        <v/>
      </c>
      <c r="BF356">
        <f>IFERROR(INDEX(PP_Grid[#Data],$DD356,56),0)</f>
        <v/>
      </c>
      <c r="BG356">
        <f>IFERROR(INDEX(PP_Grid[#Data],$DD356,57),0)</f>
        <v/>
      </c>
      <c r="BH356">
        <f>IFERROR(INDEX(PP_Grid[#Data],$DD356,58),0)</f>
        <v/>
      </c>
      <c r="BI356">
        <f>IFERROR(INDEX(PP_Grid[#Data],$DD356,59),0)</f>
        <v/>
      </c>
      <c r="BJ356">
        <f>IFERROR(INDEX(PP_Grid[#Data],$DD356,60),0)</f>
        <v/>
      </c>
      <c r="BK356">
        <f>IFERROR(INDEX(PP_Grid[#Data],$DD356,61),0)</f>
        <v/>
      </c>
      <c r="BL356">
        <f>IFERROR(INDEX(PP_Grid[#Data],$DD356,62),0)</f>
        <v/>
      </c>
      <c r="BM356">
        <f>IFERROR(INDEX(PP_Grid[#Data],$DD356,63),0)</f>
        <v/>
      </c>
      <c r="BN356">
        <f>IFERROR(INDEX(PP_Grid[#Data],$DD356,64),0)</f>
        <v/>
      </c>
      <c r="BO356">
        <f>IFERROR(INDEX(PP_Grid[#Data],$DD356,65),0)</f>
        <v/>
      </c>
      <c r="BP356">
        <f>IFERROR(INDEX(PP_Grid[#Data],$DD356,66),0)</f>
        <v/>
      </c>
      <c r="BQ356">
        <f>IFERROR(INDEX(PP_Grid[#Data],$DD356,67),0)</f>
        <v/>
      </c>
      <c r="BR356">
        <f>IFERROR(INDEX(PP_Grid[#Data],$DD356,68),0)</f>
        <v/>
      </c>
      <c r="BS356">
        <f>IFERROR(INDEX(PP_Grid[#Data],$DD356,69),0)</f>
        <v/>
      </c>
      <c r="BT356">
        <f>IFERROR(INDEX(PP_Grid[#Data],$DD356,70),0)</f>
        <v/>
      </c>
      <c r="BU356">
        <f>IFERROR(INDEX(PP_Grid[#Data],$DD356,71),0)</f>
        <v/>
      </c>
      <c r="BV356">
        <f>IFERROR(INDEX(PP_Grid[#Data],$DD356,72),0)</f>
        <v/>
      </c>
      <c r="BW356">
        <f>IFERROR(INDEX(PP_Grid[#Data],$DD356,73),0)</f>
        <v/>
      </c>
      <c r="BX356">
        <f>IFERROR(INDEX(PP_Grid[#Data],$DD356,74),0)</f>
        <v/>
      </c>
      <c r="BY356">
        <f>IFERROR(INDEX(PP_Grid[#Data],$DD356,75),0)</f>
        <v/>
      </c>
      <c r="BZ356">
        <f>IFERROR(INDEX(PP_Grid[#Data],$DD356,76),0)</f>
        <v/>
      </c>
      <c r="CA356">
        <f>IFERROR(INDEX(PP_Grid[#Data],$DD356,77),0)</f>
        <v/>
      </c>
      <c r="CB356">
        <f>IFERROR(INDEX(PP_Grid[#Data],$DD356,78),0)</f>
        <v/>
      </c>
      <c r="CC356">
        <f>IFERROR(INDEX(PP_Grid[#Data],$DD356,79),0)</f>
        <v/>
      </c>
      <c r="CD356">
        <f>IFERROR(INDEX(PP_Grid[#Data],$DD356,80),0)</f>
        <v/>
      </c>
      <c r="CE356">
        <f>IFERROR(INDEX(PP_Grid[#Data],$DD356,81),0)</f>
        <v/>
      </c>
      <c r="CF356">
        <f>IFERROR(INDEX(PP_Grid[#Data],$DD356,82),0)</f>
        <v/>
      </c>
      <c r="CG356">
        <f>IFERROR(INDEX(PP_Grid[#Data],$DD356,83),0)</f>
        <v/>
      </c>
      <c r="CH356">
        <f>IFERROR(INDEX(PP_Grid[#Data],$DD356,84),0)</f>
        <v/>
      </c>
      <c r="CI356">
        <f>IFERROR(INDEX(PP_Grid[#Data],$DD356,85),0)</f>
        <v/>
      </c>
      <c r="CJ356">
        <f>IFERROR(INDEX(PP_Grid[#Data],$DD356,86),0)</f>
        <v/>
      </c>
      <c r="CK356">
        <f>IFERROR(INDEX(PP_Grid[#Data],$DD356,87),0)</f>
        <v/>
      </c>
      <c r="CL356">
        <f>IFERROR(INDEX(PP_Grid[#Data],$DD356,88),0)</f>
        <v/>
      </c>
      <c r="CM356">
        <f>IFERROR(INDEX(PP_Grid[#Data],$DD356,89),0)</f>
        <v/>
      </c>
      <c r="CN356">
        <f>IFERROR(INDEX(PP_Grid[#Data],$DD356,90),0)</f>
        <v/>
      </c>
      <c r="CO356">
        <f>IFERROR(INDEX(PP_Grid[#Data],$DD356,91),0)</f>
        <v/>
      </c>
      <c r="CP356">
        <f>IFERROR(INDEX(PP_Grid[#Data],$DD356,92),0)</f>
        <v/>
      </c>
      <c r="CQ356">
        <f>IFERROR(INDEX(PP_Grid[#Data],$DD356,93),0)</f>
        <v/>
      </c>
      <c r="CR356">
        <f>IFERROR(INDEX(PP_Grid[#Data],$DD356,94),0)</f>
        <v/>
      </c>
      <c r="CS356">
        <f>IFERROR(INDEX(PP_Grid[#Data],$DD356,95),0)</f>
        <v/>
      </c>
      <c r="CT356">
        <f>IFERROR(INDEX(PP_Grid[#Data],$DD356,96),0)</f>
        <v/>
      </c>
      <c r="CU356">
        <f>IFERROR(INDEX(PP_Grid[#Data],$DD356,97),0)</f>
        <v/>
      </c>
      <c r="CV356">
        <f>IFERROR(INDEX(PP_Grid[#Data],$DD356,98),0)</f>
        <v/>
      </c>
      <c r="CW356">
        <f>IFERROR(INDEX(PP_Grid[#Data],$DD356,99),0)</f>
        <v/>
      </c>
      <c r="CX356">
        <f>IFERROR(INDEX(PP_Grid[#Data],$DD356,100),0)</f>
        <v/>
      </c>
      <c r="CY356">
        <f>IFERROR(INDEX(PP_Grid[#Data],$DD356,101),0)</f>
        <v/>
      </c>
      <c r="CZ356">
        <f>IFERROR(INDEX(PP_Grid[#Data],$DD356,102),0)</f>
        <v/>
      </c>
      <c r="DA356">
        <f>IFERROR(INDEX(PP_Grid[#Data],$DD356,103),0)</f>
        <v/>
      </c>
      <c r="DB356">
        <f>IFERROR(INDEX(PP_Grid[#Data],$DD356,104),0)</f>
        <v/>
      </c>
      <c r="DC356">
        <f>IFERROR(INDEX(PP_Grid[#Data],$DD356,105),0)</f>
        <v/>
      </c>
      <c r="DD356" s="7">
        <f>IFERROR(MATCH($B356,PP_Grid[Intermediate],0),99999)</f>
        <v/>
      </c>
    </row>
    <row r="357">
      <c r="B357" t="inlineStr">
        <is>
          <t>使用量(kg)</t>
        </is>
      </c>
      <c r="C357">
        <f>SUMIFS(M_BOM[RM_Qty_Per_Batch],M_BOM[Intermediate],$B356,M_BOM[Part Name],$A343)</f>
        <v/>
      </c>
      <c r="D357">
        <f>$C357*D356</f>
        <v/>
      </c>
      <c r="E357">
        <f>$C357*E356</f>
        <v/>
      </c>
      <c r="F357">
        <f>$C357*F356</f>
        <v/>
      </c>
      <c r="G357">
        <f>$C357*G356</f>
        <v/>
      </c>
      <c r="H357">
        <f>$C357*H356</f>
        <v/>
      </c>
      <c r="I357">
        <f>$C357*I356</f>
        <v/>
      </c>
      <c r="J357">
        <f>$C357*J356</f>
        <v/>
      </c>
      <c r="K357">
        <f>$C357*K356</f>
        <v/>
      </c>
      <c r="L357">
        <f>$C357*L356</f>
        <v/>
      </c>
      <c r="M357">
        <f>$C357*M356</f>
        <v/>
      </c>
      <c r="N357">
        <f>$C357*N356</f>
        <v/>
      </c>
      <c r="O357">
        <f>$C357*O356</f>
        <v/>
      </c>
      <c r="P357">
        <f>$C357*P356</f>
        <v/>
      </c>
      <c r="Q357">
        <f>$C357*Q356</f>
        <v/>
      </c>
      <c r="R357">
        <f>$C357*R356</f>
        <v/>
      </c>
      <c r="S357">
        <f>$C357*S356</f>
        <v/>
      </c>
      <c r="T357">
        <f>$C357*T356</f>
        <v/>
      </c>
      <c r="U357">
        <f>$C357*U356</f>
        <v/>
      </c>
      <c r="V357">
        <f>$C357*V356</f>
        <v/>
      </c>
      <c r="W357">
        <f>$C357*W356</f>
        <v/>
      </c>
      <c r="X357">
        <f>$C357*X356</f>
        <v/>
      </c>
      <c r="Y357">
        <f>$C357*Y356</f>
        <v/>
      </c>
      <c r="Z357">
        <f>$C357*Z356</f>
        <v/>
      </c>
      <c r="AA357">
        <f>$C357*AA356</f>
        <v/>
      </c>
      <c r="AB357">
        <f>$C357*AB356</f>
        <v/>
      </c>
      <c r="AC357">
        <f>$C357*AC356</f>
        <v/>
      </c>
      <c r="AD357">
        <f>$C357*AD356</f>
        <v/>
      </c>
      <c r="AE357">
        <f>$C357*AE356</f>
        <v/>
      </c>
      <c r="AF357">
        <f>$C357*AF356</f>
        <v/>
      </c>
      <c r="AG357">
        <f>$C357*AG356</f>
        <v/>
      </c>
      <c r="AH357">
        <f>$C357*AH356</f>
        <v/>
      </c>
      <c r="AI357">
        <f>$C357*AI356</f>
        <v/>
      </c>
      <c r="AJ357">
        <f>$C357*AJ356</f>
        <v/>
      </c>
      <c r="AK357">
        <f>$C357*AK356</f>
        <v/>
      </c>
      <c r="AL357">
        <f>$C357*AL356</f>
        <v/>
      </c>
      <c r="AM357">
        <f>$C357*AM356</f>
        <v/>
      </c>
      <c r="AN357">
        <f>$C357*AN356</f>
        <v/>
      </c>
      <c r="AO357">
        <f>$C357*AO356</f>
        <v/>
      </c>
      <c r="AP357">
        <f>$C357*AP356</f>
        <v/>
      </c>
      <c r="AQ357">
        <f>$C357*AQ356</f>
        <v/>
      </c>
      <c r="AR357">
        <f>$C357*AR356</f>
        <v/>
      </c>
      <c r="AS357">
        <f>$C357*AS356</f>
        <v/>
      </c>
      <c r="AT357">
        <f>$C357*AT356</f>
        <v/>
      </c>
      <c r="AU357">
        <f>$C357*AU356</f>
        <v/>
      </c>
      <c r="AV357">
        <f>$C357*AV356</f>
        <v/>
      </c>
      <c r="AW357">
        <f>$C357*AW356</f>
        <v/>
      </c>
      <c r="AX357">
        <f>$C357*AX356</f>
        <v/>
      </c>
      <c r="AY357">
        <f>$C357*AY356</f>
        <v/>
      </c>
      <c r="AZ357">
        <f>$C357*AZ356</f>
        <v/>
      </c>
      <c r="BA357">
        <f>$C357*BA356</f>
        <v/>
      </c>
      <c r="BB357">
        <f>$C357*BB356</f>
        <v/>
      </c>
      <c r="BC357">
        <f>$C357*BC356</f>
        <v/>
      </c>
      <c r="BD357">
        <f>$C357*BD356</f>
        <v/>
      </c>
      <c r="BE357">
        <f>$C357*BE356</f>
        <v/>
      </c>
      <c r="BF357">
        <f>$C357*BF356</f>
        <v/>
      </c>
      <c r="BG357">
        <f>$C357*BG356</f>
        <v/>
      </c>
      <c r="BH357">
        <f>$C357*BH356</f>
        <v/>
      </c>
      <c r="BI357">
        <f>$C357*BI356</f>
        <v/>
      </c>
      <c r="BJ357">
        <f>$C357*BJ356</f>
        <v/>
      </c>
      <c r="BK357">
        <f>$C357*BK356</f>
        <v/>
      </c>
      <c r="BL357">
        <f>$C357*BL356</f>
        <v/>
      </c>
      <c r="BM357">
        <f>$C357*BM356</f>
        <v/>
      </c>
      <c r="BN357">
        <f>$C357*BN356</f>
        <v/>
      </c>
      <c r="BO357">
        <f>$C357*BO356</f>
        <v/>
      </c>
      <c r="BP357">
        <f>$C357*BP356</f>
        <v/>
      </c>
      <c r="BQ357">
        <f>$C357*BQ356</f>
        <v/>
      </c>
      <c r="BR357">
        <f>$C357*BR356</f>
        <v/>
      </c>
      <c r="BS357">
        <f>$C357*BS356</f>
        <v/>
      </c>
      <c r="BT357">
        <f>$C357*BT356</f>
        <v/>
      </c>
      <c r="BU357">
        <f>$C357*BU356</f>
        <v/>
      </c>
      <c r="BV357">
        <f>$C357*BV356</f>
        <v/>
      </c>
      <c r="BW357">
        <f>$C357*BW356</f>
        <v/>
      </c>
      <c r="BX357">
        <f>$C357*BX356</f>
        <v/>
      </c>
      <c r="BY357">
        <f>$C357*BY356</f>
        <v/>
      </c>
      <c r="BZ357">
        <f>$C357*BZ356</f>
        <v/>
      </c>
      <c r="CA357">
        <f>$C357*CA356</f>
        <v/>
      </c>
      <c r="CB357">
        <f>$C357*CB356</f>
        <v/>
      </c>
      <c r="CC357">
        <f>$C357*CC356</f>
        <v/>
      </c>
      <c r="CD357">
        <f>$C357*CD356</f>
        <v/>
      </c>
      <c r="CE357">
        <f>$C357*CE356</f>
        <v/>
      </c>
      <c r="CF357">
        <f>$C357*CF356</f>
        <v/>
      </c>
      <c r="CG357">
        <f>$C357*CG356</f>
        <v/>
      </c>
      <c r="CH357">
        <f>$C357*CH356</f>
        <v/>
      </c>
      <c r="CI357">
        <f>$C357*CI356</f>
        <v/>
      </c>
      <c r="CJ357">
        <f>$C357*CJ356</f>
        <v/>
      </c>
      <c r="CK357">
        <f>$C357*CK356</f>
        <v/>
      </c>
      <c r="CL357">
        <f>$C357*CL356</f>
        <v/>
      </c>
      <c r="CM357">
        <f>$C357*CM356</f>
        <v/>
      </c>
      <c r="CN357">
        <f>$C357*CN356</f>
        <v/>
      </c>
      <c r="CO357">
        <f>$C357*CO356</f>
        <v/>
      </c>
      <c r="CP357">
        <f>$C357*CP356</f>
        <v/>
      </c>
      <c r="CQ357">
        <f>$C357*CQ356</f>
        <v/>
      </c>
      <c r="CR357">
        <f>$C357*CR356</f>
        <v/>
      </c>
      <c r="CS357">
        <f>$C357*CS356</f>
        <v/>
      </c>
      <c r="CT357">
        <f>$C357*CT356</f>
        <v/>
      </c>
      <c r="CU357">
        <f>$C357*CU356</f>
        <v/>
      </c>
      <c r="CV357">
        <f>$C357*CV356</f>
        <v/>
      </c>
      <c r="CW357">
        <f>$C357*CW356</f>
        <v/>
      </c>
      <c r="CX357">
        <f>$C357*CX356</f>
        <v/>
      </c>
      <c r="CY357">
        <f>$C357*CY356</f>
        <v/>
      </c>
      <c r="CZ357">
        <f>$C357*CZ356</f>
        <v/>
      </c>
      <c r="DA357">
        <f>$C357*DA356</f>
        <v/>
      </c>
      <c r="DB357">
        <f>$C357*DB356</f>
        <v/>
      </c>
      <c r="DC357">
        <f>$C357*DC356</f>
        <v/>
      </c>
    </row>
    <row r="358">
      <c r="B358" t="inlineStr">
        <is>
          <t>TSP-219</t>
        </is>
      </c>
      <c r="C358" t="inlineStr">
        <is>
          <t>No. of batches</t>
        </is>
      </c>
      <c r="D358">
        <f>IFERROR(INDEX(PP_Grid[#Data],$DD358,2),0)</f>
        <v/>
      </c>
      <c r="E358">
        <f>IFERROR(INDEX(PP_Grid[#Data],$DD358,3),0)</f>
        <v/>
      </c>
      <c r="F358">
        <f>IFERROR(INDEX(PP_Grid[#Data],$DD358,4),0)</f>
        <v/>
      </c>
      <c r="G358">
        <f>IFERROR(INDEX(PP_Grid[#Data],$DD358,5),0)</f>
        <v/>
      </c>
      <c r="H358">
        <f>IFERROR(INDEX(PP_Grid[#Data],$DD358,6),0)</f>
        <v/>
      </c>
      <c r="I358">
        <f>IFERROR(INDEX(PP_Grid[#Data],$DD358,7),0)</f>
        <v/>
      </c>
      <c r="J358">
        <f>IFERROR(INDEX(PP_Grid[#Data],$DD358,8),0)</f>
        <v/>
      </c>
      <c r="K358">
        <f>IFERROR(INDEX(PP_Grid[#Data],$DD358,9),0)</f>
        <v/>
      </c>
      <c r="L358">
        <f>IFERROR(INDEX(PP_Grid[#Data],$DD358,10),0)</f>
        <v/>
      </c>
      <c r="M358">
        <f>IFERROR(INDEX(PP_Grid[#Data],$DD358,11),0)</f>
        <v/>
      </c>
      <c r="N358">
        <f>IFERROR(INDEX(PP_Grid[#Data],$DD358,12),0)</f>
        <v/>
      </c>
      <c r="O358">
        <f>IFERROR(INDEX(PP_Grid[#Data],$DD358,13),0)</f>
        <v/>
      </c>
      <c r="P358">
        <f>IFERROR(INDEX(PP_Grid[#Data],$DD358,14),0)</f>
        <v/>
      </c>
      <c r="Q358">
        <f>IFERROR(INDEX(PP_Grid[#Data],$DD358,15),0)</f>
        <v/>
      </c>
      <c r="R358">
        <f>IFERROR(INDEX(PP_Grid[#Data],$DD358,16),0)</f>
        <v/>
      </c>
      <c r="S358">
        <f>IFERROR(INDEX(PP_Grid[#Data],$DD358,17),0)</f>
        <v/>
      </c>
      <c r="T358">
        <f>IFERROR(INDEX(PP_Grid[#Data],$DD358,18),0)</f>
        <v/>
      </c>
      <c r="U358">
        <f>IFERROR(INDEX(PP_Grid[#Data],$DD358,19),0)</f>
        <v/>
      </c>
      <c r="V358">
        <f>IFERROR(INDEX(PP_Grid[#Data],$DD358,20),0)</f>
        <v/>
      </c>
      <c r="W358">
        <f>IFERROR(INDEX(PP_Grid[#Data],$DD358,21),0)</f>
        <v/>
      </c>
      <c r="X358">
        <f>IFERROR(INDEX(PP_Grid[#Data],$DD358,22),0)</f>
        <v/>
      </c>
      <c r="Y358">
        <f>IFERROR(INDEX(PP_Grid[#Data],$DD358,23),0)</f>
        <v/>
      </c>
      <c r="Z358">
        <f>IFERROR(INDEX(PP_Grid[#Data],$DD358,24),0)</f>
        <v/>
      </c>
      <c r="AA358">
        <f>IFERROR(INDEX(PP_Grid[#Data],$DD358,25),0)</f>
        <v/>
      </c>
      <c r="AB358">
        <f>IFERROR(INDEX(PP_Grid[#Data],$DD358,26),0)</f>
        <v/>
      </c>
      <c r="AC358">
        <f>IFERROR(INDEX(PP_Grid[#Data],$DD358,27),0)</f>
        <v/>
      </c>
      <c r="AD358">
        <f>IFERROR(INDEX(PP_Grid[#Data],$DD358,28),0)</f>
        <v/>
      </c>
      <c r="AE358">
        <f>IFERROR(INDEX(PP_Grid[#Data],$DD358,29),0)</f>
        <v/>
      </c>
      <c r="AF358">
        <f>IFERROR(INDEX(PP_Grid[#Data],$DD358,30),0)</f>
        <v/>
      </c>
      <c r="AG358">
        <f>IFERROR(INDEX(PP_Grid[#Data],$DD358,31),0)</f>
        <v/>
      </c>
      <c r="AH358">
        <f>IFERROR(INDEX(PP_Grid[#Data],$DD358,32),0)</f>
        <v/>
      </c>
      <c r="AI358">
        <f>IFERROR(INDEX(PP_Grid[#Data],$DD358,33),0)</f>
        <v/>
      </c>
      <c r="AJ358">
        <f>IFERROR(INDEX(PP_Grid[#Data],$DD358,34),0)</f>
        <v/>
      </c>
      <c r="AK358">
        <f>IFERROR(INDEX(PP_Grid[#Data],$DD358,35),0)</f>
        <v/>
      </c>
      <c r="AL358">
        <f>IFERROR(INDEX(PP_Grid[#Data],$DD358,36),0)</f>
        <v/>
      </c>
      <c r="AM358">
        <f>IFERROR(INDEX(PP_Grid[#Data],$DD358,37),0)</f>
        <v/>
      </c>
      <c r="AN358">
        <f>IFERROR(INDEX(PP_Grid[#Data],$DD358,38),0)</f>
        <v/>
      </c>
      <c r="AO358">
        <f>IFERROR(INDEX(PP_Grid[#Data],$DD358,39),0)</f>
        <v/>
      </c>
      <c r="AP358">
        <f>IFERROR(INDEX(PP_Grid[#Data],$DD358,40),0)</f>
        <v/>
      </c>
      <c r="AQ358">
        <f>IFERROR(INDEX(PP_Grid[#Data],$DD358,41),0)</f>
        <v/>
      </c>
      <c r="AR358">
        <f>IFERROR(INDEX(PP_Grid[#Data],$DD358,42),0)</f>
        <v/>
      </c>
      <c r="AS358">
        <f>IFERROR(INDEX(PP_Grid[#Data],$DD358,43),0)</f>
        <v/>
      </c>
      <c r="AT358">
        <f>IFERROR(INDEX(PP_Grid[#Data],$DD358,44),0)</f>
        <v/>
      </c>
      <c r="AU358">
        <f>IFERROR(INDEX(PP_Grid[#Data],$DD358,45),0)</f>
        <v/>
      </c>
      <c r="AV358">
        <f>IFERROR(INDEX(PP_Grid[#Data],$DD358,46),0)</f>
        <v/>
      </c>
      <c r="AW358">
        <f>IFERROR(INDEX(PP_Grid[#Data],$DD358,47),0)</f>
        <v/>
      </c>
      <c r="AX358">
        <f>IFERROR(INDEX(PP_Grid[#Data],$DD358,48),0)</f>
        <v/>
      </c>
      <c r="AY358">
        <f>IFERROR(INDEX(PP_Grid[#Data],$DD358,49),0)</f>
        <v/>
      </c>
      <c r="AZ358">
        <f>IFERROR(INDEX(PP_Grid[#Data],$DD358,50),0)</f>
        <v/>
      </c>
      <c r="BA358">
        <f>IFERROR(INDEX(PP_Grid[#Data],$DD358,51),0)</f>
        <v/>
      </c>
      <c r="BB358">
        <f>IFERROR(INDEX(PP_Grid[#Data],$DD358,52),0)</f>
        <v/>
      </c>
      <c r="BC358">
        <f>IFERROR(INDEX(PP_Grid[#Data],$DD358,53),0)</f>
        <v/>
      </c>
      <c r="BD358">
        <f>IFERROR(INDEX(PP_Grid[#Data],$DD358,54),0)</f>
        <v/>
      </c>
      <c r="BE358">
        <f>IFERROR(INDEX(PP_Grid[#Data],$DD358,55),0)</f>
        <v/>
      </c>
      <c r="BF358">
        <f>IFERROR(INDEX(PP_Grid[#Data],$DD358,56),0)</f>
        <v/>
      </c>
      <c r="BG358">
        <f>IFERROR(INDEX(PP_Grid[#Data],$DD358,57),0)</f>
        <v/>
      </c>
      <c r="BH358">
        <f>IFERROR(INDEX(PP_Grid[#Data],$DD358,58),0)</f>
        <v/>
      </c>
      <c r="BI358">
        <f>IFERROR(INDEX(PP_Grid[#Data],$DD358,59),0)</f>
        <v/>
      </c>
      <c r="BJ358">
        <f>IFERROR(INDEX(PP_Grid[#Data],$DD358,60),0)</f>
        <v/>
      </c>
      <c r="BK358">
        <f>IFERROR(INDEX(PP_Grid[#Data],$DD358,61),0)</f>
        <v/>
      </c>
      <c r="BL358">
        <f>IFERROR(INDEX(PP_Grid[#Data],$DD358,62),0)</f>
        <v/>
      </c>
      <c r="BM358">
        <f>IFERROR(INDEX(PP_Grid[#Data],$DD358,63),0)</f>
        <v/>
      </c>
      <c r="BN358">
        <f>IFERROR(INDEX(PP_Grid[#Data],$DD358,64),0)</f>
        <v/>
      </c>
      <c r="BO358">
        <f>IFERROR(INDEX(PP_Grid[#Data],$DD358,65),0)</f>
        <v/>
      </c>
      <c r="BP358">
        <f>IFERROR(INDEX(PP_Grid[#Data],$DD358,66),0)</f>
        <v/>
      </c>
      <c r="BQ358">
        <f>IFERROR(INDEX(PP_Grid[#Data],$DD358,67),0)</f>
        <v/>
      </c>
      <c r="BR358">
        <f>IFERROR(INDEX(PP_Grid[#Data],$DD358,68),0)</f>
        <v/>
      </c>
      <c r="BS358">
        <f>IFERROR(INDEX(PP_Grid[#Data],$DD358,69),0)</f>
        <v/>
      </c>
      <c r="BT358">
        <f>IFERROR(INDEX(PP_Grid[#Data],$DD358,70),0)</f>
        <v/>
      </c>
      <c r="BU358">
        <f>IFERROR(INDEX(PP_Grid[#Data],$DD358,71),0)</f>
        <v/>
      </c>
      <c r="BV358">
        <f>IFERROR(INDEX(PP_Grid[#Data],$DD358,72),0)</f>
        <v/>
      </c>
      <c r="BW358">
        <f>IFERROR(INDEX(PP_Grid[#Data],$DD358,73),0)</f>
        <v/>
      </c>
      <c r="BX358">
        <f>IFERROR(INDEX(PP_Grid[#Data],$DD358,74),0)</f>
        <v/>
      </c>
      <c r="BY358">
        <f>IFERROR(INDEX(PP_Grid[#Data],$DD358,75),0)</f>
        <v/>
      </c>
      <c r="BZ358">
        <f>IFERROR(INDEX(PP_Grid[#Data],$DD358,76),0)</f>
        <v/>
      </c>
      <c r="CA358">
        <f>IFERROR(INDEX(PP_Grid[#Data],$DD358,77),0)</f>
        <v/>
      </c>
      <c r="CB358">
        <f>IFERROR(INDEX(PP_Grid[#Data],$DD358,78),0)</f>
        <v/>
      </c>
      <c r="CC358">
        <f>IFERROR(INDEX(PP_Grid[#Data],$DD358,79),0)</f>
        <v/>
      </c>
      <c r="CD358">
        <f>IFERROR(INDEX(PP_Grid[#Data],$DD358,80),0)</f>
        <v/>
      </c>
      <c r="CE358">
        <f>IFERROR(INDEX(PP_Grid[#Data],$DD358,81),0)</f>
        <v/>
      </c>
      <c r="CF358">
        <f>IFERROR(INDEX(PP_Grid[#Data],$DD358,82),0)</f>
        <v/>
      </c>
      <c r="CG358">
        <f>IFERROR(INDEX(PP_Grid[#Data],$DD358,83),0)</f>
        <v/>
      </c>
      <c r="CH358">
        <f>IFERROR(INDEX(PP_Grid[#Data],$DD358,84),0)</f>
        <v/>
      </c>
      <c r="CI358">
        <f>IFERROR(INDEX(PP_Grid[#Data],$DD358,85),0)</f>
        <v/>
      </c>
      <c r="CJ358">
        <f>IFERROR(INDEX(PP_Grid[#Data],$DD358,86),0)</f>
        <v/>
      </c>
      <c r="CK358">
        <f>IFERROR(INDEX(PP_Grid[#Data],$DD358,87),0)</f>
        <v/>
      </c>
      <c r="CL358">
        <f>IFERROR(INDEX(PP_Grid[#Data],$DD358,88),0)</f>
        <v/>
      </c>
      <c r="CM358">
        <f>IFERROR(INDEX(PP_Grid[#Data],$DD358,89),0)</f>
        <v/>
      </c>
      <c r="CN358">
        <f>IFERROR(INDEX(PP_Grid[#Data],$DD358,90),0)</f>
        <v/>
      </c>
      <c r="CO358">
        <f>IFERROR(INDEX(PP_Grid[#Data],$DD358,91),0)</f>
        <v/>
      </c>
      <c r="CP358">
        <f>IFERROR(INDEX(PP_Grid[#Data],$DD358,92),0)</f>
        <v/>
      </c>
      <c r="CQ358">
        <f>IFERROR(INDEX(PP_Grid[#Data],$DD358,93),0)</f>
        <v/>
      </c>
      <c r="CR358">
        <f>IFERROR(INDEX(PP_Grid[#Data],$DD358,94),0)</f>
        <v/>
      </c>
      <c r="CS358">
        <f>IFERROR(INDEX(PP_Grid[#Data],$DD358,95),0)</f>
        <v/>
      </c>
      <c r="CT358">
        <f>IFERROR(INDEX(PP_Grid[#Data],$DD358,96),0)</f>
        <v/>
      </c>
      <c r="CU358">
        <f>IFERROR(INDEX(PP_Grid[#Data],$DD358,97),0)</f>
        <v/>
      </c>
      <c r="CV358">
        <f>IFERROR(INDEX(PP_Grid[#Data],$DD358,98),0)</f>
        <v/>
      </c>
      <c r="CW358">
        <f>IFERROR(INDEX(PP_Grid[#Data],$DD358,99),0)</f>
        <v/>
      </c>
      <c r="CX358">
        <f>IFERROR(INDEX(PP_Grid[#Data],$DD358,100),0)</f>
        <v/>
      </c>
      <c r="CY358">
        <f>IFERROR(INDEX(PP_Grid[#Data],$DD358,101),0)</f>
        <v/>
      </c>
      <c r="CZ358">
        <f>IFERROR(INDEX(PP_Grid[#Data],$DD358,102),0)</f>
        <v/>
      </c>
      <c r="DA358">
        <f>IFERROR(INDEX(PP_Grid[#Data],$DD358,103),0)</f>
        <v/>
      </c>
      <c r="DB358">
        <f>IFERROR(INDEX(PP_Grid[#Data],$DD358,104),0)</f>
        <v/>
      </c>
      <c r="DC358">
        <f>IFERROR(INDEX(PP_Grid[#Data],$DD358,105),0)</f>
        <v/>
      </c>
      <c r="DD358" s="7">
        <f>IFERROR(MATCH($B358,PP_Grid[Intermediate],0),99999)</f>
        <v/>
      </c>
    </row>
    <row r="359">
      <c r="B359" t="inlineStr">
        <is>
          <t>使用量(kg)</t>
        </is>
      </c>
      <c r="C359">
        <f>SUMIFS(M_BOM[RM_Qty_Per_Batch],M_BOM[Intermediate],$B358,M_BOM[Part Name],$A343)</f>
        <v/>
      </c>
      <c r="D359">
        <f>$C359*D358</f>
        <v/>
      </c>
      <c r="E359">
        <f>$C359*E358</f>
        <v/>
      </c>
      <c r="F359">
        <f>$C359*F358</f>
        <v/>
      </c>
      <c r="G359">
        <f>$C359*G358</f>
        <v/>
      </c>
      <c r="H359">
        <f>$C359*H358</f>
        <v/>
      </c>
      <c r="I359">
        <f>$C359*I358</f>
        <v/>
      </c>
      <c r="J359">
        <f>$C359*J358</f>
        <v/>
      </c>
      <c r="K359">
        <f>$C359*K358</f>
        <v/>
      </c>
      <c r="L359">
        <f>$C359*L358</f>
        <v/>
      </c>
      <c r="M359">
        <f>$C359*M358</f>
        <v/>
      </c>
      <c r="N359">
        <f>$C359*N358</f>
        <v/>
      </c>
      <c r="O359">
        <f>$C359*O358</f>
        <v/>
      </c>
      <c r="P359">
        <f>$C359*P358</f>
        <v/>
      </c>
      <c r="Q359">
        <f>$C359*Q358</f>
        <v/>
      </c>
      <c r="R359">
        <f>$C359*R358</f>
        <v/>
      </c>
      <c r="S359">
        <f>$C359*S358</f>
        <v/>
      </c>
      <c r="T359">
        <f>$C359*T358</f>
        <v/>
      </c>
      <c r="U359">
        <f>$C359*U358</f>
        <v/>
      </c>
      <c r="V359">
        <f>$C359*V358</f>
        <v/>
      </c>
      <c r="W359">
        <f>$C359*W358</f>
        <v/>
      </c>
      <c r="X359">
        <f>$C359*X358</f>
        <v/>
      </c>
      <c r="Y359">
        <f>$C359*Y358</f>
        <v/>
      </c>
      <c r="Z359">
        <f>$C359*Z358</f>
        <v/>
      </c>
      <c r="AA359">
        <f>$C359*AA358</f>
        <v/>
      </c>
      <c r="AB359">
        <f>$C359*AB358</f>
        <v/>
      </c>
      <c r="AC359">
        <f>$C359*AC358</f>
        <v/>
      </c>
      <c r="AD359">
        <f>$C359*AD358</f>
        <v/>
      </c>
      <c r="AE359">
        <f>$C359*AE358</f>
        <v/>
      </c>
      <c r="AF359">
        <f>$C359*AF358</f>
        <v/>
      </c>
      <c r="AG359">
        <f>$C359*AG358</f>
        <v/>
      </c>
      <c r="AH359">
        <f>$C359*AH358</f>
        <v/>
      </c>
      <c r="AI359">
        <f>$C359*AI358</f>
        <v/>
      </c>
      <c r="AJ359">
        <f>$C359*AJ358</f>
        <v/>
      </c>
      <c r="AK359">
        <f>$C359*AK358</f>
        <v/>
      </c>
      <c r="AL359">
        <f>$C359*AL358</f>
        <v/>
      </c>
      <c r="AM359">
        <f>$C359*AM358</f>
        <v/>
      </c>
      <c r="AN359">
        <f>$C359*AN358</f>
        <v/>
      </c>
      <c r="AO359">
        <f>$C359*AO358</f>
        <v/>
      </c>
      <c r="AP359">
        <f>$C359*AP358</f>
        <v/>
      </c>
      <c r="AQ359">
        <f>$C359*AQ358</f>
        <v/>
      </c>
      <c r="AR359">
        <f>$C359*AR358</f>
        <v/>
      </c>
      <c r="AS359">
        <f>$C359*AS358</f>
        <v/>
      </c>
      <c r="AT359">
        <f>$C359*AT358</f>
        <v/>
      </c>
      <c r="AU359">
        <f>$C359*AU358</f>
        <v/>
      </c>
      <c r="AV359">
        <f>$C359*AV358</f>
        <v/>
      </c>
      <c r="AW359">
        <f>$C359*AW358</f>
        <v/>
      </c>
      <c r="AX359">
        <f>$C359*AX358</f>
        <v/>
      </c>
      <c r="AY359">
        <f>$C359*AY358</f>
        <v/>
      </c>
      <c r="AZ359">
        <f>$C359*AZ358</f>
        <v/>
      </c>
      <c r="BA359">
        <f>$C359*BA358</f>
        <v/>
      </c>
      <c r="BB359">
        <f>$C359*BB358</f>
        <v/>
      </c>
      <c r="BC359">
        <f>$C359*BC358</f>
        <v/>
      </c>
      <c r="BD359">
        <f>$C359*BD358</f>
        <v/>
      </c>
      <c r="BE359">
        <f>$C359*BE358</f>
        <v/>
      </c>
      <c r="BF359">
        <f>$C359*BF358</f>
        <v/>
      </c>
      <c r="BG359">
        <f>$C359*BG358</f>
        <v/>
      </c>
      <c r="BH359">
        <f>$C359*BH358</f>
        <v/>
      </c>
      <c r="BI359">
        <f>$C359*BI358</f>
        <v/>
      </c>
      <c r="BJ359">
        <f>$C359*BJ358</f>
        <v/>
      </c>
      <c r="BK359">
        <f>$C359*BK358</f>
        <v/>
      </c>
      <c r="BL359">
        <f>$C359*BL358</f>
        <v/>
      </c>
      <c r="BM359">
        <f>$C359*BM358</f>
        <v/>
      </c>
      <c r="BN359">
        <f>$C359*BN358</f>
        <v/>
      </c>
      <c r="BO359">
        <f>$C359*BO358</f>
        <v/>
      </c>
      <c r="BP359">
        <f>$C359*BP358</f>
        <v/>
      </c>
      <c r="BQ359">
        <f>$C359*BQ358</f>
        <v/>
      </c>
      <c r="BR359">
        <f>$C359*BR358</f>
        <v/>
      </c>
      <c r="BS359">
        <f>$C359*BS358</f>
        <v/>
      </c>
      <c r="BT359">
        <f>$C359*BT358</f>
        <v/>
      </c>
      <c r="BU359">
        <f>$C359*BU358</f>
        <v/>
      </c>
      <c r="BV359">
        <f>$C359*BV358</f>
        <v/>
      </c>
      <c r="BW359">
        <f>$C359*BW358</f>
        <v/>
      </c>
      <c r="BX359">
        <f>$C359*BX358</f>
        <v/>
      </c>
      <c r="BY359">
        <f>$C359*BY358</f>
        <v/>
      </c>
      <c r="BZ359">
        <f>$C359*BZ358</f>
        <v/>
      </c>
      <c r="CA359">
        <f>$C359*CA358</f>
        <v/>
      </c>
      <c r="CB359">
        <f>$C359*CB358</f>
        <v/>
      </c>
      <c r="CC359">
        <f>$C359*CC358</f>
        <v/>
      </c>
      <c r="CD359">
        <f>$C359*CD358</f>
        <v/>
      </c>
      <c r="CE359">
        <f>$C359*CE358</f>
        <v/>
      </c>
      <c r="CF359">
        <f>$C359*CF358</f>
        <v/>
      </c>
      <c r="CG359">
        <f>$C359*CG358</f>
        <v/>
      </c>
      <c r="CH359">
        <f>$C359*CH358</f>
        <v/>
      </c>
      <c r="CI359">
        <f>$C359*CI358</f>
        <v/>
      </c>
      <c r="CJ359">
        <f>$C359*CJ358</f>
        <v/>
      </c>
      <c r="CK359">
        <f>$C359*CK358</f>
        <v/>
      </c>
      <c r="CL359">
        <f>$C359*CL358</f>
        <v/>
      </c>
      <c r="CM359">
        <f>$C359*CM358</f>
        <v/>
      </c>
      <c r="CN359">
        <f>$C359*CN358</f>
        <v/>
      </c>
      <c r="CO359">
        <f>$C359*CO358</f>
        <v/>
      </c>
      <c r="CP359">
        <f>$C359*CP358</f>
        <v/>
      </c>
      <c r="CQ359">
        <f>$C359*CQ358</f>
        <v/>
      </c>
      <c r="CR359">
        <f>$C359*CR358</f>
        <v/>
      </c>
      <c r="CS359">
        <f>$C359*CS358</f>
        <v/>
      </c>
      <c r="CT359">
        <f>$C359*CT358</f>
        <v/>
      </c>
      <c r="CU359">
        <f>$C359*CU358</f>
        <v/>
      </c>
      <c r="CV359">
        <f>$C359*CV358</f>
        <v/>
      </c>
      <c r="CW359">
        <f>$C359*CW358</f>
        <v/>
      </c>
      <c r="CX359">
        <f>$C359*CX358</f>
        <v/>
      </c>
      <c r="CY359">
        <f>$C359*CY358</f>
        <v/>
      </c>
      <c r="CZ359">
        <f>$C359*CZ358</f>
        <v/>
      </c>
      <c r="DA359">
        <f>$C359*DA358</f>
        <v/>
      </c>
      <c r="DB359">
        <f>$C359*DB358</f>
        <v/>
      </c>
      <c r="DC359">
        <f>$C359*DC358</f>
        <v/>
      </c>
    </row>
    <row r="360">
      <c r="B360" t="inlineStr">
        <is>
          <t>TSP-225</t>
        </is>
      </c>
      <c r="C360" t="inlineStr">
        <is>
          <t>No. of batches</t>
        </is>
      </c>
      <c r="D360">
        <f>IFERROR(INDEX(PP_Grid[#Data],$DD360,2),0)</f>
        <v/>
      </c>
      <c r="E360">
        <f>IFERROR(INDEX(PP_Grid[#Data],$DD360,3),0)</f>
        <v/>
      </c>
      <c r="F360">
        <f>IFERROR(INDEX(PP_Grid[#Data],$DD360,4),0)</f>
        <v/>
      </c>
      <c r="G360">
        <f>IFERROR(INDEX(PP_Grid[#Data],$DD360,5),0)</f>
        <v/>
      </c>
      <c r="H360">
        <f>IFERROR(INDEX(PP_Grid[#Data],$DD360,6),0)</f>
        <v/>
      </c>
      <c r="I360">
        <f>IFERROR(INDEX(PP_Grid[#Data],$DD360,7),0)</f>
        <v/>
      </c>
      <c r="J360">
        <f>IFERROR(INDEX(PP_Grid[#Data],$DD360,8),0)</f>
        <v/>
      </c>
      <c r="K360">
        <f>IFERROR(INDEX(PP_Grid[#Data],$DD360,9),0)</f>
        <v/>
      </c>
      <c r="L360">
        <f>IFERROR(INDEX(PP_Grid[#Data],$DD360,10),0)</f>
        <v/>
      </c>
      <c r="M360">
        <f>IFERROR(INDEX(PP_Grid[#Data],$DD360,11),0)</f>
        <v/>
      </c>
      <c r="N360">
        <f>IFERROR(INDEX(PP_Grid[#Data],$DD360,12),0)</f>
        <v/>
      </c>
      <c r="O360">
        <f>IFERROR(INDEX(PP_Grid[#Data],$DD360,13),0)</f>
        <v/>
      </c>
      <c r="P360">
        <f>IFERROR(INDEX(PP_Grid[#Data],$DD360,14),0)</f>
        <v/>
      </c>
      <c r="Q360">
        <f>IFERROR(INDEX(PP_Grid[#Data],$DD360,15),0)</f>
        <v/>
      </c>
      <c r="R360">
        <f>IFERROR(INDEX(PP_Grid[#Data],$DD360,16),0)</f>
        <v/>
      </c>
      <c r="S360">
        <f>IFERROR(INDEX(PP_Grid[#Data],$DD360,17),0)</f>
        <v/>
      </c>
      <c r="T360">
        <f>IFERROR(INDEX(PP_Grid[#Data],$DD360,18),0)</f>
        <v/>
      </c>
      <c r="U360">
        <f>IFERROR(INDEX(PP_Grid[#Data],$DD360,19),0)</f>
        <v/>
      </c>
      <c r="V360">
        <f>IFERROR(INDEX(PP_Grid[#Data],$DD360,20),0)</f>
        <v/>
      </c>
      <c r="W360">
        <f>IFERROR(INDEX(PP_Grid[#Data],$DD360,21),0)</f>
        <v/>
      </c>
      <c r="X360">
        <f>IFERROR(INDEX(PP_Grid[#Data],$DD360,22),0)</f>
        <v/>
      </c>
      <c r="Y360">
        <f>IFERROR(INDEX(PP_Grid[#Data],$DD360,23),0)</f>
        <v/>
      </c>
      <c r="Z360">
        <f>IFERROR(INDEX(PP_Grid[#Data],$DD360,24),0)</f>
        <v/>
      </c>
      <c r="AA360">
        <f>IFERROR(INDEX(PP_Grid[#Data],$DD360,25),0)</f>
        <v/>
      </c>
      <c r="AB360">
        <f>IFERROR(INDEX(PP_Grid[#Data],$DD360,26),0)</f>
        <v/>
      </c>
      <c r="AC360">
        <f>IFERROR(INDEX(PP_Grid[#Data],$DD360,27),0)</f>
        <v/>
      </c>
      <c r="AD360">
        <f>IFERROR(INDEX(PP_Grid[#Data],$DD360,28),0)</f>
        <v/>
      </c>
      <c r="AE360">
        <f>IFERROR(INDEX(PP_Grid[#Data],$DD360,29),0)</f>
        <v/>
      </c>
      <c r="AF360">
        <f>IFERROR(INDEX(PP_Grid[#Data],$DD360,30),0)</f>
        <v/>
      </c>
      <c r="AG360">
        <f>IFERROR(INDEX(PP_Grid[#Data],$DD360,31),0)</f>
        <v/>
      </c>
      <c r="AH360">
        <f>IFERROR(INDEX(PP_Grid[#Data],$DD360,32),0)</f>
        <v/>
      </c>
      <c r="AI360">
        <f>IFERROR(INDEX(PP_Grid[#Data],$DD360,33),0)</f>
        <v/>
      </c>
      <c r="AJ360">
        <f>IFERROR(INDEX(PP_Grid[#Data],$DD360,34),0)</f>
        <v/>
      </c>
      <c r="AK360">
        <f>IFERROR(INDEX(PP_Grid[#Data],$DD360,35),0)</f>
        <v/>
      </c>
      <c r="AL360">
        <f>IFERROR(INDEX(PP_Grid[#Data],$DD360,36),0)</f>
        <v/>
      </c>
      <c r="AM360">
        <f>IFERROR(INDEX(PP_Grid[#Data],$DD360,37),0)</f>
        <v/>
      </c>
      <c r="AN360">
        <f>IFERROR(INDEX(PP_Grid[#Data],$DD360,38),0)</f>
        <v/>
      </c>
      <c r="AO360">
        <f>IFERROR(INDEX(PP_Grid[#Data],$DD360,39),0)</f>
        <v/>
      </c>
      <c r="AP360">
        <f>IFERROR(INDEX(PP_Grid[#Data],$DD360,40),0)</f>
        <v/>
      </c>
      <c r="AQ360">
        <f>IFERROR(INDEX(PP_Grid[#Data],$DD360,41),0)</f>
        <v/>
      </c>
      <c r="AR360">
        <f>IFERROR(INDEX(PP_Grid[#Data],$DD360,42),0)</f>
        <v/>
      </c>
      <c r="AS360">
        <f>IFERROR(INDEX(PP_Grid[#Data],$DD360,43),0)</f>
        <v/>
      </c>
      <c r="AT360">
        <f>IFERROR(INDEX(PP_Grid[#Data],$DD360,44),0)</f>
        <v/>
      </c>
      <c r="AU360">
        <f>IFERROR(INDEX(PP_Grid[#Data],$DD360,45),0)</f>
        <v/>
      </c>
      <c r="AV360">
        <f>IFERROR(INDEX(PP_Grid[#Data],$DD360,46),0)</f>
        <v/>
      </c>
      <c r="AW360">
        <f>IFERROR(INDEX(PP_Grid[#Data],$DD360,47),0)</f>
        <v/>
      </c>
      <c r="AX360">
        <f>IFERROR(INDEX(PP_Grid[#Data],$DD360,48),0)</f>
        <v/>
      </c>
      <c r="AY360">
        <f>IFERROR(INDEX(PP_Grid[#Data],$DD360,49),0)</f>
        <v/>
      </c>
      <c r="AZ360">
        <f>IFERROR(INDEX(PP_Grid[#Data],$DD360,50),0)</f>
        <v/>
      </c>
      <c r="BA360">
        <f>IFERROR(INDEX(PP_Grid[#Data],$DD360,51),0)</f>
        <v/>
      </c>
      <c r="BB360">
        <f>IFERROR(INDEX(PP_Grid[#Data],$DD360,52),0)</f>
        <v/>
      </c>
      <c r="BC360">
        <f>IFERROR(INDEX(PP_Grid[#Data],$DD360,53),0)</f>
        <v/>
      </c>
      <c r="BD360">
        <f>IFERROR(INDEX(PP_Grid[#Data],$DD360,54),0)</f>
        <v/>
      </c>
      <c r="BE360">
        <f>IFERROR(INDEX(PP_Grid[#Data],$DD360,55),0)</f>
        <v/>
      </c>
      <c r="BF360">
        <f>IFERROR(INDEX(PP_Grid[#Data],$DD360,56),0)</f>
        <v/>
      </c>
      <c r="BG360">
        <f>IFERROR(INDEX(PP_Grid[#Data],$DD360,57),0)</f>
        <v/>
      </c>
      <c r="BH360">
        <f>IFERROR(INDEX(PP_Grid[#Data],$DD360,58),0)</f>
        <v/>
      </c>
      <c r="BI360">
        <f>IFERROR(INDEX(PP_Grid[#Data],$DD360,59),0)</f>
        <v/>
      </c>
      <c r="BJ360">
        <f>IFERROR(INDEX(PP_Grid[#Data],$DD360,60),0)</f>
        <v/>
      </c>
      <c r="BK360">
        <f>IFERROR(INDEX(PP_Grid[#Data],$DD360,61),0)</f>
        <v/>
      </c>
      <c r="BL360">
        <f>IFERROR(INDEX(PP_Grid[#Data],$DD360,62),0)</f>
        <v/>
      </c>
      <c r="BM360">
        <f>IFERROR(INDEX(PP_Grid[#Data],$DD360,63),0)</f>
        <v/>
      </c>
      <c r="BN360">
        <f>IFERROR(INDEX(PP_Grid[#Data],$DD360,64),0)</f>
        <v/>
      </c>
      <c r="BO360">
        <f>IFERROR(INDEX(PP_Grid[#Data],$DD360,65),0)</f>
        <v/>
      </c>
      <c r="BP360">
        <f>IFERROR(INDEX(PP_Grid[#Data],$DD360,66),0)</f>
        <v/>
      </c>
      <c r="BQ360">
        <f>IFERROR(INDEX(PP_Grid[#Data],$DD360,67),0)</f>
        <v/>
      </c>
      <c r="BR360">
        <f>IFERROR(INDEX(PP_Grid[#Data],$DD360,68),0)</f>
        <v/>
      </c>
      <c r="BS360">
        <f>IFERROR(INDEX(PP_Grid[#Data],$DD360,69),0)</f>
        <v/>
      </c>
      <c r="BT360">
        <f>IFERROR(INDEX(PP_Grid[#Data],$DD360,70),0)</f>
        <v/>
      </c>
      <c r="BU360">
        <f>IFERROR(INDEX(PP_Grid[#Data],$DD360,71),0)</f>
        <v/>
      </c>
      <c r="BV360">
        <f>IFERROR(INDEX(PP_Grid[#Data],$DD360,72),0)</f>
        <v/>
      </c>
      <c r="BW360">
        <f>IFERROR(INDEX(PP_Grid[#Data],$DD360,73),0)</f>
        <v/>
      </c>
      <c r="BX360">
        <f>IFERROR(INDEX(PP_Grid[#Data],$DD360,74),0)</f>
        <v/>
      </c>
      <c r="BY360">
        <f>IFERROR(INDEX(PP_Grid[#Data],$DD360,75),0)</f>
        <v/>
      </c>
      <c r="BZ360">
        <f>IFERROR(INDEX(PP_Grid[#Data],$DD360,76),0)</f>
        <v/>
      </c>
      <c r="CA360">
        <f>IFERROR(INDEX(PP_Grid[#Data],$DD360,77),0)</f>
        <v/>
      </c>
      <c r="CB360">
        <f>IFERROR(INDEX(PP_Grid[#Data],$DD360,78),0)</f>
        <v/>
      </c>
      <c r="CC360">
        <f>IFERROR(INDEX(PP_Grid[#Data],$DD360,79),0)</f>
        <v/>
      </c>
      <c r="CD360">
        <f>IFERROR(INDEX(PP_Grid[#Data],$DD360,80),0)</f>
        <v/>
      </c>
      <c r="CE360">
        <f>IFERROR(INDEX(PP_Grid[#Data],$DD360,81),0)</f>
        <v/>
      </c>
      <c r="CF360">
        <f>IFERROR(INDEX(PP_Grid[#Data],$DD360,82),0)</f>
        <v/>
      </c>
      <c r="CG360">
        <f>IFERROR(INDEX(PP_Grid[#Data],$DD360,83),0)</f>
        <v/>
      </c>
      <c r="CH360">
        <f>IFERROR(INDEX(PP_Grid[#Data],$DD360,84),0)</f>
        <v/>
      </c>
      <c r="CI360">
        <f>IFERROR(INDEX(PP_Grid[#Data],$DD360,85),0)</f>
        <v/>
      </c>
      <c r="CJ360">
        <f>IFERROR(INDEX(PP_Grid[#Data],$DD360,86),0)</f>
        <v/>
      </c>
      <c r="CK360">
        <f>IFERROR(INDEX(PP_Grid[#Data],$DD360,87),0)</f>
        <v/>
      </c>
      <c r="CL360">
        <f>IFERROR(INDEX(PP_Grid[#Data],$DD360,88),0)</f>
        <v/>
      </c>
      <c r="CM360">
        <f>IFERROR(INDEX(PP_Grid[#Data],$DD360,89),0)</f>
        <v/>
      </c>
      <c r="CN360">
        <f>IFERROR(INDEX(PP_Grid[#Data],$DD360,90),0)</f>
        <v/>
      </c>
      <c r="CO360">
        <f>IFERROR(INDEX(PP_Grid[#Data],$DD360,91),0)</f>
        <v/>
      </c>
      <c r="CP360">
        <f>IFERROR(INDEX(PP_Grid[#Data],$DD360,92),0)</f>
        <v/>
      </c>
      <c r="CQ360">
        <f>IFERROR(INDEX(PP_Grid[#Data],$DD360,93),0)</f>
        <v/>
      </c>
      <c r="CR360">
        <f>IFERROR(INDEX(PP_Grid[#Data],$DD360,94),0)</f>
        <v/>
      </c>
      <c r="CS360">
        <f>IFERROR(INDEX(PP_Grid[#Data],$DD360,95),0)</f>
        <v/>
      </c>
      <c r="CT360">
        <f>IFERROR(INDEX(PP_Grid[#Data],$DD360,96),0)</f>
        <v/>
      </c>
      <c r="CU360">
        <f>IFERROR(INDEX(PP_Grid[#Data],$DD360,97),0)</f>
        <v/>
      </c>
      <c r="CV360">
        <f>IFERROR(INDEX(PP_Grid[#Data],$DD360,98),0)</f>
        <v/>
      </c>
      <c r="CW360">
        <f>IFERROR(INDEX(PP_Grid[#Data],$DD360,99),0)</f>
        <v/>
      </c>
      <c r="CX360">
        <f>IFERROR(INDEX(PP_Grid[#Data],$DD360,100),0)</f>
        <v/>
      </c>
      <c r="CY360">
        <f>IFERROR(INDEX(PP_Grid[#Data],$DD360,101),0)</f>
        <v/>
      </c>
      <c r="CZ360">
        <f>IFERROR(INDEX(PP_Grid[#Data],$DD360,102),0)</f>
        <v/>
      </c>
      <c r="DA360">
        <f>IFERROR(INDEX(PP_Grid[#Data],$DD360,103),0)</f>
        <v/>
      </c>
      <c r="DB360">
        <f>IFERROR(INDEX(PP_Grid[#Data],$DD360,104),0)</f>
        <v/>
      </c>
      <c r="DC360">
        <f>IFERROR(INDEX(PP_Grid[#Data],$DD360,105),0)</f>
        <v/>
      </c>
      <c r="DD360" s="7">
        <f>IFERROR(MATCH($B360,PP_Grid[Intermediate],0),99999)</f>
        <v/>
      </c>
    </row>
    <row r="361">
      <c r="B361" t="inlineStr">
        <is>
          <t>使用量(kg)</t>
        </is>
      </c>
      <c r="C361">
        <f>SUMIFS(M_BOM[RM_Qty_Per_Batch],M_BOM[Intermediate],$B360,M_BOM[Part Name],$A343)</f>
        <v/>
      </c>
      <c r="D361">
        <f>$C361*D360</f>
        <v/>
      </c>
      <c r="E361">
        <f>$C361*E360</f>
        <v/>
      </c>
      <c r="F361">
        <f>$C361*F360</f>
        <v/>
      </c>
      <c r="G361">
        <f>$C361*G360</f>
        <v/>
      </c>
      <c r="H361">
        <f>$C361*H360</f>
        <v/>
      </c>
      <c r="I361">
        <f>$C361*I360</f>
        <v/>
      </c>
      <c r="J361">
        <f>$C361*J360</f>
        <v/>
      </c>
      <c r="K361">
        <f>$C361*K360</f>
        <v/>
      </c>
      <c r="L361">
        <f>$C361*L360</f>
        <v/>
      </c>
      <c r="M361">
        <f>$C361*M360</f>
        <v/>
      </c>
      <c r="N361">
        <f>$C361*N360</f>
        <v/>
      </c>
      <c r="O361">
        <f>$C361*O360</f>
        <v/>
      </c>
      <c r="P361">
        <f>$C361*P360</f>
        <v/>
      </c>
      <c r="Q361">
        <f>$C361*Q360</f>
        <v/>
      </c>
      <c r="R361">
        <f>$C361*R360</f>
        <v/>
      </c>
      <c r="S361">
        <f>$C361*S360</f>
        <v/>
      </c>
      <c r="T361">
        <f>$C361*T360</f>
        <v/>
      </c>
      <c r="U361">
        <f>$C361*U360</f>
        <v/>
      </c>
      <c r="V361">
        <f>$C361*V360</f>
        <v/>
      </c>
      <c r="W361">
        <f>$C361*W360</f>
        <v/>
      </c>
      <c r="X361">
        <f>$C361*X360</f>
        <v/>
      </c>
      <c r="Y361">
        <f>$C361*Y360</f>
        <v/>
      </c>
      <c r="Z361">
        <f>$C361*Z360</f>
        <v/>
      </c>
      <c r="AA361">
        <f>$C361*AA360</f>
        <v/>
      </c>
      <c r="AB361">
        <f>$C361*AB360</f>
        <v/>
      </c>
      <c r="AC361">
        <f>$C361*AC360</f>
        <v/>
      </c>
      <c r="AD361">
        <f>$C361*AD360</f>
        <v/>
      </c>
      <c r="AE361">
        <f>$C361*AE360</f>
        <v/>
      </c>
      <c r="AF361">
        <f>$C361*AF360</f>
        <v/>
      </c>
      <c r="AG361">
        <f>$C361*AG360</f>
        <v/>
      </c>
      <c r="AH361">
        <f>$C361*AH360</f>
        <v/>
      </c>
      <c r="AI361">
        <f>$C361*AI360</f>
        <v/>
      </c>
      <c r="AJ361">
        <f>$C361*AJ360</f>
        <v/>
      </c>
      <c r="AK361">
        <f>$C361*AK360</f>
        <v/>
      </c>
      <c r="AL361">
        <f>$C361*AL360</f>
        <v/>
      </c>
      <c r="AM361">
        <f>$C361*AM360</f>
        <v/>
      </c>
      <c r="AN361">
        <f>$C361*AN360</f>
        <v/>
      </c>
      <c r="AO361">
        <f>$C361*AO360</f>
        <v/>
      </c>
      <c r="AP361">
        <f>$C361*AP360</f>
        <v/>
      </c>
      <c r="AQ361">
        <f>$C361*AQ360</f>
        <v/>
      </c>
      <c r="AR361">
        <f>$C361*AR360</f>
        <v/>
      </c>
      <c r="AS361">
        <f>$C361*AS360</f>
        <v/>
      </c>
      <c r="AT361">
        <f>$C361*AT360</f>
        <v/>
      </c>
      <c r="AU361">
        <f>$C361*AU360</f>
        <v/>
      </c>
      <c r="AV361">
        <f>$C361*AV360</f>
        <v/>
      </c>
      <c r="AW361">
        <f>$C361*AW360</f>
        <v/>
      </c>
      <c r="AX361">
        <f>$C361*AX360</f>
        <v/>
      </c>
      <c r="AY361">
        <f>$C361*AY360</f>
        <v/>
      </c>
      <c r="AZ361">
        <f>$C361*AZ360</f>
        <v/>
      </c>
      <c r="BA361">
        <f>$C361*BA360</f>
        <v/>
      </c>
      <c r="BB361">
        <f>$C361*BB360</f>
        <v/>
      </c>
      <c r="BC361">
        <f>$C361*BC360</f>
        <v/>
      </c>
      <c r="BD361">
        <f>$C361*BD360</f>
        <v/>
      </c>
      <c r="BE361">
        <f>$C361*BE360</f>
        <v/>
      </c>
      <c r="BF361">
        <f>$C361*BF360</f>
        <v/>
      </c>
      <c r="BG361">
        <f>$C361*BG360</f>
        <v/>
      </c>
      <c r="BH361">
        <f>$C361*BH360</f>
        <v/>
      </c>
      <c r="BI361">
        <f>$C361*BI360</f>
        <v/>
      </c>
      <c r="BJ361">
        <f>$C361*BJ360</f>
        <v/>
      </c>
      <c r="BK361">
        <f>$C361*BK360</f>
        <v/>
      </c>
      <c r="BL361">
        <f>$C361*BL360</f>
        <v/>
      </c>
      <c r="BM361">
        <f>$C361*BM360</f>
        <v/>
      </c>
      <c r="BN361">
        <f>$C361*BN360</f>
        <v/>
      </c>
      <c r="BO361">
        <f>$C361*BO360</f>
        <v/>
      </c>
      <c r="BP361">
        <f>$C361*BP360</f>
        <v/>
      </c>
      <c r="BQ361">
        <f>$C361*BQ360</f>
        <v/>
      </c>
      <c r="BR361">
        <f>$C361*BR360</f>
        <v/>
      </c>
      <c r="BS361">
        <f>$C361*BS360</f>
        <v/>
      </c>
      <c r="BT361">
        <f>$C361*BT360</f>
        <v/>
      </c>
      <c r="BU361">
        <f>$C361*BU360</f>
        <v/>
      </c>
      <c r="BV361">
        <f>$C361*BV360</f>
        <v/>
      </c>
      <c r="BW361">
        <f>$C361*BW360</f>
        <v/>
      </c>
      <c r="BX361">
        <f>$C361*BX360</f>
        <v/>
      </c>
      <c r="BY361">
        <f>$C361*BY360</f>
        <v/>
      </c>
      <c r="BZ361">
        <f>$C361*BZ360</f>
        <v/>
      </c>
      <c r="CA361">
        <f>$C361*CA360</f>
        <v/>
      </c>
      <c r="CB361">
        <f>$C361*CB360</f>
        <v/>
      </c>
      <c r="CC361">
        <f>$C361*CC360</f>
        <v/>
      </c>
      <c r="CD361">
        <f>$C361*CD360</f>
        <v/>
      </c>
      <c r="CE361">
        <f>$C361*CE360</f>
        <v/>
      </c>
      <c r="CF361">
        <f>$C361*CF360</f>
        <v/>
      </c>
      <c r="CG361">
        <f>$C361*CG360</f>
        <v/>
      </c>
      <c r="CH361">
        <f>$C361*CH360</f>
        <v/>
      </c>
      <c r="CI361">
        <f>$C361*CI360</f>
        <v/>
      </c>
      <c r="CJ361">
        <f>$C361*CJ360</f>
        <v/>
      </c>
      <c r="CK361">
        <f>$C361*CK360</f>
        <v/>
      </c>
      <c r="CL361">
        <f>$C361*CL360</f>
        <v/>
      </c>
      <c r="CM361">
        <f>$C361*CM360</f>
        <v/>
      </c>
      <c r="CN361">
        <f>$C361*CN360</f>
        <v/>
      </c>
      <c r="CO361">
        <f>$C361*CO360</f>
        <v/>
      </c>
      <c r="CP361">
        <f>$C361*CP360</f>
        <v/>
      </c>
      <c r="CQ361">
        <f>$C361*CQ360</f>
        <v/>
      </c>
      <c r="CR361">
        <f>$C361*CR360</f>
        <v/>
      </c>
      <c r="CS361">
        <f>$C361*CS360</f>
        <v/>
      </c>
      <c r="CT361">
        <f>$C361*CT360</f>
        <v/>
      </c>
      <c r="CU361">
        <f>$C361*CU360</f>
        <v/>
      </c>
      <c r="CV361">
        <f>$C361*CV360</f>
        <v/>
      </c>
      <c r="CW361">
        <f>$C361*CW360</f>
        <v/>
      </c>
      <c r="CX361">
        <f>$C361*CX360</f>
        <v/>
      </c>
      <c r="CY361">
        <f>$C361*CY360</f>
        <v/>
      </c>
      <c r="CZ361">
        <f>$C361*CZ360</f>
        <v/>
      </c>
      <c r="DA361">
        <f>$C361*DA360</f>
        <v/>
      </c>
      <c r="DB361">
        <f>$C361*DB360</f>
        <v/>
      </c>
      <c r="DC361">
        <f>$C361*DC360</f>
        <v/>
      </c>
    </row>
    <row r="362">
      <c r="B362" t="inlineStr">
        <is>
          <t>TSP-360</t>
        </is>
      </c>
      <c r="C362" t="inlineStr">
        <is>
          <t>No. of batches</t>
        </is>
      </c>
      <c r="D362">
        <f>IFERROR(INDEX(PP_Grid[#Data],$DD362,2),0)</f>
        <v/>
      </c>
      <c r="E362">
        <f>IFERROR(INDEX(PP_Grid[#Data],$DD362,3),0)</f>
        <v/>
      </c>
      <c r="F362">
        <f>IFERROR(INDEX(PP_Grid[#Data],$DD362,4),0)</f>
        <v/>
      </c>
      <c r="G362">
        <f>IFERROR(INDEX(PP_Grid[#Data],$DD362,5),0)</f>
        <v/>
      </c>
      <c r="H362">
        <f>IFERROR(INDEX(PP_Grid[#Data],$DD362,6),0)</f>
        <v/>
      </c>
      <c r="I362">
        <f>IFERROR(INDEX(PP_Grid[#Data],$DD362,7),0)</f>
        <v/>
      </c>
      <c r="J362">
        <f>IFERROR(INDEX(PP_Grid[#Data],$DD362,8),0)</f>
        <v/>
      </c>
      <c r="K362">
        <f>IFERROR(INDEX(PP_Grid[#Data],$DD362,9),0)</f>
        <v/>
      </c>
      <c r="L362">
        <f>IFERROR(INDEX(PP_Grid[#Data],$DD362,10),0)</f>
        <v/>
      </c>
      <c r="M362">
        <f>IFERROR(INDEX(PP_Grid[#Data],$DD362,11),0)</f>
        <v/>
      </c>
      <c r="N362">
        <f>IFERROR(INDEX(PP_Grid[#Data],$DD362,12),0)</f>
        <v/>
      </c>
      <c r="O362">
        <f>IFERROR(INDEX(PP_Grid[#Data],$DD362,13),0)</f>
        <v/>
      </c>
      <c r="P362">
        <f>IFERROR(INDEX(PP_Grid[#Data],$DD362,14),0)</f>
        <v/>
      </c>
      <c r="Q362">
        <f>IFERROR(INDEX(PP_Grid[#Data],$DD362,15),0)</f>
        <v/>
      </c>
      <c r="R362">
        <f>IFERROR(INDEX(PP_Grid[#Data],$DD362,16),0)</f>
        <v/>
      </c>
      <c r="S362">
        <f>IFERROR(INDEX(PP_Grid[#Data],$DD362,17),0)</f>
        <v/>
      </c>
      <c r="T362">
        <f>IFERROR(INDEX(PP_Grid[#Data],$DD362,18),0)</f>
        <v/>
      </c>
      <c r="U362">
        <f>IFERROR(INDEX(PP_Grid[#Data],$DD362,19),0)</f>
        <v/>
      </c>
      <c r="V362">
        <f>IFERROR(INDEX(PP_Grid[#Data],$DD362,20),0)</f>
        <v/>
      </c>
      <c r="W362">
        <f>IFERROR(INDEX(PP_Grid[#Data],$DD362,21),0)</f>
        <v/>
      </c>
      <c r="X362">
        <f>IFERROR(INDEX(PP_Grid[#Data],$DD362,22),0)</f>
        <v/>
      </c>
      <c r="Y362">
        <f>IFERROR(INDEX(PP_Grid[#Data],$DD362,23),0)</f>
        <v/>
      </c>
      <c r="Z362">
        <f>IFERROR(INDEX(PP_Grid[#Data],$DD362,24),0)</f>
        <v/>
      </c>
      <c r="AA362">
        <f>IFERROR(INDEX(PP_Grid[#Data],$DD362,25),0)</f>
        <v/>
      </c>
      <c r="AB362">
        <f>IFERROR(INDEX(PP_Grid[#Data],$DD362,26),0)</f>
        <v/>
      </c>
      <c r="AC362">
        <f>IFERROR(INDEX(PP_Grid[#Data],$DD362,27),0)</f>
        <v/>
      </c>
      <c r="AD362">
        <f>IFERROR(INDEX(PP_Grid[#Data],$DD362,28),0)</f>
        <v/>
      </c>
      <c r="AE362">
        <f>IFERROR(INDEX(PP_Grid[#Data],$DD362,29),0)</f>
        <v/>
      </c>
      <c r="AF362">
        <f>IFERROR(INDEX(PP_Grid[#Data],$DD362,30),0)</f>
        <v/>
      </c>
      <c r="AG362">
        <f>IFERROR(INDEX(PP_Grid[#Data],$DD362,31),0)</f>
        <v/>
      </c>
      <c r="AH362">
        <f>IFERROR(INDEX(PP_Grid[#Data],$DD362,32),0)</f>
        <v/>
      </c>
      <c r="AI362">
        <f>IFERROR(INDEX(PP_Grid[#Data],$DD362,33),0)</f>
        <v/>
      </c>
      <c r="AJ362">
        <f>IFERROR(INDEX(PP_Grid[#Data],$DD362,34),0)</f>
        <v/>
      </c>
      <c r="AK362">
        <f>IFERROR(INDEX(PP_Grid[#Data],$DD362,35),0)</f>
        <v/>
      </c>
      <c r="AL362">
        <f>IFERROR(INDEX(PP_Grid[#Data],$DD362,36),0)</f>
        <v/>
      </c>
      <c r="AM362">
        <f>IFERROR(INDEX(PP_Grid[#Data],$DD362,37),0)</f>
        <v/>
      </c>
      <c r="AN362">
        <f>IFERROR(INDEX(PP_Grid[#Data],$DD362,38),0)</f>
        <v/>
      </c>
      <c r="AO362">
        <f>IFERROR(INDEX(PP_Grid[#Data],$DD362,39),0)</f>
        <v/>
      </c>
      <c r="AP362">
        <f>IFERROR(INDEX(PP_Grid[#Data],$DD362,40),0)</f>
        <v/>
      </c>
      <c r="AQ362">
        <f>IFERROR(INDEX(PP_Grid[#Data],$DD362,41),0)</f>
        <v/>
      </c>
      <c r="AR362">
        <f>IFERROR(INDEX(PP_Grid[#Data],$DD362,42),0)</f>
        <v/>
      </c>
      <c r="AS362">
        <f>IFERROR(INDEX(PP_Grid[#Data],$DD362,43),0)</f>
        <v/>
      </c>
      <c r="AT362">
        <f>IFERROR(INDEX(PP_Grid[#Data],$DD362,44),0)</f>
        <v/>
      </c>
      <c r="AU362">
        <f>IFERROR(INDEX(PP_Grid[#Data],$DD362,45),0)</f>
        <v/>
      </c>
      <c r="AV362">
        <f>IFERROR(INDEX(PP_Grid[#Data],$DD362,46),0)</f>
        <v/>
      </c>
      <c r="AW362">
        <f>IFERROR(INDEX(PP_Grid[#Data],$DD362,47),0)</f>
        <v/>
      </c>
      <c r="AX362">
        <f>IFERROR(INDEX(PP_Grid[#Data],$DD362,48),0)</f>
        <v/>
      </c>
      <c r="AY362">
        <f>IFERROR(INDEX(PP_Grid[#Data],$DD362,49),0)</f>
        <v/>
      </c>
      <c r="AZ362">
        <f>IFERROR(INDEX(PP_Grid[#Data],$DD362,50),0)</f>
        <v/>
      </c>
      <c r="BA362">
        <f>IFERROR(INDEX(PP_Grid[#Data],$DD362,51),0)</f>
        <v/>
      </c>
      <c r="BB362">
        <f>IFERROR(INDEX(PP_Grid[#Data],$DD362,52),0)</f>
        <v/>
      </c>
      <c r="BC362">
        <f>IFERROR(INDEX(PP_Grid[#Data],$DD362,53),0)</f>
        <v/>
      </c>
      <c r="BD362">
        <f>IFERROR(INDEX(PP_Grid[#Data],$DD362,54),0)</f>
        <v/>
      </c>
      <c r="BE362">
        <f>IFERROR(INDEX(PP_Grid[#Data],$DD362,55),0)</f>
        <v/>
      </c>
      <c r="BF362">
        <f>IFERROR(INDEX(PP_Grid[#Data],$DD362,56),0)</f>
        <v/>
      </c>
      <c r="BG362">
        <f>IFERROR(INDEX(PP_Grid[#Data],$DD362,57),0)</f>
        <v/>
      </c>
      <c r="BH362">
        <f>IFERROR(INDEX(PP_Grid[#Data],$DD362,58),0)</f>
        <v/>
      </c>
      <c r="BI362">
        <f>IFERROR(INDEX(PP_Grid[#Data],$DD362,59),0)</f>
        <v/>
      </c>
      <c r="BJ362">
        <f>IFERROR(INDEX(PP_Grid[#Data],$DD362,60),0)</f>
        <v/>
      </c>
      <c r="BK362">
        <f>IFERROR(INDEX(PP_Grid[#Data],$DD362,61),0)</f>
        <v/>
      </c>
      <c r="BL362">
        <f>IFERROR(INDEX(PP_Grid[#Data],$DD362,62),0)</f>
        <v/>
      </c>
      <c r="BM362">
        <f>IFERROR(INDEX(PP_Grid[#Data],$DD362,63),0)</f>
        <v/>
      </c>
      <c r="BN362">
        <f>IFERROR(INDEX(PP_Grid[#Data],$DD362,64),0)</f>
        <v/>
      </c>
      <c r="BO362">
        <f>IFERROR(INDEX(PP_Grid[#Data],$DD362,65),0)</f>
        <v/>
      </c>
      <c r="BP362">
        <f>IFERROR(INDEX(PP_Grid[#Data],$DD362,66),0)</f>
        <v/>
      </c>
      <c r="BQ362">
        <f>IFERROR(INDEX(PP_Grid[#Data],$DD362,67),0)</f>
        <v/>
      </c>
      <c r="BR362">
        <f>IFERROR(INDEX(PP_Grid[#Data],$DD362,68),0)</f>
        <v/>
      </c>
      <c r="BS362">
        <f>IFERROR(INDEX(PP_Grid[#Data],$DD362,69),0)</f>
        <v/>
      </c>
      <c r="BT362">
        <f>IFERROR(INDEX(PP_Grid[#Data],$DD362,70),0)</f>
        <v/>
      </c>
      <c r="BU362">
        <f>IFERROR(INDEX(PP_Grid[#Data],$DD362,71),0)</f>
        <v/>
      </c>
      <c r="BV362">
        <f>IFERROR(INDEX(PP_Grid[#Data],$DD362,72),0)</f>
        <v/>
      </c>
      <c r="BW362">
        <f>IFERROR(INDEX(PP_Grid[#Data],$DD362,73),0)</f>
        <v/>
      </c>
      <c r="BX362">
        <f>IFERROR(INDEX(PP_Grid[#Data],$DD362,74),0)</f>
        <v/>
      </c>
      <c r="BY362">
        <f>IFERROR(INDEX(PP_Grid[#Data],$DD362,75),0)</f>
        <v/>
      </c>
      <c r="BZ362">
        <f>IFERROR(INDEX(PP_Grid[#Data],$DD362,76),0)</f>
        <v/>
      </c>
      <c r="CA362">
        <f>IFERROR(INDEX(PP_Grid[#Data],$DD362,77),0)</f>
        <v/>
      </c>
      <c r="CB362">
        <f>IFERROR(INDEX(PP_Grid[#Data],$DD362,78),0)</f>
        <v/>
      </c>
      <c r="CC362">
        <f>IFERROR(INDEX(PP_Grid[#Data],$DD362,79),0)</f>
        <v/>
      </c>
      <c r="CD362">
        <f>IFERROR(INDEX(PP_Grid[#Data],$DD362,80),0)</f>
        <v/>
      </c>
      <c r="CE362">
        <f>IFERROR(INDEX(PP_Grid[#Data],$DD362,81),0)</f>
        <v/>
      </c>
      <c r="CF362">
        <f>IFERROR(INDEX(PP_Grid[#Data],$DD362,82),0)</f>
        <v/>
      </c>
      <c r="CG362">
        <f>IFERROR(INDEX(PP_Grid[#Data],$DD362,83),0)</f>
        <v/>
      </c>
      <c r="CH362">
        <f>IFERROR(INDEX(PP_Grid[#Data],$DD362,84),0)</f>
        <v/>
      </c>
      <c r="CI362">
        <f>IFERROR(INDEX(PP_Grid[#Data],$DD362,85),0)</f>
        <v/>
      </c>
      <c r="CJ362">
        <f>IFERROR(INDEX(PP_Grid[#Data],$DD362,86),0)</f>
        <v/>
      </c>
      <c r="CK362">
        <f>IFERROR(INDEX(PP_Grid[#Data],$DD362,87),0)</f>
        <v/>
      </c>
      <c r="CL362">
        <f>IFERROR(INDEX(PP_Grid[#Data],$DD362,88),0)</f>
        <v/>
      </c>
      <c r="CM362">
        <f>IFERROR(INDEX(PP_Grid[#Data],$DD362,89),0)</f>
        <v/>
      </c>
      <c r="CN362">
        <f>IFERROR(INDEX(PP_Grid[#Data],$DD362,90),0)</f>
        <v/>
      </c>
      <c r="CO362">
        <f>IFERROR(INDEX(PP_Grid[#Data],$DD362,91),0)</f>
        <v/>
      </c>
      <c r="CP362">
        <f>IFERROR(INDEX(PP_Grid[#Data],$DD362,92),0)</f>
        <v/>
      </c>
      <c r="CQ362">
        <f>IFERROR(INDEX(PP_Grid[#Data],$DD362,93),0)</f>
        <v/>
      </c>
      <c r="CR362">
        <f>IFERROR(INDEX(PP_Grid[#Data],$DD362,94),0)</f>
        <v/>
      </c>
      <c r="CS362">
        <f>IFERROR(INDEX(PP_Grid[#Data],$DD362,95),0)</f>
        <v/>
      </c>
      <c r="CT362">
        <f>IFERROR(INDEX(PP_Grid[#Data],$DD362,96),0)</f>
        <v/>
      </c>
      <c r="CU362">
        <f>IFERROR(INDEX(PP_Grid[#Data],$DD362,97),0)</f>
        <v/>
      </c>
      <c r="CV362">
        <f>IFERROR(INDEX(PP_Grid[#Data],$DD362,98),0)</f>
        <v/>
      </c>
      <c r="CW362">
        <f>IFERROR(INDEX(PP_Grid[#Data],$DD362,99),0)</f>
        <v/>
      </c>
      <c r="CX362">
        <f>IFERROR(INDEX(PP_Grid[#Data],$DD362,100),0)</f>
        <v/>
      </c>
      <c r="CY362">
        <f>IFERROR(INDEX(PP_Grid[#Data],$DD362,101),0)</f>
        <v/>
      </c>
      <c r="CZ362">
        <f>IFERROR(INDEX(PP_Grid[#Data],$DD362,102),0)</f>
        <v/>
      </c>
      <c r="DA362">
        <f>IFERROR(INDEX(PP_Grid[#Data],$DD362,103),0)</f>
        <v/>
      </c>
      <c r="DB362">
        <f>IFERROR(INDEX(PP_Grid[#Data],$DD362,104),0)</f>
        <v/>
      </c>
      <c r="DC362">
        <f>IFERROR(INDEX(PP_Grid[#Data],$DD362,105),0)</f>
        <v/>
      </c>
      <c r="DD362" s="7">
        <f>IFERROR(MATCH($B362,PP_Grid[Intermediate],0),99999)</f>
        <v/>
      </c>
    </row>
    <row r="363">
      <c r="B363" t="inlineStr">
        <is>
          <t>使用量(kg)</t>
        </is>
      </c>
      <c r="C363">
        <f>SUMIFS(M_BOM[RM_Qty_Per_Batch],M_BOM[Intermediate],$B362,M_BOM[Part Name],$A343)</f>
        <v/>
      </c>
      <c r="D363">
        <f>$C363*D362</f>
        <v/>
      </c>
      <c r="E363">
        <f>$C363*E362</f>
        <v/>
      </c>
      <c r="F363">
        <f>$C363*F362</f>
        <v/>
      </c>
      <c r="G363">
        <f>$C363*G362</f>
        <v/>
      </c>
      <c r="H363">
        <f>$C363*H362</f>
        <v/>
      </c>
      <c r="I363">
        <f>$C363*I362</f>
        <v/>
      </c>
      <c r="J363">
        <f>$C363*J362</f>
        <v/>
      </c>
      <c r="K363">
        <f>$C363*K362</f>
        <v/>
      </c>
      <c r="L363">
        <f>$C363*L362</f>
        <v/>
      </c>
      <c r="M363">
        <f>$C363*M362</f>
        <v/>
      </c>
      <c r="N363">
        <f>$C363*N362</f>
        <v/>
      </c>
      <c r="O363">
        <f>$C363*O362</f>
        <v/>
      </c>
      <c r="P363">
        <f>$C363*P362</f>
        <v/>
      </c>
      <c r="Q363">
        <f>$C363*Q362</f>
        <v/>
      </c>
      <c r="R363">
        <f>$C363*R362</f>
        <v/>
      </c>
      <c r="S363">
        <f>$C363*S362</f>
        <v/>
      </c>
      <c r="T363">
        <f>$C363*T362</f>
        <v/>
      </c>
      <c r="U363">
        <f>$C363*U362</f>
        <v/>
      </c>
      <c r="V363">
        <f>$C363*V362</f>
        <v/>
      </c>
      <c r="W363">
        <f>$C363*W362</f>
        <v/>
      </c>
      <c r="X363">
        <f>$C363*X362</f>
        <v/>
      </c>
      <c r="Y363">
        <f>$C363*Y362</f>
        <v/>
      </c>
      <c r="Z363">
        <f>$C363*Z362</f>
        <v/>
      </c>
      <c r="AA363">
        <f>$C363*AA362</f>
        <v/>
      </c>
      <c r="AB363">
        <f>$C363*AB362</f>
        <v/>
      </c>
      <c r="AC363">
        <f>$C363*AC362</f>
        <v/>
      </c>
      <c r="AD363">
        <f>$C363*AD362</f>
        <v/>
      </c>
      <c r="AE363">
        <f>$C363*AE362</f>
        <v/>
      </c>
      <c r="AF363">
        <f>$C363*AF362</f>
        <v/>
      </c>
      <c r="AG363">
        <f>$C363*AG362</f>
        <v/>
      </c>
      <c r="AH363">
        <f>$C363*AH362</f>
        <v/>
      </c>
      <c r="AI363">
        <f>$C363*AI362</f>
        <v/>
      </c>
      <c r="AJ363">
        <f>$C363*AJ362</f>
        <v/>
      </c>
      <c r="AK363">
        <f>$C363*AK362</f>
        <v/>
      </c>
      <c r="AL363">
        <f>$C363*AL362</f>
        <v/>
      </c>
      <c r="AM363">
        <f>$C363*AM362</f>
        <v/>
      </c>
      <c r="AN363">
        <f>$C363*AN362</f>
        <v/>
      </c>
      <c r="AO363">
        <f>$C363*AO362</f>
        <v/>
      </c>
      <c r="AP363">
        <f>$C363*AP362</f>
        <v/>
      </c>
      <c r="AQ363">
        <f>$C363*AQ362</f>
        <v/>
      </c>
      <c r="AR363">
        <f>$C363*AR362</f>
        <v/>
      </c>
      <c r="AS363">
        <f>$C363*AS362</f>
        <v/>
      </c>
      <c r="AT363">
        <f>$C363*AT362</f>
        <v/>
      </c>
      <c r="AU363">
        <f>$C363*AU362</f>
        <v/>
      </c>
      <c r="AV363">
        <f>$C363*AV362</f>
        <v/>
      </c>
      <c r="AW363">
        <f>$C363*AW362</f>
        <v/>
      </c>
      <c r="AX363">
        <f>$C363*AX362</f>
        <v/>
      </c>
      <c r="AY363">
        <f>$C363*AY362</f>
        <v/>
      </c>
      <c r="AZ363">
        <f>$C363*AZ362</f>
        <v/>
      </c>
      <c r="BA363">
        <f>$C363*BA362</f>
        <v/>
      </c>
      <c r="BB363">
        <f>$C363*BB362</f>
        <v/>
      </c>
      <c r="BC363">
        <f>$C363*BC362</f>
        <v/>
      </c>
      <c r="BD363">
        <f>$C363*BD362</f>
        <v/>
      </c>
      <c r="BE363">
        <f>$C363*BE362</f>
        <v/>
      </c>
      <c r="BF363">
        <f>$C363*BF362</f>
        <v/>
      </c>
      <c r="BG363">
        <f>$C363*BG362</f>
        <v/>
      </c>
      <c r="BH363">
        <f>$C363*BH362</f>
        <v/>
      </c>
      <c r="BI363">
        <f>$C363*BI362</f>
        <v/>
      </c>
      <c r="BJ363">
        <f>$C363*BJ362</f>
        <v/>
      </c>
      <c r="BK363">
        <f>$C363*BK362</f>
        <v/>
      </c>
      <c r="BL363">
        <f>$C363*BL362</f>
        <v/>
      </c>
      <c r="BM363">
        <f>$C363*BM362</f>
        <v/>
      </c>
      <c r="BN363">
        <f>$C363*BN362</f>
        <v/>
      </c>
      <c r="BO363">
        <f>$C363*BO362</f>
        <v/>
      </c>
      <c r="BP363">
        <f>$C363*BP362</f>
        <v/>
      </c>
      <c r="BQ363">
        <f>$C363*BQ362</f>
        <v/>
      </c>
      <c r="BR363">
        <f>$C363*BR362</f>
        <v/>
      </c>
      <c r="BS363">
        <f>$C363*BS362</f>
        <v/>
      </c>
      <c r="BT363">
        <f>$C363*BT362</f>
        <v/>
      </c>
      <c r="BU363">
        <f>$C363*BU362</f>
        <v/>
      </c>
      <c r="BV363">
        <f>$C363*BV362</f>
        <v/>
      </c>
      <c r="BW363">
        <f>$C363*BW362</f>
        <v/>
      </c>
      <c r="BX363">
        <f>$C363*BX362</f>
        <v/>
      </c>
      <c r="BY363">
        <f>$C363*BY362</f>
        <v/>
      </c>
      <c r="BZ363">
        <f>$C363*BZ362</f>
        <v/>
      </c>
      <c r="CA363">
        <f>$C363*CA362</f>
        <v/>
      </c>
      <c r="CB363">
        <f>$C363*CB362</f>
        <v/>
      </c>
      <c r="CC363">
        <f>$C363*CC362</f>
        <v/>
      </c>
      <c r="CD363">
        <f>$C363*CD362</f>
        <v/>
      </c>
      <c r="CE363">
        <f>$C363*CE362</f>
        <v/>
      </c>
      <c r="CF363">
        <f>$C363*CF362</f>
        <v/>
      </c>
      <c r="CG363">
        <f>$C363*CG362</f>
        <v/>
      </c>
      <c r="CH363">
        <f>$C363*CH362</f>
        <v/>
      </c>
      <c r="CI363">
        <f>$C363*CI362</f>
        <v/>
      </c>
      <c r="CJ363">
        <f>$C363*CJ362</f>
        <v/>
      </c>
      <c r="CK363">
        <f>$C363*CK362</f>
        <v/>
      </c>
      <c r="CL363">
        <f>$C363*CL362</f>
        <v/>
      </c>
      <c r="CM363">
        <f>$C363*CM362</f>
        <v/>
      </c>
      <c r="CN363">
        <f>$C363*CN362</f>
        <v/>
      </c>
      <c r="CO363">
        <f>$C363*CO362</f>
        <v/>
      </c>
      <c r="CP363">
        <f>$C363*CP362</f>
        <v/>
      </c>
      <c r="CQ363">
        <f>$C363*CQ362</f>
        <v/>
      </c>
      <c r="CR363">
        <f>$C363*CR362</f>
        <v/>
      </c>
      <c r="CS363">
        <f>$C363*CS362</f>
        <v/>
      </c>
      <c r="CT363">
        <f>$C363*CT362</f>
        <v/>
      </c>
      <c r="CU363">
        <f>$C363*CU362</f>
        <v/>
      </c>
      <c r="CV363">
        <f>$C363*CV362</f>
        <v/>
      </c>
      <c r="CW363">
        <f>$C363*CW362</f>
        <v/>
      </c>
      <c r="CX363">
        <f>$C363*CX362</f>
        <v/>
      </c>
      <c r="CY363">
        <f>$C363*CY362</f>
        <v/>
      </c>
      <c r="CZ363">
        <f>$C363*CZ362</f>
        <v/>
      </c>
      <c r="DA363">
        <f>$C363*DA362</f>
        <v/>
      </c>
      <c r="DB363">
        <f>$C363*DB362</f>
        <v/>
      </c>
      <c r="DC363">
        <f>$C363*DC362</f>
        <v/>
      </c>
    </row>
    <row r="364">
      <c r="B364" t="inlineStr">
        <is>
          <t>TSP-367</t>
        </is>
      </c>
      <c r="C364" t="inlineStr">
        <is>
          <t>No. of batches</t>
        </is>
      </c>
      <c r="D364">
        <f>IFERROR(INDEX(PP_Grid[#Data],$DD364,2),0)</f>
        <v/>
      </c>
      <c r="E364">
        <f>IFERROR(INDEX(PP_Grid[#Data],$DD364,3),0)</f>
        <v/>
      </c>
      <c r="F364">
        <f>IFERROR(INDEX(PP_Grid[#Data],$DD364,4),0)</f>
        <v/>
      </c>
      <c r="G364">
        <f>IFERROR(INDEX(PP_Grid[#Data],$DD364,5),0)</f>
        <v/>
      </c>
      <c r="H364">
        <f>IFERROR(INDEX(PP_Grid[#Data],$DD364,6),0)</f>
        <v/>
      </c>
      <c r="I364">
        <f>IFERROR(INDEX(PP_Grid[#Data],$DD364,7),0)</f>
        <v/>
      </c>
      <c r="J364">
        <f>IFERROR(INDEX(PP_Grid[#Data],$DD364,8),0)</f>
        <v/>
      </c>
      <c r="K364">
        <f>IFERROR(INDEX(PP_Grid[#Data],$DD364,9),0)</f>
        <v/>
      </c>
      <c r="L364">
        <f>IFERROR(INDEX(PP_Grid[#Data],$DD364,10),0)</f>
        <v/>
      </c>
      <c r="M364">
        <f>IFERROR(INDEX(PP_Grid[#Data],$DD364,11),0)</f>
        <v/>
      </c>
      <c r="N364">
        <f>IFERROR(INDEX(PP_Grid[#Data],$DD364,12),0)</f>
        <v/>
      </c>
      <c r="O364">
        <f>IFERROR(INDEX(PP_Grid[#Data],$DD364,13),0)</f>
        <v/>
      </c>
      <c r="P364">
        <f>IFERROR(INDEX(PP_Grid[#Data],$DD364,14),0)</f>
        <v/>
      </c>
      <c r="Q364">
        <f>IFERROR(INDEX(PP_Grid[#Data],$DD364,15),0)</f>
        <v/>
      </c>
      <c r="R364">
        <f>IFERROR(INDEX(PP_Grid[#Data],$DD364,16),0)</f>
        <v/>
      </c>
      <c r="S364">
        <f>IFERROR(INDEX(PP_Grid[#Data],$DD364,17),0)</f>
        <v/>
      </c>
      <c r="T364">
        <f>IFERROR(INDEX(PP_Grid[#Data],$DD364,18),0)</f>
        <v/>
      </c>
      <c r="U364">
        <f>IFERROR(INDEX(PP_Grid[#Data],$DD364,19),0)</f>
        <v/>
      </c>
      <c r="V364">
        <f>IFERROR(INDEX(PP_Grid[#Data],$DD364,20),0)</f>
        <v/>
      </c>
      <c r="W364">
        <f>IFERROR(INDEX(PP_Grid[#Data],$DD364,21),0)</f>
        <v/>
      </c>
      <c r="X364">
        <f>IFERROR(INDEX(PP_Grid[#Data],$DD364,22),0)</f>
        <v/>
      </c>
      <c r="Y364">
        <f>IFERROR(INDEX(PP_Grid[#Data],$DD364,23),0)</f>
        <v/>
      </c>
      <c r="Z364">
        <f>IFERROR(INDEX(PP_Grid[#Data],$DD364,24),0)</f>
        <v/>
      </c>
      <c r="AA364">
        <f>IFERROR(INDEX(PP_Grid[#Data],$DD364,25),0)</f>
        <v/>
      </c>
      <c r="AB364">
        <f>IFERROR(INDEX(PP_Grid[#Data],$DD364,26),0)</f>
        <v/>
      </c>
      <c r="AC364">
        <f>IFERROR(INDEX(PP_Grid[#Data],$DD364,27),0)</f>
        <v/>
      </c>
      <c r="AD364">
        <f>IFERROR(INDEX(PP_Grid[#Data],$DD364,28),0)</f>
        <v/>
      </c>
      <c r="AE364">
        <f>IFERROR(INDEX(PP_Grid[#Data],$DD364,29),0)</f>
        <v/>
      </c>
      <c r="AF364">
        <f>IFERROR(INDEX(PP_Grid[#Data],$DD364,30),0)</f>
        <v/>
      </c>
      <c r="AG364">
        <f>IFERROR(INDEX(PP_Grid[#Data],$DD364,31),0)</f>
        <v/>
      </c>
      <c r="AH364">
        <f>IFERROR(INDEX(PP_Grid[#Data],$DD364,32),0)</f>
        <v/>
      </c>
      <c r="AI364">
        <f>IFERROR(INDEX(PP_Grid[#Data],$DD364,33),0)</f>
        <v/>
      </c>
      <c r="AJ364">
        <f>IFERROR(INDEX(PP_Grid[#Data],$DD364,34),0)</f>
        <v/>
      </c>
      <c r="AK364">
        <f>IFERROR(INDEX(PP_Grid[#Data],$DD364,35),0)</f>
        <v/>
      </c>
      <c r="AL364">
        <f>IFERROR(INDEX(PP_Grid[#Data],$DD364,36),0)</f>
        <v/>
      </c>
      <c r="AM364">
        <f>IFERROR(INDEX(PP_Grid[#Data],$DD364,37),0)</f>
        <v/>
      </c>
      <c r="AN364">
        <f>IFERROR(INDEX(PP_Grid[#Data],$DD364,38),0)</f>
        <v/>
      </c>
      <c r="AO364">
        <f>IFERROR(INDEX(PP_Grid[#Data],$DD364,39),0)</f>
        <v/>
      </c>
      <c r="AP364">
        <f>IFERROR(INDEX(PP_Grid[#Data],$DD364,40),0)</f>
        <v/>
      </c>
      <c r="AQ364">
        <f>IFERROR(INDEX(PP_Grid[#Data],$DD364,41),0)</f>
        <v/>
      </c>
      <c r="AR364">
        <f>IFERROR(INDEX(PP_Grid[#Data],$DD364,42),0)</f>
        <v/>
      </c>
      <c r="AS364">
        <f>IFERROR(INDEX(PP_Grid[#Data],$DD364,43),0)</f>
        <v/>
      </c>
      <c r="AT364">
        <f>IFERROR(INDEX(PP_Grid[#Data],$DD364,44),0)</f>
        <v/>
      </c>
      <c r="AU364">
        <f>IFERROR(INDEX(PP_Grid[#Data],$DD364,45),0)</f>
        <v/>
      </c>
      <c r="AV364">
        <f>IFERROR(INDEX(PP_Grid[#Data],$DD364,46),0)</f>
        <v/>
      </c>
      <c r="AW364">
        <f>IFERROR(INDEX(PP_Grid[#Data],$DD364,47),0)</f>
        <v/>
      </c>
      <c r="AX364">
        <f>IFERROR(INDEX(PP_Grid[#Data],$DD364,48),0)</f>
        <v/>
      </c>
      <c r="AY364">
        <f>IFERROR(INDEX(PP_Grid[#Data],$DD364,49),0)</f>
        <v/>
      </c>
      <c r="AZ364">
        <f>IFERROR(INDEX(PP_Grid[#Data],$DD364,50),0)</f>
        <v/>
      </c>
      <c r="BA364">
        <f>IFERROR(INDEX(PP_Grid[#Data],$DD364,51),0)</f>
        <v/>
      </c>
      <c r="BB364">
        <f>IFERROR(INDEX(PP_Grid[#Data],$DD364,52),0)</f>
        <v/>
      </c>
      <c r="BC364">
        <f>IFERROR(INDEX(PP_Grid[#Data],$DD364,53),0)</f>
        <v/>
      </c>
      <c r="BD364">
        <f>IFERROR(INDEX(PP_Grid[#Data],$DD364,54),0)</f>
        <v/>
      </c>
      <c r="BE364">
        <f>IFERROR(INDEX(PP_Grid[#Data],$DD364,55),0)</f>
        <v/>
      </c>
      <c r="BF364">
        <f>IFERROR(INDEX(PP_Grid[#Data],$DD364,56),0)</f>
        <v/>
      </c>
      <c r="BG364">
        <f>IFERROR(INDEX(PP_Grid[#Data],$DD364,57),0)</f>
        <v/>
      </c>
      <c r="BH364">
        <f>IFERROR(INDEX(PP_Grid[#Data],$DD364,58),0)</f>
        <v/>
      </c>
      <c r="BI364">
        <f>IFERROR(INDEX(PP_Grid[#Data],$DD364,59),0)</f>
        <v/>
      </c>
      <c r="BJ364">
        <f>IFERROR(INDEX(PP_Grid[#Data],$DD364,60),0)</f>
        <v/>
      </c>
      <c r="BK364">
        <f>IFERROR(INDEX(PP_Grid[#Data],$DD364,61),0)</f>
        <v/>
      </c>
      <c r="BL364">
        <f>IFERROR(INDEX(PP_Grid[#Data],$DD364,62),0)</f>
        <v/>
      </c>
      <c r="BM364">
        <f>IFERROR(INDEX(PP_Grid[#Data],$DD364,63),0)</f>
        <v/>
      </c>
      <c r="BN364">
        <f>IFERROR(INDEX(PP_Grid[#Data],$DD364,64),0)</f>
        <v/>
      </c>
      <c r="BO364">
        <f>IFERROR(INDEX(PP_Grid[#Data],$DD364,65),0)</f>
        <v/>
      </c>
      <c r="BP364">
        <f>IFERROR(INDEX(PP_Grid[#Data],$DD364,66),0)</f>
        <v/>
      </c>
      <c r="BQ364">
        <f>IFERROR(INDEX(PP_Grid[#Data],$DD364,67),0)</f>
        <v/>
      </c>
      <c r="BR364">
        <f>IFERROR(INDEX(PP_Grid[#Data],$DD364,68),0)</f>
        <v/>
      </c>
      <c r="BS364">
        <f>IFERROR(INDEX(PP_Grid[#Data],$DD364,69),0)</f>
        <v/>
      </c>
      <c r="BT364">
        <f>IFERROR(INDEX(PP_Grid[#Data],$DD364,70),0)</f>
        <v/>
      </c>
      <c r="BU364">
        <f>IFERROR(INDEX(PP_Grid[#Data],$DD364,71),0)</f>
        <v/>
      </c>
      <c r="BV364">
        <f>IFERROR(INDEX(PP_Grid[#Data],$DD364,72),0)</f>
        <v/>
      </c>
      <c r="BW364">
        <f>IFERROR(INDEX(PP_Grid[#Data],$DD364,73),0)</f>
        <v/>
      </c>
      <c r="BX364">
        <f>IFERROR(INDEX(PP_Grid[#Data],$DD364,74),0)</f>
        <v/>
      </c>
      <c r="BY364">
        <f>IFERROR(INDEX(PP_Grid[#Data],$DD364,75),0)</f>
        <v/>
      </c>
      <c r="BZ364">
        <f>IFERROR(INDEX(PP_Grid[#Data],$DD364,76),0)</f>
        <v/>
      </c>
      <c r="CA364">
        <f>IFERROR(INDEX(PP_Grid[#Data],$DD364,77),0)</f>
        <v/>
      </c>
      <c r="CB364">
        <f>IFERROR(INDEX(PP_Grid[#Data],$DD364,78),0)</f>
        <v/>
      </c>
      <c r="CC364">
        <f>IFERROR(INDEX(PP_Grid[#Data],$DD364,79),0)</f>
        <v/>
      </c>
      <c r="CD364">
        <f>IFERROR(INDEX(PP_Grid[#Data],$DD364,80),0)</f>
        <v/>
      </c>
      <c r="CE364">
        <f>IFERROR(INDEX(PP_Grid[#Data],$DD364,81),0)</f>
        <v/>
      </c>
      <c r="CF364">
        <f>IFERROR(INDEX(PP_Grid[#Data],$DD364,82),0)</f>
        <v/>
      </c>
      <c r="CG364">
        <f>IFERROR(INDEX(PP_Grid[#Data],$DD364,83),0)</f>
        <v/>
      </c>
      <c r="CH364">
        <f>IFERROR(INDEX(PP_Grid[#Data],$DD364,84),0)</f>
        <v/>
      </c>
      <c r="CI364">
        <f>IFERROR(INDEX(PP_Grid[#Data],$DD364,85),0)</f>
        <v/>
      </c>
      <c r="CJ364">
        <f>IFERROR(INDEX(PP_Grid[#Data],$DD364,86),0)</f>
        <v/>
      </c>
      <c r="CK364">
        <f>IFERROR(INDEX(PP_Grid[#Data],$DD364,87),0)</f>
        <v/>
      </c>
      <c r="CL364">
        <f>IFERROR(INDEX(PP_Grid[#Data],$DD364,88),0)</f>
        <v/>
      </c>
      <c r="CM364">
        <f>IFERROR(INDEX(PP_Grid[#Data],$DD364,89),0)</f>
        <v/>
      </c>
      <c r="CN364">
        <f>IFERROR(INDEX(PP_Grid[#Data],$DD364,90),0)</f>
        <v/>
      </c>
      <c r="CO364">
        <f>IFERROR(INDEX(PP_Grid[#Data],$DD364,91),0)</f>
        <v/>
      </c>
      <c r="CP364">
        <f>IFERROR(INDEX(PP_Grid[#Data],$DD364,92),0)</f>
        <v/>
      </c>
      <c r="CQ364">
        <f>IFERROR(INDEX(PP_Grid[#Data],$DD364,93),0)</f>
        <v/>
      </c>
      <c r="CR364">
        <f>IFERROR(INDEX(PP_Grid[#Data],$DD364,94),0)</f>
        <v/>
      </c>
      <c r="CS364">
        <f>IFERROR(INDEX(PP_Grid[#Data],$DD364,95),0)</f>
        <v/>
      </c>
      <c r="CT364">
        <f>IFERROR(INDEX(PP_Grid[#Data],$DD364,96),0)</f>
        <v/>
      </c>
      <c r="CU364">
        <f>IFERROR(INDEX(PP_Grid[#Data],$DD364,97),0)</f>
        <v/>
      </c>
      <c r="CV364">
        <f>IFERROR(INDEX(PP_Grid[#Data],$DD364,98),0)</f>
        <v/>
      </c>
      <c r="CW364">
        <f>IFERROR(INDEX(PP_Grid[#Data],$DD364,99),0)</f>
        <v/>
      </c>
      <c r="CX364">
        <f>IFERROR(INDEX(PP_Grid[#Data],$DD364,100),0)</f>
        <v/>
      </c>
      <c r="CY364">
        <f>IFERROR(INDEX(PP_Grid[#Data],$DD364,101),0)</f>
        <v/>
      </c>
      <c r="CZ364">
        <f>IFERROR(INDEX(PP_Grid[#Data],$DD364,102),0)</f>
        <v/>
      </c>
      <c r="DA364">
        <f>IFERROR(INDEX(PP_Grid[#Data],$DD364,103),0)</f>
        <v/>
      </c>
      <c r="DB364">
        <f>IFERROR(INDEX(PP_Grid[#Data],$DD364,104),0)</f>
        <v/>
      </c>
      <c r="DC364">
        <f>IFERROR(INDEX(PP_Grid[#Data],$DD364,105),0)</f>
        <v/>
      </c>
      <c r="DD364" s="7">
        <f>IFERROR(MATCH($B364,PP_Grid[Intermediate],0),99999)</f>
        <v/>
      </c>
    </row>
    <row r="365">
      <c r="B365" t="inlineStr">
        <is>
          <t>使用量(kg)</t>
        </is>
      </c>
      <c r="C365">
        <f>SUMIFS(M_BOM[RM_Qty_Per_Batch],M_BOM[Intermediate],$B364,M_BOM[Part Name],$A343)</f>
        <v/>
      </c>
      <c r="D365">
        <f>$C365*D364</f>
        <v/>
      </c>
      <c r="E365">
        <f>$C365*E364</f>
        <v/>
      </c>
      <c r="F365">
        <f>$C365*F364</f>
        <v/>
      </c>
      <c r="G365">
        <f>$C365*G364</f>
        <v/>
      </c>
      <c r="H365">
        <f>$C365*H364</f>
        <v/>
      </c>
      <c r="I365">
        <f>$C365*I364</f>
        <v/>
      </c>
      <c r="J365">
        <f>$C365*J364</f>
        <v/>
      </c>
      <c r="K365">
        <f>$C365*K364</f>
        <v/>
      </c>
      <c r="L365">
        <f>$C365*L364</f>
        <v/>
      </c>
      <c r="M365">
        <f>$C365*M364</f>
        <v/>
      </c>
      <c r="N365">
        <f>$C365*N364</f>
        <v/>
      </c>
      <c r="O365">
        <f>$C365*O364</f>
        <v/>
      </c>
      <c r="P365">
        <f>$C365*P364</f>
        <v/>
      </c>
      <c r="Q365">
        <f>$C365*Q364</f>
        <v/>
      </c>
      <c r="R365">
        <f>$C365*R364</f>
        <v/>
      </c>
      <c r="S365">
        <f>$C365*S364</f>
        <v/>
      </c>
      <c r="T365">
        <f>$C365*T364</f>
        <v/>
      </c>
      <c r="U365">
        <f>$C365*U364</f>
        <v/>
      </c>
      <c r="V365">
        <f>$C365*V364</f>
        <v/>
      </c>
      <c r="W365">
        <f>$C365*W364</f>
        <v/>
      </c>
      <c r="X365">
        <f>$C365*X364</f>
        <v/>
      </c>
      <c r="Y365">
        <f>$C365*Y364</f>
        <v/>
      </c>
      <c r="Z365">
        <f>$C365*Z364</f>
        <v/>
      </c>
      <c r="AA365">
        <f>$C365*AA364</f>
        <v/>
      </c>
      <c r="AB365">
        <f>$C365*AB364</f>
        <v/>
      </c>
      <c r="AC365">
        <f>$C365*AC364</f>
        <v/>
      </c>
      <c r="AD365">
        <f>$C365*AD364</f>
        <v/>
      </c>
      <c r="AE365">
        <f>$C365*AE364</f>
        <v/>
      </c>
      <c r="AF365">
        <f>$C365*AF364</f>
        <v/>
      </c>
      <c r="AG365">
        <f>$C365*AG364</f>
        <v/>
      </c>
      <c r="AH365">
        <f>$C365*AH364</f>
        <v/>
      </c>
      <c r="AI365">
        <f>$C365*AI364</f>
        <v/>
      </c>
      <c r="AJ365">
        <f>$C365*AJ364</f>
        <v/>
      </c>
      <c r="AK365">
        <f>$C365*AK364</f>
        <v/>
      </c>
      <c r="AL365">
        <f>$C365*AL364</f>
        <v/>
      </c>
      <c r="AM365">
        <f>$C365*AM364</f>
        <v/>
      </c>
      <c r="AN365">
        <f>$C365*AN364</f>
        <v/>
      </c>
      <c r="AO365">
        <f>$C365*AO364</f>
        <v/>
      </c>
      <c r="AP365">
        <f>$C365*AP364</f>
        <v/>
      </c>
      <c r="AQ365">
        <f>$C365*AQ364</f>
        <v/>
      </c>
      <c r="AR365">
        <f>$C365*AR364</f>
        <v/>
      </c>
      <c r="AS365">
        <f>$C365*AS364</f>
        <v/>
      </c>
      <c r="AT365">
        <f>$C365*AT364</f>
        <v/>
      </c>
      <c r="AU365">
        <f>$C365*AU364</f>
        <v/>
      </c>
      <c r="AV365">
        <f>$C365*AV364</f>
        <v/>
      </c>
      <c r="AW365">
        <f>$C365*AW364</f>
        <v/>
      </c>
      <c r="AX365">
        <f>$C365*AX364</f>
        <v/>
      </c>
      <c r="AY365">
        <f>$C365*AY364</f>
        <v/>
      </c>
      <c r="AZ365">
        <f>$C365*AZ364</f>
        <v/>
      </c>
      <c r="BA365">
        <f>$C365*BA364</f>
        <v/>
      </c>
      <c r="BB365">
        <f>$C365*BB364</f>
        <v/>
      </c>
      <c r="BC365">
        <f>$C365*BC364</f>
        <v/>
      </c>
      <c r="BD365">
        <f>$C365*BD364</f>
        <v/>
      </c>
      <c r="BE365">
        <f>$C365*BE364</f>
        <v/>
      </c>
      <c r="BF365">
        <f>$C365*BF364</f>
        <v/>
      </c>
      <c r="BG365">
        <f>$C365*BG364</f>
        <v/>
      </c>
      <c r="BH365">
        <f>$C365*BH364</f>
        <v/>
      </c>
      <c r="BI365">
        <f>$C365*BI364</f>
        <v/>
      </c>
      <c r="BJ365">
        <f>$C365*BJ364</f>
        <v/>
      </c>
      <c r="BK365">
        <f>$C365*BK364</f>
        <v/>
      </c>
      <c r="BL365">
        <f>$C365*BL364</f>
        <v/>
      </c>
      <c r="BM365">
        <f>$C365*BM364</f>
        <v/>
      </c>
      <c r="BN365">
        <f>$C365*BN364</f>
        <v/>
      </c>
      <c r="BO365">
        <f>$C365*BO364</f>
        <v/>
      </c>
      <c r="BP365">
        <f>$C365*BP364</f>
        <v/>
      </c>
      <c r="BQ365">
        <f>$C365*BQ364</f>
        <v/>
      </c>
      <c r="BR365">
        <f>$C365*BR364</f>
        <v/>
      </c>
      <c r="BS365">
        <f>$C365*BS364</f>
        <v/>
      </c>
      <c r="BT365">
        <f>$C365*BT364</f>
        <v/>
      </c>
      <c r="BU365">
        <f>$C365*BU364</f>
        <v/>
      </c>
      <c r="BV365">
        <f>$C365*BV364</f>
        <v/>
      </c>
      <c r="BW365">
        <f>$C365*BW364</f>
        <v/>
      </c>
      <c r="BX365">
        <f>$C365*BX364</f>
        <v/>
      </c>
      <c r="BY365">
        <f>$C365*BY364</f>
        <v/>
      </c>
      <c r="BZ365">
        <f>$C365*BZ364</f>
        <v/>
      </c>
      <c r="CA365">
        <f>$C365*CA364</f>
        <v/>
      </c>
      <c r="CB365">
        <f>$C365*CB364</f>
        <v/>
      </c>
      <c r="CC365">
        <f>$C365*CC364</f>
        <v/>
      </c>
      <c r="CD365">
        <f>$C365*CD364</f>
        <v/>
      </c>
      <c r="CE365">
        <f>$C365*CE364</f>
        <v/>
      </c>
      <c r="CF365">
        <f>$C365*CF364</f>
        <v/>
      </c>
      <c r="CG365">
        <f>$C365*CG364</f>
        <v/>
      </c>
      <c r="CH365">
        <f>$C365*CH364</f>
        <v/>
      </c>
      <c r="CI365">
        <f>$C365*CI364</f>
        <v/>
      </c>
      <c r="CJ365">
        <f>$C365*CJ364</f>
        <v/>
      </c>
      <c r="CK365">
        <f>$C365*CK364</f>
        <v/>
      </c>
      <c r="CL365">
        <f>$C365*CL364</f>
        <v/>
      </c>
      <c r="CM365">
        <f>$C365*CM364</f>
        <v/>
      </c>
      <c r="CN365">
        <f>$C365*CN364</f>
        <v/>
      </c>
      <c r="CO365">
        <f>$C365*CO364</f>
        <v/>
      </c>
      <c r="CP365">
        <f>$C365*CP364</f>
        <v/>
      </c>
      <c r="CQ365">
        <f>$C365*CQ364</f>
        <v/>
      </c>
      <c r="CR365">
        <f>$C365*CR364</f>
        <v/>
      </c>
      <c r="CS365">
        <f>$C365*CS364</f>
        <v/>
      </c>
      <c r="CT365">
        <f>$C365*CT364</f>
        <v/>
      </c>
      <c r="CU365">
        <f>$C365*CU364</f>
        <v/>
      </c>
      <c r="CV365">
        <f>$C365*CV364</f>
        <v/>
      </c>
      <c r="CW365">
        <f>$C365*CW364</f>
        <v/>
      </c>
      <c r="CX365">
        <f>$C365*CX364</f>
        <v/>
      </c>
      <c r="CY365">
        <f>$C365*CY364</f>
        <v/>
      </c>
      <c r="CZ365">
        <f>$C365*CZ364</f>
        <v/>
      </c>
      <c r="DA365">
        <f>$C365*DA364</f>
        <v/>
      </c>
      <c r="DB365">
        <f>$C365*DB364</f>
        <v/>
      </c>
      <c r="DC365">
        <f>$C365*DC364</f>
        <v/>
      </c>
    </row>
    <row r="366">
      <c r="B366" t="inlineStr">
        <is>
          <t>TSP-369</t>
        </is>
      </c>
      <c r="C366" t="inlineStr">
        <is>
          <t>No. of batches</t>
        </is>
      </c>
      <c r="D366">
        <f>IFERROR(INDEX(PP_Grid[#Data],$DD366,2),0)</f>
        <v/>
      </c>
      <c r="E366">
        <f>IFERROR(INDEX(PP_Grid[#Data],$DD366,3),0)</f>
        <v/>
      </c>
      <c r="F366">
        <f>IFERROR(INDEX(PP_Grid[#Data],$DD366,4),0)</f>
        <v/>
      </c>
      <c r="G366">
        <f>IFERROR(INDEX(PP_Grid[#Data],$DD366,5),0)</f>
        <v/>
      </c>
      <c r="H366">
        <f>IFERROR(INDEX(PP_Grid[#Data],$DD366,6),0)</f>
        <v/>
      </c>
      <c r="I366">
        <f>IFERROR(INDEX(PP_Grid[#Data],$DD366,7),0)</f>
        <v/>
      </c>
      <c r="J366">
        <f>IFERROR(INDEX(PP_Grid[#Data],$DD366,8),0)</f>
        <v/>
      </c>
      <c r="K366">
        <f>IFERROR(INDEX(PP_Grid[#Data],$DD366,9),0)</f>
        <v/>
      </c>
      <c r="L366">
        <f>IFERROR(INDEX(PP_Grid[#Data],$DD366,10),0)</f>
        <v/>
      </c>
      <c r="M366">
        <f>IFERROR(INDEX(PP_Grid[#Data],$DD366,11),0)</f>
        <v/>
      </c>
      <c r="N366">
        <f>IFERROR(INDEX(PP_Grid[#Data],$DD366,12),0)</f>
        <v/>
      </c>
      <c r="O366">
        <f>IFERROR(INDEX(PP_Grid[#Data],$DD366,13),0)</f>
        <v/>
      </c>
      <c r="P366">
        <f>IFERROR(INDEX(PP_Grid[#Data],$DD366,14),0)</f>
        <v/>
      </c>
      <c r="Q366">
        <f>IFERROR(INDEX(PP_Grid[#Data],$DD366,15),0)</f>
        <v/>
      </c>
      <c r="R366">
        <f>IFERROR(INDEX(PP_Grid[#Data],$DD366,16),0)</f>
        <v/>
      </c>
      <c r="S366">
        <f>IFERROR(INDEX(PP_Grid[#Data],$DD366,17),0)</f>
        <v/>
      </c>
      <c r="T366">
        <f>IFERROR(INDEX(PP_Grid[#Data],$DD366,18),0)</f>
        <v/>
      </c>
      <c r="U366">
        <f>IFERROR(INDEX(PP_Grid[#Data],$DD366,19),0)</f>
        <v/>
      </c>
      <c r="V366">
        <f>IFERROR(INDEX(PP_Grid[#Data],$DD366,20),0)</f>
        <v/>
      </c>
      <c r="W366">
        <f>IFERROR(INDEX(PP_Grid[#Data],$DD366,21),0)</f>
        <v/>
      </c>
      <c r="X366">
        <f>IFERROR(INDEX(PP_Grid[#Data],$DD366,22),0)</f>
        <v/>
      </c>
      <c r="Y366">
        <f>IFERROR(INDEX(PP_Grid[#Data],$DD366,23),0)</f>
        <v/>
      </c>
      <c r="Z366">
        <f>IFERROR(INDEX(PP_Grid[#Data],$DD366,24),0)</f>
        <v/>
      </c>
      <c r="AA366">
        <f>IFERROR(INDEX(PP_Grid[#Data],$DD366,25),0)</f>
        <v/>
      </c>
      <c r="AB366">
        <f>IFERROR(INDEX(PP_Grid[#Data],$DD366,26),0)</f>
        <v/>
      </c>
      <c r="AC366">
        <f>IFERROR(INDEX(PP_Grid[#Data],$DD366,27),0)</f>
        <v/>
      </c>
      <c r="AD366">
        <f>IFERROR(INDEX(PP_Grid[#Data],$DD366,28),0)</f>
        <v/>
      </c>
      <c r="AE366">
        <f>IFERROR(INDEX(PP_Grid[#Data],$DD366,29),0)</f>
        <v/>
      </c>
      <c r="AF366">
        <f>IFERROR(INDEX(PP_Grid[#Data],$DD366,30),0)</f>
        <v/>
      </c>
      <c r="AG366">
        <f>IFERROR(INDEX(PP_Grid[#Data],$DD366,31),0)</f>
        <v/>
      </c>
      <c r="AH366">
        <f>IFERROR(INDEX(PP_Grid[#Data],$DD366,32),0)</f>
        <v/>
      </c>
      <c r="AI366">
        <f>IFERROR(INDEX(PP_Grid[#Data],$DD366,33),0)</f>
        <v/>
      </c>
      <c r="AJ366">
        <f>IFERROR(INDEX(PP_Grid[#Data],$DD366,34),0)</f>
        <v/>
      </c>
      <c r="AK366">
        <f>IFERROR(INDEX(PP_Grid[#Data],$DD366,35),0)</f>
        <v/>
      </c>
      <c r="AL366">
        <f>IFERROR(INDEX(PP_Grid[#Data],$DD366,36),0)</f>
        <v/>
      </c>
      <c r="AM366">
        <f>IFERROR(INDEX(PP_Grid[#Data],$DD366,37),0)</f>
        <v/>
      </c>
      <c r="AN366">
        <f>IFERROR(INDEX(PP_Grid[#Data],$DD366,38),0)</f>
        <v/>
      </c>
      <c r="AO366">
        <f>IFERROR(INDEX(PP_Grid[#Data],$DD366,39),0)</f>
        <v/>
      </c>
      <c r="AP366">
        <f>IFERROR(INDEX(PP_Grid[#Data],$DD366,40),0)</f>
        <v/>
      </c>
      <c r="AQ366">
        <f>IFERROR(INDEX(PP_Grid[#Data],$DD366,41),0)</f>
        <v/>
      </c>
      <c r="AR366">
        <f>IFERROR(INDEX(PP_Grid[#Data],$DD366,42),0)</f>
        <v/>
      </c>
      <c r="AS366">
        <f>IFERROR(INDEX(PP_Grid[#Data],$DD366,43),0)</f>
        <v/>
      </c>
      <c r="AT366">
        <f>IFERROR(INDEX(PP_Grid[#Data],$DD366,44),0)</f>
        <v/>
      </c>
      <c r="AU366">
        <f>IFERROR(INDEX(PP_Grid[#Data],$DD366,45),0)</f>
        <v/>
      </c>
      <c r="AV366">
        <f>IFERROR(INDEX(PP_Grid[#Data],$DD366,46),0)</f>
        <v/>
      </c>
      <c r="AW366">
        <f>IFERROR(INDEX(PP_Grid[#Data],$DD366,47),0)</f>
        <v/>
      </c>
      <c r="AX366">
        <f>IFERROR(INDEX(PP_Grid[#Data],$DD366,48),0)</f>
        <v/>
      </c>
      <c r="AY366">
        <f>IFERROR(INDEX(PP_Grid[#Data],$DD366,49),0)</f>
        <v/>
      </c>
      <c r="AZ366">
        <f>IFERROR(INDEX(PP_Grid[#Data],$DD366,50),0)</f>
        <v/>
      </c>
      <c r="BA366">
        <f>IFERROR(INDEX(PP_Grid[#Data],$DD366,51),0)</f>
        <v/>
      </c>
      <c r="BB366">
        <f>IFERROR(INDEX(PP_Grid[#Data],$DD366,52),0)</f>
        <v/>
      </c>
      <c r="BC366">
        <f>IFERROR(INDEX(PP_Grid[#Data],$DD366,53),0)</f>
        <v/>
      </c>
      <c r="BD366">
        <f>IFERROR(INDEX(PP_Grid[#Data],$DD366,54),0)</f>
        <v/>
      </c>
      <c r="BE366">
        <f>IFERROR(INDEX(PP_Grid[#Data],$DD366,55),0)</f>
        <v/>
      </c>
      <c r="BF366">
        <f>IFERROR(INDEX(PP_Grid[#Data],$DD366,56),0)</f>
        <v/>
      </c>
      <c r="BG366">
        <f>IFERROR(INDEX(PP_Grid[#Data],$DD366,57),0)</f>
        <v/>
      </c>
      <c r="BH366">
        <f>IFERROR(INDEX(PP_Grid[#Data],$DD366,58),0)</f>
        <v/>
      </c>
      <c r="BI366">
        <f>IFERROR(INDEX(PP_Grid[#Data],$DD366,59),0)</f>
        <v/>
      </c>
      <c r="BJ366">
        <f>IFERROR(INDEX(PP_Grid[#Data],$DD366,60),0)</f>
        <v/>
      </c>
      <c r="BK366">
        <f>IFERROR(INDEX(PP_Grid[#Data],$DD366,61),0)</f>
        <v/>
      </c>
      <c r="BL366">
        <f>IFERROR(INDEX(PP_Grid[#Data],$DD366,62),0)</f>
        <v/>
      </c>
      <c r="BM366">
        <f>IFERROR(INDEX(PP_Grid[#Data],$DD366,63),0)</f>
        <v/>
      </c>
      <c r="BN366">
        <f>IFERROR(INDEX(PP_Grid[#Data],$DD366,64),0)</f>
        <v/>
      </c>
      <c r="BO366">
        <f>IFERROR(INDEX(PP_Grid[#Data],$DD366,65),0)</f>
        <v/>
      </c>
      <c r="BP366">
        <f>IFERROR(INDEX(PP_Grid[#Data],$DD366,66),0)</f>
        <v/>
      </c>
      <c r="BQ366">
        <f>IFERROR(INDEX(PP_Grid[#Data],$DD366,67),0)</f>
        <v/>
      </c>
      <c r="BR366">
        <f>IFERROR(INDEX(PP_Grid[#Data],$DD366,68),0)</f>
        <v/>
      </c>
      <c r="BS366">
        <f>IFERROR(INDEX(PP_Grid[#Data],$DD366,69),0)</f>
        <v/>
      </c>
      <c r="BT366">
        <f>IFERROR(INDEX(PP_Grid[#Data],$DD366,70),0)</f>
        <v/>
      </c>
      <c r="BU366">
        <f>IFERROR(INDEX(PP_Grid[#Data],$DD366,71),0)</f>
        <v/>
      </c>
      <c r="BV366">
        <f>IFERROR(INDEX(PP_Grid[#Data],$DD366,72),0)</f>
        <v/>
      </c>
      <c r="BW366">
        <f>IFERROR(INDEX(PP_Grid[#Data],$DD366,73),0)</f>
        <v/>
      </c>
      <c r="BX366">
        <f>IFERROR(INDEX(PP_Grid[#Data],$DD366,74),0)</f>
        <v/>
      </c>
      <c r="BY366">
        <f>IFERROR(INDEX(PP_Grid[#Data],$DD366,75),0)</f>
        <v/>
      </c>
      <c r="BZ366">
        <f>IFERROR(INDEX(PP_Grid[#Data],$DD366,76),0)</f>
        <v/>
      </c>
      <c r="CA366">
        <f>IFERROR(INDEX(PP_Grid[#Data],$DD366,77),0)</f>
        <v/>
      </c>
      <c r="CB366">
        <f>IFERROR(INDEX(PP_Grid[#Data],$DD366,78),0)</f>
        <v/>
      </c>
      <c r="CC366">
        <f>IFERROR(INDEX(PP_Grid[#Data],$DD366,79),0)</f>
        <v/>
      </c>
      <c r="CD366">
        <f>IFERROR(INDEX(PP_Grid[#Data],$DD366,80),0)</f>
        <v/>
      </c>
      <c r="CE366">
        <f>IFERROR(INDEX(PP_Grid[#Data],$DD366,81),0)</f>
        <v/>
      </c>
      <c r="CF366">
        <f>IFERROR(INDEX(PP_Grid[#Data],$DD366,82),0)</f>
        <v/>
      </c>
      <c r="CG366">
        <f>IFERROR(INDEX(PP_Grid[#Data],$DD366,83),0)</f>
        <v/>
      </c>
      <c r="CH366">
        <f>IFERROR(INDEX(PP_Grid[#Data],$DD366,84),0)</f>
        <v/>
      </c>
      <c r="CI366">
        <f>IFERROR(INDEX(PP_Grid[#Data],$DD366,85),0)</f>
        <v/>
      </c>
      <c r="CJ366">
        <f>IFERROR(INDEX(PP_Grid[#Data],$DD366,86),0)</f>
        <v/>
      </c>
      <c r="CK366">
        <f>IFERROR(INDEX(PP_Grid[#Data],$DD366,87),0)</f>
        <v/>
      </c>
      <c r="CL366">
        <f>IFERROR(INDEX(PP_Grid[#Data],$DD366,88),0)</f>
        <v/>
      </c>
      <c r="CM366">
        <f>IFERROR(INDEX(PP_Grid[#Data],$DD366,89),0)</f>
        <v/>
      </c>
      <c r="CN366">
        <f>IFERROR(INDEX(PP_Grid[#Data],$DD366,90),0)</f>
        <v/>
      </c>
      <c r="CO366">
        <f>IFERROR(INDEX(PP_Grid[#Data],$DD366,91),0)</f>
        <v/>
      </c>
      <c r="CP366">
        <f>IFERROR(INDEX(PP_Grid[#Data],$DD366,92),0)</f>
        <v/>
      </c>
      <c r="CQ366">
        <f>IFERROR(INDEX(PP_Grid[#Data],$DD366,93),0)</f>
        <v/>
      </c>
      <c r="CR366">
        <f>IFERROR(INDEX(PP_Grid[#Data],$DD366,94),0)</f>
        <v/>
      </c>
      <c r="CS366">
        <f>IFERROR(INDEX(PP_Grid[#Data],$DD366,95),0)</f>
        <v/>
      </c>
      <c r="CT366">
        <f>IFERROR(INDEX(PP_Grid[#Data],$DD366,96),0)</f>
        <v/>
      </c>
      <c r="CU366">
        <f>IFERROR(INDEX(PP_Grid[#Data],$DD366,97),0)</f>
        <v/>
      </c>
      <c r="CV366">
        <f>IFERROR(INDEX(PP_Grid[#Data],$DD366,98),0)</f>
        <v/>
      </c>
      <c r="CW366">
        <f>IFERROR(INDEX(PP_Grid[#Data],$DD366,99),0)</f>
        <v/>
      </c>
      <c r="CX366">
        <f>IFERROR(INDEX(PP_Grid[#Data],$DD366,100),0)</f>
        <v/>
      </c>
      <c r="CY366">
        <f>IFERROR(INDEX(PP_Grid[#Data],$DD366,101),0)</f>
        <v/>
      </c>
      <c r="CZ366">
        <f>IFERROR(INDEX(PP_Grid[#Data],$DD366,102),0)</f>
        <v/>
      </c>
      <c r="DA366">
        <f>IFERROR(INDEX(PP_Grid[#Data],$DD366,103),0)</f>
        <v/>
      </c>
      <c r="DB366">
        <f>IFERROR(INDEX(PP_Grid[#Data],$DD366,104),0)</f>
        <v/>
      </c>
      <c r="DC366">
        <f>IFERROR(INDEX(PP_Grid[#Data],$DD366,105),0)</f>
        <v/>
      </c>
      <c r="DD366" s="7">
        <f>IFERROR(MATCH($B366,PP_Grid[Intermediate],0),99999)</f>
        <v/>
      </c>
    </row>
    <row r="367">
      <c r="B367" t="inlineStr">
        <is>
          <t>使用量(kg)</t>
        </is>
      </c>
      <c r="C367">
        <f>SUMIFS(M_BOM[RM_Qty_Per_Batch],M_BOM[Intermediate],$B366,M_BOM[Part Name],$A343)</f>
        <v/>
      </c>
      <c r="D367">
        <f>$C367*D366</f>
        <v/>
      </c>
      <c r="E367">
        <f>$C367*E366</f>
        <v/>
      </c>
      <c r="F367">
        <f>$C367*F366</f>
        <v/>
      </c>
      <c r="G367">
        <f>$C367*G366</f>
        <v/>
      </c>
      <c r="H367">
        <f>$C367*H366</f>
        <v/>
      </c>
      <c r="I367">
        <f>$C367*I366</f>
        <v/>
      </c>
      <c r="J367">
        <f>$C367*J366</f>
        <v/>
      </c>
      <c r="K367">
        <f>$C367*K366</f>
        <v/>
      </c>
      <c r="L367">
        <f>$C367*L366</f>
        <v/>
      </c>
      <c r="M367">
        <f>$C367*M366</f>
        <v/>
      </c>
      <c r="N367">
        <f>$C367*N366</f>
        <v/>
      </c>
      <c r="O367">
        <f>$C367*O366</f>
        <v/>
      </c>
      <c r="P367">
        <f>$C367*P366</f>
        <v/>
      </c>
      <c r="Q367">
        <f>$C367*Q366</f>
        <v/>
      </c>
      <c r="R367">
        <f>$C367*R366</f>
        <v/>
      </c>
      <c r="S367">
        <f>$C367*S366</f>
        <v/>
      </c>
      <c r="T367">
        <f>$C367*T366</f>
        <v/>
      </c>
      <c r="U367">
        <f>$C367*U366</f>
        <v/>
      </c>
      <c r="V367">
        <f>$C367*V366</f>
        <v/>
      </c>
      <c r="W367">
        <f>$C367*W366</f>
        <v/>
      </c>
      <c r="X367">
        <f>$C367*X366</f>
        <v/>
      </c>
      <c r="Y367">
        <f>$C367*Y366</f>
        <v/>
      </c>
      <c r="Z367">
        <f>$C367*Z366</f>
        <v/>
      </c>
      <c r="AA367">
        <f>$C367*AA366</f>
        <v/>
      </c>
      <c r="AB367">
        <f>$C367*AB366</f>
        <v/>
      </c>
      <c r="AC367">
        <f>$C367*AC366</f>
        <v/>
      </c>
      <c r="AD367">
        <f>$C367*AD366</f>
        <v/>
      </c>
      <c r="AE367">
        <f>$C367*AE366</f>
        <v/>
      </c>
      <c r="AF367">
        <f>$C367*AF366</f>
        <v/>
      </c>
      <c r="AG367">
        <f>$C367*AG366</f>
        <v/>
      </c>
      <c r="AH367">
        <f>$C367*AH366</f>
        <v/>
      </c>
      <c r="AI367">
        <f>$C367*AI366</f>
        <v/>
      </c>
      <c r="AJ367">
        <f>$C367*AJ366</f>
        <v/>
      </c>
      <c r="AK367">
        <f>$C367*AK366</f>
        <v/>
      </c>
      <c r="AL367">
        <f>$C367*AL366</f>
        <v/>
      </c>
      <c r="AM367">
        <f>$C367*AM366</f>
        <v/>
      </c>
      <c r="AN367">
        <f>$C367*AN366</f>
        <v/>
      </c>
      <c r="AO367">
        <f>$C367*AO366</f>
        <v/>
      </c>
      <c r="AP367">
        <f>$C367*AP366</f>
        <v/>
      </c>
      <c r="AQ367">
        <f>$C367*AQ366</f>
        <v/>
      </c>
      <c r="AR367">
        <f>$C367*AR366</f>
        <v/>
      </c>
      <c r="AS367">
        <f>$C367*AS366</f>
        <v/>
      </c>
      <c r="AT367">
        <f>$C367*AT366</f>
        <v/>
      </c>
      <c r="AU367">
        <f>$C367*AU366</f>
        <v/>
      </c>
      <c r="AV367">
        <f>$C367*AV366</f>
        <v/>
      </c>
      <c r="AW367">
        <f>$C367*AW366</f>
        <v/>
      </c>
      <c r="AX367">
        <f>$C367*AX366</f>
        <v/>
      </c>
      <c r="AY367">
        <f>$C367*AY366</f>
        <v/>
      </c>
      <c r="AZ367">
        <f>$C367*AZ366</f>
        <v/>
      </c>
      <c r="BA367">
        <f>$C367*BA366</f>
        <v/>
      </c>
      <c r="BB367">
        <f>$C367*BB366</f>
        <v/>
      </c>
      <c r="BC367">
        <f>$C367*BC366</f>
        <v/>
      </c>
      <c r="BD367">
        <f>$C367*BD366</f>
        <v/>
      </c>
      <c r="BE367">
        <f>$C367*BE366</f>
        <v/>
      </c>
      <c r="BF367">
        <f>$C367*BF366</f>
        <v/>
      </c>
      <c r="BG367">
        <f>$C367*BG366</f>
        <v/>
      </c>
      <c r="BH367">
        <f>$C367*BH366</f>
        <v/>
      </c>
      <c r="BI367">
        <f>$C367*BI366</f>
        <v/>
      </c>
      <c r="BJ367">
        <f>$C367*BJ366</f>
        <v/>
      </c>
      <c r="BK367">
        <f>$C367*BK366</f>
        <v/>
      </c>
      <c r="BL367">
        <f>$C367*BL366</f>
        <v/>
      </c>
      <c r="BM367">
        <f>$C367*BM366</f>
        <v/>
      </c>
      <c r="BN367">
        <f>$C367*BN366</f>
        <v/>
      </c>
      <c r="BO367">
        <f>$C367*BO366</f>
        <v/>
      </c>
      <c r="BP367">
        <f>$C367*BP366</f>
        <v/>
      </c>
      <c r="BQ367">
        <f>$C367*BQ366</f>
        <v/>
      </c>
      <c r="BR367">
        <f>$C367*BR366</f>
        <v/>
      </c>
      <c r="BS367">
        <f>$C367*BS366</f>
        <v/>
      </c>
      <c r="BT367">
        <f>$C367*BT366</f>
        <v/>
      </c>
      <c r="BU367">
        <f>$C367*BU366</f>
        <v/>
      </c>
      <c r="BV367">
        <f>$C367*BV366</f>
        <v/>
      </c>
      <c r="BW367">
        <f>$C367*BW366</f>
        <v/>
      </c>
      <c r="BX367">
        <f>$C367*BX366</f>
        <v/>
      </c>
      <c r="BY367">
        <f>$C367*BY366</f>
        <v/>
      </c>
      <c r="BZ367">
        <f>$C367*BZ366</f>
        <v/>
      </c>
      <c r="CA367">
        <f>$C367*CA366</f>
        <v/>
      </c>
      <c r="CB367">
        <f>$C367*CB366</f>
        <v/>
      </c>
      <c r="CC367">
        <f>$C367*CC366</f>
        <v/>
      </c>
      <c r="CD367">
        <f>$C367*CD366</f>
        <v/>
      </c>
      <c r="CE367">
        <f>$C367*CE366</f>
        <v/>
      </c>
      <c r="CF367">
        <f>$C367*CF366</f>
        <v/>
      </c>
      <c r="CG367">
        <f>$C367*CG366</f>
        <v/>
      </c>
      <c r="CH367">
        <f>$C367*CH366</f>
        <v/>
      </c>
      <c r="CI367">
        <f>$C367*CI366</f>
        <v/>
      </c>
      <c r="CJ367">
        <f>$C367*CJ366</f>
        <v/>
      </c>
      <c r="CK367">
        <f>$C367*CK366</f>
        <v/>
      </c>
      <c r="CL367">
        <f>$C367*CL366</f>
        <v/>
      </c>
      <c r="CM367">
        <f>$C367*CM366</f>
        <v/>
      </c>
      <c r="CN367">
        <f>$C367*CN366</f>
        <v/>
      </c>
      <c r="CO367">
        <f>$C367*CO366</f>
        <v/>
      </c>
      <c r="CP367">
        <f>$C367*CP366</f>
        <v/>
      </c>
      <c r="CQ367">
        <f>$C367*CQ366</f>
        <v/>
      </c>
      <c r="CR367">
        <f>$C367*CR366</f>
        <v/>
      </c>
      <c r="CS367">
        <f>$C367*CS366</f>
        <v/>
      </c>
      <c r="CT367">
        <f>$C367*CT366</f>
        <v/>
      </c>
      <c r="CU367">
        <f>$C367*CU366</f>
        <v/>
      </c>
      <c r="CV367">
        <f>$C367*CV366</f>
        <v/>
      </c>
      <c r="CW367">
        <f>$C367*CW366</f>
        <v/>
      </c>
      <c r="CX367">
        <f>$C367*CX366</f>
        <v/>
      </c>
      <c r="CY367">
        <f>$C367*CY366</f>
        <v/>
      </c>
      <c r="CZ367">
        <f>$C367*CZ366</f>
        <v/>
      </c>
      <c r="DA367">
        <f>$C367*DA366</f>
        <v/>
      </c>
      <c r="DB367">
        <f>$C367*DB366</f>
        <v/>
      </c>
      <c r="DC367">
        <f>$C367*DC366</f>
        <v/>
      </c>
    </row>
    <row r="368">
      <c r="B368" t="inlineStr">
        <is>
          <t>TSP-402</t>
        </is>
      </c>
      <c r="C368" t="inlineStr">
        <is>
          <t>No. of batches</t>
        </is>
      </c>
      <c r="D368">
        <f>IFERROR(INDEX(PP_Grid[#Data],$DD368,2),0)</f>
        <v/>
      </c>
      <c r="E368">
        <f>IFERROR(INDEX(PP_Grid[#Data],$DD368,3),0)</f>
        <v/>
      </c>
      <c r="F368">
        <f>IFERROR(INDEX(PP_Grid[#Data],$DD368,4),0)</f>
        <v/>
      </c>
      <c r="G368">
        <f>IFERROR(INDEX(PP_Grid[#Data],$DD368,5),0)</f>
        <v/>
      </c>
      <c r="H368">
        <f>IFERROR(INDEX(PP_Grid[#Data],$DD368,6),0)</f>
        <v/>
      </c>
      <c r="I368">
        <f>IFERROR(INDEX(PP_Grid[#Data],$DD368,7),0)</f>
        <v/>
      </c>
      <c r="J368">
        <f>IFERROR(INDEX(PP_Grid[#Data],$DD368,8),0)</f>
        <v/>
      </c>
      <c r="K368">
        <f>IFERROR(INDEX(PP_Grid[#Data],$DD368,9),0)</f>
        <v/>
      </c>
      <c r="L368">
        <f>IFERROR(INDEX(PP_Grid[#Data],$DD368,10),0)</f>
        <v/>
      </c>
      <c r="M368">
        <f>IFERROR(INDEX(PP_Grid[#Data],$DD368,11),0)</f>
        <v/>
      </c>
      <c r="N368">
        <f>IFERROR(INDEX(PP_Grid[#Data],$DD368,12),0)</f>
        <v/>
      </c>
      <c r="O368">
        <f>IFERROR(INDEX(PP_Grid[#Data],$DD368,13),0)</f>
        <v/>
      </c>
      <c r="P368">
        <f>IFERROR(INDEX(PP_Grid[#Data],$DD368,14),0)</f>
        <v/>
      </c>
      <c r="Q368">
        <f>IFERROR(INDEX(PP_Grid[#Data],$DD368,15),0)</f>
        <v/>
      </c>
      <c r="R368">
        <f>IFERROR(INDEX(PP_Grid[#Data],$DD368,16),0)</f>
        <v/>
      </c>
      <c r="S368">
        <f>IFERROR(INDEX(PP_Grid[#Data],$DD368,17),0)</f>
        <v/>
      </c>
      <c r="T368">
        <f>IFERROR(INDEX(PP_Grid[#Data],$DD368,18),0)</f>
        <v/>
      </c>
      <c r="U368">
        <f>IFERROR(INDEX(PP_Grid[#Data],$DD368,19),0)</f>
        <v/>
      </c>
      <c r="V368">
        <f>IFERROR(INDEX(PP_Grid[#Data],$DD368,20),0)</f>
        <v/>
      </c>
      <c r="W368">
        <f>IFERROR(INDEX(PP_Grid[#Data],$DD368,21),0)</f>
        <v/>
      </c>
      <c r="X368">
        <f>IFERROR(INDEX(PP_Grid[#Data],$DD368,22),0)</f>
        <v/>
      </c>
      <c r="Y368">
        <f>IFERROR(INDEX(PP_Grid[#Data],$DD368,23),0)</f>
        <v/>
      </c>
      <c r="Z368">
        <f>IFERROR(INDEX(PP_Grid[#Data],$DD368,24),0)</f>
        <v/>
      </c>
      <c r="AA368">
        <f>IFERROR(INDEX(PP_Grid[#Data],$DD368,25),0)</f>
        <v/>
      </c>
      <c r="AB368">
        <f>IFERROR(INDEX(PP_Grid[#Data],$DD368,26),0)</f>
        <v/>
      </c>
      <c r="AC368">
        <f>IFERROR(INDEX(PP_Grid[#Data],$DD368,27),0)</f>
        <v/>
      </c>
      <c r="AD368">
        <f>IFERROR(INDEX(PP_Grid[#Data],$DD368,28),0)</f>
        <v/>
      </c>
      <c r="AE368">
        <f>IFERROR(INDEX(PP_Grid[#Data],$DD368,29),0)</f>
        <v/>
      </c>
      <c r="AF368">
        <f>IFERROR(INDEX(PP_Grid[#Data],$DD368,30),0)</f>
        <v/>
      </c>
      <c r="AG368">
        <f>IFERROR(INDEX(PP_Grid[#Data],$DD368,31),0)</f>
        <v/>
      </c>
      <c r="AH368">
        <f>IFERROR(INDEX(PP_Grid[#Data],$DD368,32),0)</f>
        <v/>
      </c>
      <c r="AI368">
        <f>IFERROR(INDEX(PP_Grid[#Data],$DD368,33),0)</f>
        <v/>
      </c>
      <c r="AJ368">
        <f>IFERROR(INDEX(PP_Grid[#Data],$DD368,34),0)</f>
        <v/>
      </c>
      <c r="AK368">
        <f>IFERROR(INDEX(PP_Grid[#Data],$DD368,35),0)</f>
        <v/>
      </c>
      <c r="AL368">
        <f>IFERROR(INDEX(PP_Grid[#Data],$DD368,36),0)</f>
        <v/>
      </c>
      <c r="AM368">
        <f>IFERROR(INDEX(PP_Grid[#Data],$DD368,37),0)</f>
        <v/>
      </c>
      <c r="AN368">
        <f>IFERROR(INDEX(PP_Grid[#Data],$DD368,38),0)</f>
        <v/>
      </c>
      <c r="AO368">
        <f>IFERROR(INDEX(PP_Grid[#Data],$DD368,39),0)</f>
        <v/>
      </c>
      <c r="AP368">
        <f>IFERROR(INDEX(PP_Grid[#Data],$DD368,40),0)</f>
        <v/>
      </c>
      <c r="AQ368">
        <f>IFERROR(INDEX(PP_Grid[#Data],$DD368,41),0)</f>
        <v/>
      </c>
      <c r="AR368">
        <f>IFERROR(INDEX(PP_Grid[#Data],$DD368,42),0)</f>
        <v/>
      </c>
      <c r="AS368">
        <f>IFERROR(INDEX(PP_Grid[#Data],$DD368,43),0)</f>
        <v/>
      </c>
      <c r="AT368">
        <f>IFERROR(INDEX(PP_Grid[#Data],$DD368,44),0)</f>
        <v/>
      </c>
      <c r="AU368">
        <f>IFERROR(INDEX(PP_Grid[#Data],$DD368,45),0)</f>
        <v/>
      </c>
      <c r="AV368">
        <f>IFERROR(INDEX(PP_Grid[#Data],$DD368,46),0)</f>
        <v/>
      </c>
      <c r="AW368">
        <f>IFERROR(INDEX(PP_Grid[#Data],$DD368,47),0)</f>
        <v/>
      </c>
      <c r="AX368">
        <f>IFERROR(INDEX(PP_Grid[#Data],$DD368,48),0)</f>
        <v/>
      </c>
      <c r="AY368">
        <f>IFERROR(INDEX(PP_Grid[#Data],$DD368,49),0)</f>
        <v/>
      </c>
      <c r="AZ368">
        <f>IFERROR(INDEX(PP_Grid[#Data],$DD368,50),0)</f>
        <v/>
      </c>
      <c r="BA368">
        <f>IFERROR(INDEX(PP_Grid[#Data],$DD368,51),0)</f>
        <v/>
      </c>
      <c r="BB368">
        <f>IFERROR(INDEX(PP_Grid[#Data],$DD368,52),0)</f>
        <v/>
      </c>
      <c r="BC368">
        <f>IFERROR(INDEX(PP_Grid[#Data],$DD368,53),0)</f>
        <v/>
      </c>
      <c r="BD368">
        <f>IFERROR(INDEX(PP_Grid[#Data],$DD368,54),0)</f>
        <v/>
      </c>
      <c r="BE368">
        <f>IFERROR(INDEX(PP_Grid[#Data],$DD368,55),0)</f>
        <v/>
      </c>
      <c r="BF368">
        <f>IFERROR(INDEX(PP_Grid[#Data],$DD368,56),0)</f>
        <v/>
      </c>
      <c r="BG368">
        <f>IFERROR(INDEX(PP_Grid[#Data],$DD368,57),0)</f>
        <v/>
      </c>
      <c r="BH368">
        <f>IFERROR(INDEX(PP_Grid[#Data],$DD368,58),0)</f>
        <v/>
      </c>
      <c r="BI368">
        <f>IFERROR(INDEX(PP_Grid[#Data],$DD368,59),0)</f>
        <v/>
      </c>
      <c r="BJ368">
        <f>IFERROR(INDEX(PP_Grid[#Data],$DD368,60),0)</f>
        <v/>
      </c>
      <c r="BK368">
        <f>IFERROR(INDEX(PP_Grid[#Data],$DD368,61),0)</f>
        <v/>
      </c>
      <c r="BL368">
        <f>IFERROR(INDEX(PP_Grid[#Data],$DD368,62),0)</f>
        <v/>
      </c>
      <c r="BM368">
        <f>IFERROR(INDEX(PP_Grid[#Data],$DD368,63),0)</f>
        <v/>
      </c>
      <c r="BN368">
        <f>IFERROR(INDEX(PP_Grid[#Data],$DD368,64),0)</f>
        <v/>
      </c>
      <c r="BO368">
        <f>IFERROR(INDEX(PP_Grid[#Data],$DD368,65),0)</f>
        <v/>
      </c>
      <c r="BP368">
        <f>IFERROR(INDEX(PP_Grid[#Data],$DD368,66),0)</f>
        <v/>
      </c>
      <c r="BQ368">
        <f>IFERROR(INDEX(PP_Grid[#Data],$DD368,67),0)</f>
        <v/>
      </c>
      <c r="BR368">
        <f>IFERROR(INDEX(PP_Grid[#Data],$DD368,68),0)</f>
        <v/>
      </c>
      <c r="BS368">
        <f>IFERROR(INDEX(PP_Grid[#Data],$DD368,69),0)</f>
        <v/>
      </c>
      <c r="BT368">
        <f>IFERROR(INDEX(PP_Grid[#Data],$DD368,70),0)</f>
        <v/>
      </c>
      <c r="BU368">
        <f>IFERROR(INDEX(PP_Grid[#Data],$DD368,71),0)</f>
        <v/>
      </c>
      <c r="BV368">
        <f>IFERROR(INDEX(PP_Grid[#Data],$DD368,72),0)</f>
        <v/>
      </c>
      <c r="BW368">
        <f>IFERROR(INDEX(PP_Grid[#Data],$DD368,73),0)</f>
        <v/>
      </c>
      <c r="BX368">
        <f>IFERROR(INDEX(PP_Grid[#Data],$DD368,74),0)</f>
        <v/>
      </c>
      <c r="BY368">
        <f>IFERROR(INDEX(PP_Grid[#Data],$DD368,75),0)</f>
        <v/>
      </c>
      <c r="BZ368">
        <f>IFERROR(INDEX(PP_Grid[#Data],$DD368,76),0)</f>
        <v/>
      </c>
      <c r="CA368">
        <f>IFERROR(INDEX(PP_Grid[#Data],$DD368,77),0)</f>
        <v/>
      </c>
      <c r="CB368">
        <f>IFERROR(INDEX(PP_Grid[#Data],$DD368,78),0)</f>
        <v/>
      </c>
      <c r="CC368">
        <f>IFERROR(INDEX(PP_Grid[#Data],$DD368,79),0)</f>
        <v/>
      </c>
      <c r="CD368">
        <f>IFERROR(INDEX(PP_Grid[#Data],$DD368,80),0)</f>
        <v/>
      </c>
      <c r="CE368">
        <f>IFERROR(INDEX(PP_Grid[#Data],$DD368,81),0)</f>
        <v/>
      </c>
      <c r="CF368">
        <f>IFERROR(INDEX(PP_Grid[#Data],$DD368,82),0)</f>
        <v/>
      </c>
      <c r="CG368">
        <f>IFERROR(INDEX(PP_Grid[#Data],$DD368,83),0)</f>
        <v/>
      </c>
      <c r="CH368">
        <f>IFERROR(INDEX(PP_Grid[#Data],$DD368,84),0)</f>
        <v/>
      </c>
      <c r="CI368">
        <f>IFERROR(INDEX(PP_Grid[#Data],$DD368,85),0)</f>
        <v/>
      </c>
      <c r="CJ368">
        <f>IFERROR(INDEX(PP_Grid[#Data],$DD368,86),0)</f>
        <v/>
      </c>
      <c r="CK368">
        <f>IFERROR(INDEX(PP_Grid[#Data],$DD368,87),0)</f>
        <v/>
      </c>
      <c r="CL368">
        <f>IFERROR(INDEX(PP_Grid[#Data],$DD368,88),0)</f>
        <v/>
      </c>
      <c r="CM368">
        <f>IFERROR(INDEX(PP_Grid[#Data],$DD368,89),0)</f>
        <v/>
      </c>
      <c r="CN368">
        <f>IFERROR(INDEX(PP_Grid[#Data],$DD368,90),0)</f>
        <v/>
      </c>
      <c r="CO368">
        <f>IFERROR(INDEX(PP_Grid[#Data],$DD368,91),0)</f>
        <v/>
      </c>
      <c r="CP368">
        <f>IFERROR(INDEX(PP_Grid[#Data],$DD368,92),0)</f>
        <v/>
      </c>
      <c r="CQ368">
        <f>IFERROR(INDEX(PP_Grid[#Data],$DD368,93),0)</f>
        <v/>
      </c>
      <c r="CR368">
        <f>IFERROR(INDEX(PP_Grid[#Data],$DD368,94),0)</f>
        <v/>
      </c>
      <c r="CS368">
        <f>IFERROR(INDEX(PP_Grid[#Data],$DD368,95),0)</f>
        <v/>
      </c>
      <c r="CT368">
        <f>IFERROR(INDEX(PP_Grid[#Data],$DD368,96),0)</f>
        <v/>
      </c>
      <c r="CU368">
        <f>IFERROR(INDEX(PP_Grid[#Data],$DD368,97),0)</f>
        <v/>
      </c>
      <c r="CV368">
        <f>IFERROR(INDEX(PP_Grid[#Data],$DD368,98),0)</f>
        <v/>
      </c>
      <c r="CW368">
        <f>IFERROR(INDEX(PP_Grid[#Data],$DD368,99),0)</f>
        <v/>
      </c>
      <c r="CX368">
        <f>IFERROR(INDEX(PP_Grid[#Data],$DD368,100),0)</f>
        <v/>
      </c>
      <c r="CY368">
        <f>IFERROR(INDEX(PP_Grid[#Data],$DD368,101),0)</f>
        <v/>
      </c>
      <c r="CZ368">
        <f>IFERROR(INDEX(PP_Grid[#Data],$DD368,102),0)</f>
        <v/>
      </c>
      <c r="DA368">
        <f>IFERROR(INDEX(PP_Grid[#Data],$DD368,103),0)</f>
        <v/>
      </c>
      <c r="DB368">
        <f>IFERROR(INDEX(PP_Grid[#Data],$DD368,104),0)</f>
        <v/>
      </c>
      <c r="DC368">
        <f>IFERROR(INDEX(PP_Grid[#Data],$DD368,105),0)</f>
        <v/>
      </c>
      <c r="DD368" s="7">
        <f>IFERROR(MATCH($B368,PP_Grid[Intermediate],0),99999)</f>
        <v/>
      </c>
    </row>
    <row r="369">
      <c r="B369" t="inlineStr">
        <is>
          <t>使用量(kg)</t>
        </is>
      </c>
      <c r="C369">
        <f>SUMIFS(M_BOM[RM_Qty_Per_Batch],M_BOM[Intermediate],$B368,M_BOM[Part Name],$A343)</f>
        <v/>
      </c>
      <c r="D369">
        <f>$C369*D368</f>
        <v/>
      </c>
      <c r="E369">
        <f>$C369*E368</f>
        <v/>
      </c>
      <c r="F369">
        <f>$C369*F368</f>
        <v/>
      </c>
      <c r="G369">
        <f>$C369*G368</f>
        <v/>
      </c>
      <c r="H369">
        <f>$C369*H368</f>
        <v/>
      </c>
      <c r="I369">
        <f>$C369*I368</f>
        <v/>
      </c>
      <c r="J369">
        <f>$C369*J368</f>
        <v/>
      </c>
      <c r="K369">
        <f>$C369*K368</f>
        <v/>
      </c>
      <c r="L369">
        <f>$C369*L368</f>
        <v/>
      </c>
      <c r="M369">
        <f>$C369*M368</f>
        <v/>
      </c>
      <c r="N369">
        <f>$C369*N368</f>
        <v/>
      </c>
      <c r="O369">
        <f>$C369*O368</f>
        <v/>
      </c>
      <c r="P369">
        <f>$C369*P368</f>
        <v/>
      </c>
      <c r="Q369">
        <f>$C369*Q368</f>
        <v/>
      </c>
      <c r="R369">
        <f>$C369*R368</f>
        <v/>
      </c>
      <c r="S369">
        <f>$C369*S368</f>
        <v/>
      </c>
      <c r="T369">
        <f>$C369*T368</f>
        <v/>
      </c>
      <c r="U369">
        <f>$C369*U368</f>
        <v/>
      </c>
      <c r="V369">
        <f>$C369*V368</f>
        <v/>
      </c>
      <c r="W369">
        <f>$C369*W368</f>
        <v/>
      </c>
      <c r="X369">
        <f>$C369*X368</f>
        <v/>
      </c>
      <c r="Y369">
        <f>$C369*Y368</f>
        <v/>
      </c>
      <c r="Z369">
        <f>$C369*Z368</f>
        <v/>
      </c>
      <c r="AA369">
        <f>$C369*AA368</f>
        <v/>
      </c>
      <c r="AB369">
        <f>$C369*AB368</f>
        <v/>
      </c>
      <c r="AC369">
        <f>$C369*AC368</f>
        <v/>
      </c>
      <c r="AD369">
        <f>$C369*AD368</f>
        <v/>
      </c>
      <c r="AE369">
        <f>$C369*AE368</f>
        <v/>
      </c>
      <c r="AF369">
        <f>$C369*AF368</f>
        <v/>
      </c>
      <c r="AG369">
        <f>$C369*AG368</f>
        <v/>
      </c>
      <c r="AH369">
        <f>$C369*AH368</f>
        <v/>
      </c>
      <c r="AI369">
        <f>$C369*AI368</f>
        <v/>
      </c>
      <c r="AJ369">
        <f>$C369*AJ368</f>
        <v/>
      </c>
      <c r="AK369">
        <f>$C369*AK368</f>
        <v/>
      </c>
      <c r="AL369">
        <f>$C369*AL368</f>
        <v/>
      </c>
      <c r="AM369">
        <f>$C369*AM368</f>
        <v/>
      </c>
      <c r="AN369">
        <f>$C369*AN368</f>
        <v/>
      </c>
      <c r="AO369">
        <f>$C369*AO368</f>
        <v/>
      </c>
      <c r="AP369">
        <f>$C369*AP368</f>
        <v/>
      </c>
      <c r="AQ369">
        <f>$C369*AQ368</f>
        <v/>
      </c>
      <c r="AR369">
        <f>$C369*AR368</f>
        <v/>
      </c>
      <c r="AS369">
        <f>$C369*AS368</f>
        <v/>
      </c>
      <c r="AT369">
        <f>$C369*AT368</f>
        <v/>
      </c>
      <c r="AU369">
        <f>$C369*AU368</f>
        <v/>
      </c>
      <c r="AV369">
        <f>$C369*AV368</f>
        <v/>
      </c>
      <c r="AW369">
        <f>$C369*AW368</f>
        <v/>
      </c>
      <c r="AX369">
        <f>$C369*AX368</f>
        <v/>
      </c>
      <c r="AY369">
        <f>$C369*AY368</f>
        <v/>
      </c>
      <c r="AZ369">
        <f>$C369*AZ368</f>
        <v/>
      </c>
      <c r="BA369">
        <f>$C369*BA368</f>
        <v/>
      </c>
      <c r="BB369">
        <f>$C369*BB368</f>
        <v/>
      </c>
      <c r="BC369">
        <f>$C369*BC368</f>
        <v/>
      </c>
      <c r="BD369">
        <f>$C369*BD368</f>
        <v/>
      </c>
      <c r="BE369">
        <f>$C369*BE368</f>
        <v/>
      </c>
      <c r="BF369">
        <f>$C369*BF368</f>
        <v/>
      </c>
      <c r="BG369">
        <f>$C369*BG368</f>
        <v/>
      </c>
      <c r="BH369">
        <f>$C369*BH368</f>
        <v/>
      </c>
      <c r="BI369">
        <f>$C369*BI368</f>
        <v/>
      </c>
      <c r="BJ369">
        <f>$C369*BJ368</f>
        <v/>
      </c>
      <c r="BK369">
        <f>$C369*BK368</f>
        <v/>
      </c>
      <c r="BL369">
        <f>$C369*BL368</f>
        <v/>
      </c>
      <c r="BM369">
        <f>$C369*BM368</f>
        <v/>
      </c>
      <c r="BN369">
        <f>$C369*BN368</f>
        <v/>
      </c>
      <c r="BO369">
        <f>$C369*BO368</f>
        <v/>
      </c>
      <c r="BP369">
        <f>$C369*BP368</f>
        <v/>
      </c>
      <c r="BQ369">
        <f>$C369*BQ368</f>
        <v/>
      </c>
      <c r="BR369">
        <f>$C369*BR368</f>
        <v/>
      </c>
      <c r="BS369">
        <f>$C369*BS368</f>
        <v/>
      </c>
      <c r="BT369">
        <f>$C369*BT368</f>
        <v/>
      </c>
      <c r="BU369">
        <f>$C369*BU368</f>
        <v/>
      </c>
      <c r="BV369">
        <f>$C369*BV368</f>
        <v/>
      </c>
      <c r="BW369">
        <f>$C369*BW368</f>
        <v/>
      </c>
      <c r="BX369">
        <f>$C369*BX368</f>
        <v/>
      </c>
      <c r="BY369">
        <f>$C369*BY368</f>
        <v/>
      </c>
      <c r="BZ369">
        <f>$C369*BZ368</f>
        <v/>
      </c>
      <c r="CA369">
        <f>$C369*CA368</f>
        <v/>
      </c>
      <c r="CB369">
        <f>$C369*CB368</f>
        <v/>
      </c>
      <c r="CC369">
        <f>$C369*CC368</f>
        <v/>
      </c>
      <c r="CD369">
        <f>$C369*CD368</f>
        <v/>
      </c>
      <c r="CE369">
        <f>$C369*CE368</f>
        <v/>
      </c>
      <c r="CF369">
        <f>$C369*CF368</f>
        <v/>
      </c>
      <c r="CG369">
        <f>$C369*CG368</f>
        <v/>
      </c>
      <c r="CH369">
        <f>$C369*CH368</f>
        <v/>
      </c>
      <c r="CI369">
        <f>$C369*CI368</f>
        <v/>
      </c>
      <c r="CJ369">
        <f>$C369*CJ368</f>
        <v/>
      </c>
      <c r="CK369">
        <f>$C369*CK368</f>
        <v/>
      </c>
      <c r="CL369">
        <f>$C369*CL368</f>
        <v/>
      </c>
      <c r="CM369">
        <f>$C369*CM368</f>
        <v/>
      </c>
      <c r="CN369">
        <f>$C369*CN368</f>
        <v/>
      </c>
      <c r="CO369">
        <f>$C369*CO368</f>
        <v/>
      </c>
      <c r="CP369">
        <f>$C369*CP368</f>
        <v/>
      </c>
      <c r="CQ369">
        <f>$C369*CQ368</f>
        <v/>
      </c>
      <c r="CR369">
        <f>$C369*CR368</f>
        <v/>
      </c>
      <c r="CS369">
        <f>$C369*CS368</f>
        <v/>
      </c>
      <c r="CT369">
        <f>$C369*CT368</f>
        <v/>
      </c>
      <c r="CU369">
        <f>$C369*CU368</f>
        <v/>
      </c>
      <c r="CV369">
        <f>$C369*CV368</f>
        <v/>
      </c>
      <c r="CW369">
        <f>$C369*CW368</f>
        <v/>
      </c>
      <c r="CX369">
        <f>$C369*CX368</f>
        <v/>
      </c>
      <c r="CY369">
        <f>$C369*CY368</f>
        <v/>
      </c>
      <c r="CZ369">
        <f>$C369*CZ368</f>
        <v/>
      </c>
      <c r="DA369">
        <f>$C369*DA368</f>
        <v/>
      </c>
      <c r="DB369">
        <f>$C369*DB368</f>
        <v/>
      </c>
      <c r="DC369">
        <f>$C369*DC368</f>
        <v/>
      </c>
    </row>
    <row r="370">
      <c r="B370" t="inlineStr">
        <is>
          <t>TSP-403</t>
        </is>
      </c>
      <c r="C370" t="inlineStr">
        <is>
          <t>No. of batches</t>
        </is>
      </c>
      <c r="D370">
        <f>IFERROR(INDEX(PP_Grid[#Data],$DD370,2),0)</f>
        <v/>
      </c>
      <c r="E370">
        <f>IFERROR(INDEX(PP_Grid[#Data],$DD370,3),0)</f>
        <v/>
      </c>
      <c r="F370">
        <f>IFERROR(INDEX(PP_Grid[#Data],$DD370,4),0)</f>
        <v/>
      </c>
      <c r="G370">
        <f>IFERROR(INDEX(PP_Grid[#Data],$DD370,5),0)</f>
        <v/>
      </c>
      <c r="H370">
        <f>IFERROR(INDEX(PP_Grid[#Data],$DD370,6),0)</f>
        <v/>
      </c>
      <c r="I370">
        <f>IFERROR(INDEX(PP_Grid[#Data],$DD370,7),0)</f>
        <v/>
      </c>
      <c r="J370">
        <f>IFERROR(INDEX(PP_Grid[#Data],$DD370,8),0)</f>
        <v/>
      </c>
      <c r="K370">
        <f>IFERROR(INDEX(PP_Grid[#Data],$DD370,9),0)</f>
        <v/>
      </c>
      <c r="L370">
        <f>IFERROR(INDEX(PP_Grid[#Data],$DD370,10),0)</f>
        <v/>
      </c>
      <c r="M370">
        <f>IFERROR(INDEX(PP_Grid[#Data],$DD370,11),0)</f>
        <v/>
      </c>
      <c r="N370">
        <f>IFERROR(INDEX(PP_Grid[#Data],$DD370,12),0)</f>
        <v/>
      </c>
      <c r="O370">
        <f>IFERROR(INDEX(PP_Grid[#Data],$DD370,13),0)</f>
        <v/>
      </c>
      <c r="P370">
        <f>IFERROR(INDEX(PP_Grid[#Data],$DD370,14),0)</f>
        <v/>
      </c>
      <c r="Q370">
        <f>IFERROR(INDEX(PP_Grid[#Data],$DD370,15),0)</f>
        <v/>
      </c>
      <c r="R370">
        <f>IFERROR(INDEX(PP_Grid[#Data],$DD370,16),0)</f>
        <v/>
      </c>
      <c r="S370">
        <f>IFERROR(INDEX(PP_Grid[#Data],$DD370,17),0)</f>
        <v/>
      </c>
      <c r="T370">
        <f>IFERROR(INDEX(PP_Grid[#Data],$DD370,18),0)</f>
        <v/>
      </c>
      <c r="U370">
        <f>IFERROR(INDEX(PP_Grid[#Data],$DD370,19),0)</f>
        <v/>
      </c>
      <c r="V370">
        <f>IFERROR(INDEX(PP_Grid[#Data],$DD370,20),0)</f>
        <v/>
      </c>
      <c r="W370">
        <f>IFERROR(INDEX(PP_Grid[#Data],$DD370,21),0)</f>
        <v/>
      </c>
      <c r="X370">
        <f>IFERROR(INDEX(PP_Grid[#Data],$DD370,22),0)</f>
        <v/>
      </c>
      <c r="Y370">
        <f>IFERROR(INDEX(PP_Grid[#Data],$DD370,23),0)</f>
        <v/>
      </c>
      <c r="Z370">
        <f>IFERROR(INDEX(PP_Grid[#Data],$DD370,24),0)</f>
        <v/>
      </c>
      <c r="AA370">
        <f>IFERROR(INDEX(PP_Grid[#Data],$DD370,25),0)</f>
        <v/>
      </c>
      <c r="AB370">
        <f>IFERROR(INDEX(PP_Grid[#Data],$DD370,26),0)</f>
        <v/>
      </c>
      <c r="AC370">
        <f>IFERROR(INDEX(PP_Grid[#Data],$DD370,27),0)</f>
        <v/>
      </c>
      <c r="AD370">
        <f>IFERROR(INDEX(PP_Grid[#Data],$DD370,28),0)</f>
        <v/>
      </c>
      <c r="AE370">
        <f>IFERROR(INDEX(PP_Grid[#Data],$DD370,29),0)</f>
        <v/>
      </c>
      <c r="AF370">
        <f>IFERROR(INDEX(PP_Grid[#Data],$DD370,30),0)</f>
        <v/>
      </c>
      <c r="AG370">
        <f>IFERROR(INDEX(PP_Grid[#Data],$DD370,31),0)</f>
        <v/>
      </c>
      <c r="AH370">
        <f>IFERROR(INDEX(PP_Grid[#Data],$DD370,32),0)</f>
        <v/>
      </c>
      <c r="AI370">
        <f>IFERROR(INDEX(PP_Grid[#Data],$DD370,33),0)</f>
        <v/>
      </c>
      <c r="AJ370">
        <f>IFERROR(INDEX(PP_Grid[#Data],$DD370,34),0)</f>
        <v/>
      </c>
      <c r="AK370">
        <f>IFERROR(INDEX(PP_Grid[#Data],$DD370,35),0)</f>
        <v/>
      </c>
      <c r="AL370">
        <f>IFERROR(INDEX(PP_Grid[#Data],$DD370,36),0)</f>
        <v/>
      </c>
      <c r="AM370">
        <f>IFERROR(INDEX(PP_Grid[#Data],$DD370,37),0)</f>
        <v/>
      </c>
      <c r="AN370">
        <f>IFERROR(INDEX(PP_Grid[#Data],$DD370,38),0)</f>
        <v/>
      </c>
      <c r="AO370">
        <f>IFERROR(INDEX(PP_Grid[#Data],$DD370,39),0)</f>
        <v/>
      </c>
      <c r="AP370">
        <f>IFERROR(INDEX(PP_Grid[#Data],$DD370,40),0)</f>
        <v/>
      </c>
      <c r="AQ370">
        <f>IFERROR(INDEX(PP_Grid[#Data],$DD370,41),0)</f>
        <v/>
      </c>
      <c r="AR370">
        <f>IFERROR(INDEX(PP_Grid[#Data],$DD370,42),0)</f>
        <v/>
      </c>
      <c r="AS370">
        <f>IFERROR(INDEX(PP_Grid[#Data],$DD370,43),0)</f>
        <v/>
      </c>
      <c r="AT370">
        <f>IFERROR(INDEX(PP_Grid[#Data],$DD370,44),0)</f>
        <v/>
      </c>
      <c r="AU370">
        <f>IFERROR(INDEX(PP_Grid[#Data],$DD370,45),0)</f>
        <v/>
      </c>
      <c r="AV370">
        <f>IFERROR(INDEX(PP_Grid[#Data],$DD370,46),0)</f>
        <v/>
      </c>
      <c r="AW370">
        <f>IFERROR(INDEX(PP_Grid[#Data],$DD370,47),0)</f>
        <v/>
      </c>
      <c r="AX370">
        <f>IFERROR(INDEX(PP_Grid[#Data],$DD370,48),0)</f>
        <v/>
      </c>
      <c r="AY370">
        <f>IFERROR(INDEX(PP_Grid[#Data],$DD370,49),0)</f>
        <v/>
      </c>
      <c r="AZ370">
        <f>IFERROR(INDEX(PP_Grid[#Data],$DD370,50),0)</f>
        <v/>
      </c>
      <c r="BA370">
        <f>IFERROR(INDEX(PP_Grid[#Data],$DD370,51),0)</f>
        <v/>
      </c>
      <c r="BB370">
        <f>IFERROR(INDEX(PP_Grid[#Data],$DD370,52),0)</f>
        <v/>
      </c>
      <c r="BC370">
        <f>IFERROR(INDEX(PP_Grid[#Data],$DD370,53),0)</f>
        <v/>
      </c>
      <c r="BD370">
        <f>IFERROR(INDEX(PP_Grid[#Data],$DD370,54),0)</f>
        <v/>
      </c>
      <c r="BE370">
        <f>IFERROR(INDEX(PP_Grid[#Data],$DD370,55),0)</f>
        <v/>
      </c>
      <c r="BF370">
        <f>IFERROR(INDEX(PP_Grid[#Data],$DD370,56),0)</f>
        <v/>
      </c>
      <c r="BG370">
        <f>IFERROR(INDEX(PP_Grid[#Data],$DD370,57),0)</f>
        <v/>
      </c>
      <c r="BH370">
        <f>IFERROR(INDEX(PP_Grid[#Data],$DD370,58),0)</f>
        <v/>
      </c>
      <c r="BI370">
        <f>IFERROR(INDEX(PP_Grid[#Data],$DD370,59),0)</f>
        <v/>
      </c>
      <c r="BJ370">
        <f>IFERROR(INDEX(PP_Grid[#Data],$DD370,60),0)</f>
        <v/>
      </c>
      <c r="BK370">
        <f>IFERROR(INDEX(PP_Grid[#Data],$DD370,61),0)</f>
        <v/>
      </c>
      <c r="BL370">
        <f>IFERROR(INDEX(PP_Grid[#Data],$DD370,62),0)</f>
        <v/>
      </c>
      <c r="BM370">
        <f>IFERROR(INDEX(PP_Grid[#Data],$DD370,63),0)</f>
        <v/>
      </c>
      <c r="BN370">
        <f>IFERROR(INDEX(PP_Grid[#Data],$DD370,64),0)</f>
        <v/>
      </c>
      <c r="BO370">
        <f>IFERROR(INDEX(PP_Grid[#Data],$DD370,65),0)</f>
        <v/>
      </c>
      <c r="BP370">
        <f>IFERROR(INDEX(PP_Grid[#Data],$DD370,66),0)</f>
        <v/>
      </c>
      <c r="BQ370">
        <f>IFERROR(INDEX(PP_Grid[#Data],$DD370,67),0)</f>
        <v/>
      </c>
      <c r="BR370">
        <f>IFERROR(INDEX(PP_Grid[#Data],$DD370,68),0)</f>
        <v/>
      </c>
      <c r="BS370">
        <f>IFERROR(INDEX(PP_Grid[#Data],$DD370,69),0)</f>
        <v/>
      </c>
      <c r="BT370">
        <f>IFERROR(INDEX(PP_Grid[#Data],$DD370,70),0)</f>
        <v/>
      </c>
      <c r="BU370">
        <f>IFERROR(INDEX(PP_Grid[#Data],$DD370,71),0)</f>
        <v/>
      </c>
      <c r="BV370">
        <f>IFERROR(INDEX(PP_Grid[#Data],$DD370,72),0)</f>
        <v/>
      </c>
      <c r="BW370">
        <f>IFERROR(INDEX(PP_Grid[#Data],$DD370,73),0)</f>
        <v/>
      </c>
      <c r="BX370">
        <f>IFERROR(INDEX(PP_Grid[#Data],$DD370,74),0)</f>
        <v/>
      </c>
      <c r="BY370">
        <f>IFERROR(INDEX(PP_Grid[#Data],$DD370,75),0)</f>
        <v/>
      </c>
      <c r="BZ370">
        <f>IFERROR(INDEX(PP_Grid[#Data],$DD370,76),0)</f>
        <v/>
      </c>
      <c r="CA370">
        <f>IFERROR(INDEX(PP_Grid[#Data],$DD370,77),0)</f>
        <v/>
      </c>
      <c r="CB370">
        <f>IFERROR(INDEX(PP_Grid[#Data],$DD370,78),0)</f>
        <v/>
      </c>
      <c r="CC370">
        <f>IFERROR(INDEX(PP_Grid[#Data],$DD370,79),0)</f>
        <v/>
      </c>
      <c r="CD370">
        <f>IFERROR(INDEX(PP_Grid[#Data],$DD370,80),0)</f>
        <v/>
      </c>
      <c r="CE370">
        <f>IFERROR(INDEX(PP_Grid[#Data],$DD370,81),0)</f>
        <v/>
      </c>
      <c r="CF370">
        <f>IFERROR(INDEX(PP_Grid[#Data],$DD370,82),0)</f>
        <v/>
      </c>
      <c r="CG370">
        <f>IFERROR(INDEX(PP_Grid[#Data],$DD370,83),0)</f>
        <v/>
      </c>
      <c r="CH370">
        <f>IFERROR(INDEX(PP_Grid[#Data],$DD370,84),0)</f>
        <v/>
      </c>
      <c r="CI370">
        <f>IFERROR(INDEX(PP_Grid[#Data],$DD370,85),0)</f>
        <v/>
      </c>
      <c r="CJ370">
        <f>IFERROR(INDEX(PP_Grid[#Data],$DD370,86),0)</f>
        <v/>
      </c>
      <c r="CK370">
        <f>IFERROR(INDEX(PP_Grid[#Data],$DD370,87),0)</f>
        <v/>
      </c>
      <c r="CL370">
        <f>IFERROR(INDEX(PP_Grid[#Data],$DD370,88),0)</f>
        <v/>
      </c>
      <c r="CM370">
        <f>IFERROR(INDEX(PP_Grid[#Data],$DD370,89),0)</f>
        <v/>
      </c>
      <c r="CN370">
        <f>IFERROR(INDEX(PP_Grid[#Data],$DD370,90),0)</f>
        <v/>
      </c>
      <c r="CO370">
        <f>IFERROR(INDEX(PP_Grid[#Data],$DD370,91),0)</f>
        <v/>
      </c>
      <c r="CP370">
        <f>IFERROR(INDEX(PP_Grid[#Data],$DD370,92),0)</f>
        <v/>
      </c>
      <c r="CQ370">
        <f>IFERROR(INDEX(PP_Grid[#Data],$DD370,93),0)</f>
        <v/>
      </c>
      <c r="CR370">
        <f>IFERROR(INDEX(PP_Grid[#Data],$DD370,94),0)</f>
        <v/>
      </c>
      <c r="CS370">
        <f>IFERROR(INDEX(PP_Grid[#Data],$DD370,95),0)</f>
        <v/>
      </c>
      <c r="CT370">
        <f>IFERROR(INDEX(PP_Grid[#Data],$DD370,96),0)</f>
        <v/>
      </c>
      <c r="CU370">
        <f>IFERROR(INDEX(PP_Grid[#Data],$DD370,97),0)</f>
        <v/>
      </c>
      <c r="CV370">
        <f>IFERROR(INDEX(PP_Grid[#Data],$DD370,98),0)</f>
        <v/>
      </c>
      <c r="CW370">
        <f>IFERROR(INDEX(PP_Grid[#Data],$DD370,99),0)</f>
        <v/>
      </c>
      <c r="CX370">
        <f>IFERROR(INDEX(PP_Grid[#Data],$DD370,100),0)</f>
        <v/>
      </c>
      <c r="CY370">
        <f>IFERROR(INDEX(PP_Grid[#Data],$DD370,101),0)</f>
        <v/>
      </c>
      <c r="CZ370">
        <f>IFERROR(INDEX(PP_Grid[#Data],$DD370,102),0)</f>
        <v/>
      </c>
      <c r="DA370">
        <f>IFERROR(INDEX(PP_Grid[#Data],$DD370,103),0)</f>
        <v/>
      </c>
      <c r="DB370">
        <f>IFERROR(INDEX(PP_Grid[#Data],$DD370,104),0)</f>
        <v/>
      </c>
      <c r="DC370">
        <f>IFERROR(INDEX(PP_Grid[#Data],$DD370,105),0)</f>
        <v/>
      </c>
      <c r="DD370" s="7">
        <f>IFERROR(MATCH($B370,PP_Grid[Intermediate],0),99999)</f>
        <v/>
      </c>
    </row>
    <row r="371">
      <c r="B371" t="inlineStr">
        <is>
          <t>使用量(kg)</t>
        </is>
      </c>
      <c r="C371">
        <f>SUMIFS(M_BOM[RM_Qty_Per_Batch],M_BOM[Intermediate],$B370,M_BOM[Part Name],$A343)</f>
        <v/>
      </c>
      <c r="D371">
        <f>$C371*D370</f>
        <v/>
      </c>
      <c r="E371">
        <f>$C371*E370</f>
        <v/>
      </c>
      <c r="F371">
        <f>$C371*F370</f>
        <v/>
      </c>
      <c r="G371">
        <f>$C371*G370</f>
        <v/>
      </c>
      <c r="H371">
        <f>$C371*H370</f>
        <v/>
      </c>
      <c r="I371">
        <f>$C371*I370</f>
        <v/>
      </c>
      <c r="J371">
        <f>$C371*J370</f>
        <v/>
      </c>
      <c r="K371">
        <f>$C371*K370</f>
        <v/>
      </c>
      <c r="L371">
        <f>$C371*L370</f>
        <v/>
      </c>
      <c r="M371">
        <f>$C371*M370</f>
        <v/>
      </c>
      <c r="N371">
        <f>$C371*N370</f>
        <v/>
      </c>
      <c r="O371">
        <f>$C371*O370</f>
        <v/>
      </c>
      <c r="P371">
        <f>$C371*P370</f>
        <v/>
      </c>
      <c r="Q371">
        <f>$C371*Q370</f>
        <v/>
      </c>
      <c r="R371">
        <f>$C371*R370</f>
        <v/>
      </c>
      <c r="S371">
        <f>$C371*S370</f>
        <v/>
      </c>
      <c r="T371">
        <f>$C371*T370</f>
        <v/>
      </c>
      <c r="U371">
        <f>$C371*U370</f>
        <v/>
      </c>
      <c r="V371">
        <f>$C371*V370</f>
        <v/>
      </c>
      <c r="W371">
        <f>$C371*W370</f>
        <v/>
      </c>
      <c r="X371">
        <f>$C371*X370</f>
        <v/>
      </c>
      <c r="Y371">
        <f>$C371*Y370</f>
        <v/>
      </c>
      <c r="Z371">
        <f>$C371*Z370</f>
        <v/>
      </c>
      <c r="AA371">
        <f>$C371*AA370</f>
        <v/>
      </c>
      <c r="AB371">
        <f>$C371*AB370</f>
        <v/>
      </c>
      <c r="AC371">
        <f>$C371*AC370</f>
        <v/>
      </c>
      <c r="AD371">
        <f>$C371*AD370</f>
        <v/>
      </c>
      <c r="AE371">
        <f>$C371*AE370</f>
        <v/>
      </c>
      <c r="AF371">
        <f>$C371*AF370</f>
        <v/>
      </c>
      <c r="AG371">
        <f>$C371*AG370</f>
        <v/>
      </c>
      <c r="AH371">
        <f>$C371*AH370</f>
        <v/>
      </c>
      <c r="AI371">
        <f>$C371*AI370</f>
        <v/>
      </c>
      <c r="AJ371">
        <f>$C371*AJ370</f>
        <v/>
      </c>
      <c r="AK371">
        <f>$C371*AK370</f>
        <v/>
      </c>
      <c r="AL371">
        <f>$C371*AL370</f>
        <v/>
      </c>
      <c r="AM371">
        <f>$C371*AM370</f>
        <v/>
      </c>
      <c r="AN371">
        <f>$C371*AN370</f>
        <v/>
      </c>
      <c r="AO371">
        <f>$C371*AO370</f>
        <v/>
      </c>
      <c r="AP371">
        <f>$C371*AP370</f>
        <v/>
      </c>
      <c r="AQ371">
        <f>$C371*AQ370</f>
        <v/>
      </c>
      <c r="AR371">
        <f>$C371*AR370</f>
        <v/>
      </c>
      <c r="AS371">
        <f>$C371*AS370</f>
        <v/>
      </c>
      <c r="AT371">
        <f>$C371*AT370</f>
        <v/>
      </c>
      <c r="AU371">
        <f>$C371*AU370</f>
        <v/>
      </c>
      <c r="AV371">
        <f>$C371*AV370</f>
        <v/>
      </c>
      <c r="AW371">
        <f>$C371*AW370</f>
        <v/>
      </c>
      <c r="AX371">
        <f>$C371*AX370</f>
        <v/>
      </c>
      <c r="AY371">
        <f>$C371*AY370</f>
        <v/>
      </c>
      <c r="AZ371">
        <f>$C371*AZ370</f>
        <v/>
      </c>
      <c r="BA371">
        <f>$C371*BA370</f>
        <v/>
      </c>
      <c r="BB371">
        <f>$C371*BB370</f>
        <v/>
      </c>
      <c r="BC371">
        <f>$C371*BC370</f>
        <v/>
      </c>
      <c r="BD371">
        <f>$C371*BD370</f>
        <v/>
      </c>
      <c r="BE371">
        <f>$C371*BE370</f>
        <v/>
      </c>
      <c r="BF371">
        <f>$C371*BF370</f>
        <v/>
      </c>
      <c r="BG371">
        <f>$C371*BG370</f>
        <v/>
      </c>
      <c r="BH371">
        <f>$C371*BH370</f>
        <v/>
      </c>
      <c r="BI371">
        <f>$C371*BI370</f>
        <v/>
      </c>
      <c r="BJ371">
        <f>$C371*BJ370</f>
        <v/>
      </c>
      <c r="BK371">
        <f>$C371*BK370</f>
        <v/>
      </c>
      <c r="BL371">
        <f>$C371*BL370</f>
        <v/>
      </c>
      <c r="BM371">
        <f>$C371*BM370</f>
        <v/>
      </c>
      <c r="BN371">
        <f>$C371*BN370</f>
        <v/>
      </c>
      <c r="BO371">
        <f>$C371*BO370</f>
        <v/>
      </c>
      <c r="BP371">
        <f>$C371*BP370</f>
        <v/>
      </c>
      <c r="BQ371">
        <f>$C371*BQ370</f>
        <v/>
      </c>
      <c r="BR371">
        <f>$C371*BR370</f>
        <v/>
      </c>
      <c r="BS371">
        <f>$C371*BS370</f>
        <v/>
      </c>
      <c r="BT371">
        <f>$C371*BT370</f>
        <v/>
      </c>
      <c r="BU371">
        <f>$C371*BU370</f>
        <v/>
      </c>
      <c r="BV371">
        <f>$C371*BV370</f>
        <v/>
      </c>
      <c r="BW371">
        <f>$C371*BW370</f>
        <v/>
      </c>
      <c r="BX371">
        <f>$C371*BX370</f>
        <v/>
      </c>
      <c r="BY371">
        <f>$C371*BY370</f>
        <v/>
      </c>
      <c r="BZ371">
        <f>$C371*BZ370</f>
        <v/>
      </c>
      <c r="CA371">
        <f>$C371*CA370</f>
        <v/>
      </c>
      <c r="CB371">
        <f>$C371*CB370</f>
        <v/>
      </c>
      <c r="CC371">
        <f>$C371*CC370</f>
        <v/>
      </c>
      <c r="CD371">
        <f>$C371*CD370</f>
        <v/>
      </c>
      <c r="CE371">
        <f>$C371*CE370</f>
        <v/>
      </c>
      <c r="CF371">
        <f>$C371*CF370</f>
        <v/>
      </c>
      <c r="CG371">
        <f>$C371*CG370</f>
        <v/>
      </c>
      <c r="CH371">
        <f>$C371*CH370</f>
        <v/>
      </c>
      <c r="CI371">
        <f>$C371*CI370</f>
        <v/>
      </c>
      <c r="CJ371">
        <f>$C371*CJ370</f>
        <v/>
      </c>
      <c r="CK371">
        <f>$C371*CK370</f>
        <v/>
      </c>
      <c r="CL371">
        <f>$C371*CL370</f>
        <v/>
      </c>
      <c r="CM371">
        <f>$C371*CM370</f>
        <v/>
      </c>
      <c r="CN371">
        <f>$C371*CN370</f>
        <v/>
      </c>
      <c r="CO371">
        <f>$C371*CO370</f>
        <v/>
      </c>
      <c r="CP371">
        <f>$C371*CP370</f>
        <v/>
      </c>
      <c r="CQ371">
        <f>$C371*CQ370</f>
        <v/>
      </c>
      <c r="CR371">
        <f>$C371*CR370</f>
        <v/>
      </c>
      <c r="CS371">
        <f>$C371*CS370</f>
        <v/>
      </c>
      <c r="CT371">
        <f>$C371*CT370</f>
        <v/>
      </c>
      <c r="CU371">
        <f>$C371*CU370</f>
        <v/>
      </c>
      <c r="CV371">
        <f>$C371*CV370</f>
        <v/>
      </c>
      <c r="CW371">
        <f>$C371*CW370</f>
        <v/>
      </c>
      <c r="CX371">
        <f>$C371*CX370</f>
        <v/>
      </c>
      <c r="CY371">
        <f>$C371*CY370</f>
        <v/>
      </c>
      <c r="CZ371">
        <f>$C371*CZ370</f>
        <v/>
      </c>
      <c r="DA371">
        <f>$C371*DA370</f>
        <v/>
      </c>
      <c r="DB371">
        <f>$C371*DB370</f>
        <v/>
      </c>
      <c r="DC371">
        <f>$C371*DC370</f>
        <v/>
      </c>
    </row>
    <row r="372">
      <c r="B372" t="inlineStr">
        <is>
          <t>TSP-404</t>
        </is>
      </c>
      <c r="C372" t="inlineStr">
        <is>
          <t>No. of batches</t>
        </is>
      </c>
      <c r="D372">
        <f>IFERROR(INDEX(PP_Grid[#Data],$DD372,2),0)</f>
        <v/>
      </c>
      <c r="E372">
        <f>IFERROR(INDEX(PP_Grid[#Data],$DD372,3),0)</f>
        <v/>
      </c>
      <c r="F372">
        <f>IFERROR(INDEX(PP_Grid[#Data],$DD372,4),0)</f>
        <v/>
      </c>
      <c r="G372">
        <f>IFERROR(INDEX(PP_Grid[#Data],$DD372,5),0)</f>
        <v/>
      </c>
      <c r="H372">
        <f>IFERROR(INDEX(PP_Grid[#Data],$DD372,6),0)</f>
        <v/>
      </c>
      <c r="I372">
        <f>IFERROR(INDEX(PP_Grid[#Data],$DD372,7),0)</f>
        <v/>
      </c>
      <c r="J372">
        <f>IFERROR(INDEX(PP_Grid[#Data],$DD372,8),0)</f>
        <v/>
      </c>
      <c r="K372">
        <f>IFERROR(INDEX(PP_Grid[#Data],$DD372,9),0)</f>
        <v/>
      </c>
      <c r="L372">
        <f>IFERROR(INDEX(PP_Grid[#Data],$DD372,10),0)</f>
        <v/>
      </c>
      <c r="M372">
        <f>IFERROR(INDEX(PP_Grid[#Data],$DD372,11),0)</f>
        <v/>
      </c>
      <c r="N372">
        <f>IFERROR(INDEX(PP_Grid[#Data],$DD372,12),0)</f>
        <v/>
      </c>
      <c r="O372">
        <f>IFERROR(INDEX(PP_Grid[#Data],$DD372,13),0)</f>
        <v/>
      </c>
      <c r="P372">
        <f>IFERROR(INDEX(PP_Grid[#Data],$DD372,14),0)</f>
        <v/>
      </c>
      <c r="Q372">
        <f>IFERROR(INDEX(PP_Grid[#Data],$DD372,15),0)</f>
        <v/>
      </c>
      <c r="R372">
        <f>IFERROR(INDEX(PP_Grid[#Data],$DD372,16),0)</f>
        <v/>
      </c>
      <c r="S372">
        <f>IFERROR(INDEX(PP_Grid[#Data],$DD372,17),0)</f>
        <v/>
      </c>
      <c r="T372">
        <f>IFERROR(INDEX(PP_Grid[#Data],$DD372,18),0)</f>
        <v/>
      </c>
      <c r="U372">
        <f>IFERROR(INDEX(PP_Grid[#Data],$DD372,19),0)</f>
        <v/>
      </c>
      <c r="V372">
        <f>IFERROR(INDEX(PP_Grid[#Data],$DD372,20),0)</f>
        <v/>
      </c>
      <c r="W372">
        <f>IFERROR(INDEX(PP_Grid[#Data],$DD372,21),0)</f>
        <v/>
      </c>
      <c r="X372">
        <f>IFERROR(INDEX(PP_Grid[#Data],$DD372,22),0)</f>
        <v/>
      </c>
      <c r="Y372">
        <f>IFERROR(INDEX(PP_Grid[#Data],$DD372,23),0)</f>
        <v/>
      </c>
      <c r="Z372">
        <f>IFERROR(INDEX(PP_Grid[#Data],$DD372,24),0)</f>
        <v/>
      </c>
      <c r="AA372">
        <f>IFERROR(INDEX(PP_Grid[#Data],$DD372,25),0)</f>
        <v/>
      </c>
      <c r="AB372">
        <f>IFERROR(INDEX(PP_Grid[#Data],$DD372,26),0)</f>
        <v/>
      </c>
      <c r="AC372">
        <f>IFERROR(INDEX(PP_Grid[#Data],$DD372,27),0)</f>
        <v/>
      </c>
      <c r="AD372">
        <f>IFERROR(INDEX(PP_Grid[#Data],$DD372,28),0)</f>
        <v/>
      </c>
      <c r="AE372">
        <f>IFERROR(INDEX(PP_Grid[#Data],$DD372,29),0)</f>
        <v/>
      </c>
      <c r="AF372">
        <f>IFERROR(INDEX(PP_Grid[#Data],$DD372,30),0)</f>
        <v/>
      </c>
      <c r="AG372">
        <f>IFERROR(INDEX(PP_Grid[#Data],$DD372,31),0)</f>
        <v/>
      </c>
      <c r="AH372">
        <f>IFERROR(INDEX(PP_Grid[#Data],$DD372,32),0)</f>
        <v/>
      </c>
      <c r="AI372">
        <f>IFERROR(INDEX(PP_Grid[#Data],$DD372,33),0)</f>
        <v/>
      </c>
      <c r="AJ372">
        <f>IFERROR(INDEX(PP_Grid[#Data],$DD372,34),0)</f>
        <v/>
      </c>
      <c r="AK372">
        <f>IFERROR(INDEX(PP_Grid[#Data],$DD372,35),0)</f>
        <v/>
      </c>
      <c r="AL372">
        <f>IFERROR(INDEX(PP_Grid[#Data],$DD372,36),0)</f>
        <v/>
      </c>
      <c r="AM372">
        <f>IFERROR(INDEX(PP_Grid[#Data],$DD372,37),0)</f>
        <v/>
      </c>
      <c r="AN372">
        <f>IFERROR(INDEX(PP_Grid[#Data],$DD372,38),0)</f>
        <v/>
      </c>
      <c r="AO372">
        <f>IFERROR(INDEX(PP_Grid[#Data],$DD372,39),0)</f>
        <v/>
      </c>
      <c r="AP372">
        <f>IFERROR(INDEX(PP_Grid[#Data],$DD372,40),0)</f>
        <v/>
      </c>
      <c r="AQ372">
        <f>IFERROR(INDEX(PP_Grid[#Data],$DD372,41),0)</f>
        <v/>
      </c>
      <c r="AR372">
        <f>IFERROR(INDEX(PP_Grid[#Data],$DD372,42),0)</f>
        <v/>
      </c>
      <c r="AS372">
        <f>IFERROR(INDEX(PP_Grid[#Data],$DD372,43),0)</f>
        <v/>
      </c>
      <c r="AT372">
        <f>IFERROR(INDEX(PP_Grid[#Data],$DD372,44),0)</f>
        <v/>
      </c>
      <c r="AU372">
        <f>IFERROR(INDEX(PP_Grid[#Data],$DD372,45),0)</f>
        <v/>
      </c>
      <c r="AV372">
        <f>IFERROR(INDEX(PP_Grid[#Data],$DD372,46),0)</f>
        <v/>
      </c>
      <c r="AW372">
        <f>IFERROR(INDEX(PP_Grid[#Data],$DD372,47),0)</f>
        <v/>
      </c>
      <c r="AX372">
        <f>IFERROR(INDEX(PP_Grid[#Data],$DD372,48),0)</f>
        <v/>
      </c>
      <c r="AY372">
        <f>IFERROR(INDEX(PP_Grid[#Data],$DD372,49),0)</f>
        <v/>
      </c>
      <c r="AZ372">
        <f>IFERROR(INDEX(PP_Grid[#Data],$DD372,50),0)</f>
        <v/>
      </c>
      <c r="BA372">
        <f>IFERROR(INDEX(PP_Grid[#Data],$DD372,51),0)</f>
        <v/>
      </c>
      <c r="BB372">
        <f>IFERROR(INDEX(PP_Grid[#Data],$DD372,52),0)</f>
        <v/>
      </c>
      <c r="BC372">
        <f>IFERROR(INDEX(PP_Grid[#Data],$DD372,53),0)</f>
        <v/>
      </c>
      <c r="BD372">
        <f>IFERROR(INDEX(PP_Grid[#Data],$DD372,54),0)</f>
        <v/>
      </c>
      <c r="BE372">
        <f>IFERROR(INDEX(PP_Grid[#Data],$DD372,55),0)</f>
        <v/>
      </c>
      <c r="BF372">
        <f>IFERROR(INDEX(PP_Grid[#Data],$DD372,56),0)</f>
        <v/>
      </c>
      <c r="BG372">
        <f>IFERROR(INDEX(PP_Grid[#Data],$DD372,57),0)</f>
        <v/>
      </c>
      <c r="BH372">
        <f>IFERROR(INDEX(PP_Grid[#Data],$DD372,58),0)</f>
        <v/>
      </c>
      <c r="BI372">
        <f>IFERROR(INDEX(PP_Grid[#Data],$DD372,59),0)</f>
        <v/>
      </c>
      <c r="BJ372">
        <f>IFERROR(INDEX(PP_Grid[#Data],$DD372,60),0)</f>
        <v/>
      </c>
      <c r="BK372">
        <f>IFERROR(INDEX(PP_Grid[#Data],$DD372,61),0)</f>
        <v/>
      </c>
      <c r="BL372">
        <f>IFERROR(INDEX(PP_Grid[#Data],$DD372,62),0)</f>
        <v/>
      </c>
      <c r="BM372">
        <f>IFERROR(INDEX(PP_Grid[#Data],$DD372,63),0)</f>
        <v/>
      </c>
      <c r="BN372">
        <f>IFERROR(INDEX(PP_Grid[#Data],$DD372,64),0)</f>
        <v/>
      </c>
      <c r="BO372">
        <f>IFERROR(INDEX(PP_Grid[#Data],$DD372,65),0)</f>
        <v/>
      </c>
      <c r="BP372">
        <f>IFERROR(INDEX(PP_Grid[#Data],$DD372,66),0)</f>
        <v/>
      </c>
      <c r="BQ372">
        <f>IFERROR(INDEX(PP_Grid[#Data],$DD372,67),0)</f>
        <v/>
      </c>
      <c r="BR372">
        <f>IFERROR(INDEX(PP_Grid[#Data],$DD372,68),0)</f>
        <v/>
      </c>
      <c r="BS372">
        <f>IFERROR(INDEX(PP_Grid[#Data],$DD372,69),0)</f>
        <v/>
      </c>
      <c r="BT372">
        <f>IFERROR(INDEX(PP_Grid[#Data],$DD372,70),0)</f>
        <v/>
      </c>
      <c r="BU372">
        <f>IFERROR(INDEX(PP_Grid[#Data],$DD372,71),0)</f>
        <v/>
      </c>
      <c r="BV372">
        <f>IFERROR(INDEX(PP_Grid[#Data],$DD372,72),0)</f>
        <v/>
      </c>
      <c r="BW372">
        <f>IFERROR(INDEX(PP_Grid[#Data],$DD372,73),0)</f>
        <v/>
      </c>
      <c r="BX372">
        <f>IFERROR(INDEX(PP_Grid[#Data],$DD372,74),0)</f>
        <v/>
      </c>
      <c r="BY372">
        <f>IFERROR(INDEX(PP_Grid[#Data],$DD372,75),0)</f>
        <v/>
      </c>
      <c r="BZ372">
        <f>IFERROR(INDEX(PP_Grid[#Data],$DD372,76),0)</f>
        <v/>
      </c>
      <c r="CA372">
        <f>IFERROR(INDEX(PP_Grid[#Data],$DD372,77),0)</f>
        <v/>
      </c>
      <c r="CB372">
        <f>IFERROR(INDEX(PP_Grid[#Data],$DD372,78),0)</f>
        <v/>
      </c>
      <c r="CC372">
        <f>IFERROR(INDEX(PP_Grid[#Data],$DD372,79),0)</f>
        <v/>
      </c>
      <c r="CD372">
        <f>IFERROR(INDEX(PP_Grid[#Data],$DD372,80),0)</f>
        <v/>
      </c>
      <c r="CE372">
        <f>IFERROR(INDEX(PP_Grid[#Data],$DD372,81),0)</f>
        <v/>
      </c>
      <c r="CF372">
        <f>IFERROR(INDEX(PP_Grid[#Data],$DD372,82),0)</f>
        <v/>
      </c>
      <c r="CG372">
        <f>IFERROR(INDEX(PP_Grid[#Data],$DD372,83),0)</f>
        <v/>
      </c>
      <c r="CH372">
        <f>IFERROR(INDEX(PP_Grid[#Data],$DD372,84),0)</f>
        <v/>
      </c>
      <c r="CI372">
        <f>IFERROR(INDEX(PP_Grid[#Data],$DD372,85),0)</f>
        <v/>
      </c>
      <c r="CJ372">
        <f>IFERROR(INDEX(PP_Grid[#Data],$DD372,86),0)</f>
        <v/>
      </c>
      <c r="CK372">
        <f>IFERROR(INDEX(PP_Grid[#Data],$DD372,87),0)</f>
        <v/>
      </c>
      <c r="CL372">
        <f>IFERROR(INDEX(PP_Grid[#Data],$DD372,88),0)</f>
        <v/>
      </c>
      <c r="CM372">
        <f>IFERROR(INDEX(PP_Grid[#Data],$DD372,89),0)</f>
        <v/>
      </c>
      <c r="CN372">
        <f>IFERROR(INDEX(PP_Grid[#Data],$DD372,90),0)</f>
        <v/>
      </c>
      <c r="CO372">
        <f>IFERROR(INDEX(PP_Grid[#Data],$DD372,91),0)</f>
        <v/>
      </c>
      <c r="CP372">
        <f>IFERROR(INDEX(PP_Grid[#Data],$DD372,92),0)</f>
        <v/>
      </c>
      <c r="CQ372">
        <f>IFERROR(INDEX(PP_Grid[#Data],$DD372,93),0)</f>
        <v/>
      </c>
      <c r="CR372">
        <f>IFERROR(INDEX(PP_Grid[#Data],$DD372,94),0)</f>
        <v/>
      </c>
      <c r="CS372">
        <f>IFERROR(INDEX(PP_Grid[#Data],$DD372,95),0)</f>
        <v/>
      </c>
      <c r="CT372">
        <f>IFERROR(INDEX(PP_Grid[#Data],$DD372,96),0)</f>
        <v/>
      </c>
      <c r="CU372">
        <f>IFERROR(INDEX(PP_Grid[#Data],$DD372,97),0)</f>
        <v/>
      </c>
      <c r="CV372">
        <f>IFERROR(INDEX(PP_Grid[#Data],$DD372,98),0)</f>
        <v/>
      </c>
      <c r="CW372">
        <f>IFERROR(INDEX(PP_Grid[#Data],$DD372,99),0)</f>
        <v/>
      </c>
      <c r="CX372">
        <f>IFERROR(INDEX(PP_Grid[#Data],$DD372,100),0)</f>
        <v/>
      </c>
      <c r="CY372">
        <f>IFERROR(INDEX(PP_Grid[#Data],$DD372,101),0)</f>
        <v/>
      </c>
      <c r="CZ372">
        <f>IFERROR(INDEX(PP_Grid[#Data],$DD372,102),0)</f>
        <v/>
      </c>
      <c r="DA372">
        <f>IFERROR(INDEX(PP_Grid[#Data],$DD372,103),0)</f>
        <v/>
      </c>
      <c r="DB372">
        <f>IFERROR(INDEX(PP_Grid[#Data],$DD372,104),0)</f>
        <v/>
      </c>
      <c r="DC372">
        <f>IFERROR(INDEX(PP_Grid[#Data],$DD372,105),0)</f>
        <v/>
      </c>
      <c r="DD372" s="7">
        <f>IFERROR(MATCH($B372,PP_Grid[Intermediate],0),99999)</f>
        <v/>
      </c>
    </row>
    <row r="373">
      <c r="B373" t="inlineStr">
        <is>
          <t>使用量(kg)</t>
        </is>
      </c>
      <c r="C373">
        <f>SUMIFS(M_BOM[RM_Qty_Per_Batch],M_BOM[Intermediate],$B372,M_BOM[Part Name],$A343)</f>
        <v/>
      </c>
      <c r="D373">
        <f>$C373*D372</f>
        <v/>
      </c>
      <c r="E373">
        <f>$C373*E372</f>
        <v/>
      </c>
      <c r="F373">
        <f>$C373*F372</f>
        <v/>
      </c>
      <c r="G373">
        <f>$C373*G372</f>
        <v/>
      </c>
      <c r="H373">
        <f>$C373*H372</f>
        <v/>
      </c>
      <c r="I373">
        <f>$C373*I372</f>
        <v/>
      </c>
      <c r="J373">
        <f>$C373*J372</f>
        <v/>
      </c>
      <c r="K373">
        <f>$C373*K372</f>
        <v/>
      </c>
      <c r="L373">
        <f>$C373*L372</f>
        <v/>
      </c>
      <c r="M373">
        <f>$C373*M372</f>
        <v/>
      </c>
      <c r="N373">
        <f>$C373*N372</f>
        <v/>
      </c>
      <c r="O373">
        <f>$C373*O372</f>
        <v/>
      </c>
      <c r="P373">
        <f>$C373*P372</f>
        <v/>
      </c>
      <c r="Q373">
        <f>$C373*Q372</f>
        <v/>
      </c>
      <c r="R373">
        <f>$C373*R372</f>
        <v/>
      </c>
      <c r="S373">
        <f>$C373*S372</f>
        <v/>
      </c>
      <c r="T373">
        <f>$C373*T372</f>
        <v/>
      </c>
      <c r="U373">
        <f>$C373*U372</f>
        <v/>
      </c>
      <c r="V373">
        <f>$C373*V372</f>
        <v/>
      </c>
      <c r="W373">
        <f>$C373*W372</f>
        <v/>
      </c>
      <c r="X373">
        <f>$C373*X372</f>
        <v/>
      </c>
      <c r="Y373">
        <f>$C373*Y372</f>
        <v/>
      </c>
      <c r="Z373">
        <f>$C373*Z372</f>
        <v/>
      </c>
      <c r="AA373">
        <f>$C373*AA372</f>
        <v/>
      </c>
      <c r="AB373">
        <f>$C373*AB372</f>
        <v/>
      </c>
      <c r="AC373">
        <f>$C373*AC372</f>
        <v/>
      </c>
      <c r="AD373">
        <f>$C373*AD372</f>
        <v/>
      </c>
      <c r="AE373">
        <f>$C373*AE372</f>
        <v/>
      </c>
      <c r="AF373">
        <f>$C373*AF372</f>
        <v/>
      </c>
      <c r="AG373">
        <f>$C373*AG372</f>
        <v/>
      </c>
      <c r="AH373">
        <f>$C373*AH372</f>
        <v/>
      </c>
      <c r="AI373">
        <f>$C373*AI372</f>
        <v/>
      </c>
      <c r="AJ373">
        <f>$C373*AJ372</f>
        <v/>
      </c>
      <c r="AK373">
        <f>$C373*AK372</f>
        <v/>
      </c>
      <c r="AL373">
        <f>$C373*AL372</f>
        <v/>
      </c>
      <c r="AM373">
        <f>$C373*AM372</f>
        <v/>
      </c>
      <c r="AN373">
        <f>$C373*AN372</f>
        <v/>
      </c>
      <c r="AO373">
        <f>$C373*AO372</f>
        <v/>
      </c>
      <c r="AP373">
        <f>$C373*AP372</f>
        <v/>
      </c>
      <c r="AQ373">
        <f>$C373*AQ372</f>
        <v/>
      </c>
      <c r="AR373">
        <f>$C373*AR372</f>
        <v/>
      </c>
      <c r="AS373">
        <f>$C373*AS372</f>
        <v/>
      </c>
      <c r="AT373">
        <f>$C373*AT372</f>
        <v/>
      </c>
      <c r="AU373">
        <f>$C373*AU372</f>
        <v/>
      </c>
      <c r="AV373">
        <f>$C373*AV372</f>
        <v/>
      </c>
      <c r="AW373">
        <f>$C373*AW372</f>
        <v/>
      </c>
      <c r="AX373">
        <f>$C373*AX372</f>
        <v/>
      </c>
      <c r="AY373">
        <f>$C373*AY372</f>
        <v/>
      </c>
      <c r="AZ373">
        <f>$C373*AZ372</f>
        <v/>
      </c>
      <c r="BA373">
        <f>$C373*BA372</f>
        <v/>
      </c>
      <c r="BB373">
        <f>$C373*BB372</f>
        <v/>
      </c>
      <c r="BC373">
        <f>$C373*BC372</f>
        <v/>
      </c>
      <c r="BD373">
        <f>$C373*BD372</f>
        <v/>
      </c>
      <c r="BE373">
        <f>$C373*BE372</f>
        <v/>
      </c>
      <c r="BF373">
        <f>$C373*BF372</f>
        <v/>
      </c>
      <c r="BG373">
        <f>$C373*BG372</f>
        <v/>
      </c>
      <c r="BH373">
        <f>$C373*BH372</f>
        <v/>
      </c>
      <c r="BI373">
        <f>$C373*BI372</f>
        <v/>
      </c>
      <c r="BJ373">
        <f>$C373*BJ372</f>
        <v/>
      </c>
      <c r="BK373">
        <f>$C373*BK372</f>
        <v/>
      </c>
      <c r="BL373">
        <f>$C373*BL372</f>
        <v/>
      </c>
      <c r="BM373">
        <f>$C373*BM372</f>
        <v/>
      </c>
      <c r="BN373">
        <f>$C373*BN372</f>
        <v/>
      </c>
      <c r="BO373">
        <f>$C373*BO372</f>
        <v/>
      </c>
      <c r="BP373">
        <f>$C373*BP372</f>
        <v/>
      </c>
      <c r="BQ373">
        <f>$C373*BQ372</f>
        <v/>
      </c>
      <c r="BR373">
        <f>$C373*BR372</f>
        <v/>
      </c>
      <c r="BS373">
        <f>$C373*BS372</f>
        <v/>
      </c>
      <c r="BT373">
        <f>$C373*BT372</f>
        <v/>
      </c>
      <c r="BU373">
        <f>$C373*BU372</f>
        <v/>
      </c>
      <c r="BV373">
        <f>$C373*BV372</f>
        <v/>
      </c>
      <c r="BW373">
        <f>$C373*BW372</f>
        <v/>
      </c>
      <c r="BX373">
        <f>$C373*BX372</f>
        <v/>
      </c>
      <c r="BY373">
        <f>$C373*BY372</f>
        <v/>
      </c>
      <c r="BZ373">
        <f>$C373*BZ372</f>
        <v/>
      </c>
      <c r="CA373">
        <f>$C373*CA372</f>
        <v/>
      </c>
      <c r="CB373">
        <f>$C373*CB372</f>
        <v/>
      </c>
      <c r="CC373">
        <f>$C373*CC372</f>
        <v/>
      </c>
      <c r="CD373">
        <f>$C373*CD372</f>
        <v/>
      </c>
      <c r="CE373">
        <f>$C373*CE372</f>
        <v/>
      </c>
      <c r="CF373">
        <f>$C373*CF372</f>
        <v/>
      </c>
      <c r="CG373">
        <f>$C373*CG372</f>
        <v/>
      </c>
      <c r="CH373">
        <f>$C373*CH372</f>
        <v/>
      </c>
      <c r="CI373">
        <f>$C373*CI372</f>
        <v/>
      </c>
      <c r="CJ373">
        <f>$C373*CJ372</f>
        <v/>
      </c>
      <c r="CK373">
        <f>$C373*CK372</f>
        <v/>
      </c>
      <c r="CL373">
        <f>$C373*CL372</f>
        <v/>
      </c>
      <c r="CM373">
        <f>$C373*CM372</f>
        <v/>
      </c>
      <c r="CN373">
        <f>$C373*CN372</f>
        <v/>
      </c>
      <c r="CO373">
        <f>$C373*CO372</f>
        <v/>
      </c>
      <c r="CP373">
        <f>$C373*CP372</f>
        <v/>
      </c>
      <c r="CQ373">
        <f>$C373*CQ372</f>
        <v/>
      </c>
      <c r="CR373">
        <f>$C373*CR372</f>
        <v/>
      </c>
      <c r="CS373">
        <f>$C373*CS372</f>
        <v/>
      </c>
      <c r="CT373">
        <f>$C373*CT372</f>
        <v/>
      </c>
      <c r="CU373">
        <f>$C373*CU372</f>
        <v/>
      </c>
      <c r="CV373">
        <f>$C373*CV372</f>
        <v/>
      </c>
      <c r="CW373">
        <f>$C373*CW372</f>
        <v/>
      </c>
      <c r="CX373">
        <f>$C373*CX372</f>
        <v/>
      </c>
      <c r="CY373">
        <f>$C373*CY372</f>
        <v/>
      </c>
      <c r="CZ373">
        <f>$C373*CZ372</f>
        <v/>
      </c>
      <c r="DA373">
        <f>$C373*DA372</f>
        <v/>
      </c>
      <c r="DB373">
        <f>$C373*DB372</f>
        <v/>
      </c>
      <c r="DC373">
        <f>$C373*DC372</f>
        <v/>
      </c>
    </row>
    <row r="374">
      <c r="B374" t="inlineStr">
        <is>
          <t>TSP-405</t>
        </is>
      </c>
      <c r="C374" t="inlineStr">
        <is>
          <t>No. of batches</t>
        </is>
      </c>
      <c r="D374">
        <f>IFERROR(INDEX(PP_Grid[#Data],$DD374,2),0)</f>
        <v/>
      </c>
      <c r="E374">
        <f>IFERROR(INDEX(PP_Grid[#Data],$DD374,3),0)</f>
        <v/>
      </c>
      <c r="F374">
        <f>IFERROR(INDEX(PP_Grid[#Data],$DD374,4),0)</f>
        <v/>
      </c>
      <c r="G374">
        <f>IFERROR(INDEX(PP_Grid[#Data],$DD374,5),0)</f>
        <v/>
      </c>
      <c r="H374">
        <f>IFERROR(INDEX(PP_Grid[#Data],$DD374,6),0)</f>
        <v/>
      </c>
      <c r="I374">
        <f>IFERROR(INDEX(PP_Grid[#Data],$DD374,7),0)</f>
        <v/>
      </c>
      <c r="J374">
        <f>IFERROR(INDEX(PP_Grid[#Data],$DD374,8),0)</f>
        <v/>
      </c>
      <c r="K374">
        <f>IFERROR(INDEX(PP_Grid[#Data],$DD374,9),0)</f>
        <v/>
      </c>
      <c r="L374">
        <f>IFERROR(INDEX(PP_Grid[#Data],$DD374,10),0)</f>
        <v/>
      </c>
      <c r="M374">
        <f>IFERROR(INDEX(PP_Grid[#Data],$DD374,11),0)</f>
        <v/>
      </c>
      <c r="N374">
        <f>IFERROR(INDEX(PP_Grid[#Data],$DD374,12),0)</f>
        <v/>
      </c>
      <c r="O374">
        <f>IFERROR(INDEX(PP_Grid[#Data],$DD374,13),0)</f>
        <v/>
      </c>
      <c r="P374">
        <f>IFERROR(INDEX(PP_Grid[#Data],$DD374,14),0)</f>
        <v/>
      </c>
      <c r="Q374">
        <f>IFERROR(INDEX(PP_Grid[#Data],$DD374,15),0)</f>
        <v/>
      </c>
      <c r="R374">
        <f>IFERROR(INDEX(PP_Grid[#Data],$DD374,16),0)</f>
        <v/>
      </c>
      <c r="S374">
        <f>IFERROR(INDEX(PP_Grid[#Data],$DD374,17),0)</f>
        <v/>
      </c>
      <c r="T374">
        <f>IFERROR(INDEX(PP_Grid[#Data],$DD374,18),0)</f>
        <v/>
      </c>
      <c r="U374">
        <f>IFERROR(INDEX(PP_Grid[#Data],$DD374,19),0)</f>
        <v/>
      </c>
      <c r="V374">
        <f>IFERROR(INDEX(PP_Grid[#Data],$DD374,20),0)</f>
        <v/>
      </c>
      <c r="W374">
        <f>IFERROR(INDEX(PP_Grid[#Data],$DD374,21),0)</f>
        <v/>
      </c>
      <c r="X374">
        <f>IFERROR(INDEX(PP_Grid[#Data],$DD374,22),0)</f>
        <v/>
      </c>
      <c r="Y374">
        <f>IFERROR(INDEX(PP_Grid[#Data],$DD374,23),0)</f>
        <v/>
      </c>
      <c r="Z374">
        <f>IFERROR(INDEX(PP_Grid[#Data],$DD374,24),0)</f>
        <v/>
      </c>
      <c r="AA374">
        <f>IFERROR(INDEX(PP_Grid[#Data],$DD374,25),0)</f>
        <v/>
      </c>
      <c r="AB374">
        <f>IFERROR(INDEX(PP_Grid[#Data],$DD374,26),0)</f>
        <v/>
      </c>
      <c r="AC374">
        <f>IFERROR(INDEX(PP_Grid[#Data],$DD374,27),0)</f>
        <v/>
      </c>
      <c r="AD374">
        <f>IFERROR(INDEX(PP_Grid[#Data],$DD374,28),0)</f>
        <v/>
      </c>
      <c r="AE374">
        <f>IFERROR(INDEX(PP_Grid[#Data],$DD374,29),0)</f>
        <v/>
      </c>
      <c r="AF374">
        <f>IFERROR(INDEX(PP_Grid[#Data],$DD374,30),0)</f>
        <v/>
      </c>
      <c r="AG374">
        <f>IFERROR(INDEX(PP_Grid[#Data],$DD374,31),0)</f>
        <v/>
      </c>
      <c r="AH374">
        <f>IFERROR(INDEX(PP_Grid[#Data],$DD374,32),0)</f>
        <v/>
      </c>
      <c r="AI374">
        <f>IFERROR(INDEX(PP_Grid[#Data],$DD374,33),0)</f>
        <v/>
      </c>
      <c r="AJ374">
        <f>IFERROR(INDEX(PP_Grid[#Data],$DD374,34),0)</f>
        <v/>
      </c>
      <c r="AK374">
        <f>IFERROR(INDEX(PP_Grid[#Data],$DD374,35),0)</f>
        <v/>
      </c>
      <c r="AL374">
        <f>IFERROR(INDEX(PP_Grid[#Data],$DD374,36),0)</f>
        <v/>
      </c>
      <c r="AM374">
        <f>IFERROR(INDEX(PP_Grid[#Data],$DD374,37),0)</f>
        <v/>
      </c>
      <c r="AN374">
        <f>IFERROR(INDEX(PP_Grid[#Data],$DD374,38),0)</f>
        <v/>
      </c>
      <c r="AO374">
        <f>IFERROR(INDEX(PP_Grid[#Data],$DD374,39),0)</f>
        <v/>
      </c>
      <c r="AP374">
        <f>IFERROR(INDEX(PP_Grid[#Data],$DD374,40),0)</f>
        <v/>
      </c>
      <c r="AQ374">
        <f>IFERROR(INDEX(PP_Grid[#Data],$DD374,41),0)</f>
        <v/>
      </c>
      <c r="AR374">
        <f>IFERROR(INDEX(PP_Grid[#Data],$DD374,42),0)</f>
        <v/>
      </c>
      <c r="AS374">
        <f>IFERROR(INDEX(PP_Grid[#Data],$DD374,43),0)</f>
        <v/>
      </c>
      <c r="AT374">
        <f>IFERROR(INDEX(PP_Grid[#Data],$DD374,44),0)</f>
        <v/>
      </c>
      <c r="AU374">
        <f>IFERROR(INDEX(PP_Grid[#Data],$DD374,45),0)</f>
        <v/>
      </c>
      <c r="AV374">
        <f>IFERROR(INDEX(PP_Grid[#Data],$DD374,46),0)</f>
        <v/>
      </c>
      <c r="AW374">
        <f>IFERROR(INDEX(PP_Grid[#Data],$DD374,47),0)</f>
        <v/>
      </c>
      <c r="AX374">
        <f>IFERROR(INDEX(PP_Grid[#Data],$DD374,48),0)</f>
        <v/>
      </c>
      <c r="AY374">
        <f>IFERROR(INDEX(PP_Grid[#Data],$DD374,49),0)</f>
        <v/>
      </c>
      <c r="AZ374">
        <f>IFERROR(INDEX(PP_Grid[#Data],$DD374,50),0)</f>
        <v/>
      </c>
      <c r="BA374">
        <f>IFERROR(INDEX(PP_Grid[#Data],$DD374,51),0)</f>
        <v/>
      </c>
      <c r="BB374">
        <f>IFERROR(INDEX(PP_Grid[#Data],$DD374,52),0)</f>
        <v/>
      </c>
      <c r="BC374">
        <f>IFERROR(INDEX(PP_Grid[#Data],$DD374,53),0)</f>
        <v/>
      </c>
      <c r="BD374">
        <f>IFERROR(INDEX(PP_Grid[#Data],$DD374,54),0)</f>
        <v/>
      </c>
      <c r="BE374">
        <f>IFERROR(INDEX(PP_Grid[#Data],$DD374,55),0)</f>
        <v/>
      </c>
      <c r="BF374">
        <f>IFERROR(INDEX(PP_Grid[#Data],$DD374,56),0)</f>
        <v/>
      </c>
      <c r="BG374">
        <f>IFERROR(INDEX(PP_Grid[#Data],$DD374,57),0)</f>
        <v/>
      </c>
      <c r="BH374">
        <f>IFERROR(INDEX(PP_Grid[#Data],$DD374,58),0)</f>
        <v/>
      </c>
      <c r="BI374">
        <f>IFERROR(INDEX(PP_Grid[#Data],$DD374,59),0)</f>
        <v/>
      </c>
      <c r="BJ374">
        <f>IFERROR(INDEX(PP_Grid[#Data],$DD374,60),0)</f>
        <v/>
      </c>
      <c r="BK374">
        <f>IFERROR(INDEX(PP_Grid[#Data],$DD374,61),0)</f>
        <v/>
      </c>
      <c r="BL374">
        <f>IFERROR(INDEX(PP_Grid[#Data],$DD374,62),0)</f>
        <v/>
      </c>
      <c r="BM374">
        <f>IFERROR(INDEX(PP_Grid[#Data],$DD374,63),0)</f>
        <v/>
      </c>
      <c r="BN374">
        <f>IFERROR(INDEX(PP_Grid[#Data],$DD374,64),0)</f>
        <v/>
      </c>
      <c r="BO374">
        <f>IFERROR(INDEX(PP_Grid[#Data],$DD374,65),0)</f>
        <v/>
      </c>
      <c r="BP374">
        <f>IFERROR(INDEX(PP_Grid[#Data],$DD374,66),0)</f>
        <v/>
      </c>
      <c r="BQ374">
        <f>IFERROR(INDEX(PP_Grid[#Data],$DD374,67),0)</f>
        <v/>
      </c>
      <c r="BR374">
        <f>IFERROR(INDEX(PP_Grid[#Data],$DD374,68),0)</f>
        <v/>
      </c>
      <c r="BS374">
        <f>IFERROR(INDEX(PP_Grid[#Data],$DD374,69),0)</f>
        <v/>
      </c>
      <c r="BT374">
        <f>IFERROR(INDEX(PP_Grid[#Data],$DD374,70),0)</f>
        <v/>
      </c>
      <c r="BU374">
        <f>IFERROR(INDEX(PP_Grid[#Data],$DD374,71),0)</f>
        <v/>
      </c>
      <c r="BV374">
        <f>IFERROR(INDEX(PP_Grid[#Data],$DD374,72),0)</f>
        <v/>
      </c>
      <c r="BW374">
        <f>IFERROR(INDEX(PP_Grid[#Data],$DD374,73),0)</f>
        <v/>
      </c>
      <c r="BX374">
        <f>IFERROR(INDEX(PP_Grid[#Data],$DD374,74),0)</f>
        <v/>
      </c>
      <c r="BY374">
        <f>IFERROR(INDEX(PP_Grid[#Data],$DD374,75),0)</f>
        <v/>
      </c>
      <c r="BZ374">
        <f>IFERROR(INDEX(PP_Grid[#Data],$DD374,76),0)</f>
        <v/>
      </c>
      <c r="CA374">
        <f>IFERROR(INDEX(PP_Grid[#Data],$DD374,77),0)</f>
        <v/>
      </c>
      <c r="CB374">
        <f>IFERROR(INDEX(PP_Grid[#Data],$DD374,78),0)</f>
        <v/>
      </c>
      <c r="CC374">
        <f>IFERROR(INDEX(PP_Grid[#Data],$DD374,79),0)</f>
        <v/>
      </c>
      <c r="CD374">
        <f>IFERROR(INDEX(PP_Grid[#Data],$DD374,80),0)</f>
        <v/>
      </c>
      <c r="CE374">
        <f>IFERROR(INDEX(PP_Grid[#Data],$DD374,81),0)</f>
        <v/>
      </c>
      <c r="CF374">
        <f>IFERROR(INDEX(PP_Grid[#Data],$DD374,82),0)</f>
        <v/>
      </c>
      <c r="CG374">
        <f>IFERROR(INDEX(PP_Grid[#Data],$DD374,83),0)</f>
        <v/>
      </c>
      <c r="CH374">
        <f>IFERROR(INDEX(PP_Grid[#Data],$DD374,84),0)</f>
        <v/>
      </c>
      <c r="CI374">
        <f>IFERROR(INDEX(PP_Grid[#Data],$DD374,85),0)</f>
        <v/>
      </c>
      <c r="CJ374">
        <f>IFERROR(INDEX(PP_Grid[#Data],$DD374,86),0)</f>
        <v/>
      </c>
      <c r="CK374">
        <f>IFERROR(INDEX(PP_Grid[#Data],$DD374,87),0)</f>
        <v/>
      </c>
      <c r="CL374">
        <f>IFERROR(INDEX(PP_Grid[#Data],$DD374,88),0)</f>
        <v/>
      </c>
      <c r="CM374">
        <f>IFERROR(INDEX(PP_Grid[#Data],$DD374,89),0)</f>
        <v/>
      </c>
      <c r="CN374">
        <f>IFERROR(INDEX(PP_Grid[#Data],$DD374,90),0)</f>
        <v/>
      </c>
      <c r="CO374">
        <f>IFERROR(INDEX(PP_Grid[#Data],$DD374,91),0)</f>
        <v/>
      </c>
      <c r="CP374">
        <f>IFERROR(INDEX(PP_Grid[#Data],$DD374,92),0)</f>
        <v/>
      </c>
      <c r="CQ374">
        <f>IFERROR(INDEX(PP_Grid[#Data],$DD374,93),0)</f>
        <v/>
      </c>
      <c r="CR374">
        <f>IFERROR(INDEX(PP_Grid[#Data],$DD374,94),0)</f>
        <v/>
      </c>
      <c r="CS374">
        <f>IFERROR(INDEX(PP_Grid[#Data],$DD374,95),0)</f>
        <v/>
      </c>
      <c r="CT374">
        <f>IFERROR(INDEX(PP_Grid[#Data],$DD374,96),0)</f>
        <v/>
      </c>
      <c r="CU374">
        <f>IFERROR(INDEX(PP_Grid[#Data],$DD374,97),0)</f>
        <v/>
      </c>
      <c r="CV374">
        <f>IFERROR(INDEX(PP_Grid[#Data],$DD374,98),0)</f>
        <v/>
      </c>
      <c r="CW374">
        <f>IFERROR(INDEX(PP_Grid[#Data],$DD374,99),0)</f>
        <v/>
      </c>
      <c r="CX374">
        <f>IFERROR(INDEX(PP_Grid[#Data],$DD374,100),0)</f>
        <v/>
      </c>
      <c r="CY374">
        <f>IFERROR(INDEX(PP_Grid[#Data],$DD374,101),0)</f>
        <v/>
      </c>
      <c r="CZ374">
        <f>IFERROR(INDEX(PP_Grid[#Data],$DD374,102),0)</f>
        <v/>
      </c>
      <c r="DA374">
        <f>IFERROR(INDEX(PP_Grid[#Data],$DD374,103),0)</f>
        <v/>
      </c>
      <c r="DB374">
        <f>IFERROR(INDEX(PP_Grid[#Data],$DD374,104),0)</f>
        <v/>
      </c>
      <c r="DC374">
        <f>IFERROR(INDEX(PP_Grid[#Data],$DD374,105),0)</f>
        <v/>
      </c>
      <c r="DD374" s="7">
        <f>IFERROR(MATCH($B374,PP_Grid[Intermediate],0),99999)</f>
        <v/>
      </c>
    </row>
    <row r="375">
      <c r="B375" t="inlineStr">
        <is>
          <t>使用量(kg)</t>
        </is>
      </c>
      <c r="C375">
        <f>SUMIFS(M_BOM[RM_Qty_Per_Batch],M_BOM[Intermediate],$B374,M_BOM[Part Name],$A343)</f>
        <v/>
      </c>
      <c r="D375">
        <f>$C375*D374</f>
        <v/>
      </c>
      <c r="E375">
        <f>$C375*E374</f>
        <v/>
      </c>
      <c r="F375">
        <f>$C375*F374</f>
        <v/>
      </c>
      <c r="G375">
        <f>$C375*G374</f>
        <v/>
      </c>
      <c r="H375">
        <f>$C375*H374</f>
        <v/>
      </c>
      <c r="I375">
        <f>$C375*I374</f>
        <v/>
      </c>
      <c r="J375">
        <f>$C375*J374</f>
        <v/>
      </c>
      <c r="K375">
        <f>$C375*K374</f>
        <v/>
      </c>
      <c r="L375">
        <f>$C375*L374</f>
        <v/>
      </c>
      <c r="M375">
        <f>$C375*M374</f>
        <v/>
      </c>
      <c r="N375">
        <f>$C375*N374</f>
        <v/>
      </c>
      <c r="O375">
        <f>$C375*O374</f>
        <v/>
      </c>
      <c r="P375">
        <f>$C375*P374</f>
        <v/>
      </c>
      <c r="Q375">
        <f>$C375*Q374</f>
        <v/>
      </c>
      <c r="R375">
        <f>$C375*R374</f>
        <v/>
      </c>
      <c r="S375">
        <f>$C375*S374</f>
        <v/>
      </c>
      <c r="T375">
        <f>$C375*T374</f>
        <v/>
      </c>
      <c r="U375">
        <f>$C375*U374</f>
        <v/>
      </c>
      <c r="V375">
        <f>$C375*V374</f>
        <v/>
      </c>
      <c r="W375">
        <f>$C375*W374</f>
        <v/>
      </c>
      <c r="X375">
        <f>$C375*X374</f>
        <v/>
      </c>
      <c r="Y375">
        <f>$C375*Y374</f>
        <v/>
      </c>
      <c r="Z375">
        <f>$C375*Z374</f>
        <v/>
      </c>
      <c r="AA375">
        <f>$C375*AA374</f>
        <v/>
      </c>
      <c r="AB375">
        <f>$C375*AB374</f>
        <v/>
      </c>
      <c r="AC375">
        <f>$C375*AC374</f>
        <v/>
      </c>
      <c r="AD375">
        <f>$C375*AD374</f>
        <v/>
      </c>
      <c r="AE375">
        <f>$C375*AE374</f>
        <v/>
      </c>
      <c r="AF375">
        <f>$C375*AF374</f>
        <v/>
      </c>
      <c r="AG375">
        <f>$C375*AG374</f>
        <v/>
      </c>
      <c r="AH375">
        <f>$C375*AH374</f>
        <v/>
      </c>
      <c r="AI375">
        <f>$C375*AI374</f>
        <v/>
      </c>
      <c r="AJ375">
        <f>$C375*AJ374</f>
        <v/>
      </c>
      <c r="AK375">
        <f>$C375*AK374</f>
        <v/>
      </c>
      <c r="AL375">
        <f>$C375*AL374</f>
        <v/>
      </c>
      <c r="AM375">
        <f>$C375*AM374</f>
        <v/>
      </c>
      <c r="AN375">
        <f>$C375*AN374</f>
        <v/>
      </c>
      <c r="AO375">
        <f>$C375*AO374</f>
        <v/>
      </c>
      <c r="AP375">
        <f>$C375*AP374</f>
        <v/>
      </c>
      <c r="AQ375">
        <f>$C375*AQ374</f>
        <v/>
      </c>
      <c r="AR375">
        <f>$C375*AR374</f>
        <v/>
      </c>
      <c r="AS375">
        <f>$C375*AS374</f>
        <v/>
      </c>
      <c r="AT375">
        <f>$C375*AT374</f>
        <v/>
      </c>
      <c r="AU375">
        <f>$C375*AU374</f>
        <v/>
      </c>
      <c r="AV375">
        <f>$C375*AV374</f>
        <v/>
      </c>
      <c r="AW375">
        <f>$C375*AW374</f>
        <v/>
      </c>
      <c r="AX375">
        <f>$C375*AX374</f>
        <v/>
      </c>
      <c r="AY375">
        <f>$C375*AY374</f>
        <v/>
      </c>
      <c r="AZ375">
        <f>$C375*AZ374</f>
        <v/>
      </c>
      <c r="BA375">
        <f>$C375*BA374</f>
        <v/>
      </c>
      <c r="BB375">
        <f>$C375*BB374</f>
        <v/>
      </c>
      <c r="BC375">
        <f>$C375*BC374</f>
        <v/>
      </c>
      <c r="BD375">
        <f>$C375*BD374</f>
        <v/>
      </c>
      <c r="BE375">
        <f>$C375*BE374</f>
        <v/>
      </c>
      <c r="BF375">
        <f>$C375*BF374</f>
        <v/>
      </c>
      <c r="BG375">
        <f>$C375*BG374</f>
        <v/>
      </c>
      <c r="BH375">
        <f>$C375*BH374</f>
        <v/>
      </c>
      <c r="BI375">
        <f>$C375*BI374</f>
        <v/>
      </c>
      <c r="BJ375">
        <f>$C375*BJ374</f>
        <v/>
      </c>
      <c r="BK375">
        <f>$C375*BK374</f>
        <v/>
      </c>
      <c r="BL375">
        <f>$C375*BL374</f>
        <v/>
      </c>
      <c r="BM375">
        <f>$C375*BM374</f>
        <v/>
      </c>
      <c r="BN375">
        <f>$C375*BN374</f>
        <v/>
      </c>
      <c r="BO375">
        <f>$C375*BO374</f>
        <v/>
      </c>
      <c r="BP375">
        <f>$C375*BP374</f>
        <v/>
      </c>
      <c r="BQ375">
        <f>$C375*BQ374</f>
        <v/>
      </c>
      <c r="BR375">
        <f>$C375*BR374</f>
        <v/>
      </c>
      <c r="BS375">
        <f>$C375*BS374</f>
        <v/>
      </c>
      <c r="BT375">
        <f>$C375*BT374</f>
        <v/>
      </c>
      <c r="BU375">
        <f>$C375*BU374</f>
        <v/>
      </c>
      <c r="BV375">
        <f>$C375*BV374</f>
        <v/>
      </c>
      <c r="BW375">
        <f>$C375*BW374</f>
        <v/>
      </c>
      <c r="BX375">
        <f>$C375*BX374</f>
        <v/>
      </c>
      <c r="BY375">
        <f>$C375*BY374</f>
        <v/>
      </c>
      <c r="BZ375">
        <f>$C375*BZ374</f>
        <v/>
      </c>
      <c r="CA375">
        <f>$C375*CA374</f>
        <v/>
      </c>
      <c r="CB375">
        <f>$C375*CB374</f>
        <v/>
      </c>
      <c r="CC375">
        <f>$C375*CC374</f>
        <v/>
      </c>
      <c r="CD375">
        <f>$C375*CD374</f>
        <v/>
      </c>
      <c r="CE375">
        <f>$C375*CE374</f>
        <v/>
      </c>
      <c r="CF375">
        <f>$C375*CF374</f>
        <v/>
      </c>
      <c r="CG375">
        <f>$C375*CG374</f>
        <v/>
      </c>
      <c r="CH375">
        <f>$C375*CH374</f>
        <v/>
      </c>
      <c r="CI375">
        <f>$C375*CI374</f>
        <v/>
      </c>
      <c r="CJ375">
        <f>$C375*CJ374</f>
        <v/>
      </c>
      <c r="CK375">
        <f>$C375*CK374</f>
        <v/>
      </c>
      <c r="CL375">
        <f>$C375*CL374</f>
        <v/>
      </c>
      <c r="CM375">
        <f>$C375*CM374</f>
        <v/>
      </c>
      <c r="CN375">
        <f>$C375*CN374</f>
        <v/>
      </c>
      <c r="CO375">
        <f>$C375*CO374</f>
        <v/>
      </c>
      <c r="CP375">
        <f>$C375*CP374</f>
        <v/>
      </c>
      <c r="CQ375">
        <f>$C375*CQ374</f>
        <v/>
      </c>
      <c r="CR375">
        <f>$C375*CR374</f>
        <v/>
      </c>
      <c r="CS375">
        <f>$C375*CS374</f>
        <v/>
      </c>
      <c r="CT375">
        <f>$C375*CT374</f>
        <v/>
      </c>
      <c r="CU375">
        <f>$C375*CU374</f>
        <v/>
      </c>
      <c r="CV375">
        <f>$C375*CV374</f>
        <v/>
      </c>
      <c r="CW375">
        <f>$C375*CW374</f>
        <v/>
      </c>
      <c r="CX375">
        <f>$C375*CX374</f>
        <v/>
      </c>
      <c r="CY375">
        <f>$C375*CY374</f>
        <v/>
      </c>
      <c r="CZ375">
        <f>$C375*CZ374</f>
        <v/>
      </c>
      <c r="DA375">
        <f>$C375*DA374</f>
        <v/>
      </c>
      <c r="DB375">
        <f>$C375*DB374</f>
        <v/>
      </c>
      <c r="DC375">
        <f>$C375*DC374</f>
        <v/>
      </c>
    </row>
    <row r="376">
      <c r="B376" t="inlineStr">
        <is>
          <t>TSP-544</t>
        </is>
      </c>
      <c r="C376" t="inlineStr">
        <is>
          <t>No. of batches</t>
        </is>
      </c>
      <c r="D376">
        <f>IFERROR(INDEX(PP_Grid[#Data],$DD376,2),0)</f>
        <v/>
      </c>
      <c r="E376">
        <f>IFERROR(INDEX(PP_Grid[#Data],$DD376,3),0)</f>
        <v/>
      </c>
      <c r="F376">
        <f>IFERROR(INDEX(PP_Grid[#Data],$DD376,4),0)</f>
        <v/>
      </c>
      <c r="G376">
        <f>IFERROR(INDEX(PP_Grid[#Data],$DD376,5),0)</f>
        <v/>
      </c>
      <c r="H376">
        <f>IFERROR(INDEX(PP_Grid[#Data],$DD376,6),0)</f>
        <v/>
      </c>
      <c r="I376">
        <f>IFERROR(INDEX(PP_Grid[#Data],$DD376,7),0)</f>
        <v/>
      </c>
      <c r="J376">
        <f>IFERROR(INDEX(PP_Grid[#Data],$DD376,8),0)</f>
        <v/>
      </c>
      <c r="K376">
        <f>IFERROR(INDEX(PP_Grid[#Data],$DD376,9),0)</f>
        <v/>
      </c>
      <c r="L376">
        <f>IFERROR(INDEX(PP_Grid[#Data],$DD376,10),0)</f>
        <v/>
      </c>
      <c r="M376">
        <f>IFERROR(INDEX(PP_Grid[#Data],$DD376,11),0)</f>
        <v/>
      </c>
      <c r="N376">
        <f>IFERROR(INDEX(PP_Grid[#Data],$DD376,12),0)</f>
        <v/>
      </c>
      <c r="O376">
        <f>IFERROR(INDEX(PP_Grid[#Data],$DD376,13),0)</f>
        <v/>
      </c>
      <c r="P376">
        <f>IFERROR(INDEX(PP_Grid[#Data],$DD376,14),0)</f>
        <v/>
      </c>
      <c r="Q376">
        <f>IFERROR(INDEX(PP_Grid[#Data],$DD376,15),0)</f>
        <v/>
      </c>
      <c r="R376">
        <f>IFERROR(INDEX(PP_Grid[#Data],$DD376,16),0)</f>
        <v/>
      </c>
      <c r="S376">
        <f>IFERROR(INDEX(PP_Grid[#Data],$DD376,17),0)</f>
        <v/>
      </c>
      <c r="T376">
        <f>IFERROR(INDEX(PP_Grid[#Data],$DD376,18),0)</f>
        <v/>
      </c>
      <c r="U376">
        <f>IFERROR(INDEX(PP_Grid[#Data],$DD376,19),0)</f>
        <v/>
      </c>
      <c r="V376">
        <f>IFERROR(INDEX(PP_Grid[#Data],$DD376,20),0)</f>
        <v/>
      </c>
      <c r="W376">
        <f>IFERROR(INDEX(PP_Grid[#Data],$DD376,21),0)</f>
        <v/>
      </c>
      <c r="X376">
        <f>IFERROR(INDEX(PP_Grid[#Data],$DD376,22),0)</f>
        <v/>
      </c>
      <c r="Y376">
        <f>IFERROR(INDEX(PP_Grid[#Data],$DD376,23),0)</f>
        <v/>
      </c>
      <c r="Z376">
        <f>IFERROR(INDEX(PP_Grid[#Data],$DD376,24),0)</f>
        <v/>
      </c>
      <c r="AA376">
        <f>IFERROR(INDEX(PP_Grid[#Data],$DD376,25),0)</f>
        <v/>
      </c>
      <c r="AB376">
        <f>IFERROR(INDEX(PP_Grid[#Data],$DD376,26),0)</f>
        <v/>
      </c>
      <c r="AC376">
        <f>IFERROR(INDEX(PP_Grid[#Data],$DD376,27),0)</f>
        <v/>
      </c>
      <c r="AD376">
        <f>IFERROR(INDEX(PP_Grid[#Data],$DD376,28),0)</f>
        <v/>
      </c>
      <c r="AE376">
        <f>IFERROR(INDEX(PP_Grid[#Data],$DD376,29),0)</f>
        <v/>
      </c>
      <c r="AF376">
        <f>IFERROR(INDEX(PP_Grid[#Data],$DD376,30),0)</f>
        <v/>
      </c>
      <c r="AG376">
        <f>IFERROR(INDEX(PP_Grid[#Data],$DD376,31),0)</f>
        <v/>
      </c>
      <c r="AH376">
        <f>IFERROR(INDEX(PP_Grid[#Data],$DD376,32),0)</f>
        <v/>
      </c>
      <c r="AI376">
        <f>IFERROR(INDEX(PP_Grid[#Data],$DD376,33),0)</f>
        <v/>
      </c>
      <c r="AJ376">
        <f>IFERROR(INDEX(PP_Grid[#Data],$DD376,34),0)</f>
        <v/>
      </c>
      <c r="AK376">
        <f>IFERROR(INDEX(PP_Grid[#Data],$DD376,35),0)</f>
        <v/>
      </c>
      <c r="AL376">
        <f>IFERROR(INDEX(PP_Grid[#Data],$DD376,36),0)</f>
        <v/>
      </c>
      <c r="AM376">
        <f>IFERROR(INDEX(PP_Grid[#Data],$DD376,37),0)</f>
        <v/>
      </c>
      <c r="AN376">
        <f>IFERROR(INDEX(PP_Grid[#Data],$DD376,38),0)</f>
        <v/>
      </c>
      <c r="AO376">
        <f>IFERROR(INDEX(PP_Grid[#Data],$DD376,39),0)</f>
        <v/>
      </c>
      <c r="AP376">
        <f>IFERROR(INDEX(PP_Grid[#Data],$DD376,40),0)</f>
        <v/>
      </c>
      <c r="AQ376">
        <f>IFERROR(INDEX(PP_Grid[#Data],$DD376,41),0)</f>
        <v/>
      </c>
      <c r="AR376">
        <f>IFERROR(INDEX(PP_Grid[#Data],$DD376,42),0)</f>
        <v/>
      </c>
      <c r="AS376">
        <f>IFERROR(INDEX(PP_Grid[#Data],$DD376,43),0)</f>
        <v/>
      </c>
      <c r="AT376">
        <f>IFERROR(INDEX(PP_Grid[#Data],$DD376,44),0)</f>
        <v/>
      </c>
      <c r="AU376">
        <f>IFERROR(INDEX(PP_Grid[#Data],$DD376,45),0)</f>
        <v/>
      </c>
      <c r="AV376">
        <f>IFERROR(INDEX(PP_Grid[#Data],$DD376,46),0)</f>
        <v/>
      </c>
      <c r="AW376">
        <f>IFERROR(INDEX(PP_Grid[#Data],$DD376,47),0)</f>
        <v/>
      </c>
      <c r="AX376">
        <f>IFERROR(INDEX(PP_Grid[#Data],$DD376,48),0)</f>
        <v/>
      </c>
      <c r="AY376">
        <f>IFERROR(INDEX(PP_Grid[#Data],$DD376,49),0)</f>
        <v/>
      </c>
      <c r="AZ376">
        <f>IFERROR(INDEX(PP_Grid[#Data],$DD376,50),0)</f>
        <v/>
      </c>
      <c r="BA376">
        <f>IFERROR(INDEX(PP_Grid[#Data],$DD376,51),0)</f>
        <v/>
      </c>
      <c r="BB376">
        <f>IFERROR(INDEX(PP_Grid[#Data],$DD376,52),0)</f>
        <v/>
      </c>
      <c r="BC376">
        <f>IFERROR(INDEX(PP_Grid[#Data],$DD376,53),0)</f>
        <v/>
      </c>
      <c r="BD376">
        <f>IFERROR(INDEX(PP_Grid[#Data],$DD376,54),0)</f>
        <v/>
      </c>
      <c r="BE376">
        <f>IFERROR(INDEX(PP_Grid[#Data],$DD376,55),0)</f>
        <v/>
      </c>
      <c r="BF376">
        <f>IFERROR(INDEX(PP_Grid[#Data],$DD376,56),0)</f>
        <v/>
      </c>
      <c r="BG376">
        <f>IFERROR(INDEX(PP_Grid[#Data],$DD376,57),0)</f>
        <v/>
      </c>
      <c r="BH376">
        <f>IFERROR(INDEX(PP_Grid[#Data],$DD376,58),0)</f>
        <v/>
      </c>
      <c r="BI376">
        <f>IFERROR(INDEX(PP_Grid[#Data],$DD376,59),0)</f>
        <v/>
      </c>
      <c r="BJ376">
        <f>IFERROR(INDEX(PP_Grid[#Data],$DD376,60),0)</f>
        <v/>
      </c>
      <c r="BK376">
        <f>IFERROR(INDEX(PP_Grid[#Data],$DD376,61),0)</f>
        <v/>
      </c>
      <c r="BL376">
        <f>IFERROR(INDEX(PP_Grid[#Data],$DD376,62),0)</f>
        <v/>
      </c>
      <c r="BM376">
        <f>IFERROR(INDEX(PP_Grid[#Data],$DD376,63),0)</f>
        <v/>
      </c>
      <c r="BN376">
        <f>IFERROR(INDEX(PP_Grid[#Data],$DD376,64),0)</f>
        <v/>
      </c>
      <c r="BO376">
        <f>IFERROR(INDEX(PP_Grid[#Data],$DD376,65),0)</f>
        <v/>
      </c>
      <c r="BP376">
        <f>IFERROR(INDEX(PP_Grid[#Data],$DD376,66),0)</f>
        <v/>
      </c>
      <c r="BQ376">
        <f>IFERROR(INDEX(PP_Grid[#Data],$DD376,67),0)</f>
        <v/>
      </c>
      <c r="BR376">
        <f>IFERROR(INDEX(PP_Grid[#Data],$DD376,68),0)</f>
        <v/>
      </c>
      <c r="BS376">
        <f>IFERROR(INDEX(PP_Grid[#Data],$DD376,69),0)</f>
        <v/>
      </c>
      <c r="BT376">
        <f>IFERROR(INDEX(PP_Grid[#Data],$DD376,70),0)</f>
        <v/>
      </c>
      <c r="BU376">
        <f>IFERROR(INDEX(PP_Grid[#Data],$DD376,71),0)</f>
        <v/>
      </c>
      <c r="BV376">
        <f>IFERROR(INDEX(PP_Grid[#Data],$DD376,72),0)</f>
        <v/>
      </c>
      <c r="BW376">
        <f>IFERROR(INDEX(PP_Grid[#Data],$DD376,73),0)</f>
        <v/>
      </c>
      <c r="BX376">
        <f>IFERROR(INDEX(PP_Grid[#Data],$DD376,74),0)</f>
        <v/>
      </c>
      <c r="BY376">
        <f>IFERROR(INDEX(PP_Grid[#Data],$DD376,75),0)</f>
        <v/>
      </c>
      <c r="BZ376">
        <f>IFERROR(INDEX(PP_Grid[#Data],$DD376,76),0)</f>
        <v/>
      </c>
      <c r="CA376">
        <f>IFERROR(INDEX(PP_Grid[#Data],$DD376,77),0)</f>
        <v/>
      </c>
      <c r="CB376">
        <f>IFERROR(INDEX(PP_Grid[#Data],$DD376,78),0)</f>
        <v/>
      </c>
      <c r="CC376">
        <f>IFERROR(INDEX(PP_Grid[#Data],$DD376,79),0)</f>
        <v/>
      </c>
      <c r="CD376">
        <f>IFERROR(INDEX(PP_Grid[#Data],$DD376,80),0)</f>
        <v/>
      </c>
      <c r="CE376">
        <f>IFERROR(INDEX(PP_Grid[#Data],$DD376,81),0)</f>
        <v/>
      </c>
      <c r="CF376">
        <f>IFERROR(INDEX(PP_Grid[#Data],$DD376,82),0)</f>
        <v/>
      </c>
      <c r="CG376">
        <f>IFERROR(INDEX(PP_Grid[#Data],$DD376,83),0)</f>
        <v/>
      </c>
      <c r="CH376">
        <f>IFERROR(INDEX(PP_Grid[#Data],$DD376,84),0)</f>
        <v/>
      </c>
      <c r="CI376">
        <f>IFERROR(INDEX(PP_Grid[#Data],$DD376,85),0)</f>
        <v/>
      </c>
      <c r="CJ376">
        <f>IFERROR(INDEX(PP_Grid[#Data],$DD376,86),0)</f>
        <v/>
      </c>
      <c r="CK376">
        <f>IFERROR(INDEX(PP_Grid[#Data],$DD376,87),0)</f>
        <v/>
      </c>
      <c r="CL376">
        <f>IFERROR(INDEX(PP_Grid[#Data],$DD376,88),0)</f>
        <v/>
      </c>
      <c r="CM376">
        <f>IFERROR(INDEX(PP_Grid[#Data],$DD376,89),0)</f>
        <v/>
      </c>
      <c r="CN376">
        <f>IFERROR(INDEX(PP_Grid[#Data],$DD376,90),0)</f>
        <v/>
      </c>
      <c r="CO376">
        <f>IFERROR(INDEX(PP_Grid[#Data],$DD376,91),0)</f>
        <v/>
      </c>
      <c r="CP376">
        <f>IFERROR(INDEX(PP_Grid[#Data],$DD376,92),0)</f>
        <v/>
      </c>
      <c r="CQ376">
        <f>IFERROR(INDEX(PP_Grid[#Data],$DD376,93),0)</f>
        <v/>
      </c>
      <c r="CR376">
        <f>IFERROR(INDEX(PP_Grid[#Data],$DD376,94),0)</f>
        <v/>
      </c>
      <c r="CS376">
        <f>IFERROR(INDEX(PP_Grid[#Data],$DD376,95),0)</f>
        <v/>
      </c>
      <c r="CT376">
        <f>IFERROR(INDEX(PP_Grid[#Data],$DD376,96),0)</f>
        <v/>
      </c>
      <c r="CU376">
        <f>IFERROR(INDEX(PP_Grid[#Data],$DD376,97),0)</f>
        <v/>
      </c>
      <c r="CV376">
        <f>IFERROR(INDEX(PP_Grid[#Data],$DD376,98),0)</f>
        <v/>
      </c>
      <c r="CW376">
        <f>IFERROR(INDEX(PP_Grid[#Data],$DD376,99),0)</f>
        <v/>
      </c>
      <c r="CX376">
        <f>IFERROR(INDEX(PP_Grid[#Data],$DD376,100),0)</f>
        <v/>
      </c>
      <c r="CY376">
        <f>IFERROR(INDEX(PP_Grid[#Data],$DD376,101),0)</f>
        <v/>
      </c>
      <c r="CZ376">
        <f>IFERROR(INDEX(PP_Grid[#Data],$DD376,102),0)</f>
        <v/>
      </c>
      <c r="DA376">
        <f>IFERROR(INDEX(PP_Grid[#Data],$DD376,103),0)</f>
        <v/>
      </c>
      <c r="DB376">
        <f>IFERROR(INDEX(PP_Grid[#Data],$DD376,104),0)</f>
        <v/>
      </c>
      <c r="DC376">
        <f>IFERROR(INDEX(PP_Grid[#Data],$DD376,105),0)</f>
        <v/>
      </c>
      <c r="DD376" s="7">
        <f>IFERROR(MATCH($B376,PP_Grid[Intermediate],0),99999)</f>
        <v/>
      </c>
    </row>
    <row r="377">
      <c r="B377" t="inlineStr">
        <is>
          <t>使用量(kg)</t>
        </is>
      </c>
      <c r="C377">
        <f>SUMIFS(M_BOM[RM_Qty_Per_Batch],M_BOM[Intermediate],$B376,M_BOM[Part Name],$A343)</f>
        <v/>
      </c>
      <c r="D377">
        <f>$C377*D376</f>
        <v/>
      </c>
      <c r="E377">
        <f>$C377*E376</f>
        <v/>
      </c>
      <c r="F377">
        <f>$C377*F376</f>
        <v/>
      </c>
      <c r="G377">
        <f>$C377*G376</f>
        <v/>
      </c>
      <c r="H377">
        <f>$C377*H376</f>
        <v/>
      </c>
      <c r="I377">
        <f>$C377*I376</f>
        <v/>
      </c>
      <c r="J377">
        <f>$C377*J376</f>
        <v/>
      </c>
      <c r="K377">
        <f>$C377*K376</f>
        <v/>
      </c>
      <c r="L377">
        <f>$C377*L376</f>
        <v/>
      </c>
      <c r="M377">
        <f>$C377*M376</f>
        <v/>
      </c>
      <c r="N377">
        <f>$C377*N376</f>
        <v/>
      </c>
      <c r="O377">
        <f>$C377*O376</f>
        <v/>
      </c>
      <c r="P377">
        <f>$C377*P376</f>
        <v/>
      </c>
      <c r="Q377">
        <f>$C377*Q376</f>
        <v/>
      </c>
      <c r="R377">
        <f>$C377*R376</f>
        <v/>
      </c>
      <c r="S377">
        <f>$C377*S376</f>
        <v/>
      </c>
      <c r="T377">
        <f>$C377*T376</f>
        <v/>
      </c>
      <c r="U377">
        <f>$C377*U376</f>
        <v/>
      </c>
      <c r="V377">
        <f>$C377*V376</f>
        <v/>
      </c>
      <c r="W377">
        <f>$C377*W376</f>
        <v/>
      </c>
      <c r="X377">
        <f>$C377*X376</f>
        <v/>
      </c>
      <c r="Y377">
        <f>$C377*Y376</f>
        <v/>
      </c>
      <c r="Z377">
        <f>$C377*Z376</f>
        <v/>
      </c>
      <c r="AA377">
        <f>$C377*AA376</f>
        <v/>
      </c>
      <c r="AB377">
        <f>$C377*AB376</f>
        <v/>
      </c>
      <c r="AC377">
        <f>$C377*AC376</f>
        <v/>
      </c>
      <c r="AD377">
        <f>$C377*AD376</f>
        <v/>
      </c>
      <c r="AE377">
        <f>$C377*AE376</f>
        <v/>
      </c>
      <c r="AF377">
        <f>$C377*AF376</f>
        <v/>
      </c>
      <c r="AG377">
        <f>$C377*AG376</f>
        <v/>
      </c>
      <c r="AH377">
        <f>$C377*AH376</f>
        <v/>
      </c>
      <c r="AI377">
        <f>$C377*AI376</f>
        <v/>
      </c>
      <c r="AJ377">
        <f>$C377*AJ376</f>
        <v/>
      </c>
      <c r="AK377">
        <f>$C377*AK376</f>
        <v/>
      </c>
      <c r="AL377">
        <f>$C377*AL376</f>
        <v/>
      </c>
      <c r="AM377">
        <f>$C377*AM376</f>
        <v/>
      </c>
      <c r="AN377">
        <f>$C377*AN376</f>
        <v/>
      </c>
      <c r="AO377">
        <f>$C377*AO376</f>
        <v/>
      </c>
      <c r="AP377">
        <f>$C377*AP376</f>
        <v/>
      </c>
      <c r="AQ377">
        <f>$C377*AQ376</f>
        <v/>
      </c>
      <c r="AR377">
        <f>$C377*AR376</f>
        <v/>
      </c>
      <c r="AS377">
        <f>$C377*AS376</f>
        <v/>
      </c>
      <c r="AT377">
        <f>$C377*AT376</f>
        <v/>
      </c>
      <c r="AU377">
        <f>$C377*AU376</f>
        <v/>
      </c>
      <c r="AV377">
        <f>$C377*AV376</f>
        <v/>
      </c>
      <c r="AW377">
        <f>$C377*AW376</f>
        <v/>
      </c>
      <c r="AX377">
        <f>$C377*AX376</f>
        <v/>
      </c>
      <c r="AY377">
        <f>$C377*AY376</f>
        <v/>
      </c>
      <c r="AZ377">
        <f>$C377*AZ376</f>
        <v/>
      </c>
      <c r="BA377">
        <f>$C377*BA376</f>
        <v/>
      </c>
      <c r="BB377">
        <f>$C377*BB376</f>
        <v/>
      </c>
      <c r="BC377">
        <f>$C377*BC376</f>
        <v/>
      </c>
      <c r="BD377">
        <f>$C377*BD376</f>
        <v/>
      </c>
      <c r="BE377">
        <f>$C377*BE376</f>
        <v/>
      </c>
      <c r="BF377">
        <f>$C377*BF376</f>
        <v/>
      </c>
      <c r="BG377">
        <f>$C377*BG376</f>
        <v/>
      </c>
      <c r="BH377">
        <f>$C377*BH376</f>
        <v/>
      </c>
      <c r="BI377">
        <f>$C377*BI376</f>
        <v/>
      </c>
      <c r="BJ377">
        <f>$C377*BJ376</f>
        <v/>
      </c>
      <c r="BK377">
        <f>$C377*BK376</f>
        <v/>
      </c>
      <c r="BL377">
        <f>$C377*BL376</f>
        <v/>
      </c>
      <c r="BM377">
        <f>$C377*BM376</f>
        <v/>
      </c>
      <c r="BN377">
        <f>$C377*BN376</f>
        <v/>
      </c>
      <c r="BO377">
        <f>$C377*BO376</f>
        <v/>
      </c>
      <c r="BP377">
        <f>$C377*BP376</f>
        <v/>
      </c>
      <c r="BQ377">
        <f>$C377*BQ376</f>
        <v/>
      </c>
      <c r="BR377">
        <f>$C377*BR376</f>
        <v/>
      </c>
      <c r="BS377">
        <f>$C377*BS376</f>
        <v/>
      </c>
      <c r="BT377">
        <f>$C377*BT376</f>
        <v/>
      </c>
      <c r="BU377">
        <f>$C377*BU376</f>
        <v/>
      </c>
      <c r="BV377">
        <f>$C377*BV376</f>
        <v/>
      </c>
      <c r="BW377">
        <f>$C377*BW376</f>
        <v/>
      </c>
      <c r="BX377">
        <f>$C377*BX376</f>
        <v/>
      </c>
      <c r="BY377">
        <f>$C377*BY376</f>
        <v/>
      </c>
      <c r="BZ377">
        <f>$C377*BZ376</f>
        <v/>
      </c>
      <c r="CA377">
        <f>$C377*CA376</f>
        <v/>
      </c>
      <c r="CB377">
        <f>$C377*CB376</f>
        <v/>
      </c>
      <c r="CC377">
        <f>$C377*CC376</f>
        <v/>
      </c>
      <c r="CD377">
        <f>$C377*CD376</f>
        <v/>
      </c>
      <c r="CE377">
        <f>$C377*CE376</f>
        <v/>
      </c>
      <c r="CF377">
        <f>$C377*CF376</f>
        <v/>
      </c>
      <c r="CG377">
        <f>$C377*CG376</f>
        <v/>
      </c>
      <c r="CH377">
        <f>$C377*CH376</f>
        <v/>
      </c>
      <c r="CI377">
        <f>$C377*CI376</f>
        <v/>
      </c>
      <c r="CJ377">
        <f>$C377*CJ376</f>
        <v/>
      </c>
      <c r="CK377">
        <f>$C377*CK376</f>
        <v/>
      </c>
      <c r="CL377">
        <f>$C377*CL376</f>
        <v/>
      </c>
      <c r="CM377">
        <f>$C377*CM376</f>
        <v/>
      </c>
      <c r="CN377">
        <f>$C377*CN376</f>
        <v/>
      </c>
      <c r="CO377">
        <f>$C377*CO376</f>
        <v/>
      </c>
      <c r="CP377">
        <f>$C377*CP376</f>
        <v/>
      </c>
      <c r="CQ377">
        <f>$C377*CQ376</f>
        <v/>
      </c>
      <c r="CR377">
        <f>$C377*CR376</f>
        <v/>
      </c>
      <c r="CS377">
        <f>$C377*CS376</f>
        <v/>
      </c>
      <c r="CT377">
        <f>$C377*CT376</f>
        <v/>
      </c>
      <c r="CU377">
        <f>$C377*CU376</f>
        <v/>
      </c>
      <c r="CV377">
        <f>$C377*CV376</f>
        <v/>
      </c>
      <c r="CW377">
        <f>$C377*CW376</f>
        <v/>
      </c>
      <c r="CX377">
        <f>$C377*CX376</f>
        <v/>
      </c>
      <c r="CY377">
        <f>$C377*CY376</f>
        <v/>
      </c>
      <c r="CZ377">
        <f>$C377*CZ376</f>
        <v/>
      </c>
      <c r="DA377">
        <f>$C377*DA376</f>
        <v/>
      </c>
      <c r="DB377">
        <f>$C377*DB376</f>
        <v/>
      </c>
      <c r="DC377">
        <f>$C377*DC376</f>
        <v/>
      </c>
    </row>
    <row r="378">
      <c r="B378" t="inlineStr">
        <is>
          <t>TSP-558</t>
        </is>
      </c>
      <c r="C378" t="inlineStr">
        <is>
          <t>No. of batches</t>
        </is>
      </c>
      <c r="D378">
        <f>IFERROR(INDEX(PP_Grid[#Data],$DD378,2),0)</f>
        <v/>
      </c>
      <c r="E378">
        <f>IFERROR(INDEX(PP_Grid[#Data],$DD378,3),0)</f>
        <v/>
      </c>
      <c r="F378">
        <f>IFERROR(INDEX(PP_Grid[#Data],$DD378,4),0)</f>
        <v/>
      </c>
      <c r="G378">
        <f>IFERROR(INDEX(PP_Grid[#Data],$DD378,5),0)</f>
        <v/>
      </c>
      <c r="H378">
        <f>IFERROR(INDEX(PP_Grid[#Data],$DD378,6),0)</f>
        <v/>
      </c>
      <c r="I378">
        <f>IFERROR(INDEX(PP_Grid[#Data],$DD378,7),0)</f>
        <v/>
      </c>
      <c r="J378">
        <f>IFERROR(INDEX(PP_Grid[#Data],$DD378,8),0)</f>
        <v/>
      </c>
      <c r="K378">
        <f>IFERROR(INDEX(PP_Grid[#Data],$DD378,9),0)</f>
        <v/>
      </c>
      <c r="L378">
        <f>IFERROR(INDEX(PP_Grid[#Data],$DD378,10),0)</f>
        <v/>
      </c>
      <c r="M378">
        <f>IFERROR(INDEX(PP_Grid[#Data],$DD378,11),0)</f>
        <v/>
      </c>
      <c r="N378">
        <f>IFERROR(INDEX(PP_Grid[#Data],$DD378,12),0)</f>
        <v/>
      </c>
      <c r="O378">
        <f>IFERROR(INDEX(PP_Grid[#Data],$DD378,13),0)</f>
        <v/>
      </c>
      <c r="P378">
        <f>IFERROR(INDEX(PP_Grid[#Data],$DD378,14),0)</f>
        <v/>
      </c>
      <c r="Q378">
        <f>IFERROR(INDEX(PP_Grid[#Data],$DD378,15),0)</f>
        <v/>
      </c>
      <c r="R378">
        <f>IFERROR(INDEX(PP_Grid[#Data],$DD378,16),0)</f>
        <v/>
      </c>
      <c r="S378">
        <f>IFERROR(INDEX(PP_Grid[#Data],$DD378,17),0)</f>
        <v/>
      </c>
      <c r="T378">
        <f>IFERROR(INDEX(PP_Grid[#Data],$DD378,18),0)</f>
        <v/>
      </c>
      <c r="U378">
        <f>IFERROR(INDEX(PP_Grid[#Data],$DD378,19),0)</f>
        <v/>
      </c>
      <c r="V378">
        <f>IFERROR(INDEX(PP_Grid[#Data],$DD378,20),0)</f>
        <v/>
      </c>
      <c r="W378">
        <f>IFERROR(INDEX(PP_Grid[#Data],$DD378,21),0)</f>
        <v/>
      </c>
      <c r="X378">
        <f>IFERROR(INDEX(PP_Grid[#Data],$DD378,22),0)</f>
        <v/>
      </c>
      <c r="Y378">
        <f>IFERROR(INDEX(PP_Grid[#Data],$DD378,23),0)</f>
        <v/>
      </c>
      <c r="Z378">
        <f>IFERROR(INDEX(PP_Grid[#Data],$DD378,24),0)</f>
        <v/>
      </c>
      <c r="AA378">
        <f>IFERROR(INDEX(PP_Grid[#Data],$DD378,25),0)</f>
        <v/>
      </c>
      <c r="AB378">
        <f>IFERROR(INDEX(PP_Grid[#Data],$DD378,26),0)</f>
        <v/>
      </c>
      <c r="AC378">
        <f>IFERROR(INDEX(PP_Grid[#Data],$DD378,27),0)</f>
        <v/>
      </c>
      <c r="AD378">
        <f>IFERROR(INDEX(PP_Grid[#Data],$DD378,28),0)</f>
        <v/>
      </c>
      <c r="AE378">
        <f>IFERROR(INDEX(PP_Grid[#Data],$DD378,29),0)</f>
        <v/>
      </c>
      <c r="AF378">
        <f>IFERROR(INDEX(PP_Grid[#Data],$DD378,30),0)</f>
        <v/>
      </c>
      <c r="AG378">
        <f>IFERROR(INDEX(PP_Grid[#Data],$DD378,31),0)</f>
        <v/>
      </c>
      <c r="AH378">
        <f>IFERROR(INDEX(PP_Grid[#Data],$DD378,32),0)</f>
        <v/>
      </c>
      <c r="AI378">
        <f>IFERROR(INDEX(PP_Grid[#Data],$DD378,33),0)</f>
        <v/>
      </c>
      <c r="AJ378">
        <f>IFERROR(INDEX(PP_Grid[#Data],$DD378,34),0)</f>
        <v/>
      </c>
      <c r="AK378">
        <f>IFERROR(INDEX(PP_Grid[#Data],$DD378,35),0)</f>
        <v/>
      </c>
      <c r="AL378">
        <f>IFERROR(INDEX(PP_Grid[#Data],$DD378,36),0)</f>
        <v/>
      </c>
      <c r="AM378">
        <f>IFERROR(INDEX(PP_Grid[#Data],$DD378,37),0)</f>
        <v/>
      </c>
      <c r="AN378">
        <f>IFERROR(INDEX(PP_Grid[#Data],$DD378,38),0)</f>
        <v/>
      </c>
      <c r="AO378">
        <f>IFERROR(INDEX(PP_Grid[#Data],$DD378,39),0)</f>
        <v/>
      </c>
      <c r="AP378">
        <f>IFERROR(INDEX(PP_Grid[#Data],$DD378,40),0)</f>
        <v/>
      </c>
      <c r="AQ378">
        <f>IFERROR(INDEX(PP_Grid[#Data],$DD378,41),0)</f>
        <v/>
      </c>
      <c r="AR378">
        <f>IFERROR(INDEX(PP_Grid[#Data],$DD378,42),0)</f>
        <v/>
      </c>
      <c r="AS378">
        <f>IFERROR(INDEX(PP_Grid[#Data],$DD378,43),0)</f>
        <v/>
      </c>
      <c r="AT378">
        <f>IFERROR(INDEX(PP_Grid[#Data],$DD378,44),0)</f>
        <v/>
      </c>
      <c r="AU378">
        <f>IFERROR(INDEX(PP_Grid[#Data],$DD378,45),0)</f>
        <v/>
      </c>
      <c r="AV378">
        <f>IFERROR(INDEX(PP_Grid[#Data],$DD378,46),0)</f>
        <v/>
      </c>
      <c r="AW378">
        <f>IFERROR(INDEX(PP_Grid[#Data],$DD378,47),0)</f>
        <v/>
      </c>
      <c r="AX378">
        <f>IFERROR(INDEX(PP_Grid[#Data],$DD378,48),0)</f>
        <v/>
      </c>
      <c r="AY378">
        <f>IFERROR(INDEX(PP_Grid[#Data],$DD378,49),0)</f>
        <v/>
      </c>
      <c r="AZ378">
        <f>IFERROR(INDEX(PP_Grid[#Data],$DD378,50),0)</f>
        <v/>
      </c>
      <c r="BA378">
        <f>IFERROR(INDEX(PP_Grid[#Data],$DD378,51),0)</f>
        <v/>
      </c>
      <c r="BB378">
        <f>IFERROR(INDEX(PP_Grid[#Data],$DD378,52),0)</f>
        <v/>
      </c>
      <c r="BC378">
        <f>IFERROR(INDEX(PP_Grid[#Data],$DD378,53),0)</f>
        <v/>
      </c>
      <c r="BD378">
        <f>IFERROR(INDEX(PP_Grid[#Data],$DD378,54),0)</f>
        <v/>
      </c>
      <c r="BE378">
        <f>IFERROR(INDEX(PP_Grid[#Data],$DD378,55),0)</f>
        <v/>
      </c>
      <c r="BF378">
        <f>IFERROR(INDEX(PP_Grid[#Data],$DD378,56),0)</f>
        <v/>
      </c>
      <c r="BG378">
        <f>IFERROR(INDEX(PP_Grid[#Data],$DD378,57),0)</f>
        <v/>
      </c>
      <c r="BH378">
        <f>IFERROR(INDEX(PP_Grid[#Data],$DD378,58),0)</f>
        <v/>
      </c>
      <c r="BI378">
        <f>IFERROR(INDEX(PP_Grid[#Data],$DD378,59),0)</f>
        <v/>
      </c>
      <c r="BJ378">
        <f>IFERROR(INDEX(PP_Grid[#Data],$DD378,60),0)</f>
        <v/>
      </c>
      <c r="BK378">
        <f>IFERROR(INDEX(PP_Grid[#Data],$DD378,61),0)</f>
        <v/>
      </c>
      <c r="BL378">
        <f>IFERROR(INDEX(PP_Grid[#Data],$DD378,62),0)</f>
        <v/>
      </c>
      <c r="BM378">
        <f>IFERROR(INDEX(PP_Grid[#Data],$DD378,63),0)</f>
        <v/>
      </c>
      <c r="BN378">
        <f>IFERROR(INDEX(PP_Grid[#Data],$DD378,64),0)</f>
        <v/>
      </c>
      <c r="BO378">
        <f>IFERROR(INDEX(PP_Grid[#Data],$DD378,65),0)</f>
        <v/>
      </c>
      <c r="BP378">
        <f>IFERROR(INDEX(PP_Grid[#Data],$DD378,66),0)</f>
        <v/>
      </c>
      <c r="BQ378">
        <f>IFERROR(INDEX(PP_Grid[#Data],$DD378,67),0)</f>
        <v/>
      </c>
      <c r="BR378">
        <f>IFERROR(INDEX(PP_Grid[#Data],$DD378,68),0)</f>
        <v/>
      </c>
      <c r="BS378">
        <f>IFERROR(INDEX(PP_Grid[#Data],$DD378,69),0)</f>
        <v/>
      </c>
      <c r="BT378">
        <f>IFERROR(INDEX(PP_Grid[#Data],$DD378,70),0)</f>
        <v/>
      </c>
      <c r="BU378">
        <f>IFERROR(INDEX(PP_Grid[#Data],$DD378,71),0)</f>
        <v/>
      </c>
      <c r="BV378">
        <f>IFERROR(INDEX(PP_Grid[#Data],$DD378,72),0)</f>
        <v/>
      </c>
      <c r="BW378">
        <f>IFERROR(INDEX(PP_Grid[#Data],$DD378,73),0)</f>
        <v/>
      </c>
      <c r="BX378">
        <f>IFERROR(INDEX(PP_Grid[#Data],$DD378,74),0)</f>
        <v/>
      </c>
      <c r="BY378">
        <f>IFERROR(INDEX(PP_Grid[#Data],$DD378,75),0)</f>
        <v/>
      </c>
      <c r="BZ378">
        <f>IFERROR(INDEX(PP_Grid[#Data],$DD378,76),0)</f>
        <v/>
      </c>
      <c r="CA378">
        <f>IFERROR(INDEX(PP_Grid[#Data],$DD378,77),0)</f>
        <v/>
      </c>
      <c r="CB378">
        <f>IFERROR(INDEX(PP_Grid[#Data],$DD378,78),0)</f>
        <v/>
      </c>
      <c r="CC378">
        <f>IFERROR(INDEX(PP_Grid[#Data],$DD378,79),0)</f>
        <v/>
      </c>
      <c r="CD378">
        <f>IFERROR(INDEX(PP_Grid[#Data],$DD378,80),0)</f>
        <v/>
      </c>
      <c r="CE378">
        <f>IFERROR(INDEX(PP_Grid[#Data],$DD378,81),0)</f>
        <v/>
      </c>
      <c r="CF378">
        <f>IFERROR(INDEX(PP_Grid[#Data],$DD378,82),0)</f>
        <v/>
      </c>
      <c r="CG378">
        <f>IFERROR(INDEX(PP_Grid[#Data],$DD378,83),0)</f>
        <v/>
      </c>
      <c r="CH378">
        <f>IFERROR(INDEX(PP_Grid[#Data],$DD378,84),0)</f>
        <v/>
      </c>
      <c r="CI378">
        <f>IFERROR(INDEX(PP_Grid[#Data],$DD378,85),0)</f>
        <v/>
      </c>
      <c r="CJ378">
        <f>IFERROR(INDEX(PP_Grid[#Data],$DD378,86),0)</f>
        <v/>
      </c>
      <c r="CK378">
        <f>IFERROR(INDEX(PP_Grid[#Data],$DD378,87),0)</f>
        <v/>
      </c>
      <c r="CL378">
        <f>IFERROR(INDEX(PP_Grid[#Data],$DD378,88),0)</f>
        <v/>
      </c>
      <c r="CM378">
        <f>IFERROR(INDEX(PP_Grid[#Data],$DD378,89),0)</f>
        <v/>
      </c>
      <c r="CN378">
        <f>IFERROR(INDEX(PP_Grid[#Data],$DD378,90),0)</f>
        <v/>
      </c>
      <c r="CO378">
        <f>IFERROR(INDEX(PP_Grid[#Data],$DD378,91),0)</f>
        <v/>
      </c>
      <c r="CP378">
        <f>IFERROR(INDEX(PP_Grid[#Data],$DD378,92),0)</f>
        <v/>
      </c>
      <c r="CQ378">
        <f>IFERROR(INDEX(PP_Grid[#Data],$DD378,93),0)</f>
        <v/>
      </c>
      <c r="CR378">
        <f>IFERROR(INDEX(PP_Grid[#Data],$DD378,94),0)</f>
        <v/>
      </c>
      <c r="CS378">
        <f>IFERROR(INDEX(PP_Grid[#Data],$DD378,95),0)</f>
        <v/>
      </c>
      <c r="CT378">
        <f>IFERROR(INDEX(PP_Grid[#Data],$DD378,96),0)</f>
        <v/>
      </c>
      <c r="CU378">
        <f>IFERROR(INDEX(PP_Grid[#Data],$DD378,97),0)</f>
        <v/>
      </c>
      <c r="CV378">
        <f>IFERROR(INDEX(PP_Grid[#Data],$DD378,98),0)</f>
        <v/>
      </c>
      <c r="CW378">
        <f>IFERROR(INDEX(PP_Grid[#Data],$DD378,99),0)</f>
        <v/>
      </c>
      <c r="CX378">
        <f>IFERROR(INDEX(PP_Grid[#Data],$DD378,100),0)</f>
        <v/>
      </c>
      <c r="CY378">
        <f>IFERROR(INDEX(PP_Grid[#Data],$DD378,101),0)</f>
        <v/>
      </c>
      <c r="CZ378">
        <f>IFERROR(INDEX(PP_Grid[#Data],$DD378,102),0)</f>
        <v/>
      </c>
      <c r="DA378">
        <f>IFERROR(INDEX(PP_Grid[#Data],$DD378,103),0)</f>
        <v/>
      </c>
      <c r="DB378">
        <f>IFERROR(INDEX(PP_Grid[#Data],$DD378,104),0)</f>
        <v/>
      </c>
      <c r="DC378">
        <f>IFERROR(INDEX(PP_Grid[#Data],$DD378,105),0)</f>
        <v/>
      </c>
      <c r="DD378" s="7">
        <f>IFERROR(MATCH($B378,PP_Grid[Intermediate],0),99999)</f>
        <v/>
      </c>
    </row>
    <row r="379">
      <c r="B379" t="inlineStr">
        <is>
          <t>使用量(kg)</t>
        </is>
      </c>
      <c r="C379">
        <f>SUMIFS(M_BOM[RM_Qty_Per_Batch],M_BOM[Intermediate],$B378,M_BOM[Part Name],$A343)</f>
        <v/>
      </c>
      <c r="D379">
        <f>$C379*D378</f>
        <v/>
      </c>
      <c r="E379">
        <f>$C379*E378</f>
        <v/>
      </c>
      <c r="F379">
        <f>$C379*F378</f>
        <v/>
      </c>
      <c r="G379">
        <f>$C379*G378</f>
        <v/>
      </c>
      <c r="H379">
        <f>$C379*H378</f>
        <v/>
      </c>
      <c r="I379">
        <f>$C379*I378</f>
        <v/>
      </c>
      <c r="J379">
        <f>$C379*J378</f>
        <v/>
      </c>
      <c r="K379">
        <f>$C379*K378</f>
        <v/>
      </c>
      <c r="L379">
        <f>$C379*L378</f>
        <v/>
      </c>
      <c r="M379">
        <f>$C379*M378</f>
        <v/>
      </c>
      <c r="N379">
        <f>$C379*N378</f>
        <v/>
      </c>
      <c r="O379">
        <f>$C379*O378</f>
        <v/>
      </c>
      <c r="P379">
        <f>$C379*P378</f>
        <v/>
      </c>
      <c r="Q379">
        <f>$C379*Q378</f>
        <v/>
      </c>
      <c r="R379">
        <f>$C379*R378</f>
        <v/>
      </c>
      <c r="S379">
        <f>$C379*S378</f>
        <v/>
      </c>
      <c r="T379">
        <f>$C379*T378</f>
        <v/>
      </c>
      <c r="U379">
        <f>$C379*U378</f>
        <v/>
      </c>
      <c r="V379">
        <f>$C379*V378</f>
        <v/>
      </c>
      <c r="W379">
        <f>$C379*W378</f>
        <v/>
      </c>
      <c r="X379">
        <f>$C379*X378</f>
        <v/>
      </c>
      <c r="Y379">
        <f>$C379*Y378</f>
        <v/>
      </c>
      <c r="Z379">
        <f>$C379*Z378</f>
        <v/>
      </c>
      <c r="AA379">
        <f>$C379*AA378</f>
        <v/>
      </c>
      <c r="AB379">
        <f>$C379*AB378</f>
        <v/>
      </c>
      <c r="AC379">
        <f>$C379*AC378</f>
        <v/>
      </c>
      <c r="AD379">
        <f>$C379*AD378</f>
        <v/>
      </c>
      <c r="AE379">
        <f>$C379*AE378</f>
        <v/>
      </c>
      <c r="AF379">
        <f>$C379*AF378</f>
        <v/>
      </c>
      <c r="AG379">
        <f>$C379*AG378</f>
        <v/>
      </c>
      <c r="AH379">
        <f>$C379*AH378</f>
        <v/>
      </c>
      <c r="AI379">
        <f>$C379*AI378</f>
        <v/>
      </c>
      <c r="AJ379">
        <f>$C379*AJ378</f>
        <v/>
      </c>
      <c r="AK379">
        <f>$C379*AK378</f>
        <v/>
      </c>
      <c r="AL379">
        <f>$C379*AL378</f>
        <v/>
      </c>
      <c r="AM379">
        <f>$C379*AM378</f>
        <v/>
      </c>
      <c r="AN379">
        <f>$C379*AN378</f>
        <v/>
      </c>
      <c r="AO379">
        <f>$C379*AO378</f>
        <v/>
      </c>
      <c r="AP379">
        <f>$C379*AP378</f>
        <v/>
      </c>
      <c r="AQ379">
        <f>$C379*AQ378</f>
        <v/>
      </c>
      <c r="AR379">
        <f>$C379*AR378</f>
        <v/>
      </c>
      <c r="AS379">
        <f>$C379*AS378</f>
        <v/>
      </c>
      <c r="AT379">
        <f>$C379*AT378</f>
        <v/>
      </c>
      <c r="AU379">
        <f>$C379*AU378</f>
        <v/>
      </c>
      <c r="AV379">
        <f>$C379*AV378</f>
        <v/>
      </c>
      <c r="AW379">
        <f>$C379*AW378</f>
        <v/>
      </c>
      <c r="AX379">
        <f>$C379*AX378</f>
        <v/>
      </c>
      <c r="AY379">
        <f>$C379*AY378</f>
        <v/>
      </c>
      <c r="AZ379">
        <f>$C379*AZ378</f>
        <v/>
      </c>
      <c r="BA379">
        <f>$C379*BA378</f>
        <v/>
      </c>
      <c r="BB379">
        <f>$C379*BB378</f>
        <v/>
      </c>
      <c r="BC379">
        <f>$C379*BC378</f>
        <v/>
      </c>
      <c r="BD379">
        <f>$C379*BD378</f>
        <v/>
      </c>
      <c r="BE379">
        <f>$C379*BE378</f>
        <v/>
      </c>
      <c r="BF379">
        <f>$C379*BF378</f>
        <v/>
      </c>
      <c r="BG379">
        <f>$C379*BG378</f>
        <v/>
      </c>
      <c r="BH379">
        <f>$C379*BH378</f>
        <v/>
      </c>
      <c r="BI379">
        <f>$C379*BI378</f>
        <v/>
      </c>
      <c r="BJ379">
        <f>$C379*BJ378</f>
        <v/>
      </c>
      <c r="BK379">
        <f>$C379*BK378</f>
        <v/>
      </c>
      <c r="BL379">
        <f>$C379*BL378</f>
        <v/>
      </c>
      <c r="BM379">
        <f>$C379*BM378</f>
        <v/>
      </c>
      <c r="BN379">
        <f>$C379*BN378</f>
        <v/>
      </c>
      <c r="BO379">
        <f>$C379*BO378</f>
        <v/>
      </c>
      <c r="BP379">
        <f>$C379*BP378</f>
        <v/>
      </c>
      <c r="BQ379">
        <f>$C379*BQ378</f>
        <v/>
      </c>
      <c r="BR379">
        <f>$C379*BR378</f>
        <v/>
      </c>
      <c r="BS379">
        <f>$C379*BS378</f>
        <v/>
      </c>
      <c r="BT379">
        <f>$C379*BT378</f>
        <v/>
      </c>
      <c r="BU379">
        <f>$C379*BU378</f>
        <v/>
      </c>
      <c r="BV379">
        <f>$C379*BV378</f>
        <v/>
      </c>
      <c r="BW379">
        <f>$C379*BW378</f>
        <v/>
      </c>
      <c r="BX379">
        <f>$C379*BX378</f>
        <v/>
      </c>
      <c r="BY379">
        <f>$C379*BY378</f>
        <v/>
      </c>
      <c r="BZ379">
        <f>$C379*BZ378</f>
        <v/>
      </c>
      <c r="CA379">
        <f>$C379*CA378</f>
        <v/>
      </c>
      <c r="CB379">
        <f>$C379*CB378</f>
        <v/>
      </c>
      <c r="CC379">
        <f>$C379*CC378</f>
        <v/>
      </c>
      <c r="CD379">
        <f>$C379*CD378</f>
        <v/>
      </c>
      <c r="CE379">
        <f>$C379*CE378</f>
        <v/>
      </c>
      <c r="CF379">
        <f>$C379*CF378</f>
        <v/>
      </c>
      <c r="CG379">
        <f>$C379*CG378</f>
        <v/>
      </c>
      <c r="CH379">
        <f>$C379*CH378</f>
        <v/>
      </c>
      <c r="CI379">
        <f>$C379*CI378</f>
        <v/>
      </c>
      <c r="CJ379">
        <f>$C379*CJ378</f>
        <v/>
      </c>
      <c r="CK379">
        <f>$C379*CK378</f>
        <v/>
      </c>
      <c r="CL379">
        <f>$C379*CL378</f>
        <v/>
      </c>
      <c r="CM379">
        <f>$C379*CM378</f>
        <v/>
      </c>
      <c r="CN379">
        <f>$C379*CN378</f>
        <v/>
      </c>
      <c r="CO379">
        <f>$C379*CO378</f>
        <v/>
      </c>
      <c r="CP379">
        <f>$C379*CP378</f>
        <v/>
      </c>
      <c r="CQ379">
        <f>$C379*CQ378</f>
        <v/>
      </c>
      <c r="CR379">
        <f>$C379*CR378</f>
        <v/>
      </c>
      <c r="CS379">
        <f>$C379*CS378</f>
        <v/>
      </c>
      <c r="CT379">
        <f>$C379*CT378</f>
        <v/>
      </c>
      <c r="CU379">
        <f>$C379*CU378</f>
        <v/>
      </c>
      <c r="CV379">
        <f>$C379*CV378</f>
        <v/>
      </c>
      <c r="CW379">
        <f>$C379*CW378</f>
        <v/>
      </c>
      <c r="CX379">
        <f>$C379*CX378</f>
        <v/>
      </c>
      <c r="CY379">
        <f>$C379*CY378</f>
        <v/>
      </c>
      <c r="CZ379">
        <f>$C379*CZ378</f>
        <v/>
      </c>
      <c r="DA379">
        <f>$C379*DA378</f>
        <v/>
      </c>
      <c r="DB379">
        <f>$C379*DB378</f>
        <v/>
      </c>
      <c r="DC379">
        <f>$C379*DC378</f>
        <v/>
      </c>
    </row>
    <row r="380">
      <c r="B380" t="inlineStr">
        <is>
          <t>TSP-618</t>
        </is>
      </c>
      <c r="C380" t="inlineStr">
        <is>
          <t>No. of batches</t>
        </is>
      </c>
      <c r="D380">
        <f>IFERROR(INDEX(PP_Grid[#Data],$DD380,2),0)</f>
        <v/>
      </c>
      <c r="E380">
        <f>IFERROR(INDEX(PP_Grid[#Data],$DD380,3),0)</f>
        <v/>
      </c>
      <c r="F380">
        <f>IFERROR(INDEX(PP_Grid[#Data],$DD380,4),0)</f>
        <v/>
      </c>
      <c r="G380">
        <f>IFERROR(INDEX(PP_Grid[#Data],$DD380,5),0)</f>
        <v/>
      </c>
      <c r="H380">
        <f>IFERROR(INDEX(PP_Grid[#Data],$DD380,6),0)</f>
        <v/>
      </c>
      <c r="I380">
        <f>IFERROR(INDEX(PP_Grid[#Data],$DD380,7),0)</f>
        <v/>
      </c>
      <c r="J380">
        <f>IFERROR(INDEX(PP_Grid[#Data],$DD380,8),0)</f>
        <v/>
      </c>
      <c r="K380">
        <f>IFERROR(INDEX(PP_Grid[#Data],$DD380,9),0)</f>
        <v/>
      </c>
      <c r="L380">
        <f>IFERROR(INDEX(PP_Grid[#Data],$DD380,10),0)</f>
        <v/>
      </c>
      <c r="M380">
        <f>IFERROR(INDEX(PP_Grid[#Data],$DD380,11),0)</f>
        <v/>
      </c>
      <c r="N380">
        <f>IFERROR(INDEX(PP_Grid[#Data],$DD380,12),0)</f>
        <v/>
      </c>
      <c r="O380">
        <f>IFERROR(INDEX(PP_Grid[#Data],$DD380,13),0)</f>
        <v/>
      </c>
      <c r="P380">
        <f>IFERROR(INDEX(PP_Grid[#Data],$DD380,14),0)</f>
        <v/>
      </c>
      <c r="Q380">
        <f>IFERROR(INDEX(PP_Grid[#Data],$DD380,15),0)</f>
        <v/>
      </c>
      <c r="R380">
        <f>IFERROR(INDEX(PP_Grid[#Data],$DD380,16),0)</f>
        <v/>
      </c>
      <c r="S380">
        <f>IFERROR(INDEX(PP_Grid[#Data],$DD380,17),0)</f>
        <v/>
      </c>
      <c r="T380">
        <f>IFERROR(INDEX(PP_Grid[#Data],$DD380,18),0)</f>
        <v/>
      </c>
      <c r="U380">
        <f>IFERROR(INDEX(PP_Grid[#Data],$DD380,19),0)</f>
        <v/>
      </c>
      <c r="V380">
        <f>IFERROR(INDEX(PP_Grid[#Data],$DD380,20),0)</f>
        <v/>
      </c>
      <c r="W380">
        <f>IFERROR(INDEX(PP_Grid[#Data],$DD380,21),0)</f>
        <v/>
      </c>
      <c r="X380">
        <f>IFERROR(INDEX(PP_Grid[#Data],$DD380,22),0)</f>
        <v/>
      </c>
      <c r="Y380">
        <f>IFERROR(INDEX(PP_Grid[#Data],$DD380,23),0)</f>
        <v/>
      </c>
      <c r="Z380">
        <f>IFERROR(INDEX(PP_Grid[#Data],$DD380,24),0)</f>
        <v/>
      </c>
      <c r="AA380">
        <f>IFERROR(INDEX(PP_Grid[#Data],$DD380,25),0)</f>
        <v/>
      </c>
      <c r="AB380">
        <f>IFERROR(INDEX(PP_Grid[#Data],$DD380,26),0)</f>
        <v/>
      </c>
      <c r="AC380">
        <f>IFERROR(INDEX(PP_Grid[#Data],$DD380,27),0)</f>
        <v/>
      </c>
      <c r="AD380">
        <f>IFERROR(INDEX(PP_Grid[#Data],$DD380,28),0)</f>
        <v/>
      </c>
      <c r="AE380">
        <f>IFERROR(INDEX(PP_Grid[#Data],$DD380,29),0)</f>
        <v/>
      </c>
      <c r="AF380">
        <f>IFERROR(INDEX(PP_Grid[#Data],$DD380,30),0)</f>
        <v/>
      </c>
      <c r="AG380">
        <f>IFERROR(INDEX(PP_Grid[#Data],$DD380,31),0)</f>
        <v/>
      </c>
      <c r="AH380">
        <f>IFERROR(INDEX(PP_Grid[#Data],$DD380,32),0)</f>
        <v/>
      </c>
      <c r="AI380">
        <f>IFERROR(INDEX(PP_Grid[#Data],$DD380,33),0)</f>
        <v/>
      </c>
      <c r="AJ380">
        <f>IFERROR(INDEX(PP_Grid[#Data],$DD380,34),0)</f>
        <v/>
      </c>
      <c r="AK380">
        <f>IFERROR(INDEX(PP_Grid[#Data],$DD380,35),0)</f>
        <v/>
      </c>
      <c r="AL380">
        <f>IFERROR(INDEX(PP_Grid[#Data],$DD380,36),0)</f>
        <v/>
      </c>
      <c r="AM380">
        <f>IFERROR(INDEX(PP_Grid[#Data],$DD380,37),0)</f>
        <v/>
      </c>
      <c r="AN380">
        <f>IFERROR(INDEX(PP_Grid[#Data],$DD380,38),0)</f>
        <v/>
      </c>
      <c r="AO380">
        <f>IFERROR(INDEX(PP_Grid[#Data],$DD380,39),0)</f>
        <v/>
      </c>
      <c r="AP380">
        <f>IFERROR(INDEX(PP_Grid[#Data],$DD380,40),0)</f>
        <v/>
      </c>
      <c r="AQ380">
        <f>IFERROR(INDEX(PP_Grid[#Data],$DD380,41),0)</f>
        <v/>
      </c>
      <c r="AR380">
        <f>IFERROR(INDEX(PP_Grid[#Data],$DD380,42),0)</f>
        <v/>
      </c>
      <c r="AS380">
        <f>IFERROR(INDEX(PP_Grid[#Data],$DD380,43),0)</f>
        <v/>
      </c>
      <c r="AT380">
        <f>IFERROR(INDEX(PP_Grid[#Data],$DD380,44),0)</f>
        <v/>
      </c>
      <c r="AU380">
        <f>IFERROR(INDEX(PP_Grid[#Data],$DD380,45),0)</f>
        <v/>
      </c>
      <c r="AV380">
        <f>IFERROR(INDEX(PP_Grid[#Data],$DD380,46),0)</f>
        <v/>
      </c>
      <c r="AW380">
        <f>IFERROR(INDEX(PP_Grid[#Data],$DD380,47),0)</f>
        <v/>
      </c>
      <c r="AX380">
        <f>IFERROR(INDEX(PP_Grid[#Data],$DD380,48),0)</f>
        <v/>
      </c>
      <c r="AY380">
        <f>IFERROR(INDEX(PP_Grid[#Data],$DD380,49),0)</f>
        <v/>
      </c>
      <c r="AZ380">
        <f>IFERROR(INDEX(PP_Grid[#Data],$DD380,50),0)</f>
        <v/>
      </c>
      <c r="BA380">
        <f>IFERROR(INDEX(PP_Grid[#Data],$DD380,51),0)</f>
        <v/>
      </c>
      <c r="BB380">
        <f>IFERROR(INDEX(PP_Grid[#Data],$DD380,52),0)</f>
        <v/>
      </c>
      <c r="BC380">
        <f>IFERROR(INDEX(PP_Grid[#Data],$DD380,53),0)</f>
        <v/>
      </c>
      <c r="BD380">
        <f>IFERROR(INDEX(PP_Grid[#Data],$DD380,54),0)</f>
        <v/>
      </c>
      <c r="BE380">
        <f>IFERROR(INDEX(PP_Grid[#Data],$DD380,55),0)</f>
        <v/>
      </c>
      <c r="BF380">
        <f>IFERROR(INDEX(PP_Grid[#Data],$DD380,56),0)</f>
        <v/>
      </c>
      <c r="BG380">
        <f>IFERROR(INDEX(PP_Grid[#Data],$DD380,57),0)</f>
        <v/>
      </c>
      <c r="BH380">
        <f>IFERROR(INDEX(PP_Grid[#Data],$DD380,58),0)</f>
        <v/>
      </c>
      <c r="BI380">
        <f>IFERROR(INDEX(PP_Grid[#Data],$DD380,59),0)</f>
        <v/>
      </c>
      <c r="BJ380">
        <f>IFERROR(INDEX(PP_Grid[#Data],$DD380,60),0)</f>
        <v/>
      </c>
      <c r="BK380">
        <f>IFERROR(INDEX(PP_Grid[#Data],$DD380,61),0)</f>
        <v/>
      </c>
      <c r="BL380">
        <f>IFERROR(INDEX(PP_Grid[#Data],$DD380,62),0)</f>
        <v/>
      </c>
      <c r="BM380">
        <f>IFERROR(INDEX(PP_Grid[#Data],$DD380,63),0)</f>
        <v/>
      </c>
      <c r="BN380">
        <f>IFERROR(INDEX(PP_Grid[#Data],$DD380,64),0)</f>
        <v/>
      </c>
      <c r="BO380">
        <f>IFERROR(INDEX(PP_Grid[#Data],$DD380,65),0)</f>
        <v/>
      </c>
      <c r="BP380">
        <f>IFERROR(INDEX(PP_Grid[#Data],$DD380,66),0)</f>
        <v/>
      </c>
      <c r="BQ380">
        <f>IFERROR(INDEX(PP_Grid[#Data],$DD380,67),0)</f>
        <v/>
      </c>
      <c r="BR380">
        <f>IFERROR(INDEX(PP_Grid[#Data],$DD380,68),0)</f>
        <v/>
      </c>
      <c r="BS380">
        <f>IFERROR(INDEX(PP_Grid[#Data],$DD380,69),0)</f>
        <v/>
      </c>
      <c r="BT380">
        <f>IFERROR(INDEX(PP_Grid[#Data],$DD380,70),0)</f>
        <v/>
      </c>
      <c r="BU380">
        <f>IFERROR(INDEX(PP_Grid[#Data],$DD380,71),0)</f>
        <v/>
      </c>
      <c r="BV380">
        <f>IFERROR(INDEX(PP_Grid[#Data],$DD380,72),0)</f>
        <v/>
      </c>
      <c r="BW380">
        <f>IFERROR(INDEX(PP_Grid[#Data],$DD380,73),0)</f>
        <v/>
      </c>
      <c r="BX380">
        <f>IFERROR(INDEX(PP_Grid[#Data],$DD380,74),0)</f>
        <v/>
      </c>
      <c r="BY380">
        <f>IFERROR(INDEX(PP_Grid[#Data],$DD380,75),0)</f>
        <v/>
      </c>
      <c r="BZ380">
        <f>IFERROR(INDEX(PP_Grid[#Data],$DD380,76),0)</f>
        <v/>
      </c>
      <c r="CA380">
        <f>IFERROR(INDEX(PP_Grid[#Data],$DD380,77),0)</f>
        <v/>
      </c>
      <c r="CB380">
        <f>IFERROR(INDEX(PP_Grid[#Data],$DD380,78),0)</f>
        <v/>
      </c>
      <c r="CC380">
        <f>IFERROR(INDEX(PP_Grid[#Data],$DD380,79),0)</f>
        <v/>
      </c>
      <c r="CD380">
        <f>IFERROR(INDEX(PP_Grid[#Data],$DD380,80),0)</f>
        <v/>
      </c>
      <c r="CE380">
        <f>IFERROR(INDEX(PP_Grid[#Data],$DD380,81),0)</f>
        <v/>
      </c>
      <c r="CF380">
        <f>IFERROR(INDEX(PP_Grid[#Data],$DD380,82),0)</f>
        <v/>
      </c>
      <c r="CG380">
        <f>IFERROR(INDEX(PP_Grid[#Data],$DD380,83),0)</f>
        <v/>
      </c>
      <c r="CH380">
        <f>IFERROR(INDEX(PP_Grid[#Data],$DD380,84),0)</f>
        <v/>
      </c>
      <c r="CI380">
        <f>IFERROR(INDEX(PP_Grid[#Data],$DD380,85),0)</f>
        <v/>
      </c>
      <c r="CJ380">
        <f>IFERROR(INDEX(PP_Grid[#Data],$DD380,86),0)</f>
        <v/>
      </c>
      <c r="CK380">
        <f>IFERROR(INDEX(PP_Grid[#Data],$DD380,87),0)</f>
        <v/>
      </c>
      <c r="CL380">
        <f>IFERROR(INDEX(PP_Grid[#Data],$DD380,88),0)</f>
        <v/>
      </c>
      <c r="CM380">
        <f>IFERROR(INDEX(PP_Grid[#Data],$DD380,89),0)</f>
        <v/>
      </c>
      <c r="CN380">
        <f>IFERROR(INDEX(PP_Grid[#Data],$DD380,90),0)</f>
        <v/>
      </c>
      <c r="CO380">
        <f>IFERROR(INDEX(PP_Grid[#Data],$DD380,91),0)</f>
        <v/>
      </c>
      <c r="CP380">
        <f>IFERROR(INDEX(PP_Grid[#Data],$DD380,92),0)</f>
        <v/>
      </c>
      <c r="CQ380">
        <f>IFERROR(INDEX(PP_Grid[#Data],$DD380,93),0)</f>
        <v/>
      </c>
      <c r="CR380">
        <f>IFERROR(INDEX(PP_Grid[#Data],$DD380,94),0)</f>
        <v/>
      </c>
      <c r="CS380">
        <f>IFERROR(INDEX(PP_Grid[#Data],$DD380,95),0)</f>
        <v/>
      </c>
      <c r="CT380">
        <f>IFERROR(INDEX(PP_Grid[#Data],$DD380,96),0)</f>
        <v/>
      </c>
      <c r="CU380">
        <f>IFERROR(INDEX(PP_Grid[#Data],$DD380,97),0)</f>
        <v/>
      </c>
      <c r="CV380">
        <f>IFERROR(INDEX(PP_Grid[#Data],$DD380,98),0)</f>
        <v/>
      </c>
      <c r="CW380">
        <f>IFERROR(INDEX(PP_Grid[#Data],$DD380,99),0)</f>
        <v/>
      </c>
      <c r="CX380">
        <f>IFERROR(INDEX(PP_Grid[#Data],$DD380,100),0)</f>
        <v/>
      </c>
      <c r="CY380">
        <f>IFERROR(INDEX(PP_Grid[#Data],$DD380,101),0)</f>
        <v/>
      </c>
      <c r="CZ380">
        <f>IFERROR(INDEX(PP_Grid[#Data],$DD380,102),0)</f>
        <v/>
      </c>
      <c r="DA380">
        <f>IFERROR(INDEX(PP_Grid[#Data],$DD380,103),0)</f>
        <v/>
      </c>
      <c r="DB380">
        <f>IFERROR(INDEX(PP_Grid[#Data],$DD380,104),0)</f>
        <v/>
      </c>
      <c r="DC380">
        <f>IFERROR(INDEX(PP_Grid[#Data],$DD380,105),0)</f>
        <v/>
      </c>
      <c r="DD380" s="7">
        <f>IFERROR(MATCH($B380,PP_Grid[Intermediate],0),99999)</f>
        <v/>
      </c>
    </row>
    <row r="381">
      <c r="B381" t="inlineStr">
        <is>
          <t>使用量(kg)</t>
        </is>
      </c>
      <c r="C381">
        <f>SUMIFS(M_BOM[RM_Qty_Per_Batch],M_BOM[Intermediate],$B380,M_BOM[Part Name],$A343)</f>
        <v/>
      </c>
      <c r="D381">
        <f>$C381*D380</f>
        <v/>
      </c>
      <c r="E381">
        <f>$C381*E380</f>
        <v/>
      </c>
      <c r="F381">
        <f>$C381*F380</f>
        <v/>
      </c>
      <c r="G381">
        <f>$C381*G380</f>
        <v/>
      </c>
      <c r="H381">
        <f>$C381*H380</f>
        <v/>
      </c>
      <c r="I381">
        <f>$C381*I380</f>
        <v/>
      </c>
      <c r="J381">
        <f>$C381*J380</f>
        <v/>
      </c>
      <c r="K381">
        <f>$C381*K380</f>
        <v/>
      </c>
      <c r="L381">
        <f>$C381*L380</f>
        <v/>
      </c>
      <c r="M381">
        <f>$C381*M380</f>
        <v/>
      </c>
      <c r="N381">
        <f>$C381*N380</f>
        <v/>
      </c>
      <c r="O381">
        <f>$C381*O380</f>
        <v/>
      </c>
      <c r="P381">
        <f>$C381*P380</f>
        <v/>
      </c>
      <c r="Q381">
        <f>$C381*Q380</f>
        <v/>
      </c>
      <c r="R381">
        <f>$C381*R380</f>
        <v/>
      </c>
      <c r="S381">
        <f>$C381*S380</f>
        <v/>
      </c>
      <c r="T381">
        <f>$C381*T380</f>
        <v/>
      </c>
      <c r="U381">
        <f>$C381*U380</f>
        <v/>
      </c>
      <c r="V381">
        <f>$C381*V380</f>
        <v/>
      </c>
      <c r="W381">
        <f>$C381*W380</f>
        <v/>
      </c>
      <c r="X381">
        <f>$C381*X380</f>
        <v/>
      </c>
      <c r="Y381">
        <f>$C381*Y380</f>
        <v/>
      </c>
      <c r="Z381">
        <f>$C381*Z380</f>
        <v/>
      </c>
      <c r="AA381">
        <f>$C381*AA380</f>
        <v/>
      </c>
      <c r="AB381">
        <f>$C381*AB380</f>
        <v/>
      </c>
      <c r="AC381">
        <f>$C381*AC380</f>
        <v/>
      </c>
      <c r="AD381">
        <f>$C381*AD380</f>
        <v/>
      </c>
      <c r="AE381">
        <f>$C381*AE380</f>
        <v/>
      </c>
      <c r="AF381">
        <f>$C381*AF380</f>
        <v/>
      </c>
      <c r="AG381">
        <f>$C381*AG380</f>
        <v/>
      </c>
      <c r="AH381">
        <f>$C381*AH380</f>
        <v/>
      </c>
      <c r="AI381">
        <f>$C381*AI380</f>
        <v/>
      </c>
      <c r="AJ381">
        <f>$C381*AJ380</f>
        <v/>
      </c>
      <c r="AK381">
        <f>$C381*AK380</f>
        <v/>
      </c>
      <c r="AL381">
        <f>$C381*AL380</f>
        <v/>
      </c>
      <c r="AM381">
        <f>$C381*AM380</f>
        <v/>
      </c>
      <c r="AN381">
        <f>$C381*AN380</f>
        <v/>
      </c>
      <c r="AO381">
        <f>$C381*AO380</f>
        <v/>
      </c>
      <c r="AP381">
        <f>$C381*AP380</f>
        <v/>
      </c>
      <c r="AQ381">
        <f>$C381*AQ380</f>
        <v/>
      </c>
      <c r="AR381">
        <f>$C381*AR380</f>
        <v/>
      </c>
      <c r="AS381">
        <f>$C381*AS380</f>
        <v/>
      </c>
      <c r="AT381">
        <f>$C381*AT380</f>
        <v/>
      </c>
      <c r="AU381">
        <f>$C381*AU380</f>
        <v/>
      </c>
      <c r="AV381">
        <f>$C381*AV380</f>
        <v/>
      </c>
      <c r="AW381">
        <f>$C381*AW380</f>
        <v/>
      </c>
      <c r="AX381">
        <f>$C381*AX380</f>
        <v/>
      </c>
      <c r="AY381">
        <f>$C381*AY380</f>
        <v/>
      </c>
      <c r="AZ381">
        <f>$C381*AZ380</f>
        <v/>
      </c>
      <c r="BA381">
        <f>$C381*BA380</f>
        <v/>
      </c>
      <c r="BB381">
        <f>$C381*BB380</f>
        <v/>
      </c>
      <c r="BC381">
        <f>$C381*BC380</f>
        <v/>
      </c>
      <c r="BD381">
        <f>$C381*BD380</f>
        <v/>
      </c>
      <c r="BE381">
        <f>$C381*BE380</f>
        <v/>
      </c>
      <c r="BF381">
        <f>$C381*BF380</f>
        <v/>
      </c>
      <c r="BG381">
        <f>$C381*BG380</f>
        <v/>
      </c>
      <c r="BH381">
        <f>$C381*BH380</f>
        <v/>
      </c>
      <c r="BI381">
        <f>$C381*BI380</f>
        <v/>
      </c>
      <c r="BJ381">
        <f>$C381*BJ380</f>
        <v/>
      </c>
      <c r="BK381">
        <f>$C381*BK380</f>
        <v/>
      </c>
      <c r="BL381">
        <f>$C381*BL380</f>
        <v/>
      </c>
      <c r="BM381">
        <f>$C381*BM380</f>
        <v/>
      </c>
      <c r="BN381">
        <f>$C381*BN380</f>
        <v/>
      </c>
      <c r="BO381">
        <f>$C381*BO380</f>
        <v/>
      </c>
      <c r="BP381">
        <f>$C381*BP380</f>
        <v/>
      </c>
      <c r="BQ381">
        <f>$C381*BQ380</f>
        <v/>
      </c>
      <c r="BR381">
        <f>$C381*BR380</f>
        <v/>
      </c>
      <c r="BS381">
        <f>$C381*BS380</f>
        <v/>
      </c>
      <c r="BT381">
        <f>$C381*BT380</f>
        <v/>
      </c>
      <c r="BU381">
        <f>$C381*BU380</f>
        <v/>
      </c>
      <c r="BV381">
        <f>$C381*BV380</f>
        <v/>
      </c>
      <c r="BW381">
        <f>$C381*BW380</f>
        <v/>
      </c>
      <c r="BX381">
        <f>$C381*BX380</f>
        <v/>
      </c>
      <c r="BY381">
        <f>$C381*BY380</f>
        <v/>
      </c>
      <c r="BZ381">
        <f>$C381*BZ380</f>
        <v/>
      </c>
      <c r="CA381">
        <f>$C381*CA380</f>
        <v/>
      </c>
      <c r="CB381">
        <f>$C381*CB380</f>
        <v/>
      </c>
      <c r="CC381">
        <f>$C381*CC380</f>
        <v/>
      </c>
      <c r="CD381">
        <f>$C381*CD380</f>
        <v/>
      </c>
      <c r="CE381">
        <f>$C381*CE380</f>
        <v/>
      </c>
      <c r="CF381">
        <f>$C381*CF380</f>
        <v/>
      </c>
      <c r="CG381">
        <f>$C381*CG380</f>
        <v/>
      </c>
      <c r="CH381">
        <f>$C381*CH380</f>
        <v/>
      </c>
      <c r="CI381">
        <f>$C381*CI380</f>
        <v/>
      </c>
      <c r="CJ381">
        <f>$C381*CJ380</f>
        <v/>
      </c>
      <c r="CK381">
        <f>$C381*CK380</f>
        <v/>
      </c>
      <c r="CL381">
        <f>$C381*CL380</f>
        <v/>
      </c>
      <c r="CM381">
        <f>$C381*CM380</f>
        <v/>
      </c>
      <c r="CN381">
        <f>$C381*CN380</f>
        <v/>
      </c>
      <c r="CO381">
        <f>$C381*CO380</f>
        <v/>
      </c>
      <c r="CP381">
        <f>$C381*CP380</f>
        <v/>
      </c>
      <c r="CQ381">
        <f>$C381*CQ380</f>
        <v/>
      </c>
      <c r="CR381">
        <f>$C381*CR380</f>
        <v/>
      </c>
      <c r="CS381">
        <f>$C381*CS380</f>
        <v/>
      </c>
      <c r="CT381">
        <f>$C381*CT380</f>
        <v/>
      </c>
      <c r="CU381">
        <f>$C381*CU380</f>
        <v/>
      </c>
      <c r="CV381">
        <f>$C381*CV380</f>
        <v/>
      </c>
      <c r="CW381">
        <f>$C381*CW380</f>
        <v/>
      </c>
      <c r="CX381">
        <f>$C381*CX380</f>
        <v/>
      </c>
      <c r="CY381">
        <f>$C381*CY380</f>
        <v/>
      </c>
      <c r="CZ381">
        <f>$C381*CZ380</f>
        <v/>
      </c>
      <c r="DA381">
        <f>$C381*DA380</f>
        <v/>
      </c>
      <c r="DB381">
        <f>$C381*DB380</f>
        <v/>
      </c>
      <c r="DC381">
        <f>$C381*DC380</f>
        <v/>
      </c>
    </row>
    <row r="382">
      <c r="B382" t="inlineStr">
        <is>
          <t>TSP-620</t>
        </is>
      </c>
      <c r="C382" t="inlineStr">
        <is>
          <t>No. of batches</t>
        </is>
      </c>
      <c r="D382">
        <f>IFERROR(INDEX(PP_Grid[#Data],$DD382,2),0)</f>
        <v/>
      </c>
      <c r="E382">
        <f>IFERROR(INDEX(PP_Grid[#Data],$DD382,3),0)</f>
        <v/>
      </c>
      <c r="F382">
        <f>IFERROR(INDEX(PP_Grid[#Data],$DD382,4),0)</f>
        <v/>
      </c>
      <c r="G382">
        <f>IFERROR(INDEX(PP_Grid[#Data],$DD382,5),0)</f>
        <v/>
      </c>
      <c r="H382">
        <f>IFERROR(INDEX(PP_Grid[#Data],$DD382,6),0)</f>
        <v/>
      </c>
      <c r="I382">
        <f>IFERROR(INDEX(PP_Grid[#Data],$DD382,7),0)</f>
        <v/>
      </c>
      <c r="J382">
        <f>IFERROR(INDEX(PP_Grid[#Data],$DD382,8),0)</f>
        <v/>
      </c>
      <c r="K382">
        <f>IFERROR(INDEX(PP_Grid[#Data],$DD382,9),0)</f>
        <v/>
      </c>
      <c r="L382">
        <f>IFERROR(INDEX(PP_Grid[#Data],$DD382,10),0)</f>
        <v/>
      </c>
      <c r="M382">
        <f>IFERROR(INDEX(PP_Grid[#Data],$DD382,11),0)</f>
        <v/>
      </c>
      <c r="N382">
        <f>IFERROR(INDEX(PP_Grid[#Data],$DD382,12),0)</f>
        <v/>
      </c>
      <c r="O382">
        <f>IFERROR(INDEX(PP_Grid[#Data],$DD382,13),0)</f>
        <v/>
      </c>
      <c r="P382">
        <f>IFERROR(INDEX(PP_Grid[#Data],$DD382,14),0)</f>
        <v/>
      </c>
      <c r="Q382">
        <f>IFERROR(INDEX(PP_Grid[#Data],$DD382,15),0)</f>
        <v/>
      </c>
      <c r="R382">
        <f>IFERROR(INDEX(PP_Grid[#Data],$DD382,16),0)</f>
        <v/>
      </c>
      <c r="S382">
        <f>IFERROR(INDEX(PP_Grid[#Data],$DD382,17),0)</f>
        <v/>
      </c>
      <c r="T382">
        <f>IFERROR(INDEX(PP_Grid[#Data],$DD382,18),0)</f>
        <v/>
      </c>
      <c r="U382">
        <f>IFERROR(INDEX(PP_Grid[#Data],$DD382,19),0)</f>
        <v/>
      </c>
      <c r="V382">
        <f>IFERROR(INDEX(PP_Grid[#Data],$DD382,20),0)</f>
        <v/>
      </c>
      <c r="W382">
        <f>IFERROR(INDEX(PP_Grid[#Data],$DD382,21),0)</f>
        <v/>
      </c>
      <c r="X382">
        <f>IFERROR(INDEX(PP_Grid[#Data],$DD382,22),0)</f>
        <v/>
      </c>
      <c r="Y382">
        <f>IFERROR(INDEX(PP_Grid[#Data],$DD382,23),0)</f>
        <v/>
      </c>
      <c r="Z382">
        <f>IFERROR(INDEX(PP_Grid[#Data],$DD382,24),0)</f>
        <v/>
      </c>
      <c r="AA382">
        <f>IFERROR(INDEX(PP_Grid[#Data],$DD382,25),0)</f>
        <v/>
      </c>
      <c r="AB382">
        <f>IFERROR(INDEX(PP_Grid[#Data],$DD382,26),0)</f>
        <v/>
      </c>
      <c r="AC382">
        <f>IFERROR(INDEX(PP_Grid[#Data],$DD382,27),0)</f>
        <v/>
      </c>
      <c r="AD382">
        <f>IFERROR(INDEX(PP_Grid[#Data],$DD382,28),0)</f>
        <v/>
      </c>
      <c r="AE382">
        <f>IFERROR(INDEX(PP_Grid[#Data],$DD382,29),0)</f>
        <v/>
      </c>
      <c r="AF382">
        <f>IFERROR(INDEX(PP_Grid[#Data],$DD382,30),0)</f>
        <v/>
      </c>
      <c r="AG382">
        <f>IFERROR(INDEX(PP_Grid[#Data],$DD382,31),0)</f>
        <v/>
      </c>
      <c r="AH382">
        <f>IFERROR(INDEX(PP_Grid[#Data],$DD382,32),0)</f>
        <v/>
      </c>
      <c r="AI382">
        <f>IFERROR(INDEX(PP_Grid[#Data],$DD382,33),0)</f>
        <v/>
      </c>
      <c r="AJ382">
        <f>IFERROR(INDEX(PP_Grid[#Data],$DD382,34),0)</f>
        <v/>
      </c>
      <c r="AK382">
        <f>IFERROR(INDEX(PP_Grid[#Data],$DD382,35),0)</f>
        <v/>
      </c>
      <c r="AL382">
        <f>IFERROR(INDEX(PP_Grid[#Data],$DD382,36),0)</f>
        <v/>
      </c>
      <c r="AM382">
        <f>IFERROR(INDEX(PP_Grid[#Data],$DD382,37),0)</f>
        <v/>
      </c>
      <c r="AN382">
        <f>IFERROR(INDEX(PP_Grid[#Data],$DD382,38),0)</f>
        <v/>
      </c>
      <c r="AO382">
        <f>IFERROR(INDEX(PP_Grid[#Data],$DD382,39),0)</f>
        <v/>
      </c>
      <c r="AP382">
        <f>IFERROR(INDEX(PP_Grid[#Data],$DD382,40),0)</f>
        <v/>
      </c>
      <c r="AQ382">
        <f>IFERROR(INDEX(PP_Grid[#Data],$DD382,41),0)</f>
        <v/>
      </c>
      <c r="AR382">
        <f>IFERROR(INDEX(PP_Grid[#Data],$DD382,42),0)</f>
        <v/>
      </c>
      <c r="AS382">
        <f>IFERROR(INDEX(PP_Grid[#Data],$DD382,43),0)</f>
        <v/>
      </c>
      <c r="AT382">
        <f>IFERROR(INDEX(PP_Grid[#Data],$DD382,44),0)</f>
        <v/>
      </c>
      <c r="AU382">
        <f>IFERROR(INDEX(PP_Grid[#Data],$DD382,45),0)</f>
        <v/>
      </c>
      <c r="AV382">
        <f>IFERROR(INDEX(PP_Grid[#Data],$DD382,46),0)</f>
        <v/>
      </c>
      <c r="AW382">
        <f>IFERROR(INDEX(PP_Grid[#Data],$DD382,47),0)</f>
        <v/>
      </c>
      <c r="AX382">
        <f>IFERROR(INDEX(PP_Grid[#Data],$DD382,48),0)</f>
        <v/>
      </c>
      <c r="AY382">
        <f>IFERROR(INDEX(PP_Grid[#Data],$DD382,49),0)</f>
        <v/>
      </c>
      <c r="AZ382">
        <f>IFERROR(INDEX(PP_Grid[#Data],$DD382,50),0)</f>
        <v/>
      </c>
      <c r="BA382">
        <f>IFERROR(INDEX(PP_Grid[#Data],$DD382,51),0)</f>
        <v/>
      </c>
      <c r="BB382">
        <f>IFERROR(INDEX(PP_Grid[#Data],$DD382,52),0)</f>
        <v/>
      </c>
      <c r="BC382">
        <f>IFERROR(INDEX(PP_Grid[#Data],$DD382,53),0)</f>
        <v/>
      </c>
      <c r="BD382">
        <f>IFERROR(INDEX(PP_Grid[#Data],$DD382,54),0)</f>
        <v/>
      </c>
      <c r="BE382">
        <f>IFERROR(INDEX(PP_Grid[#Data],$DD382,55),0)</f>
        <v/>
      </c>
      <c r="BF382">
        <f>IFERROR(INDEX(PP_Grid[#Data],$DD382,56),0)</f>
        <v/>
      </c>
      <c r="BG382">
        <f>IFERROR(INDEX(PP_Grid[#Data],$DD382,57),0)</f>
        <v/>
      </c>
      <c r="BH382">
        <f>IFERROR(INDEX(PP_Grid[#Data],$DD382,58),0)</f>
        <v/>
      </c>
      <c r="BI382">
        <f>IFERROR(INDEX(PP_Grid[#Data],$DD382,59),0)</f>
        <v/>
      </c>
      <c r="BJ382">
        <f>IFERROR(INDEX(PP_Grid[#Data],$DD382,60),0)</f>
        <v/>
      </c>
      <c r="BK382">
        <f>IFERROR(INDEX(PP_Grid[#Data],$DD382,61),0)</f>
        <v/>
      </c>
      <c r="BL382">
        <f>IFERROR(INDEX(PP_Grid[#Data],$DD382,62),0)</f>
        <v/>
      </c>
      <c r="BM382">
        <f>IFERROR(INDEX(PP_Grid[#Data],$DD382,63),0)</f>
        <v/>
      </c>
      <c r="BN382">
        <f>IFERROR(INDEX(PP_Grid[#Data],$DD382,64),0)</f>
        <v/>
      </c>
      <c r="BO382">
        <f>IFERROR(INDEX(PP_Grid[#Data],$DD382,65),0)</f>
        <v/>
      </c>
      <c r="BP382">
        <f>IFERROR(INDEX(PP_Grid[#Data],$DD382,66),0)</f>
        <v/>
      </c>
      <c r="BQ382">
        <f>IFERROR(INDEX(PP_Grid[#Data],$DD382,67),0)</f>
        <v/>
      </c>
      <c r="BR382">
        <f>IFERROR(INDEX(PP_Grid[#Data],$DD382,68),0)</f>
        <v/>
      </c>
      <c r="BS382">
        <f>IFERROR(INDEX(PP_Grid[#Data],$DD382,69),0)</f>
        <v/>
      </c>
      <c r="BT382">
        <f>IFERROR(INDEX(PP_Grid[#Data],$DD382,70),0)</f>
        <v/>
      </c>
      <c r="BU382">
        <f>IFERROR(INDEX(PP_Grid[#Data],$DD382,71),0)</f>
        <v/>
      </c>
      <c r="BV382">
        <f>IFERROR(INDEX(PP_Grid[#Data],$DD382,72),0)</f>
        <v/>
      </c>
      <c r="BW382">
        <f>IFERROR(INDEX(PP_Grid[#Data],$DD382,73),0)</f>
        <v/>
      </c>
      <c r="BX382">
        <f>IFERROR(INDEX(PP_Grid[#Data],$DD382,74),0)</f>
        <v/>
      </c>
      <c r="BY382">
        <f>IFERROR(INDEX(PP_Grid[#Data],$DD382,75),0)</f>
        <v/>
      </c>
      <c r="BZ382">
        <f>IFERROR(INDEX(PP_Grid[#Data],$DD382,76),0)</f>
        <v/>
      </c>
      <c r="CA382">
        <f>IFERROR(INDEX(PP_Grid[#Data],$DD382,77),0)</f>
        <v/>
      </c>
      <c r="CB382">
        <f>IFERROR(INDEX(PP_Grid[#Data],$DD382,78),0)</f>
        <v/>
      </c>
      <c r="CC382">
        <f>IFERROR(INDEX(PP_Grid[#Data],$DD382,79),0)</f>
        <v/>
      </c>
      <c r="CD382">
        <f>IFERROR(INDEX(PP_Grid[#Data],$DD382,80),0)</f>
        <v/>
      </c>
      <c r="CE382">
        <f>IFERROR(INDEX(PP_Grid[#Data],$DD382,81),0)</f>
        <v/>
      </c>
      <c r="CF382">
        <f>IFERROR(INDEX(PP_Grid[#Data],$DD382,82),0)</f>
        <v/>
      </c>
      <c r="CG382">
        <f>IFERROR(INDEX(PP_Grid[#Data],$DD382,83),0)</f>
        <v/>
      </c>
      <c r="CH382">
        <f>IFERROR(INDEX(PP_Grid[#Data],$DD382,84),0)</f>
        <v/>
      </c>
      <c r="CI382">
        <f>IFERROR(INDEX(PP_Grid[#Data],$DD382,85),0)</f>
        <v/>
      </c>
      <c r="CJ382">
        <f>IFERROR(INDEX(PP_Grid[#Data],$DD382,86),0)</f>
        <v/>
      </c>
      <c r="CK382">
        <f>IFERROR(INDEX(PP_Grid[#Data],$DD382,87),0)</f>
        <v/>
      </c>
      <c r="CL382">
        <f>IFERROR(INDEX(PP_Grid[#Data],$DD382,88),0)</f>
        <v/>
      </c>
      <c r="CM382">
        <f>IFERROR(INDEX(PP_Grid[#Data],$DD382,89),0)</f>
        <v/>
      </c>
      <c r="CN382">
        <f>IFERROR(INDEX(PP_Grid[#Data],$DD382,90),0)</f>
        <v/>
      </c>
      <c r="CO382">
        <f>IFERROR(INDEX(PP_Grid[#Data],$DD382,91),0)</f>
        <v/>
      </c>
      <c r="CP382">
        <f>IFERROR(INDEX(PP_Grid[#Data],$DD382,92),0)</f>
        <v/>
      </c>
      <c r="CQ382">
        <f>IFERROR(INDEX(PP_Grid[#Data],$DD382,93),0)</f>
        <v/>
      </c>
      <c r="CR382">
        <f>IFERROR(INDEX(PP_Grid[#Data],$DD382,94),0)</f>
        <v/>
      </c>
      <c r="CS382">
        <f>IFERROR(INDEX(PP_Grid[#Data],$DD382,95),0)</f>
        <v/>
      </c>
      <c r="CT382">
        <f>IFERROR(INDEX(PP_Grid[#Data],$DD382,96),0)</f>
        <v/>
      </c>
      <c r="CU382">
        <f>IFERROR(INDEX(PP_Grid[#Data],$DD382,97),0)</f>
        <v/>
      </c>
      <c r="CV382">
        <f>IFERROR(INDEX(PP_Grid[#Data],$DD382,98),0)</f>
        <v/>
      </c>
      <c r="CW382">
        <f>IFERROR(INDEX(PP_Grid[#Data],$DD382,99),0)</f>
        <v/>
      </c>
      <c r="CX382">
        <f>IFERROR(INDEX(PP_Grid[#Data],$DD382,100),0)</f>
        <v/>
      </c>
      <c r="CY382">
        <f>IFERROR(INDEX(PP_Grid[#Data],$DD382,101),0)</f>
        <v/>
      </c>
      <c r="CZ382">
        <f>IFERROR(INDEX(PP_Grid[#Data],$DD382,102),0)</f>
        <v/>
      </c>
      <c r="DA382">
        <f>IFERROR(INDEX(PP_Grid[#Data],$DD382,103),0)</f>
        <v/>
      </c>
      <c r="DB382">
        <f>IFERROR(INDEX(PP_Grid[#Data],$DD382,104),0)</f>
        <v/>
      </c>
      <c r="DC382">
        <f>IFERROR(INDEX(PP_Grid[#Data],$DD382,105),0)</f>
        <v/>
      </c>
      <c r="DD382" s="7">
        <f>IFERROR(MATCH($B382,PP_Grid[Intermediate],0),99999)</f>
        <v/>
      </c>
    </row>
    <row r="383">
      <c r="B383" t="inlineStr">
        <is>
          <t>使用量(kg)</t>
        </is>
      </c>
      <c r="C383">
        <f>SUMIFS(M_BOM[RM_Qty_Per_Batch],M_BOM[Intermediate],$B382,M_BOM[Part Name],$A343)</f>
        <v/>
      </c>
      <c r="D383">
        <f>$C383*D382</f>
        <v/>
      </c>
      <c r="E383">
        <f>$C383*E382</f>
        <v/>
      </c>
      <c r="F383">
        <f>$C383*F382</f>
        <v/>
      </c>
      <c r="G383">
        <f>$C383*G382</f>
        <v/>
      </c>
      <c r="H383">
        <f>$C383*H382</f>
        <v/>
      </c>
      <c r="I383">
        <f>$C383*I382</f>
        <v/>
      </c>
      <c r="J383">
        <f>$C383*J382</f>
        <v/>
      </c>
      <c r="K383">
        <f>$C383*K382</f>
        <v/>
      </c>
      <c r="L383">
        <f>$C383*L382</f>
        <v/>
      </c>
      <c r="M383">
        <f>$C383*M382</f>
        <v/>
      </c>
      <c r="N383">
        <f>$C383*N382</f>
        <v/>
      </c>
      <c r="O383">
        <f>$C383*O382</f>
        <v/>
      </c>
      <c r="P383">
        <f>$C383*P382</f>
        <v/>
      </c>
      <c r="Q383">
        <f>$C383*Q382</f>
        <v/>
      </c>
      <c r="R383">
        <f>$C383*R382</f>
        <v/>
      </c>
      <c r="S383">
        <f>$C383*S382</f>
        <v/>
      </c>
      <c r="T383">
        <f>$C383*T382</f>
        <v/>
      </c>
      <c r="U383">
        <f>$C383*U382</f>
        <v/>
      </c>
      <c r="V383">
        <f>$C383*V382</f>
        <v/>
      </c>
      <c r="W383">
        <f>$C383*W382</f>
        <v/>
      </c>
      <c r="X383">
        <f>$C383*X382</f>
        <v/>
      </c>
      <c r="Y383">
        <f>$C383*Y382</f>
        <v/>
      </c>
      <c r="Z383">
        <f>$C383*Z382</f>
        <v/>
      </c>
      <c r="AA383">
        <f>$C383*AA382</f>
        <v/>
      </c>
      <c r="AB383">
        <f>$C383*AB382</f>
        <v/>
      </c>
      <c r="AC383">
        <f>$C383*AC382</f>
        <v/>
      </c>
      <c r="AD383">
        <f>$C383*AD382</f>
        <v/>
      </c>
      <c r="AE383">
        <f>$C383*AE382</f>
        <v/>
      </c>
      <c r="AF383">
        <f>$C383*AF382</f>
        <v/>
      </c>
      <c r="AG383">
        <f>$C383*AG382</f>
        <v/>
      </c>
      <c r="AH383">
        <f>$C383*AH382</f>
        <v/>
      </c>
      <c r="AI383">
        <f>$C383*AI382</f>
        <v/>
      </c>
      <c r="AJ383">
        <f>$C383*AJ382</f>
        <v/>
      </c>
      <c r="AK383">
        <f>$C383*AK382</f>
        <v/>
      </c>
      <c r="AL383">
        <f>$C383*AL382</f>
        <v/>
      </c>
      <c r="AM383">
        <f>$C383*AM382</f>
        <v/>
      </c>
      <c r="AN383">
        <f>$C383*AN382</f>
        <v/>
      </c>
      <c r="AO383">
        <f>$C383*AO382</f>
        <v/>
      </c>
      <c r="AP383">
        <f>$C383*AP382</f>
        <v/>
      </c>
      <c r="AQ383">
        <f>$C383*AQ382</f>
        <v/>
      </c>
      <c r="AR383">
        <f>$C383*AR382</f>
        <v/>
      </c>
      <c r="AS383">
        <f>$C383*AS382</f>
        <v/>
      </c>
      <c r="AT383">
        <f>$C383*AT382</f>
        <v/>
      </c>
      <c r="AU383">
        <f>$C383*AU382</f>
        <v/>
      </c>
      <c r="AV383">
        <f>$C383*AV382</f>
        <v/>
      </c>
      <c r="AW383">
        <f>$C383*AW382</f>
        <v/>
      </c>
      <c r="AX383">
        <f>$C383*AX382</f>
        <v/>
      </c>
      <c r="AY383">
        <f>$C383*AY382</f>
        <v/>
      </c>
      <c r="AZ383">
        <f>$C383*AZ382</f>
        <v/>
      </c>
      <c r="BA383">
        <f>$C383*BA382</f>
        <v/>
      </c>
      <c r="BB383">
        <f>$C383*BB382</f>
        <v/>
      </c>
      <c r="BC383">
        <f>$C383*BC382</f>
        <v/>
      </c>
      <c r="BD383">
        <f>$C383*BD382</f>
        <v/>
      </c>
      <c r="BE383">
        <f>$C383*BE382</f>
        <v/>
      </c>
      <c r="BF383">
        <f>$C383*BF382</f>
        <v/>
      </c>
      <c r="BG383">
        <f>$C383*BG382</f>
        <v/>
      </c>
      <c r="BH383">
        <f>$C383*BH382</f>
        <v/>
      </c>
      <c r="BI383">
        <f>$C383*BI382</f>
        <v/>
      </c>
      <c r="BJ383">
        <f>$C383*BJ382</f>
        <v/>
      </c>
      <c r="BK383">
        <f>$C383*BK382</f>
        <v/>
      </c>
      <c r="BL383">
        <f>$C383*BL382</f>
        <v/>
      </c>
      <c r="BM383">
        <f>$C383*BM382</f>
        <v/>
      </c>
      <c r="BN383">
        <f>$C383*BN382</f>
        <v/>
      </c>
      <c r="BO383">
        <f>$C383*BO382</f>
        <v/>
      </c>
      <c r="BP383">
        <f>$C383*BP382</f>
        <v/>
      </c>
      <c r="BQ383">
        <f>$C383*BQ382</f>
        <v/>
      </c>
      <c r="BR383">
        <f>$C383*BR382</f>
        <v/>
      </c>
      <c r="BS383">
        <f>$C383*BS382</f>
        <v/>
      </c>
      <c r="BT383">
        <f>$C383*BT382</f>
        <v/>
      </c>
      <c r="BU383">
        <f>$C383*BU382</f>
        <v/>
      </c>
      <c r="BV383">
        <f>$C383*BV382</f>
        <v/>
      </c>
      <c r="BW383">
        <f>$C383*BW382</f>
        <v/>
      </c>
      <c r="BX383">
        <f>$C383*BX382</f>
        <v/>
      </c>
      <c r="BY383">
        <f>$C383*BY382</f>
        <v/>
      </c>
      <c r="BZ383">
        <f>$C383*BZ382</f>
        <v/>
      </c>
      <c r="CA383">
        <f>$C383*CA382</f>
        <v/>
      </c>
      <c r="CB383">
        <f>$C383*CB382</f>
        <v/>
      </c>
      <c r="CC383">
        <f>$C383*CC382</f>
        <v/>
      </c>
      <c r="CD383">
        <f>$C383*CD382</f>
        <v/>
      </c>
      <c r="CE383">
        <f>$C383*CE382</f>
        <v/>
      </c>
      <c r="CF383">
        <f>$C383*CF382</f>
        <v/>
      </c>
      <c r="CG383">
        <f>$C383*CG382</f>
        <v/>
      </c>
      <c r="CH383">
        <f>$C383*CH382</f>
        <v/>
      </c>
      <c r="CI383">
        <f>$C383*CI382</f>
        <v/>
      </c>
      <c r="CJ383">
        <f>$C383*CJ382</f>
        <v/>
      </c>
      <c r="CK383">
        <f>$C383*CK382</f>
        <v/>
      </c>
      <c r="CL383">
        <f>$C383*CL382</f>
        <v/>
      </c>
      <c r="CM383">
        <f>$C383*CM382</f>
        <v/>
      </c>
      <c r="CN383">
        <f>$C383*CN382</f>
        <v/>
      </c>
      <c r="CO383">
        <f>$C383*CO382</f>
        <v/>
      </c>
      <c r="CP383">
        <f>$C383*CP382</f>
        <v/>
      </c>
      <c r="CQ383">
        <f>$C383*CQ382</f>
        <v/>
      </c>
      <c r="CR383">
        <f>$C383*CR382</f>
        <v/>
      </c>
      <c r="CS383">
        <f>$C383*CS382</f>
        <v/>
      </c>
      <c r="CT383">
        <f>$C383*CT382</f>
        <v/>
      </c>
      <c r="CU383">
        <f>$C383*CU382</f>
        <v/>
      </c>
      <c r="CV383">
        <f>$C383*CV382</f>
        <v/>
      </c>
      <c r="CW383">
        <f>$C383*CW382</f>
        <v/>
      </c>
      <c r="CX383">
        <f>$C383*CX382</f>
        <v/>
      </c>
      <c r="CY383">
        <f>$C383*CY382</f>
        <v/>
      </c>
      <c r="CZ383">
        <f>$C383*CZ382</f>
        <v/>
      </c>
      <c r="DA383">
        <f>$C383*DA382</f>
        <v/>
      </c>
      <c r="DB383">
        <f>$C383*DB382</f>
        <v/>
      </c>
      <c r="DC383">
        <f>$C383*DC382</f>
        <v/>
      </c>
    </row>
    <row r="384">
      <c r="B384" t="inlineStr">
        <is>
          <t>TSP-623</t>
        </is>
      </c>
      <c r="C384" t="inlineStr">
        <is>
          <t>No. of batches</t>
        </is>
      </c>
      <c r="D384">
        <f>IFERROR(INDEX(PP_Grid[#Data],$DD384,2),0)</f>
        <v/>
      </c>
      <c r="E384">
        <f>IFERROR(INDEX(PP_Grid[#Data],$DD384,3),0)</f>
        <v/>
      </c>
      <c r="F384">
        <f>IFERROR(INDEX(PP_Grid[#Data],$DD384,4),0)</f>
        <v/>
      </c>
      <c r="G384">
        <f>IFERROR(INDEX(PP_Grid[#Data],$DD384,5),0)</f>
        <v/>
      </c>
      <c r="H384">
        <f>IFERROR(INDEX(PP_Grid[#Data],$DD384,6),0)</f>
        <v/>
      </c>
      <c r="I384">
        <f>IFERROR(INDEX(PP_Grid[#Data],$DD384,7),0)</f>
        <v/>
      </c>
      <c r="J384">
        <f>IFERROR(INDEX(PP_Grid[#Data],$DD384,8),0)</f>
        <v/>
      </c>
      <c r="K384">
        <f>IFERROR(INDEX(PP_Grid[#Data],$DD384,9),0)</f>
        <v/>
      </c>
      <c r="L384">
        <f>IFERROR(INDEX(PP_Grid[#Data],$DD384,10),0)</f>
        <v/>
      </c>
      <c r="M384">
        <f>IFERROR(INDEX(PP_Grid[#Data],$DD384,11),0)</f>
        <v/>
      </c>
      <c r="N384">
        <f>IFERROR(INDEX(PP_Grid[#Data],$DD384,12),0)</f>
        <v/>
      </c>
      <c r="O384">
        <f>IFERROR(INDEX(PP_Grid[#Data],$DD384,13),0)</f>
        <v/>
      </c>
      <c r="P384">
        <f>IFERROR(INDEX(PP_Grid[#Data],$DD384,14),0)</f>
        <v/>
      </c>
      <c r="Q384">
        <f>IFERROR(INDEX(PP_Grid[#Data],$DD384,15),0)</f>
        <v/>
      </c>
      <c r="R384">
        <f>IFERROR(INDEX(PP_Grid[#Data],$DD384,16),0)</f>
        <v/>
      </c>
      <c r="S384">
        <f>IFERROR(INDEX(PP_Grid[#Data],$DD384,17),0)</f>
        <v/>
      </c>
      <c r="T384">
        <f>IFERROR(INDEX(PP_Grid[#Data],$DD384,18),0)</f>
        <v/>
      </c>
      <c r="U384">
        <f>IFERROR(INDEX(PP_Grid[#Data],$DD384,19),0)</f>
        <v/>
      </c>
      <c r="V384">
        <f>IFERROR(INDEX(PP_Grid[#Data],$DD384,20),0)</f>
        <v/>
      </c>
      <c r="W384">
        <f>IFERROR(INDEX(PP_Grid[#Data],$DD384,21),0)</f>
        <v/>
      </c>
      <c r="X384">
        <f>IFERROR(INDEX(PP_Grid[#Data],$DD384,22),0)</f>
        <v/>
      </c>
      <c r="Y384">
        <f>IFERROR(INDEX(PP_Grid[#Data],$DD384,23),0)</f>
        <v/>
      </c>
      <c r="Z384">
        <f>IFERROR(INDEX(PP_Grid[#Data],$DD384,24),0)</f>
        <v/>
      </c>
      <c r="AA384">
        <f>IFERROR(INDEX(PP_Grid[#Data],$DD384,25),0)</f>
        <v/>
      </c>
      <c r="AB384">
        <f>IFERROR(INDEX(PP_Grid[#Data],$DD384,26),0)</f>
        <v/>
      </c>
      <c r="AC384">
        <f>IFERROR(INDEX(PP_Grid[#Data],$DD384,27),0)</f>
        <v/>
      </c>
      <c r="AD384">
        <f>IFERROR(INDEX(PP_Grid[#Data],$DD384,28),0)</f>
        <v/>
      </c>
      <c r="AE384">
        <f>IFERROR(INDEX(PP_Grid[#Data],$DD384,29),0)</f>
        <v/>
      </c>
      <c r="AF384">
        <f>IFERROR(INDEX(PP_Grid[#Data],$DD384,30),0)</f>
        <v/>
      </c>
      <c r="AG384">
        <f>IFERROR(INDEX(PP_Grid[#Data],$DD384,31),0)</f>
        <v/>
      </c>
      <c r="AH384">
        <f>IFERROR(INDEX(PP_Grid[#Data],$DD384,32),0)</f>
        <v/>
      </c>
      <c r="AI384">
        <f>IFERROR(INDEX(PP_Grid[#Data],$DD384,33),0)</f>
        <v/>
      </c>
      <c r="AJ384">
        <f>IFERROR(INDEX(PP_Grid[#Data],$DD384,34),0)</f>
        <v/>
      </c>
      <c r="AK384">
        <f>IFERROR(INDEX(PP_Grid[#Data],$DD384,35),0)</f>
        <v/>
      </c>
      <c r="AL384">
        <f>IFERROR(INDEX(PP_Grid[#Data],$DD384,36),0)</f>
        <v/>
      </c>
      <c r="AM384">
        <f>IFERROR(INDEX(PP_Grid[#Data],$DD384,37),0)</f>
        <v/>
      </c>
      <c r="AN384">
        <f>IFERROR(INDEX(PP_Grid[#Data],$DD384,38),0)</f>
        <v/>
      </c>
      <c r="AO384">
        <f>IFERROR(INDEX(PP_Grid[#Data],$DD384,39),0)</f>
        <v/>
      </c>
      <c r="AP384">
        <f>IFERROR(INDEX(PP_Grid[#Data],$DD384,40),0)</f>
        <v/>
      </c>
      <c r="AQ384">
        <f>IFERROR(INDEX(PP_Grid[#Data],$DD384,41),0)</f>
        <v/>
      </c>
      <c r="AR384">
        <f>IFERROR(INDEX(PP_Grid[#Data],$DD384,42),0)</f>
        <v/>
      </c>
      <c r="AS384">
        <f>IFERROR(INDEX(PP_Grid[#Data],$DD384,43),0)</f>
        <v/>
      </c>
      <c r="AT384">
        <f>IFERROR(INDEX(PP_Grid[#Data],$DD384,44),0)</f>
        <v/>
      </c>
      <c r="AU384">
        <f>IFERROR(INDEX(PP_Grid[#Data],$DD384,45),0)</f>
        <v/>
      </c>
      <c r="AV384">
        <f>IFERROR(INDEX(PP_Grid[#Data],$DD384,46),0)</f>
        <v/>
      </c>
      <c r="AW384">
        <f>IFERROR(INDEX(PP_Grid[#Data],$DD384,47),0)</f>
        <v/>
      </c>
      <c r="AX384">
        <f>IFERROR(INDEX(PP_Grid[#Data],$DD384,48),0)</f>
        <v/>
      </c>
      <c r="AY384">
        <f>IFERROR(INDEX(PP_Grid[#Data],$DD384,49),0)</f>
        <v/>
      </c>
      <c r="AZ384">
        <f>IFERROR(INDEX(PP_Grid[#Data],$DD384,50),0)</f>
        <v/>
      </c>
      <c r="BA384">
        <f>IFERROR(INDEX(PP_Grid[#Data],$DD384,51),0)</f>
        <v/>
      </c>
      <c r="BB384">
        <f>IFERROR(INDEX(PP_Grid[#Data],$DD384,52),0)</f>
        <v/>
      </c>
      <c r="BC384">
        <f>IFERROR(INDEX(PP_Grid[#Data],$DD384,53),0)</f>
        <v/>
      </c>
      <c r="BD384">
        <f>IFERROR(INDEX(PP_Grid[#Data],$DD384,54),0)</f>
        <v/>
      </c>
      <c r="BE384">
        <f>IFERROR(INDEX(PP_Grid[#Data],$DD384,55),0)</f>
        <v/>
      </c>
      <c r="BF384">
        <f>IFERROR(INDEX(PP_Grid[#Data],$DD384,56),0)</f>
        <v/>
      </c>
      <c r="BG384">
        <f>IFERROR(INDEX(PP_Grid[#Data],$DD384,57),0)</f>
        <v/>
      </c>
      <c r="BH384">
        <f>IFERROR(INDEX(PP_Grid[#Data],$DD384,58),0)</f>
        <v/>
      </c>
      <c r="BI384">
        <f>IFERROR(INDEX(PP_Grid[#Data],$DD384,59),0)</f>
        <v/>
      </c>
      <c r="BJ384">
        <f>IFERROR(INDEX(PP_Grid[#Data],$DD384,60),0)</f>
        <v/>
      </c>
      <c r="BK384">
        <f>IFERROR(INDEX(PP_Grid[#Data],$DD384,61),0)</f>
        <v/>
      </c>
      <c r="BL384">
        <f>IFERROR(INDEX(PP_Grid[#Data],$DD384,62),0)</f>
        <v/>
      </c>
      <c r="BM384">
        <f>IFERROR(INDEX(PP_Grid[#Data],$DD384,63),0)</f>
        <v/>
      </c>
      <c r="BN384">
        <f>IFERROR(INDEX(PP_Grid[#Data],$DD384,64),0)</f>
        <v/>
      </c>
      <c r="BO384">
        <f>IFERROR(INDEX(PP_Grid[#Data],$DD384,65),0)</f>
        <v/>
      </c>
      <c r="BP384">
        <f>IFERROR(INDEX(PP_Grid[#Data],$DD384,66),0)</f>
        <v/>
      </c>
      <c r="BQ384">
        <f>IFERROR(INDEX(PP_Grid[#Data],$DD384,67),0)</f>
        <v/>
      </c>
      <c r="BR384">
        <f>IFERROR(INDEX(PP_Grid[#Data],$DD384,68),0)</f>
        <v/>
      </c>
      <c r="BS384">
        <f>IFERROR(INDEX(PP_Grid[#Data],$DD384,69),0)</f>
        <v/>
      </c>
      <c r="BT384">
        <f>IFERROR(INDEX(PP_Grid[#Data],$DD384,70),0)</f>
        <v/>
      </c>
      <c r="BU384">
        <f>IFERROR(INDEX(PP_Grid[#Data],$DD384,71),0)</f>
        <v/>
      </c>
      <c r="BV384">
        <f>IFERROR(INDEX(PP_Grid[#Data],$DD384,72),0)</f>
        <v/>
      </c>
      <c r="BW384">
        <f>IFERROR(INDEX(PP_Grid[#Data],$DD384,73),0)</f>
        <v/>
      </c>
      <c r="BX384">
        <f>IFERROR(INDEX(PP_Grid[#Data],$DD384,74),0)</f>
        <v/>
      </c>
      <c r="BY384">
        <f>IFERROR(INDEX(PP_Grid[#Data],$DD384,75),0)</f>
        <v/>
      </c>
      <c r="BZ384">
        <f>IFERROR(INDEX(PP_Grid[#Data],$DD384,76),0)</f>
        <v/>
      </c>
      <c r="CA384">
        <f>IFERROR(INDEX(PP_Grid[#Data],$DD384,77),0)</f>
        <v/>
      </c>
      <c r="CB384">
        <f>IFERROR(INDEX(PP_Grid[#Data],$DD384,78),0)</f>
        <v/>
      </c>
      <c r="CC384">
        <f>IFERROR(INDEX(PP_Grid[#Data],$DD384,79),0)</f>
        <v/>
      </c>
      <c r="CD384">
        <f>IFERROR(INDEX(PP_Grid[#Data],$DD384,80),0)</f>
        <v/>
      </c>
      <c r="CE384">
        <f>IFERROR(INDEX(PP_Grid[#Data],$DD384,81),0)</f>
        <v/>
      </c>
      <c r="CF384">
        <f>IFERROR(INDEX(PP_Grid[#Data],$DD384,82),0)</f>
        <v/>
      </c>
      <c r="CG384">
        <f>IFERROR(INDEX(PP_Grid[#Data],$DD384,83),0)</f>
        <v/>
      </c>
      <c r="CH384">
        <f>IFERROR(INDEX(PP_Grid[#Data],$DD384,84),0)</f>
        <v/>
      </c>
      <c r="CI384">
        <f>IFERROR(INDEX(PP_Grid[#Data],$DD384,85),0)</f>
        <v/>
      </c>
      <c r="CJ384">
        <f>IFERROR(INDEX(PP_Grid[#Data],$DD384,86),0)</f>
        <v/>
      </c>
      <c r="CK384">
        <f>IFERROR(INDEX(PP_Grid[#Data],$DD384,87),0)</f>
        <v/>
      </c>
      <c r="CL384">
        <f>IFERROR(INDEX(PP_Grid[#Data],$DD384,88),0)</f>
        <v/>
      </c>
      <c r="CM384">
        <f>IFERROR(INDEX(PP_Grid[#Data],$DD384,89),0)</f>
        <v/>
      </c>
      <c r="CN384">
        <f>IFERROR(INDEX(PP_Grid[#Data],$DD384,90),0)</f>
        <v/>
      </c>
      <c r="CO384">
        <f>IFERROR(INDEX(PP_Grid[#Data],$DD384,91),0)</f>
        <v/>
      </c>
      <c r="CP384">
        <f>IFERROR(INDEX(PP_Grid[#Data],$DD384,92),0)</f>
        <v/>
      </c>
      <c r="CQ384">
        <f>IFERROR(INDEX(PP_Grid[#Data],$DD384,93),0)</f>
        <v/>
      </c>
      <c r="CR384">
        <f>IFERROR(INDEX(PP_Grid[#Data],$DD384,94),0)</f>
        <v/>
      </c>
      <c r="CS384">
        <f>IFERROR(INDEX(PP_Grid[#Data],$DD384,95),0)</f>
        <v/>
      </c>
      <c r="CT384">
        <f>IFERROR(INDEX(PP_Grid[#Data],$DD384,96),0)</f>
        <v/>
      </c>
      <c r="CU384">
        <f>IFERROR(INDEX(PP_Grid[#Data],$DD384,97),0)</f>
        <v/>
      </c>
      <c r="CV384">
        <f>IFERROR(INDEX(PP_Grid[#Data],$DD384,98),0)</f>
        <v/>
      </c>
      <c r="CW384">
        <f>IFERROR(INDEX(PP_Grid[#Data],$DD384,99),0)</f>
        <v/>
      </c>
      <c r="CX384">
        <f>IFERROR(INDEX(PP_Grid[#Data],$DD384,100),0)</f>
        <v/>
      </c>
      <c r="CY384">
        <f>IFERROR(INDEX(PP_Grid[#Data],$DD384,101),0)</f>
        <v/>
      </c>
      <c r="CZ384">
        <f>IFERROR(INDEX(PP_Grid[#Data],$DD384,102),0)</f>
        <v/>
      </c>
      <c r="DA384">
        <f>IFERROR(INDEX(PP_Grid[#Data],$DD384,103),0)</f>
        <v/>
      </c>
      <c r="DB384">
        <f>IFERROR(INDEX(PP_Grid[#Data],$DD384,104),0)</f>
        <v/>
      </c>
      <c r="DC384">
        <f>IFERROR(INDEX(PP_Grid[#Data],$DD384,105),0)</f>
        <v/>
      </c>
      <c r="DD384" s="7">
        <f>IFERROR(MATCH($B384,PP_Grid[Intermediate],0),99999)</f>
        <v/>
      </c>
    </row>
    <row r="385">
      <c r="B385" t="inlineStr">
        <is>
          <t>使用量(kg)</t>
        </is>
      </c>
      <c r="C385">
        <f>SUMIFS(M_BOM[RM_Qty_Per_Batch],M_BOM[Intermediate],$B384,M_BOM[Part Name],$A343)</f>
        <v/>
      </c>
      <c r="D385">
        <f>$C385*D384</f>
        <v/>
      </c>
      <c r="E385">
        <f>$C385*E384</f>
        <v/>
      </c>
      <c r="F385">
        <f>$C385*F384</f>
        <v/>
      </c>
      <c r="G385">
        <f>$C385*G384</f>
        <v/>
      </c>
      <c r="H385">
        <f>$C385*H384</f>
        <v/>
      </c>
      <c r="I385">
        <f>$C385*I384</f>
        <v/>
      </c>
      <c r="J385">
        <f>$C385*J384</f>
        <v/>
      </c>
      <c r="K385">
        <f>$C385*K384</f>
        <v/>
      </c>
      <c r="L385">
        <f>$C385*L384</f>
        <v/>
      </c>
      <c r="M385">
        <f>$C385*M384</f>
        <v/>
      </c>
      <c r="N385">
        <f>$C385*N384</f>
        <v/>
      </c>
      <c r="O385">
        <f>$C385*O384</f>
        <v/>
      </c>
      <c r="P385">
        <f>$C385*P384</f>
        <v/>
      </c>
      <c r="Q385">
        <f>$C385*Q384</f>
        <v/>
      </c>
      <c r="R385">
        <f>$C385*R384</f>
        <v/>
      </c>
      <c r="S385">
        <f>$C385*S384</f>
        <v/>
      </c>
      <c r="T385">
        <f>$C385*T384</f>
        <v/>
      </c>
      <c r="U385">
        <f>$C385*U384</f>
        <v/>
      </c>
      <c r="V385">
        <f>$C385*V384</f>
        <v/>
      </c>
      <c r="W385">
        <f>$C385*W384</f>
        <v/>
      </c>
      <c r="X385">
        <f>$C385*X384</f>
        <v/>
      </c>
      <c r="Y385">
        <f>$C385*Y384</f>
        <v/>
      </c>
      <c r="Z385">
        <f>$C385*Z384</f>
        <v/>
      </c>
      <c r="AA385">
        <f>$C385*AA384</f>
        <v/>
      </c>
      <c r="AB385">
        <f>$C385*AB384</f>
        <v/>
      </c>
      <c r="AC385">
        <f>$C385*AC384</f>
        <v/>
      </c>
      <c r="AD385">
        <f>$C385*AD384</f>
        <v/>
      </c>
      <c r="AE385">
        <f>$C385*AE384</f>
        <v/>
      </c>
      <c r="AF385">
        <f>$C385*AF384</f>
        <v/>
      </c>
      <c r="AG385">
        <f>$C385*AG384</f>
        <v/>
      </c>
      <c r="AH385">
        <f>$C385*AH384</f>
        <v/>
      </c>
      <c r="AI385">
        <f>$C385*AI384</f>
        <v/>
      </c>
      <c r="AJ385">
        <f>$C385*AJ384</f>
        <v/>
      </c>
      <c r="AK385">
        <f>$C385*AK384</f>
        <v/>
      </c>
      <c r="AL385">
        <f>$C385*AL384</f>
        <v/>
      </c>
      <c r="AM385">
        <f>$C385*AM384</f>
        <v/>
      </c>
      <c r="AN385">
        <f>$C385*AN384</f>
        <v/>
      </c>
      <c r="AO385">
        <f>$C385*AO384</f>
        <v/>
      </c>
      <c r="AP385">
        <f>$C385*AP384</f>
        <v/>
      </c>
      <c r="AQ385">
        <f>$C385*AQ384</f>
        <v/>
      </c>
      <c r="AR385">
        <f>$C385*AR384</f>
        <v/>
      </c>
      <c r="AS385">
        <f>$C385*AS384</f>
        <v/>
      </c>
      <c r="AT385">
        <f>$C385*AT384</f>
        <v/>
      </c>
      <c r="AU385">
        <f>$C385*AU384</f>
        <v/>
      </c>
      <c r="AV385">
        <f>$C385*AV384</f>
        <v/>
      </c>
      <c r="AW385">
        <f>$C385*AW384</f>
        <v/>
      </c>
      <c r="AX385">
        <f>$C385*AX384</f>
        <v/>
      </c>
      <c r="AY385">
        <f>$C385*AY384</f>
        <v/>
      </c>
      <c r="AZ385">
        <f>$C385*AZ384</f>
        <v/>
      </c>
      <c r="BA385">
        <f>$C385*BA384</f>
        <v/>
      </c>
      <c r="BB385">
        <f>$C385*BB384</f>
        <v/>
      </c>
      <c r="BC385">
        <f>$C385*BC384</f>
        <v/>
      </c>
      <c r="BD385">
        <f>$C385*BD384</f>
        <v/>
      </c>
      <c r="BE385">
        <f>$C385*BE384</f>
        <v/>
      </c>
      <c r="BF385">
        <f>$C385*BF384</f>
        <v/>
      </c>
      <c r="BG385">
        <f>$C385*BG384</f>
        <v/>
      </c>
      <c r="BH385">
        <f>$C385*BH384</f>
        <v/>
      </c>
      <c r="BI385">
        <f>$C385*BI384</f>
        <v/>
      </c>
      <c r="BJ385">
        <f>$C385*BJ384</f>
        <v/>
      </c>
      <c r="BK385">
        <f>$C385*BK384</f>
        <v/>
      </c>
      <c r="BL385">
        <f>$C385*BL384</f>
        <v/>
      </c>
      <c r="BM385">
        <f>$C385*BM384</f>
        <v/>
      </c>
      <c r="BN385">
        <f>$C385*BN384</f>
        <v/>
      </c>
      <c r="BO385">
        <f>$C385*BO384</f>
        <v/>
      </c>
      <c r="BP385">
        <f>$C385*BP384</f>
        <v/>
      </c>
      <c r="BQ385">
        <f>$C385*BQ384</f>
        <v/>
      </c>
      <c r="BR385">
        <f>$C385*BR384</f>
        <v/>
      </c>
      <c r="BS385">
        <f>$C385*BS384</f>
        <v/>
      </c>
      <c r="BT385">
        <f>$C385*BT384</f>
        <v/>
      </c>
      <c r="BU385">
        <f>$C385*BU384</f>
        <v/>
      </c>
      <c r="BV385">
        <f>$C385*BV384</f>
        <v/>
      </c>
      <c r="BW385">
        <f>$C385*BW384</f>
        <v/>
      </c>
      <c r="BX385">
        <f>$C385*BX384</f>
        <v/>
      </c>
      <c r="BY385">
        <f>$C385*BY384</f>
        <v/>
      </c>
      <c r="BZ385">
        <f>$C385*BZ384</f>
        <v/>
      </c>
      <c r="CA385">
        <f>$C385*CA384</f>
        <v/>
      </c>
      <c r="CB385">
        <f>$C385*CB384</f>
        <v/>
      </c>
      <c r="CC385">
        <f>$C385*CC384</f>
        <v/>
      </c>
      <c r="CD385">
        <f>$C385*CD384</f>
        <v/>
      </c>
      <c r="CE385">
        <f>$C385*CE384</f>
        <v/>
      </c>
      <c r="CF385">
        <f>$C385*CF384</f>
        <v/>
      </c>
      <c r="CG385">
        <f>$C385*CG384</f>
        <v/>
      </c>
      <c r="CH385">
        <f>$C385*CH384</f>
        <v/>
      </c>
      <c r="CI385">
        <f>$C385*CI384</f>
        <v/>
      </c>
      <c r="CJ385">
        <f>$C385*CJ384</f>
        <v/>
      </c>
      <c r="CK385">
        <f>$C385*CK384</f>
        <v/>
      </c>
      <c r="CL385">
        <f>$C385*CL384</f>
        <v/>
      </c>
      <c r="CM385">
        <f>$C385*CM384</f>
        <v/>
      </c>
      <c r="CN385">
        <f>$C385*CN384</f>
        <v/>
      </c>
      <c r="CO385">
        <f>$C385*CO384</f>
        <v/>
      </c>
      <c r="CP385">
        <f>$C385*CP384</f>
        <v/>
      </c>
      <c r="CQ385">
        <f>$C385*CQ384</f>
        <v/>
      </c>
      <c r="CR385">
        <f>$C385*CR384</f>
        <v/>
      </c>
      <c r="CS385">
        <f>$C385*CS384</f>
        <v/>
      </c>
      <c r="CT385">
        <f>$C385*CT384</f>
        <v/>
      </c>
      <c r="CU385">
        <f>$C385*CU384</f>
        <v/>
      </c>
      <c r="CV385">
        <f>$C385*CV384</f>
        <v/>
      </c>
      <c r="CW385">
        <f>$C385*CW384</f>
        <v/>
      </c>
      <c r="CX385">
        <f>$C385*CX384</f>
        <v/>
      </c>
      <c r="CY385">
        <f>$C385*CY384</f>
        <v/>
      </c>
      <c r="CZ385">
        <f>$C385*CZ384</f>
        <v/>
      </c>
      <c r="DA385">
        <f>$C385*DA384</f>
        <v/>
      </c>
      <c r="DB385">
        <f>$C385*DB384</f>
        <v/>
      </c>
      <c r="DC385">
        <f>$C385*DC384</f>
        <v/>
      </c>
    </row>
    <row r="386">
      <c r="B386" t="inlineStr">
        <is>
          <t>TSP-655</t>
        </is>
      </c>
      <c r="C386" t="inlineStr">
        <is>
          <t>No. of batches</t>
        </is>
      </c>
      <c r="D386">
        <f>IFERROR(INDEX(PP_Grid[#Data],$DD386,2),0)</f>
        <v/>
      </c>
      <c r="E386">
        <f>IFERROR(INDEX(PP_Grid[#Data],$DD386,3),0)</f>
        <v/>
      </c>
      <c r="F386">
        <f>IFERROR(INDEX(PP_Grid[#Data],$DD386,4),0)</f>
        <v/>
      </c>
      <c r="G386">
        <f>IFERROR(INDEX(PP_Grid[#Data],$DD386,5),0)</f>
        <v/>
      </c>
      <c r="H386">
        <f>IFERROR(INDEX(PP_Grid[#Data],$DD386,6),0)</f>
        <v/>
      </c>
      <c r="I386">
        <f>IFERROR(INDEX(PP_Grid[#Data],$DD386,7),0)</f>
        <v/>
      </c>
      <c r="J386">
        <f>IFERROR(INDEX(PP_Grid[#Data],$DD386,8),0)</f>
        <v/>
      </c>
      <c r="K386">
        <f>IFERROR(INDEX(PP_Grid[#Data],$DD386,9),0)</f>
        <v/>
      </c>
      <c r="L386">
        <f>IFERROR(INDEX(PP_Grid[#Data],$DD386,10),0)</f>
        <v/>
      </c>
      <c r="M386">
        <f>IFERROR(INDEX(PP_Grid[#Data],$DD386,11),0)</f>
        <v/>
      </c>
      <c r="N386">
        <f>IFERROR(INDEX(PP_Grid[#Data],$DD386,12),0)</f>
        <v/>
      </c>
      <c r="O386">
        <f>IFERROR(INDEX(PP_Grid[#Data],$DD386,13),0)</f>
        <v/>
      </c>
      <c r="P386">
        <f>IFERROR(INDEX(PP_Grid[#Data],$DD386,14),0)</f>
        <v/>
      </c>
      <c r="Q386">
        <f>IFERROR(INDEX(PP_Grid[#Data],$DD386,15),0)</f>
        <v/>
      </c>
      <c r="R386">
        <f>IFERROR(INDEX(PP_Grid[#Data],$DD386,16),0)</f>
        <v/>
      </c>
      <c r="S386">
        <f>IFERROR(INDEX(PP_Grid[#Data],$DD386,17),0)</f>
        <v/>
      </c>
      <c r="T386">
        <f>IFERROR(INDEX(PP_Grid[#Data],$DD386,18),0)</f>
        <v/>
      </c>
      <c r="U386">
        <f>IFERROR(INDEX(PP_Grid[#Data],$DD386,19),0)</f>
        <v/>
      </c>
      <c r="V386">
        <f>IFERROR(INDEX(PP_Grid[#Data],$DD386,20),0)</f>
        <v/>
      </c>
      <c r="W386">
        <f>IFERROR(INDEX(PP_Grid[#Data],$DD386,21),0)</f>
        <v/>
      </c>
      <c r="X386">
        <f>IFERROR(INDEX(PP_Grid[#Data],$DD386,22),0)</f>
        <v/>
      </c>
      <c r="Y386">
        <f>IFERROR(INDEX(PP_Grid[#Data],$DD386,23),0)</f>
        <v/>
      </c>
      <c r="Z386">
        <f>IFERROR(INDEX(PP_Grid[#Data],$DD386,24),0)</f>
        <v/>
      </c>
      <c r="AA386">
        <f>IFERROR(INDEX(PP_Grid[#Data],$DD386,25),0)</f>
        <v/>
      </c>
      <c r="AB386">
        <f>IFERROR(INDEX(PP_Grid[#Data],$DD386,26),0)</f>
        <v/>
      </c>
      <c r="AC386">
        <f>IFERROR(INDEX(PP_Grid[#Data],$DD386,27),0)</f>
        <v/>
      </c>
      <c r="AD386">
        <f>IFERROR(INDEX(PP_Grid[#Data],$DD386,28),0)</f>
        <v/>
      </c>
      <c r="AE386">
        <f>IFERROR(INDEX(PP_Grid[#Data],$DD386,29),0)</f>
        <v/>
      </c>
      <c r="AF386">
        <f>IFERROR(INDEX(PP_Grid[#Data],$DD386,30),0)</f>
        <v/>
      </c>
      <c r="AG386">
        <f>IFERROR(INDEX(PP_Grid[#Data],$DD386,31),0)</f>
        <v/>
      </c>
      <c r="AH386">
        <f>IFERROR(INDEX(PP_Grid[#Data],$DD386,32),0)</f>
        <v/>
      </c>
      <c r="AI386">
        <f>IFERROR(INDEX(PP_Grid[#Data],$DD386,33),0)</f>
        <v/>
      </c>
      <c r="AJ386">
        <f>IFERROR(INDEX(PP_Grid[#Data],$DD386,34),0)</f>
        <v/>
      </c>
      <c r="AK386">
        <f>IFERROR(INDEX(PP_Grid[#Data],$DD386,35),0)</f>
        <v/>
      </c>
      <c r="AL386">
        <f>IFERROR(INDEX(PP_Grid[#Data],$DD386,36),0)</f>
        <v/>
      </c>
      <c r="AM386">
        <f>IFERROR(INDEX(PP_Grid[#Data],$DD386,37),0)</f>
        <v/>
      </c>
      <c r="AN386">
        <f>IFERROR(INDEX(PP_Grid[#Data],$DD386,38),0)</f>
        <v/>
      </c>
      <c r="AO386">
        <f>IFERROR(INDEX(PP_Grid[#Data],$DD386,39),0)</f>
        <v/>
      </c>
      <c r="AP386">
        <f>IFERROR(INDEX(PP_Grid[#Data],$DD386,40),0)</f>
        <v/>
      </c>
      <c r="AQ386">
        <f>IFERROR(INDEX(PP_Grid[#Data],$DD386,41),0)</f>
        <v/>
      </c>
      <c r="AR386">
        <f>IFERROR(INDEX(PP_Grid[#Data],$DD386,42),0)</f>
        <v/>
      </c>
      <c r="AS386">
        <f>IFERROR(INDEX(PP_Grid[#Data],$DD386,43),0)</f>
        <v/>
      </c>
      <c r="AT386">
        <f>IFERROR(INDEX(PP_Grid[#Data],$DD386,44),0)</f>
        <v/>
      </c>
      <c r="AU386">
        <f>IFERROR(INDEX(PP_Grid[#Data],$DD386,45),0)</f>
        <v/>
      </c>
      <c r="AV386">
        <f>IFERROR(INDEX(PP_Grid[#Data],$DD386,46),0)</f>
        <v/>
      </c>
      <c r="AW386">
        <f>IFERROR(INDEX(PP_Grid[#Data],$DD386,47),0)</f>
        <v/>
      </c>
      <c r="AX386">
        <f>IFERROR(INDEX(PP_Grid[#Data],$DD386,48),0)</f>
        <v/>
      </c>
      <c r="AY386">
        <f>IFERROR(INDEX(PP_Grid[#Data],$DD386,49),0)</f>
        <v/>
      </c>
      <c r="AZ386">
        <f>IFERROR(INDEX(PP_Grid[#Data],$DD386,50),0)</f>
        <v/>
      </c>
      <c r="BA386">
        <f>IFERROR(INDEX(PP_Grid[#Data],$DD386,51),0)</f>
        <v/>
      </c>
      <c r="BB386">
        <f>IFERROR(INDEX(PP_Grid[#Data],$DD386,52),0)</f>
        <v/>
      </c>
      <c r="BC386">
        <f>IFERROR(INDEX(PP_Grid[#Data],$DD386,53),0)</f>
        <v/>
      </c>
      <c r="BD386">
        <f>IFERROR(INDEX(PP_Grid[#Data],$DD386,54),0)</f>
        <v/>
      </c>
      <c r="BE386">
        <f>IFERROR(INDEX(PP_Grid[#Data],$DD386,55),0)</f>
        <v/>
      </c>
      <c r="BF386">
        <f>IFERROR(INDEX(PP_Grid[#Data],$DD386,56),0)</f>
        <v/>
      </c>
      <c r="BG386">
        <f>IFERROR(INDEX(PP_Grid[#Data],$DD386,57),0)</f>
        <v/>
      </c>
      <c r="BH386">
        <f>IFERROR(INDEX(PP_Grid[#Data],$DD386,58),0)</f>
        <v/>
      </c>
      <c r="BI386">
        <f>IFERROR(INDEX(PP_Grid[#Data],$DD386,59),0)</f>
        <v/>
      </c>
      <c r="BJ386">
        <f>IFERROR(INDEX(PP_Grid[#Data],$DD386,60),0)</f>
        <v/>
      </c>
      <c r="BK386">
        <f>IFERROR(INDEX(PP_Grid[#Data],$DD386,61),0)</f>
        <v/>
      </c>
      <c r="BL386">
        <f>IFERROR(INDEX(PP_Grid[#Data],$DD386,62),0)</f>
        <v/>
      </c>
      <c r="BM386">
        <f>IFERROR(INDEX(PP_Grid[#Data],$DD386,63),0)</f>
        <v/>
      </c>
      <c r="BN386">
        <f>IFERROR(INDEX(PP_Grid[#Data],$DD386,64),0)</f>
        <v/>
      </c>
      <c r="BO386">
        <f>IFERROR(INDEX(PP_Grid[#Data],$DD386,65),0)</f>
        <v/>
      </c>
      <c r="BP386">
        <f>IFERROR(INDEX(PP_Grid[#Data],$DD386,66),0)</f>
        <v/>
      </c>
      <c r="BQ386">
        <f>IFERROR(INDEX(PP_Grid[#Data],$DD386,67),0)</f>
        <v/>
      </c>
      <c r="BR386">
        <f>IFERROR(INDEX(PP_Grid[#Data],$DD386,68),0)</f>
        <v/>
      </c>
      <c r="BS386">
        <f>IFERROR(INDEX(PP_Grid[#Data],$DD386,69),0)</f>
        <v/>
      </c>
      <c r="BT386">
        <f>IFERROR(INDEX(PP_Grid[#Data],$DD386,70),0)</f>
        <v/>
      </c>
      <c r="BU386">
        <f>IFERROR(INDEX(PP_Grid[#Data],$DD386,71),0)</f>
        <v/>
      </c>
      <c r="BV386">
        <f>IFERROR(INDEX(PP_Grid[#Data],$DD386,72),0)</f>
        <v/>
      </c>
      <c r="BW386">
        <f>IFERROR(INDEX(PP_Grid[#Data],$DD386,73),0)</f>
        <v/>
      </c>
      <c r="BX386">
        <f>IFERROR(INDEX(PP_Grid[#Data],$DD386,74),0)</f>
        <v/>
      </c>
      <c r="BY386">
        <f>IFERROR(INDEX(PP_Grid[#Data],$DD386,75),0)</f>
        <v/>
      </c>
      <c r="BZ386">
        <f>IFERROR(INDEX(PP_Grid[#Data],$DD386,76),0)</f>
        <v/>
      </c>
      <c r="CA386">
        <f>IFERROR(INDEX(PP_Grid[#Data],$DD386,77),0)</f>
        <v/>
      </c>
      <c r="CB386">
        <f>IFERROR(INDEX(PP_Grid[#Data],$DD386,78),0)</f>
        <v/>
      </c>
      <c r="CC386">
        <f>IFERROR(INDEX(PP_Grid[#Data],$DD386,79),0)</f>
        <v/>
      </c>
      <c r="CD386">
        <f>IFERROR(INDEX(PP_Grid[#Data],$DD386,80),0)</f>
        <v/>
      </c>
      <c r="CE386">
        <f>IFERROR(INDEX(PP_Grid[#Data],$DD386,81),0)</f>
        <v/>
      </c>
      <c r="CF386">
        <f>IFERROR(INDEX(PP_Grid[#Data],$DD386,82),0)</f>
        <v/>
      </c>
      <c r="CG386">
        <f>IFERROR(INDEX(PP_Grid[#Data],$DD386,83),0)</f>
        <v/>
      </c>
      <c r="CH386">
        <f>IFERROR(INDEX(PP_Grid[#Data],$DD386,84),0)</f>
        <v/>
      </c>
      <c r="CI386">
        <f>IFERROR(INDEX(PP_Grid[#Data],$DD386,85),0)</f>
        <v/>
      </c>
      <c r="CJ386">
        <f>IFERROR(INDEX(PP_Grid[#Data],$DD386,86),0)</f>
        <v/>
      </c>
      <c r="CK386">
        <f>IFERROR(INDEX(PP_Grid[#Data],$DD386,87),0)</f>
        <v/>
      </c>
      <c r="CL386">
        <f>IFERROR(INDEX(PP_Grid[#Data],$DD386,88),0)</f>
        <v/>
      </c>
      <c r="CM386">
        <f>IFERROR(INDEX(PP_Grid[#Data],$DD386,89),0)</f>
        <v/>
      </c>
      <c r="CN386">
        <f>IFERROR(INDEX(PP_Grid[#Data],$DD386,90),0)</f>
        <v/>
      </c>
      <c r="CO386">
        <f>IFERROR(INDEX(PP_Grid[#Data],$DD386,91),0)</f>
        <v/>
      </c>
      <c r="CP386">
        <f>IFERROR(INDEX(PP_Grid[#Data],$DD386,92),0)</f>
        <v/>
      </c>
      <c r="CQ386">
        <f>IFERROR(INDEX(PP_Grid[#Data],$DD386,93),0)</f>
        <v/>
      </c>
      <c r="CR386">
        <f>IFERROR(INDEX(PP_Grid[#Data],$DD386,94),0)</f>
        <v/>
      </c>
      <c r="CS386">
        <f>IFERROR(INDEX(PP_Grid[#Data],$DD386,95),0)</f>
        <v/>
      </c>
      <c r="CT386">
        <f>IFERROR(INDEX(PP_Grid[#Data],$DD386,96),0)</f>
        <v/>
      </c>
      <c r="CU386">
        <f>IFERROR(INDEX(PP_Grid[#Data],$DD386,97),0)</f>
        <v/>
      </c>
      <c r="CV386">
        <f>IFERROR(INDEX(PP_Grid[#Data],$DD386,98),0)</f>
        <v/>
      </c>
      <c r="CW386">
        <f>IFERROR(INDEX(PP_Grid[#Data],$DD386,99),0)</f>
        <v/>
      </c>
      <c r="CX386">
        <f>IFERROR(INDEX(PP_Grid[#Data],$DD386,100),0)</f>
        <v/>
      </c>
      <c r="CY386">
        <f>IFERROR(INDEX(PP_Grid[#Data],$DD386,101),0)</f>
        <v/>
      </c>
      <c r="CZ386">
        <f>IFERROR(INDEX(PP_Grid[#Data],$DD386,102),0)</f>
        <v/>
      </c>
      <c r="DA386">
        <f>IFERROR(INDEX(PP_Grid[#Data],$DD386,103),0)</f>
        <v/>
      </c>
      <c r="DB386">
        <f>IFERROR(INDEX(PP_Grid[#Data],$DD386,104),0)</f>
        <v/>
      </c>
      <c r="DC386">
        <f>IFERROR(INDEX(PP_Grid[#Data],$DD386,105),0)</f>
        <v/>
      </c>
      <c r="DD386" s="7">
        <f>IFERROR(MATCH($B386,PP_Grid[Intermediate],0),99999)</f>
        <v/>
      </c>
    </row>
    <row r="387">
      <c r="B387" t="inlineStr">
        <is>
          <t>使用量(kg)</t>
        </is>
      </c>
      <c r="C387">
        <f>SUMIFS(M_BOM[RM_Qty_Per_Batch],M_BOM[Intermediate],$B386,M_BOM[Part Name],$A343)</f>
        <v/>
      </c>
      <c r="D387">
        <f>$C387*D386</f>
        <v/>
      </c>
      <c r="E387">
        <f>$C387*E386</f>
        <v/>
      </c>
      <c r="F387">
        <f>$C387*F386</f>
        <v/>
      </c>
      <c r="G387">
        <f>$C387*G386</f>
        <v/>
      </c>
      <c r="H387">
        <f>$C387*H386</f>
        <v/>
      </c>
      <c r="I387">
        <f>$C387*I386</f>
        <v/>
      </c>
      <c r="J387">
        <f>$C387*J386</f>
        <v/>
      </c>
      <c r="K387">
        <f>$C387*K386</f>
        <v/>
      </c>
      <c r="L387">
        <f>$C387*L386</f>
        <v/>
      </c>
      <c r="M387">
        <f>$C387*M386</f>
        <v/>
      </c>
      <c r="N387">
        <f>$C387*N386</f>
        <v/>
      </c>
      <c r="O387">
        <f>$C387*O386</f>
        <v/>
      </c>
      <c r="P387">
        <f>$C387*P386</f>
        <v/>
      </c>
      <c r="Q387">
        <f>$C387*Q386</f>
        <v/>
      </c>
      <c r="R387">
        <f>$C387*R386</f>
        <v/>
      </c>
      <c r="S387">
        <f>$C387*S386</f>
        <v/>
      </c>
      <c r="T387">
        <f>$C387*T386</f>
        <v/>
      </c>
      <c r="U387">
        <f>$C387*U386</f>
        <v/>
      </c>
      <c r="V387">
        <f>$C387*V386</f>
        <v/>
      </c>
      <c r="W387">
        <f>$C387*W386</f>
        <v/>
      </c>
      <c r="X387">
        <f>$C387*X386</f>
        <v/>
      </c>
      <c r="Y387">
        <f>$C387*Y386</f>
        <v/>
      </c>
      <c r="Z387">
        <f>$C387*Z386</f>
        <v/>
      </c>
      <c r="AA387">
        <f>$C387*AA386</f>
        <v/>
      </c>
      <c r="AB387">
        <f>$C387*AB386</f>
        <v/>
      </c>
      <c r="AC387">
        <f>$C387*AC386</f>
        <v/>
      </c>
      <c r="AD387">
        <f>$C387*AD386</f>
        <v/>
      </c>
      <c r="AE387">
        <f>$C387*AE386</f>
        <v/>
      </c>
      <c r="AF387">
        <f>$C387*AF386</f>
        <v/>
      </c>
      <c r="AG387">
        <f>$C387*AG386</f>
        <v/>
      </c>
      <c r="AH387">
        <f>$C387*AH386</f>
        <v/>
      </c>
      <c r="AI387">
        <f>$C387*AI386</f>
        <v/>
      </c>
      <c r="AJ387">
        <f>$C387*AJ386</f>
        <v/>
      </c>
      <c r="AK387">
        <f>$C387*AK386</f>
        <v/>
      </c>
      <c r="AL387">
        <f>$C387*AL386</f>
        <v/>
      </c>
      <c r="AM387">
        <f>$C387*AM386</f>
        <v/>
      </c>
      <c r="AN387">
        <f>$C387*AN386</f>
        <v/>
      </c>
      <c r="AO387">
        <f>$C387*AO386</f>
        <v/>
      </c>
      <c r="AP387">
        <f>$C387*AP386</f>
        <v/>
      </c>
      <c r="AQ387">
        <f>$C387*AQ386</f>
        <v/>
      </c>
      <c r="AR387">
        <f>$C387*AR386</f>
        <v/>
      </c>
      <c r="AS387">
        <f>$C387*AS386</f>
        <v/>
      </c>
      <c r="AT387">
        <f>$C387*AT386</f>
        <v/>
      </c>
      <c r="AU387">
        <f>$C387*AU386</f>
        <v/>
      </c>
      <c r="AV387">
        <f>$C387*AV386</f>
        <v/>
      </c>
      <c r="AW387">
        <f>$C387*AW386</f>
        <v/>
      </c>
      <c r="AX387">
        <f>$C387*AX386</f>
        <v/>
      </c>
      <c r="AY387">
        <f>$C387*AY386</f>
        <v/>
      </c>
      <c r="AZ387">
        <f>$C387*AZ386</f>
        <v/>
      </c>
      <c r="BA387">
        <f>$C387*BA386</f>
        <v/>
      </c>
      <c r="BB387">
        <f>$C387*BB386</f>
        <v/>
      </c>
      <c r="BC387">
        <f>$C387*BC386</f>
        <v/>
      </c>
      <c r="BD387">
        <f>$C387*BD386</f>
        <v/>
      </c>
      <c r="BE387">
        <f>$C387*BE386</f>
        <v/>
      </c>
      <c r="BF387">
        <f>$C387*BF386</f>
        <v/>
      </c>
      <c r="BG387">
        <f>$C387*BG386</f>
        <v/>
      </c>
      <c r="BH387">
        <f>$C387*BH386</f>
        <v/>
      </c>
      <c r="BI387">
        <f>$C387*BI386</f>
        <v/>
      </c>
      <c r="BJ387">
        <f>$C387*BJ386</f>
        <v/>
      </c>
      <c r="BK387">
        <f>$C387*BK386</f>
        <v/>
      </c>
      <c r="BL387">
        <f>$C387*BL386</f>
        <v/>
      </c>
      <c r="BM387">
        <f>$C387*BM386</f>
        <v/>
      </c>
      <c r="BN387">
        <f>$C387*BN386</f>
        <v/>
      </c>
      <c r="BO387">
        <f>$C387*BO386</f>
        <v/>
      </c>
      <c r="BP387">
        <f>$C387*BP386</f>
        <v/>
      </c>
      <c r="BQ387">
        <f>$C387*BQ386</f>
        <v/>
      </c>
      <c r="BR387">
        <f>$C387*BR386</f>
        <v/>
      </c>
      <c r="BS387">
        <f>$C387*BS386</f>
        <v/>
      </c>
      <c r="BT387">
        <f>$C387*BT386</f>
        <v/>
      </c>
      <c r="BU387">
        <f>$C387*BU386</f>
        <v/>
      </c>
      <c r="BV387">
        <f>$C387*BV386</f>
        <v/>
      </c>
      <c r="BW387">
        <f>$C387*BW386</f>
        <v/>
      </c>
      <c r="BX387">
        <f>$C387*BX386</f>
        <v/>
      </c>
      <c r="BY387">
        <f>$C387*BY386</f>
        <v/>
      </c>
      <c r="BZ387">
        <f>$C387*BZ386</f>
        <v/>
      </c>
      <c r="CA387">
        <f>$C387*CA386</f>
        <v/>
      </c>
      <c r="CB387">
        <f>$C387*CB386</f>
        <v/>
      </c>
      <c r="CC387">
        <f>$C387*CC386</f>
        <v/>
      </c>
      <c r="CD387">
        <f>$C387*CD386</f>
        <v/>
      </c>
      <c r="CE387">
        <f>$C387*CE386</f>
        <v/>
      </c>
      <c r="CF387">
        <f>$C387*CF386</f>
        <v/>
      </c>
      <c r="CG387">
        <f>$C387*CG386</f>
        <v/>
      </c>
      <c r="CH387">
        <f>$C387*CH386</f>
        <v/>
      </c>
      <c r="CI387">
        <f>$C387*CI386</f>
        <v/>
      </c>
      <c r="CJ387">
        <f>$C387*CJ386</f>
        <v/>
      </c>
      <c r="CK387">
        <f>$C387*CK386</f>
        <v/>
      </c>
      <c r="CL387">
        <f>$C387*CL386</f>
        <v/>
      </c>
      <c r="CM387">
        <f>$C387*CM386</f>
        <v/>
      </c>
      <c r="CN387">
        <f>$C387*CN386</f>
        <v/>
      </c>
      <c r="CO387">
        <f>$C387*CO386</f>
        <v/>
      </c>
      <c r="CP387">
        <f>$C387*CP386</f>
        <v/>
      </c>
      <c r="CQ387">
        <f>$C387*CQ386</f>
        <v/>
      </c>
      <c r="CR387">
        <f>$C387*CR386</f>
        <v/>
      </c>
      <c r="CS387">
        <f>$C387*CS386</f>
        <v/>
      </c>
      <c r="CT387">
        <f>$C387*CT386</f>
        <v/>
      </c>
      <c r="CU387">
        <f>$C387*CU386</f>
        <v/>
      </c>
      <c r="CV387">
        <f>$C387*CV386</f>
        <v/>
      </c>
      <c r="CW387">
        <f>$C387*CW386</f>
        <v/>
      </c>
      <c r="CX387">
        <f>$C387*CX386</f>
        <v/>
      </c>
      <c r="CY387">
        <f>$C387*CY386</f>
        <v/>
      </c>
      <c r="CZ387">
        <f>$C387*CZ386</f>
        <v/>
      </c>
      <c r="DA387">
        <f>$C387*DA386</f>
        <v/>
      </c>
      <c r="DB387">
        <f>$C387*DB386</f>
        <v/>
      </c>
      <c r="DC387">
        <f>$C387*DC386</f>
        <v/>
      </c>
    </row>
    <row r="388">
      <c r="B388" t="inlineStr">
        <is>
          <t>TSP-656</t>
        </is>
      </c>
      <c r="C388" t="inlineStr">
        <is>
          <t>No. of batches</t>
        </is>
      </c>
      <c r="D388">
        <f>IFERROR(INDEX(PP_Grid[#Data],$DD388,2),0)</f>
        <v/>
      </c>
      <c r="E388">
        <f>IFERROR(INDEX(PP_Grid[#Data],$DD388,3),0)</f>
        <v/>
      </c>
      <c r="F388">
        <f>IFERROR(INDEX(PP_Grid[#Data],$DD388,4),0)</f>
        <v/>
      </c>
      <c r="G388">
        <f>IFERROR(INDEX(PP_Grid[#Data],$DD388,5),0)</f>
        <v/>
      </c>
      <c r="H388">
        <f>IFERROR(INDEX(PP_Grid[#Data],$DD388,6),0)</f>
        <v/>
      </c>
      <c r="I388">
        <f>IFERROR(INDEX(PP_Grid[#Data],$DD388,7),0)</f>
        <v/>
      </c>
      <c r="J388">
        <f>IFERROR(INDEX(PP_Grid[#Data],$DD388,8),0)</f>
        <v/>
      </c>
      <c r="K388">
        <f>IFERROR(INDEX(PP_Grid[#Data],$DD388,9),0)</f>
        <v/>
      </c>
      <c r="L388">
        <f>IFERROR(INDEX(PP_Grid[#Data],$DD388,10),0)</f>
        <v/>
      </c>
      <c r="M388">
        <f>IFERROR(INDEX(PP_Grid[#Data],$DD388,11),0)</f>
        <v/>
      </c>
      <c r="N388">
        <f>IFERROR(INDEX(PP_Grid[#Data],$DD388,12),0)</f>
        <v/>
      </c>
      <c r="O388">
        <f>IFERROR(INDEX(PP_Grid[#Data],$DD388,13),0)</f>
        <v/>
      </c>
      <c r="P388">
        <f>IFERROR(INDEX(PP_Grid[#Data],$DD388,14),0)</f>
        <v/>
      </c>
      <c r="Q388">
        <f>IFERROR(INDEX(PP_Grid[#Data],$DD388,15),0)</f>
        <v/>
      </c>
      <c r="R388">
        <f>IFERROR(INDEX(PP_Grid[#Data],$DD388,16),0)</f>
        <v/>
      </c>
      <c r="S388">
        <f>IFERROR(INDEX(PP_Grid[#Data],$DD388,17),0)</f>
        <v/>
      </c>
      <c r="T388">
        <f>IFERROR(INDEX(PP_Grid[#Data],$DD388,18),0)</f>
        <v/>
      </c>
      <c r="U388">
        <f>IFERROR(INDEX(PP_Grid[#Data],$DD388,19),0)</f>
        <v/>
      </c>
      <c r="V388">
        <f>IFERROR(INDEX(PP_Grid[#Data],$DD388,20),0)</f>
        <v/>
      </c>
      <c r="W388">
        <f>IFERROR(INDEX(PP_Grid[#Data],$DD388,21),0)</f>
        <v/>
      </c>
      <c r="X388">
        <f>IFERROR(INDEX(PP_Grid[#Data],$DD388,22),0)</f>
        <v/>
      </c>
      <c r="Y388">
        <f>IFERROR(INDEX(PP_Grid[#Data],$DD388,23),0)</f>
        <v/>
      </c>
      <c r="Z388">
        <f>IFERROR(INDEX(PP_Grid[#Data],$DD388,24),0)</f>
        <v/>
      </c>
      <c r="AA388">
        <f>IFERROR(INDEX(PP_Grid[#Data],$DD388,25),0)</f>
        <v/>
      </c>
      <c r="AB388">
        <f>IFERROR(INDEX(PP_Grid[#Data],$DD388,26),0)</f>
        <v/>
      </c>
      <c r="AC388">
        <f>IFERROR(INDEX(PP_Grid[#Data],$DD388,27),0)</f>
        <v/>
      </c>
      <c r="AD388">
        <f>IFERROR(INDEX(PP_Grid[#Data],$DD388,28),0)</f>
        <v/>
      </c>
      <c r="AE388">
        <f>IFERROR(INDEX(PP_Grid[#Data],$DD388,29),0)</f>
        <v/>
      </c>
      <c r="AF388">
        <f>IFERROR(INDEX(PP_Grid[#Data],$DD388,30),0)</f>
        <v/>
      </c>
      <c r="AG388">
        <f>IFERROR(INDEX(PP_Grid[#Data],$DD388,31),0)</f>
        <v/>
      </c>
      <c r="AH388">
        <f>IFERROR(INDEX(PP_Grid[#Data],$DD388,32),0)</f>
        <v/>
      </c>
      <c r="AI388">
        <f>IFERROR(INDEX(PP_Grid[#Data],$DD388,33),0)</f>
        <v/>
      </c>
      <c r="AJ388">
        <f>IFERROR(INDEX(PP_Grid[#Data],$DD388,34),0)</f>
        <v/>
      </c>
      <c r="AK388">
        <f>IFERROR(INDEX(PP_Grid[#Data],$DD388,35),0)</f>
        <v/>
      </c>
      <c r="AL388">
        <f>IFERROR(INDEX(PP_Grid[#Data],$DD388,36),0)</f>
        <v/>
      </c>
      <c r="AM388">
        <f>IFERROR(INDEX(PP_Grid[#Data],$DD388,37),0)</f>
        <v/>
      </c>
      <c r="AN388">
        <f>IFERROR(INDEX(PP_Grid[#Data],$DD388,38),0)</f>
        <v/>
      </c>
      <c r="AO388">
        <f>IFERROR(INDEX(PP_Grid[#Data],$DD388,39),0)</f>
        <v/>
      </c>
      <c r="AP388">
        <f>IFERROR(INDEX(PP_Grid[#Data],$DD388,40),0)</f>
        <v/>
      </c>
      <c r="AQ388">
        <f>IFERROR(INDEX(PP_Grid[#Data],$DD388,41),0)</f>
        <v/>
      </c>
      <c r="AR388">
        <f>IFERROR(INDEX(PP_Grid[#Data],$DD388,42),0)</f>
        <v/>
      </c>
      <c r="AS388">
        <f>IFERROR(INDEX(PP_Grid[#Data],$DD388,43),0)</f>
        <v/>
      </c>
      <c r="AT388">
        <f>IFERROR(INDEX(PP_Grid[#Data],$DD388,44),0)</f>
        <v/>
      </c>
      <c r="AU388">
        <f>IFERROR(INDEX(PP_Grid[#Data],$DD388,45),0)</f>
        <v/>
      </c>
      <c r="AV388">
        <f>IFERROR(INDEX(PP_Grid[#Data],$DD388,46),0)</f>
        <v/>
      </c>
      <c r="AW388">
        <f>IFERROR(INDEX(PP_Grid[#Data],$DD388,47),0)</f>
        <v/>
      </c>
      <c r="AX388">
        <f>IFERROR(INDEX(PP_Grid[#Data],$DD388,48),0)</f>
        <v/>
      </c>
      <c r="AY388">
        <f>IFERROR(INDEX(PP_Grid[#Data],$DD388,49),0)</f>
        <v/>
      </c>
      <c r="AZ388">
        <f>IFERROR(INDEX(PP_Grid[#Data],$DD388,50),0)</f>
        <v/>
      </c>
      <c r="BA388">
        <f>IFERROR(INDEX(PP_Grid[#Data],$DD388,51),0)</f>
        <v/>
      </c>
      <c r="BB388">
        <f>IFERROR(INDEX(PP_Grid[#Data],$DD388,52),0)</f>
        <v/>
      </c>
      <c r="BC388">
        <f>IFERROR(INDEX(PP_Grid[#Data],$DD388,53),0)</f>
        <v/>
      </c>
      <c r="BD388">
        <f>IFERROR(INDEX(PP_Grid[#Data],$DD388,54),0)</f>
        <v/>
      </c>
      <c r="BE388">
        <f>IFERROR(INDEX(PP_Grid[#Data],$DD388,55),0)</f>
        <v/>
      </c>
      <c r="BF388">
        <f>IFERROR(INDEX(PP_Grid[#Data],$DD388,56),0)</f>
        <v/>
      </c>
      <c r="BG388">
        <f>IFERROR(INDEX(PP_Grid[#Data],$DD388,57),0)</f>
        <v/>
      </c>
      <c r="BH388">
        <f>IFERROR(INDEX(PP_Grid[#Data],$DD388,58),0)</f>
        <v/>
      </c>
      <c r="BI388">
        <f>IFERROR(INDEX(PP_Grid[#Data],$DD388,59),0)</f>
        <v/>
      </c>
      <c r="BJ388">
        <f>IFERROR(INDEX(PP_Grid[#Data],$DD388,60),0)</f>
        <v/>
      </c>
      <c r="BK388">
        <f>IFERROR(INDEX(PP_Grid[#Data],$DD388,61),0)</f>
        <v/>
      </c>
      <c r="BL388">
        <f>IFERROR(INDEX(PP_Grid[#Data],$DD388,62),0)</f>
        <v/>
      </c>
      <c r="BM388">
        <f>IFERROR(INDEX(PP_Grid[#Data],$DD388,63),0)</f>
        <v/>
      </c>
      <c r="BN388">
        <f>IFERROR(INDEX(PP_Grid[#Data],$DD388,64),0)</f>
        <v/>
      </c>
      <c r="BO388">
        <f>IFERROR(INDEX(PP_Grid[#Data],$DD388,65),0)</f>
        <v/>
      </c>
      <c r="BP388">
        <f>IFERROR(INDEX(PP_Grid[#Data],$DD388,66),0)</f>
        <v/>
      </c>
      <c r="BQ388">
        <f>IFERROR(INDEX(PP_Grid[#Data],$DD388,67),0)</f>
        <v/>
      </c>
      <c r="BR388">
        <f>IFERROR(INDEX(PP_Grid[#Data],$DD388,68),0)</f>
        <v/>
      </c>
      <c r="BS388">
        <f>IFERROR(INDEX(PP_Grid[#Data],$DD388,69),0)</f>
        <v/>
      </c>
      <c r="BT388">
        <f>IFERROR(INDEX(PP_Grid[#Data],$DD388,70),0)</f>
        <v/>
      </c>
      <c r="BU388">
        <f>IFERROR(INDEX(PP_Grid[#Data],$DD388,71),0)</f>
        <v/>
      </c>
      <c r="BV388">
        <f>IFERROR(INDEX(PP_Grid[#Data],$DD388,72),0)</f>
        <v/>
      </c>
      <c r="BW388">
        <f>IFERROR(INDEX(PP_Grid[#Data],$DD388,73),0)</f>
        <v/>
      </c>
      <c r="BX388">
        <f>IFERROR(INDEX(PP_Grid[#Data],$DD388,74),0)</f>
        <v/>
      </c>
      <c r="BY388">
        <f>IFERROR(INDEX(PP_Grid[#Data],$DD388,75),0)</f>
        <v/>
      </c>
      <c r="BZ388">
        <f>IFERROR(INDEX(PP_Grid[#Data],$DD388,76),0)</f>
        <v/>
      </c>
      <c r="CA388">
        <f>IFERROR(INDEX(PP_Grid[#Data],$DD388,77),0)</f>
        <v/>
      </c>
      <c r="CB388">
        <f>IFERROR(INDEX(PP_Grid[#Data],$DD388,78),0)</f>
        <v/>
      </c>
      <c r="CC388">
        <f>IFERROR(INDEX(PP_Grid[#Data],$DD388,79),0)</f>
        <v/>
      </c>
      <c r="CD388">
        <f>IFERROR(INDEX(PP_Grid[#Data],$DD388,80),0)</f>
        <v/>
      </c>
      <c r="CE388">
        <f>IFERROR(INDEX(PP_Grid[#Data],$DD388,81),0)</f>
        <v/>
      </c>
      <c r="CF388">
        <f>IFERROR(INDEX(PP_Grid[#Data],$DD388,82),0)</f>
        <v/>
      </c>
      <c r="CG388">
        <f>IFERROR(INDEX(PP_Grid[#Data],$DD388,83),0)</f>
        <v/>
      </c>
      <c r="CH388">
        <f>IFERROR(INDEX(PP_Grid[#Data],$DD388,84),0)</f>
        <v/>
      </c>
      <c r="CI388">
        <f>IFERROR(INDEX(PP_Grid[#Data],$DD388,85),0)</f>
        <v/>
      </c>
      <c r="CJ388">
        <f>IFERROR(INDEX(PP_Grid[#Data],$DD388,86),0)</f>
        <v/>
      </c>
      <c r="CK388">
        <f>IFERROR(INDEX(PP_Grid[#Data],$DD388,87),0)</f>
        <v/>
      </c>
      <c r="CL388">
        <f>IFERROR(INDEX(PP_Grid[#Data],$DD388,88),0)</f>
        <v/>
      </c>
      <c r="CM388">
        <f>IFERROR(INDEX(PP_Grid[#Data],$DD388,89),0)</f>
        <v/>
      </c>
      <c r="CN388">
        <f>IFERROR(INDEX(PP_Grid[#Data],$DD388,90),0)</f>
        <v/>
      </c>
      <c r="CO388">
        <f>IFERROR(INDEX(PP_Grid[#Data],$DD388,91),0)</f>
        <v/>
      </c>
      <c r="CP388">
        <f>IFERROR(INDEX(PP_Grid[#Data],$DD388,92),0)</f>
        <v/>
      </c>
      <c r="CQ388">
        <f>IFERROR(INDEX(PP_Grid[#Data],$DD388,93),0)</f>
        <v/>
      </c>
      <c r="CR388">
        <f>IFERROR(INDEX(PP_Grid[#Data],$DD388,94),0)</f>
        <v/>
      </c>
      <c r="CS388">
        <f>IFERROR(INDEX(PP_Grid[#Data],$DD388,95),0)</f>
        <v/>
      </c>
      <c r="CT388">
        <f>IFERROR(INDEX(PP_Grid[#Data],$DD388,96),0)</f>
        <v/>
      </c>
      <c r="CU388">
        <f>IFERROR(INDEX(PP_Grid[#Data],$DD388,97),0)</f>
        <v/>
      </c>
      <c r="CV388">
        <f>IFERROR(INDEX(PP_Grid[#Data],$DD388,98),0)</f>
        <v/>
      </c>
      <c r="CW388">
        <f>IFERROR(INDEX(PP_Grid[#Data],$DD388,99),0)</f>
        <v/>
      </c>
      <c r="CX388">
        <f>IFERROR(INDEX(PP_Grid[#Data],$DD388,100),0)</f>
        <v/>
      </c>
      <c r="CY388">
        <f>IFERROR(INDEX(PP_Grid[#Data],$DD388,101),0)</f>
        <v/>
      </c>
      <c r="CZ388">
        <f>IFERROR(INDEX(PP_Grid[#Data],$DD388,102),0)</f>
        <v/>
      </c>
      <c r="DA388">
        <f>IFERROR(INDEX(PP_Grid[#Data],$DD388,103),0)</f>
        <v/>
      </c>
      <c r="DB388">
        <f>IFERROR(INDEX(PP_Grid[#Data],$DD388,104),0)</f>
        <v/>
      </c>
      <c r="DC388">
        <f>IFERROR(INDEX(PP_Grid[#Data],$DD388,105),0)</f>
        <v/>
      </c>
      <c r="DD388" s="7">
        <f>IFERROR(MATCH($B388,PP_Grid[Intermediate],0),99999)</f>
        <v/>
      </c>
    </row>
    <row r="389">
      <c r="B389" t="inlineStr">
        <is>
          <t>使用量(kg)</t>
        </is>
      </c>
      <c r="C389">
        <f>SUMIFS(M_BOM[RM_Qty_Per_Batch],M_BOM[Intermediate],$B388,M_BOM[Part Name],$A343)</f>
        <v/>
      </c>
      <c r="D389">
        <f>$C389*D388</f>
        <v/>
      </c>
      <c r="E389">
        <f>$C389*E388</f>
        <v/>
      </c>
      <c r="F389">
        <f>$C389*F388</f>
        <v/>
      </c>
      <c r="G389">
        <f>$C389*G388</f>
        <v/>
      </c>
      <c r="H389">
        <f>$C389*H388</f>
        <v/>
      </c>
      <c r="I389">
        <f>$C389*I388</f>
        <v/>
      </c>
      <c r="J389">
        <f>$C389*J388</f>
        <v/>
      </c>
      <c r="K389">
        <f>$C389*K388</f>
        <v/>
      </c>
      <c r="L389">
        <f>$C389*L388</f>
        <v/>
      </c>
      <c r="M389">
        <f>$C389*M388</f>
        <v/>
      </c>
      <c r="N389">
        <f>$C389*N388</f>
        <v/>
      </c>
      <c r="O389">
        <f>$C389*O388</f>
        <v/>
      </c>
      <c r="P389">
        <f>$C389*P388</f>
        <v/>
      </c>
      <c r="Q389">
        <f>$C389*Q388</f>
        <v/>
      </c>
      <c r="R389">
        <f>$C389*R388</f>
        <v/>
      </c>
      <c r="S389">
        <f>$C389*S388</f>
        <v/>
      </c>
      <c r="T389">
        <f>$C389*T388</f>
        <v/>
      </c>
      <c r="U389">
        <f>$C389*U388</f>
        <v/>
      </c>
      <c r="V389">
        <f>$C389*V388</f>
        <v/>
      </c>
      <c r="W389">
        <f>$C389*W388</f>
        <v/>
      </c>
      <c r="X389">
        <f>$C389*X388</f>
        <v/>
      </c>
      <c r="Y389">
        <f>$C389*Y388</f>
        <v/>
      </c>
      <c r="Z389">
        <f>$C389*Z388</f>
        <v/>
      </c>
      <c r="AA389">
        <f>$C389*AA388</f>
        <v/>
      </c>
      <c r="AB389">
        <f>$C389*AB388</f>
        <v/>
      </c>
      <c r="AC389">
        <f>$C389*AC388</f>
        <v/>
      </c>
      <c r="AD389">
        <f>$C389*AD388</f>
        <v/>
      </c>
      <c r="AE389">
        <f>$C389*AE388</f>
        <v/>
      </c>
      <c r="AF389">
        <f>$C389*AF388</f>
        <v/>
      </c>
      <c r="AG389">
        <f>$C389*AG388</f>
        <v/>
      </c>
      <c r="AH389">
        <f>$C389*AH388</f>
        <v/>
      </c>
      <c r="AI389">
        <f>$C389*AI388</f>
        <v/>
      </c>
      <c r="AJ389">
        <f>$C389*AJ388</f>
        <v/>
      </c>
      <c r="AK389">
        <f>$C389*AK388</f>
        <v/>
      </c>
      <c r="AL389">
        <f>$C389*AL388</f>
        <v/>
      </c>
      <c r="AM389">
        <f>$C389*AM388</f>
        <v/>
      </c>
      <c r="AN389">
        <f>$C389*AN388</f>
        <v/>
      </c>
      <c r="AO389">
        <f>$C389*AO388</f>
        <v/>
      </c>
      <c r="AP389">
        <f>$C389*AP388</f>
        <v/>
      </c>
      <c r="AQ389">
        <f>$C389*AQ388</f>
        <v/>
      </c>
      <c r="AR389">
        <f>$C389*AR388</f>
        <v/>
      </c>
      <c r="AS389">
        <f>$C389*AS388</f>
        <v/>
      </c>
      <c r="AT389">
        <f>$C389*AT388</f>
        <v/>
      </c>
      <c r="AU389">
        <f>$C389*AU388</f>
        <v/>
      </c>
      <c r="AV389">
        <f>$C389*AV388</f>
        <v/>
      </c>
      <c r="AW389">
        <f>$C389*AW388</f>
        <v/>
      </c>
      <c r="AX389">
        <f>$C389*AX388</f>
        <v/>
      </c>
      <c r="AY389">
        <f>$C389*AY388</f>
        <v/>
      </c>
      <c r="AZ389">
        <f>$C389*AZ388</f>
        <v/>
      </c>
      <c r="BA389">
        <f>$C389*BA388</f>
        <v/>
      </c>
      <c r="BB389">
        <f>$C389*BB388</f>
        <v/>
      </c>
      <c r="BC389">
        <f>$C389*BC388</f>
        <v/>
      </c>
      <c r="BD389">
        <f>$C389*BD388</f>
        <v/>
      </c>
      <c r="BE389">
        <f>$C389*BE388</f>
        <v/>
      </c>
      <c r="BF389">
        <f>$C389*BF388</f>
        <v/>
      </c>
      <c r="BG389">
        <f>$C389*BG388</f>
        <v/>
      </c>
      <c r="BH389">
        <f>$C389*BH388</f>
        <v/>
      </c>
      <c r="BI389">
        <f>$C389*BI388</f>
        <v/>
      </c>
      <c r="BJ389">
        <f>$C389*BJ388</f>
        <v/>
      </c>
      <c r="BK389">
        <f>$C389*BK388</f>
        <v/>
      </c>
      <c r="BL389">
        <f>$C389*BL388</f>
        <v/>
      </c>
      <c r="BM389">
        <f>$C389*BM388</f>
        <v/>
      </c>
      <c r="BN389">
        <f>$C389*BN388</f>
        <v/>
      </c>
      <c r="BO389">
        <f>$C389*BO388</f>
        <v/>
      </c>
      <c r="BP389">
        <f>$C389*BP388</f>
        <v/>
      </c>
      <c r="BQ389">
        <f>$C389*BQ388</f>
        <v/>
      </c>
      <c r="BR389">
        <f>$C389*BR388</f>
        <v/>
      </c>
      <c r="BS389">
        <f>$C389*BS388</f>
        <v/>
      </c>
      <c r="BT389">
        <f>$C389*BT388</f>
        <v/>
      </c>
      <c r="BU389">
        <f>$C389*BU388</f>
        <v/>
      </c>
      <c r="BV389">
        <f>$C389*BV388</f>
        <v/>
      </c>
      <c r="BW389">
        <f>$C389*BW388</f>
        <v/>
      </c>
      <c r="BX389">
        <f>$C389*BX388</f>
        <v/>
      </c>
      <c r="BY389">
        <f>$C389*BY388</f>
        <v/>
      </c>
      <c r="BZ389">
        <f>$C389*BZ388</f>
        <v/>
      </c>
      <c r="CA389">
        <f>$C389*CA388</f>
        <v/>
      </c>
      <c r="CB389">
        <f>$C389*CB388</f>
        <v/>
      </c>
      <c r="CC389">
        <f>$C389*CC388</f>
        <v/>
      </c>
      <c r="CD389">
        <f>$C389*CD388</f>
        <v/>
      </c>
      <c r="CE389">
        <f>$C389*CE388</f>
        <v/>
      </c>
      <c r="CF389">
        <f>$C389*CF388</f>
        <v/>
      </c>
      <c r="CG389">
        <f>$C389*CG388</f>
        <v/>
      </c>
      <c r="CH389">
        <f>$C389*CH388</f>
        <v/>
      </c>
      <c r="CI389">
        <f>$C389*CI388</f>
        <v/>
      </c>
      <c r="CJ389">
        <f>$C389*CJ388</f>
        <v/>
      </c>
      <c r="CK389">
        <f>$C389*CK388</f>
        <v/>
      </c>
      <c r="CL389">
        <f>$C389*CL388</f>
        <v/>
      </c>
      <c r="CM389">
        <f>$C389*CM388</f>
        <v/>
      </c>
      <c r="CN389">
        <f>$C389*CN388</f>
        <v/>
      </c>
      <c r="CO389">
        <f>$C389*CO388</f>
        <v/>
      </c>
      <c r="CP389">
        <f>$C389*CP388</f>
        <v/>
      </c>
      <c r="CQ389">
        <f>$C389*CQ388</f>
        <v/>
      </c>
      <c r="CR389">
        <f>$C389*CR388</f>
        <v/>
      </c>
      <c r="CS389">
        <f>$C389*CS388</f>
        <v/>
      </c>
      <c r="CT389">
        <f>$C389*CT388</f>
        <v/>
      </c>
      <c r="CU389">
        <f>$C389*CU388</f>
        <v/>
      </c>
      <c r="CV389">
        <f>$C389*CV388</f>
        <v/>
      </c>
      <c r="CW389">
        <f>$C389*CW388</f>
        <v/>
      </c>
      <c r="CX389">
        <f>$C389*CX388</f>
        <v/>
      </c>
      <c r="CY389">
        <f>$C389*CY388</f>
        <v/>
      </c>
      <c r="CZ389">
        <f>$C389*CZ388</f>
        <v/>
      </c>
      <c r="DA389">
        <f>$C389*DA388</f>
        <v/>
      </c>
      <c r="DB389">
        <f>$C389*DB388</f>
        <v/>
      </c>
      <c r="DC389">
        <f>$C389*DC388</f>
        <v/>
      </c>
    </row>
    <row r="390">
      <c r="B390" t="inlineStr">
        <is>
          <t>TSP-710</t>
        </is>
      </c>
      <c r="C390" t="inlineStr">
        <is>
          <t>No. of batches</t>
        </is>
      </c>
      <c r="D390">
        <f>IFERROR(INDEX(PP_Grid[#Data],$DD390,2),0)</f>
        <v/>
      </c>
      <c r="E390">
        <f>IFERROR(INDEX(PP_Grid[#Data],$DD390,3),0)</f>
        <v/>
      </c>
      <c r="F390">
        <f>IFERROR(INDEX(PP_Grid[#Data],$DD390,4),0)</f>
        <v/>
      </c>
      <c r="G390">
        <f>IFERROR(INDEX(PP_Grid[#Data],$DD390,5),0)</f>
        <v/>
      </c>
      <c r="H390">
        <f>IFERROR(INDEX(PP_Grid[#Data],$DD390,6),0)</f>
        <v/>
      </c>
      <c r="I390">
        <f>IFERROR(INDEX(PP_Grid[#Data],$DD390,7),0)</f>
        <v/>
      </c>
      <c r="J390">
        <f>IFERROR(INDEX(PP_Grid[#Data],$DD390,8),0)</f>
        <v/>
      </c>
      <c r="K390">
        <f>IFERROR(INDEX(PP_Grid[#Data],$DD390,9),0)</f>
        <v/>
      </c>
      <c r="L390">
        <f>IFERROR(INDEX(PP_Grid[#Data],$DD390,10),0)</f>
        <v/>
      </c>
      <c r="M390">
        <f>IFERROR(INDEX(PP_Grid[#Data],$DD390,11),0)</f>
        <v/>
      </c>
      <c r="N390">
        <f>IFERROR(INDEX(PP_Grid[#Data],$DD390,12),0)</f>
        <v/>
      </c>
      <c r="O390">
        <f>IFERROR(INDEX(PP_Grid[#Data],$DD390,13),0)</f>
        <v/>
      </c>
      <c r="P390">
        <f>IFERROR(INDEX(PP_Grid[#Data],$DD390,14),0)</f>
        <v/>
      </c>
      <c r="Q390">
        <f>IFERROR(INDEX(PP_Grid[#Data],$DD390,15),0)</f>
        <v/>
      </c>
      <c r="R390">
        <f>IFERROR(INDEX(PP_Grid[#Data],$DD390,16),0)</f>
        <v/>
      </c>
      <c r="S390">
        <f>IFERROR(INDEX(PP_Grid[#Data],$DD390,17),0)</f>
        <v/>
      </c>
      <c r="T390">
        <f>IFERROR(INDEX(PP_Grid[#Data],$DD390,18),0)</f>
        <v/>
      </c>
      <c r="U390">
        <f>IFERROR(INDEX(PP_Grid[#Data],$DD390,19),0)</f>
        <v/>
      </c>
      <c r="V390">
        <f>IFERROR(INDEX(PP_Grid[#Data],$DD390,20),0)</f>
        <v/>
      </c>
      <c r="W390">
        <f>IFERROR(INDEX(PP_Grid[#Data],$DD390,21),0)</f>
        <v/>
      </c>
      <c r="X390">
        <f>IFERROR(INDEX(PP_Grid[#Data],$DD390,22),0)</f>
        <v/>
      </c>
      <c r="Y390">
        <f>IFERROR(INDEX(PP_Grid[#Data],$DD390,23),0)</f>
        <v/>
      </c>
      <c r="Z390">
        <f>IFERROR(INDEX(PP_Grid[#Data],$DD390,24),0)</f>
        <v/>
      </c>
      <c r="AA390">
        <f>IFERROR(INDEX(PP_Grid[#Data],$DD390,25),0)</f>
        <v/>
      </c>
      <c r="AB390">
        <f>IFERROR(INDEX(PP_Grid[#Data],$DD390,26),0)</f>
        <v/>
      </c>
      <c r="AC390">
        <f>IFERROR(INDEX(PP_Grid[#Data],$DD390,27),0)</f>
        <v/>
      </c>
      <c r="AD390">
        <f>IFERROR(INDEX(PP_Grid[#Data],$DD390,28),0)</f>
        <v/>
      </c>
      <c r="AE390">
        <f>IFERROR(INDEX(PP_Grid[#Data],$DD390,29),0)</f>
        <v/>
      </c>
      <c r="AF390">
        <f>IFERROR(INDEX(PP_Grid[#Data],$DD390,30),0)</f>
        <v/>
      </c>
      <c r="AG390">
        <f>IFERROR(INDEX(PP_Grid[#Data],$DD390,31),0)</f>
        <v/>
      </c>
      <c r="AH390">
        <f>IFERROR(INDEX(PP_Grid[#Data],$DD390,32),0)</f>
        <v/>
      </c>
      <c r="AI390">
        <f>IFERROR(INDEX(PP_Grid[#Data],$DD390,33),0)</f>
        <v/>
      </c>
      <c r="AJ390">
        <f>IFERROR(INDEX(PP_Grid[#Data],$DD390,34),0)</f>
        <v/>
      </c>
      <c r="AK390">
        <f>IFERROR(INDEX(PP_Grid[#Data],$DD390,35),0)</f>
        <v/>
      </c>
      <c r="AL390">
        <f>IFERROR(INDEX(PP_Grid[#Data],$DD390,36),0)</f>
        <v/>
      </c>
      <c r="AM390">
        <f>IFERROR(INDEX(PP_Grid[#Data],$DD390,37),0)</f>
        <v/>
      </c>
      <c r="AN390">
        <f>IFERROR(INDEX(PP_Grid[#Data],$DD390,38),0)</f>
        <v/>
      </c>
      <c r="AO390">
        <f>IFERROR(INDEX(PP_Grid[#Data],$DD390,39),0)</f>
        <v/>
      </c>
      <c r="AP390">
        <f>IFERROR(INDEX(PP_Grid[#Data],$DD390,40),0)</f>
        <v/>
      </c>
      <c r="AQ390">
        <f>IFERROR(INDEX(PP_Grid[#Data],$DD390,41),0)</f>
        <v/>
      </c>
      <c r="AR390">
        <f>IFERROR(INDEX(PP_Grid[#Data],$DD390,42),0)</f>
        <v/>
      </c>
      <c r="AS390">
        <f>IFERROR(INDEX(PP_Grid[#Data],$DD390,43),0)</f>
        <v/>
      </c>
      <c r="AT390">
        <f>IFERROR(INDEX(PP_Grid[#Data],$DD390,44),0)</f>
        <v/>
      </c>
      <c r="AU390">
        <f>IFERROR(INDEX(PP_Grid[#Data],$DD390,45),0)</f>
        <v/>
      </c>
      <c r="AV390">
        <f>IFERROR(INDEX(PP_Grid[#Data],$DD390,46),0)</f>
        <v/>
      </c>
      <c r="AW390">
        <f>IFERROR(INDEX(PP_Grid[#Data],$DD390,47),0)</f>
        <v/>
      </c>
      <c r="AX390">
        <f>IFERROR(INDEX(PP_Grid[#Data],$DD390,48),0)</f>
        <v/>
      </c>
      <c r="AY390">
        <f>IFERROR(INDEX(PP_Grid[#Data],$DD390,49),0)</f>
        <v/>
      </c>
      <c r="AZ390">
        <f>IFERROR(INDEX(PP_Grid[#Data],$DD390,50),0)</f>
        <v/>
      </c>
      <c r="BA390">
        <f>IFERROR(INDEX(PP_Grid[#Data],$DD390,51),0)</f>
        <v/>
      </c>
      <c r="BB390">
        <f>IFERROR(INDEX(PP_Grid[#Data],$DD390,52),0)</f>
        <v/>
      </c>
      <c r="BC390">
        <f>IFERROR(INDEX(PP_Grid[#Data],$DD390,53),0)</f>
        <v/>
      </c>
      <c r="BD390">
        <f>IFERROR(INDEX(PP_Grid[#Data],$DD390,54),0)</f>
        <v/>
      </c>
      <c r="BE390">
        <f>IFERROR(INDEX(PP_Grid[#Data],$DD390,55),0)</f>
        <v/>
      </c>
      <c r="BF390">
        <f>IFERROR(INDEX(PP_Grid[#Data],$DD390,56),0)</f>
        <v/>
      </c>
      <c r="BG390">
        <f>IFERROR(INDEX(PP_Grid[#Data],$DD390,57),0)</f>
        <v/>
      </c>
      <c r="BH390">
        <f>IFERROR(INDEX(PP_Grid[#Data],$DD390,58),0)</f>
        <v/>
      </c>
      <c r="BI390">
        <f>IFERROR(INDEX(PP_Grid[#Data],$DD390,59),0)</f>
        <v/>
      </c>
      <c r="BJ390">
        <f>IFERROR(INDEX(PP_Grid[#Data],$DD390,60),0)</f>
        <v/>
      </c>
      <c r="BK390">
        <f>IFERROR(INDEX(PP_Grid[#Data],$DD390,61),0)</f>
        <v/>
      </c>
      <c r="BL390">
        <f>IFERROR(INDEX(PP_Grid[#Data],$DD390,62),0)</f>
        <v/>
      </c>
      <c r="BM390">
        <f>IFERROR(INDEX(PP_Grid[#Data],$DD390,63),0)</f>
        <v/>
      </c>
      <c r="BN390">
        <f>IFERROR(INDEX(PP_Grid[#Data],$DD390,64),0)</f>
        <v/>
      </c>
      <c r="BO390">
        <f>IFERROR(INDEX(PP_Grid[#Data],$DD390,65),0)</f>
        <v/>
      </c>
      <c r="BP390">
        <f>IFERROR(INDEX(PP_Grid[#Data],$DD390,66),0)</f>
        <v/>
      </c>
      <c r="BQ390">
        <f>IFERROR(INDEX(PP_Grid[#Data],$DD390,67),0)</f>
        <v/>
      </c>
      <c r="BR390">
        <f>IFERROR(INDEX(PP_Grid[#Data],$DD390,68),0)</f>
        <v/>
      </c>
      <c r="BS390">
        <f>IFERROR(INDEX(PP_Grid[#Data],$DD390,69),0)</f>
        <v/>
      </c>
      <c r="BT390">
        <f>IFERROR(INDEX(PP_Grid[#Data],$DD390,70),0)</f>
        <v/>
      </c>
      <c r="BU390">
        <f>IFERROR(INDEX(PP_Grid[#Data],$DD390,71),0)</f>
        <v/>
      </c>
      <c r="BV390">
        <f>IFERROR(INDEX(PP_Grid[#Data],$DD390,72),0)</f>
        <v/>
      </c>
      <c r="BW390">
        <f>IFERROR(INDEX(PP_Grid[#Data],$DD390,73),0)</f>
        <v/>
      </c>
      <c r="BX390">
        <f>IFERROR(INDEX(PP_Grid[#Data],$DD390,74),0)</f>
        <v/>
      </c>
      <c r="BY390">
        <f>IFERROR(INDEX(PP_Grid[#Data],$DD390,75),0)</f>
        <v/>
      </c>
      <c r="BZ390">
        <f>IFERROR(INDEX(PP_Grid[#Data],$DD390,76),0)</f>
        <v/>
      </c>
      <c r="CA390">
        <f>IFERROR(INDEX(PP_Grid[#Data],$DD390,77),0)</f>
        <v/>
      </c>
      <c r="CB390">
        <f>IFERROR(INDEX(PP_Grid[#Data],$DD390,78),0)</f>
        <v/>
      </c>
      <c r="CC390">
        <f>IFERROR(INDEX(PP_Grid[#Data],$DD390,79),0)</f>
        <v/>
      </c>
      <c r="CD390">
        <f>IFERROR(INDEX(PP_Grid[#Data],$DD390,80),0)</f>
        <v/>
      </c>
      <c r="CE390">
        <f>IFERROR(INDEX(PP_Grid[#Data],$DD390,81),0)</f>
        <v/>
      </c>
      <c r="CF390">
        <f>IFERROR(INDEX(PP_Grid[#Data],$DD390,82),0)</f>
        <v/>
      </c>
      <c r="CG390">
        <f>IFERROR(INDEX(PP_Grid[#Data],$DD390,83),0)</f>
        <v/>
      </c>
      <c r="CH390">
        <f>IFERROR(INDEX(PP_Grid[#Data],$DD390,84),0)</f>
        <v/>
      </c>
      <c r="CI390">
        <f>IFERROR(INDEX(PP_Grid[#Data],$DD390,85),0)</f>
        <v/>
      </c>
      <c r="CJ390">
        <f>IFERROR(INDEX(PP_Grid[#Data],$DD390,86),0)</f>
        <v/>
      </c>
      <c r="CK390">
        <f>IFERROR(INDEX(PP_Grid[#Data],$DD390,87),0)</f>
        <v/>
      </c>
      <c r="CL390">
        <f>IFERROR(INDEX(PP_Grid[#Data],$DD390,88),0)</f>
        <v/>
      </c>
      <c r="CM390">
        <f>IFERROR(INDEX(PP_Grid[#Data],$DD390,89),0)</f>
        <v/>
      </c>
      <c r="CN390">
        <f>IFERROR(INDEX(PP_Grid[#Data],$DD390,90),0)</f>
        <v/>
      </c>
      <c r="CO390">
        <f>IFERROR(INDEX(PP_Grid[#Data],$DD390,91),0)</f>
        <v/>
      </c>
      <c r="CP390">
        <f>IFERROR(INDEX(PP_Grid[#Data],$DD390,92),0)</f>
        <v/>
      </c>
      <c r="CQ390">
        <f>IFERROR(INDEX(PP_Grid[#Data],$DD390,93),0)</f>
        <v/>
      </c>
      <c r="CR390">
        <f>IFERROR(INDEX(PP_Grid[#Data],$DD390,94),0)</f>
        <v/>
      </c>
      <c r="CS390">
        <f>IFERROR(INDEX(PP_Grid[#Data],$DD390,95),0)</f>
        <v/>
      </c>
      <c r="CT390">
        <f>IFERROR(INDEX(PP_Grid[#Data],$DD390,96),0)</f>
        <v/>
      </c>
      <c r="CU390">
        <f>IFERROR(INDEX(PP_Grid[#Data],$DD390,97),0)</f>
        <v/>
      </c>
      <c r="CV390">
        <f>IFERROR(INDEX(PP_Grid[#Data],$DD390,98),0)</f>
        <v/>
      </c>
      <c r="CW390">
        <f>IFERROR(INDEX(PP_Grid[#Data],$DD390,99),0)</f>
        <v/>
      </c>
      <c r="CX390">
        <f>IFERROR(INDEX(PP_Grid[#Data],$DD390,100),0)</f>
        <v/>
      </c>
      <c r="CY390">
        <f>IFERROR(INDEX(PP_Grid[#Data],$DD390,101),0)</f>
        <v/>
      </c>
      <c r="CZ390">
        <f>IFERROR(INDEX(PP_Grid[#Data],$DD390,102),0)</f>
        <v/>
      </c>
      <c r="DA390">
        <f>IFERROR(INDEX(PP_Grid[#Data],$DD390,103),0)</f>
        <v/>
      </c>
      <c r="DB390">
        <f>IFERROR(INDEX(PP_Grid[#Data],$DD390,104),0)</f>
        <v/>
      </c>
      <c r="DC390">
        <f>IFERROR(INDEX(PP_Grid[#Data],$DD390,105),0)</f>
        <v/>
      </c>
      <c r="DD390" s="7">
        <f>IFERROR(MATCH($B390,PP_Grid[Intermediate],0),99999)</f>
        <v/>
      </c>
    </row>
    <row r="391">
      <c r="B391" t="inlineStr">
        <is>
          <t>使用量(kg)</t>
        </is>
      </c>
      <c r="C391">
        <f>SUMIFS(M_BOM[RM_Qty_Per_Batch],M_BOM[Intermediate],$B390,M_BOM[Part Name],$A343)</f>
        <v/>
      </c>
      <c r="D391">
        <f>$C391*D390</f>
        <v/>
      </c>
      <c r="E391">
        <f>$C391*E390</f>
        <v/>
      </c>
      <c r="F391">
        <f>$C391*F390</f>
        <v/>
      </c>
      <c r="G391">
        <f>$C391*G390</f>
        <v/>
      </c>
      <c r="H391">
        <f>$C391*H390</f>
        <v/>
      </c>
      <c r="I391">
        <f>$C391*I390</f>
        <v/>
      </c>
      <c r="J391">
        <f>$C391*J390</f>
        <v/>
      </c>
      <c r="K391">
        <f>$C391*K390</f>
        <v/>
      </c>
      <c r="L391">
        <f>$C391*L390</f>
        <v/>
      </c>
      <c r="M391">
        <f>$C391*M390</f>
        <v/>
      </c>
      <c r="N391">
        <f>$C391*N390</f>
        <v/>
      </c>
      <c r="O391">
        <f>$C391*O390</f>
        <v/>
      </c>
      <c r="P391">
        <f>$C391*P390</f>
        <v/>
      </c>
      <c r="Q391">
        <f>$C391*Q390</f>
        <v/>
      </c>
      <c r="R391">
        <f>$C391*R390</f>
        <v/>
      </c>
      <c r="S391">
        <f>$C391*S390</f>
        <v/>
      </c>
      <c r="T391">
        <f>$C391*T390</f>
        <v/>
      </c>
      <c r="U391">
        <f>$C391*U390</f>
        <v/>
      </c>
      <c r="V391">
        <f>$C391*V390</f>
        <v/>
      </c>
      <c r="W391">
        <f>$C391*W390</f>
        <v/>
      </c>
      <c r="X391">
        <f>$C391*X390</f>
        <v/>
      </c>
      <c r="Y391">
        <f>$C391*Y390</f>
        <v/>
      </c>
      <c r="Z391">
        <f>$C391*Z390</f>
        <v/>
      </c>
      <c r="AA391">
        <f>$C391*AA390</f>
        <v/>
      </c>
      <c r="AB391">
        <f>$C391*AB390</f>
        <v/>
      </c>
      <c r="AC391">
        <f>$C391*AC390</f>
        <v/>
      </c>
      <c r="AD391">
        <f>$C391*AD390</f>
        <v/>
      </c>
      <c r="AE391">
        <f>$C391*AE390</f>
        <v/>
      </c>
      <c r="AF391">
        <f>$C391*AF390</f>
        <v/>
      </c>
      <c r="AG391">
        <f>$C391*AG390</f>
        <v/>
      </c>
      <c r="AH391">
        <f>$C391*AH390</f>
        <v/>
      </c>
      <c r="AI391">
        <f>$C391*AI390</f>
        <v/>
      </c>
      <c r="AJ391">
        <f>$C391*AJ390</f>
        <v/>
      </c>
      <c r="AK391">
        <f>$C391*AK390</f>
        <v/>
      </c>
      <c r="AL391">
        <f>$C391*AL390</f>
        <v/>
      </c>
      <c r="AM391">
        <f>$C391*AM390</f>
        <v/>
      </c>
      <c r="AN391">
        <f>$C391*AN390</f>
        <v/>
      </c>
      <c r="AO391">
        <f>$C391*AO390</f>
        <v/>
      </c>
      <c r="AP391">
        <f>$C391*AP390</f>
        <v/>
      </c>
      <c r="AQ391">
        <f>$C391*AQ390</f>
        <v/>
      </c>
      <c r="AR391">
        <f>$C391*AR390</f>
        <v/>
      </c>
      <c r="AS391">
        <f>$C391*AS390</f>
        <v/>
      </c>
      <c r="AT391">
        <f>$C391*AT390</f>
        <v/>
      </c>
      <c r="AU391">
        <f>$C391*AU390</f>
        <v/>
      </c>
      <c r="AV391">
        <f>$C391*AV390</f>
        <v/>
      </c>
      <c r="AW391">
        <f>$C391*AW390</f>
        <v/>
      </c>
      <c r="AX391">
        <f>$C391*AX390</f>
        <v/>
      </c>
      <c r="AY391">
        <f>$C391*AY390</f>
        <v/>
      </c>
      <c r="AZ391">
        <f>$C391*AZ390</f>
        <v/>
      </c>
      <c r="BA391">
        <f>$C391*BA390</f>
        <v/>
      </c>
      <c r="BB391">
        <f>$C391*BB390</f>
        <v/>
      </c>
      <c r="BC391">
        <f>$C391*BC390</f>
        <v/>
      </c>
      <c r="BD391">
        <f>$C391*BD390</f>
        <v/>
      </c>
      <c r="BE391">
        <f>$C391*BE390</f>
        <v/>
      </c>
      <c r="BF391">
        <f>$C391*BF390</f>
        <v/>
      </c>
      <c r="BG391">
        <f>$C391*BG390</f>
        <v/>
      </c>
      <c r="BH391">
        <f>$C391*BH390</f>
        <v/>
      </c>
      <c r="BI391">
        <f>$C391*BI390</f>
        <v/>
      </c>
      <c r="BJ391">
        <f>$C391*BJ390</f>
        <v/>
      </c>
      <c r="BK391">
        <f>$C391*BK390</f>
        <v/>
      </c>
      <c r="BL391">
        <f>$C391*BL390</f>
        <v/>
      </c>
      <c r="BM391">
        <f>$C391*BM390</f>
        <v/>
      </c>
      <c r="BN391">
        <f>$C391*BN390</f>
        <v/>
      </c>
      <c r="BO391">
        <f>$C391*BO390</f>
        <v/>
      </c>
      <c r="BP391">
        <f>$C391*BP390</f>
        <v/>
      </c>
      <c r="BQ391">
        <f>$C391*BQ390</f>
        <v/>
      </c>
      <c r="BR391">
        <f>$C391*BR390</f>
        <v/>
      </c>
      <c r="BS391">
        <f>$C391*BS390</f>
        <v/>
      </c>
      <c r="BT391">
        <f>$C391*BT390</f>
        <v/>
      </c>
      <c r="BU391">
        <f>$C391*BU390</f>
        <v/>
      </c>
      <c r="BV391">
        <f>$C391*BV390</f>
        <v/>
      </c>
      <c r="BW391">
        <f>$C391*BW390</f>
        <v/>
      </c>
      <c r="BX391">
        <f>$C391*BX390</f>
        <v/>
      </c>
      <c r="BY391">
        <f>$C391*BY390</f>
        <v/>
      </c>
      <c r="BZ391">
        <f>$C391*BZ390</f>
        <v/>
      </c>
      <c r="CA391">
        <f>$C391*CA390</f>
        <v/>
      </c>
      <c r="CB391">
        <f>$C391*CB390</f>
        <v/>
      </c>
      <c r="CC391">
        <f>$C391*CC390</f>
        <v/>
      </c>
      <c r="CD391">
        <f>$C391*CD390</f>
        <v/>
      </c>
      <c r="CE391">
        <f>$C391*CE390</f>
        <v/>
      </c>
      <c r="CF391">
        <f>$C391*CF390</f>
        <v/>
      </c>
      <c r="CG391">
        <f>$C391*CG390</f>
        <v/>
      </c>
      <c r="CH391">
        <f>$C391*CH390</f>
        <v/>
      </c>
      <c r="CI391">
        <f>$C391*CI390</f>
        <v/>
      </c>
      <c r="CJ391">
        <f>$C391*CJ390</f>
        <v/>
      </c>
      <c r="CK391">
        <f>$C391*CK390</f>
        <v/>
      </c>
      <c r="CL391">
        <f>$C391*CL390</f>
        <v/>
      </c>
      <c r="CM391">
        <f>$C391*CM390</f>
        <v/>
      </c>
      <c r="CN391">
        <f>$C391*CN390</f>
        <v/>
      </c>
      <c r="CO391">
        <f>$C391*CO390</f>
        <v/>
      </c>
      <c r="CP391">
        <f>$C391*CP390</f>
        <v/>
      </c>
      <c r="CQ391">
        <f>$C391*CQ390</f>
        <v/>
      </c>
      <c r="CR391">
        <f>$C391*CR390</f>
        <v/>
      </c>
      <c r="CS391">
        <f>$C391*CS390</f>
        <v/>
      </c>
      <c r="CT391">
        <f>$C391*CT390</f>
        <v/>
      </c>
      <c r="CU391">
        <f>$C391*CU390</f>
        <v/>
      </c>
      <c r="CV391">
        <f>$C391*CV390</f>
        <v/>
      </c>
      <c r="CW391">
        <f>$C391*CW390</f>
        <v/>
      </c>
      <c r="CX391">
        <f>$C391*CX390</f>
        <v/>
      </c>
      <c r="CY391">
        <f>$C391*CY390</f>
        <v/>
      </c>
      <c r="CZ391">
        <f>$C391*CZ390</f>
        <v/>
      </c>
      <c r="DA391">
        <f>$C391*DA390</f>
        <v/>
      </c>
      <c r="DB391">
        <f>$C391*DB390</f>
        <v/>
      </c>
      <c r="DC391">
        <f>$C391*DC390</f>
        <v/>
      </c>
    </row>
    <row r="392">
      <c r="B392" t="inlineStr">
        <is>
          <t>TSP-828</t>
        </is>
      </c>
      <c r="C392" t="inlineStr">
        <is>
          <t>No. of batches</t>
        </is>
      </c>
      <c r="D392">
        <f>IFERROR(INDEX(PP_Grid[#Data],$DD392,2),0)</f>
        <v/>
      </c>
      <c r="E392">
        <f>IFERROR(INDEX(PP_Grid[#Data],$DD392,3),0)</f>
        <v/>
      </c>
      <c r="F392">
        <f>IFERROR(INDEX(PP_Grid[#Data],$DD392,4),0)</f>
        <v/>
      </c>
      <c r="G392">
        <f>IFERROR(INDEX(PP_Grid[#Data],$DD392,5),0)</f>
        <v/>
      </c>
      <c r="H392">
        <f>IFERROR(INDEX(PP_Grid[#Data],$DD392,6),0)</f>
        <v/>
      </c>
      <c r="I392">
        <f>IFERROR(INDEX(PP_Grid[#Data],$DD392,7),0)</f>
        <v/>
      </c>
      <c r="J392">
        <f>IFERROR(INDEX(PP_Grid[#Data],$DD392,8),0)</f>
        <v/>
      </c>
      <c r="K392">
        <f>IFERROR(INDEX(PP_Grid[#Data],$DD392,9),0)</f>
        <v/>
      </c>
      <c r="L392">
        <f>IFERROR(INDEX(PP_Grid[#Data],$DD392,10),0)</f>
        <v/>
      </c>
      <c r="M392">
        <f>IFERROR(INDEX(PP_Grid[#Data],$DD392,11),0)</f>
        <v/>
      </c>
      <c r="N392">
        <f>IFERROR(INDEX(PP_Grid[#Data],$DD392,12),0)</f>
        <v/>
      </c>
      <c r="O392">
        <f>IFERROR(INDEX(PP_Grid[#Data],$DD392,13),0)</f>
        <v/>
      </c>
      <c r="P392">
        <f>IFERROR(INDEX(PP_Grid[#Data],$DD392,14),0)</f>
        <v/>
      </c>
      <c r="Q392">
        <f>IFERROR(INDEX(PP_Grid[#Data],$DD392,15),0)</f>
        <v/>
      </c>
      <c r="R392">
        <f>IFERROR(INDEX(PP_Grid[#Data],$DD392,16),0)</f>
        <v/>
      </c>
      <c r="S392">
        <f>IFERROR(INDEX(PP_Grid[#Data],$DD392,17),0)</f>
        <v/>
      </c>
      <c r="T392">
        <f>IFERROR(INDEX(PP_Grid[#Data],$DD392,18),0)</f>
        <v/>
      </c>
      <c r="U392">
        <f>IFERROR(INDEX(PP_Grid[#Data],$DD392,19),0)</f>
        <v/>
      </c>
      <c r="V392">
        <f>IFERROR(INDEX(PP_Grid[#Data],$DD392,20),0)</f>
        <v/>
      </c>
      <c r="W392">
        <f>IFERROR(INDEX(PP_Grid[#Data],$DD392,21),0)</f>
        <v/>
      </c>
      <c r="X392">
        <f>IFERROR(INDEX(PP_Grid[#Data],$DD392,22),0)</f>
        <v/>
      </c>
      <c r="Y392">
        <f>IFERROR(INDEX(PP_Grid[#Data],$DD392,23),0)</f>
        <v/>
      </c>
      <c r="Z392">
        <f>IFERROR(INDEX(PP_Grid[#Data],$DD392,24),0)</f>
        <v/>
      </c>
      <c r="AA392">
        <f>IFERROR(INDEX(PP_Grid[#Data],$DD392,25),0)</f>
        <v/>
      </c>
      <c r="AB392">
        <f>IFERROR(INDEX(PP_Grid[#Data],$DD392,26),0)</f>
        <v/>
      </c>
      <c r="AC392">
        <f>IFERROR(INDEX(PP_Grid[#Data],$DD392,27),0)</f>
        <v/>
      </c>
      <c r="AD392">
        <f>IFERROR(INDEX(PP_Grid[#Data],$DD392,28),0)</f>
        <v/>
      </c>
      <c r="AE392">
        <f>IFERROR(INDEX(PP_Grid[#Data],$DD392,29),0)</f>
        <v/>
      </c>
      <c r="AF392">
        <f>IFERROR(INDEX(PP_Grid[#Data],$DD392,30),0)</f>
        <v/>
      </c>
      <c r="AG392">
        <f>IFERROR(INDEX(PP_Grid[#Data],$DD392,31),0)</f>
        <v/>
      </c>
      <c r="AH392">
        <f>IFERROR(INDEX(PP_Grid[#Data],$DD392,32),0)</f>
        <v/>
      </c>
      <c r="AI392">
        <f>IFERROR(INDEX(PP_Grid[#Data],$DD392,33),0)</f>
        <v/>
      </c>
      <c r="AJ392">
        <f>IFERROR(INDEX(PP_Grid[#Data],$DD392,34),0)</f>
        <v/>
      </c>
      <c r="AK392">
        <f>IFERROR(INDEX(PP_Grid[#Data],$DD392,35),0)</f>
        <v/>
      </c>
      <c r="AL392">
        <f>IFERROR(INDEX(PP_Grid[#Data],$DD392,36),0)</f>
        <v/>
      </c>
      <c r="AM392">
        <f>IFERROR(INDEX(PP_Grid[#Data],$DD392,37),0)</f>
        <v/>
      </c>
      <c r="AN392">
        <f>IFERROR(INDEX(PP_Grid[#Data],$DD392,38),0)</f>
        <v/>
      </c>
      <c r="AO392">
        <f>IFERROR(INDEX(PP_Grid[#Data],$DD392,39),0)</f>
        <v/>
      </c>
      <c r="AP392">
        <f>IFERROR(INDEX(PP_Grid[#Data],$DD392,40),0)</f>
        <v/>
      </c>
      <c r="AQ392">
        <f>IFERROR(INDEX(PP_Grid[#Data],$DD392,41),0)</f>
        <v/>
      </c>
      <c r="AR392">
        <f>IFERROR(INDEX(PP_Grid[#Data],$DD392,42),0)</f>
        <v/>
      </c>
      <c r="AS392">
        <f>IFERROR(INDEX(PP_Grid[#Data],$DD392,43),0)</f>
        <v/>
      </c>
      <c r="AT392">
        <f>IFERROR(INDEX(PP_Grid[#Data],$DD392,44),0)</f>
        <v/>
      </c>
      <c r="AU392">
        <f>IFERROR(INDEX(PP_Grid[#Data],$DD392,45),0)</f>
        <v/>
      </c>
      <c r="AV392">
        <f>IFERROR(INDEX(PP_Grid[#Data],$DD392,46),0)</f>
        <v/>
      </c>
      <c r="AW392">
        <f>IFERROR(INDEX(PP_Grid[#Data],$DD392,47),0)</f>
        <v/>
      </c>
      <c r="AX392">
        <f>IFERROR(INDEX(PP_Grid[#Data],$DD392,48),0)</f>
        <v/>
      </c>
      <c r="AY392">
        <f>IFERROR(INDEX(PP_Grid[#Data],$DD392,49),0)</f>
        <v/>
      </c>
      <c r="AZ392">
        <f>IFERROR(INDEX(PP_Grid[#Data],$DD392,50),0)</f>
        <v/>
      </c>
      <c r="BA392">
        <f>IFERROR(INDEX(PP_Grid[#Data],$DD392,51),0)</f>
        <v/>
      </c>
      <c r="BB392">
        <f>IFERROR(INDEX(PP_Grid[#Data],$DD392,52),0)</f>
        <v/>
      </c>
      <c r="BC392">
        <f>IFERROR(INDEX(PP_Grid[#Data],$DD392,53),0)</f>
        <v/>
      </c>
      <c r="BD392">
        <f>IFERROR(INDEX(PP_Grid[#Data],$DD392,54),0)</f>
        <v/>
      </c>
      <c r="BE392">
        <f>IFERROR(INDEX(PP_Grid[#Data],$DD392,55),0)</f>
        <v/>
      </c>
      <c r="BF392">
        <f>IFERROR(INDEX(PP_Grid[#Data],$DD392,56),0)</f>
        <v/>
      </c>
      <c r="BG392">
        <f>IFERROR(INDEX(PP_Grid[#Data],$DD392,57),0)</f>
        <v/>
      </c>
      <c r="BH392">
        <f>IFERROR(INDEX(PP_Grid[#Data],$DD392,58),0)</f>
        <v/>
      </c>
      <c r="BI392">
        <f>IFERROR(INDEX(PP_Grid[#Data],$DD392,59),0)</f>
        <v/>
      </c>
      <c r="BJ392">
        <f>IFERROR(INDEX(PP_Grid[#Data],$DD392,60),0)</f>
        <v/>
      </c>
      <c r="BK392">
        <f>IFERROR(INDEX(PP_Grid[#Data],$DD392,61),0)</f>
        <v/>
      </c>
      <c r="BL392">
        <f>IFERROR(INDEX(PP_Grid[#Data],$DD392,62),0)</f>
        <v/>
      </c>
      <c r="BM392">
        <f>IFERROR(INDEX(PP_Grid[#Data],$DD392,63),0)</f>
        <v/>
      </c>
      <c r="BN392">
        <f>IFERROR(INDEX(PP_Grid[#Data],$DD392,64),0)</f>
        <v/>
      </c>
      <c r="BO392">
        <f>IFERROR(INDEX(PP_Grid[#Data],$DD392,65),0)</f>
        <v/>
      </c>
      <c r="BP392">
        <f>IFERROR(INDEX(PP_Grid[#Data],$DD392,66),0)</f>
        <v/>
      </c>
      <c r="BQ392">
        <f>IFERROR(INDEX(PP_Grid[#Data],$DD392,67),0)</f>
        <v/>
      </c>
      <c r="BR392">
        <f>IFERROR(INDEX(PP_Grid[#Data],$DD392,68),0)</f>
        <v/>
      </c>
      <c r="BS392">
        <f>IFERROR(INDEX(PP_Grid[#Data],$DD392,69),0)</f>
        <v/>
      </c>
      <c r="BT392">
        <f>IFERROR(INDEX(PP_Grid[#Data],$DD392,70),0)</f>
        <v/>
      </c>
      <c r="BU392">
        <f>IFERROR(INDEX(PP_Grid[#Data],$DD392,71),0)</f>
        <v/>
      </c>
      <c r="BV392">
        <f>IFERROR(INDEX(PP_Grid[#Data],$DD392,72),0)</f>
        <v/>
      </c>
      <c r="BW392">
        <f>IFERROR(INDEX(PP_Grid[#Data],$DD392,73),0)</f>
        <v/>
      </c>
      <c r="BX392">
        <f>IFERROR(INDEX(PP_Grid[#Data],$DD392,74),0)</f>
        <v/>
      </c>
      <c r="BY392">
        <f>IFERROR(INDEX(PP_Grid[#Data],$DD392,75),0)</f>
        <v/>
      </c>
      <c r="BZ392">
        <f>IFERROR(INDEX(PP_Grid[#Data],$DD392,76),0)</f>
        <v/>
      </c>
      <c r="CA392">
        <f>IFERROR(INDEX(PP_Grid[#Data],$DD392,77),0)</f>
        <v/>
      </c>
      <c r="CB392">
        <f>IFERROR(INDEX(PP_Grid[#Data],$DD392,78),0)</f>
        <v/>
      </c>
      <c r="CC392">
        <f>IFERROR(INDEX(PP_Grid[#Data],$DD392,79),0)</f>
        <v/>
      </c>
      <c r="CD392">
        <f>IFERROR(INDEX(PP_Grid[#Data],$DD392,80),0)</f>
        <v/>
      </c>
      <c r="CE392">
        <f>IFERROR(INDEX(PP_Grid[#Data],$DD392,81),0)</f>
        <v/>
      </c>
      <c r="CF392">
        <f>IFERROR(INDEX(PP_Grid[#Data],$DD392,82),0)</f>
        <v/>
      </c>
      <c r="CG392">
        <f>IFERROR(INDEX(PP_Grid[#Data],$DD392,83),0)</f>
        <v/>
      </c>
      <c r="CH392">
        <f>IFERROR(INDEX(PP_Grid[#Data],$DD392,84),0)</f>
        <v/>
      </c>
      <c r="CI392">
        <f>IFERROR(INDEX(PP_Grid[#Data],$DD392,85),0)</f>
        <v/>
      </c>
      <c r="CJ392">
        <f>IFERROR(INDEX(PP_Grid[#Data],$DD392,86),0)</f>
        <v/>
      </c>
      <c r="CK392">
        <f>IFERROR(INDEX(PP_Grid[#Data],$DD392,87),0)</f>
        <v/>
      </c>
      <c r="CL392">
        <f>IFERROR(INDEX(PP_Grid[#Data],$DD392,88),0)</f>
        <v/>
      </c>
      <c r="CM392">
        <f>IFERROR(INDEX(PP_Grid[#Data],$DD392,89),0)</f>
        <v/>
      </c>
      <c r="CN392">
        <f>IFERROR(INDEX(PP_Grid[#Data],$DD392,90),0)</f>
        <v/>
      </c>
      <c r="CO392">
        <f>IFERROR(INDEX(PP_Grid[#Data],$DD392,91),0)</f>
        <v/>
      </c>
      <c r="CP392">
        <f>IFERROR(INDEX(PP_Grid[#Data],$DD392,92),0)</f>
        <v/>
      </c>
      <c r="CQ392">
        <f>IFERROR(INDEX(PP_Grid[#Data],$DD392,93),0)</f>
        <v/>
      </c>
      <c r="CR392">
        <f>IFERROR(INDEX(PP_Grid[#Data],$DD392,94),0)</f>
        <v/>
      </c>
      <c r="CS392">
        <f>IFERROR(INDEX(PP_Grid[#Data],$DD392,95),0)</f>
        <v/>
      </c>
      <c r="CT392">
        <f>IFERROR(INDEX(PP_Grid[#Data],$DD392,96),0)</f>
        <v/>
      </c>
      <c r="CU392">
        <f>IFERROR(INDEX(PP_Grid[#Data],$DD392,97),0)</f>
        <v/>
      </c>
      <c r="CV392">
        <f>IFERROR(INDEX(PP_Grid[#Data],$DD392,98),0)</f>
        <v/>
      </c>
      <c r="CW392">
        <f>IFERROR(INDEX(PP_Grid[#Data],$DD392,99),0)</f>
        <v/>
      </c>
      <c r="CX392">
        <f>IFERROR(INDEX(PP_Grid[#Data],$DD392,100),0)</f>
        <v/>
      </c>
      <c r="CY392">
        <f>IFERROR(INDEX(PP_Grid[#Data],$DD392,101),0)</f>
        <v/>
      </c>
      <c r="CZ392">
        <f>IFERROR(INDEX(PP_Grid[#Data],$DD392,102),0)</f>
        <v/>
      </c>
      <c r="DA392">
        <f>IFERROR(INDEX(PP_Grid[#Data],$DD392,103),0)</f>
        <v/>
      </c>
      <c r="DB392">
        <f>IFERROR(INDEX(PP_Grid[#Data],$DD392,104),0)</f>
        <v/>
      </c>
      <c r="DC392">
        <f>IFERROR(INDEX(PP_Grid[#Data],$DD392,105),0)</f>
        <v/>
      </c>
      <c r="DD392" s="7">
        <f>IFERROR(MATCH($B392,PP_Grid[Intermediate],0),99999)</f>
        <v/>
      </c>
    </row>
    <row r="393">
      <c r="B393" t="inlineStr">
        <is>
          <t>使用量(kg)</t>
        </is>
      </c>
      <c r="C393">
        <f>SUMIFS(M_BOM[RM_Qty_Per_Batch],M_BOM[Intermediate],$B392,M_BOM[Part Name],$A343)</f>
        <v/>
      </c>
      <c r="D393">
        <f>$C393*D392</f>
        <v/>
      </c>
      <c r="E393">
        <f>$C393*E392</f>
        <v/>
      </c>
      <c r="F393">
        <f>$C393*F392</f>
        <v/>
      </c>
      <c r="G393">
        <f>$C393*G392</f>
        <v/>
      </c>
      <c r="H393">
        <f>$C393*H392</f>
        <v/>
      </c>
      <c r="I393">
        <f>$C393*I392</f>
        <v/>
      </c>
      <c r="J393">
        <f>$C393*J392</f>
        <v/>
      </c>
      <c r="K393">
        <f>$C393*K392</f>
        <v/>
      </c>
      <c r="L393">
        <f>$C393*L392</f>
        <v/>
      </c>
      <c r="M393">
        <f>$C393*M392</f>
        <v/>
      </c>
      <c r="N393">
        <f>$C393*N392</f>
        <v/>
      </c>
      <c r="O393">
        <f>$C393*O392</f>
        <v/>
      </c>
      <c r="P393">
        <f>$C393*P392</f>
        <v/>
      </c>
      <c r="Q393">
        <f>$C393*Q392</f>
        <v/>
      </c>
      <c r="R393">
        <f>$C393*R392</f>
        <v/>
      </c>
      <c r="S393">
        <f>$C393*S392</f>
        <v/>
      </c>
      <c r="T393">
        <f>$C393*T392</f>
        <v/>
      </c>
      <c r="U393">
        <f>$C393*U392</f>
        <v/>
      </c>
      <c r="V393">
        <f>$C393*V392</f>
        <v/>
      </c>
      <c r="W393">
        <f>$C393*W392</f>
        <v/>
      </c>
      <c r="X393">
        <f>$C393*X392</f>
        <v/>
      </c>
      <c r="Y393">
        <f>$C393*Y392</f>
        <v/>
      </c>
      <c r="Z393">
        <f>$C393*Z392</f>
        <v/>
      </c>
      <c r="AA393">
        <f>$C393*AA392</f>
        <v/>
      </c>
      <c r="AB393">
        <f>$C393*AB392</f>
        <v/>
      </c>
      <c r="AC393">
        <f>$C393*AC392</f>
        <v/>
      </c>
      <c r="AD393">
        <f>$C393*AD392</f>
        <v/>
      </c>
      <c r="AE393">
        <f>$C393*AE392</f>
        <v/>
      </c>
      <c r="AF393">
        <f>$C393*AF392</f>
        <v/>
      </c>
      <c r="AG393">
        <f>$C393*AG392</f>
        <v/>
      </c>
      <c r="AH393">
        <f>$C393*AH392</f>
        <v/>
      </c>
      <c r="AI393">
        <f>$C393*AI392</f>
        <v/>
      </c>
      <c r="AJ393">
        <f>$C393*AJ392</f>
        <v/>
      </c>
      <c r="AK393">
        <f>$C393*AK392</f>
        <v/>
      </c>
      <c r="AL393">
        <f>$C393*AL392</f>
        <v/>
      </c>
      <c r="AM393">
        <f>$C393*AM392</f>
        <v/>
      </c>
      <c r="AN393">
        <f>$C393*AN392</f>
        <v/>
      </c>
      <c r="AO393">
        <f>$C393*AO392</f>
        <v/>
      </c>
      <c r="AP393">
        <f>$C393*AP392</f>
        <v/>
      </c>
      <c r="AQ393">
        <f>$C393*AQ392</f>
        <v/>
      </c>
      <c r="AR393">
        <f>$C393*AR392</f>
        <v/>
      </c>
      <c r="AS393">
        <f>$C393*AS392</f>
        <v/>
      </c>
      <c r="AT393">
        <f>$C393*AT392</f>
        <v/>
      </c>
      <c r="AU393">
        <f>$C393*AU392</f>
        <v/>
      </c>
      <c r="AV393">
        <f>$C393*AV392</f>
        <v/>
      </c>
      <c r="AW393">
        <f>$C393*AW392</f>
        <v/>
      </c>
      <c r="AX393">
        <f>$C393*AX392</f>
        <v/>
      </c>
      <c r="AY393">
        <f>$C393*AY392</f>
        <v/>
      </c>
      <c r="AZ393">
        <f>$C393*AZ392</f>
        <v/>
      </c>
      <c r="BA393">
        <f>$C393*BA392</f>
        <v/>
      </c>
      <c r="BB393">
        <f>$C393*BB392</f>
        <v/>
      </c>
      <c r="BC393">
        <f>$C393*BC392</f>
        <v/>
      </c>
      <c r="BD393">
        <f>$C393*BD392</f>
        <v/>
      </c>
      <c r="BE393">
        <f>$C393*BE392</f>
        <v/>
      </c>
      <c r="BF393">
        <f>$C393*BF392</f>
        <v/>
      </c>
      <c r="BG393">
        <f>$C393*BG392</f>
        <v/>
      </c>
      <c r="BH393">
        <f>$C393*BH392</f>
        <v/>
      </c>
      <c r="BI393">
        <f>$C393*BI392</f>
        <v/>
      </c>
      <c r="BJ393">
        <f>$C393*BJ392</f>
        <v/>
      </c>
      <c r="BK393">
        <f>$C393*BK392</f>
        <v/>
      </c>
      <c r="BL393">
        <f>$C393*BL392</f>
        <v/>
      </c>
      <c r="BM393">
        <f>$C393*BM392</f>
        <v/>
      </c>
      <c r="BN393">
        <f>$C393*BN392</f>
        <v/>
      </c>
      <c r="BO393">
        <f>$C393*BO392</f>
        <v/>
      </c>
      <c r="BP393">
        <f>$C393*BP392</f>
        <v/>
      </c>
      <c r="BQ393">
        <f>$C393*BQ392</f>
        <v/>
      </c>
      <c r="BR393">
        <f>$C393*BR392</f>
        <v/>
      </c>
      <c r="BS393">
        <f>$C393*BS392</f>
        <v/>
      </c>
      <c r="BT393">
        <f>$C393*BT392</f>
        <v/>
      </c>
      <c r="BU393">
        <f>$C393*BU392</f>
        <v/>
      </c>
      <c r="BV393">
        <f>$C393*BV392</f>
        <v/>
      </c>
      <c r="BW393">
        <f>$C393*BW392</f>
        <v/>
      </c>
      <c r="BX393">
        <f>$C393*BX392</f>
        <v/>
      </c>
      <c r="BY393">
        <f>$C393*BY392</f>
        <v/>
      </c>
      <c r="BZ393">
        <f>$C393*BZ392</f>
        <v/>
      </c>
      <c r="CA393">
        <f>$C393*CA392</f>
        <v/>
      </c>
      <c r="CB393">
        <f>$C393*CB392</f>
        <v/>
      </c>
      <c r="CC393">
        <f>$C393*CC392</f>
        <v/>
      </c>
      <c r="CD393">
        <f>$C393*CD392</f>
        <v/>
      </c>
      <c r="CE393">
        <f>$C393*CE392</f>
        <v/>
      </c>
      <c r="CF393">
        <f>$C393*CF392</f>
        <v/>
      </c>
      <c r="CG393">
        <f>$C393*CG392</f>
        <v/>
      </c>
      <c r="CH393">
        <f>$C393*CH392</f>
        <v/>
      </c>
      <c r="CI393">
        <f>$C393*CI392</f>
        <v/>
      </c>
      <c r="CJ393">
        <f>$C393*CJ392</f>
        <v/>
      </c>
      <c r="CK393">
        <f>$C393*CK392</f>
        <v/>
      </c>
      <c r="CL393">
        <f>$C393*CL392</f>
        <v/>
      </c>
      <c r="CM393">
        <f>$C393*CM392</f>
        <v/>
      </c>
      <c r="CN393">
        <f>$C393*CN392</f>
        <v/>
      </c>
      <c r="CO393">
        <f>$C393*CO392</f>
        <v/>
      </c>
      <c r="CP393">
        <f>$C393*CP392</f>
        <v/>
      </c>
      <c r="CQ393">
        <f>$C393*CQ392</f>
        <v/>
      </c>
      <c r="CR393">
        <f>$C393*CR392</f>
        <v/>
      </c>
      <c r="CS393">
        <f>$C393*CS392</f>
        <v/>
      </c>
      <c r="CT393">
        <f>$C393*CT392</f>
        <v/>
      </c>
      <c r="CU393">
        <f>$C393*CU392</f>
        <v/>
      </c>
      <c r="CV393">
        <f>$C393*CV392</f>
        <v/>
      </c>
      <c r="CW393">
        <f>$C393*CW392</f>
        <v/>
      </c>
      <c r="CX393">
        <f>$C393*CX392</f>
        <v/>
      </c>
      <c r="CY393">
        <f>$C393*CY392</f>
        <v/>
      </c>
      <c r="CZ393">
        <f>$C393*CZ392</f>
        <v/>
      </c>
      <c r="DA393">
        <f>$C393*DA392</f>
        <v/>
      </c>
      <c r="DB393">
        <f>$C393*DB392</f>
        <v/>
      </c>
      <c r="DC393">
        <f>$C393*DC392</f>
        <v/>
      </c>
    </row>
    <row r="394">
      <c r="B394" t="inlineStr">
        <is>
          <t>TSP-903</t>
        </is>
      </c>
      <c r="C394" t="inlineStr">
        <is>
          <t>No. of batches</t>
        </is>
      </c>
      <c r="D394">
        <f>IFERROR(INDEX(PP_Grid[#Data],$DD394,2),0)</f>
        <v/>
      </c>
      <c r="E394">
        <f>IFERROR(INDEX(PP_Grid[#Data],$DD394,3),0)</f>
        <v/>
      </c>
      <c r="F394">
        <f>IFERROR(INDEX(PP_Grid[#Data],$DD394,4),0)</f>
        <v/>
      </c>
      <c r="G394">
        <f>IFERROR(INDEX(PP_Grid[#Data],$DD394,5),0)</f>
        <v/>
      </c>
      <c r="H394">
        <f>IFERROR(INDEX(PP_Grid[#Data],$DD394,6),0)</f>
        <v/>
      </c>
      <c r="I394">
        <f>IFERROR(INDEX(PP_Grid[#Data],$DD394,7),0)</f>
        <v/>
      </c>
      <c r="J394">
        <f>IFERROR(INDEX(PP_Grid[#Data],$DD394,8),0)</f>
        <v/>
      </c>
      <c r="K394">
        <f>IFERROR(INDEX(PP_Grid[#Data],$DD394,9),0)</f>
        <v/>
      </c>
      <c r="L394">
        <f>IFERROR(INDEX(PP_Grid[#Data],$DD394,10),0)</f>
        <v/>
      </c>
      <c r="M394">
        <f>IFERROR(INDEX(PP_Grid[#Data],$DD394,11),0)</f>
        <v/>
      </c>
      <c r="N394">
        <f>IFERROR(INDEX(PP_Grid[#Data],$DD394,12),0)</f>
        <v/>
      </c>
      <c r="O394">
        <f>IFERROR(INDEX(PP_Grid[#Data],$DD394,13),0)</f>
        <v/>
      </c>
      <c r="P394">
        <f>IFERROR(INDEX(PP_Grid[#Data],$DD394,14),0)</f>
        <v/>
      </c>
      <c r="Q394">
        <f>IFERROR(INDEX(PP_Grid[#Data],$DD394,15),0)</f>
        <v/>
      </c>
      <c r="R394">
        <f>IFERROR(INDEX(PP_Grid[#Data],$DD394,16),0)</f>
        <v/>
      </c>
      <c r="S394">
        <f>IFERROR(INDEX(PP_Grid[#Data],$DD394,17),0)</f>
        <v/>
      </c>
      <c r="T394">
        <f>IFERROR(INDEX(PP_Grid[#Data],$DD394,18),0)</f>
        <v/>
      </c>
      <c r="U394">
        <f>IFERROR(INDEX(PP_Grid[#Data],$DD394,19),0)</f>
        <v/>
      </c>
      <c r="V394">
        <f>IFERROR(INDEX(PP_Grid[#Data],$DD394,20),0)</f>
        <v/>
      </c>
      <c r="W394">
        <f>IFERROR(INDEX(PP_Grid[#Data],$DD394,21),0)</f>
        <v/>
      </c>
      <c r="X394">
        <f>IFERROR(INDEX(PP_Grid[#Data],$DD394,22),0)</f>
        <v/>
      </c>
      <c r="Y394">
        <f>IFERROR(INDEX(PP_Grid[#Data],$DD394,23),0)</f>
        <v/>
      </c>
      <c r="Z394">
        <f>IFERROR(INDEX(PP_Grid[#Data],$DD394,24),0)</f>
        <v/>
      </c>
      <c r="AA394">
        <f>IFERROR(INDEX(PP_Grid[#Data],$DD394,25),0)</f>
        <v/>
      </c>
      <c r="AB394">
        <f>IFERROR(INDEX(PP_Grid[#Data],$DD394,26),0)</f>
        <v/>
      </c>
      <c r="AC394">
        <f>IFERROR(INDEX(PP_Grid[#Data],$DD394,27),0)</f>
        <v/>
      </c>
      <c r="AD394">
        <f>IFERROR(INDEX(PP_Grid[#Data],$DD394,28),0)</f>
        <v/>
      </c>
      <c r="AE394">
        <f>IFERROR(INDEX(PP_Grid[#Data],$DD394,29),0)</f>
        <v/>
      </c>
      <c r="AF394">
        <f>IFERROR(INDEX(PP_Grid[#Data],$DD394,30),0)</f>
        <v/>
      </c>
      <c r="AG394">
        <f>IFERROR(INDEX(PP_Grid[#Data],$DD394,31),0)</f>
        <v/>
      </c>
      <c r="AH394">
        <f>IFERROR(INDEX(PP_Grid[#Data],$DD394,32),0)</f>
        <v/>
      </c>
      <c r="AI394">
        <f>IFERROR(INDEX(PP_Grid[#Data],$DD394,33),0)</f>
        <v/>
      </c>
      <c r="AJ394">
        <f>IFERROR(INDEX(PP_Grid[#Data],$DD394,34),0)</f>
        <v/>
      </c>
      <c r="AK394">
        <f>IFERROR(INDEX(PP_Grid[#Data],$DD394,35),0)</f>
        <v/>
      </c>
      <c r="AL394">
        <f>IFERROR(INDEX(PP_Grid[#Data],$DD394,36),0)</f>
        <v/>
      </c>
      <c r="AM394">
        <f>IFERROR(INDEX(PP_Grid[#Data],$DD394,37),0)</f>
        <v/>
      </c>
      <c r="AN394">
        <f>IFERROR(INDEX(PP_Grid[#Data],$DD394,38),0)</f>
        <v/>
      </c>
      <c r="AO394">
        <f>IFERROR(INDEX(PP_Grid[#Data],$DD394,39),0)</f>
        <v/>
      </c>
      <c r="AP394">
        <f>IFERROR(INDEX(PP_Grid[#Data],$DD394,40),0)</f>
        <v/>
      </c>
      <c r="AQ394">
        <f>IFERROR(INDEX(PP_Grid[#Data],$DD394,41),0)</f>
        <v/>
      </c>
      <c r="AR394">
        <f>IFERROR(INDEX(PP_Grid[#Data],$DD394,42),0)</f>
        <v/>
      </c>
      <c r="AS394">
        <f>IFERROR(INDEX(PP_Grid[#Data],$DD394,43),0)</f>
        <v/>
      </c>
      <c r="AT394">
        <f>IFERROR(INDEX(PP_Grid[#Data],$DD394,44),0)</f>
        <v/>
      </c>
      <c r="AU394">
        <f>IFERROR(INDEX(PP_Grid[#Data],$DD394,45),0)</f>
        <v/>
      </c>
      <c r="AV394">
        <f>IFERROR(INDEX(PP_Grid[#Data],$DD394,46),0)</f>
        <v/>
      </c>
      <c r="AW394">
        <f>IFERROR(INDEX(PP_Grid[#Data],$DD394,47),0)</f>
        <v/>
      </c>
      <c r="AX394">
        <f>IFERROR(INDEX(PP_Grid[#Data],$DD394,48),0)</f>
        <v/>
      </c>
      <c r="AY394">
        <f>IFERROR(INDEX(PP_Grid[#Data],$DD394,49),0)</f>
        <v/>
      </c>
      <c r="AZ394">
        <f>IFERROR(INDEX(PP_Grid[#Data],$DD394,50),0)</f>
        <v/>
      </c>
      <c r="BA394">
        <f>IFERROR(INDEX(PP_Grid[#Data],$DD394,51),0)</f>
        <v/>
      </c>
      <c r="BB394">
        <f>IFERROR(INDEX(PP_Grid[#Data],$DD394,52),0)</f>
        <v/>
      </c>
      <c r="BC394">
        <f>IFERROR(INDEX(PP_Grid[#Data],$DD394,53),0)</f>
        <v/>
      </c>
      <c r="BD394">
        <f>IFERROR(INDEX(PP_Grid[#Data],$DD394,54),0)</f>
        <v/>
      </c>
      <c r="BE394">
        <f>IFERROR(INDEX(PP_Grid[#Data],$DD394,55),0)</f>
        <v/>
      </c>
      <c r="BF394">
        <f>IFERROR(INDEX(PP_Grid[#Data],$DD394,56),0)</f>
        <v/>
      </c>
      <c r="BG394">
        <f>IFERROR(INDEX(PP_Grid[#Data],$DD394,57),0)</f>
        <v/>
      </c>
      <c r="BH394">
        <f>IFERROR(INDEX(PP_Grid[#Data],$DD394,58),0)</f>
        <v/>
      </c>
      <c r="BI394">
        <f>IFERROR(INDEX(PP_Grid[#Data],$DD394,59),0)</f>
        <v/>
      </c>
      <c r="BJ394">
        <f>IFERROR(INDEX(PP_Grid[#Data],$DD394,60),0)</f>
        <v/>
      </c>
      <c r="BK394">
        <f>IFERROR(INDEX(PP_Grid[#Data],$DD394,61),0)</f>
        <v/>
      </c>
      <c r="BL394">
        <f>IFERROR(INDEX(PP_Grid[#Data],$DD394,62),0)</f>
        <v/>
      </c>
      <c r="BM394">
        <f>IFERROR(INDEX(PP_Grid[#Data],$DD394,63),0)</f>
        <v/>
      </c>
      <c r="BN394">
        <f>IFERROR(INDEX(PP_Grid[#Data],$DD394,64),0)</f>
        <v/>
      </c>
      <c r="BO394">
        <f>IFERROR(INDEX(PP_Grid[#Data],$DD394,65),0)</f>
        <v/>
      </c>
      <c r="BP394">
        <f>IFERROR(INDEX(PP_Grid[#Data],$DD394,66),0)</f>
        <v/>
      </c>
      <c r="BQ394">
        <f>IFERROR(INDEX(PP_Grid[#Data],$DD394,67),0)</f>
        <v/>
      </c>
      <c r="BR394">
        <f>IFERROR(INDEX(PP_Grid[#Data],$DD394,68),0)</f>
        <v/>
      </c>
      <c r="BS394">
        <f>IFERROR(INDEX(PP_Grid[#Data],$DD394,69),0)</f>
        <v/>
      </c>
      <c r="BT394">
        <f>IFERROR(INDEX(PP_Grid[#Data],$DD394,70),0)</f>
        <v/>
      </c>
      <c r="BU394">
        <f>IFERROR(INDEX(PP_Grid[#Data],$DD394,71),0)</f>
        <v/>
      </c>
      <c r="BV394">
        <f>IFERROR(INDEX(PP_Grid[#Data],$DD394,72),0)</f>
        <v/>
      </c>
      <c r="BW394">
        <f>IFERROR(INDEX(PP_Grid[#Data],$DD394,73),0)</f>
        <v/>
      </c>
      <c r="BX394">
        <f>IFERROR(INDEX(PP_Grid[#Data],$DD394,74),0)</f>
        <v/>
      </c>
      <c r="BY394">
        <f>IFERROR(INDEX(PP_Grid[#Data],$DD394,75),0)</f>
        <v/>
      </c>
      <c r="BZ394">
        <f>IFERROR(INDEX(PP_Grid[#Data],$DD394,76),0)</f>
        <v/>
      </c>
      <c r="CA394">
        <f>IFERROR(INDEX(PP_Grid[#Data],$DD394,77),0)</f>
        <v/>
      </c>
      <c r="CB394">
        <f>IFERROR(INDEX(PP_Grid[#Data],$DD394,78),0)</f>
        <v/>
      </c>
      <c r="CC394">
        <f>IFERROR(INDEX(PP_Grid[#Data],$DD394,79),0)</f>
        <v/>
      </c>
      <c r="CD394">
        <f>IFERROR(INDEX(PP_Grid[#Data],$DD394,80),0)</f>
        <v/>
      </c>
      <c r="CE394">
        <f>IFERROR(INDEX(PP_Grid[#Data],$DD394,81),0)</f>
        <v/>
      </c>
      <c r="CF394">
        <f>IFERROR(INDEX(PP_Grid[#Data],$DD394,82),0)</f>
        <v/>
      </c>
      <c r="CG394">
        <f>IFERROR(INDEX(PP_Grid[#Data],$DD394,83),0)</f>
        <v/>
      </c>
      <c r="CH394">
        <f>IFERROR(INDEX(PP_Grid[#Data],$DD394,84),0)</f>
        <v/>
      </c>
      <c r="CI394">
        <f>IFERROR(INDEX(PP_Grid[#Data],$DD394,85),0)</f>
        <v/>
      </c>
      <c r="CJ394">
        <f>IFERROR(INDEX(PP_Grid[#Data],$DD394,86),0)</f>
        <v/>
      </c>
      <c r="CK394">
        <f>IFERROR(INDEX(PP_Grid[#Data],$DD394,87),0)</f>
        <v/>
      </c>
      <c r="CL394">
        <f>IFERROR(INDEX(PP_Grid[#Data],$DD394,88),0)</f>
        <v/>
      </c>
      <c r="CM394">
        <f>IFERROR(INDEX(PP_Grid[#Data],$DD394,89),0)</f>
        <v/>
      </c>
      <c r="CN394">
        <f>IFERROR(INDEX(PP_Grid[#Data],$DD394,90),0)</f>
        <v/>
      </c>
      <c r="CO394">
        <f>IFERROR(INDEX(PP_Grid[#Data],$DD394,91),0)</f>
        <v/>
      </c>
      <c r="CP394">
        <f>IFERROR(INDEX(PP_Grid[#Data],$DD394,92),0)</f>
        <v/>
      </c>
      <c r="CQ394">
        <f>IFERROR(INDEX(PP_Grid[#Data],$DD394,93),0)</f>
        <v/>
      </c>
      <c r="CR394">
        <f>IFERROR(INDEX(PP_Grid[#Data],$DD394,94),0)</f>
        <v/>
      </c>
      <c r="CS394">
        <f>IFERROR(INDEX(PP_Grid[#Data],$DD394,95),0)</f>
        <v/>
      </c>
      <c r="CT394">
        <f>IFERROR(INDEX(PP_Grid[#Data],$DD394,96),0)</f>
        <v/>
      </c>
      <c r="CU394">
        <f>IFERROR(INDEX(PP_Grid[#Data],$DD394,97),0)</f>
        <v/>
      </c>
      <c r="CV394">
        <f>IFERROR(INDEX(PP_Grid[#Data],$DD394,98),0)</f>
        <v/>
      </c>
      <c r="CW394">
        <f>IFERROR(INDEX(PP_Grid[#Data],$DD394,99),0)</f>
        <v/>
      </c>
      <c r="CX394">
        <f>IFERROR(INDEX(PP_Grid[#Data],$DD394,100),0)</f>
        <v/>
      </c>
      <c r="CY394">
        <f>IFERROR(INDEX(PP_Grid[#Data],$DD394,101),0)</f>
        <v/>
      </c>
      <c r="CZ394">
        <f>IFERROR(INDEX(PP_Grid[#Data],$DD394,102),0)</f>
        <v/>
      </c>
      <c r="DA394">
        <f>IFERROR(INDEX(PP_Grid[#Data],$DD394,103),0)</f>
        <v/>
      </c>
      <c r="DB394">
        <f>IFERROR(INDEX(PP_Grid[#Data],$DD394,104),0)</f>
        <v/>
      </c>
      <c r="DC394">
        <f>IFERROR(INDEX(PP_Grid[#Data],$DD394,105),0)</f>
        <v/>
      </c>
      <c r="DD394" s="7">
        <f>IFERROR(MATCH($B394,PP_Grid[Intermediate],0),99999)</f>
        <v/>
      </c>
    </row>
    <row r="395">
      <c r="B395" t="inlineStr">
        <is>
          <t>使用量(kg)</t>
        </is>
      </c>
      <c r="C395">
        <f>SUMIFS(M_BOM[RM_Qty_Per_Batch],M_BOM[Intermediate],$B394,M_BOM[Part Name],$A343)</f>
        <v/>
      </c>
      <c r="D395">
        <f>$C395*D394</f>
        <v/>
      </c>
      <c r="E395">
        <f>$C395*E394</f>
        <v/>
      </c>
      <c r="F395">
        <f>$C395*F394</f>
        <v/>
      </c>
      <c r="G395">
        <f>$C395*G394</f>
        <v/>
      </c>
      <c r="H395">
        <f>$C395*H394</f>
        <v/>
      </c>
      <c r="I395">
        <f>$C395*I394</f>
        <v/>
      </c>
      <c r="J395">
        <f>$C395*J394</f>
        <v/>
      </c>
      <c r="K395">
        <f>$C395*K394</f>
        <v/>
      </c>
      <c r="L395">
        <f>$C395*L394</f>
        <v/>
      </c>
      <c r="M395">
        <f>$C395*M394</f>
        <v/>
      </c>
      <c r="N395">
        <f>$C395*N394</f>
        <v/>
      </c>
      <c r="O395">
        <f>$C395*O394</f>
        <v/>
      </c>
      <c r="P395">
        <f>$C395*P394</f>
        <v/>
      </c>
      <c r="Q395">
        <f>$C395*Q394</f>
        <v/>
      </c>
      <c r="R395">
        <f>$C395*R394</f>
        <v/>
      </c>
      <c r="S395">
        <f>$C395*S394</f>
        <v/>
      </c>
      <c r="T395">
        <f>$C395*T394</f>
        <v/>
      </c>
      <c r="U395">
        <f>$C395*U394</f>
        <v/>
      </c>
      <c r="V395">
        <f>$C395*V394</f>
        <v/>
      </c>
      <c r="W395">
        <f>$C395*W394</f>
        <v/>
      </c>
      <c r="X395">
        <f>$C395*X394</f>
        <v/>
      </c>
      <c r="Y395">
        <f>$C395*Y394</f>
        <v/>
      </c>
      <c r="Z395">
        <f>$C395*Z394</f>
        <v/>
      </c>
      <c r="AA395">
        <f>$C395*AA394</f>
        <v/>
      </c>
      <c r="AB395">
        <f>$C395*AB394</f>
        <v/>
      </c>
      <c r="AC395">
        <f>$C395*AC394</f>
        <v/>
      </c>
      <c r="AD395">
        <f>$C395*AD394</f>
        <v/>
      </c>
      <c r="AE395">
        <f>$C395*AE394</f>
        <v/>
      </c>
      <c r="AF395">
        <f>$C395*AF394</f>
        <v/>
      </c>
      <c r="AG395">
        <f>$C395*AG394</f>
        <v/>
      </c>
      <c r="AH395">
        <f>$C395*AH394</f>
        <v/>
      </c>
      <c r="AI395">
        <f>$C395*AI394</f>
        <v/>
      </c>
      <c r="AJ395">
        <f>$C395*AJ394</f>
        <v/>
      </c>
      <c r="AK395">
        <f>$C395*AK394</f>
        <v/>
      </c>
      <c r="AL395">
        <f>$C395*AL394</f>
        <v/>
      </c>
      <c r="AM395">
        <f>$C395*AM394</f>
        <v/>
      </c>
      <c r="AN395">
        <f>$C395*AN394</f>
        <v/>
      </c>
      <c r="AO395">
        <f>$C395*AO394</f>
        <v/>
      </c>
      <c r="AP395">
        <f>$C395*AP394</f>
        <v/>
      </c>
      <c r="AQ395">
        <f>$C395*AQ394</f>
        <v/>
      </c>
      <c r="AR395">
        <f>$C395*AR394</f>
        <v/>
      </c>
      <c r="AS395">
        <f>$C395*AS394</f>
        <v/>
      </c>
      <c r="AT395">
        <f>$C395*AT394</f>
        <v/>
      </c>
      <c r="AU395">
        <f>$C395*AU394</f>
        <v/>
      </c>
      <c r="AV395">
        <f>$C395*AV394</f>
        <v/>
      </c>
      <c r="AW395">
        <f>$C395*AW394</f>
        <v/>
      </c>
      <c r="AX395">
        <f>$C395*AX394</f>
        <v/>
      </c>
      <c r="AY395">
        <f>$C395*AY394</f>
        <v/>
      </c>
      <c r="AZ395">
        <f>$C395*AZ394</f>
        <v/>
      </c>
      <c r="BA395">
        <f>$C395*BA394</f>
        <v/>
      </c>
      <c r="BB395">
        <f>$C395*BB394</f>
        <v/>
      </c>
      <c r="BC395">
        <f>$C395*BC394</f>
        <v/>
      </c>
      <c r="BD395">
        <f>$C395*BD394</f>
        <v/>
      </c>
      <c r="BE395">
        <f>$C395*BE394</f>
        <v/>
      </c>
      <c r="BF395">
        <f>$C395*BF394</f>
        <v/>
      </c>
      <c r="BG395">
        <f>$C395*BG394</f>
        <v/>
      </c>
      <c r="BH395">
        <f>$C395*BH394</f>
        <v/>
      </c>
      <c r="BI395">
        <f>$C395*BI394</f>
        <v/>
      </c>
      <c r="BJ395">
        <f>$C395*BJ394</f>
        <v/>
      </c>
      <c r="BK395">
        <f>$C395*BK394</f>
        <v/>
      </c>
      <c r="BL395">
        <f>$C395*BL394</f>
        <v/>
      </c>
      <c r="BM395">
        <f>$C395*BM394</f>
        <v/>
      </c>
      <c r="BN395">
        <f>$C395*BN394</f>
        <v/>
      </c>
      <c r="BO395">
        <f>$C395*BO394</f>
        <v/>
      </c>
      <c r="BP395">
        <f>$C395*BP394</f>
        <v/>
      </c>
      <c r="BQ395">
        <f>$C395*BQ394</f>
        <v/>
      </c>
      <c r="BR395">
        <f>$C395*BR394</f>
        <v/>
      </c>
      <c r="BS395">
        <f>$C395*BS394</f>
        <v/>
      </c>
      <c r="BT395">
        <f>$C395*BT394</f>
        <v/>
      </c>
      <c r="BU395">
        <f>$C395*BU394</f>
        <v/>
      </c>
      <c r="BV395">
        <f>$C395*BV394</f>
        <v/>
      </c>
      <c r="BW395">
        <f>$C395*BW394</f>
        <v/>
      </c>
      <c r="BX395">
        <f>$C395*BX394</f>
        <v/>
      </c>
      <c r="BY395">
        <f>$C395*BY394</f>
        <v/>
      </c>
      <c r="BZ395">
        <f>$C395*BZ394</f>
        <v/>
      </c>
      <c r="CA395">
        <f>$C395*CA394</f>
        <v/>
      </c>
      <c r="CB395">
        <f>$C395*CB394</f>
        <v/>
      </c>
      <c r="CC395">
        <f>$C395*CC394</f>
        <v/>
      </c>
      <c r="CD395">
        <f>$C395*CD394</f>
        <v/>
      </c>
      <c r="CE395">
        <f>$C395*CE394</f>
        <v/>
      </c>
      <c r="CF395">
        <f>$C395*CF394</f>
        <v/>
      </c>
      <c r="CG395">
        <f>$C395*CG394</f>
        <v/>
      </c>
      <c r="CH395">
        <f>$C395*CH394</f>
        <v/>
      </c>
      <c r="CI395">
        <f>$C395*CI394</f>
        <v/>
      </c>
      <c r="CJ395">
        <f>$C395*CJ394</f>
        <v/>
      </c>
      <c r="CK395">
        <f>$C395*CK394</f>
        <v/>
      </c>
      <c r="CL395">
        <f>$C395*CL394</f>
        <v/>
      </c>
      <c r="CM395">
        <f>$C395*CM394</f>
        <v/>
      </c>
      <c r="CN395">
        <f>$C395*CN394</f>
        <v/>
      </c>
      <c r="CO395">
        <f>$C395*CO394</f>
        <v/>
      </c>
      <c r="CP395">
        <f>$C395*CP394</f>
        <v/>
      </c>
      <c r="CQ395">
        <f>$C395*CQ394</f>
        <v/>
      </c>
      <c r="CR395">
        <f>$C395*CR394</f>
        <v/>
      </c>
      <c r="CS395">
        <f>$C395*CS394</f>
        <v/>
      </c>
      <c r="CT395">
        <f>$C395*CT394</f>
        <v/>
      </c>
      <c r="CU395">
        <f>$C395*CU394</f>
        <v/>
      </c>
      <c r="CV395">
        <f>$C395*CV394</f>
        <v/>
      </c>
      <c r="CW395">
        <f>$C395*CW394</f>
        <v/>
      </c>
      <c r="CX395">
        <f>$C395*CX394</f>
        <v/>
      </c>
      <c r="CY395">
        <f>$C395*CY394</f>
        <v/>
      </c>
      <c r="CZ395">
        <f>$C395*CZ394</f>
        <v/>
      </c>
      <c r="DA395">
        <f>$C395*DA394</f>
        <v/>
      </c>
      <c r="DB395">
        <f>$C395*DB394</f>
        <v/>
      </c>
      <c r="DC395">
        <f>$C395*DC394</f>
        <v/>
      </c>
    </row>
    <row r="396">
      <c r="B396" t="inlineStr">
        <is>
          <t>TSP-959</t>
        </is>
      </c>
      <c r="C396" t="inlineStr">
        <is>
          <t>No. of batches</t>
        </is>
      </c>
      <c r="D396">
        <f>IFERROR(INDEX(PP_Grid[#Data],$DD396,2),0)</f>
        <v/>
      </c>
      <c r="E396">
        <f>IFERROR(INDEX(PP_Grid[#Data],$DD396,3),0)</f>
        <v/>
      </c>
      <c r="F396">
        <f>IFERROR(INDEX(PP_Grid[#Data],$DD396,4),0)</f>
        <v/>
      </c>
      <c r="G396">
        <f>IFERROR(INDEX(PP_Grid[#Data],$DD396,5),0)</f>
        <v/>
      </c>
      <c r="H396">
        <f>IFERROR(INDEX(PP_Grid[#Data],$DD396,6),0)</f>
        <v/>
      </c>
      <c r="I396">
        <f>IFERROR(INDEX(PP_Grid[#Data],$DD396,7),0)</f>
        <v/>
      </c>
      <c r="J396">
        <f>IFERROR(INDEX(PP_Grid[#Data],$DD396,8),0)</f>
        <v/>
      </c>
      <c r="K396">
        <f>IFERROR(INDEX(PP_Grid[#Data],$DD396,9),0)</f>
        <v/>
      </c>
      <c r="L396">
        <f>IFERROR(INDEX(PP_Grid[#Data],$DD396,10),0)</f>
        <v/>
      </c>
      <c r="M396">
        <f>IFERROR(INDEX(PP_Grid[#Data],$DD396,11),0)</f>
        <v/>
      </c>
      <c r="N396">
        <f>IFERROR(INDEX(PP_Grid[#Data],$DD396,12),0)</f>
        <v/>
      </c>
      <c r="O396">
        <f>IFERROR(INDEX(PP_Grid[#Data],$DD396,13),0)</f>
        <v/>
      </c>
      <c r="P396">
        <f>IFERROR(INDEX(PP_Grid[#Data],$DD396,14),0)</f>
        <v/>
      </c>
      <c r="Q396">
        <f>IFERROR(INDEX(PP_Grid[#Data],$DD396,15),0)</f>
        <v/>
      </c>
      <c r="R396">
        <f>IFERROR(INDEX(PP_Grid[#Data],$DD396,16),0)</f>
        <v/>
      </c>
      <c r="S396">
        <f>IFERROR(INDEX(PP_Grid[#Data],$DD396,17),0)</f>
        <v/>
      </c>
      <c r="T396">
        <f>IFERROR(INDEX(PP_Grid[#Data],$DD396,18),0)</f>
        <v/>
      </c>
      <c r="U396">
        <f>IFERROR(INDEX(PP_Grid[#Data],$DD396,19),0)</f>
        <v/>
      </c>
      <c r="V396">
        <f>IFERROR(INDEX(PP_Grid[#Data],$DD396,20),0)</f>
        <v/>
      </c>
      <c r="W396">
        <f>IFERROR(INDEX(PP_Grid[#Data],$DD396,21),0)</f>
        <v/>
      </c>
      <c r="X396">
        <f>IFERROR(INDEX(PP_Grid[#Data],$DD396,22),0)</f>
        <v/>
      </c>
      <c r="Y396">
        <f>IFERROR(INDEX(PP_Grid[#Data],$DD396,23),0)</f>
        <v/>
      </c>
      <c r="Z396">
        <f>IFERROR(INDEX(PP_Grid[#Data],$DD396,24),0)</f>
        <v/>
      </c>
      <c r="AA396">
        <f>IFERROR(INDEX(PP_Grid[#Data],$DD396,25),0)</f>
        <v/>
      </c>
      <c r="AB396">
        <f>IFERROR(INDEX(PP_Grid[#Data],$DD396,26),0)</f>
        <v/>
      </c>
      <c r="AC396">
        <f>IFERROR(INDEX(PP_Grid[#Data],$DD396,27),0)</f>
        <v/>
      </c>
      <c r="AD396">
        <f>IFERROR(INDEX(PP_Grid[#Data],$DD396,28),0)</f>
        <v/>
      </c>
      <c r="AE396">
        <f>IFERROR(INDEX(PP_Grid[#Data],$DD396,29),0)</f>
        <v/>
      </c>
      <c r="AF396">
        <f>IFERROR(INDEX(PP_Grid[#Data],$DD396,30),0)</f>
        <v/>
      </c>
      <c r="AG396">
        <f>IFERROR(INDEX(PP_Grid[#Data],$DD396,31),0)</f>
        <v/>
      </c>
      <c r="AH396">
        <f>IFERROR(INDEX(PP_Grid[#Data],$DD396,32),0)</f>
        <v/>
      </c>
      <c r="AI396">
        <f>IFERROR(INDEX(PP_Grid[#Data],$DD396,33),0)</f>
        <v/>
      </c>
      <c r="AJ396">
        <f>IFERROR(INDEX(PP_Grid[#Data],$DD396,34),0)</f>
        <v/>
      </c>
      <c r="AK396">
        <f>IFERROR(INDEX(PP_Grid[#Data],$DD396,35),0)</f>
        <v/>
      </c>
      <c r="AL396">
        <f>IFERROR(INDEX(PP_Grid[#Data],$DD396,36),0)</f>
        <v/>
      </c>
      <c r="AM396">
        <f>IFERROR(INDEX(PP_Grid[#Data],$DD396,37),0)</f>
        <v/>
      </c>
      <c r="AN396">
        <f>IFERROR(INDEX(PP_Grid[#Data],$DD396,38),0)</f>
        <v/>
      </c>
      <c r="AO396">
        <f>IFERROR(INDEX(PP_Grid[#Data],$DD396,39),0)</f>
        <v/>
      </c>
      <c r="AP396">
        <f>IFERROR(INDEX(PP_Grid[#Data],$DD396,40),0)</f>
        <v/>
      </c>
      <c r="AQ396">
        <f>IFERROR(INDEX(PP_Grid[#Data],$DD396,41),0)</f>
        <v/>
      </c>
      <c r="AR396">
        <f>IFERROR(INDEX(PP_Grid[#Data],$DD396,42),0)</f>
        <v/>
      </c>
      <c r="AS396">
        <f>IFERROR(INDEX(PP_Grid[#Data],$DD396,43),0)</f>
        <v/>
      </c>
      <c r="AT396">
        <f>IFERROR(INDEX(PP_Grid[#Data],$DD396,44),0)</f>
        <v/>
      </c>
      <c r="AU396">
        <f>IFERROR(INDEX(PP_Grid[#Data],$DD396,45),0)</f>
        <v/>
      </c>
      <c r="AV396">
        <f>IFERROR(INDEX(PP_Grid[#Data],$DD396,46),0)</f>
        <v/>
      </c>
      <c r="AW396">
        <f>IFERROR(INDEX(PP_Grid[#Data],$DD396,47),0)</f>
        <v/>
      </c>
      <c r="AX396">
        <f>IFERROR(INDEX(PP_Grid[#Data],$DD396,48),0)</f>
        <v/>
      </c>
      <c r="AY396">
        <f>IFERROR(INDEX(PP_Grid[#Data],$DD396,49),0)</f>
        <v/>
      </c>
      <c r="AZ396">
        <f>IFERROR(INDEX(PP_Grid[#Data],$DD396,50),0)</f>
        <v/>
      </c>
      <c r="BA396">
        <f>IFERROR(INDEX(PP_Grid[#Data],$DD396,51),0)</f>
        <v/>
      </c>
      <c r="BB396">
        <f>IFERROR(INDEX(PP_Grid[#Data],$DD396,52),0)</f>
        <v/>
      </c>
      <c r="BC396">
        <f>IFERROR(INDEX(PP_Grid[#Data],$DD396,53),0)</f>
        <v/>
      </c>
      <c r="BD396">
        <f>IFERROR(INDEX(PP_Grid[#Data],$DD396,54),0)</f>
        <v/>
      </c>
      <c r="BE396">
        <f>IFERROR(INDEX(PP_Grid[#Data],$DD396,55),0)</f>
        <v/>
      </c>
      <c r="BF396">
        <f>IFERROR(INDEX(PP_Grid[#Data],$DD396,56),0)</f>
        <v/>
      </c>
      <c r="BG396">
        <f>IFERROR(INDEX(PP_Grid[#Data],$DD396,57),0)</f>
        <v/>
      </c>
      <c r="BH396">
        <f>IFERROR(INDEX(PP_Grid[#Data],$DD396,58),0)</f>
        <v/>
      </c>
      <c r="BI396">
        <f>IFERROR(INDEX(PP_Grid[#Data],$DD396,59),0)</f>
        <v/>
      </c>
      <c r="BJ396">
        <f>IFERROR(INDEX(PP_Grid[#Data],$DD396,60),0)</f>
        <v/>
      </c>
      <c r="BK396">
        <f>IFERROR(INDEX(PP_Grid[#Data],$DD396,61),0)</f>
        <v/>
      </c>
      <c r="BL396">
        <f>IFERROR(INDEX(PP_Grid[#Data],$DD396,62),0)</f>
        <v/>
      </c>
      <c r="BM396">
        <f>IFERROR(INDEX(PP_Grid[#Data],$DD396,63),0)</f>
        <v/>
      </c>
      <c r="BN396">
        <f>IFERROR(INDEX(PP_Grid[#Data],$DD396,64),0)</f>
        <v/>
      </c>
      <c r="BO396">
        <f>IFERROR(INDEX(PP_Grid[#Data],$DD396,65),0)</f>
        <v/>
      </c>
      <c r="BP396">
        <f>IFERROR(INDEX(PP_Grid[#Data],$DD396,66),0)</f>
        <v/>
      </c>
      <c r="BQ396">
        <f>IFERROR(INDEX(PP_Grid[#Data],$DD396,67),0)</f>
        <v/>
      </c>
      <c r="BR396">
        <f>IFERROR(INDEX(PP_Grid[#Data],$DD396,68),0)</f>
        <v/>
      </c>
      <c r="BS396">
        <f>IFERROR(INDEX(PP_Grid[#Data],$DD396,69),0)</f>
        <v/>
      </c>
      <c r="BT396">
        <f>IFERROR(INDEX(PP_Grid[#Data],$DD396,70),0)</f>
        <v/>
      </c>
      <c r="BU396">
        <f>IFERROR(INDEX(PP_Grid[#Data],$DD396,71),0)</f>
        <v/>
      </c>
      <c r="BV396">
        <f>IFERROR(INDEX(PP_Grid[#Data],$DD396,72),0)</f>
        <v/>
      </c>
      <c r="BW396">
        <f>IFERROR(INDEX(PP_Grid[#Data],$DD396,73),0)</f>
        <v/>
      </c>
      <c r="BX396">
        <f>IFERROR(INDEX(PP_Grid[#Data],$DD396,74),0)</f>
        <v/>
      </c>
      <c r="BY396">
        <f>IFERROR(INDEX(PP_Grid[#Data],$DD396,75),0)</f>
        <v/>
      </c>
      <c r="BZ396">
        <f>IFERROR(INDEX(PP_Grid[#Data],$DD396,76),0)</f>
        <v/>
      </c>
      <c r="CA396">
        <f>IFERROR(INDEX(PP_Grid[#Data],$DD396,77),0)</f>
        <v/>
      </c>
      <c r="CB396">
        <f>IFERROR(INDEX(PP_Grid[#Data],$DD396,78),0)</f>
        <v/>
      </c>
      <c r="CC396">
        <f>IFERROR(INDEX(PP_Grid[#Data],$DD396,79),0)</f>
        <v/>
      </c>
      <c r="CD396">
        <f>IFERROR(INDEX(PP_Grid[#Data],$DD396,80),0)</f>
        <v/>
      </c>
      <c r="CE396">
        <f>IFERROR(INDEX(PP_Grid[#Data],$DD396,81),0)</f>
        <v/>
      </c>
      <c r="CF396">
        <f>IFERROR(INDEX(PP_Grid[#Data],$DD396,82),0)</f>
        <v/>
      </c>
      <c r="CG396">
        <f>IFERROR(INDEX(PP_Grid[#Data],$DD396,83),0)</f>
        <v/>
      </c>
      <c r="CH396">
        <f>IFERROR(INDEX(PP_Grid[#Data],$DD396,84),0)</f>
        <v/>
      </c>
      <c r="CI396">
        <f>IFERROR(INDEX(PP_Grid[#Data],$DD396,85),0)</f>
        <v/>
      </c>
      <c r="CJ396">
        <f>IFERROR(INDEX(PP_Grid[#Data],$DD396,86),0)</f>
        <v/>
      </c>
      <c r="CK396">
        <f>IFERROR(INDEX(PP_Grid[#Data],$DD396,87),0)</f>
        <v/>
      </c>
      <c r="CL396">
        <f>IFERROR(INDEX(PP_Grid[#Data],$DD396,88),0)</f>
        <v/>
      </c>
      <c r="CM396">
        <f>IFERROR(INDEX(PP_Grid[#Data],$DD396,89),0)</f>
        <v/>
      </c>
      <c r="CN396">
        <f>IFERROR(INDEX(PP_Grid[#Data],$DD396,90),0)</f>
        <v/>
      </c>
      <c r="CO396">
        <f>IFERROR(INDEX(PP_Grid[#Data],$DD396,91),0)</f>
        <v/>
      </c>
      <c r="CP396">
        <f>IFERROR(INDEX(PP_Grid[#Data],$DD396,92),0)</f>
        <v/>
      </c>
      <c r="CQ396">
        <f>IFERROR(INDEX(PP_Grid[#Data],$DD396,93),0)</f>
        <v/>
      </c>
      <c r="CR396">
        <f>IFERROR(INDEX(PP_Grid[#Data],$DD396,94),0)</f>
        <v/>
      </c>
      <c r="CS396">
        <f>IFERROR(INDEX(PP_Grid[#Data],$DD396,95),0)</f>
        <v/>
      </c>
      <c r="CT396">
        <f>IFERROR(INDEX(PP_Grid[#Data],$DD396,96),0)</f>
        <v/>
      </c>
      <c r="CU396">
        <f>IFERROR(INDEX(PP_Grid[#Data],$DD396,97),0)</f>
        <v/>
      </c>
      <c r="CV396">
        <f>IFERROR(INDEX(PP_Grid[#Data],$DD396,98),0)</f>
        <v/>
      </c>
      <c r="CW396">
        <f>IFERROR(INDEX(PP_Grid[#Data],$DD396,99),0)</f>
        <v/>
      </c>
      <c r="CX396">
        <f>IFERROR(INDEX(PP_Grid[#Data],$DD396,100),0)</f>
        <v/>
      </c>
      <c r="CY396">
        <f>IFERROR(INDEX(PP_Grid[#Data],$DD396,101),0)</f>
        <v/>
      </c>
      <c r="CZ396">
        <f>IFERROR(INDEX(PP_Grid[#Data],$DD396,102),0)</f>
        <v/>
      </c>
      <c r="DA396">
        <f>IFERROR(INDEX(PP_Grid[#Data],$DD396,103),0)</f>
        <v/>
      </c>
      <c r="DB396">
        <f>IFERROR(INDEX(PP_Grid[#Data],$DD396,104),0)</f>
        <v/>
      </c>
      <c r="DC396">
        <f>IFERROR(INDEX(PP_Grid[#Data],$DD396,105),0)</f>
        <v/>
      </c>
      <c r="DD396" s="7">
        <f>IFERROR(MATCH($B396,PP_Grid[Intermediate],0),99999)</f>
        <v/>
      </c>
    </row>
    <row r="397">
      <c r="B397" t="inlineStr">
        <is>
          <t>使用量(kg)</t>
        </is>
      </c>
      <c r="C397">
        <f>SUMIFS(M_BOM[RM_Qty_Per_Batch],M_BOM[Intermediate],$B396,M_BOM[Part Name],$A343)</f>
        <v/>
      </c>
      <c r="D397">
        <f>$C397*D396</f>
        <v/>
      </c>
      <c r="E397">
        <f>$C397*E396</f>
        <v/>
      </c>
      <c r="F397">
        <f>$C397*F396</f>
        <v/>
      </c>
      <c r="G397">
        <f>$C397*G396</f>
        <v/>
      </c>
      <c r="H397">
        <f>$C397*H396</f>
        <v/>
      </c>
      <c r="I397">
        <f>$C397*I396</f>
        <v/>
      </c>
      <c r="J397">
        <f>$C397*J396</f>
        <v/>
      </c>
      <c r="K397">
        <f>$C397*K396</f>
        <v/>
      </c>
      <c r="L397">
        <f>$C397*L396</f>
        <v/>
      </c>
      <c r="M397">
        <f>$C397*M396</f>
        <v/>
      </c>
      <c r="N397">
        <f>$C397*N396</f>
        <v/>
      </c>
      <c r="O397">
        <f>$C397*O396</f>
        <v/>
      </c>
      <c r="P397">
        <f>$C397*P396</f>
        <v/>
      </c>
      <c r="Q397">
        <f>$C397*Q396</f>
        <v/>
      </c>
      <c r="R397">
        <f>$C397*R396</f>
        <v/>
      </c>
      <c r="S397">
        <f>$C397*S396</f>
        <v/>
      </c>
      <c r="T397">
        <f>$C397*T396</f>
        <v/>
      </c>
      <c r="U397">
        <f>$C397*U396</f>
        <v/>
      </c>
      <c r="V397">
        <f>$C397*V396</f>
        <v/>
      </c>
      <c r="W397">
        <f>$C397*W396</f>
        <v/>
      </c>
      <c r="X397">
        <f>$C397*X396</f>
        <v/>
      </c>
      <c r="Y397">
        <f>$C397*Y396</f>
        <v/>
      </c>
      <c r="Z397">
        <f>$C397*Z396</f>
        <v/>
      </c>
      <c r="AA397">
        <f>$C397*AA396</f>
        <v/>
      </c>
      <c r="AB397">
        <f>$C397*AB396</f>
        <v/>
      </c>
      <c r="AC397">
        <f>$C397*AC396</f>
        <v/>
      </c>
      <c r="AD397">
        <f>$C397*AD396</f>
        <v/>
      </c>
      <c r="AE397">
        <f>$C397*AE396</f>
        <v/>
      </c>
      <c r="AF397">
        <f>$C397*AF396</f>
        <v/>
      </c>
      <c r="AG397">
        <f>$C397*AG396</f>
        <v/>
      </c>
      <c r="AH397">
        <f>$C397*AH396</f>
        <v/>
      </c>
      <c r="AI397">
        <f>$C397*AI396</f>
        <v/>
      </c>
      <c r="AJ397">
        <f>$C397*AJ396</f>
        <v/>
      </c>
      <c r="AK397">
        <f>$C397*AK396</f>
        <v/>
      </c>
      <c r="AL397">
        <f>$C397*AL396</f>
        <v/>
      </c>
      <c r="AM397">
        <f>$C397*AM396</f>
        <v/>
      </c>
      <c r="AN397">
        <f>$C397*AN396</f>
        <v/>
      </c>
      <c r="AO397">
        <f>$C397*AO396</f>
        <v/>
      </c>
      <c r="AP397">
        <f>$C397*AP396</f>
        <v/>
      </c>
      <c r="AQ397">
        <f>$C397*AQ396</f>
        <v/>
      </c>
      <c r="AR397">
        <f>$C397*AR396</f>
        <v/>
      </c>
      <c r="AS397">
        <f>$C397*AS396</f>
        <v/>
      </c>
      <c r="AT397">
        <f>$C397*AT396</f>
        <v/>
      </c>
      <c r="AU397">
        <f>$C397*AU396</f>
        <v/>
      </c>
      <c r="AV397">
        <f>$C397*AV396</f>
        <v/>
      </c>
      <c r="AW397">
        <f>$C397*AW396</f>
        <v/>
      </c>
      <c r="AX397">
        <f>$C397*AX396</f>
        <v/>
      </c>
      <c r="AY397">
        <f>$C397*AY396</f>
        <v/>
      </c>
      <c r="AZ397">
        <f>$C397*AZ396</f>
        <v/>
      </c>
      <c r="BA397">
        <f>$C397*BA396</f>
        <v/>
      </c>
      <c r="BB397">
        <f>$C397*BB396</f>
        <v/>
      </c>
      <c r="BC397">
        <f>$C397*BC396</f>
        <v/>
      </c>
      <c r="BD397">
        <f>$C397*BD396</f>
        <v/>
      </c>
      <c r="BE397">
        <f>$C397*BE396</f>
        <v/>
      </c>
      <c r="BF397">
        <f>$C397*BF396</f>
        <v/>
      </c>
      <c r="BG397">
        <f>$C397*BG396</f>
        <v/>
      </c>
      <c r="BH397">
        <f>$C397*BH396</f>
        <v/>
      </c>
      <c r="BI397">
        <f>$C397*BI396</f>
        <v/>
      </c>
      <c r="BJ397">
        <f>$C397*BJ396</f>
        <v/>
      </c>
      <c r="BK397">
        <f>$C397*BK396</f>
        <v/>
      </c>
      <c r="BL397">
        <f>$C397*BL396</f>
        <v/>
      </c>
      <c r="BM397">
        <f>$C397*BM396</f>
        <v/>
      </c>
      <c r="BN397">
        <f>$C397*BN396</f>
        <v/>
      </c>
      <c r="BO397">
        <f>$C397*BO396</f>
        <v/>
      </c>
      <c r="BP397">
        <f>$C397*BP396</f>
        <v/>
      </c>
      <c r="BQ397">
        <f>$C397*BQ396</f>
        <v/>
      </c>
      <c r="BR397">
        <f>$C397*BR396</f>
        <v/>
      </c>
      <c r="BS397">
        <f>$C397*BS396</f>
        <v/>
      </c>
      <c r="BT397">
        <f>$C397*BT396</f>
        <v/>
      </c>
      <c r="BU397">
        <f>$C397*BU396</f>
        <v/>
      </c>
      <c r="BV397">
        <f>$C397*BV396</f>
        <v/>
      </c>
      <c r="BW397">
        <f>$C397*BW396</f>
        <v/>
      </c>
      <c r="BX397">
        <f>$C397*BX396</f>
        <v/>
      </c>
      <c r="BY397">
        <f>$C397*BY396</f>
        <v/>
      </c>
      <c r="BZ397">
        <f>$C397*BZ396</f>
        <v/>
      </c>
      <c r="CA397">
        <f>$C397*CA396</f>
        <v/>
      </c>
      <c r="CB397">
        <f>$C397*CB396</f>
        <v/>
      </c>
      <c r="CC397">
        <f>$C397*CC396</f>
        <v/>
      </c>
      <c r="CD397">
        <f>$C397*CD396</f>
        <v/>
      </c>
      <c r="CE397">
        <f>$C397*CE396</f>
        <v/>
      </c>
      <c r="CF397">
        <f>$C397*CF396</f>
        <v/>
      </c>
      <c r="CG397">
        <f>$C397*CG396</f>
        <v/>
      </c>
      <c r="CH397">
        <f>$C397*CH396</f>
        <v/>
      </c>
      <c r="CI397">
        <f>$C397*CI396</f>
        <v/>
      </c>
      <c r="CJ397">
        <f>$C397*CJ396</f>
        <v/>
      </c>
      <c r="CK397">
        <f>$C397*CK396</f>
        <v/>
      </c>
      <c r="CL397">
        <f>$C397*CL396</f>
        <v/>
      </c>
      <c r="CM397">
        <f>$C397*CM396</f>
        <v/>
      </c>
      <c r="CN397">
        <f>$C397*CN396</f>
        <v/>
      </c>
      <c r="CO397">
        <f>$C397*CO396</f>
        <v/>
      </c>
      <c r="CP397">
        <f>$C397*CP396</f>
        <v/>
      </c>
      <c r="CQ397">
        <f>$C397*CQ396</f>
        <v/>
      </c>
      <c r="CR397">
        <f>$C397*CR396</f>
        <v/>
      </c>
      <c r="CS397">
        <f>$C397*CS396</f>
        <v/>
      </c>
      <c r="CT397">
        <f>$C397*CT396</f>
        <v/>
      </c>
      <c r="CU397">
        <f>$C397*CU396</f>
        <v/>
      </c>
      <c r="CV397">
        <f>$C397*CV396</f>
        <v/>
      </c>
      <c r="CW397">
        <f>$C397*CW396</f>
        <v/>
      </c>
      <c r="CX397">
        <f>$C397*CX396</f>
        <v/>
      </c>
      <c r="CY397">
        <f>$C397*CY396</f>
        <v/>
      </c>
      <c r="CZ397">
        <f>$C397*CZ396</f>
        <v/>
      </c>
      <c r="DA397">
        <f>$C397*DA396</f>
        <v/>
      </c>
      <c r="DB397">
        <f>$C397*DB396</f>
        <v/>
      </c>
      <c r="DC397">
        <f>$C397*DC396</f>
        <v/>
      </c>
    </row>
    <row r="398">
      <c r="B398" t="inlineStr">
        <is>
          <t>TSP-966</t>
        </is>
      </c>
      <c r="C398" t="inlineStr">
        <is>
          <t>No. of batches</t>
        </is>
      </c>
      <c r="D398">
        <f>IFERROR(INDEX(PP_Grid[#Data],$DD398,2),0)</f>
        <v/>
      </c>
      <c r="E398">
        <f>IFERROR(INDEX(PP_Grid[#Data],$DD398,3),0)</f>
        <v/>
      </c>
      <c r="F398">
        <f>IFERROR(INDEX(PP_Grid[#Data],$DD398,4),0)</f>
        <v/>
      </c>
      <c r="G398">
        <f>IFERROR(INDEX(PP_Grid[#Data],$DD398,5),0)</f>
        <v/>
      </c>
      <c r="H398">
        <f>IFERROR(INDEX(PP_Grid[#Data],$DD398,6),0)</f>
        <v/>
      </c>
      <c r="I398">
        <f>IFERROR(INDEX(PP_Grid[#Data],$DD398,7),0)</f>
        <v/>
      </c>
      <c r="J398">
        <f>IFERROR(INDEX(PP_Grid[#Data],$DD398,8),0)</f>
        <v/>
      </c>
      <c r="K398">
        <f>IFERROR(INDEX(PP_Grid[#Data],$DD398,9),0)</f>
        <v/>
      </c>
      <c r="L398">
        <f>IFERROR(INDEX(PP_Grid[#Data],$DD398,10),0)</f>
        <v/>
      </c>
      <c r="M398">
        <f>IFERROR(INDEX(PP_Grid[#Data],$DD398,11),0)</f>
        <v/>
      </c>
      <c r="N398">
        <f>IFERROR(INDEX(PP_Grid[#Data],$DD398,12),0)</f>
        <v/>
      </c>
      <c r="O398">
        <f>IFERROR(INDEX(PP_Grid[#Data],$DD398,13),0)</f>
        <v/>
      </c>
      <c r="P398">
        <f>IFERROR(INDEX(PP_Grid[#Data],$DD398,14),0)</f>
        <v/>
      </c>
      <c r="Q398">
        <f>IFERROR(INDEX(PP_Grid[#Data],$DD398,15),0)</f>
        <v/>
      </c>
      <c r="R398">
        <f>IFERROR(INDEX(PP_Grid[#Data],$DD398,16),0)</f>
        <v/>
      </c>
      <c r="S398">
        <f>IFERROR(INDEX(PP_Grid[#Data],$DD398,17),0)</f>
        <v/>
      </c>
      <c r="T398">
        <f>IFERROR(INDEX(PP_Grid[#Data],$DD398,18),0)</f>
        <v/>
      </c>
      <c r="U398">
        <f>IFERROR(INDEX(PP_Grid[#Data],$DD398,19),0)</f>
        <v/>
      </c>
      <c r="V398">
        <f>IFERROR(INDEX(PP_Grid[#Data],$DD398,20),0)</f>
        <v/>
      </c>
      <c r="W398">
        <f>IFERROR(INDEX(PP_Grid[#Data],$DD398,21),0)</f>
        <v/>
      </c>
      <c r="X398">
        <f>IFERROR(INDEX(PP_Grid[#Data],$DD398,22),0)</f>
        <v/>
      </c>
      <c r="Y398">
        <f>IFERROR(INDEX(PP_Grid[#Data],$DD398,23),0)</f>
        <v/>
      </c>
      <c r="Z398">
        <f>IFERROR(INDEX(PP_Grid[#Data],$DD398,24),0)</f>
        <v/>
      </c>
      <c r="AA398">
        <f>IFERROR(INDEX(PP_Grid[#Data],$DD398,25),0)</f>
        <v/>
      </c>
      <c r="AB398">
        <f>IFERROR(INDEX(PP_Grid[#Data],$DD398,26),0)</f>
        <v/>
      </c>
      <c r="AC398">
        <f>IFERROR(INDEX(PP_Grid[#Data],$DD398,27),0)</f>
        <v/>
      </c>
      <c r="AD398">
        <f>IFERROR(INDEX(PP_Grid[#Data],$DD398,28),0)</f>
        <v/>
      </c>
      <c r="AE398">
        <f>IFERROR(INDEX(PP_Grid[#Data],$DD398,29),0)</f>
        <v/>
      </c>
      <c r="AF398">
        <f>IFERROR(INDEX(PP_Grid[#Data],$DD398,30),0)</f>
        <v/>
      </c>
      <c r="AG398">
        <f>IFERROR(INDEX(PP_Grid[#Data],$DD398,31),0)</f>
        <v/>
      </c>
      <c r="AH398">
        <f>IFERROR(INDEX(PP_Grid[#Data],$DD398,32),0)</f>
        <v/>
      </c>
      <c r="AI398">
        <f>IFERROR(INDEX(PP_Grid[#Data],$DD398,33),0)</f>
        <v/>
      </c>
      <c r="AJ398">
        <f>IFERROR(INDEX(PP_Grid[#Data],$DD398,34),0)</f>
        <v/>
      </c>
      <c r="AK398">
        <f>IFERROR(INDEX(PP_Grid[#Data],$DD398,35),0)</f>
        <v/>
      </c>
      <c r="AL398">
        <f>IFERROR(INDEX(PP_Grid[#Data],$DD398,36),0)</f>
        <v/>
      </c>
      <c r="AM398">
        <f>IFERROR(INDEX(PP_Grid[#Data],$DD398,37),0)</f>
        <v/>
      </c>
      <c r="AN398">
        <f>IFERROR(INDEX(PP_Grid[#Data],$DD398,38),0)</f>
        <v/>
      </c>
      <c r="AO398">
        <f>IFERROR(INDEX(PP_Grid[#Data],$DD398,39),0)</f>
        <v/>
      </c>
      <c r="AP398">
        <f>IFERROR(INDEX(PP_Grid[#Data],$DD398,40),0)</f>
        <v/>
      </c>
      <c r="AQ398">
        <f>IFERROR(INDEX(PP_Grid[#Data],$DD398,41),0)</f>
        <v/>
      </c>
      <c r="AR398">
        <f>IFERROR(INDEX(PP_Grid[#Data],$DD398,42),0)</f>
        <v/>
      </c>
      <c r="AS398">
        <f>IFERROR(INDEX(PP_Grid[#Data],$DD398,43),0)</f>
        <v/>
      </c>
      <c r="AT398">
        <f>IFERROR(INDEX(PP_Grid[#Data],$DD398,44),0)</f>
        <v/>
      </c>
      <c r="AU398">
        <f>IFERROR(INDEX(PP_Grid[#Data],$DD398,45),0)</f>
        <v/>
      </c>
      <c r="AV398">
        <f>IFERROR(INDEX(PP_Grid[#Data],$DD398,46),0)</f>
        <v/>
      </c>
      <c r="AW398">
        <f>IFERROR(INDEX(PP_Grid[#Data],$DD398,47),0)</f>
        <v/>
      </c>
      <c r="AX398">
        <f>IFERROR(INDEX(PP_Grid[#Data],$DD398,48),0)</f>
        <v/>
      </c>
      <c r="AY398">
        <f>IFERROR(INDEX(PP_Grid[#Data],$DD398,49),0)</f>
        <v/>
      </c>
      <c r="AZ398">
        <f>IFERROR(INDEX(PP_Grid[#Data],$DD398,50),0)</f>
        <v/>
      </c>
      <c r="BA398">
        <f>IFERROR(INDEX(PP_Grid[#Data],$DD398,51),0)</f>
        <v/>
      </c>
      <c r="BB398">
        <f>IFERROR(INDEX(PP_Grid[#Data],$DD398,52),0)</f>
        <v/>
      </c>
      <c r="BC398">
        <f>IFERROR(INDEX(PP_Grid[#Data],$DD398,53),0)</f>
        <v/>
      </c>
      <c r="BD398">
        <f>IFERROR(INDEX(PP_Grid[#Data],$DD398,54),0)</f>
        <v/>
      </c>
      <c r="BE398">
        <f>IFERROR(INDEX(PP_Grid[#Data],$DD398,55),0)</f>
        <v/>
      </c>
      <c r="BF398">
        <f>IFERROR(INDEX(PP_Grid[#Data],$DD398,56),0)</f>
        <v/>
      </c>
      <c r="BG398">
        <f>IFERROR(INDEX(PP_Grid[#Data],$DD398,57),0)</f>
        <v/>
      </c>
      <c r="BH398">
        <f>IFERROR(INDEX(PP_Grid[#Data],$DD398,58),0)</f>
        <v/>
      </c>
      <c r="BI398">
        <f>IFERROR(INDEX(PP_Grid[#Data],$DD398,59),0)</f>
        <v/>
      </c>
      <c r="BJ398">
        <f>IFERROR(INDEX(PP_Grid[#Data],$DD398,60),0)</f>
        <v/>
      </c>
      <c r="BK398">
        <f>IFERROR(INDEX(PP_Grid[#Data],$DD398,61),0)</f>
        <v/>
      </c>
      <c r="BL398">
        <f>IFERROR(INDEX(PP_Grid[#Data],$DD398,62),0)</f>
        <v/>
      </c>
      <c r="BM398">
        <f>IFERROR(INDEX(PP_Grid[#Data],$DD398,63),0)</f>
        <v/>
      </c>
      <c r="BN398">
        <f>IFERROR(INDEX(PP_Grid[#Data],$DD398,64),0)</f>
        <v/>
      </c>
      <c r="BO398">
        <f>IFERROR(INDEX(PP_Grid[#Data],$DD398,65),0)</f>
        <v/>
      </c>
      <c r="BP398">
        <f>IFERROR(INDEX(PP_Grid[#Data],$DD398,66),0)</f>
        <v/>
      </c>
      <c r="BQ398">
        <f>IFERROR(INDEX(PP_Grid[#Data],$DD398,67),0)</f>
        <v/>
      </c>
      <c r="BR398">
        <f>IFERROR(INDEX(PP_Grid[#Data],$DD398,68),0)</f>
        <v/>
      </c>
      <c r="BS398">
        <f>IFERROR(INDEX(PP_Grid[#Data],$DD398,69),0)</f>
        <v/>
      </c>
      <c r="BT398">
        <f>IFERROR(INDEX(PP_Grid[#Data],$DD398,70),0)</f>
        <v/>
      </c>
      <c r="BU398">
        <f>IFERROR(INDEX(PP_Grid[#Data],$DD398,71),0)</f>
        <v/>
      </c>
      <c r="BV398">
        <f>IFERROR(INDEX(PP_Grid[#Data],$DD398,72),0)</f>
        <v/>
      </c>
      <c r="BW398">
        <f>IFERROR(INDEX(PP_Grid[#Data],$DD398,73),0)</f>
        <v/>
      </c>
      <c r="BX398">
        <f>IFERROR(INDEX(PP_Grid[#Data],$DD398,74),0)</f>
        <v/>
      </c>
      <c r="BY398">
        <f>IFERROR(INDEX(PP_Grid[#Data],$DD398,75),0)</f>
        <v/>
      </c>
      <c r="BZ398">
        <f>IFERROR(INDEX(PP_Grid[#Data],$DD398,76),0)</f>
        <v/>
      </c>
      <c r="CA398">
        <f>IFERROR(INDEX(PP_Grid[#Data],$DD398,77),0)</f>
        <v/>
      </c>
      <c r="CB398">
        <f>IFERROR(INDEX(PP_Grid[#Data],$DD398,78),0)</f>
        <v/>
      </c>
      <c r="CC398">
        <f>IFERROR(INDEX(PP_Grid[#Data],$DD398,79),0)</f>
        <v/>
      </c>
      <c r="CD398">
        <f>IFERROR(INDEX(PP_Grid[#Data],$DD398,80),0)</f>
        <v/>
      </c>
      <c r="CE398">
        <f>IFERROR(INDEX(PP_Grid[#Data],$DD398,81),0)</f>
        <v/>
      </c>
      <c r="CF398">
        <f>IFERROR(INDEX(PP_Grid[#Data],$DD398,82),0)</f>
        <v/>
      </c>
      <c r="CG398">
        <f>IFERROR(INDEX(PP_Grid[#Data],$DD398,83),0)</f>
        <v/>
      </c>
      <c r="CH398">
        <f>IFERROR(INDEX(PP_Grid[#Data],$DD398,84),0)</f>
        <v/>
      </c>
      <c r="CI398">
        <f>IFERROR(INDEX(PP_Grid[#Data],$DD398,85),0)</f>
        <v/>
      </c>
      <c r="CJ398">
        <f>IFERROR(INDEX(PP_Grid[#Data],$DD398,86),0)</f>
        <v/>
      </c>
      <c r="CK398">
        <f>IFERROR(INDEX(PP_Grid[#Data],$DD398,87),0)</f>
        <v/>
      </c>
      <c r="CL398">
        <f>IFERROR(INDEX(PP_Grid[#Data],$DD398,88),0)</f>
        <v/>
      </c>
      <c r="CM398">
        <f>IFERROR(INDEX(PP_Grid[#Data],$DD398,89),0)</f>
        <v/>
      </c>
      <c r="CN398">
        <f>IFERROR(INDEX(PP_Grid[#Data],$DD398,90),0)</f>
        <v/>
      </c>
      <c r="CO398">
        <f>IFERROR(INDEX(PP_Grid[#Data],$DD398,91),0)</f>
        <v/>
      </c>
      <c r="CP398">
        <f>IFERROR(INDEX(PP_Grid[#Data],$DD398,92),0)</f>
        <v/>
      </c>
      <c r="CQ398">
        <f>IFERROR(INDEX(PP_Grid[#Data],$DD398,93),0)</f>
        <v/>
      </c>
      <c r="CR398">
        <f>IFERROR(INDEX(PP_Grid[#Data],$DD398,94),0)</f>
        <v/>
      </c>
      <c r="CS398">
        <f>IFERROR(INDEX(PP_Grid[#Data],$DD398,95),0)</f>
        <v/>
      </c>
      <c r="CT398">
        <f>IFERROR(INDEX(PP_Grid[#Data],$DD398,96),0)</f>
        <v/>
      </c>
      <c r="CU398">
        <f>IFERROR(INDEX(PP_Grid[#Data],$DD398,97),0)</f>
        <v/>
      </c>
      <c r="CV398">
        <f>IFERROR(INDEX(PP_Grid[#Data],$DD398,98),0)</f>
        <v/>
      </c>
      <c r="CW398">
        <f>IFERROR(INDEX(PP_Grid[#Data],$DD398,99),0)</f>
        <v/>
      </c>
      <c r="CX398">
        <f>IFERROR(INDEX(PP_Grid[#Data],$DD398,100),0)</f>
        <v/>
      </c>
      <c r="CY398">
        <f>IFERROR(INDEX(PP_Grid[#Data],$DD398,101),0)</f>
        <v/>
      </c>
      <c r="CZ398">
        <f>IFERROR(INDEX(PP_Grid[#Data],$DD398,102),0)</f>
        <v/>
      </c>
      <c r="DA398">
        <f>IFERROR(INDEX(PP_Grid[#Data],$DD398,103),0)</f>
        <v/>
      </c>
      <c r="DB398">
        <f>IFERROR(INDEX(PP_Grid[#Data],$DD398,104),0)</f>
        <v/>
      </c>
      <c r="DC398">
        <f>IFERROR(INDEX(PP_Grid[#Data],$DD398,105),0)</f>
        <v/>
      </c>
      <c r="DD398" s="7">
        <f>IFERROR(MATCH($B398,PP_Grid[Intermediate],0),99999)</f>
        <v/>
      </c>
    </row>
    <row r="399">
      <c r="B399" t="inlineStr">
        <is>
          <t>使用量(kg)</t>
        </is>
      </c>
      <c r="C399">
        <f>SUMIFS(M_BOM[RM_Qty_Per_Batch],M_BOM[Intermediate],$B398,M_BOM[Part Name],$A343)</f>
        <v/>
      </c>
      <c r="D399">
        <f>$C399*D398</f>
        <v/>
      </c>
      <c r="E399">
        <f>$C399*E398</f>
        <v/>
      </c>
      <c r="F399">
        <f>$C399*F398</f>
        <v/>
      </c>
      <c r="G399">
        <f>$C399*G398</f>
        <v/>
      </c>
      <c r="H399">
        <f>$C399*H398</f>
        <v/>
      </c>
      <c r="I399">
        <f>$C399*I398</f>
        <v/>
      </c>
      <c r="J399">
        <f>$C399*J398</f>
        <v/>
      </c>
      <c r="K399">
        <f>$C399*K398</f>
        <v/>
      </c>
      <c r="L399">
        <f>$C399*L398</f>
        <v/>
      </c>
      <c r="M399">
        <f>$C399*M398</f>
        <v/>
      </c>
      <c r="N399">
        <f>$C399*N398</f>
        <v/>
      </c>
      <c r="O399">
        <f>$C399*O398</f>
        <v/>
      </c>
      <c r="P399">
        <f>$C399*P398</f>
        <v/>
      </c>
      <c r="Q399">
        <f>$C399*Q398</f>
        <v/>
      </c>
      <c r="R399">
        <f>$C399*R398</f>
        <v/>
      </c>
      <c r="S399">
        <f>$C399*S398</f>
        <v/>
      </c>
      <c r="T399">
        <f>$C399*T398</f>
        <v/>
      </c>
      <c r="U399">
        <f>$C399*U398</f>
        <v/>
      </c>
      <c r="V399">
        <f>$C399*V398</f>
        <v/>
      </c>
      <c r="W399">
        <f>$C399*W398</f>
        <v/>
      </c>
      <c r="X399">
        <f>$C399*X398</f>
        <v/>
      </c>
      <c r="Y399">
        <f>$C399*Y398</f>
        <v/>
      </c>
      <c r="Z399">
        <f>$C399*Z398</f>
        <v/>
      </c>
      <c r="AA399">
        <f>$C399*AA398</f>
        <v/>
      </c>
      <c r="AB399">
        <f>$C399*AB398</f>
        <v/>
      </c>
      <c r="AC399">
        <f>$C399*AC398</f>
        <v/>
      </c>
      <c r="AD399">
        <f>$C399*AD398</f>
        <v/>
      </c>
      <c r="AE399">
        <f>$C399*AE398</f>
        <v/>
      </c>
      <c r="AF399">
        <f>$C399*AF398</f>
        <v/>
      </c>
      <c r="AG399">
        <f>$C399*AG398</f>
        <v/>
      </c>
      <c r="AH399">
        <f>$C399*AH398</f>
        <v/>
      </c>
      <c r="AI399">
        <f>$C399*AI398</f>
        <v/>
      </c>
      <c r="AJ399">
        <f>$C399*AJ398</f>
        <v/>
      </c>
      <c r="AK399">
        <f>$C399*AK398</f>
        <v/>
      </c>
      <c r="AL399">
        <f>$C399*AL398</f>
        <v/>
      </c>
      <c r="AM399">
        <f>$C399*AM398</f>
        <v/>
      </c>
      <c r="AN399">
        <f>$C399*AN398</f>
        <v/>
      </c>
      <c r="AO399">
        <f>$C399*AO398</f>
        <v/>
      </c>
      <c r="AP399">
        <f>$C399*AP398</f>
        <v/>
      </c>
      <c r="AQ399">
        <f>$C399*AQ398</f>
        <v/>
      </c>
      <c r="AR399">
        <f>$C399*AR398</f>
        <v/>
      </c>
      <c r="AS399">
        <f>$C399*AS398</f>
        <v/>
      </c>
      <c r="AT399">
        <f>$C399*AT398</f>
        <v/>
      </c>
      <c r="AU399">
        <f>$C399*AU398</f>
        <v/>
      </c>
      <c r="AV399">
        <f>$C399*AV398</f>
        <v/>
      </c>
      <c r="AW399">
        <f>$C399*AW398</f>
        <v/>
      </c>
      <c r="AX399">
        <f>$C399*AX398</f>
        <v/>
      </c>
      <c r="AY399">
        <f>$C399*AY398</f>
        <v/>
      </c>
      <c r="AZ399">
        <f>$C399*AZ398</f>
        <v/>
      </c>
      <c r="BA399">
        <f>$C399*BA398</f>
        <v/>
      </c>
      <c r="BB399">
        <f>$C399*BB398</f>
        <v/>
      </c>
      <c r="BC399">
        <f>$C399*BC398</f>
        <v/>
      </c>
      <c r="BD399">
        <f>$C399*BD398</f>
        <v/>
      </c>
      <c r="BE399">
        <f>$C399*BE398</f>
        <v/>
      </c>
      <c r="BF399">
        <f>$C399*BF398</f>
        <v/>
      </c>
      <c r="BG399">
        <f>$C399*BG398</f>
        <v/>
      </c>
      <c r="BH399">
        <f>$C399*BH398</f>
        <v/>
      </c>
      <c r="BI399">
        <f>$C399*BI398</f>
        <v/>
      </c>
      <c r="BJ399">
        <f>$C399*BJ398</f>
        <v/>
      </c>
      <c r="BK399">
        <f>$C399*BK398</f>
        <v/>
      </c>
      <c r="BL399">
        <f>$C399*BL398</f>
        <v/>
      </c>
      <c r="BM399">
        <f>$C399*BM398</f>
        <v/>
      </c>
      <c r="BN399">
        <f>$C399*BN398</f>
        <v/>
      </c>
      <c r="BO399">
        <f>$C399*BO398</f>
        <v/>
      </c>
      <c r="BP399">
        <f>$C399*BP398</f>
        <v/>
      </c>
      <c r="BQ399">
        <f>$C399*BQ398</f>
        <v/>
      </c>
      <c r="BR399">
        <f>$C399*BR398</f>
        <v/>
      </c>
      <c r="BS399">
        <f>$C399*BS398</f>
        <v/>
      </c>
      <c r="BT399">
        <f>$C399*BT398</f>
        <v/>
      </c>
      <c r="BU399">
        <f>$C399*BU398</f>
        <v/>
      </c>
      <c r="BV399">
        <f>$C399*BV398</f>
        <v/>
      </c>
      <c r="BW399">
        <f>$C399*BW398</f>
        <v/>
      </c>
      <c r="BX399">
        <f>$C399*BX398</f>
        <v/>
      </c>
      <c r="BY399">
        <f>$C399*BY398</f>
        <v/>
      </c>
      <c r="BZ399">
        <f>$C399*BZ398</f>
        <v/>
      </c>
      <c r="CA399">
        <f>$C399*CA398</f>
        <v/>
      </c>
      <c r="CB399">
        <f>$C399*CB398</f>
        <v/>
      </c>
      <c r="CC399">
        <f>$C399*CC398</f>
        <v/>
      </c>
      <c r="CD399">
        <f>$C399*CD398</f>
        <v/>
      </c>
      <c r="CE399">
        <f>$C399*CE398</f>
        <v/>
      </c>
      <c r="CF399">
        <f>$C399*CF398</f>
        <v/>
      </c>
      <c r="CG399">
        <f>$C399*CG398</f>
        <v/>
      </c>
      <c r="CH399">
        <f>$C399*CH398</f>
        <v/>
      </c>
      <c r="CI399">
        <f>$C399*CI398</f>
        <v/>
      </c>
      <c r="CJ399">
        <f>$C399*CJ398</f>
        <v/>
      </c>
      <c r="CK399">
        <f>$C399*CK398</f>
        <v/>
      </c>
      <c r="CL399">
        <f>$C399*CL398</f>
        <v/>
      </c>
      <c r="CM399">
        <f>$C399*CM398</f>
        <v/>
      </c>
      <c r="CN399">
        <f>$C399*CN398</f>
        <v/>
      </c>
      <c r="CO399">
        <f>$C399*CO398</f>
        <v/>
      </c>
      <c r="CP399">
        <f>$C399*CP398</f>
        <v/>
      </c>
      <c r="CQ399">
        <f>$C399*CQ398</f>
        <v/>
      </c>
      <c r="CR399">
        <f>$C399*CR398</f>
        <v/>
      </c>
      <c r="CS399">
        <f>$C399*CS398</f>
        <v/>
      </c>
      <c r="CT399">
        <f>$C399*CT398</f>
        <v/>
      </c>
      <c r="CU399">
        <f>$C399*CU398</f>
        <v/>
      </c>
      <c r="CV399">
        <f>$C399*CV398</f>
        <v/>
      </c>
      <c r="CW399">
        <f>$C399*CW398</f>
        <v/>
      </c>
      <c r="CX399">
        <f>$C399*CX398</f>
        <v/>
      </c>
      <c r="CY399">
        <f>$C399*CY398</f>
        <v/>
      </c>
      <c r="CZ399">
        <f>$C399*CZ398</f>
        <v/>
      </c>
      <c r="DA399">
        <f>$C399*DA398</f>
        <v/>
      </c>
      <c r="DB399">
        <f>$C399*DB398</f>
        <v/>
      </c>
      <c r="DC399">
        <f>$C399*DC398</f>
        <v/>
      </c>
    </row>
    <row r="400">
      <c r="B400" t="inlineStr">
        <is>
          <t>TSP-1449</t>
        </is>
      </c>
      <c r="C400" t="inlineStr">
        <is>
          <t>No. of batches</t>
        </is>
      </c>
      <c r="D400">
        <f>IFERROR(INDEX(PP_Grid[#Data],$DD400,2),0)</f>
        <v/>
      </c>
      <c r="E400">
        <f>IFERROR(INDEX(PP_Grid[#Data],$DD400,3),0)</f>
        <v/>
      </c>
      <c r="F400">
        <f>IFERROR(INDEX(PP_Grid[#Data],$DD400,4),0)</f>
        <v/>
      </c>
      <c r="G400">
        <f>IFERROR(INDEX(PP_Grid[#Data],$DD400,5),0)</f>
        <v/>
      </c>
      <c r="H400">
        <f>IFERROR(INDEX(PP_Grid[#Data],$DD400,6),0)</f>
        <v/>
      </c>
      <c r="I400">
        <f>IFERROR(INDEX(PP_Grid[#Data],$DD400,7),0)</f>
        <v/>
      </c>
      <c r="J400">
        <f>IFERROR(INDEX(PP_Grid[#Data],$DD400,8),0)</f>
        <v/>
      </c>
      <c r="K400">
        <f>IFERROR(INDEX(PP_Grid[#Data],$DD400,9),0)</f>
        <v/>
      </c>
      <c r="L400">
        <f>IFERROR(INDEX(PP_Grid[#Data],$DD400,10),0)</f>
        <v/>
      </c>
      <c r="M400">
        <f>IFERROR(INDEX(PP_Grid[#Data],$DD400,11),0)</f>
        <v/>
      </c>
      <c r="N400">
        <f>IFERROR(INDEX(PP_Grid[#Data],$DD400,12),0)</f>
        <v/>
      </c>
      <c r="O400">
        <f>IFERROR(INDEX(PP_Grid[#Data],$DD400,13),0)</f>
        <v/>
      </c>
      <c r="P400">
        <f>IFERROR(INDEX(PP_Grid[#Data],$DD400,14),0)</f>
        <v/>
      </c>
      <c r="Q400">
        <f>IFERROR(INDEX(PP_Grid[#Data],$DD400,15),0)</f>
        <v/>
      </c>
      <c r="R400">
        <f>IFERROR(INDEX(PP_Grid[#Data],$DD400,16),0)</f>
        <v/>
      </c>
      <c r="S400">
        <f>IFERROR(INDEX(PP_Grid[#Data],$DD400,17),0)</f>
        <v/>
      </c>
      <c r="T400">
        <f>IFERROR(INDEX(PP_Grid[#Data],$DD400,18),0)</f>
        <v/>
      </c>
      <c r="U400">
        <f>IFERROR(INDEX(PP_Grid[#Data],$DD400,19),0)</f>
        <v/>
      </c>
      <c r="V400">
        <f>IFERROR(INDEX(PP_Grid[#Data],$DD400,20),0)</f>
        <v/>
      </c>
      <c r="W400">
        <f>IFERROR(INDEX(PP_Grid[#Data],$DD400,21),0)</f>
        <v/>
      </c>
      <c r="X400">
        <f>IFERROR(INDEX(PP_Grid[#Data],$DD400,22),0)</f>
        <v/>
      </c>
      <c r="Y400">
        <f>IFERROR(INDEX(PP_Grid[#Data],$DD400,23),0)</f>
        <v/>
      </c>
      <c r="Z400">
        <f>IFERROR(INDEX(PP_Grid[#Data],$DD400,24),0)</f>
        <v/>
      </c>
      <c r="AA400">
        <f>IFERROR(INDEX(PP_Grid[#Data],$DD400,25),0)</f>
        <v/>
      </c>
      <c r="AB400">
        <f>IFERROR(INDEX(PP_Grid[#Data],$DD400,26),0)</f>
        <v/>
      </c>
      <c r="AC400">
        <f>IFERROR(INDEX(PP_Grid[#Data],$DD400,27),0)</f>
        <v/>
      </c>
      <c r="AD400">
        <f>IFERROR(INDEX(PP_Grid[#Data],$DD400,28),0)</f>
        <v/>
      </c>
      <c r="AE400">
        <f>IFERROR(INDEX(PP_Grid[#Data],$DD400,29),0)</f>
        <v/>
      </c>
      <c r="AF400">
        <f>IFERROR(INDEX(PP_Grid[#Data],$DD400,30),0)</f>
        <v/>
      </c>
      <c r="AG400">
        <f>IFERROR(INDEX(PP_Grid[#Data],$DD400,31),0)</f>
        <v/>
      </c>
      <c r="AH400">
        <f>IFERROR(INDEX(PP_Grid[#Data],$DD400,32),0)</f>
        <v/>
      </c>
      <c r="AI400">
        <f>IFERROR(INDEX(PP_Grid[#Data],$DD400,33),0)</f>
        <v/>
      </c>
      <c r="AJ400">
        <f>IFERROR(INDEX(PP_Grid[#Data],$DD400,34),0)</f>
        <v/>
      </c>
      <c r="AK400">
        <f>IFERROR(INDEX(PP_Grid[#Data],$DD400,35),0)</f>
        <v/>
      </c>
      <c r="AL400">
        <f>IFERROR(INDEX(PP_Grid[#Data],$DD400,36),0)</f>
        <v/>
      </c>
      <c r="AM400">
        <f>IFERROR(INDEX(PP_Grid[#Data],$DD400,37),0)</f>
        <v/>
      </c>
      <c r="AN400">
        <f>IFERROR(INDEX(PP_Grid[#Data],$DD400,38),0)</f>
        <v/>
      </c>
      <c r="AO400">
        <f>IFERROR(INDEX(PP_Grid[#Data],$DD400,39),0)</f>
        <v/>
      </c>
      <c r="AP400">
        <f>IFERROR(INDEX(PP_Grid[#Data],$DD400,40),0)</f>
        <v/>
      </c>
      <c r="AQ400">
        <f>IFERROR(INDEX(PP_Grid[#Data],$DD400,41),0)</f>
        <v/>
      </c>
      <c r="AR400">
        <f>IFERROR(INDEX(PP_Grid[#Data],$DD400,42),0)</f>
        <v/>
      </c>
      <c r="AS400">
        <f>IFERROR(INDEX(PP_Grid[#Data],$DD400,43),0)</f>
        <v/>
      </c>
      <c r="AT400">
        <f>IFERROR(INDEX(PP_Grid[#Data],$DD400,44),0)</f>
        <v/>
      </c>
      <c r="AU400">
        <f>IFERROR(INDEX(PP_Grid[#Data],$DD400,45),0)</f>
        <v/>
      </c>
      <c r="AV400">
        <f>IFERROR(INDEX(PP_Grid[#Data],$DD400,46),0)</f>
        <v/>
      </c>
      <c r="AW400">
        <f>IFERROR(INDEX(PP_Grid[#Data],$DD400,47),0)</f>
        <v/>
      </c>
      <c r="AX400">
        <f>IFERROR(INDEX(PP_Grid[#Data],$DD400,48),0)</f>
        <v/>
      </c>
      <c r="AY400">
        <f>IFERROR(INDEX(PP_Grid[#Data],$DD400,49),0)</f>
        <v/>
      </c>
      <c r="AZ400">
        <f>IFERROR(INDEX(PP_Grid[#Data],$DD400,50),0)</f>
        <v/>
      </c>
      <c r="BA400">
        <f>IFERROR(INDEX(PP_Grid[#Data],$DD400,51),0)</f>
        <v/>
      </c>
      <c r="BB400">
        <f>IFERROR(INDEX(PP_Grid[#Data],$DD400,52),0)</f>
        <v/>
      </c>
      <c r="BC400">
        <f>IFERROR(INDEX(PP_Grid[#Data],$DD400,53),0)</f>
        <v/>
      </c>
      <c r="BD400">
        <f>IFERROR(INDEX(PP_Grid[#Data],$DD400,54),0)</f>
        <v/>
      </c>
      <c r="BE400">
        <f>IFERROR(INDEX(PP_Grid[#Data],$DD400,55),0)</f>
        <v/>
      </c>
      <c r="BF400">
        <f>IFERROR(INDEX(PP_Grid[#Data],$DD400,56),0)</f>
        <v/>
      </c>
      <c r="BG400">
        <f>IFERROR(INDEX(PP_Grid[#Data],$DD400,57),0)</f>
        <v/>
      </c>
      <c r="BH400">
        <f>IFERROR(INDEX(PP_Grid[#Data],$DD400,58),0)</f>
        <v/>
      </c>
      <c r="BI400">
        <f>IFERROR(INDEX(PP_Grid[#Data],$DD400,59),0)</f>
        <v/>
      </c>
      <c r="BJ400">
        <f>IFERROR(INDEX(PP_Grid[#Data],$DD400,60),0)</f>
        <v/>
      </c>
      <c r="BK400">
        <f>IFERROR(INDEX(PP_Grid[#Data],$DD400,61),0)</f>
        <v/>
      </c>
      <c r="BL400">
        <f>IFERROR(INDEX(PP_Grid[#Data],$DD400,62),0)</f>
        <v/>
      </c>
      <c r="BM400">
        <f>IFERROR(INDEX(PP_Grid[#Data],$DD400,63),0)</f>
        <v/>
      </c>
      <c r="BN400">
        <f>IFERROR(INDEX(PP_Grid[#Data],$DD400,64),0)</f>
        <v/>
      </c>
      <c r="BO400">
        <f>IFERROR(INDEX(PP_Grid[#Data],$DD400,65),0)</f>
        <v/>
      </c>
      <c r="BP400">
        <f>IFERROR(INDEX(PP_Grid[#Data],$DD400,66),0)</f>
        <v/>
      </c>
      <c r="BQ400">
        <f>IFERROR(INDEX(PP_Grid[#Data],$DD400,67),0)</f>
        <v/>
      </c>
      <c r="BR400">
        <f>IFERROR(INDEX(PP_Grid[#Data],$DD400,68),0)</f>
        <v/>
      </c>
      <c r="BS400">
        <f>IFERROR(INDEX(PP_Grid[#Data],$DD400,69),0)</f>
        <v/>
      </c>
      <c r="BT400">
        <f>IFERROR(INDEX(PP_Grid[#Data],$DD400,70),0)</f>
        <v/>
      </c>
      <c r="BU400">
        <f>IFERROR(INDEX(PP_Grid[#Data],$DD400,71),0)</f>
        <v/>
      </c>
      <c r="BV400">
        <f>IFERROR(INDEX(PP_Grid[#Data],$DD400,72),0)</f>
        <v/>
      </c>
      <c r="BW400">
        <f>IFERROR(INDEX(PP_Grid[#Data],$DD400,73),0)</f>
        <v/>
      </c>
      <c r="BX400">
        <f>IFERROR(INDEX(PP_Grid[#Data],$DD400,74),0)</f>
        <v/>
      </c>
      <c r="BY400">
        <f>IFERROR(INDEX(PP_Grid[#Data],$DD400,75),0)</f>
        <v/>
      </c>
      <c r="BZ400">
        <f>IFERROR(INDEX(PP_Grid[#Data],$DD400,76),0)</f>
        <v/>
      </c>
      <c r="CA400">
        <f>IFERROR(INDEX(PP_Grid[#Data],$DD400,77),0)</f>
        <v/>
      </c>
      <c r="CB400">
        <f>IFERROR(INDEX(PP_Grid[#Data],$DD400,78),0)</f>
        <v/>
      </c>
      <c r="CC400">
        <f>IFERROR(INDEX(PP_Grid[#Data],$DD400,79),0)</f>
        <v/>
      </c>
      <c r="CD400">
        <f>IFERROR(INDEX(PP_Grid[#Data],$DD400,80),0)</f>
        <v/>
      </c>
      <c r="CE400">
        <f>IFERROR(INDEX(PP_Grid[#Data],$DD400,81),0)</f>
        <v/>
      </c>
      <c r="CF400">
        <f>IFERROR(INDEX(PP_Grid[#Data],$DD400,82),0)</f>
        <v/>
      </c>
      <c r="CG400">
        <f>IFERROR(INDEX(PP_Grid[#Data],$DD400,83),0)</f>
        <v/>
      </c>
      <c r="CH400">
        <f>IFERROR(INDEX(PP_Grid[#Data],$DD400,84),0)</f>
        <v/>
      </c>
      <c r="CI400">
        <f>IFERROR(INDEX(PP_Grid[#Data],$DD400,85),0)</f>
        <v/>
      </c>
      <c r="CJ400">
        <f>IFERROR(INDEX(PP_Grid[#Data],$DD400,86),0)</f>
        <v/>
      </c>
      <c r="CK400">
        <f>IFERROR(INDEX(PP_Grid[#Data],$DD400,87),0)</f>
        <v/>
      </c>
      <c r="CL400">
        <f>IFERROR(INDEX(PP_Grid[#Data],$DD400,88),0)</f>
        <v/>
      </c>
      <c r="CM400">
        <f>IFERROR(INDEX(PP_Grid[#Data],$DD400,89),0)</f>
        <v/>
      </c>
      <c r="CN400">
        <f>IFERROR(INDEX(PP_Grid[#Data],$DD400,90),0)</f>
        <v/>
      </c>
      <c r="CO400">
        <f>IFERROR(INDEX(PP_Grid[#Data],$DD400,91),0)</f>
        <v/>
      </c>
      <c r="CP400">
        <f>IFERROR(INDEX(PP_Grid[#Data],$DD400,92),0)</f>
        <v/>
      </c>
      <c r="CQ400">
        <f>IFERROR(INDEX(PP_Grid[#Data],$DD400,93),0)</f>
        <v/>
      </c>
      <c r="CR400">
        <f>IFERROR(INDEX(PP_Grid[#Data],$DD400,94),0)</f>
        <v/>
      </c>
      <c r="CS400">
        <f>IFERROR(INDEX(PP_Grid[#Data],$DD400,95),0)</f>
        <v/>
      </c>
      <c r="CT400">
        <f>IFERROR(INDEX(PP_Grid[#Data],$DD400,96),0)</f>
        <v/>
      </c>
      <c r="CU400">
        <f>IFERROR(INDEX(PP_Grid[#Data],$DD400,97),0)</f>
        <v/>
      </c>
      <c r="CV400">
        <f>IFERROR(INDEX(PP_Grid[#Data],$DD400,98),0)</f>
        <v/>
      </c>
      <c r="CW400">
        <f>IFERROR(INDEX(PP_Grid[#Data],$DD400,99),0)</f>
        <v/>
      </c>
      <c r="CX400">
        <f>IFERROR(INDEX(PP_Grid[#Data],$DD400,100),0)</f>
        <v/>
      </c>
      <c r="CY400">
        <f>IFERROR(INDEX(PP_Grid[#Data],$DD400,101),0)</f>
        <v/>
      </c>
      <c r="CZ400">
        <f>IFERROR(INDEX(PP_Grid[#Data],$DD400,102),0)</f>
        <v/>
      </c>
      <c r="DA400">
        <f>IFERROR(INDEX(PP_Grid[#Data],$DD400,103),0)</f>
        <v/>
      </c>
      <c r="DB400">
        <f>IFERROR(INDEX(PP_Grid[#Data],$DD400,104),0)</f>
        <v/>
      </c>
      <c r="DC400">
        <f>IFERROR(INDEX(PP_Grid[#Data],$DD400,105),0)</f>
        <v/>
      </c>
      <c r="DD400" s="7">
        <f>IFERROR(MATCH($B400,PP_Grid[Intermediate],0),99999)</f>
        <v/>
      </c>
    </row>
    <row r="401">
      <c r="B401" t="inlineStr">
        <is>
          <t>使用量(kg)</t>
        </is>
      </c>
      <c r="C401">
        <f>SUMIFS(M_BOM[RM_Qty_Per_Batch],M_BOM[Intermediate],$B400,M_BOM[Part Name],$A343)</f>
        <v/>
      </c>
      <c r="D401">
        <f>$C401*D400</f>
        <v/>
      </c>
      <c r="E401">
        <f>$C401*E400</f>
        <v/>
      </c>
      <c r="F401">
        <f>$C401*F400</f>
        <v/>
      </c>
      <c r="G401">
        <f>$C401*G400</f>
        <v/>
      </c>
      <c r="H401">
        <f>$C401*H400</f>
        <v/>
      </c>
      <c r="I401">
        <f>$C401*I400</f>
        <v/>
      </c>
      <c r="J401">
        <f>$C401*J400</f>
        <v/>
      </c>
      <c r="K401">
        <f>$C401*K400</f>
        <v/>
      </c>
      <c r="L401">
        <f>$C401*L400</f>
        <v/>
      </c>
      <c r="M401">
        <f>$C401*M400</f>
        <v/>
      </c>
      <c r="N401">
        <f>$C401*N400</f>
        <v/>
      </c>
      <c r="O401">
        <f>$C401*O400</f>
        <v/>
      </c>
      <c r="P401">
        <f>$C401*P400</f>
        <v/>
      </c>
      <c r="Q401">
        <f>$C401*Q400</f>
        <v/>
      </c>
      <c r="R401">
        <f>$C401*R400</f>
        <v/>
      </c>
      <c r="S401">
        <f>$C401*S400</f>
        <v/>
      </c>
      <c r="T401">
        <f>$C401*T400</f>
        <v/>
      </c>
      <c r="U401">
        <f>$C401*U400</f>
        <v/>
      </c>
      <c r="V401">
        <f>$C401*V400</f>
        <v/>
      </c>
      <c r="W401">
        <f>$C401*W400</f>
        <v/>
      </c>
      <c r="X401">
        <f>$C401*X400</f>
        <v/>
      </c>
      <c r="Y401">
        <f>$C401*Y400</f>
        <v/>
      </c>
      <c r="Z401">
        <f>$C401*Z400</f>
        <v/>
      </c>
      <c r="AA401">
        <f>$C401*AA400</f>
        <v/>
      </c>
      <c r="AB401">
        <f>$C401*AB400</f>
        <v/>
      </c>
      <c r="AC401">
        <f>$C401*AC400</f>
        <v/>
      </c>
      <c r="AD401">
        <f>$C401*AD400</f>
        <v/>
      </c>
      <c r="AE401">
        <f>$C401*AE400</f>
        <v/>
      </c>
      <c r="AF401">
        <f>$C401*AF400</f>
        <v/>
      </c>
      <c r="AG401">
        <f>$C401*AG400</f>
        <v/>
      </c>
      <c r="AH401">
        <f>$C401*AH400</f>
        <v/>
      </c>
      <c r="AI401">
        <f>$C401*AI400</f>
        <v/>
      </c>
      <c r="AJ401">
        <f>$C401*AJ400</f>
        <v/>
      </c>
      <c r="AK401">
        <f>$C401*AK400</f>
        <v/>
      </c>
      <c r="AL401">
        <f>$C401*AL400</f>
        <v/>
      </c>
      <c r="AM401">
        <f>$C401*AM400</f>
        <v/>
      </c>
      <c r="AN401">
        <f>$C401*AN400</f>
        <v/>
      </c>
      <c r="AO401">
        <f>$C401*AO400</f>
        <v/>
      </c>
      <c r="AP401">
        <f>$C401*AP400</f>
        <v/>
      </c>
      <c r="AQ401">
        <f>$C401*AQ400</f>
        <v/>
      </c>
      <c r="AR401">
        <f>$C401*AR400</f>
        <v/>
      </c>
      <c r="AS401">
        <f>$C401*AS400</f>
        <v/>
      </c>
      <c r="AT401">
        <f>$C401*AT400</f>
        <v/>
      </c>
      <c r="AU401">
        <f>$C401*AU400</f>
        <v/>
      </c>
      <c r="AV401">
        <f>$C401*AV400</f>
        <v/>
      </c>
      <c r="AW401">
        <f>$C401*AW400</f>
        <v/>
      </c>
      <c r="AX401">
        <f>$C401*AX400</f>
        <v/>
      </c>
      <c r="AY401">
        <f>$C401*AY400</f>
        <v/>
      </c>
      <c r="AZ401">
        <f>$C401*AZ400</f>
        <v/>
      </c>
      <c r="BA401">
        <f>$C401*BA400</f>
        <v/>
      </c>
      <c r="BB401">
        <f>$C401*BB400</f>
        <v/>
      </c>
      <c r="BC401">
        <f>$C401*BC400</f>
        <v/>
      </c>
      <c r="BD401">
        <f>$C401*BD400</f>
        <v/>
      </c>
      <c r="BE401">
        <f>$C401*BE400</f>
        <v/>
      </c>
      <c r="BF401">
        <f>$C401*BF400</f>
        <v/>
      </c>
      <c r="BG401">
        <f>$C401*BG400</f>
        <v/>
      </c>
      <c r="BH401">
        <f>$C401*BH400</f>
        <v/>
      </c>
      <c r="BI401">
        <f>$C401*BI400</f>
        <v/>
      </c>
      <c r="BJ401">
        <f>$C401*BJ400</f>
        <v/>
      </c>
      <c r="BK401">
        <f>$C401*BK400</f>
        <v/>
      </c>
      <c r="BL401">
        <f>$C401*BL400</f>
        <v/>
      </c>
      <c r="BM401">
        <f>$C401*BM400</f>
        <v/>
      </c>
      <c r="BN401">
        <f>$C401*BN400</f>
        <v/>
      </c>
      <c r="BO401">
        <f>$C401*BO400</f>
        <v/>
      </c>
      <c r="BP401">
        <f>$C401*BP400</f>
        <v/>
      </c>
      <c r="BQ401">
        <f>$C401*BQ400</f>
        <v/>
      </c>
      <c r="BR401">
        <f>$C401*BR400</f>
        <v/>
      </c>
      <c r="BS401">
        <f>$C401*BS400</f>
        <v/>
      </c>
      <c r="BT401">
        <f>$C401*BT400</f>
        <v/>
      </c>
      <c r="BU401">
        <f>$C401*BU400</f>
        <v/>
      </c>
      <c r="BV401">
        <f>$C401*BV400</f>
        <v/>
      </c>
      <c r="BW401">
        <f>$C401*BW400</f>
        <v/>
      </c>
      <c r="BX401">
        <f>$C401*BX400</f>
        <v/>
      </c>
      <c r="BY401">
        <f>$C401*BY400</f>
        <v/>
      </c>
      <c r="BZ401">
        <f>$C401*BZ400</f>
        <v/>
      </c>
      <c r="CA401">
        <f>$C401*CA400</f>
        <v/>
      </c>
      <c r="CB401">
        <f>$C401*CB400</f>
        <v/>
      </c>
      <c r="CC401">
        <f>$C401*CC400</f>
        <v/>
      </c>
      <c r="CD401">
        <f>$C401*CD400</f>
        <v/>
      </c>
      <c r="CE401">
        <f>$C401*CE400</f>
        <v/>
      </c>
      <c r="CF401">
        <f>$C401*CF400</f>
        <v/>
      </c>
      <c r="CG401">
        <f>$C401*CG400</f>
        <v/>
      </c>
      <c r="CH401">
        <f>$C401*CH400</f>
        <v/>
      </c>
      <c r="CI401">
        <f>$C401*CI400</f>
        <v/>
      </c>
      <c r="CJ401">
        <f>$C401*CJ400</f>
        <v/>
      </c>
      <c r="CK401">
        <f>$C401*CK400</f>
        <v/>
      </c>
      <c r="CL401">
        <f>$C401*CL400</f>
        <v/>
      </c>
      <c r="CM401">
        <f>$C401*CM400</f>
        <v/>
      </c>
      <c r="CN401">
        <f>$C401*CN400</f>
        <v/>
      </c>
      <c r="CO401">
        <f>$C401*CO400</f>
        <v/>
      </c>
      <c r="CP401">
        <f>$C401*CP400</f>
        <v/>
      </c>
      <c r="CQ401">
        <f>$C401*CQ400</f>
        <v/>
      </c>
      <c r="CR401">
        <f>$C401*CR400</f>
        <v/>
      </c>
      <c r="CS401">
        <f>$C401*CS400</f>
        <v/>
      </c>
      <c r="CT401">
        <f>$C401*CT400</f>
        <v/>
      </c>
      <c r="CU401">
        <f>$C401*CU400</f>
        <v/>
      </c>
      <c r="CV401">
        <f>$C401*CV400</f>
        <v/>
      </c>
      <c r="CW401">
        <f>$C401*CW400</f>
        <v/>
      </c>
      <c r="CX401">
        <f>$C401*CX400</f>
        <v/>
      </c>
      <c r="CY401">
        <f>$C401*CY400</f>
        <v/>
      </c>
      <c r="CZ401">
        <f>$C401*CZ400</f>
        <v/>
      </c>
      <c r="DA401">
        <f>$C401*DA400</f>
        <v/>
      </c>
      <c r="DB401">
        <f>$C401*DB400</f>
        <v/>
      </c>
      <c r="DC401">
        <f>$C401*DC400</f>
        <v/>
      </c>
    </row>
    <row r="402">
      <c r="B402" t="inlineStr">
        <is>
          <t>VSP-567</t>
        </is>
      </c>
      <c r="C402" t="inlineStr">
        <is>
          <t>No. of batches</t>
        </is>
      </c>
      <c r="D402">
        <f>IFERROR(INDEX(PP_Grid[#Data],$DD402,2),0)</f>
        <v/>
      </c>
      <c r="E402">
        <f>IFERROR(INDEX(PP_Grid[#Data],$DD402,3),0)</f>
        <v/>
      </c>
      <c r="F402">
        <f>IFERROR(INDEX(PP_Grid[#Data],$DD402,4),0)</f>
        <v/>
      </c>
      <c r="G402">
        <f>IFERROR(INDEX(PP_Grid[#Data],$DD402,5),0)</f>
        <v/>
      </c>
      <c r="H402">
        <f>IFERROR(INDEX(PP_Grid[#Data],$DD402,6),0)</f>
        <v/>
      </c>
      <c r="I402">
        <f>IFERROR(INDEX(PP_Grid[#Data],$DD402,7),0)</f>
        <v/>
      </c>
      <c r="J402">
        <f>IFERROR(INDEX(PP_Grid[#Data],$DD402,8),0)</f>
        <v/>
      </c>
      <c r="K402">
        <f>IFERROR(INDEX(PP_Grid[#Data],$DD402,9),0)</f>
        <v/>
      </c>
      <c r="L402">
        <f>IFERROR(INDEX(PP_Grid[#Data],$DD402,10),0)</f>
        <v/>
      </c>
      <c r="M402">
        <f>IFERROR(INDEX(PP_Grid[#Data],$DD402,11),0)</f>
        <v/>
      </c>
      <c r="N402">
        <f>IFERROR(INDEX(PP_Grid[#Data],$DD402,12),0)</f>
        <v/>
      </c>
      <c r="O402">
        <f>IFERROR(INDEX(PP_Grid[#Data],$DD402,13),0)</f>
        <v/>
      </c>
      <c r="P402">
        <f>IFERROR(INDEX(PP_Grid[#Data],$DD402,14),0)</f>
        <v/>
      </c>
      <c r="Q402">
        <f>IFERROR(INDEX(PP_Grid[#Data],$DD402,15),0)</f>
        <v/>
      </c>
      <c r="R402">
        <f>IFERROR(INDEX(PP_Grid[#Data],$DD402,16),0)</f>
        <v/>
      </c>
      <c r="S402">
        <f>IFERROR(INDEX(PP_Grid[#Data],$DD402,17),0)</f>
        <v/>
      </c>
      <c r="T402">
        <f>IFERROR(INDEX(PP_Grid[#Data],$DD402,18),0)</f>
        <v/>
      </c>
      <c r="U402">
        <f>IFERROR(INDEX(PP_Grid[#Data],$DD402,19),0)</f>
        <v/>
      </c>
      <c r="V402">
        <f>IFERROR(INDEX(PP_Grid[#Data],$DD402,20),0)</f>
        <v/>
      </c>
      <c r="W402">
        <f>IFERROR(INDEX(PP_Grid[#Data],$DD402,21),0)</f>
        <v/>
      </c>
      <c r="X402">
        <f>IFERROR(INDEX(PP_Grid[#Data],$DD402,22),0)</f>
        <v/>
      </c>
      <c r="Y402">
        <f>IFERROR(INDEX(PP_Grid[#Data],$DD402,23),0)</f>
        <v/>
      </c>
      <c r="Z402">
        <f>IFERROR(INDEX(PP_Grid[#Data],$DD402,24),0)</f>
        <v/>
      </c>
      <c r="AA402">
        <f>IFERROR(INDEX(PP_Grid[#Data],$DD402,25),0)</f>
        <v/>
      </c>
      <c r="AB402">
        <f>IFERROR(INDEX(PP_Grid[#Data],$DD402,26),0)</f>
        <v/>
      </c>
      <c r="AC402">
        <f>IFERROR(INDEX(PP_Grid[#Data],$DD402,27),0)</f>
        <v/>
      </c>
      <c r="AD402">
        <f>IFERROR(INDEX(PP_Grid[#Data],$DD402,28),0)</f>
        <v/>
      </c>
      <c r="AE402">
        <f>IFERROR(INDEX(PP_Grid[#Data],$DD402,29),0)</f>
        <v/>
      </c>
      <c r="AF402">
        <f>IFERROR(INDEX(PP_Grid[#Data],$DD402,30),0)</f>
        <v/>
      </c>
      <c r="AG402">
        <f>IFERROR(INDEX(PP_Grid[#Data],$DD402,31),0)</f>
        <v/>
      </c>
      <c r="AH402">
        <f>IFERROR(INDEX(PP_Grid[#Data],$DD402,32),0)</f>
        <v/>
      </c>
      <c r="AI402">
        <f>IFERROR(INDEX(PP_Grid[#Data],$DD402,33),0)</f>
        <v/>
      </c>
      <c r="AJ402">
        <f>IFERROR(INDEX(PP_Grid[#Data],$DD402,34),0)</f>
        <v/>
      </c>
      <c r="AK402">
        <f>IFERROR(INDEX(PP_Grid[#Data],$DD402,35),0)</f>
        <v/>
      </c>
      <c r="AL402">
        <f>IFERROR(INDEX(PP_Grid[#Data],$DD402,36),0)</f>
        <v/>
      </c>
      <c r="AM402">
        <f>IFERROR(INDEX(PP_Grid[#Data],$DD402,37),0)</f>
        <v/>
      </c>
      <c r="AN402">
        <f>IFERROR(INDEX(PP_Grid[#Data],$DD402,38),0)</f>
        <v/>
      </c>
      <c r="AO402">
        <f>IFERROR(INDEX(PP_Grid[#Data],$DD402,39),0)</f>
        <v/>
      </c>
      <c r="AP402">
        <f>IFERROR(INDEX(PP_Grid[#Data],$DD402,40),0)</f>
        <v/>
      </c>
      <c r="AQ402">
        <f>IFERROR(INDEX(PP_Grid[#Data],$DD402,41),0)</f>
        <v/>
      </c>
      <c r="AR402">
        <f>IFERROR(INDEX(PP_Grid[#Data],$DD402,42),0)</f>
        <v/>
      </c>
      <c r="AS402">
        <f>IFERROR(INDEX(PP_Grid[#Data],$DD402,43),0)</f>
        <v/>
      </c>
      <c r="AT402">
        <f>IFERROR(INDEX(PP_Grid[#Data],$DD402,44),0)</f>
        <v/>
      </c>
      <c r="AU402">
        <f>IFERROR(INDEX(PP_Grid[#Data],$DD402,45),0)</f>
        <v/>
      </c>
      <c r="AV402">
        <f>IFERROR(INDEX(PP_Grid[#Data],$DD402,46),0)</f>
        <v/>
      </c>
      <c r="AW402">
        <f>IFERROR(INDEX(PP_Grid[#Data],$DD402,47),0)</f>
        <v/>
      </c>
      <c r="AX402">
        <f>IFERROR(INDEX(PP_Grid[#Data],$DD402,48),0)</f>
        <v/>
      </c>
      <c r="AY402">
        <f>IFERROR(INDEX(PP_Grid[#Data],$DD402,49),0)</f>
        <v/>
      </c>
      <c r="AZ402">
        <f>IFERROR(INDEX(PP_Grid[#Data],$DD402,50),0)</f>
        <v/>
      </c>
      <c r="BA402">
        <f>IFERROR(INDEX(PP_Grid[#Data],$DD402,51),0)</f>
        <v/>
      </c>
      <c r="BB402">
        <f>IFERROR(INDEX(PP_Grid[#Data],$DD402,52),0)</f>
        <v/>
      </c>
      <c r="BC402">
        <f>IFERROR(INDEX(PP_Grid[#Data],$DD402,53),0)</f>
        <v/>
      </c>
      <c r="BD402">
        <f>IFERROR(INDEX(PP_Grid[#Data],$DD402,54),0)</f>
        <v/>
      </c>
      <c r="BE402">
        <f>IFERROR(INDEX(PP_Grid[#Data],$DD402,55),0)</f>
        <v/>
      </c>
      <c r="BF402">
        <f>IFERROR(INDEX(PP_Grid[#Data],$DD402,56),0)</f>
        <v/>
      </c>
      <c r="BG402">
        <f>IFERROR(INDEX(PP_Grid[#Data],$DD402,57),0)</f>
        <v/>
      </c>
      <c r="BH402">
        <f>IFERROR(INDEX(PP_Grid[#Data],$DD402,58),0)</f>
        <v/>
      </c>
      <c r="BI402">
        <f>IFERROR(INDEX(PP_Grid[#Data],$DD402,59),0)</f>
        <v/>
      </c>
      <c r="BJ402">
        <f>IFERROR(INDEX(PP_Grid[#Data],$DD402,60),0)</f>
        <v/>
      </c>
      <c r="BK402">
        <f>IFERROR(INDEX(PP_Grid[#Data],$DD402,61),0)</f>
        <v/>
      </c>
      <c r="BL402">
        <f>IFERROR(INDEX(PP_Grid[#Data],$DD402,62),0)</f>
        <v/>
      </c>
      <c r="BM402">
        <f>IFERROR(INDEX(PP_Grid[#Data],$DD402,63),0)</f>
        <v/>
      </c>
      <c r="BN402">
        <f>IFERROR(INDEX(PP_Grid[#Data],$DD402,64),0)</f>
        <v/>
      </c>
      <c r="BO402">
        <f>IFERROR(INDEX(PP_Grid[#Data],$DD402,65),0)</f>
        <v/>
      </c>
      <c r="BP402">
        <f>IFERROR(INDEX(PP_Grid[#Data],$DD402,66),0)</f>
        <v/>
      </c>
      <c r="BQ402">
        <f>IFERROR(INDEX(PP_Grid[#Data],$DD402,67),0)</f>
        <v/>
      </c>
      <c r="BR402">
        <f>IFERROR(INDEX(PP_Grid[#Data],$DD402,68),0)</f>
        <v/>
      </c>
      <c r="BS402">
        <f>IFERROR(INDEX(PP_Grid[#Data],$DD402,69),0)</f>
        <v/>
      </c>
      <c r="BT402">
        <f>IFERROR(INDEX(PP_Grid[#Data],$DD402,70),0)</f>
        <v/>
      </c>
      <c r="BU402">
        <f>IFERROR(INDEX(PP_Grid[#Data],$DD402,71),0)</f>
        <v/>
      </c>
      <c r="BV402">
        <f>IFERROR(INDEX(PP_Grid[#Data],$DD402,72),0)</f>
        <v/>
      </c>
      <c r="BW402">
        <f>IFERROR(INDEX(PP_Grid[#Data],$DD402,73),0)</f>
        <v/>
      </c>
      <c r="BX402">
        <f>IFERROR(INDEX(PP_Grid[#Data],$DD402,74),0)</f>
        <v/>
      </c>
      <c r="BY402">
        <f>IFERROR(INDEX(PP_Grid[#Data],$DD402,75),0)</f>
        <v/>
      </c>
      <c r="BZ402">
        <f>IFERROR(INDEX(PP_Grid[#Data],$DD402,76),0)</f>
        <v/>
      </c>
      <c r="CA402">
        <f>IFERROR(INDEX(PP_Grid[#Data],$DD402,77),0)</f>
        <v/>
      </c>
      <c r="CB402">
        <f>IFERROR(INDEX(PP_Grid[#Data],$DD402,78),0)</f>
        <v/>
      </c>
      <c r="CC402">
        <f>IFERROR(INDEX(PP_Grid[#Data],$DD402,79),0)</f>
        <v/>
      </c>
      <c r="CD402">
        <f>IFERROR(INDEX(PP_Grid[#Data],$DD402,80),0)</f>
        <v/>
      </c>
      <c r="CE402">
        <f>IFERROR(INDEX(PP_Grid[#Data],$DD402,81),0)</f>
        <v/>
      </c>
      <c r="CF402">
        <f>IFERROR(INDEX(PP_Grid[#Data],$DD402,82),0)</f>
        <v/>
      </c>
      <c r="CG402">
        <f>IFERROR(INDEX(PP_Grid[#Data],$DD402,83),0)</f>
        <v/>
      </c>
      <c r="CH402">
        <f>IFERROR(INDEX(PP_Grid[#Data],$DD402,84),0)</f>
        <v/>
      </c>
      <c r="CI402">
        <f>IFERROR(INDEX(PP_Grid[#Data],$DD402,85),0)</f>
        <v/>
      </c>
      <c r="CJ402">
        <f>IFERROR(INDEX(PP_Grid[#Data],$DD402,86),0)</f>
        <v/>
      </c>
      <c r="CK402">
        <f>IFERROR(INDEX(PP_Grid[#Data],$DD402,87),0)</f>
        <v/>
      </c>
      <c r="CL402">
        <f>IFERROR(INDEX(PP_Grid[#Data],$DD402,88),0)</f>
        <v/>
      </c>
      <c r="CM402">
        <f>IFERROR(INDEX(PP_Grid[#Data],$DD402,89),0)</f>
        <v/>
      </c>
      <c r="CN402">
        <f>IFERROR(INDEX(PP_Grid[#Data],$DD402,90),0)</f>
        <v/>
      </c>
      <c r="CO402">
        <f>IFERROR(INDEX(PP_Grid[#Data],$DD402,91),0)</f>
        <v/>
      </c>
      <c r="CP402">
        <f>IFERROR(INDEX(PP_Grid[#Data],$DD402,92),0)</f>
        <v/>
      </c>
      <c r="CQ402">
        <f>IFERROR(INDEX(PP_Grid[#Data],$DD402,93),0)</f>
        <v/>
      </c>
      <c r="CR402">
        <f>IFERROR(INDEX(PP_Grid[#Data],$DD402,94),0)</f>
        <v/>
      </c>
      <c r="CS402">
        <f>IFERROR(INDEX(PP_Grid[#Data],$DD402,95),0)</f>
        <v/>
      </c>
      <c r="CT402">
        <f>IFERROR(INDEX(PP_Grid[#Data],$DD402,96),0)</f>
        <v/>
      </c>
      <c r="CU402">
        <f>IFERROR(INDEX(PP_Grid[#Data],$DD402,97),0)</f>
        <v/>
      </c>
      <c r="CV402">
        <f>IFERROR(INDEX(PP_Grid[#Data],$DD402,98),0)</f>
        <v/>
      </c>
      <c r="CW402">
        <f>IFERROR(INDEX(PP_Grid[#Data],$DD402,99),0)</f>
        <v/>
      </c>
      <c r="CX402">
        <f>IFERROR(INDEX(PP_Grid[#Data],$DD402,100),0)</f>
        <v/>
      </c>
      <c r="CY402">
        <f>IFERROR(INDEX(PP_Grid[#Data],$DD402,101),0)</f>
        <v/>
      </c>
      <c r="CZ402">
        <f>IFERROR(INDEX(PP_Grid[#Data],$DD402,102),0)</f>
        <v/>
      </c>
      <c r="DA402">
        <f>IFERROR(INDEX(PP_Grid[#Data],$DD402,103),0)</f>
        <v/>
      </c>
      <c r="DB402">
        <f>IFERROR(INDEX(PP_Grid[#Data],$DD402,104),0)</f>
        <v/>
      </c>
      <c r="DC402">
        <f>IFERROR(INDEX(PP_Grid[#Data],$DD402,105),0)</f>
        <v/>
      </c>
      <c r="DD402" s="7">
        <f>IFERROR(MATCH($B402,PP_Grid[Intermediate],0),99999)</f>
        <v/>
      </c>
    </row>
    <row r="403">
      <c r="B403" t="inlineStr">
        <is>
          <t>使用量(kg)</t>
        </is>
      </c>
      <c r="C403">
        <f>SUMIFS(M_BOM[RM_Qty_Per_Batch],M_BOM[Intermediate],$B402,M_BOM[Part Name],$A343)</f>
        <v/>
      </c>
      <c r="D403">
        <f>$C403*D402</f>
        <v/>
      </c>
      <c r="E403">
        <f>$C403*E402</f>
        <v/>
      </c>
      <c r="F403">
        <f>$C403*F402</f>
        <v/>
      </c>
      <c r="G403">
        <f>$C403*G402</f>
        <v/>
      </c>
      <c r="H403">
        <f>$C403*H402</f>
        <v/>
      </c>
      <c r="I403">
        <f>$C403*I402</f>
        <v/>
      </c>
      <c r="J403">
        <f>$C403*J402</f>
        <v/>
      </c>
      <c r="K403">
        <f>$C403*K402</f>
        <v/>
      </c>
      <c r="L403">
        <f>$C403*L402</f>
        <v/>
      </c>
      <c r="M403">
        <f>$C403*M402</f>
        <v/>
      </c>
      <c r="N403">
        <f>$C403*N402</f>
        <v/>
      </c>
      <c r="O403">
        <f>$C403*O402</f>
        <v/>
      </c>
      <c r="P403">
        <f>$C403*P402</f>
        <v/>
      </c>
      <c r="Q403">
        <f>$C403*Q402</f>
        <v/>
      </c>
      <c r="R403">
        <f>$C403*R402</f>
        <v/>
      </c>
      <c r="S403">
        <f>$C403*S402</f>
        <v/>
      </c>
      <c r="T403">
        <f>$C403*T402</f>
        <v/>
      </c>
      <c r="U403">
        <f>$C403*U402</f>
        <v/>
      </c>
      <c r="V403">
        <f>$C403*V402</f>
        <v/>
      </c>
      <c r="W403">
        <f>$C403*W402</f>
        <v/>
      </c>
      <c r="X403">
        <f>$C403*X402</f>
        <v/>
      </c>
      <c r="Y403">
        <f>$C403*Y402</f>
        <v/>
      </c>
      <c r="Z403">
        <f>$C403*Z402</f>
        <v/>
      </c>
      <c r="AA403">
        <f>$C403*AA402</f>
        <v/>
      </c>
      <c r="AB403">
        <f>$C403*AB402</f>
        <v/>
      </c>
      <c r="AC403">
        <f>$C403*AC402</f>
        <v/>
      </c>
      <c r="AD403">
        <f>$C403*AD402</f>
        <v/>
      </c>
      <c r="AE403">
        <f>$C403*AE402</f>
        <v/>
      </c>
      <c r="AF403">
        <f>$C403*AF402</f>
        <v/>
      </c>
      <c r="AG403">
        <f>$C403*AG402</f>
        <v/>
      </c>
      <c r="AH403">
        <f>$C403*AH402</f>
        <v/>
      </c>
      <c r="AI403">
        <f>$C403*AI402</f>
        <v/>
      </c>
      <c r="AJ403">
        <f>$C403*AJ402</f>
        <v/>
      </c>
      <c r="AK403">
        <f>$C403*AK402</f>
        <v/>
      </c>
      <c r="AL403">
        <f>$C403*AL402</f>
        <v/>
      </c>
      <c r="AM403">
        <f>$C403*AM402</f>
        <v/>
      </c>
      <c r="AN403">
        <f>$C403*AN402</f>
        <v/>
      </c>
      <c r="AO403">
        <f>$C403*AO402</f>
        <v/>
      </c>
      <c r="AP403">
        <f>$C403*AP402</f>
        <v/>
      </c>
      <c r="AQ403">
        <f>$C403*AQ402</f>
        <v/>
      </c>
      <c r="AR403">
        <f>$C403*AR402</f>
        <v/>
      </c>
      <c r="AS403">
        <f>$C403*AS402</f>
        <v/>
      </c>
      <c r="AT403">
        <f>$C403*AT402</f>
        <v/>
      </c>
      <c r="AU403">
        <f>$C403*AU402</f>
        <v/>
      </c>
      <c r="AV403">
        <f>$C403*AV402</f>
        <v/>
      </c>
      <c r="AW403">
        <f>$C403*AW402</f>
        <v/>
      </c>
      <c r="AX403">
        <f>$C403*AX402</f>
        <v/>
      </c>
      <c r="AY403">
        <f>$C403*AY402</f>
        <v/>
      </c>
      <c r="AZ403">
        <f>$C403*AZ402</f>
        <v/>
      </c>
      <c r="BA403">
        <f>$C403*BA402</f>
        <v/>
      </c>
      <c r="BB403">
        <f>$C403*BB402</f>
        <v/>
      </c>
      <c r="BC403">
        <f>$C403*BC402</f>
        <v/>
      </c>
      <c r="BD403">
        <f>$C403*BD402</f>
        <v/>
      </c>
      <c r="BE403">
        <f>$C403*BE402</f>
        <v/>
      </c>
      <c r="BF403">
        <f>$C403*BF402</f>
        <v/>
      </c>
      <c r="BG403">
        <f>$C403*BG402</f>
        <v/>
      </c>
      <c r="BH403">
        <f>$C403*BH402</f>
        <v/>
      </c>
      <c r="BI403">
        <f>$C403*BI402</f>
        <v/>
      </c>
      <c r="BJ403">
        <f>$C403*BJ402</f>
        <v/>
      </c>
      <c r="BK403">
        <f>$C403*BK402</f>
        <v/>
      </c>
      <c r="BL403">
        <f>$C403*BL402</f>
        <v/>
      </c>
      <c r="BM403">
        <f>$C403*BM402</f>
        <v/>
      </c>
      <c r="BN403">
        <f>$C403*BN402</f>
        <v/>
      </c>
      <c r="BO403">
        <f>$C403*BO402</f>
        <v/>
      </c>
      <c r="BP403">
        <f>$C403*BP402</f>
        <v/>
      </c>
      <c r="BQ403">
        <f>$C403*BQ402</f>
        <v/>
      </c>
      <c r="BR403">
        <f>$C403*BR402</f>
        <v/>
      </c>
      <c r="BS403">
        <f>$C403*BS402</f>
        <v/>
      </c>
      <c r="BT403">
        <f>$C403*BT402</f>
        <v/>
      </c>
      <c r="BU403">
        <f>$C403*BU402</f>
        <v/>
      </c>
      <c r="BV403">
        <f>$C403*BV402</f>
        <v/>
      </c>
      <c r="BW403">
        <f>$C403*BW402</f>
        <v/>
      </c>
      <c r="BX403">
        <f>$C403*BX402</f>
        <v/>
      </c>
      <c r="BY403">
        <f>$C403*BY402</f>
        <v/>
      </c>
      <c r="BZ403">
        <f>$C403*BZ402</f>
        <v/>
      </c>
      <c r="CA403">
        <f>$C403*CA402</f>
        <v/>
      </c>
      <c r="CB403">
        <f>$C403*CB402</f>
        <v/>
      </c>
      <c r="CC403">
        <f>$C403*CC402</f>
        <v/>
      </c>
      <c r="CD403">
        <f>$C403*CD402</f>
        <v/>
      </c>
      <c r="CE403">
        <f>$C403*CE402</f>
        <v/>
      </c>
      <c r="CF403">
        <f>$C403*CF402</f>
        <v/>
      </c>
      <c r="CG403">
        <f>$C403*CG402</f>
        <v/>
      </c>
      <c r="CH403">
        <f>$C403*CH402</f>
        <v/>
      </c>
      <c r="CI403">
        <f>$C403*CI402</f>
        <v/>
      </c>
      <c r="CJ403">
        <f>$C403*CJ402</f>
        <v/>
      </c>
      <c r="CK403">
        <f>$C403*CK402</f>
        <v/>
      </c>
      <c r="CL403">
        <f>$C403*CL402</f>
        <v/>
      </c>
      <c r="CM403">
        <f>$C403*CM402</f>
        <v/>
      </c>
      <c r="CN403">
        <f>$C403*CN402</f>
        <v/>
      </c>
      <c r="CO403">
        <f>$C403*CO402</f>
        <v/>
      </c>
      <c r="CP403">
        <f>$C403*CP402</f>
        <v/>
      </c>
      <c r="CQ403">
        <f>$C403*CQ402</f>
        <v/>
      </c>
      <c r="CR403">
        <f>$C403*CR402</f>
        <v/>
      </c>
      <c r="CS403">
        <f>$C403*CS402</f>
        <v/>
      </c>
      <c r="CT403">
        <f>$C403*CT402</f>
        <v/>
      </c>
      <c r="CU403">
        <f>$C403*CU402</f>
        <v/>
      </c>
      <c r="CV403">
        <f>$C403*CV402</f>
        <v/>
      </c>
      <c r="CW403">
        <f>$C403*CW402</f>
        <v/>
      </c>
      <c r="CX403">
        <f>$C403*CX402</f>
        <v/>
      </c>
      <c r="CY403">
        <f>$C403*CY402</f>
        <v/>
      </c>
      <c r="CZ403">
        <f>$C403*CZ402</f>
        <v/>
      </c>
      <c r="DA403">
        <f>$C403*DA402</f>
        <v/>
      </c>
      <c r="DB403">
        <f>$C403*DB402</f>
        <v/>
      </c>
      <c r="DC403">
        <f>$C403*DC402</f>
        <v/>
      </c>
    </row>
    <row r="404">
      <c r="B404" t="inlineStr">
        <is>
          <t>VSP-600</t>
        </is>
      </c>
      <c r="C404" t="inlineStr">
        <is>
          <t>No. of batches</t>
        </is>
      </c>
      <c r="D404">
        <f>IFERROR(INDEX(PP_Grid[#Data],$DD404,2),0)</f>
        <v/>
      </c>
      <c r="E404">
        <f>IFERROR(INDEX(PP_Grid[#Data],$DD404,3),0)</f>
        <v/>
      </c>
      <c r="F404">
        <f>IFERROR(INDEX(PP_Grid[#Data],$DD404,4),0)</f>
        <v/>
      </c>
      <c r="G404">
        <f>IFERROR(INDEX(PP_Grid[#Data],$DD404,5),0)</f>
        <v/>
      </c>
      <c r="H404">
        <f>IFERROR(INDEX(PP_Grid[#Data],$DD404,6),0)</f>
        <v/>
      </c>
      <c r="I404">
        <f>IFERROR(INDEX(PP_Grid[#Data],$DD404,7),0)</f>
        <v/>
      </c>
      <c r="J404">
        <f>IFERROR(INDEX(PP_Grid[#Data],$DD404,8),0)</f>
        <v/>
      </c>
      <c r="K404">
        <f>IFERROR(INDEX(PP_Grid[#Data],$DD404,9),0)</f>
        <v/>
      </c>
      <c r="L404">
        <f>IFERROR(INDEX(PP_Grid[#Data],$DD404,10),0)</f>
        <v/>
      </c>
      <c r="M404">
        <f>IFERROR(INDEX(PP_Grid[#Data],$DD404,11),0)</f>
        <v/>
      </c>
      <c r="N404">
        <f>IFERROR(INDEX(PP_Grid[#Data],$DD404,12),0)</f>
        <v/>
      </c>
      <c r="O404">
        <f>IFERROR(INDEX(PP_Grid[#Data],$DD404,13),0)</f>
        <v/>
      </c>
      <c r="P404">
        <f>IFERROR(INDEX(PP_Grid[#Data],$DD404,14),0)</f>
        <v/>
      </c>
      <c r="Q404">
        <f>IFERROR(INDEX(PP_Grid[#Data],$DD404,15),0)</f>
        <v/>
      </c>
      <c r="R404">
        <f>IFERROR(INDEX(PP_Grid[#Data],$DD404,16),0)</f>
        <v/>
      </c>
      <c r="S404">
        <f>IFERROR(INDEX(PP_Grid[#Data],$DD404,17),0)</f>
        <v/>
      </c>
      <c r="T404">
        <f>IFERROR(INDEX(PP_Grid[#Data],$DD404,18),0)</f>
        <v/>
      </c>
      <c r="U404">
        <f>IFERROR(INDEX(PP_Grid[#Data],$DD404,19),0)</f>
        <v/>
      </c>
      <c r="V404">
        <f>IFERROR(INDEX(PP_Grid[#Data],$DD404,20),0)</f>
        <v/>
      </c>
      <c r="W404">
        <f>IFERROR(INDEX(PP_Grid[#Data],$DD404,21),0)</f>
        <v/>
      </c>
      <c r="X404">
        <f>IFERROR(INDEX(PP_Grid[#Data],$DD404,22),0)</f>
        <v/>
      </c>
      <c r="Y404">
        <f>IFERROR(INDEX(PP_Grid[#Data],$DD404,23),0)</f>
        <v/>
      </c>
      <c r="Z404">
        <f>IFERROR(INDEX(PP_Grid[#Data],$DD404,24),0)</f>
        <v/>
      </c>
      <c r="AA404">
        <f>IFERROR(INDEX(PP_Grid[#Data],$DD404,25),0)</f>
        <v/>
      </c>
      <c r="AB404">
        <f>IFERROR(INDEX(PP_Grid[#Data],$DD404,26),0)</f>
        <v/>
      </c>
      <c r="AC404">
        <f>IFERROR(INDEX(PP_Grid[#Data],$DD404,27),0)</f>
        <v/>
      </c>
      <c r="AD404">
        <f>IFERROR(INDEX(PP_Grid[#Data],$DD404,28),0)</f>
        <v/>
      </c>
      <c r="AE404">
        <f>IFERROR(INDEX(PP_Grid[#Data],$DD404,29),0)</f>
        <v/>
      </c>
      <c r="AF404">
        <f>IFERROR(INDEX(PP_Grid[#Data],$DD404,30),0)</f>
        <v/>
      </c>
      <c r="AG404">
        <f>IFERROR(INDEX(PP_Grid[#Data],$DD404,31),0)</f>
        <v/>
      </c>
      <c r="AH404">
        <f>IFERROR(INDEX(PP_Grid[#Data],$DD404,32),0)</f>
        <v/>
      </c>
      <c r="AI404">
        <f>IFERROR(INDEX(PP_Grid[#Data],$DD404,33),0)</f>
        <v/>
      </c>
      <c r="AJ404">
        <f>IFERROR(INDEX(PP_Grid[#Data],$DD404,34),0)</f>
        <v/>
      </c>
      <c r="AK404">
        <f>IFERROR(INDEX(PP_Grid[#Data],$DD404,35),0)</f>
        <v/>
      </c>
      <c r="AL404">
        <f>IFERROR(INDEX(PP_Grid[#Data],$DD404,36),0)</f>
        <v/>
      </c>
      <c r="AM404">
        <f>IFERROR(INDEX(PP_Grid[#Data],$DD404,37),0)</f>
        <v/>
      </c>
      <c r="AN404">
        <f>IFERROR(INDEX(PP_Grid[#Data],$DD404,38),0)</f>
        <v/>
      </c>
      <c r="AO404">
        <f>IFERROR(INDEX(PP_Grid[#Data],$DD404,39),0)</f>
        <v/>
      </c>
      <c r="AP404">
        <f>IFERROR(INDEX(PP_Grid[#Data],$DD404,40),0)</f>
        <v/>
      </c>
      <c r="AQ404">
        <f>IFERROR(INDEX(PP_Grid[#Data],$DD404,41),0)</f>
        <v/>
      </c>
      <c r="AR404">
        <f>IFERROR(INDEX(PP_Grid[#Data],$DD404,42),0)</f>
        <v/>
      </c>
      <c r="AS404">
        <f>IFERROR(INDEX(PP_Grid[#Data],$DD404,43),0)</f>
        <v/>
      </c>
      <c r="AT404">
        <f>IFERROR(INDEX(PP_Grid[#Data],$DD404,44),0)</f>
        <v/>
      </c>
      <c r="AU404">
        <f>IFERROR(INDEX(PP_Grid[#Data],$DD404,45),0)</f>
        <v/>
      </c>
      <c r="AV404">
        <f>IFERROR(INDEX(PP_Grid[#Data],$DD404,46),0)</f>
        <v/>
      </c>
      <c r="AW404">
        <f>IFERROR(INDEX(PP_Grid[#Data],$DD404,47),0)</f>
        <v/>
      </c>
      <c r="AX404">
        <f>IFERROR(INDEX(PP_Grid[#Data],$DD404,48),0)</f>
        <v/>
      </c>
      <c r="AY404">
        <f>IFERROR(INDEX(PP_Grid[#Data],$DD404,49),0)</f>
        <v/>
      </c>
      <c r="AZ404">
        <f>IFERROR(INDEX(PP_Grid[#Data],$DD404,50),0)</f>
        <v/>
      </c>
      <c r="BA404">
        <f>IFERROR(INDEX(PP_Grid[#Data],$DD404,51),0)</f>
        <v/>
      </c>
      <c r="BB404">
        <f>IFERROR(INDEX(PP_Grid[#Data],$DD404,52),0)</f>
        <v/>
      </c>
      <c r="BC404">
        <f>IFERROR(INDEX(PP_Grid[#Data],$DD404,53),0)</f>
        <v/>
      </c>
      <c r="BD404">
        <f>IFERROR(INDEX(PP_Grid[#Data],$DD404,54),0)</f>
        <v/>
      </c>
      <c r="BE404">
        <f>IFERROR(INDEX(PP_Grid[#Data],$DD404,55),0)</f>
        <v/>
      </c>
      <c r="BF404">
        <f>IFERROR(INDEX(PP_Grid[#Data],$DD404,56),0)</f>
        <v/>
      </c>
      <c r="BG404">
        <f>IFERROR(INDEX(PP_Grid[#Data],$DD404,57),0)</f>
        <v/>
      </c>
      <c r="BH404">
        <f>IFERROR(INDEX(PP_Grid[#Data],$DD404,58),0)</f>
        <v/>
      </c>
      <c r="BI404">
        <f>IFERROR(INDEX(PP_Grid[#Data],$DD404,59),0)</f>
        <v/>
      </c>
      <c r="BJ404">
        <f>IFERROR(INDEX(PP_Grid[#Data],$DD404,60),0)</f>
        <v/>
      </c>
      <c r="BK404">
        <f>IFERROR(INDEX(PP_Grid[#Data],$DD404,61),0)</f>
        <v/>
      </c>
      <c r="BL404">
        <f>IFERROR(INDEX(PP_Grid[#Data],$DD404,62),0)</f>
        <v/>
      </c>
      <c r="BM404">
        <f>IFERROR(INDEX(PP_Grid[#Data],$DD404,63),0)</f>
        <v/>
      </c>
      <c r="BN404">
        <f>IFERROR(INDEX(PP_Grid[#Data],$DD404,64),0)</f>
        <v/>
      </c>
      <c r="BO404">
        <f>IFERROR(INDEX(PP_Grid[#Data],$DD404,65),0)</f>
        <v/>
      </c>
      <c r="BP404">
        <f>IFERROR(INDEX(PP_Grid[#Data],$DD404,66),0)</f>
        <v/>
      </c>
      <c r="BQ404">
        <f>IFERROR(INDEX(PP_Grid[#Data],$DD404,67),0)</f>
        <v/>
      </c>
      <c r="BR404">
        <f>IFERROR(INDEX(PP_Grid[#Data],$DD404,68),0)</f>
        <v/>
      </c>
      <c r="BS404">
        <f>IFERROR(INDEX(PP_Grid[#Data],$DD404,69),0)</f>
        <v/>
      </c>
      <c r="BT404">
        <f>IFERROR(INDEX(PP_Grid[#Data],$DD404,70),0)</f>
        <v/>
      </c>
      <c r="BU404">
        <f>IFERROR(INDEX(PP_Grid[#Data],$DD404,71),0)</f>
        <v/>
      </c>
      <c r="BV404">
        <f>IFERROR(INDEX(PP_Grid[#Data],$DD404,72),0)</f>
        <v/>
      </c>
      <c r="BW404">
        <f>IFERROR(INDEX(PP_Grid[#Data],$DD404,73),0)</f>
        <v/>
      </c>
      <c r="BX404">
        <f>IFERROR(INDEX(PP_Grid[#Data],$DD404,74),0)</f>
        <v/>
      </c>
      <c r="BY404">
        <f>IFERROR(INDEX(PP_Grid[#Data],$DD404,75),0)</f>
        <v/>
      </c>
      <c r="BZ404">
        <f>IFERROR(INDEX(PP_Grid[#Data],$DD404,76),0)</f>
        <v/>
      </c>
      <c r="CA404">
        <f>IFERROR(INDEX(PP_Grid[#Data],$DD404,77),0)</f>
        <v/>
      </c>
      <c r="CB404">
        <f>IFERROR(INDEX(PP_Grid[#Data],$DD404,78),0)</f>
        <v/>
      </c>
      <c r="CC404">
        <f>IFERROR(INDEX(PP_Grid[#Data],$DD404,79),0)</f>
        <v/>
      </c>
      <c r="CD404">
        <f>IFERROR(INDEX(PP_Grid[#Data],$DD404,80),0)</f>
        <v/>
      </c>
      <c r="CE404">
        <f>IFERROR(INDEX(PP_Grid[#Data],$DD404,81),0)</f>
        <v/>
      </c>
      <c r="CF404">
        <f>IFERROR(INDEX(PP_Grid[#Data],$DD404,82),0)</f>
        <v/>
      </c>
      <c r="CG404">
        <f>IFERROR(INDEX(PP_Grid[#Data],$DD404,83),0)</f>
        <v/>
      </c>
      <c r="CH404">
        <f>IFERROR(INDEX(PP_Grid[#Data],$DD404,84),0)</f>
        <v/>
      </c>
      <c r="CI404">
        <f>IFERROR(INDEX(PP_Grid[#Data],$DD404,85),0)</f>
        <v/>
      </c>
      <c r="CJ404">
        <f>IFERROR(INDEX(PP_Grid[#Data],$DD404,86),0)</f>
        <v/>
      </c>
      <c r="CK404">
        <f>IFERROR(INDEX(PP_Grid[#Data],$DD404,87),0)</f>
        <v/>
      </c>
      <c r="CL404">
        <f>IFERROR(INDEX(PP_Grid[#Data],$DD404,88),0)</f>
        <v/>
      </c>
      <c r="CM404">
        <f>IFERROR(INDEX(PP_Grid[#Data],$DD404,89),0)</f>
        <v/>
      </c>
      <c r="CN404">
        <f>IFERROR(INDEX(PP_Grid[#Data],$DD404,90),0)</f>
        <v/>
      </c>
      <c r="CO404">
        <f>IFERROR(INDEX(PP_Grid[#Data],$DD404,91),0)</f>
        <v/>
      </c>
      <c r="CP404">
        <f>IFERROR(INDEX(PP_Grid[#Data],$DD404,92),0)</f>
        <v/>
      </c>
      <c r="CQ404">
        <f>IFERROR(INDEX(PP_Grid[#Data],$DD404,93),0)</f>
        <v/>
      </c>
      <c r="CR404">
        <f>IFERROR(INDEX(PP_Grid[#Data],$DD404,94),0)</f>
        <v/>
      </c>
      <c r="CS404">
        <f>IFERROR(INDEX(PP_Grid[#Data],$DD404,95),0)</f>
        <v/>
      </c>
      <c r="CT404">
        <f>IFERROR(INDEX(PP_Grid[#Data],$DD404,96),0)</f>
        <v/>
      </c>
      <c r="CU404">
        <f>IFERROR(INDEX(PP_Grid[#Data],$DD404,97),0)</f>
        <v/>
      </c>
      <c r="CV404">
        <f>IFERROR(INDEX(PP_Grid[#Data],$DD404,98),0)</f>
        <v/>
      </c>
      <c r="CW404">
        <f>IFERROR(INDEX(PP_Grid[#Data],$DD404,99),0)</f>
        <v/>
      </c>
      <c r="CX404">
        <f>IFERROR(INDEX(PP_Grid[#Data],$DD404,100),0)</f>
        <v/>
      </c>
      <c r="CY404">
        <f>IFERROR(INDEX(PP_Grid[#Data],$DD404,101),0)</f>
        <v/>
      </c>
      <c r="CZ404">
        <f>IFERROR(INDEX(PP_Grid[#Data],$DD404,102),0)</f>
        <v/>
      </c>
      <c r="DA404">
        <f>IFERROR(INDEX(PP_Grid[#Data],$DD404,103),0)</f>
        <v/>
      </c>
      <c r="DB404">
        <f>IFERROR(INDEX(PP_Grid[#Data],$DD404,104),0)</f>
        <v/>
      </c>
      <c r="DC404">
        <f>IFERROR(INDEX(PP_Grid[#Data],$DD404,105),0)</f>
        <v/>
      </c>
      <c r="DD404" s="7">
        <f>IFERROR(MATCH($B404,PP_Grid[Intermediate],0),99999)</f>
        <v/>
      </c>
    </row>
    <row r="405">
      <c r="B405" t="inlineStr">
        <is>
          <t>使用量(kg)</t>
        </is>
      </c>
      <c r="C405">
        <f>SUMIFS(M_BOM[RM_Qty_Per_Batch],M_BOM[Intermediate],$B404,M_BOM[Part Name],$A343)</f>
        <v/>
      </c>
      <c r="D405">
        <f>$C405*D404</f>
        <v/>
      </c>
      <c r="E405">
        <f>$C405*E404</f>
        <v/>
      </c>
      <c r="F405">
        <f>$C405*F404</f>
        <v/>
      </c>
      <c r="G405">
        <f>$C405*G404</f>
        <v/>
      </c>
      <c r="H405">
        <f>$C405*H404</f>
        <v/>
      </c>
      <c r="I405">
        <f>$C405*I404</f>
        <v/>
      </c>
      <c r="J405">
        <f>$C405*J404</f>
        <v/>
      </c>
      <c r="K405">
        <f>$C405*K404</f>
        <v/>
      </c>
      <c r="L405">
        <f>$C405*L404</f>
        <v/>
      </c>
      <c r="M405">
        <f>$C405*M404</f>
        <v/>
      </c>
      <c r="N405">
        <f>$C405*N404</f>
        <v/>
      </c>
      <c r="O405">
        <f>$C405*O404</f>
        <v/>
      </c>
      <c r="P405">
        <f>$C405*P404</f>
        <v/>
      </c>
      <c r="Q405">
        <f>$C405*Q404</f>
        <v/>
      </c>
      <c r="R405">
        <f>$C405*R404</f>
        <v/>
      </c>
      <c r="S405">
        <f>$C405*S404</f>
        <v/>
      </c>
      <c r="T405">
        <f>$C405*T404</f>
        <v/>
      </c>
      <c r="U405">
        <f>$C405*U404</f>
        <v/>
      </c>
      <c r="V405">
        <f>$C405*V404</f>
        <v/>
      </c>
      <c r="W405">
        <f>$C405*W404</f>
        <v/>
      </c>
      <c r="X405">
        <f>$C405*X404</f>
        <v/>
      </c>
      <c r="Y405">
        <f>$C405*Y404</f>
        <v/>
      </c>
      <c r="Z405">
        <f>$C405*Z404</f>
        <v/>
      </c>
      <c r="AA405">
        <f>$C405*AA404</f>
        <v/>
      </c>
      <c r="AB405">
        <f>$C405*AB404</f>
        <v/>
      </c>
      <c r="AC405">
        <f>$C405*AC404</f>
        <v/>
      </c>
      <c r="AD405">
        <f>$C405*AD404</f>
        <v/>
      </c>
      <c r="AE405">
        <f>$C405*AE404</f>
        <v/>
      </c>
      <c r="AF405">
        <f>$C405*AF404</f>
        <v/>
      </c>
      <c r="AG405">
        <f>$C405*AG404</f>
        <v/>
      </c>
      <c r="AH405">
        <f>$C405*AH404</f>
        <v/>
      </c>
      <c r="AI405">
        <f>$C405*AI404</f>
        <v/>
      </c>
      <c r="AJ405">
        <f>$C405*AJ404</f>
        <v/>
      </c>
      <c r="AK405">
        <f>$C405*AK404</f>
        <v/>
      </c>
      <c r="AL405">
        <f>$C405*AL404</f>
        <v/>
      </c>
      <c r="AM405">
        <f>$C405*AM404</f>
        <v/>
      </c>
      <c r="AN405">
        <f>$C405*AN404</f>
        <v/>
      </c>
      <c r="AO405">
        <f>$C405*AO404</f>
        <v/>
      </c>
      <c r="AP405">
        <f>$C405*AP404</f>
        <v/>
      </c>
      <c r="AQ405">
        <f>$C405*AQ404</f>
        <v/>
      </c>
      <c r="AR405">
        <f>$C405*AR404</f>
        <v/>
      </c>
      <c r="AS405">
        <f>$C405*AS404</f>
        <v/>
      </c>
      <c r="AT405">
        <f>$C405*AT404</f>
        <v/>
      </c>
      <c r="AU405">
        <f>$C405*AU404</f>
        <v/>
      </c>
      <c r="AV405">
        <f>$C405*AV404</f>
        <v/>
      </c>
      <c r="AW405">
        <f>$C405*AW404</f>
        <v/>
      </c>
      <c r="AX405">
        <f>$C405*AX404</f>
        <v/>
      </c>
      <c r="AY405">
        <f>$C405*AY404</f>
        <v/>
      </c>
      <c r="AZ405">
        <f>$C405*AZ404</f>
        <v/>
      </c>
      <c r="BA405">
        <f>$C405*BA404</f>
        <v/>
      </c>
      <c r="BB405">
        <f>$C405*BB404</f>
        <v/>
      </c>
      <c r="BC405">
        <f>$C405*BC404</f>
        <v/>
      </c>
      <c r="BD405">
        <f>$C405*BD404</f>
        <v/>
      </c>
      <c r="BE405">
        <f>$C405*BE404</f>
        <v/>
      </c>
      <c r="BF405">
        <f>$C405*BF404</f>
        <v/>
      </c>
      <c r="BG405">
        <f>$C405*BG404</f>
        <v/>
      </c>
      <c r="BH405">
        <f>$C405*BH404</f>
        <v/>
      </c>
      <c r="BI405">
        <f>$C405*BI404</f>
        <v/>
      </c>
      <c r="BJ405">
        <f>$C405*BJ404</f>
        <v/>
      </c>
      <c r="BK405">
        <f>$C405*BK404</f>
        <v/>
      </c>
      <c r="BL405">
        <f>$C405*BL404</f>
        <v/>
      </c>
      <c r="BM405">
        <f>$C405*BM404</f>
        <v/>
      </c>
      <c r="BN405">
        <f>$C405*BN404</f>
        <v/>
      </c>
      <c r="BO405">
        <f>$C405*BO404</f>
        <v/>
      </c>
      <c r="BP405">
        <f>$C405*BP404</f>
        <v/>
      </c>
      <c r="BQ405">
        <f>$C405*BQ404</f>
        <v/>
      </c>
      <c r="BR405">
        <f>$C405*BR404</f>
        <v/>
      </c>
      <c r="BS405">
        <f>$C405*BS404</f>
        <v/>
      </c>
      <c r="BT405">
        <f>$C405*BT404</f>
        <v/>
      </c>
      <c r="BU405">
        <f>$C405*BU404</f>
        <v/>
      </c>
      <c r="BV405">
        <f>$C405*BV404</f>
        <v/>
      </c>
      <c r="BW405">
        <f>$C405*BW404</f>
        <v/>
      </c>
      <c r="BX405">
        <f>$C405*BX404</f>
        <v/>
      </c>
      <c r="BY405">
        <f>$C405*BY404</f>
        <v/>
      </c>
      <c r="BZ405">
        <f>$C405*BZ404</f>
        <v/>
      </c>
      <c r="CA405">
        <f>$C405*CA404</f>
        <v/>
      </c>
      <c r="CB405">
        <f>$C405*CB404</f>
        <v/>
      </c>
      <c r="CC405">
        <f>$C405*CC404</f>
        <v/>
      </c>
      <c r="CD405">
        <f>$C405*CD404</f>
        <v/>
      </c>
      <c r="CE405">
        <f>$C405*CE404</f>
        <v/>
      </c>
      <c r="CF405">
        <f>$C405*CF404</f>
        <v/>
      </c>
      <c r="CG405">
        <f>$C405*CG404</f>
        <v/>
      </c>
      <c r="CH405">
        <f>$C405*CH404</f>
        <v/>
      </c>
      <c r="CI405">
        <f>$C405*CI404</f>
        <v/>
      </c>
      <c r="CJ405">
        <f>$C405*CJ404</f>
        <v/>
      </c>
      <c r="CK405">
        <f>$C405*CK404</f>
        <v/>
      </c>
      <c r="CL405">
        <f>$C405*CL404</f>
        <v/>
      </c>
      <c r="CM405">
        <f>$C405*CM404</f>
        <v/>
      </c>
      <c r="CN405">
        <f>$C405*CN404</f>
        <v/>
      </c>
      <c r="CO405">
        <f>$C405*CO404</f>
        <v/>
      </c>
      <c r="CP405">
        <f>$C405*CP404</f>
        <v/>
      </c>
      <c r="CQ405">
        <f>$C405*CQ404</f>
        <v/>
      </c>
      <c r="CR405">
        <f>$C405*CR404</f>
        <v/>
      </c>
      <c r="CS405">
        <f>$C405*CS404</f>
        <v/>
      </c>
      <c r="CT405">
        <f>$C405*CT404</f>
        <v/>
      </c>
      <c r="CU405">
        <f>$C405*CU404</f>
        <v/>
      </c>
      <c r="CV405">
        <f>$C405*CV404</f>
        <v/>
      </c>
      <c r="CW405">
        <f>$C405*CW404</f>
        <v/>
      </c>
      <c r="CX405">
        <f>$C405*CX404</f>
        <v/>
      </c>
      <c r="CY405">
        <f>$C405*CY404</f>
        <v/>
      </c>
      <c r="CZ405">
        <f>$C405*CZ404</f>
        <v/>
      </c>
      <c r="DA405">
        <f>$C405*DA404</f>
        <v/>
      </c>
      <c r="DB405">
        <f>$C405*DB404</f>
        <v/>
      </c>
      <c r="DC405">
        <f>$C405*DC404</f>
        <v/>
      </c>
    </row>
    <row r="406">
      <c r="B406" t="inlineStr">
        <is>
          <t>VSP-601</t>
        </is>
      </c>
      <c r="C406" t="inlineStr">
        <is>
          <t>No. of batches</t>
        </is>
      </c>
      <c r="D406">
        <f>IFERROR(INDEX(PP_Grid[#Data],$DD406,2),0)</f>
        <v/>
      </c>
      <c r="E406">
        <f>IFERROR(INDEX(PP_Grid[#Data],$DD406,3),0)</f>
        <v/>
      </c>
      <c r="F406">
        <f>IFERROR(INDEX(PP_Grid[#Data],$DD406,4),0)</f>
        <v/>
      </c>
      <c r="G406">
        <f>IFERROR(INDEX(PP_Grid[#Data],$DD406,5),0)</f>
        <v/>
      </c>
      <c r="H406">
        <f>IFERROR(INDEX(PP_Grid[#Data],$DD406,6),0)</f>
        <v/>
      </c>
      <c r="I406">
        <f>IFERROR(INDEX(PP_Grid[#Data],$DD406,7),0)</f>
        <v/>
      </c>
      <c r="J406">
        <f>IFERROR(INDEX(PP_Grid[#Data],$DD406,8),0)</f>
        <v/>
      </c>
      <c r="K406">
        <f>IFERROR(INDEX(PP_Grid[#Data],$DD406,9),0)</f>
        <v/>
      </c>
      <c r="L406">
        <f>IFERROR(INDEX(PP_Grid[#Data],$DD406,10),0)</f>
        <v/>
      </c>
      <c r="M406">
        <f>IFERROR(INDEX(PP_Grid[#Data],$DD406,11),0)</f>
        <v/>
      </c>
      <c r="N406">
        <f>IFERROR(INDEX(PP_Grid[#Data],$DD406,12),0)</f>
        <v/>
      </c>
      <c r="O406">
        <f>IFERROR(INDEX(PP_Grid[#Data],$DD406,13),0)</f>
        <v/>
      </c>
      <c r="P406">
        <f>IFERROR(INDEX(PP_Grid[#Data],$DD406,14),0)</f>
        <v/>
      </c>
      <c r="Q406">
        <f>IFERROR(INDEX(PP_Grid[#Data],$DD406,15),0)</f>
        <v/>
      </c>
      <c r="R406">
        <f>IFERROR(INDEX(PP_Grid[#Data],$DD406,16),0)</f>
        <v/>
      </c>
      <c r="S406">
        <f>IFERROR(INDEX(PP_Grid[#Data],$DD406,17),0)</f>
        <v/>
      </c>
      <c r="T406">
        <f>IFERROR(INDEX(PP_Grid[#Data],$DD406,18),0)</f>
        <v/>
      </c>
      <c r="U406">
        <f>IFERROR(INDEX(PP_Grid[#Data],$DD406,19),0)</f>
        <v/>
      </c>
      <c r="V406">
        <f>IFERROR(INDEX(PP_Grid[#Data],$DD406,20),0)</f>
        <v/>
      </c>
      <c r="W406">
        <f>IFERROR(INDEX(PP_Grid[#Data],$DD406,21),0)</f>
        <v/>
      </c>
      <c r="X406">
        <f>IFERROR(INDEX(PP_Grid[#Data],$DD406,22),0)</f>
        <v/>
      </c>
      <c r="Y406">
        <f>IFERROR(INDEX(PP_Grid[#Data],$DD406,23),0)</f>
        <v/>
      </c>
      <c r="Z406">
        <f>IFERROR(INDEX(PP_Grid[#Data],$DD406,24),0)</f>
        <v/>
      </c>
      <c r="AA406">
        <f>IFERROR(INDEX(PP_Grid[#Data],$DD406,25),0)</f>
        <v/>
      </c>
      <c r="AB406">
        <f>IFERROR(INDEX(PP_Grid[#Data],$DD406,26),0)</f>
        <v/>
      </c>
      <c r="AC406">
        <f>IFERROR(INDEX(PP_Grid[#Data],$DD406,27),0)</f>
        <v/>
      </c>
      <c r="AD406">
        <f>IFERROR(INDEX(PP_Grid[#Data],$DD406,28),0)</f>
        <v/>
      </c>
      <c r="AE406">
        <f>IFERROR(INDEX(PP_Grid[#Data],$DD406,29),0)</f>
        <v/>
      </c>
      <c r="AF406">
        <f>IFERROR(INDEX(PP_Grid[#Data],$DD406,30),0)</f>
        <v/>
      </c>
      <c r="AG406">
        <f>IFERROR(INDEX(PP_Grid[#Data],$DD406,31),0)</f>
        <v/>
      </c>
      <c r="AH406">
        <f>IFERROR(INDEX(PP_Grid[#Data],$DD406,32),0)</f>
        <v/>
      </c>
      <c r="AI406">
        <f>IFERROR(INDEX(PP_Grid[#Data],$DD406,33),0)</f>
        <v/>
      </c>
      <c r="AJ406">
        <f>IFERROR(INDEX(PP_Grid[#Data],$DD406,34),0)</f>
        <v/>
      </c>
      <c r="AK406">
        <f>IFERROR(INDEX(PP_Grid[#Data],$DD406,35),0)</f>
        <v/>
      </c>
      <c r="AL406">
        <f>IFERROR(INDEX(PP_Grid[#Data],$DD406,36),0)</f>
        <v/>
      </c>
      <c r="AM406">
        <f>IFERROR(INDEX(PP_Grid[#Data],$DD406,37),0)</f>
        <v/>
      </c>
      <c r="AN406">
        <f>IFERROR(INDEX(PP_Grid[#Data],$DD406,38),0)</f>
        <v/>
      </c>
      <c r="AO406">
        <f>IFERROR(INDEX(PP_Grid[#Data],$DD406,39),0)</f>
        <v/>
      </c>
      <c r="AP406">
        <f>IFERROR(INDEX(PP_Grid[#Data],$DD406,40),0)</f>
        <v/>
      </c>
      <c r="AQ406">
        <f>IFERROR(INDEX(PP_Grid[#Data],$DD406,41),0)</f>
        <v/>
      </c>
      <c r="AR406">
        <f>IFERROR(INDEX(PP_Grid[#Data],$DD406,42),0)</f>
        <v/>
      </c>
      <c r="AS406">
        <f>IFERROR(INDEX(PP_Grid[#Data],$DD406,43),0)</f>
        <v/>
      </c>
      <c r="AT406">
        <f>IFERROR(INDEX(PP_Grid[#Data],$DD406,44),0)</f>
        <v/>
      </c>
      <c r="AU406">
        <f>IFERROR(INDEX(PP_Grid[#Data],$DD406,45),0)</f>
        <v/>
      </c>
      <c r="AV406">
        <f>IFERROR(INDEX(PP_Grid[#Data],$DD406,46),0)</f>
        <v/>
      </c>
      <c r="AW406">
        <f>IFERROR(INDEX(PP_Grid[#Data],$DD406,47),0)</f>
        <v/>
      </c>
      <c r="AX406">
        <f>IFERROR(INDEX(PP_Grid[#Data],$DD406,48),0)</f>
        <v/>
      </c>
      <c r="AY406">
        <f>IFERROR(INDEX(PP_Grid[#Data],$DD406,49),0)</f>
        <v/>
      </c>
      <c r="AZ406">
        <f>IFERROR(INDEX(PP_Grid[#Data],$DD406,50),0)</f>
        <v/>
      </c>
      <c r="BA406">
        <f>IFERROR(INDEX(PP_Grid[#Data],$DD406,51),0)</f>
        <v/>
      </c>
      <c r="BB406">
        <f>IFERROR(INDEX(PP_Grid[#Data],$DD406,52),0)</f>
        <v/>
      </c>
      <c r="BC406">
        <f>IFERROR(INDEX(PP_Grid[#Data],$DD406,53),0)</f>
        <v/>
      </c>
      <c r="BD406">
        <f>IFERROR(INDEX(PP_Grid[#Data],$DD406,54),0)</f>
        <v/>
      </c>
      <c r="BE406">
        <f>IFERROR(INDEX(PP_Grid[#Data],$DD406,55),0)</f>
        <v/>
      </c>
      <c r="BF406">
        <f>IFERROR(INDEX(PP_Grid[#Data],$DD406,56),0)</f>
        <v/>
      </c>
      <c r="BG406">
        <f>IFERROR(INDEX(PP_Grid[#Data],$DD406,57),0)</f>
        <v/>
      </c>
      <c r="BH406">
        <f>IFERROR(INDEX(PP_Grid[#Data],$DD406,58),0)</f>
        <v/>
      </c>
      <c r="BI406">
        <f>IFERROR(INDEX(PP_Grid[#Data],$DD406,59),0)</f>
        <v/>
      </c>
      <c r="BJ406">
        <f>IFERROR(INDEX(PP_Grid[#Data],$DD406,60),0)</f>
        <v/>
      </c>
      <c r="BK406">
        <f>IFERROR(INDEX(PP_Grid[#Data],$DD406,61),0)</f>
        <v/>
      </c>
      <c r="BL406">
        <f>IFERROR(INDEX(PP_Grid[#Data],$DD406,62),0)</f>
        <v/>
      </c>
      <c r="BM406">
        <f>IFERROR(INDEX(PP_Grid[#Data],$DD406,63),0)</f>
        <v/>
      </c>
      <c r="BN406">
        <f>IFERROR(INDEX(PP_Grid[#Data],$DD406,64),0)</f>
        <v/>
      </c>
      <c r="BO406">
        <f>IFERROR(INDEX(PP_Grid[#Data],$DD406,65),0)</f>
        <v/>
      </c>
      <c r="BP406">
        <f>IFERROR(INDEX(PP_Grid[#Data],$DD406,66),0)</f>
        <v/>
      </c>
      <c r="BQ406">
        <f>IFERROR(INDEX(PP_Grid[#Data],$DD406,67),0)</f>
        <v/>
      </c>
      <c r="BR406">
        <f>IFERROR(INDEX(PP_Grid[#Data],$DD406,68),0)</f>
        <v/>
      </c>
      <c r="BS406">
        <f>IFERROR(INDEX(PP_Grid[#Data],$DD406,69),0)</f>
        <v/>
      </c>
      <c r="BT406">
        <f>IFERROR(INDEX(PP_Grid[#Data],$DD406,70),0)</f>
        <v/>
      </c>
      <c r="BU406">
        <f>IFERROR(INDEX(PP_Grid[#Data],$DD406,71),0)</f>
        <v/>
      </c>
      <c r="BV406">
        <f>IFERROR(INDEX(PP_Grid[#Data],$DD406,72),0)</f>
        <v/>
      </c>
      <c r="BW406">
        <f>IFERROR(INDEX(PP_Grid[#Data],$DD406,73),0)</f>
        <v/>
      </c>
      <c r="BX406">
        <f>IFERROR(INDEX(PP_Grid[#Data],$DD406,74),0)</f>
        <v/>
      </c>
      <c r="BY406">
        <f>IFERROR(INDEX(PP_Grid[#Data],$DD406,75),0)</f>
        <v/>
      </c>
      <c r="BZ406">
        <f>IFERROR(INDEX(PP_Grid[#Data],$DD406,76),0)</f>
        <v/>
      </c>
      <c r="CA406">
        <f>IFERROR(INDEX(PP_Grid[#Data],$DD406,77),0)</f>
        <v/>
      </c>
      <c r="CB406">
        <f>IFERROR(INDEX(PP_Grid[#Data],$DD406,78),0)</f>
        <v/>
      </c>
      <c r="CC406">
        <f>IFERROR(INDEX(PP_Grid[#Data],$DD406,79),0)</f>
        <v/>
      </c>
      <c r="CD406">
        <f>IFERROR(INDEX(PP_Grid[#Data],$DD406,80),0)</f>
        <v/>
      </c>
      <c r="CE406">
        <f>IFERROR(INDEX(PP_Grid[#Data],$DD406,81),0)</f>
        <v/>
      </c>
      <c r="CF406">
        <f>IFERROR(INDEX(PP_Grid[#Data],$DD406,82),0)</f>
        <v/>
      </c>
      <c r="CG406">
        <f>IFERROR(INDEX(PP_Grid[#Data],$DD406,83),0)</f>
        <v/>
      </c>
      <c r="CH406">
        <f>IFERROR(INDEX(PP_Grid[#Data],$DD406,84),0)</f>
        <v/>
      </c>
      <c r="CI406">
        <f>IFERROR(INDEX(PP_Grid[#Data],$DD406,85),0)</f>
        <v/>
      </c>
      <c r="CJ406">
        <f>IFERROR(INDEX(PP_Grid[#Data],$DD406,86),0)</f>
        <v/>
      </c>
      <c r="CK406">
        <f>IFERROR(INDEX(PP_Grid[#Data],$DD406,87),0)</f>
        <v/>
      </c>
      <c r="CL406">
        <f>IFERROR(INDEX(PP_Grid[#Data],$DD406,88),0)</f>
        <v/>
      </c>
      <c r="CM406">
        <f>IFERROR(INDEX(PP_Grid[#Data],$DD406,89),0)</f>
        <v/>
      </c>
      <c r="CN406">
        <f>IFERROR(INDEX(PP_Grid[#Data],$DD406,90),0)</f>
        <v/>
      </c>
      <c r="CO406">
        <f>IFERROR(INDEX(PP_Grid[#Data],$DD406,91),0)</f>
        <v/>
      </c>
      <c r="CP406">
        <f>IFERROR(INDEX(PP_Grid[#Data],$DD406,92),0)</f>
        <v/>
      </c>
      <c r="CQ406">
        <f>IFERROR(INDEX(PP_Grid[#Data],$DD406,93),0)</f>
        <v/>
      </c>
      <c r="CR406">
        <f>IFERROR(INDEX(PP_Grid[#Data],$DD406,94),0)</f>
        <v/>
      </c>
      <c r="CS406">
        <f>IFERROR(INDEX(PP_Grid[#Data],$DD406,95),0)</f>
        <v/>
      </c>
      <c r="CT406">
        <f>IFERROR(INDEX(PP_Grid[#Data],$DD406,96),0)</f>
        <v/>
      </c>
      <c r="CU406">
        <f>IFERROR(INDEX(PP_Grid[#Data],$DD406,97),0)</f>
        <v/>
      </c>
      <c r="CV406">
        <f>IFERROR(INDEX(PP_Grid[#Data],$DD406,98),0)</f>
        <v/>
      </c>
      <c r="CW406">
        <f>IFERROR(INDEX(PP_Grid[#Data],$DD406,99),0)</f>
        <v/>
      </c>
      <c r="CX406">
        <f>IFERROR(INDEX(PP_Grid[#Data],$DD406,100),0)</f>
        <v/>
      </c>
      <c r="CY406">
        <f>IFERROR(INDEX(PP_Grid[#Data],$DD406,101),0)</f>
        <v/>
      </c>
      <c r="CZ406">
        <f>IFERROR(INDEX(PP_Grid[#Data],$DD406,102),0)</f>
        <v/>
      </c>
      <c r="DA406">
        <f>IFERROR(INDEX(PP_Grid[#Data],$DD406,103),0)</f>
        <v/>
      </c>
      <c r="DB406">
        <f>IFERROR(INDEX(PP_Grid[#Data],$DD406,104),0)</f>
        <v/>
      </c>
      <c r="DC406">
        <f>IFERROR(INDEX(PP_Grid[#Data],$DD406,105),0)</f>
        <v/>
      </c>
      <c r="DD406" s="7">
        <f>IFERROR(MATCH($B406,PP_Grid[Intermediate],0),99999)</f>
        <v/>
      </c>
    </row>
    <row r="407">
      <c r="B407" t="inlineStr">
        <is>
          <t>使用量(kg)</t>
        </is>
      </c>
      <c r="C407">
        <f>SUMIFS(M_BOM[RM_Qty_Per_Batch],M_BOM[Intermediate],$B406,M_BOM[Part Name],$A343)</f>
        <v/>
      </c>
      <c r="D407">
        <f>$C407*D406</f>
        <v/>
      </c>
      <c r="E407">
        <f>$C407*E406</f>
        <v/>
      </c>
      <c r="F407">
        <f>$C407*F406</f>
        <v/>
      </c>
      <c r="G407">
        <f>$C407*G406</f>
        <v/>
      </c>
      <c r="H407">
        <f>$C407*H406</f>
        <v/>
      </c>
      <c r="I407">
        <f>$C407*I406</f>
        <v/>
      </c>
      <c r="J407">
        <f>$C407*J406</f>
        <v/>
      </c>
      <c r="K407">
        <f>$C407*K406</f>
        <v/>
      </c>
      <c r="L407">
        <f>$C407*L406</f>
        <v/>
      </c>
      <c r="M407">
        <f>$C407*M406</f>
        <v/>
      </c>
      <c r="N407">
        <f>$C407*N406</f>
        <v/>
      </c>
      <c r="O407">
        <f>$C407*O406</f>
        <v/>
      </c>
      <c r="P407">
        <f>$C407*P406</f>
        <v/>
      </c>
      <c r="Q407">
        <f>$C407*Q406</f>
        <v/>
      </c>
      <c r="R407">
        <f>$C407*R406</f>
        <v/>
      </c>
      <c r="S407">
        <f>$C407*S406</f>
        <v/>
      </c>
      <c r="T407">
        <f>$C407*T406</f>
        <v/>
      </c>
      <c r="U407">
        <f>$C407*U406</f>
        <v/>
      </c>
      <c r="V407">
        <f>$C407*V406</f>
        <v/>
      </c>
      <c r="W407">
        <f>$C407*W406</f>
        <v/>
      </c>
      <c r="X407">
        <f>$C407*X406</f>
        <v/>
      </c>
      <c r="Y407">
        <f>$C407*Y406</f>
        <v/>
      </c>
      <c r="Z407">
        <f>$C407*Z406</f>
        <v/>
      </c>
      <c r="AA407">
        <f>$C407*AA406</f>
        <v/>
      </c>
      <c r="AB407">
        <f>$C407*AB406</f>
        <v/>
      </c>
      <c r="AC407">
        <f>$C407*AC406</f>
        <v/>
      </c>
      <c r="AD407">
        <f>$C407*AD406</f>
        <v/>
      </c>
      <c r="AE407">
        <f>$C407*AE406</f>
        <v/>
      </c>
      <c r="AF407">
        <f>$C407*AF406</f>
        <v/>
      </c>
      <c r="AG407">
        <f>$C407*AG406</f>
        <v/>
      </c>
      <c r="AH407">
        <f>$C407*AH406</f>
        <v/>
      </c>
      <c r="AI407">
        <f>$C407*AI406</f>
        <v/>
      </c>
      <c r="AJ407">
        <f>$C407*AJ406</f>
        <v/>
      </c>
      <c r="AK407">
        <f>$C407*AK406</f>
        <v/>
      </c>
      <c r="AL407">
        <f>$C407*AL406</f>
        <v/>
      </c>
      <c r="AM407">
        <f>$C407*AM406</f>
        <v/>
      </c>
      <c r="AN407">
        <f>$C407*AN406</f>
        <v/>
      </c>
      <c r="AO407">
        <f>$C407*AO406</f>
        <v/>
      </c>
      <c r="AP407">
        <f>$C407*AP406</f>
        <v/>
      </c>
      <c r="AQ407">
        <f>$C407*AQ406</f>
        <v/>
      </c>
      <c r="AR407">
        <f>$C407*AR406</f>
        <v/>
      </c>
      <c r="AS407">
        <f>$C407*AS406</f>
        <v/>
      </c>
      <c r="AT407">
        <f>$C407*AT406</f>
        <v/>
      </c>
      <c r="AU407">
        <f>$C407*AU406</f>
        <v/>
      </c>
      <c r="AV407">
        <f>$C407*AV406</f>
        <v/>
      </c>
      <c r="AW407">
        <f>$C407*AW406</f>
        <v/>
      </c>
      <c r="AX407">
        <f>$C407*AX406</f>
        <v/>
      </c>
      <c r="AY407">
        <f>$C407*AY406</f>
        <v/>
      </c>
      <c r="AZ407">
        <f>$C407*AZ406</f>
        <v/>
      </c>
      <c r="BA407">
        <f>$C407*BA406</f>
        <v/>
      </c>
      <c r="BB407">
        <f>$C407*BB406</f>
        <v/>
      </c>
      <c r="BC407">
        <f>$C407*BC406</f>
        <v/>
      </c>
      <c r="BD407">
        <f>$C407*BD406</f>
        <v/>
      </c>
      <c r="BE407">
        <f>$C407*BE406</f>
        <v/>
      </c>
      <c r="BF407">
        <f>$C407*BF406</f>
        <v/>
      </c>
      <c r="BG407">
        <f>$C407*BG406</f>
        <v/>
      </c>
      <c r="BH407">
        <f>$C407*BH406</f>
        <v/>
      </c>
      <c r="BI407">
        <f>$C407*BI406</f>
        <v/>
      </c>
      <c r="BJ407">
        <f>$C407*BJ406</f>
        <v/>
      </c>
      <c r="BK407">
        <f>$C407*BK406</f>
        <v/>
      </c>
      <c r="BL407">
        <f>$C407*BL406</f>
        <v/>
      </c>
      <c r="BM407">
        <f>$C407*BM406</f>
        <v/>
      </c>
      <c r="BN407">
        <f>$C407*BN406</f>
        <v/>
      </c>
      <c r="BO407">
        <f>$C407*BO406</f>
        <v/>
      </c>
      <c r="BP407">
        <f>$C407*BP406</f>
        <v/>
      </c>
      <c r="BQ407">
        <f>$C407*BQ406</f>
        <v/>
      </c>
      <c r="BR407">
        <f>$C407*BR406</f>
        <v/>
      </c>
      <c r="BS407">
        <f>$C407*BS406</f>
        <v/>
      </c>
      <c r="BT407">
        <f>$C407*BT406</f>
        <v/>
      </c>
      <c r="BU407">
        <f>$C407*BU406</f>
        <v/>
      </c>
      <c r="BV407">
        <f>$C407*BV406</f>
        <v/>
      </c>
      <c r="BW407">
        <f>$C407*BW406</f>
        <v/>
      </c>
      <c r="BX407">
        <f>$C407*BX406</f>
        <v/>
      </c>
      <c r="BY407">
        <f>$C407*BY406</f>
        <v/>
      </c>
      <c r="BZ407">
        <f>$C407*BZ406</f>
        <v/>
      </c>
      <c r="CA407">
        <f>$C407*CA406</f>
        <v/>
      </c>
      <c r="CB407">
        <f>$C407*CB406</f>
        <v/>
      </c>
      <c r="CC407">
        <f>$C407*CC406</f>
        <v/>
      </c>
      <c r="CD407">
        <f>$C407*CD406</f>
        <v/>
      </c>
      <c r="CE407">
        <f>$C407*CE406</f>
        <v/>
      </c>
      <c r="CF407">
        <f>$C407*CF406</f>
        <v/>
      </c>
      <c r="CG407">
        <f>$C407*CG406</f>
        <v/>
      </c>
      <c r="CH407">
        <f>$C407*CH406</f>
        <v/>
      </c>
      <c r="CI407">
        <f>$C407*CI406</f>
        <v/>
      </c>
      <c r="CJ407">
        <f>$C407*CJ406</f>
        <v/>
      </c>
      <c r="CK407">
        <f>$C407*CK406</f>
        <v/>
      </c>
      <c r="CL407">
        <f>$C407*CL406</f>
        <v/>
      </c>
      <c r="CM407">
        <f>$C407*CM406</f>
        <v/>
      </c>
      <c r="CN407">
        <f>$C407*CN406</f>
        <v/>
      </c>
      <c r="CO407">
        <f>$C407*CO406</f>
        <v/>
      </c>
      <c r="CP407">
        <f>$C407*CP406</f>
        <v/>
      </c>
      <c r="CQ407">
        <f>$C407*CQ406</f>
        <v/>
      </c>
      <c r="CR407">
        <f>$C407*CR406</f>
        <v/>
      </c>
      <c r="CS407">
        <f>$C407*CS406</f>
        <v/>
      </c>
      <c r="CT407">
        <f>$C407*CT406</f>
        <v/>
      </c>
      <c r="CU407">
        <f>$C407*CU406</f>
        <v/>
      </c>
      <c r="CV407">
        <f>$C407*CV406</f>
        <v/>
      </c>
      <c r="CW407">
        <f>$C407*CW406</f>
        <v/>
      </c>
      <c r="CX407">
        <f>$C407*CX406</f>
        <v/>
      </c>
      <c r="CY407">
        <f>$C407*CY406</f>
        <v/>
      </c>
      <c r="CZ407">
        <f>$C407*CZ406</f>
        <v/>
      </c>
      <c r="DA407">
        <f>$C407*DA406</f>
        <v/>
      </c>
      <c r="DB407">
        <f>$C407*DB406</f>
        <v/>
      </c>
      <c r="DC407">
        <f>$C407*DC406</f>
        <v/>
      </c>
    </row>
    <row r="408">
      <c r="B408" t="inlineStr">
        <is>
          <t>VSP-602</t>
        </is>
      </c>
      <c r="C408" t="inlineStr">
        <is>
          <t>No. of batches</t>
        </is>
      </c>
      <c r="D408">
        <f>IFERROR(INDEX(PP_Grid[#Data],$DD408,2),0)</f>
        <v/>
      </c>
      <c r="E408">
        <f>IFERROR(INDEX(PP_Grid[#Data],$DD408,3),0)</f>
        <v/>
      </c>
      <c r="F408">
        <f>IFERROR(INDEX(PP_Grid[#Data],$DD408,4),0)</f>
        <v/>
      </c>
      <c r="G408">
        <f>IFERROR(INDEX(PP_Grid[#Data],$DD408,5),0)</f>
        <v/>
      </c>
      <c r="H408">
        <f>IFERROR(INDEX(PP_Grid[#Data],$DD408,6),0)</f>
        <v/>
      </c>
      <c r="I408">
        <f>IFERROR(INDEX(PP_Grid[#Data],$DD408,7),0)</f>
        <v/>
      </c>
      <c r="J408">
        <f>IFERROR(INDEX(PP_Grid[#Data],$DD408,8),0)</f>
        <v/>
      </c>
      <c r="K408">
        <f>IFERROR(INDEX(PP_Grid[#Data],$DD408,9),0)</f>
        <v/>
      </c>
      <c r="L408">
        <f>IFERROR(INDEX(PP_Grid[#Data],$DD408,10),0)</f>
        <v/>
      </c>
      <c r="M408">
        <f>IFERROR(INDEX(PP_Grid[#Data],$DD408,11),0)</f>
        <v/>
      </c>
      <c r="N408">
        <f>IFERROR(INDEX(PP_Grid[#Data],$DD408,12),0)</f>
        <v/>
      </c>
      <c r="O408">
        <f>IFERROR(INDEX(PP_Grid[#Data],$DD408,13),0)</f>
        <v/>
      </c>
      <c r="P408">
        <f>IFERROR(INDEX(PP_Grid[#Data],$DD408,14),0)</f>
        <v/>
      </c>
      <c r="Q408">
        <f>IFERROR(INDEX(PP_Grid[#Data],$DD408,15),0)</f>
        <v/>
      </c>
      <c r="R408">
        <f>IFERROR(INDEX(PP_Grid[#Data],$DD408,16),0)</f>
        <v/>
      </c>
      <c r="S408">
        <f>IFERROR(INDEX(PP_Grid[#Data],$DD408,17),0)</f>
        <v/>
      </c>
      <c r="T408">
        <f>IFERROR(INDEX(PP_Grid[#Data],$DD408,18),0)</f>
        <v/>
      </c>
      <c r="U408">
        <f>IFERROR(INDEX(PP_Grid[#Data],$DD408,19),0)</f>
        <v/>
      </c>
      <c r="V408">
        <f>IFERROR(INDEX(PP_Grid[#Data],$DD408,20),0)</f>
        <v/>
      </c>
      <c r="W408">
        <f>IFERROR(INDEX(PP_Grid[#Data],$DD408,21),0)</f>
        <v/>
      </c>
      <c r="X408">
        <f>IFERROR(INDEX(PP_Grid[#Data],$DD408,22),0)</f>
        <v/>
      </c>
      <c r="Y408">
        <f>IFERROR(INDEX(PP_Grid[#Data],$DD408,23),0)</f>
        <v/>
      </c>
      <c r="Z408">
        <f>IFERROR(INDEX(PP_Grid[#Data],$DD408,24),0)</f>
        <v/>
      </c>
      <c r="AA408">
        <f>IFERROR(INDEX(PP_Grid[#Data],$DD408,25),0)</f>
        <v/>
      </c>
      <c r="AB408">
        <f>IFERROR(INDEX(PP_Grid[#Data],$DD408,26),0)</f>
        <v/>
      </c>
      <c r="AC408">
        <f>IFERROR(INDEX(PP_Grid[#Data],$DD408,27),0)</f>
        <v/>
      </c>
      <c r="AD408">
        <f>IFERROR(INDEX(PP_Grid[#Data],$DD408,28),0)</f>
        <v/>
      </c>
      <c r="AE408">
        <f>IFERROR(INDEX(PP_Grid[#Data],$DD408,29),0)</f>
        <v/>
      </c>
      <c r="AF408">
        <f>IFERROR(INDEX(PP_Grid[#Data],$DD408,30),0)</f>
        <v/>
      </c>
      <c r="AG408">
        <f>IFERROR(INDEX(PP_Grid[#Data],$DD408,31),0)</f>
        <v/>
      </c>
      <c r="AH408">
        <f>IFERROR(INDEX(PP_Grid[#Data],$DD408,32),0)</f>
        <v/>
      </c>
      <c r="AI408">
        <f>IFERROR(INDEX(PP_Grid[#Data],$DD408,33),0)</f>
        <v/>
      </c>
      <c r="AJ408">
        <f>IFERROR(INDEX(PP_Grid[#Data],$DD408,34),0)</f>
        <v/>
      </c>
      <c r="AK408">
        <f>IFERROR(INDEX(PP_Grid[#Data],$DD408,35),0)</f>
        <v/>
      </c>
      <c r="AL408">
        <f>IFERROR(INDEX(PP_Grid[#Data],$DD408,36),0)</f>
        <v/>
      </c>
      <c r="AM408">
        <f>IFERROR(INDEX(PP_Grid[#Data],$DD408,37),0)</f>
        <v/>
      </c>
      <c r="AN408">
        <f>IFERROR(INDEX(PP_Grid[#Data],$DD408,38),0)</f>
        <v/>
      </c>
      <c r="AO408">
        <f>IFERROR(INDEX(PP_Grid[#Data],$DD408,39),0)</f>
        <v/>
      </c>
      <c r="AP408">
        <f>IFERROR(INDEX(PP_Grid[#Data],$DD408,40),0)</f>
        <v/>
      </c>
      <c r="AQ408">
        <f>IFERROR(INDEX(PP_Grid[#Data],$DD408,41),0)</f>
        <v/>
      </c>
      <c r="AR408">
        <f>IFERROR(INDEX(PP_Grid[#Data],$DD408,42),0)</f>
        <v/>
      </c>
      <c r="AS408">
        <f>IFERROR(INDEX(PP_Grid[#Data],$DD408,43),0)</f>
        <v/>
      </c>
      <c r="AT408">
        <f>IFERROR(INDEX(PP_Grid[#Data],$DD408,44),0)</f>
        <v/>
      </c>
      <c r="AU408">
        <f>IFERROR(INDEX(PP_Grid[#Data],$DD408,45),0)</f>
        <v/>
      </c>
      <c r="AV408">
        <f>IFERROR(INDEX(PP_Grid[#Data],$DD408,46),0)</f>
        <v/>
      </c>
      <c r="AW408">
        <f>IFERROR(INDEX(PP_Grid[#Data],$DD408,47),0)</f>
        <v/>
      </c>
      <c r="AX408">
        <f>IFERROR(INDEX(PP_Grid[#Data],$DD408,48),0)</f>
        <v/>
      </c>
      <c r="AY408">
        <f>IFERROR(INDEX(PP_Grid[#Data],$DD408,49),0)</f>
        <v/>
      </c>
      <c r="AZ408">
        <f>IFERROR(INDEX(PP_Grid[#Data],$DD408,50),0)</f>
        <v/>
      </c>
      <c r="BA408">
        <f>IFERROR(INDEX(PP_Grid[#Data],$DD408,51),0)</f>
        <v/>
      </c>
      <c r="BB408">
        <f>IFERROR(INDEX(PP_Grid[#Data],$DD408,52),0)</f>
        <v/>
      </c>
      <c r="BC408">
        <f>IFERROR(INDEX(PP_Grid[#Data],$DD408,53),0)</f>
        <v/>
      </c>
      <c r="BD408">
        <f>IFERROR(INDEX(PP_Grid[#Data],$DD408,54),0)</f>
        <v/>
      </c>
      <c r="BE408">
        <f>IFERROR(INDEX(PP_Grid[#Data],$DD408,55),0)</f>
        <v/>
      </c>
      <c r="BF408">
        <f>IFERROR(INDEX(PP_Grid[#Data],$DD408,56),0)</f>
        <v/>
      </c>
      <c r="BG408">
        <f>IFERROR(INDEX(PP_Grid[#Data],$DD408,57),0)</f>
        <v/>
      </c>
      <c r="BH408">
        <f>IFERROR(INDEX(PP_Grid[#Data],$DD408,58),0)</f>
        <v/>
      </c>
      <c r="BI408">
        <f>IFERROR(INDEX(PP_Grid[#Data],$DD408,59),0)</f>
        <v/>
      </c>
      <c r="BJ408">
        <f>IFERROR(INDEX(PP_Grid[#Data],$DD408,60),0)</f>
        <v/>
      </c>
      <c r="BK408">
        <f>IFERROR(INDEX(PP_Grid[#Data],$DD408,61),0)</f>
        <v/>
      </c>
      <c r="BL408">
        <f>IFERROR(INDEX(PP_Grid[#Data],$DD408,62),0)</f>
        <v/>
      </c>
      <c r="BM408">
        <f>IFERROR(INDEX(PP_Grid[#Data],$DD408,63),0)</f>
        <v/>
      </c>
      <c r="BN408">
        <f>IFERROR(INDEX(PP_Grid[#Data],$DD408,64),0)</f>
        <v/>
      </c>
      <c r="BO408">
        <f>IFERROR(INDEX(PP_Grid[#Data],$DD408,65),0)</f>
        <v/>
      </c>
      <c r="BP408">
        <f>IFERROR(INDEX(PP_Grid[#Data],$DD408,66),0)</f>
        <v/>
      </c>
      <c r="BQ408">
        <f>IFERROR(INDEX(PP_Grid[#Data],$DD408,67),0)</f>
        <v/>
      </c>
      <c r="BR408">
        <f>IFERROR(INDEX(PP_Grid[#Data],$DD408,68),0)</f>
        <v/>
      </c>
      <c r="BS408">
        <f>IFERROR(INDEX(PP_Grid[#Data],$DD408,69),0)</f>
        <v/>
      </c>
      <c r="BT408">
        <f>IFERROR(INDEX(PP_Grid[#Data],$DD408,70),0)</f>
        <v/>
      </c>
      <c r="BU408">
        <f>IFERROR(INDEX(PP_Grid[#Data],$DD408,71),0)</f>
        <v/>
      </c>
      <c r="BV408">
        <f>IFERROR(INDEX(PP_Grid[#Data],$DD408,72),0)</f>
        <v/>
      </c>
      <c r="BW408">
        <f>IFERROR(INDEX(PP_Grid[#Data],$DD408,73),0)</f>
        <v/>
      </c>
      <c r="BX408">
        <f>IFERROR(INDEX(PP_Grid[#Data],$DD408,74),0)</f>
        <v/>
      </c>
      <c r="BY408">
        <f>IFERROR(INDEX(PP_Grid[#Data],$DD408,75),0)</f>
        <v/>
      </c>
      <c r="BZ408">
        <f>IFERROR(INDEX(PP_Grid[#Data],$DD408,76),0)</f>
        <v/>
      </c>
      <c r="CA408">
        <f>IFERROR(INDEX(PP_Grid[#Data],$DD408,77),0)</f>
        <v/>
      </c>
      <c r="CB408">
        <f>IFERROR(INDEX(PP_Grid[#Data],$DD408,78),0)</f>
        <v/>
      </c>
      <c r="CC408">
        <f>IFERROR(INDEX(PP_Grid[#Data],$DD408,79),0)</f>
        <v/>
      </c>
      <c r="CD408">
        <f>IFERROR(INDEX(PP_Grid[#Data],$DD408,80),0)</f>
        <v/>
      </c>
      <c r="CE408">
        <f>IFERROR(INDEX(PP_Grid[#Data],$DD408,81),0)</f>
        <v/>
      </c>
      <c r="CF408">
        <f>IFERROR(INDEX(PP_Grid[#Data],$DD408,82),0)</f>
        <v/>
      </c>
      <c r="CG408">
        <f>IFERROR(INDEX(PP_Grid[#Data],$DD408,83),0)</f>
        <v/>
      </c>
      <c r="CH408">
        <f>IFERROR(INDEX(PP_Grid[#Data],$DD408,84),0)</f>
        <v/>
      </c>
      <c r="CI408">
        <f>IFERROR(INDEX(PP_Grid[#Data],$DD408,85),0)</f>
        <v/>
      </c>
      <c r="CJ408">
        <f>IFERROR(INDEX(PP_Grid[#Data],$DD408,86),0)</f>
        <v/>
      </c>
      <c r="CK408">
        <f>IFERROR(INDEX(PP_Grid[#Data],$DD408,87),0)</f>
        <v/>
      </c>
      <c r="CL408">
        <f>IFERROR(INDEX(PP_Grid[#Data],$DD408,88),0)</f>
        <v/>
      </c>
      <c r="CM408">
        <f>IFERROR(INDEX(PP_Grid[#Data],$DD408,89),0)</f>
        <v/>
      </c>
      <c r="CN408">
        <f>IFERROR(INDEX(PP_Grid[#Data],$DD408,90),0)</f>
        <v/>
      </c>
      <c r="CO408">
        <f>IFERROR(INDEX(PP_Grid[#Data],$DD408,91),0)</f>
        <v/>
      </c>
      <c r="CP408">
        <f>IFERROR(INDEX(PP_Grid[#Data],$DD408,92),0)</f>
        <v/>
      </c>
      <c r="CQ408">
        <f>IFERROR(INDEX(PP_Grid[#Data],$DD408,93),0)</f>
        <v/>
      </c>
      <c r="CR408">
        <f>IFERROR(INDEX(PP_Grid[#Data],$DD408,94),0)</f>
        <v/>
      </c>
      <c r="CS408">
        <f>IFERROR(INDEX(PP_Grid[#Data],$DD408,95),0)</f>
        <v/>
      </c>
      <c r="CT408">
        <f>IFERROR(INDEX(PP_Grid[#Data],$DD408,96),0)</f>
        <v/>
      </c>
      <c r="CU408">
        <f>IFERROR(INDEX(PP_Grid[#Data],$DD408,97),0)</f>
        <v/>
      </c>
      <c r="CV408">
        <f>IFERROR(INDEX(PP_Grid[#Data],$DD408,98),0)</f>
        <v/>
      </c>
      <c r="CW408">
        <f>IFERROR(INDEX(PP_Grid[#Data],$DD408,99),0)</f>
        <v/>
      </c>
      <c r="CX408">
        <f>IFERROR(INDEX(PP_Grid[#Data],$DD408,100),0)</f>
        <v/>
      </c>
      <c r="CY408">
        <f>IFERROR(INDEX(PP_Grid[#Data],$DD408,101),0)</f>
        <v/>
      </c>
      <c r="CZ408">
        <f>IFERROR(INDEX(PP_Grid[#Data],$DD408,102),0)</f>
        <v/>
      </c>
      <c r="DA408">
        <f>IFERROR(INDEX(PP_Grid[#Data],$DD408,103),0)</f>
        <v/>
      </c>
      <c r="DB408">
        <f>IFERROR(INDEX(PP_Grid[#Data],$DD408,104),0)</f>
        <v/>
      </c>
      <c r="DC408">
        <f>IFERROR(INDEX(PP_Grid[#Data],$DD408,105),0)</f>
        <v/>
      </c>
      <c r="DD408" s="7">
        <f>IFERROR(MATCH($B408,PP_Grid[Intermediate],0),99999)</f>
        <v/>
      </c>
    </row>
    <row r="409">
      <c r="B409" t="inlineStr">
        <is>
          <t>使用量(kg)</t>
        </is>
      </c>
      <c r="C409">
        <f>SUMIFS(M_BOM[RM_Qty_Per_Batch],M_BOM[Intermediate],$B408,M_BOM[Part Name],$A343)</f>
        <v/>
      </c>
      <c r="D409">
        <f>$C409*D408</f>
        <v/>
      </c>
      <c r="E409">
        <f>$C409*E408</f>
        <v/>
      </c>
      <c r="F409">
        <f>$C409*F408</f>
        <v/>
      </c>
      <c r="G409">
        <f>$C409*G408</f>
        <v/>
      </c>
      <c r="H409">
        <f>$C409*H408</f>
        <v/>
      </c>
      <c r="I409">
        <f>$C409*I408</f>
        <v/>
      </c>
      <c r="J409">
        <f>$C409*J408</f>
        <v/>
      </c>
      <c r="K409">
        <f>$C409*K408</f>
        <v/>
      </c>
      <c r="L409">
        <f>$C409*L408</f>
        <v/>
      </c>
      <c r="M409">
        <f>$C409*M408</f>
        <v/>
      </c>
      <c r="N409">
        <f>$C409*N408</f>
        <v/>
      </c>
      <c r="O409">
        <f>$C409*O408</f>
        <v/>
      </c>
      <c r="P409">
        <f>$C409*P408</f>
        <v/>
      </c>
      <c r="Q409">
        <f>$C409*Q408</f>
        <v/>
      </c>
      <c r="R409">
        <f>$C409*R408</f>
        <v/>
      </c>
      <c r="S409">
        <f>$C409*S408</f>
        <v/>
      </c>
      <c r="T409">
        <f>$C409*T408</f>
        <v/>
      </c>
      <c r="U409">
        <f>$C409*U408</f>
        <v/>
      </c>
      <c r="V409">
        <f>$C409*V408</f>
        <v/>
      </c>
      <c r="W409">
        <f>$C409*W408</f>
        <v/>
      </c>
      <c r="X409">
        <f>$C409*X408</f>
        <v/>
      </c>
      <c r="Y409">
        <f>$C409*Y408</f>
        <v/>
      </c>
      <c r="Z409">
        <f>$C409*Z408</f>
        <v/>
      </c>
      <c r="AA409">
        <f>$C409*AA408</f>
        <v/>
      </c>
      <c r="AB409">
        <f>$C409*AB408</f>
        <v/>
      </c>
      <c r="AC409">
        <f>$C409*AC408</f>
        <v/>
      </c>
      <c r="AD409">
        <f>$C409*AD408</f>
        <v/>
      </c>
      <c r="AE409">
        <f>$C409*AE408</f>
        <v/>
      </c>
      <c r="AF409">
        <f>$C409*AF408</f>
        <v/>
      </c>
      <c r="AG409">
        <f>$C409*AG408</f>
        <v/>
      </c>
      <c r="AH409">
        <f>$C409*AH408</f>
        <v/>
      </c>
      <c r="AI409">
        <f>$C409*AI408</f>
        <v/>
      </c>
      <c r="AJ409">
        <f>$C409*AJ408</f>
        <v/>
      </c>
      <c r="AK409">
        <f>$C409*AK408</f>
        <v/>
      </c>
      <c r="AL409">
        <f>$C409*AL408</f>
        <v/>
      </c>
      <c r="AM409">
        <f>$C409*AM408</f>
        <v/>
      </c>
      <c r="AN409">
        <f>$C409*AN408</f>
        <v/>
      </c>
      <c r="AO409">
        <f>$C409*AO408</f>
        <v/>
      </c>
      <c r="AP409">
        <f>$C409*AP408</f>
        <v/>
      </c>
      <c r="AQ409">
        <f>$C409*AQ408</f>
        <v/>
      </c>
      <c r="AR409">
        <f>$C409*AR408</f>
        <v/>
      </c>
      <c r="AS409">
        <f>$C409*AS408</f>
        <v/>
      </c>
      <c r="AT409">
        <f>$C409*AT408</f>
        <v/>
      </c>
      <c r="AU409">
        <f>$C409*AU408</f>
        <v/>
      </c>
      <c r="AV409">
        <f>$C409*AV408</f>
        <v/>
      </c>
      <c r="AW409">
        <f>$C409*AW408</f>
        <v/>
      </c>
      <c r="AX409">
        <f>$C409*AX408</f>
        <v/>
      </c>
      <c r="AY409">
        <f>$C409*AY408</f>
        <v/>
      </c>
      <c r="AZ409">
        <f>$C409*AZ408</f>
        <v/>
      </c>
      <c r="BA409">
        <f>$C409*BA408</f>
        <v/>
      </c>
      <c r="BB409">
        <f>$C409*BB408</f>
        <v/>
      </c>
      <c r="BC409">
        <f>$C409*BC408</f>
        <v/>
      </c>
      <c r="BD409">
        <f>$C409*BD408</f>
        <v/>
      </c>
      <c r="BE409">
        <f>$C409*BE408</f>
        <v/>
      </c>
      <c r="BF409">
        <f>$C409*BF408</f>
        <v/>
      </c>
      <c r="BG409">
        <f>$C409*BG408</f>
        <v/>
      </c>
      <c r="BH409">
        <f>$C409*BH408</f>
        <v/>
      </c>
      <c r="BI409">
        <f>$C409*BI408</f>
        <v/>
      </c>
      <c r="BJ409">
        <f>$C409*BJ408</f>
        <v/>
      </c>
      <c r="BK409">
        <f>$C409*BK408</f>
        <v/>
      </c>
      <c r="BL409">
        <f>$C409*BL408</f>
        <v/>
      </c>
      <c r="BM409">
        <f>$C409*BM408</f>
        <v/>
      </c>
      <c r="BN409">
        <f>$C409*BN408</f>
        <v/>
      </c>
      <c r="BO409">
        <f>$C409*BO408</f>
        <v/>
      </c>
      <c r="BP409">
        <f>$C409*BP408</f>
        <v/>
      </c>
      <c r="BQ409">
        <f>$C409*BQ408</f>
        <v/>
      </c>
      <c r="BR409">
        <f>$C409*BR408</f>
        <v/>
      </c>
      <c r="BS409">
        <f>$C409*BS408</f>
        <v/>
      </c>
      <c r="BT409">
        <f>$C409*BT408</f>
        <v/>
      </c>
      <c r="BU409">
        <f>$C409*BU408</f>
        <v/>
      </c>
      <c r="BV409">
        <f>$C409*BV408</f>
        <v/>
      </c>
      <c r="BW409">
        <f>$C409*BW408</f>
        <v/>
      </c>
      <c r="BX409">
        <f>$C409*BX408</f>
        <v/>
      </c>
      <c r="BY409">
        <f>$C409*BY408</f>
        <v/>
      </c>
      <c r="BZ409">
        <f>$C409*BZ408</f>
        <v/>
      </c>
      <c r="CA409">
        <f>$C409*CA408</f>
        <v/>
      </c>
      <c r="CB409">
        <f>$C409*CB408</f>
        <v/>
      </c>
      <c r="CC409">
        <f>$C409*CC408</f>
        <v/>
      </c>
      <c r="CD409">
        <f>$C409*CD408</f>
        <v/>
      </c>
      <c r="CE409">
        <f>$C409*CE408</f>
        <v/>
      </c>
      <c r="CF409">
        <f>$C409*CF408</f>
        <v/>
      </c>
      <c r="CG409">
        <f>$C409*CG408</f>
        <v/>
      </c>
      <c r="CH409">
        <f>$C409*CH408</f>
        <v/>
      </c>
      <c r="CI409">
        <f>$C409*CI408</f>
        <v/>
      </c>
      <c r="CJ409">
        <f>$C409*CJ408</f>
        <v/>
      </c>
      <c r="CK409">
        <f>$C409*CK408</f>
        <v/>
      </c>
      <c r="CL409">
        <f>$C409*CL408</f>
        <v/>
      </c>
      <c r="CM409">
        <f>$C409*CM408</f>
        <v/>
      </c>
      <c r="CN409">
        <f>$C409*CN408</f>
        <v/>
      </c>
      <c r="CO409">
        <f>$C409*CO408</f>
        <v/>
      </c>
      <c r="CP409">
        <f>$C409*CP408</f>
        <v/>
      </c>
      <c r="CQ409">
        <f>$C409*CQ408</f>
        <v/>
      </c>
      <c r="CR409">
        <f>$C409*CR408</f>
        <v/>
      </c>
      <c r="CS409">
        <f>$C409*CS408</f>
        <v/>
      </c>
      <c r="CT409">
        <f>$C409*CT408</f>
        <v/>
      </c>
      <c r="CU409">
        <f>$C409*CU408</f>
        <v/>
      </c>
      <c r="CV409">
        <f>$C409*CV408</f>
        <v/>
      </c>
      <c r="CW409">
        <f>$C409*CW408</f>
        <v/>
      </c>
      <c r="CX409">
        <f>$C409*CX408</f>
        <v/>
      </c>
      <c r="CY409">
        <f>$C409*CY408</f>
        <v/>
      </c>
      <c r="CZ409">
        <f>$C409*CZ408</f>
        <v/>
      </c>
      <c r="DA409">
        <f>$C409*DA408</f>
        <v/>
      </c>
      <c r="DB409">
        <f>$C409*DB408</f>
        <v/>
      </c>
      <c r="DC409">
        <f>$C409*DC408</f>
        <v/>
      </c>
    </row>
    <row r="410">
      <c r="B410" t="inlineStr">
        <is>
          <t>VSP-603</t>
        </is>
      </c>
      <c r="C410" t="inlineStr">
        <is>
          <t>No. of batches</t>
        </is>
      </c>
      <c r="D410">
        <f>IFERROR(INDEX(PP_Grid[#Data],$DD410,2),0)</f>
        <v/>
      </c>
      <c r="E410">
        <f>IFERROR(INDEX(PP_Grid[#Data],$DD410,3),0)</f>
        <v/>
      </c>
      <c r="F410">
        <f>IFERROR(INDEX(PP_Grid[#Data],$DD410,4),0)</f>
        <v/>
      </c>
      <c r="G410">
        <f>IFERROR(INDEX(PP_Grid[#Data],$DD410,5),0)</f>
        <v/>
      </c>
      <c r="H410">
        <f>IFERROR(INDEX(PP_Grid[#Data],$DD410,6),0)</f>
        <v/>
      </c>
      <c r="I410">
        <f>IFERROR(INDEX(PP_Grid[#Data],$DD410,7),0)</f>
        <v/>
      </c>
      <c r="J410">
        <f>IFERROR(INDEX(PP_Grid[#Data],$DD410,8),0)</f>
        <v/>
      </c>
      <c r="K410">
        <f>IFERROR(INDEX(PP_Grid[#Data],$DD410,9),0)</f>
        <v/>
      </c>
      <c r="L410">
        <f>IFERROR(INDEX(PP_Grid[#Data],$DD410,10),0)</f>
        <v/>
      </c>
      <c r="M410">
        <f>IFERROR(INDEX(PP_Grid[#Data],$DD410,11),0)</f>
        <v/>
      </c>
      <c r="N410">
        <f>IFERROR(INDEX(PP_Grid[#Data],$DD410,12),0)</f>
        <v/>
      </c>
      <c r="O410">
        <f>IFERROR(INDEX(PP_Grid[#Data],$DD410,13),0)</f>
        <v/>
      </c>
      <c r="P410">
        <f>IFERROR(INDEX(PP_Grid[#Data],$DD410,14),0)</f>
        <v/>
      </c>
      <c r="Q410">
        <f>IFERROR(INDEX(PP_Grid[#Data],$DD410,15),0)</f>
        <v/>
      </c>
      <c r="R410">
        <f>IFERROR(INDEX(PP_Grid[#Data],$DD410,16),0)</f>
        <v/>
      </c>
      <c r="S410">
        <f>IFERROR(INDEX(PP_Grid[#Data],$DD410,17),0)</f>
        <v/>
      </c>
      <c r="T410">
        <f>IFERROR(INDEX(PP_Grid[#Data],$DD410,18),0)</f>
        <v/>
      </c>
      <c r="U410">
        <f>IFERROR(INDEX(PP_Grid[#Data],$DD410,19),0)</f>
        <v/>
      </c>
      <c r="V410">
        <f>IFERROR(INDEX(PP_Grid[#Data],$DD410,20),0)</f>
        <v/>
      </c>
      <c r="W410">
        <f>IFERROR(INDEX(PP_Grid[#Data],$DD410,21),0)</f>
        <v/>
      </c>
      <c r="X410">
        <f>IFERROR(INDEX(PP_Grid[#Data],$DD410,22),0)</f>
        <v/>
      </c>
      <c r="Y410">
        <f>IFERROR(INDEX(PP_Grid[#Data],$DD410,23),0)</f>
        <v/>
      </c>
      <c r="Z410">
        <f>IFERROR(INDEX(PP_Grid[#Data],$DD410,24),0)</f>
        <v/>
      </c>
      <c r="AA410">
        <f>IFERROR(INDEX(PP_Grid[#Data],$DD410,25),0)</f>
        <v/>
      </c>
      <c r="AB410">
        <f>IFERROR(INDEX(PP_Grid[#Data],$DD410,26),0)</f>
        <v/>
      </c>
      <c r="AC410">
        <f>IFERROR(INDEX(PP_Grid[#Data],$DD410,27),0)</f>
        <v/>
      </c>
      <c r="AD410">
        <f>IFERROR(INDEX(PP_Grid[#Data],$DD410,28),0)</f>
        <v/>
      </c>
      <c r="AE410">
        <f>IFERROR(INDEX(PP_Grid[#Data],$DD410,29),0)</f>
        <v/>
      </c>
      <c r="AF410">
        <f>IFERROR(INDEX(PP_Grid[#Data],$DD410,30),0)</f>
        <v/>
      </c>
      <c r="AG410">
        <f>IFERROR(INDEX(PP_Grid[#Data],$DD410,31),0)</f>
        <v/>
      </c>
      <c r="AH410">
        <f>IFERROR(INDEX(PP_Grid[#Data],$DD410,32),0)</f>
        <v/>
      </c>
      <c r="AI410">
        <f>IFERROR(INDEX(PP_Grid[#Data],$DD410,33),0)</f>
        <v/>
      </c>
      <c r="AJ410">
        <f>IFERROR(INDEX(PP_Grid[#Data],$DD410,34),0)</f>
        <v/>
      </c>
      <c r="AK410">
        <f>IFERROR(INDEX(PP_Grid[#Data],$DD410,35),0)</f>
        <v/>
      </c>
      <c r="AL410">
        <f>IFERROR(INDEX(PP_Grid[#Data],$DD410,36),0)</f>
        <v/>
      </c>
      <c r="AM410">
        <f>IFERROR(INDEX(PP_Grid[#Data],$DD410,37),0)</f>
        <v/>
      </c>
      <c r="AN410">
        <f>IFERROR(INDEX(PP_Grid[#Data],$DD410,38),0)</f>
        <v/>
      </c>
      <c r="AO410">
        <f>IFERROR(INDEX(PP_Grid[#Data],$DD410,39),0)</f>
        <v/>
      </c>
      <c r="AP410">
        <f>IFERROR(INDEX(PP_Grid[#Data],$DD410,40),0)</f>
        <v/>
      </c>
      <c r="AQ410">
        <f>IFERROR(INDEX(PP_Grid[#Data],$DD410,41),0)</f>
        <v/>
      </c>
      <c r="AR410">
        <f>IFERROR(INDEX(PP_Grid[#Data],$DD410,42),0)</f>
        <v/>
      </c>
      <c r="AS410">
        <f>IFERROR(INDEX(PP_Grid[#Data],$DD410,43),0)</f>
        <v/>
      </c>
      <c r="AT410">
        <f>IFERROR(INDEX(PP_Grid[#Data],$DD410,44),0)</f>
        <v/>
      </c>
      <c r="AU410">
        <f>IFERROR(INDEX(PP_Grid[#Data],$DD410,45),0)</f>
        <v/>
      </c>
      <c r="AV410">
        <f>IFERROR(INDEX(PP_Grid[#Data],$DD410,46),0)</f>
        <v/>
      </c>
      <c r="AW410">
        <f>IFERROR(INDEX(PP_Grid[#Data],$DD410,47),0)</f>
        <v/>
      </c>
      <c r="AX410">
        <f>IFERROR(INDEX(PP_Grid[#Data],$DD410,48),0)</f>
        <v/>
      </c>
      <c r="AY410">
        <f>IFERROR(INDEX(PP_Grid[#Data],$DD410,49),0)</f>
        <v/>
      </c>
      <c r="AZ410">
        <f>IFERROR(INDEX(PP_Grid[#Data],$DD410,50),0)</f>
        <v/>
      </c>
      <c r="BA410">
        <f>IFERROR(INDEX(PP_Grid[#Data],$DD410,51),0)</f>
        <v/>
      </c>
      <c r="BB410">
        <f>IFERROR(INDEX(PP_Grid[#Data],$DD410,52),0)</f>
        <v/>
      </c>
      <c r="BC410">
        <f>IFERROR(INDEX(PP_Grid[#Data],$DD410,53),0)</f>
        <v/>
      </c>
      <c r="BD410">
        <f>IFERROR(INDEX(PP_Grid[#Data],$DD410,54),0)</f>
        <v/>
      </c>
      <c r="BE410">
        <f>IFERROR(INDEX(PP_Grid[#Data],$DD410,55),0)</f>
        <v/>
      </c>
      <c r="BF410">
        <f>IFERROR(INDEX(PP_Grid[#Data],$DD410,56),0)</f>
        <v/>
      </c>
      <c r="BG410">
        <f>IFERROR(INDEX(PP_Grid[#Data],$DD410,57),0)</f>
        <v/>
      </c>
      <c r="BH410">
        <f>IFERROR(INDEX(PP_Grid[#Data],$DD410,58),0)</f>
        <v/>
      </c>
      <c r="BI410">
        <f>IFERROR(INDEX(PP_Grid[#Data],$DD410,59),0)</f>
        <v/>
      </c>
      <c r="BJ410">
        <f>IFERROR(INDEX(PP_Grid[#Data],$DD410,60),0)</f>
        <v/>
      </c>
      <c r="BK410">
        <f>IFERROR(INDEX(PP_Grid[#Data],$DD410,61),0)</f>
        <v/>
      </c>
      <c r="BL410">
        <f>IFERROR(INDEX(PP_Grid[#Data],$DD410,62),0)</f>
        <v/>
      </c>
      <c r="BM410">
        <f>IFERROR(INDEX(PP_Grid[#Data],$DD410,63),0)</f>
        <v/>
      </c>
      <c r="BN410">
        <f>IFERROR(INDEX(PP_Grid[#Data],$DD410,64),0)</f>
        <v/>
      </c>
      <c r="BO410">
        <f>IFERROR(INDEX(PP_Grid[#Data],$DD410,65),0)</f>
        <v/>
      </c>
      <c r="BP410">
        <f>IFERROR(INDEX(PP_Grid[#Data],$DD410,66),0)</f>
        <v/>
      </c>
      <c r="BQ410">
        <f>IFERROR(INDEX(PP_Grid[#Data],$DD410,67),0)</f>
        <v/>
      </c>
      <c r="BR410">
        <f>IFERROR(INDEX(PP_Grid[#Data],$DD410,68),0)</f>
        <v/>
      </c>
      <c r="BS410">
        <f>IFERROR(INDEX(PP_Grid[#Data],$DD410,69),0)</f>
        <v/>
      </c>
      <c r="BT410">
        <f>IFERROR(INDEX(PP_Grid[#Data],$DD410,70),0)</f>
        <v/>
      </c>
      <c r="BU410">
        <f>IFERROR(INDEX(PP_Grid[#Data],$DD410,71),0)</f>
        <v/>
      </c>
      <c r="BV410">
        <f>IFERROR(INDEX(PP_Grid[#Data],$DD410,72),0)</f>
        <v/>
      </c>
      <c r="BW410">
        <f>IFERROR(INDEX(PP_Grid[#Data],$DD410,73),0)</f>
        <v/>
      </c>
      <c r="BX410">
        <f>IFERROR(INDEX(PP_Grid[#Data],$DD410,74),0)</f>
        <v/>
      </c>
      <c r="BY410">
        <f>IFERROR(INDEX(PP_Grid[#Data],$DD410,75),0)</f>
        <v/>
      </c>
      <c r="BZ410">
        <f>IFERROR(INDEX(PP_Grid[#Data],$DD410,76),0)</f>
        <v/>
      </c>
      <c r="CA410">
        <f>IFERROR(INDEX(PP_Grid[#Data],$DD410,77),0)</f>
        <v/>
      </c>
      <c r="CB410">
        <f>IFERROR(INDEX(PP_Grid[#Data],$DD410,78),0)</f>
        <v/>
      </c>
      <c r="CC410">
        <f>IFERROR(INDEX(PP_Grid[#Data],$DD410,79),0)</f>
        <v/>
      </c>
      <c r="CD410">
        <f>IFERROR(INDEX(PP_Grid[#Data],$DD410,80),0)</f>
        <v/>
      </c>
      <c r="CE410">
        <f>IFERROR(INDEX(PP_Grid[#Data],$DD410,81),0)</f>
        <v/>
      </c>
      <c r="CF410">
        <f>IFERROR(INDEX(PP_Grid[#Data],$DD410,82),0)</f>
        <v/>
      </c>
      <c r="CG410">
        <f>IFERROR(INDEX(PP_Grid[#Data],$DD410,83),0)</f>
        <v/>
      </c>
      <c r="CH410">
        <f>IFERROR(INDEX(PP_Grid[#Data],$DD410,84),0)</f>
        <v/>
      </c>
      <c r="CI410">
        <f>IFERROR(INDEX(PP_Grid[#Data],$DD410,85),0)</f>
        <v/>
      </c>
      <c r="CJ410">
        <f>IFERROR(INDEX(PP_Grid[#Data],$DD410,86),0)</f>
        <v/>
      </c>
      <c r="CK410">
        <f>IFERROR(INDEX(PP_Grid[#Data],$DD410,87),0)</f>
        <v/>
      </c>
      <c r="CL410">
        <f>IFERROR(INDEX(PP_Grid[#Data],$DD410,88),0)</f>
        <v/>
      </c>
      <c r="CM410">
        <f>IFERROR(INDEX(PP_Grid[#Data],$DD410,89),0)</f>
        <v/>
      </c>
      <c r="CN410">
        <f>IFERROR(INDEX(PP_Grid[#Data],$DD410,90),0)</f>
        <v/>
      </c>
      <c r="CO410">
        <f>IFERROR(INDEX(PP_Grid[#Data],$DD410,91),0)</f>
        <v/>
      </c>
      <c r="CP410">
        <f>IFERROR(INDEX(PP_Grid[#Data],$DD410,92),0)</f>
        <v/>
      </c>
      <c r="CQ410">
        <f>IFERROR(INDEX(PP_Grid[#Data],$DD410,93),0)</f>
        <v/>
      </c>
      <c r="CR410">
        <f>IFERROR(INDEX(PP_Grid[#Data],$DD410,94),0)</f>
        <v/>
      </c>
      <c r="CS410">
        <f>IFERROR(INDEX(PP_Grid[#Data],$DD410,95),0)</f>
        <v/>
      </c>
      <c r="CT410">
        <f>IFERROR(INDEX(PP_Grid[#Data],$DD410,96),0)</f>
        <v/>
      </c>
      <c r="CU410">
        <f>IFERROR(INDEX(PP_Grid[#Data],$DD410,97),0)</f>
        <v/>
      </c>
      <c r="CV410">
        <f>IFERROR(INDEX(PP_Grid[#Data],$DD410,98),0)</f>
        <v/>
      </c>
      <c r="CW410">
        <f>IFERROR(INDEX(PP_Grid[#Data],$DD410,99),0)</f>
        <v/>
      </c>
      <c r="CX410">
        <f>IFERROR(INDEX(PP_Grid[#Data],$DD410,100),0)</f>
        <v/>
      </c>
      <c r="CY410">
        <f>IFERROR(INDEX(PP_Grid[#Data],$DD410,101),0)</f>
        <v/>
      </c>
      <c r="CZ410">
        <f>IFERROR(INDEX(PP_Grid[#Data],$DD410,102),0)</f>
        <v/>
      </c>
      <c r="DA410">
        <f>IFERROR(INDEX(PP_Grid[#Data],$DD410,103),0)</f>
        <v/>
      </c>
      <c r="DB410">
        <f>IFERROR(INDEX(PP_Grid[#Data],$DD410,104),0)</f>
        <v/>
      </c>
      <c r="DC410">
        <f>IFERROR(INDEX(PP_Grid[#Data],$DD410,105),0)</f>
        <v/>
      </c>
      <c r="DD410" s="7">
        <f>IFERROR(MATCH($B410,PP_Grid[Intermediate],0),99999)</f>
        <v/>
      </c>
    </row>
    <row r="411">
      <c r="B411" t="inlineStr">
        <is>
          <t>使用量(kg)</t>
        </is>
      </c>
      <c r="C411">
        <f>SUMIFS(M_BOM[RM_Qty_Per_Batch],M_BOM[Intermediate],$B410,M_BOM[Part Name],$A343)</f>
        <v/>
      </c>
      <c r="D411">
        <f>$C411*D410</f>
        <v/>
      </c>
      <c r="E411">
        <f>$C411*E410</f>
        <v/>
      </c>
      <c r="F411">
        <f>$C411*F410</f>
        <v/>
      </c>
      <c r="G411">
        <f>$C411*G410</f>
        <v/>
      </c>
      <c r="H411">
        <f>$C411*H410</f>
        <v/>
      </c>
      <c r="I411">
        <f>$C411*I410</f>
        <v/>
      </c>
      <c r="J411">
        <f>$C411*J410</f>
        <v/>
      </c>
      <c r="K411">
        <f>$C411*K410</f>
        <v/>
      </c>
      <c r="L411">
        <f>$C411*L410</f>
        <v/>
      </c>
      <c r="M411">
        <f>$C411*M410</f>
        <v/>
      </c>
      <c r="N411">
        <f>$C411*N410</f>
        <v/>
      </c>
      <c r="O411">
        <f>$C411*O410</f>
        <v/>
      </c>
      <c r="P411">
        <f>$C411*P410</f>
        <v/>
      </c>
      <c r="Q411">
        <f>$C411*Q410</f>
        <v/>
      </c>
      <c r="R411">
        <f>$C411*R410</f>
        <v/>
      </c>
      <c r="S411">
        <f>$C411*S410</f>
        <v/>
      </c>
      <c r="T411">
        <f>$C411*T410</f>
        <v/>
      </c>
      <c r="U411">
        <f>$C411*U410</f>
        <v/>
      </c>
      <c r="V411">
        <f>$C411*V410</f>
        <v/>
      </c>
      <c r="W411">
        <f>$C411*W410</f>
        <v/>
      </c>
      <c r="X411">
        <f>$C411*X410</f>
        <v/>
      </c>
      <c r="Y411">
        <f>$C411*Y410</f>
        <v/>
      </c>
      <c r="Z411">
        <f>$C411*Z410</f>
        <v/>
      </c>
      <c r="AA411">
        <f>$C411*AA410</f>
        <v/>
      </c>
      <c r="AB411">
        <f>$C411*AB410</f>
        <v/>
      </c>
      <c r="AC411">
        <f>$C411*AC410</f>
        <v/>
      </c>
      <c r="AD411">
        <f>$C411*AD410</f>
        <v/>
      </c>
      <c r="AE411">
        <f>$C411*AE410</f>
        <v/>
      </c>
      <c r="AF411">
        <f>$C411*AF410</f>
        <v/>
      </c>
      <c r="AG411">
        <f>$C411*AG410</f>
        <v/>
      </c>
      <c r="AH411">
        <f>$C411*AH410</f>
        <v/>
      </c>
      <c r="AI411">
        <f>$C411*AI410</f>
        <v/>
      </c>
      <c r="AJ411">
        <f>$C411*AJ410</f>
        <v/>
      </c>
      <c r="AK411">
        <f>$C411*AK410</f>
        <v/>
      </c>
      <c r="AL411">
        <f>$C411*AL410</f>
        <v/>
      </c>
      <c r="AM411">
        <f>$C411*AM410</f>
        <v/>
      </c>
      <c r="AN411">
        <f>$C411*AN410</f>
        <v/>
      </c>
      <c r="AO411">
        <f>$C411*AO410</f>
        <v/>
      </c>
      <c r="AP411">
        <f>$C411*AP410</f>
        <v/>
      </c>
      <c r="AQ411">
        <f>$C411*AQ410</f>
        <v/>
      </c>
      <c r="AR411">
        <f>$C411*AR410</f>
        <v/>
      </c>
      <c r="AS411">
        <f>$C411*AS410</f>
        <v/>
      </c>
      <c r="AT411">
        <f>$C411*AT410</f>
        <v/>
      </c>
      <c r="AU411">
        <f>$C411*AU410</f>
        <v/>
      </c>
      <c r="AV411">
        <f>$C411*AV410</f>
        <v/>
      </c>
      <c r="AW411">
        <f>$C411*AW410</f>
        <v/>
      </c>
      <c r="AX411">
        <f>$C411*AX410</f>
        <v/>
      </c>
      <c r="AY411">
        <f>$C411*AY410</f>
        <v/>
      </c>
      <c r="AZ411">
        <f>$C411*AZ410</f>
        <v/>
      </c>
      <c r="BA411">
        <f>$C411*BA410</f>
        <v/>
      </c>
      <c r="BB411">
        <f>$C411*BB410</f>
        <v/>
      </c>
      <c r="BC411">
        <f>$C411*BC410</f>
        <v/>
      </c>
      <c r="BD411">
        <f>$C411*BD410</f>
        <v/>
      </c>
      <c r="BE411">
        <f>$C411*BE410</f>
        <v/>
      </c>
      <c r="BF411">
        <f>$C411*BF410</f>
        <v/>
      </c>
      <c r="BG411">
        <f>$C411*BG410</f>
        <v/>
      </c>
      <c r="BH411">
        <f>$C411*BH410</f>
        <v/>
      </c>
      <c r="BI411">
        <f>$C411*BI410</f>
        <v/>
      </c>
      <c r="BJ411">
        <f>$C411*BJ410</f>
        <v/>
      </c>
      <c r="BK411">
        <f>$C411*BK410</f>
        <v/>
      </c>
      <c r="BL411">
        <f>$C411*BL410</f>
        <v/>
      </c>
      <c r="BM411">
        <f>$C411*BM410</f>
        <v/>
      </c>
      <c r="BN411">
        <f>$C411*BN410</f>
        <v/>
      </c>
      <c r="BO411">
        <f>$C411*BO410</f>
        <v/>
      </c>
      <c r="BP411">
        <f>$C411*BP410</f>
        <v/>
      </c>
      <c r="BQ411">
        <f>$C411*BQ410</f>
        <v/>
      </c>
      <c r="BR411">
        <f>$C411*BR410</f>
        <v/>
      </c>
      <c r="BS411">
        <f>$C411*BS410</f>
        <v/>
      </c>
      <c r="BT411">
        <f>$C411*BT410</f>
        <v/>
      </c>
      <c r="BU411">
        <f>$C411*BU410</f>
        <v/>
      </c>
      <c r="BV411">
        <f>$C411*BV410</f>
        <v/>
      </c>
      <c r="BW411">
        <f>$C411*BW410</f>
        <v/>
      </c>
      <c r="BX411">
        <f>$C411*BX410</f>
        <v/>
      </c>
      <c r="BY411">
        <f>$C411*BY410</f>
        <v/>
      </c>
      <c r="BZ411">
        <f>$C411*BZ410</f>
        <v/>
      </c>
      <c r="CA411">
        <f>$C411*CA410</f>
        <v/>
      </c>
      <c r="CB411">
        <f>$C411*CB410</f>
        <v/>
      </c>
      <c r="CC411">
        <f>$C411*CC410</f>
        <v/>
      </c>
      <c r="CD411">
        <f>$C411*CD410</f>
        <v/>
      </c>
      <c r="CE411">
        <f>$C411*CE410</f>
        <v/>
      </c>
      <c r="CF411">
        <f>$C411*CF410</f>
        <v/>
      </c>
      <c r="CG411">
        <f>$C411*CG410</f>
        <v/>
      </c>
      <c r="CH411">
        <f>$C411*CH410</f>
        <v/>
      </c>
      <c r="CI411">
        <f>$C411*CI410</f>
        <v/>
      </c>
      <c r="CJ411">
        <f>$C411*CJ410</f>
        <v/>
      </c>
      <c r="CK411">
        <f>$C411*CK410</f>
        <v/>
      </c>
      <c r="CL411">
        <f>$C411*CL410</f>
        <v/>
      </c>
      <c r="CM411">
        <f>$C411*CM410</f>
        <v/>
      </c>
      <c r="CN411">
        <f>$C411*CN410</f>
        <v/>
      </c>
      <c r="CO411">
        <f>$C411*CO410</f>
        <v/>
      </c>
      <c r="CP411">
        <f>$C411*CP410</f>
        <v/>
      </c>
      <c r="CQ411">
        <f>$C411*CQ410</f>
        <v/>
      </c>
      <c r="CR411">
        <f>$C411*CR410</f>
        <v/>
      </c>
      <c r="CS411">
        <f>$C411*CS410</f>
        <v/>
      </c>
      <c r="CT411">
        <f>$C411*CT410</f>
        <v/>
      </c>
      <c r="CU411">
        <f>$C411*CU410</f>
        <v/>
      </c>
      <c r="CV411">
        <f>$C411*CV410</f>
        <v/>
      </c>
      <c r="CW411">
        <f>$C411*CW410</f>
        <v/>
      </c>
      <c r="CX411">
        <f>$C411*CX410</f>
        <v/>
      </c>
      <c r="CY411">
        <f>$C411*CY410</f>
        <v/>
      </c>
      <c r="CZ411">
        <f>$C411*CZ410</f>
        <v/>
      </c>
      <c r="DA411">
        <f>$C411*DA410</f>
        <v/>
      </c>
      <c r="DB411">
        <f>$C411*DB410</f>
        <v/>
      </c>
      <c r="DC411">
        <f>$C411*DC410</f>
        <v/>
      </c>
    </row>
    <row r="412">
      <c r="B412" t="inlineStr">
        <is>
          <t>VSP-604</t>
        </is>
      </c>
      <c r="C412" t="inlineStr">
        <is>
          <t>No. of batches</t>
        </is>
      </c>
      <c r="D412">
        <f>IFERROR(INDEX(PP_Grid[#Data],$DD412,2),0)</f>
        <v/>
      </c>
      <c r="E412">
        <f>IFERROR(INDEX(PP_Grid[#Data],$DD412,3),0)</f>
        <v/>
      </c>
      <c r="F412">
        <f>IFERROR(INDEX(PP_Grid[#Data],$DD412,4),0)</f>
        <v/>
      </c>
      <c r="G412">
        <f>IFERROR(INDEX(PP_Grid[#Data],$DD412,5),0)</f>
        <v/>
      </c>
      <c r="H412">
        <f>IFERROR(INDEX(PP_Grid[#Data],$DD412,6),0)</f>
        <v/>
      </c>
      <c r="I412">
        <f>IFERROR(INDEX(PP_Grid[#Data],$DD412,7),0)</f>
        <v/>
      </c>
      <c r="J412">
        <f>IFERROR(INDEX(PP_Grid[#Data],$DD412,8),0)</f>
        <v/>
      </c>
      <c r="K412">
        <f>IFERROR(INDEX(PP_Grid[#Data],$DD412,9),0)</f>
        <v/>
      </c>
      <c r="L412">
        <f>IFERROR(INDEX(PP_Grid[#Data],$DD412,10),0)</f>
        <v/>
      </c>
      <c r="M412">
        <f>IFERROR(INDEX(PP_Grid[#Data],$DD412,11),0)</f>
        <v/>
      </c>
      <c r="N412">
        <f>IFERROR(INDEX(PP_Grid[#Data],$DD412,12),0)</f>
        <v/>
      </c>
      <c r="O412">
        <f>IFERROR(INDEX(PP_Grid[#Data],$DD412,13),0)</f>
        <v/>
      </c>
      <c r="P412">
        <f>IFERROR(INDEX(PP_Grid[#Data],$DD412,14),0)</f>
        <v/>
      </c>
      <c r="Q412">
        <f>IFERROR(INDEX(PP_Grid[#Data],$DD412,15),0)</f>
        <v/>
      </c>
      <c r="R412">
        <f>IFERROR(INDEX(PP_Grid[#Data],$DD412,16),0)</f>
        <v/>
      </c>
      <c r="S412">
        <f>IFERROR(INDEX(PP_Grid[#Data],$DD412,17),0)</f>
        <v/>
      </c>
      <c r="T412">
        <f>IFERROR(INDEX(PP_Grid[#Data],$DD412,18),0)</f>
        <v/>
      </c>
      <c r="U412">
        <f>IFERROR(INDEX(PP_Grid[#Data],$DD412,19),0)</f>
        <v/>
      </c>
      <c r="V412">
        <f>IFERROR(INDEX(PP_Grid[#Data],$DD412,20),0)</f>
        <v/>
      </c>
      <c r="W412">
        <f>IFERROR(INDEX(PP_Grid[#Data],$DD412,21),0)</f>
        <v/>
      </c>
      <c r="X412">
        <f>IFERROR(INDEX(PP_Grid[#Data],$DD412,22),0)</f>
        <v/>
      </c>
      <c r="Y412">
        <f>IFERROR(INDEX(PP_Grid[#Data],$DD412,23),0)</f>
        <v/>
      </c>
      <c r="Z412">
        <f>IFERROR(INDEX(PP_Grid[#Data],$DD412,24),0)</f>
        <v/>
      </c>
      <c r="AA412">
        <f>IFERROR(INDEX(PP_Grid[#Data],$DD412,25),0)</f>
        <v/>
      </c>
      <c r="AB412">
        <f>IFERROR(INDEX(PP_Grid[#Data],$DD412,26),0)</f>
        <v/>
      </c>
      <c r="AC412">
        <f>IFERROR(INDEX(PP_Grid[#Data],$DD412,27),0)</f>
        <v/>
      </c>
      <c r="AD412">
        <f>IFERROR(INDEX(PP_Grid[#Data],$DD412,28),0)</f>
        <v/>
      </c>
      <c r="AE412">
        <f>IFERROR(INDEX(PP_Grid[#Data],$DD412,29),0)</f>
        <v/>
      </c>
      <c r="AF412">
        <f>IFERROR(INDEX(PP_Grid[#Data],$DD412,30),0)</f>
        <v/>
      </c>
      <c r="AG412">
        <f>IFERROR(INDEX(PP_Grid[#Data],$DD412,31),0)</f>
        <v/>
      </c>
      <c r="AH412">
        <f>IFERROR(INDEX(PP_Grid[#Data],$DD412,32),0)</f>
        <v/>
      </c>
      <c r="AI412">
        <f>IFERROR(INDEX(PP_Grid[#Data],$DD412,33),0)</f>
        <v/>
      </c>
      <c r="AJ412">
        <f>IFERROR(INDEX(PP_Grid[#Data],$DD412,34),0)</f>
        <v/>
      </c>
      <c r="AK412">
        <f>IFERROR(INDEX(PP_Grid[#Data],$DD412,35),0)</f>
        <v/>
      </c>
      <c r="AL412">
        <f>IFERROR(INDEX(PP_Grid[#Data],$DD412,36),0)</f>
        <v/>
      </c>
      <c r="AM412">
        <f>IFERROR(INDEX(PP_Grid[#Data],$DD412,37),0)</f>
        <v/>
      </c>
      <c r="AN412">
        <f>IFERROR(INDEX(PP_Grid[#Data],$DD412,38),0)</f>
        <v/>
      </c>
      <c r="AO412">
        <f>IFERROR(INDEX(PP_Grid[#Data],$DD412,39),0)</f>
        <v/>
      </c>
      <c r="AP412">
        <f>IFERROR(INDEX(PP_Grid[#Data],$DD412,40),0)</f>
        <v/>
      </c>
      <c r="AQ412">
        <f>IFERROR(INDEX(PP_Grid[#Data],$DD412,41),0)</f>
        <v/>
      </c>
      <c r="AR412">
        <f>IFERROR(INDEX(PP_Grid[#Data],$DD412,42),0)</f>
        <v/>
      </c>
      <c r="AS412">
        <f>IFERROR(INDEX(PP_Grid[#Data],$DD412,43),0)</f>
        <v/>
      </c>
      <c r="AT412">
        <f>IFERROR(INDEX(PP_Grid[#Data],$DD412,44),0)</f>
        <v/>
      </c>
      <c r="AU412">
        <f>IFERROR(INDEX(PP_Grid[#Data],$DD412,45),0)</f>
        <v/>
      </c>
      <c r="AV412">
        <f>IFERROR(INDEX(PP_Grid[#Data],$DD412,46),0)</f>
        <v/>
      </c>
      <c r="AW412">
        <f>IFERROR(INDEX(PP_Grid[#Data],$DD412,47),0)</f>
        <v/>
      </c>
      <c r="AX412">
        <f>IFERROR(INDEX(PP_Grid[#Data],$DD412,48),0)</f>
        <v/>
      </c>
      <c r="AY412">
        <f>IFERROR(INDEX(PP_Grid[#Data],$DD412,49),0)</f>
        <v/>
      </c>
      <c r="AZ412">
        <f>IFERROR(INDEX(PP_Grid[#Data],$DD412,50),0)</f>
        <v/>
      </c>
      <c r="BA412">
        <f>IFERROR(INDEX(PP_Grid[#Data],$DD412,51),0)</f>
        <v/>
      </c>
      <c r="BB412">
        <f>IFERROR(INDEX(PP_Grid[#Data],$DD412,52),0)</f>
        <v/>
      </c>
      <c r="BC412">
        <f>IFERROR(INDEX(PP_Grid[#Data],$DD412,53),0)</f>
        <v/>
      </c>
      <c r="BD412">
        <f>IFERROR(INDEX(PP_Grid[#Data],$DD412,54),0)</f>
        <v/>
      </c>
      <c r="BE412">
        <f>IFERROR(INDEX(PP_Grid[#Data],$DD412,55),0)</f>
        <v/>
      </c>
      <c r="BF412">
        <f>IFERROR(INDEX(PP_Grid[#Data],$DD412,56),0)</f>
        <v/>
      </c>
      <c r="BG412">
        <f>IFERROR(INDEX(PP_Grid[#Data],$DD412,57),0)</f>
        <v/>
      </c>
      <c r="BH412">
        <f>IFERROR(INDEX(PP_Grid[#Data],$DD412,58),0)</f>
        <v/>
      </c>
      <c r="BI412">
        <f>IFERROR(INDEX(PP_Grid[#Data],$DD412,59),0)</f>
        <v/>
      </c>
      <c r="BJ412">
        <f>IFERROR(INDEX(PP_Grid[#Data],$DD412,60),0)</f>
        <v/>
      </c>
      <c r="BK412">
        <f>IFERROR(INDEX(PP_Grid[#Data],$DD412,61),0)</f>
        <v/>
      </c>
      <c r="BL412">
        <f>IFERROR(INDEX(PP_Grid[#Data],$DD412,62),0)</f>
        <v/>
      </c>
      <c r="BM412">
        <f>IFERROR(INDEX(PP_Grid[#Data],$DD412,63),0)</f>
        <v/>
      </c>
      <c r="BN412">
        <f>IFERROR(INDEX(PP_Grid[#Data],$DD412,64),0)</f>
        <v/>
      </c>
      <c r="BO412">
        <f>IFERROR(INDEX(PP_Grid[#Data],$DD412,65),0)</f>
        <v/>
      </c>
      <c r="BP412">
        <f>IFERROR(INDEX(PP_Grid[#Data],$DD412,66),0)</f>
        <v/>
      </c>
      <c r="BQ412">
        <f>IFERROR(INDEX(PP_Grid[#Data],$DD412,67),0)</f>
        <v/>
      </c>
      <c r="BR412">
        <f>IFERROR(INDEX(PP_Grid[#Data],$DD412,68),0)</f>
        <v/>
      </c>
      <c r="BS412">
        <f>IFERROR(INDEX(PP_Grid[#Data],$DD412,69),0)</f>
        <v/>
      </c>
      <c r="BT412">
        <f>IFERROR(INDEX(PP_Grid[#Data],$DD412,70),0)</f>
        <v/>
      </c>
      <c r="BU412">
        <f>IFERROR(INDEX(PP_Grid[#Data],$DD412,71),0)</f>
        <v/>
      </c>
      <c r="BV412">
        <f>IFERROR(INDEX(PP_Grid[#Data],$DD412,72),0)</f>
        <v/>
      </c>
      <c r="BW412">
        <f>IFERROR(INDEX(PP_Grid[#Data],$DD412,73),0)</f>
        <v/>
      </c>
      <c r="BX412">
        <f>IFERROR(INDEX(PP_Grid[#Data],$DD412,74),0)</f>
        <v/>
      </c>
      <c r="BY412">
        <f>IFERROR(INDEX(PP_Grid[#Data],$DD412,75),0)</f>
        <v/>
      </c>
      <c r="BZ412">
        <f>IFERROR(INDEX(PP_Grid[#Data],$DD412,76),0)</f>
        <v/>
      </c>
      <c r="CA412">
        <f>IFERROR(INDEX(PP_Grid[#Data],$DD412,77),0)</f>
        <v/>
      </c>
      <c r="CB412">
        <f>IFERROR(INDEX(PP_Grid[#Data],$DD412,78),0)</f>
        <v/>
      </c>
      <c r="CC412">
        <f>IFERROR(INDEX(PP_Grid[#Data],$DD412,79),0)</f>
        <v/>
      </c>
      <c r="CD412">
        <f>IFERROR(INDEX(PP_Grid[#Data],$DD412,80),0)</f>
        <v/>
      </c>
      <c r="CE412">
        <f>IFERROR(INDEX(PP_Grid[#Data],$DD412,81),0)</f>
        <v/>
      </c>
      <c r="CF412">
        <f>IFERROR(INDEX(PP_Grid[#Data],$DD412,82),0)</f>
        <v/>
      </c>
      <c r="CG412">
        <f>IFERROR(INDEX(PP_Grid[#Data],$DD412,83),0)</f>
        <v/>
      </c>
      <c r="CH412">
        <f>IFERROR(INDEX(PP_Grid[#Data],$DD412,84),0)</f>
        <v/>
      </c>
      <c r="CI412">
        <f>IFERROR(INDEX(PP_Grid[#Data],$DD412,85),0)</f>
        <v/>
      </c>
      <c r="CJ412">
        <f>IFERROR(INDEX(PP_Grid[#Data],$DD412,86),0)</f>
        <v/>
      </c>
      <c r="CK412">
        <f>IFERROR(INDEX(PP_Grid[#Data],$DD412,87),0)</f>
        <v/>
      </c>
      <c r="CL412">
        <f>IFERROR(INDEX(PP_Grid[#Data],$DD412,88),0)</f>
        <v/>
      </c>
      <c r="CM412">
        <f>IFERROR(INDEX(PP_Grid[#Data],$DD412,89),0)</f>
        <v/>
      </c>
      <c r="CN412">
        <f>IFERROR(INDEX(PP_Grid[#Data],$DD412,90),0)</f>
        <v/>
      </c>
      <c r="CO412">
        <f>IFERROR(INDEX(PP_Grid[#Data],$DD412,91),0)</f>
        <v/>
      </c>
      <c r="CP412">
        <f>IFERROR(INDEX(PP_Grid[#Data],$DD412,92),0)</f>
        <v/>
      </c>
      <c r="CQ412">
        <f>IFERROR(INDEX(PP_Grid[#Data],$DD412,93),0)</f>
        <v/>
      </c>
      <c r="CR412">
        <f>IFERROR(INDEX(PP_Grid[#Data],$DD412,94),0)</f>
        <v/>
      </c>
      <c r="CS412">
        <f>IFERROR(INDEX(PP_Grid[#Data],$DD412,95),0)</f>
        <v/>
      </c>
      <c r="CT412">
        <f>IFERROR(INDEX(PP_Grid[#Data],$DD412,96),0)</f>
        <v/>
      </c>
      <c r="CU412">
        <f>IFERROR(INDEX(PP_Grid[#Data],$DD412,97),0)</f>
        <v/>
      </c>
      <c r="CV412">
        <f>IFERROR(INDEX(PP_Grid[#Data],$DD412,98),0)</f>
        <v/>
      </c>
      <c r="CW412">
        <f>IFERROR(INDEX(PP_Grid[#Data],$DD412,99),0)</f>
        <v/>
      </c>
      <c r="CX412">
        <f>IFERROR(INDEX(PP_Grid[#Data],$DD412,100),0)</f>
        <v/>
      </c>
      <c r="CY412">
        <f>IFERROR(INDEX(PP_Grid[#Data],$DD412,101),0)</f>
        <v/>
      </c>
      <c r="CZ412">
        <f>IFERROR(INDEX(PP_Grid[#Data],$DD412,102),0)</f>
        <v/>
      </c>
      <c r="DA412">
        <f>IFERROR(INDEX(PP_Grid[#Data],$DD412,103),0)</f>
        <v/>
      </c>
      <c r="DB412">
        <f>IFERROR(INDEX(PP_Grid[#Data],$DD412,104),0)</f>
        <v/>
      </c>
      <c r="DC412">
        <f>IFERROR(INDEX(PP_Grid[#Data],$DD412,105),0)</f>
        <v/>
      </c>
      <c r="DD412" s="7">
        <f>IFERROR(MATCH($B412,PP_Grid[Intermediate],0),99999)</f>
        <v/>
      </c>
    </row>
    <row r="413">
      <c r="B413" t="inlineStr">
        <is>
          <t>使用量(kg)</t>
        </is>
      </c>
      <c r="C413">
        <f>SUMIFS(M_BOM[RM_Qty_Per_Batch],M_BOM[Intermediate],$B412,M_BOM[Part Name],$A343)</f>
        <v/>
      </c>
      <c r="D413">
        <f>$C413*D412</f>
        <v/>
      </c>
      <c r="E413">
        <f>$C413*E412</f>
        <v/>
      </c>
      <c r="F413">
        <f>$C413*F412</f>
        <v/>
      </c>
      <c r="G413">
        <f>$C413*G412</f>
        <v/>
      </c>
      <c r="H413">
        <f>$C413*H412</f>
        <v/>
      </c>
      <c r="I413">
        <f>$C413*I412</f>
        <v/>
      </c>
      <c r="J413">
        <f>$C413*J412</f>
        <v/>
      </c>
      <c r="K413">
        <f>$C413*K412</f>
        <v/>
      </c>
      <c r="L413">
        <f>$C413*L412</f>
        <v/>
      </c>
      <c r="M413">
        <f>$C413*M412</f>
        <v/>
      </c>
      <c r="N413">
        <f>$C413*N412</f>
        <v/>
      </c>
      <c r="O413">
        <f>$C413*O412</f>
        <v/>
      </c>
      <c r="P413">
        <f>$C413*P412</f>
        <v/>
      </c>
      <c r="Q413">
        <f>$C413*Q412</f>
        <v/>
      </c>
      <c r="R413">
        <f>$C413*R412</f>
        <v/>
      </c>
      <c r="S413">
        <f>$C413*S412</f>
        <v/>
      </c>
      <c r="T413">
        <f>$C413*T412</f>
        <v/>
      </c>
      <c r="U413">
        <f>$C413*U412</f>
        <v/>
      </c>
      <c r="V413">
        <f>$C413*V412</f>
        <v/>
      </c>
      <c r="W413">
        <f>$C413*W412</f>
        <v/>
      </c>
      <c r="X413">
        <f>$C413*X412</f>
        <v/>
      </c>
      <c r="Y413">
        <f>$C413*Y412</f>
        <v/>
      </c>
      <c r="Z413">
        <f>$C413*Z412</f>
        <v/>
      </c>
      <c r="AA413">
        <f>$C413*AA412</f>
        <v/>
      </c>
      <c r="AB413">
        <f>$C413*AB412</f>
        <v/>
      </c>
      <c r="AC413">
        <f>$C413*AC412</f>
        <v/>
      </c>
      <c r="AD413">
        <f>$C413*AD412</f>
        <v/>
      </c>
      <c r="AE413">
        <f>$C413*AE412</f>
        <v/>
      </c>
      <c r="AF413">
        <f>$C413*AF412</f>
        <v/>
      </c>
      <c r="AG413">
        <f>$C413*AG412</f>
        <v/>
      </c>
      <c r="AH413">
        <f>$C413*AH412</f>
        <v/>
      </c>
      <c r="AI413">
        <f>$C413*AI412</f>
        <v/>
      </c>
      <c r="AJ413">
        <f>$C413*AJ412</f>
        <v/>
      </c>
      <c r="AK413">
        <f>$C413*AK412</f>
        <v/>
      </c>
      <c r="AL413">
        <f>$C413*AL412</f>
        <v/>
      </c>
      <c r="AM413">
        <f>$C413*AM412</f>
        <v/>
      </c>
      <c r="AN413">
        <f>$C413*AN412</f>
        <v/>
      </c>
      <c r="AO413">
        <f>$C413*AO412</f>
        <v/>
      </c>
      <c r="AP413">
        <f>$C413*AP412</f>
        <v/>
      </c>
      <c r="AQ413">
        <f>$C413*AQ412</f>
        <v/>
      </c>
      <c r="AR413">
        <f>$C413*AR412</f>
        <v/>
      </c>
      <c r="AS413">
        <f>$C413*AS412</f>
        <v/>
      </c>
      <c r="AT413">
        <f>$C413*AT412</f>
        <v/>
      </c>
      <c r="AU413">
        <f>$C413*AU412</f>
        <v/>
      </c>
      <c r="AV413">
        <f>$C413*AV412</f>
        <v/>
      </c>
      <c r="AW413">
        <f>$C413*AW412</f>
        <v/>
      </c>
      <c r="AX413">
        <f>$C413*AX412</f>
        <v/>
      </c>
      <c r="AY413">
        <f>$C413*AY412</f>
        <v/>
      </c>
      <c r="AZ413">
        <f>$C413*AZ412</f>
        <v/>
      </c>
      <c r="BA413">
        <f>$C413*BA412</f>
        <v/>
      </c>
      <c r="BB413">
        <f>$C413*BB412</f>
        <v/>
      </c>
      <c r="BC413">
        <f>$C413*BC412</f>
        <v/>
      </c>
      <c r="BD413">
        <f>$C413*BD412</f>
        <v/>
      </c>
      <c r="BE413">
        <f>$C413*BE412</f>
        <v/>
      </c>
      <c r="BF413">
        <f>$C413*BF412</f>
        <v/>
      </c>
      <c r="BG413">
        <f>$C413*BG412</f>
        <v/>
      </c>
      <c r="BH413">
        <f>$C413*BH412</f>
        <v/>
      </c>
      <c r="BI413">
        <f>$C413*BI412</f>
        <v/>
      </c>
      <c r="BJ413">
        <f>$C413*BJ412</f>
        <v/>
      </c>
      <c r="BK413">
        <f>$C413*BK412</f>
        <v/>
      </c>
      <c r="BL413">
        <f>$C413*BL412</f>
        <v/>
      </c>
      <c r="BM413">
        <f>$C413*BM412</f>
        <v/>
      </c>
      <c r="BN413">
        <f>$C413*BN412</f>
        <v/>
      </c>
      <c r="BO413">
        <f>$C413*BO412</f>
        <v/>
      </c>
      <c r="BP413">
        <f>$C413*BP412</f>
        <v/>
      </c>
      <c r="BQ413">
        <f>$C413*BQ412</f>
        <v/>
      </c>
      <c r="BR413">
        <f>$C413*BR412</f>
        <v/>
      </c>
      <c r="BS413">
        <f>$C413*BS412</f>
        <v/>
      </c>
      <c r="BT413">
        <f>$C413*BT412</f>
        <v/>
      </c>
      <c r="BU413">
        <f>$C413*BU412</f>
        <v/>
      </c>
      <c r="BV413">
        <f>$C413*BV412</f>
        <v/>
      </c>
      <c r="BW413">
        <f>$C413*BW412</f>
        <v/>
      </c>
      <c r="BX413">
        <f>$C413*BX412</f>
        <v/>
      </c>
      <c r="BY413">
        <f>$C413*BY412</f>
        <v/>
      </c>
      <c r="BZ413">
        <f>$C413*BZ412</f>
        <v/>
      </c>
      <c r="CA413">
        <f>$C413*CA412</f>
        <v/>
      </c>
      <c r="CB413">
        <f>$C413*CB412</f>
        <v/>
      </c>
      <c r="CC413">
        <f>$C413*CC412</f>
        <v/>
      </c>
      <c r="CD413">
        <f>$C413*CD412</f>
        <v/>
      </c>
      <c r="CE413">
        <f>$C413*CE412</f>
        <v/>
      </c>
      <c r="CF413">
        <f>$C413*CF412</f>
        <v/>
      </c>
      <c r="CG413">
        <f>$C413*CG412</f>
        <v/>
      </c>
      <c r="CH413">
        <f>$C413*CH412</f>
        <v/>
      </c>
      <c r="CI413">
        <f>$C413*CI412</f>
        <v/>
      </c>
      <c r="CJ413">
        <f>$C413*CJ412</f>
        <v/>
      </c>
      <c r="CK413">
        <f>$C413*CK412</f>
        <v/>
      </c>
      <c r="CL413">
        <f>$C413*CL412</f>
        <v/>
      </c>
      <c r="CM413">
        <f>$C413*CM412</f>
        <v/>
      </c>
      <c r="CN413">
        <f>$C413*CN412</f>
        <v/>
      </c>
      <c r="CO413">
        <f>$C413*CO412</f>
        <v/>
      </c>
      <c r="CP413">
        <f>$C413*CP412</f>
        <v/>
      </c>
      <c r="CQ413">
        <f>$C413*CQ412</f>
        <v/>
      </c>
      <c r="CR413">
        <f>$C413*CR412</f>
        <v/>
      </c>
      <c r="CS413">
        <f>$C413*CS412</f>
        <v/>
      </c>
      <c r="CT413">
        <f>$C413*CT412</f>
        <v/>
      </c>
      <c r="CU413">
        <f>$C413*CU412</f>
        <v/>
      </c>
      <c r="CV413">
        <f>$C413*CV412</f>
        <v/>
      </c>
      <c r="CW413">
        <f>$C413*CW412</f>
        <v/>
      </c>
      <c r="CX413">
        <f>$C413*CX412</f>
        <v/>
      </c>
      <c r="CY413">
        <f>$C413*CY412</f>
        <v/>
      </c>
      <c r="CZ413">
        <f>$C413*CZ412</f>
        <v/>
      </c>
      <c r="DA413">
        <f>$C413*DA412</f>
        <v/>
      </c>
      <c r="DB413">
        <f>$C413*DB412</f>
        <v/>
      </c>
      <c r="DC413">
        <f>$C413*DC412</f>
        <v/>
      </c>
    </row>
    <row r="414">
      <c r="B414" t="inlineStr">
        <is>
          <t>VSP-605</t>
        </is>
      </c>
      <c r="C414" t="inlineStr">
        <is>
          <t>No. of batches</t>
        </is>
      </c>
      <c r="D414">
        <f>IFERROR(INDEX(PP_Grid[#Data],$DD414,2),0)</f>
        <v/>
      </c>
      <c r="E414">
        <f>IFERROR(INDEX(PP_Grid[#Data],$DD414,3),0)</f>
        <v/>
      </c>
      <c r="F414">
        <f>IFERROR(INDEX(PP_Grid[#Data],$DD414,4),0)</f>
        <v/>
      </c>
      <c r="G414">
        <f>IFERROR(INDEX(PP_Grid[#Data],$DD414,5),0)</f>
        <v/>
      </c>
      <c r="H414">
        <f>IFERROR(INDEX(PP_Grid[#Data],$DD414,6),0)</f>
        <v/>
      </c>
      <c r="I414">
        <f>IFERROR(INDEX(PP_Grid[#Data],$DD414,7),0)</f>
        <v/>
      </c>
      <c r="J414">
        <f>IFERROR(INDEX(PP_Grid[#Data],$DD414,8),0)</f>
        <v/>
      </c>
      <c r="K414">
        <f>IFERROR(INDEX(PP_Grid[#Data],$DD414,9),0)</f>
        <v/>
      </c>
      <c r="L414">
        <f>IFERROR(INDEX(PP_Grid[#Data],$DD414,10),0)</f>
        <v/>
      </c>
      <c r="M414">
        <f>IFERROR(INDEX(PP_Grid[#Data],$DD414,11),0)</f>
        <v/>
      </c>
      <c r="N414">
        <f>IFERROR(INDEX(PP_Grid[#Data],$DD414,12),0)</f>
        <v/>
      </c>
      <c r="O414">
        <f>IFERROR(INDEX(PP_Grid[#Data],$DD414,13),0)</f>
        <v/>
      </c>
      <c r="P414">
        <f>IFERROR(INDEX(PP_Grid[#Data],$DD414,14),0)</f>
        <v/>
      </c>
      <c r="Q414">
        <f>IFERROR(INDEX(PP_Grid[#Data],$DD414,15),0)</f>
        <v/>
      </c>
      <c r="R414">
        <f>IFERROR(INDEX(PP_Grid[#Data],$DD414,16),0)</f>
        <v/>
      </c>
      <c r="S414">
        <f>IFERROR(INDEX(PP_Grid[#Data],$DD414,17),0)</f>
        <v/>
      </c>
      <c r="T414">
        <f>IFERROR(INDEX(PP_Grid[#Data],$DD414,18),0)</f>
        <v/>
      </c>
      <c r="U414">
        <f>IFERROR(INDEX(PP_Grid[#Data],$DD414,19),0)</f>
        <v/>
      </c>
      <c r="V414">
        <f>IFERROR(INDEX(PP_Grid[#Data],$DD414,20),0)</f>
        <v/>
      </c>
      <c r="W414">
        <f>IFERROR(INDEX(PP_Grid[#Data],$DD414,21),0)</f>
        <v/>
      </c>
      <c r="X414">
        <f>IFERROR(INDEX(PP_Grid[#Data],$DD414,22),0)</f>
        <v/>
      </c>
      <c r="Y414">
        <f>IFERROR(INDEX(PP_Grid[#Data],$DD414,23),0)</f>
        <v/>
      </c>
      <c r="Z414">
        <f>IFERROR(INDEX(PP_Grid[#Data],$DD414,24),0)</f>
        <v/>
      </c>
      <c r="AA414">
        <f>IFERROR(INDEX(PP_Grid[#Data],$DD414,25),0)</f>
        <v/>
      </c>
      <c r="AB414">
        <f>IFERROR(INDEX(PP_Grid[#Data],$DD414,26),0)</f>
        <v/>
      </c>
      <c r="AC414">
        <f>IFERROR(INDEX(PP_Grid[#Data],$DD414,27),0)</f>
        <v/>
      </c>
      <c r="AD414">
        <f>IFERROR(INDEX(PP_Grid[#Data],$DD414,28),0)</f>
        <v/>
      </c>
      <c r="AE414">
        <f>IFERROR(INDEX(PP_Grid[#Data],$DD414,29),0)</f>
        <v/>
      </c>
      <c r="AF414">
        <f>IFERROR(INDEX(PP_Grid[#Data],$DD414,30),0)</f>
        <v/>
      </c>
      <c r="AG414">
        <f>IFERROR(INDEX(PP_Grid[#Data],$DD414,31),0)</f>
        <v/>
      </c>
      <c r="AH414">
        <f>IFERROR(INDEX(PP_Grid[#Data],$DD414,32),0)</f>
        <v/>
      </c>
      <c r="AI414">
        <f>IFERROR(INDEX(PP_Grid[#Data],$DD414,33),0)</f>
        <v/>
      </c>
      <c r="AJ414">
        <f>IFERROR(INDEX(PP_Grid[#Data],$DD414,34),0)</f>
        <v/>
      </c>
      <c r="AK414">
        <f>IFERROR(INDEX(PP_Grid[#Data],$DD414,35),0)</f>
        <v/>
      </c>
      <c r="AL414">
        <f>IFERROR(INDEX(PP_Grid[#Data],$DD414,36),0)</f>
        <v/>
      </c>
      <c r="AM414">
        <f>IFERROR(INDEX(PP_Grid[#Data],$DD414,37),0)</f>
        <v/>
      </c>
      <c r="AN414">
        <f>IFERROR(INDEX(PP_Grid[#Data],$DD414,38),0)</f>
        <v/>
      </c>
      <c r="AO414">
        <f>IFERROR(INDEX(PP_Grid[#Data],$DD414,39),0)</f>
        <v/>
      </c>
      <c r="AP414">
        <f>IFERROR(INDEX(PP_Grid[#Data],$DD414,40),0)</f>
        <v/>
      </c>
      <c r="AQ414">
        <f>IFERROR(INDEX(PP_Grid[#Data],$DD414,41),0)</f>
        <v/>
      </c>
      <c r="AR414">
        <f>IFERROR(INDEX(PP_Grid[#Data],$DD414,42),0)</f>
        <v/>
      </c>
      <c r="AS414">
        <f>IFERROR(INDEX(PP_Grid[#Data],$DD414,43),0)</f>
        <v/>
      </c>
      <c r="AT414">
        <f>IFERROR(INDEX(PP_Grid[#Data],$DD414,44),0)</f>
        <v/>
      </c>
      <c r="AU414">
        <f>IFERROR(INDEX(PP_Grid[#Data],$DD414,45),0)</f>
        <v/>
      </c>
      <c r="AV414">
        <f>IFERROR(INDEX(PP_Grid[#Data],$DD414,46),0)</f>
        <v/>
      </c>
      <c r="AW414">
        <f>IFERROR(INDEX(PP_Grid[#Data],$DD414,47),0)</f>
        <v/>
      </c>
      <c r="AX414">
        <f>IFERROR(INDEX(PP_Grid[#Data],$DD414,48),0)</f>
        <v/>
      </c>
      <c r="AY414">
        <f>IFERROR(INDEX(PP_Grid[#Data],$DD414,49),0)</f>
        <v/>
      </c>
      <c r="AZ414">
        <f>IFERROR(INDEX(PP_Grid[#Data],$DD414,50),0)</f>
        <v/>
      </c>
      <c r="BA414">
        <f>IFERROR(INDEX(PP_Grid[#Data],$DD414,51),0)</f>
        <v/>
      </c>
      <c r="BB414">
        <f>IFERROR(INDEX(PP_Grid[#Data],$DD414,52),0)</f>
        <v/>
      </c>
      <c r="BC414">
        <f>IFERROR(INDEX(PP_Grid[#Data],$DD414,53),0)</f>
        <v/>
      </c>
      <c r="BD414">
        <f>IFERROR(INDEX(PP_Grid[#Data],$DD414,54),0)</f>
        <v/>
      </c>
      <c r="BE414">
        <f>IFERROR(INDEX(PP_Grid[#Data],$DD414,55),0)</f>
        <v/>
      </c>
      <c r="BF414">
        <f>IFERROR(INDEX(PP_Grid[#Data],$DD414,56),0)</f>
        <v/>
      </c>
      <c r="BG414">
        <f>IFERROR(INDEX(PP_Grid[#Data],$DD414,57),0)</f>
        <v/>
      </c>
      <c r="BH414">
        <f>IFERROR(INDEX(PP_Grid[#Data],$DD414,58),0)</f>
        <v/>
      </c>
      <c r="BI414">
        <f>IFERROR(INDEX(PP_Grid[#Data],$DD414,59),0)</f>
        <v/>
      </c>
      <c r="BJ414">
        <f>IFERROR(INDEX(PP_Grid[#Data],$DD414,60),0)</f>
        <v/>
      </c>
      <c r="BK414">
        <f>IFERROR(INDEX(PP_Grid[#Data],$DD414,61),0)</f>
        <v/>
      </c>
      <c r="BL414">
        <f>IFERROR(INDEX(PP_Grid[#Data],$DD414,62),0)</f>
        <v/>
      </c>
      <c r="BM414">
        <f>IFERROR(INDEX(PP_Grid[#Data],$DD414,63),0)</f>
        <v/>
      </c>
      <c r="BN414">
        <f>IFERROR(INDEX(PP_Grid[#Data],$DD414,64),0)</f>
        <v/>
      </c>
      <c r="BO414">
        <f>IFERROR(INDEX(PP_Grid[#Data],$DD414,65),0)</f>
        <v/>
      </c>
      <c r="BP414">
        <f>IFERROR(INDEX(PP_Grid[#Data],$DD414,66),0)</f>
        <v/>
      </c>
      <c r="BQ414">
        <f>IFERROR(INDEX(PP_Grid[#Data],$DD414,67),0)</f>
        <v/>
      </c>
      <c r="BR414">
        <f>IFERROR(INDEX(PP_Grid[#Data],$DD414,68),0)</f>
        <v/>
      </c>
      <c r="BS414">
        <f>IFERROR(INDEX(PP_Grid[#Data],$DD414,69),0)</f>
        <v/>
      </c>
      <c r="BT414">
        <f>IFERROR(INDEX(PP_Grid[#Data],$DD414,70),0)</f>
        <v/>
      </c>
      <c r="BU414">
        <f>IFERROR(INDEX(PP_Grid[#Data],$DD414,71),0)</f>
        <v/>
      </c>
      <c r="BV414">
        <f>IFERROR(INDEX(PP_Grid[#Data],$DD414,72),0)</f>
        <v/>
      </c>
      <c r="BW414">
        <f>IFERROR(INDEX(PP_Grid[#Data],$DD414,73),0)</f>
        <v/>
      </c>
      <c r="BX414">
        <f>IFERROR(INDEX(PP_Grid[#Data],$DD414,74),0)</f>
        <v/>
      </c>
      <c r="BY414">
        <f>IFERROR(INDEX(PP_Grid[#Data],$DD414,75),0)</f>
        <v/>
      </c>
      <c r="BZ414">
        <f>IFERROR(INDEX(PP_Grid[#Data],$DD414,76),0)</f>
        <v/>
      </c>
      <c r="CA414">
        <f>IFERROR(INDEX(PP_Grid[#Data],$DD414,77),0)</f>
        <v/>
      </c>
      <c r="CB414">
        <f>IFERROR(INDEX(PP_Grid[#Data],$DD414,78),0)</f>
        <v/>
      </c>
      <c r="CC414">
        <f>IFERROR(INDEX(PP_Grid[#Data],$DD414,79),0)</f>
        <v/>
      </c>
      <c r="CD414">
        <f>IFERROR(INDEX(PP_Grid[#Data],$DD414,80),0)</f>
        <v/>
      </c>
      <c r="CE414">
        <f>IFERROR(INDEX(PP_Grid[#Data],$DD414,81),0)</f>
        <v/>
      </c>
      <c r="CF414">
        <f>IFERROR(INDEX(PP_Grid[#Data],$DD414,82),0)</f>
        <v/>
      </c>
      <c r="CG414">
        <f>IFERROR(INDEX(PP_Grid[#Data],$DD414,83),0)</f>
        <v/>
      </c>
      <c r="CH414">
        <f>IFERROR(INDEX(PP_Grid[#Data],$DD414,84),0)</f>
        <v/>
      </c>
      <c r="CI414">
        <f>IFERROR(INDEX(PP_Grid[#Data],$DD414,85),0)</f>
        <v/>
      </c>
      <c r="CJ414">
        <f>IFERROR(INDEX(PP_Grid[#Data],$DD414,86),0)</f>
        <v/>
      </c>
      <c r="CK414">
        <f>IFERROR(INDEX(PP_Grid[#Data],$DD414,87),0)</f>
        <v/>
      </c>
      <c r="CL414">
        <f>IFERROR(INDEX(PP_Grid[#Data],$DD414,88),0)</f>
        <v/>
      </c>
      <c r="CM414">
        <f>IFERROR(INDEX(PP_Grid[#Data],$DD414,89),0)</f>
        <v/>
      </c>
      <c r="CN414">
        <f>IFERROR(INDEX(PP_Grid[#Data],$DD414,90),0)</f>
        <v/>
      </c>
      <c r="CO414">
        <f>IFERROR(INDEX(PP_Grid[#Data],$DD414,91),0)</f>
        <v/>
      </c>
      <c r="CP414">
        <f>IFERROR(INDEX(PP_Grid[#Data],$DD414,92),0)</f>
        <v/>
      </c>
      <c r="CQ414">
        <f>IFERROR(INDEX(PP_Grid[#Data],$DD414,93),0)</f>
        <v/>
      </c>
      <c r="CR414">
        <f>IFERROR(INDEX(PP_Grid[#Data],$DD414,94),0)</f>
        <v/>
      </c>
      <c r="CS414">
        <f>IFERROR(INDEX(PP_Grid[#Data],$DD414,95),0)</f>
        <v/>
      </c>
      <c r="CT414">
        <f>IFERROR(INDEX(PP_Grid[#Data],$DD414,96),0)</f>
        <v/>
      </c>
      <c r="CU414">
        <f>IFERROR(INDEX(PP_Grid[#Data],$DD414,97),0)</f>
        <v/>
      </c>
      <c r="CV414">
        <f>IFERROR(INDEX(PP_Grid[#Data],$DD414,98),0)</f>
        <v/>
      </c>
      <c r="CW414">
        <f>IFERROR(INDEX(PP_Grid[#Data],$DD414,99),0)</f>
        <v/>
      </c>
      <c r="CX414">
        <f>IFERROR(INDEX(PP_Grid[#Data],$DD414,100),0)</f>
        <v/>
      </c>
      <c r="CY414">
        <f>IFERROR(INDEX(PP_Grid[#Data],$DD414,101),0)</f>
        <v/>
      </c>
      <c r="CZ414">
        <f>IFERROR(INDEX(PP_Grid[#Data],$DD414,102),0)</f>
        <v/>
      </c>
      <c r="DA414">
        <f>IFERROR(INDEX(PP_Grid[#Data],$DD414,103),0)</f>
        <v/>
      </c>
      <c r="DB414">
        <f>IFERROR(INDEX(PP_Grid[#Data],$DD414,104),0)</f>
        <v/>
      </c>
      <c r="DC414">
        <f>IFERROR(INDEX(PP_Grid[#Data],$DD414,105),0)</f>
        <v/>
      </c>
      <c r="DD414" s="7">
        <f>IFERROR(MATCH($B414,PP_Grid[Intermediate],0),99999)</f>
        <v/>
      </c>
    </row>
    <row r="415">
      <c r="B415" t="inlineStr">
        <is>
          <t>使用量(kg)</t>
        </is>
      </c>
      <c r="C415">
        <f>SUMIFS(M_BOM[RM_Qty_Per_Batch],M_BOM[Intermediate],$B414,M_BOM[Part Name],$A343)</f>
        <v/>
      </c>
      <c r="D415">
        <f>$C415*D414</f>
        <v/>
      </c>
      <c r="E415">
        <f>$C415*E414</f>
        <v/>
      </c>
      <c r="F415">
        <f>$C415*F414</f>
        <v/>
      </c>
      <c r="G415">
        <f>$C415*G414</f>
        <v/>
      </c>
      <c r="H415">
        <f>$C415*H414</f>
        <v/>
      </c>
      <c r="I415">
        <f>$C415*I414</f>
        <v/>
      </c>
      <c r="J415">
        <f>$C415*J414</f>
        <v/>
      </c>
      <c r="K415">
        <f>$C415*K414</f>
        <v/>
      </c>
      <c r="L415">
        <f>$C415*L414</f>
        <v/>
      </c>
      <c r="M415">
        <f>$C415*M414</f>
        <v/>
      </c>
      <c r="N415">
        <f>$C415*N414</f>
        <v/>
      </c>
      <c r="O415">
        <f>$C415*O414</f>
        <v/>
      </c>
      <c r="P415">
        <f>$C415*P414</f>
        <v/>
      </c>
      <c r="Q415">
        <f>$C415*Q414</f>
        <v/>
      </c>
      <c r="R415">
        <f>$C415*R414</f>
        <v/>
      </c>
      <c r="S415">
        <f>$C415*S414</f>
        <v/>
      </c>
      <c r="T415">
        <f>$C415*T414</f>
        <v/>
      </c>
      <c r="U415">
        <f>$C415*U414</f>
        <v/>
      </c>
      <c r="V415">
        <f>$C415*V414</f>
        <v/>
      </c>
      <c r="W415">
        <f>$C415*W414</f>
        <v/>
      </c>
      <c r="X415">
        <f>$C415*X414</f>
        <v/>
      </c>
      <c r="Y415">
        <f>$C415*Y414</f>
        <v/>
      </c>
      <c r="Z415">
        <f>$C415*Z414</f>
        <v/>
      </c>
      <c r="AA415">
        <f>$C415*AA414</f>
        <v/>
      </c>
      <c r="AB415">
        <f>$C415*AB414</f>
        <v/>
      </c>
      <c r="AC415">
        <f>$C415*AC414</f>
        <v/>
      </c>
      <c r="AD415">
        <f>$C415*AD414</f>
        <v/>
      </c>
      <c r="AE415">
        <f>$C415*AE414</f>
        <v/>
      </c>
      <c r="AF415">
        <f>$C415*AF414</f>
        <v/>
      </c>
      <c r="AG415">
        <f>$C415*AG414</f>
        <v/>
      </c>
      <c r="AH415">
        <f>$C415*AH414</f>
        <v/>
      </c>
      <c r="AI415">
        <f>$C415*AI414</f>
        <v/>
      </c>
      <c r="AJ415">
        <f>$C415*AJ414</f>
        <v/>
      </c>
      <c r="AK415">
        <f>$C415*AK414</f>
        <v/>
      </c>
      <c r="AL415">
        <f>$C415*AL414</f>
        <v/>
      </c>
      <c r="AM415">
        <f>$C415*AM414</f>
        <v/>
      </c>
      <c r="AN415">
        <f>$C415*AN414</f>
        <v/>
      </c>
      <c r="AO415">
        <f>$C415*AO414</f>
        <v/>
      </c>
      <c r="AP415">
        <f>$C415*AP414</f>
        <v/>
      </c>
      <c r="AQ415">
        <f>$C415*AQ414</f>
        <v/>
      </c>
      <c r="AR415">
        <f>$C415*AR414</f>
        <v/>
      </c>
      <c r="AS415">
        <f>$C415*AS414</f>
        <v/>
      </c>
      <c r="AT415">
        <f>$C415*AT414</f>
        <v/>
      </c>
      <c r="AU415">
        <f>$C415*AU414</f>
        <v/>
      </c>
      <c r="AV415">
        <f>$C415*AV414</f>
        <v/>
      </c>
      <c r="AW415">
        <f>$C415*AW414</f>
        <v/>
      </c>
      <c r="AX415">
        <f>$C415*AX414</f>
        <v/>
      </c>
      <c r="AY415">
        <f>$C415*AY414</f>
        <v/>
      </c>
      <c r="AZ415">
        <f>$C415*AZ414</f>
        <v/>
      </c>
      <c r="BA415">
        <f>$C415*BA414</f>
        <v/>
      </c>
      <c r="BB415">
        <f>$C415*BB414</f>
        <v/>
      </c>
      <c r="BC415">
        <f>$C415*BC414</f>
        <v/>
      </c>
      <c r="BD415">
        <f>$C415*BD414</f>
        <v/>
      </c>
      <c r="BE415">
        <f>$C415*BE414</f>
        <v/>
      </c>
      <c r="BF415">
        <f>$C415*BF414</f>
        <v/>
      </c>
      <c r="BG415">
        <f>$C415*BG414</f>
        <v/>
      </c>
      <c r="BH415">
        <f>$C415*BH414</f>
        <v/>
      </c>
      <c r="BI415">
        <f>$C415*BI414</f>
        <v/>
      </c>
      <c r="BJ415">
        <f>$C415*BJ414</f>
        <v/>
      </c>
      <c r="BK415">
        <f>$C415*BK414</f>
        <v/>
      </c>
      <c r="BL415">
        <f>$C415*BL414</f>
        <v/>
      </c>
      <c r="BM415">
        <f>$C415*BM414</f>
        <v/>
      </c>
      <c r="BN415">
        <f>$C415*BN414</f>
        <v/>
      </c>
      <c r="BO415">
        <f>$C415*BO414</f>
        <v/>
      </c>
      <c r="BP415">
        <f>$C415*BP414</f>
        <v/>
      </c>
      <c r="BQ415">
        <f>$C415*BQ414</f>
        <v/>
      </c>
      <c r="BR415">
        <f>$C415*BR414</f>
        <v/>
      </c>
      <c r="BS415">
        <f>$C415*BS414</f>
        <v/>
      </c>
      <c r="BT415">
        <f>$C415*BT414</f>
        <v/>
      </c>
      <c r="BU415">
        <f>$C415*BU414</f>
        <v/>
      </c>
      <c r="BV415">
        <f>$C415*BV414</f>
        <v/>
      </c>
      <c r="BW415">
        <f>$C415*BW414</f>
        <v/>
      </c>
      <c r="BX415">
        <f>$C415*BX414</f>
        <v/>
      </c>
      <c r="BY415">
        <f>$C415*BY414</f>
        <v/>
      </c>
      <c r="BZ415">
        <f>$C415*BZ414</f>
        <v/>
      </c>
      <c r="CA415">
        <f>$C415*CA414</f>
        <v/>
      </c>
      <c r="CB415">
        <f>$C415*CB414</f>
        <v/>
      </c>
      <c r="CC415">
        <f>$C415*CC414</f>
        <v/>
      </c>
      <c r="CD415">
        <f>$C415*CD414</f>
        <v/>
      </c>
      <c r="CE415">
        <f>$C415*CE414</f>
        <v/>
      </c>
      <c r="CF415">
        <f>$C415*CF414</f>
        <v/>
      </c>
      <c r="CG415">
        <f>$C415*CG414</f>
        <v/>
      </c>
      <c r="CH415">
        <f>$C415*CH414</f>
        <v/>
      </c>
      <c r="CI415">
        <f>$C415*CI414</f>
        <v/>
      </c>
      <c r="CJ415">
        <f>$C415*CJ414</f>
        <v/>
      </c>
      <c r="CK415">
        <f>$C415*CK414</f>
        <v/>
      </c>
      <c r="CL415">
        <f>$C415*CL414</f>
        <v/>
      </c>
      <c r="CM415">
        <f>$C415*CM414</f>
        <v/>
      </c>
      <c r="CN415">
        <f>$C415*CN414</f>
        <v/>
      </c>
      <c r="CO415">
        <f>$C415*CO414</f>
        <v/>
      </c>
      <c r="CP415">
        <f>$C415*CP414</f>
        <v/>
      </c>
      <c r="CQ415">
        <f>$C415*CQ414</f>
        <v/>
      </c>
      <c r="CR415">
        <f>$C415*CR414</f>
        <v/>
      </c>
      <c r="CS415">
        <f>$C415*CS414</f>
        <v/>
      </c>
      <c r="CT415">
        <f>$C415*CT414</f>
        <v/>
      </c>
      <c r="CU415">
        <f>$C415*CU414</f>
        <v/>
      </c>
      <c r="CV415">
        <f>$C415*CV414</f>
        <v/>
      </c>
      <c r="CW415">
        <f>$C415*CW414</f>
        <v/>
      </c>
      <c r="CX415">
        <f>$C415*CX414</f>
        <v/>
      </c>
      <c r="CY415">
        <f>$C415*CY414</f>
        <v/>
      </c>
      <c r="CZ415">
        <f>$C415*CZ414</f>
        <v/>
      </c>
      <c r="DA415">
        <f>$C415*DA414</f>
        <v/>
      </c>
      <c r="DB415">
        <f>$C415*DB414</f>
        <v/>
      </c>
      <c r="DC415">
        <f>$C415*DC414</f>
        <v/>
      </c>
    </row>
    <row r="416">
      <c r="B416" t="inlineStr">
        <is>
          <t>VSP-606</t>
        </is>
      </c>
      <c r="C416" t="inlineStr">
        <is>
          <t>No. of batches</t>
        </is>
      </c>
      <c r="D416">
        <f>IFERROR(INDEX(PP_Grid[#Data],$DD416,2),0)</f>
        <v/>
      </c>
      <c r="E416">
        <f>IFERROR(INDEX(PP_Grid[#Data],$DD416,3),0)</f>
        <v/>
      </c>
      <c r="F416">
        <f>IFERROR(INDEX(PP_Grid[#Data],$DD416,4),0)</f>
        <v/>
      </c>
      <c r="G416">
        <f>IFERROR(INDEX(PP_Grid[#Data],$DD416,5),0)</f>
        <v/>
      </c>
      <c r="H416">
        <f>IFERROR(INDEX(PP_Grid[#Data],$DD416,6),0)</f>
        <v/>
      </c>
      <c r="I416">
        <f>IFERROR(INDEX(PP_Grid[#Data],$DD416,7),0)</f>
        <v/>
      </c>
      <c r="J416">
        <f>IFERROR(INDEX(PP_Grid[#Data],$DD416,8),0)</f>
        <v/>
      </c>
      <c r="K416">
        <f>IFERROR(INDEX(PP_Grid[#Data],$DD416,9),0)</f>
        <v/>
      </c>
      <c r="L416">
        <f>IFERROR(INDEX(PP_Grid[#Data],$DD416,10),0)</f>
        <v/>
      </c>
      <c r="M416">
        <f>IFERROR(INDEX(PP_Grid[#Data],$DD416,11),0)</f>
        <v/>
      </c>
      <c r="N416">
        <f>IFERROR(INDEX(PP_Grid[#Data],$DD416,12),0)</f>
        <v/>
      </c>
      <c r="O416">
        <f>IFERROR(INDEX(PP_Grid[#Data],$DD416,13),0)</f>
        <v/>
      </c>
      <c r="P416">
        <f>IFERROR(INDEX(PP_Grid[#Data],$DD416,14),0)</f>
        <v/>
      </c>
      <c r="Q416">
        <f>IFERROR(INDEX(PP_Grid[#Data],$DD416,15),0)</f>
        <v/>
      </c>
      <c r="R416">
        <f>IFERROR(INDEX(PP_Grid[#Data],$DD416,16),0)</f>
        <v/>
      </c>
      <c r="S416">
        <f>IFERROR(INDEX(PP_Grid[#Data],$DD416,17),0)</f>
        <v/>
      </c>
      <c r="T416">
        <f>IFERROR(INDEX(PP_Grid[#Data],$DD416,18),0)</f>
        <v/>
      </c>
      <c r="U416">
        <f>IFERROR(INDEX(PP_Grid[#Data],$DD416,19),0)</f>
        <v/>
      </c>
      <c r="V416">
        <f>IFERROR(INDEX(PP_Grid[#Data],$DD416,20),0)</f>
        <v/>
      </c>
      <c r="W416">
        <f>IFERROR(INDEX(PP_Grid[#Data],$DD416,21),0)</f>
        <v/>
      </c>
      <c r="X416">
        <f>IFERROR(INDEX(PP_Grid[#Data],$DD416,22),0)</f>
        <v/>
      </c>
      <c r="Y416">
        <f>IFERROR(INDEX(PP_Grid[#Data],$DD416,23),0)</f>
        <v/>
      </c>
      <c r="Z416">
        <f>IFERROR(INDEX(PP_Grid[#Data],$DD416,24),0)</f>
        <v/>
      </c>
      <c r="AA416">
        <f>IFERROR(INDEX(PP_Grid[#Data],$DD416,25),0)</f>
        <v/>
      </c>
      <c r="AB416">
        <f>IFERROR(INDEX(PP_Grid[#Data],$DD416,26),0)</f>
        <v/>
      </c>
      <c r="AC416">
        <f>IFERROR(INDEX(PP_Grid[#Data],$DD416,27),0)</f>
        <v/>
      </c>
      <c r="AD416">
        <f>IFERROR(INDEX(PP_Grid[#Data],$DD416,28),0)</f>
        <v/>
      </c>
      <c r="AE416">
        <f>IFERROR(INDEX(PP_Grid[#Data],$DD416,29),0)</f>
        <v/>
      </c>
      <c r="AF416">
        <f>IFERROR(INDEX(PP_Grid[#Data],$DD416,30),0)</f>
        <v/>
      </c>
      <c r="AG416">
        <f>IFERROR(INDEX(PP_Grid[#Data],$DD416,31),0)</f>
        <v/>
      </c>
      <c r="AH416">
        <f>IFERROR(INDEX(PP_Grid[#Data],$DD416,32),0)</f>
        <v/>
      </c>
      <c r="AI416">
        <f>IFERROR(INDEX(PP_Grid[#Data],$DD416,33),0)</f>
        <v/>
      </c>
      <c r="AJ416">
        <f>IFERROR(INDEX(PP_Grid[#Data],$DD416,34),0)</f>
        <v/>
      </c>
      <c r="AK416">
        <f>IFERROR(INDEX(PP_Grid[#Data],$DD416,35),0)</f>
        <v/>
      </c>
      <c r="AL416">
        <f>IFERROR(INDEX(PP_Grid[#Data],$DD416,36),0)</f>
        <v/>
      </c>
      <c r="AM416">
        <f>IFERROR(INDEX(PP_Grid[#Data],$DD416,37),0)</f>
        <v/>
      </c>
      <c r="AN416">
        <f>IFERROR(INDEX(PP_Grid[#Data],$DD416,38),0)</f>
        <v/>
      </c>
      <c r="AO416">
        <f>IFERROR(INDEX(PP_Grid[#Data],$DD416,39),0)</f>
        <v/>
      </c>
      <c r="AP416">
        <f>IFERROR(INDEX(PP_Grid[#Data],$DD416,40),0)</f>
        <v/>
      </c>
      <c r="AQ416">
        <f>IFERROR(INDEX(PP_Grid[#Data],$DD416,41),0)</f>
        <v/>
      </c>
      <c r="AR416">
        <f>IFERROR(INDEX(PP_Grid[#Data],$DD416,42),0)</f>
        <v/>
      </c>
      <c r="AS416">
        <f>IFERROR(INDEX(PP_Grid[#Data],$DD416,43),0)</f>
        <v/>
      </c>
      <c r="AT416">
        <f>IFERROR(INDEX(PP_Grid[#Data],$DD416,44),0)</f>
        <v/>
      </c>
      <c r="AU416">
        <f>IFERROR(INDEX(PP_Grid[#Data],$DD416,45),0)</f>
        <v/>
      </c>
      <c r="AV416">
        <f>IFERROR(INDEX(PP_Grid[#Data],$DD416,46),0)</f>
        <v/>
      </c>
      <c r="AW416">
        <f>IFERROR(INDEX(PP_Grid[#Data],$DD416,47),0)</f>
        <v/>
      </c>
      <c r="AX416">
        <f>IFERROR(INDEX(PP_Grid[#Data],$DD416,48),0)</f>
        <v/>
      </c>
      <c r="AY416">
        <f>IFERROR(INDEX(PP_Grid[#Data],$DD416,49),0)</f>
        <v/>
      </c>
      <c r="AZ416">
        <f>IFERROR(INDEX(PP_Grid[#Data],$DD416,50),0)</f>
        <v/>
      </c>
      <c r="BA416">
        <f>IFERROR(INDEX(PP_Grid[#Data],$DD416,51),0)</f>
        <v/>
      </c>
      <c r="BB416">
        <f>IFERROR(INDEX(PP_Grid[#Data],$DD416,52),0)</f>
        <v/>
      </c>
      <c r="BC416">
        <f>IFERROR(INDEX(PP_Grid[#Data],$DD416,53),0)</f>
        <v/>
      </c>
      <c r="BD416">
        <f>IFERROR(INDEX(PP_Grid[#Data],$DD416,54),0)</f>
        <v/>
      </c>
      <c r="BE416">
        <f>IFERROR(INDEX(PP_Grid[#Data],$DD416,55),0)</f>
        <v/>
      </c>
      <c r="BF416">
        <f>IFERROR(INDEX(PP_Grid[#Data],$DD416,56),0)</f>
        <v/>
      </c>
      <c r="BG416">
        <f>IFERROR(INDEX(PP_Grid[#Data],$DD416,57),0)</f>
        <v/>
      </c>
      <c r="BH416">
        <f>IFERROR(INDEX(PP_Grid[#Data],$DD416,58),0)</f>
        <v/>
      </c>
      <c r="BI416">
        <f>IFERROR(INDEX(PP_Grid[#Data],$DD416,59),0)</f>
        <v/>
      </c>
      <c r="BJ416">
        <f>IFERROR(INDEX(PP_Grid[#Data],$DD416,60),0)</f>
        <v/>
      </c>
      <c r="BK416">
        <f>IFERROR(INDEX(PP_Grid[#Data],$DD416,61),0)</f>
        <v/>
      </c>
      <c r="BL416">
        <f>IFERROR(INDEX(PP_Grid[#Data],$DD416,62),0)</f>
        <v/>
      </c>
      <c r="BM416">
        <f>IFERROR(INDEX(PP_Grid[#Data],$DD416,63),0)</f>
        <v/>
      </c>
      <c r="BN416">
        <f>IFERROR(INDEX(PP_Grid[#Data],$DD416,64),0)</f>
        <v/>
      </c>
      <c r="BO416">
        <f>IFERROR(INDEX(PP_Grid[#Data],$DD416,65),0)</f>
        <v/>
      </c>
      <c r="BP416">
        <f>IFERROR(INDEX(PP_Grid[#Data],$DD416,66),0)</f>
        <v/>
      </c>
      <c r="BQ416">
        <f>IFERROR(INDEX(PP_Grid[#Data],$DD416,67),0)</f>
        <v/>
      </c>
      <c r="BR416">
        <f>IFERROR(INDEX(PP_Grid[#Data],$DD416,68),0)</f>
        <v/>
      </c>
      <c r="BS416">
        <f>IFERROR(INDEX(PP_Grid[#Data],$DD416,69),0)</f>
        <v/>
      </c>
      <c r="BT416">
        <f>IFERROR(INDEX(PP_Grid[#Data],$DD416,70),0)</f>
        <v/>
      </c>
      <c r="BU416">
        <f>IFERROR(INDEX(PP_Grid[#Data],$DD416,71),0)</f>
        <v/>
      </c>
      <c r="BV416">
        <f>IFERROR(INDEX(PP_Grid[#Data],$DD416,72),0)</f>
        <v/>
      </c>
      <c r="BW416">
        <f>IFERROR(INDEX(PP_Grid[#Data],$DD416,73),0)</f>
        <v/>
      </c>
      <c r="BX416">
        <f>IFERROR(INDEX(PP_Grid[#Data],$DD416,74),0)</f>
        <v/>
      </c>
      <c r="BY416">
        <f>IFERROR(INDEX(PP_Grid[#Data],$DD416,75),0)</f>
        <v/>
      </c>
      <c r="BZ416">
        <f>IFERROR(INDEX(PP_Grid[#Data],$DD416,76),0)</f>
        <v/>
      </c>
      <c r="CA416">
        <f>IFERROR(INDEX(PP_Grid[#Data],$DD416,77),0)</f>
        <v/>
      </c>
      <c r="CB416">
        <f>IFERROR(INDEX(PP_Grid[#Data],$DD416,78),0)</f>
        <v/>
      </c>
      <c r="CC416">
        <f>IFERROR(INDEX(PP_Grid[#Data],$DD416,79),0)</f>
        <v/>
      </c>
      <c r="CD416">
        <f>IFERROR(INDEX(PP_Grid[#Data],$DD416,80),0)</f>
        <v/>
      </c>
      <c r="CE416">
        <f>IFERROR(INDEX(PP_Grid[#Data],$DD416,81),0)</f>
        <v/>
      </c>
      <c r="CF416">
        <f>IFERROR(INDEX(PP_Grid[#Data],$DD416,82),0)</f>
        <v/>
      </c>
      <c r="CG416">
        <f>IFERROR(INDEX(PP_Grid[#Data],$DD416,83),0)</f>
        <v/>
      </c>
      <c r="CH416">
        <f>IFERROR(INDEX(PP_Grid[#Data],$DD416,84),0)</f>
        <v/>
      </c>
      <c r="CI416">
        <f>IFERROR(INDEX(PP_Grid[#Data],$DD416,85),0)</f>
        <v/>
      </c>
      <c r="CJ416">
        <f>IFERROR(INDEX(PP_Grid[#Data],$DD416,86),0)</f>
        <v/>
      </c>
      <c r="CK416">
        <f>IFERROR(INDEX(PP_Grid[#Data],$DD416,87),0)</f>
        <v/>
      </c>
      <c r="CL416">
        <f>IFERROR(INDEX(PP_Grid[#Data],$DD416,88),0)</f>
        <v/>
      </c>
      <c r="CM416">
        <f>IFERROR(INDEX(PP_Grid[#Data],$DD416,89),0)</f>
        <v/>
      </c>
      <c r="CN416">
        <f>IFERROR(INDEX(PP_Grid[#Data],$DD416,90),0)</f>
        <v/>
      </c>
      <c r="CO416">
        <f>IFERROR(INDEX(PP_Grid[#Data],$DD416,91),0)</f>
        <v/>
      </c>
      <c r="CP416">
        <f>IFERROR(INDEX(PP_Grid[#Data],$DD416,92),0)</f>
        <v/>
      </c>
      <c r="CQ416">
        <f>IFERROR(INDEX(PP_Grid[#Data],$DD416,93),0)</f>
        <v/>
      </c>
      <c r="CR416">
        <f>IFERROR(INDEX(PP_Grid[#Data],$DD416,94),0)</f>
        <v/>
      </c>
      <c r="CS416">
        <f>IFERROR(INDEX(PP_Grid[#Data],$DD416,95),0)</f>
        <v/>
      </c>
      <c r="CT416">
        <f>IFERROR(INDEX(PP_Grid[#Data],$DD416,96),0)</f>
        <v/>
      </c>
      <c r="CU416">
        <f>IFERROR(INDEX(PP_Grid[#Data],$DD416,97),0)</f>
        <v/>
      </c>
      <c r="CV416">
        <f>IFERROR(INDEX(PP_Grid[#Data],$DD416,98),0)</f>
        <v/>
      </c>
      <c r="CW416">
        <f>IFERROR(INDEX(PP_Grid[#Data],$DD416,99),0)</f>
        <v/>
      </c>
      <c r="CX416">
        <f>IFERROR(INDEX(PP_Grid[#Data],$DD416,100),0)</f>
        <v/>
      </c>
      <c r="CY416">
        <f>IFERROR(INDEX(PP_Grid[#Data],$DD416,101),0)</f>
        <v/>
      </c>
      <c r="CZ416">
        <f>IFERROR(INDEX(PP_Grid[#Data],$DD416,102),0)</f>
        <v/>
      </c>
      <c r="DA416">
        <f>IFERROR(INDEX(PP_Grid[#Data],$DD416,103),0)</f>
        <v/>
      </c>
      <c r="DB416">
        <f>IFERROR(INDEX(PP_Grid[#Data],$DD416,104),0)</f>
        <v/>
      </c>
      <c r="DC416">
        <f>IFERROR(INDEX(PP_Grid[#Data],$DD416,105),0)</f>
        <v/>
      </c>
      <c r="DD416" s="7">
        <f>IFERROR(MATCH($B416,PP_Grid[Intermediate],0),99999)</f>
        <v/>
      </c>
    </row>
    <row r="417">
      <c r="B417" t="inlineStr">
        <is>
          <t>使用量(kg)</t>
        </is>
      </c>
      <c r="C417">
        <f>SUMIFS(M_BOM[RM_Qty_Per_Batch],M_BOM[Intermediate],$B416,M_BOM[Part Name],$A343)</f>
        <v/>
      </c>
      <c r="D417">
        <f>$C417*D416</f>
        <v/>
      </c>
      <c r="E417">
        <f>$C417*E416</f>
        <v/>
      </c>
      <c r="F417">
        <f>$C417*F416</f>
        <v/>
      </c>
      <c r="G417">
        <f>$C417*G416</f>
        <v/>
      </c>
      <c r="H417">
        <f>$C417*H416</f>
        <v/>
      </c>
      <c r="I417">
        <f>$C417*I416</f>
        <v/>
      </c>
      <c r="J417">
        <f>$C417*J416</f>
        <v/>
      </c>
      <c r="K417">
        <f>$C417*K416</f>
        <v/>
      </c>
      <c r="L417">
        <f>$C417*L416</f>
        <v/>
      </c>
      <c r="M417">
        <f>$C417*M416</f>
        <v/>
      </c>
      <c r="N417">
        <f>$C417*N416</f>
        <v/>
      </c>
      <c r="O417">
        <f>$C417*O416</f>
        <v/>
      </c>
      <c r="P417">
        <f>$C417*P416</f>
        <v/>
      </c>
      <c r="Q417">
        <f>$C417*Q416</f>
        <v/>
      </c>
      <c r="R417">
        <f>$C417*R416</f>
        <v/>
      </c>
      <c r="S417">
        <f>$C417*S416</f>
        <v/>
      </c>
      <c r="T417">
        <f>$C417*T416</f>
        <v/>
      </c>
      <c r="U417">
        <f>$C417*U416</f>
        <v/>
      </c>
      <c r="V417">
        <f>$C417*V416</f>
        <v/>
      </c>
      <c r="W417">
        <f>$C417*W416</f>
        <v/>
      </c>
      <c r="X417">
        <f>$C417*X416</f>
        <v/>
      </c>
      <c r="Y417">
        <f>$C417*Y416</f>
        <v/>
      </c>
      <c r="Z417">
        <f>$C417*Z416</f>
        <v/>
      </c>
      <c r="AA417">
        <f>$C417*AA416</f>
        <v/>
      </c>
      <c r="AB417">
        <f>$C417*AB416</f>
        <v/>
      </c>
      <c r="AC417">
        <f>$C417*AC416</f>
        <v/>
      </c>
      <c r="AD417">
        <f>$C417*AD416</f>
        <v/>
      </c>
      <c r="AE417">
        <f>$C417*AE416</f>
        <v/>
      </c>
      <c r="AF417">
        <f>$C417*AF416</f>
        <v/>
      </c>
      <c r="AG417">
        <f>$C417*AG416</f>
        <v/>
      </c>
      <c r="AH417">
        <f>$C417*AH416</f>
        <v/>
      </c>
      <c r="AI417">
        <f>$C417*AI416</f>
        <v/>
      </c>
      <c r="AJ417">
        <f>$C417*AJ416</f>
        <v/>
      </c>
      <c r="AK417">
        <f>$C417*AK416</f>
        <v/>
      </c>
      <c r="AL417">
        <f>$C417*AL416</f>
        <v/>
      </c>
      <c r="AM417">
        <f>$C417*AM416</f>
        <v/>
      </c>
      <c r="AN417">
        <f>$C417*AN416</f>
        <v/>
      </c>
      <c r="AO417">
        <f>$C417*AO416</f>
        <v/>
      </c>
      <c r="AP417">
        <f>$C417*AP416</f>
        <v/>
      </c>
      <c r="AQ417">
        <f>$C417*AQ416</f>
        <v/>
      </c>
      <c r="AR417">
        <f>$C417*AR416</f>
        <v/>
      </c>
      <c r="AS417">
        <f>$C417*AS416</f>
        <v/>
      </c>
      <c r="AT417">
        <f>$C417*AT416</f>
        <v/>
      </c>
      <c r="AU417">
        <f>$C417*AU416</f>
        <v/>
      </c>
      <c r="AV417">
        <f>$C417*AV416</f>
        <v/>
      </c>
      <c r="AW417">
        <f>$C417*AW416</f>
        <v/>
      </c>
      <c r="AX417">
        <f>$C417*AX416</f>
        <v/>
      </c>
      <c r="AY417">
        <f>$C417*AY416</f>
        <v/>
      </c>
      <c r="AZ417">
        <f>$C417*AZ416</f>
        <v/>
      </c>
      <c r="BA417">
        <f>$C417*BA416</f>
        <v/>
      </c>
      <c r="BB417">
        <f>$C417*BB416</f>
        <v/>
      </c>
      <c r="BC417">
        <f>$C417*BC416</f>
        <v/>
      </c>
      <c r="BD417">
        <f>$C417*BD416</f>
        <v/>
      </c>
      <c r="BE417">
        <f>$C417*BE416</f>
        <v/>
      </c>
      <c r="BF417">
        <f>$C417*BF416</f>
        <v/>
      </c>
      <c r="BG417">
        <f>$C417*BG416</f>
        <v/>
      </c>
      <c r="BH417">
        <f>$C417*BH416</f>
        <v/>
      </c>
      <c r="BI417">
        <f>$C417*BI416</f>
        <v/>
      </c>
      <c r="BJ417">
        <f>$C417*BJ416</f>
        <v/>
      </c>
      <c r="BK417">
        <f>$C417*BK416</f>
        <v/>
      </c>
      <c r="BL417">
        <f>$C417*BL416</f>
        <v/>
      </c>
      <c r="BM417">
        <f>$C417*BM416</f>
        <v/>
      </c>
      <c r="BN417">
        <f>$C417*BN416</f>
        <v/>
      </c>
      <c r="BO417">
        <f>$C417*BO416</f>
        <v/>
      </c>
      <c r="BP417">
        <f>$C417*BP416</f>
        <v/>
      </c>
      <c r="BQ417">
        <f>$C417*BQ416</f>
        <v/>
      </c>
      <c r="BR417">
        <f>$C417*BR416</f>
        <v/>
      </c>
      <c r="BS417">
        <f>$C417*BS416</f>
        <v/>
      </c>
      <c r="BT417">
        <f>$C417*BT416</f>
        <v/>
      </c>
      <c r="BU417">
        <f>$C417*BU416</f>
        <v/>
      </c>
      <c r="BV417">
        <f>$C417*BV416</f>
        <v/>
      </c>
      <c r="BW417">
        <f>$C417*BW416</f>
        <v/>
      </c>
      <c r="BX417">
        <f>$C417*BX416</f>
        <v/>
      </c>
      <c r="BY417">
        <f>$C417*BY416</f>
        <v/>
      </c>
      <c r="BZ417">
        <f>$C417*BZ416</f>
        <v/>
      </c>
      <c r="CA417">
        <f>$C417*CA416</f>
        <v/>
      </c>
      <c r="CB417">
        <f>$C417*CB416</f>
        <v/>
      </c>
      <c r="CC417">
        <f>$C417*CC416</f>
        <v/>
      </c>
      <c r="CD417">
        <f>$C417*CD416</f>
        <v/>
      </c>
      <c r="CE417">
        <f>$C417*CE416</f>
        <v/>
      </c>
      <c r="CF417">
        <f>$C417*CF416</f>
        <v/>
      </c>
      <c r="CG417">
        <f>$C417*CG416</f>
        <v/>
      </c>
      <c r="CH417">
        <f>$C417*CH416</f>
        <v/>
      </c>
      <c r="CI417">
        <f>$C417*CI416</f>
        <v/>
      </c>
      <c r="CJ417">
        <f>$C417*CJ416</f>
        <v/>
      </c>
      <c r="CK417">
        <f>$C417*CK416</f>
        <v/>
      </c>
      <c r="CL417">
        <f>$C417*CL416</f>
        <v/>
      </c>
      <c r="CM417">
        <f>$C417*CM416</f>
        <v/>
      </c>
      <c r="CN417">
        <f>$C417*CN416</f>
        <v/>
      </c>
      <c r="CO417">
        <f>$C417*CO416</f>
        <v/>
      </c>
      <c r="CP417">
        <f>$C417*CP416</f>
        <v/>
      </c>
      <c r="CQ417">
        <f>$C417*CQ416</f>
        <v/>
      </c>
      <c r="CR417">
        <f>$C417*CR416</f>
        <v/>
      </c>
      <c r="CS417">
        <f>$C417*CS416</f>
        <v/>
      </c>
      <c r="CT417">
        <f>$C417*CT416</f>
        <v/>
      </c>
      <c r="CU417">
        <f>$C417*CU416</f>
        <v/>
      </c>
      <c r="CV417">
        <f>$C417*CV416</f>
        <v/>
      </c>
      <c r="CW417">
        <f>$C417*CW416</f>
        <v/>
      </c>
      <c r="CX417">
        <f>$C417*CX416</f>
        <v/>
      </c>
      <c r="CY417">
        <f>$C417*CY416</f>
        <v/>
      </c>
      <c r="CZ417">
        <f>$C417*CZ416</f>
        <v/>
      </c>
      <c r="DA417">
        <f>$C417*DA416</f>
        <v/>
      </c>
      <c r="DB417">
        <f>$C417*DB416</f>
        <v/>
      </c>
      <c r="DC417">
        <f>$C417*DC416</f>
        <v/>
      </c>
    </row>
    <row r="418">
      <c r="B418" t="inlineStr">
        <is>
          <t>VSP-607</t>
        </is>
      </c>
      <c r="C418" t="inlineStr">
        <is>
          <t>No. of batches</t>
        </is>
      </c>
      <c r="D418">
        <f>IFERROR(INDEX(PP_Grid[#Data],$DD418,2),0)</f>
        <v/>
      </c>
      <c r="E418">
        <f>IFERROR(INDEX(PP_Grid[#Data],$DD418,3),0)</f>
        <v/>
      </c>
      <c r="F418">
        <f>IFERROR(INDEX(PP_Grid[#Data],$DD418,4),0)</f>
        <v/>
      </c>
      <c r="G418">
        <f>IFERROR(INDEX(PP_Grid[#Data],$DD418,5),0)</f>
        <v/>
      </c>
      <c r="H418">
        <f>IFERROR(INDEX(PP_Grid[#Data],$DD418,6),0)</f>
        <v/>
      </c>
      <c r="I418">
        <f>IFERROR(INDEX(PP_Grid[#Data],$DD418,7),0)</f>
        <v/>
      </c>
      <c r="J418">
        <f>IFERROR(INDEX(PP_Grid[#Data],$DD418,8),0)</f>
        <v/>
      </c>
      <c r="K418">
        <f>IFERROR(INDEX(PP_Grid[#Data],$DD418,9),0)</f>
        <v/>
      </c>
      <c r="L418">
        <f>IFERROR(INDEX(PP_Grid[#Data],$DD418,10),0)</f>
        <v/>
      </c>
      <c r="M418">
        <f>IFERROR(INDEX(PP_Grid[#Data],$DD418,11),0)</f>
        <v/>
      </c>
      <c r="N418">
        <f>IFERROR(INDEX(PP_Grid[#Data],$DD418,12),0)</f>
        <v/>
      </c>
      <c r="O418">
        <f>IFERROR(INDEX(PP_Grid[#Data],$DD418,13),0)</f>
        <v/>
      </c>
      <c r="P418">
        <f>IFERROR(INDEX(PP_Grid[#Data],$DD418,14),0)</f>
        <v/>
      </c>
      <c r="Q418">
        <f>IFERROR(INDEX(PP_Grid[#Data],$DD418,15),0)</f>
        <v/>
      </c>
      <c r="R418">
        <f>IFERROR(INDEX(PP_Grid[#Data],$DD418,16),0)</f>
        <v/>
      </c>
      <c r="S418">
        <f>IFERROR(INDEX(PP_Grid[#Data],$DD418,17),0)</f>
        <v/>
      </c>
      <c r="T418">
        <f>IFERROR(INDEX(PP_Grid[#Data],$DD418,18),0)</f>
        <v/>
      </c>
      <c r="U418">
        <f>IFERROR(INDEX(PP_Grid[#Data],$DD418,19),0)</f>
        <v/>
      </c>
      <c r="V418">
        <f>IFERROR(INDEX(PP_Grid[#Data],$DD418,20),0)</f>
        <v/>
      </c>
      <c r="W418">
        <f>IFERROR(INDEX(PP_Grid[#Data],$DD418,21),0)</f>
        <v/>
      </c>
      <c r="X418">
        <f>IFERROR(INDEX(PP_Grid[#Data],$DD418,22),0)</f>
        <v/>
      </c>
      <c r="Y418">
        <f>IFERROR(INDEX(PP_Grid[#Data],$DD418,23),0)</f>
        <v/>
      </c>
      <c r="Z418">
        <f>IFERROR(INDEX(PP_Grid[#Data],$DD418,24),0)</f>
        <v/>
      </c>
      <c r="AA418">
        <f>IFERROR(INDEX(PP_Grid[#Data],$DD418,25),0)</f>
        <v/>
      </c>
      <c r="AB418">
        <f>IFERROR(INDEX(PP_Grid[#Data],$DD418,26),0)</f>
        <v/>
      </c>
      <c r="AC418">
        <f>IFERROR(INDEX(PP_Grid[#Data],$DD418,27),0)</f>
        <v/>
      </c>
      <c r="AD418">
        <f>IFERROR(INDEX(PP_Grid[#Data],$DD418,28),0)</f>
        <v/>
      </c>
      <c r="AE418">
        <f>IFERROR(INDEX(PP_Grid[#Data],$DD418,29),0)</f>
        <v/>
      </c>
      <c r="AF418">
        <f>IFERROR(INDEX(PP_Grid[#Data],$DD418,30),0)</f>
        <v/>
      </c>
      <c r="AG418">
        <f>IFERROR(INDEX(PP_Grid[#Data],$DD418,31),0)</f>
        <v/>
      </c>
      <c r="AH418">
        <f>IFERROR(INDEX(PP_Grid[#Data],$DD418,32),0)</f>
        <v/>
      </c>
      <c r="AI418">
        <f>IFERROR(INDEX(PP_Grid[#Data],$DD418,33),0)</f>
        <v/>
      </c>
      <c r="AJ418">
        <f>IFERROR(INDEX(PP_Grid[#Data],$DD418,34),0)</f>
        <v/>
      </c>
      <c r="AK418">
        <f>IFERROR(INDEX(PP_Grid[#Data],$DD418,35),0)</f>
        <v/>
      </c>
      <c r="AL418">
        <f>IFERROR(INDEX(PP_Grid[#Data],$DD418,36),0)</f>
        <v/>
      </c>
      <c r="AM418">
        <f>IFERROR(INDEX(PP_Grid[#Data],$DD418,37),0)</f>
        <v/>
      </c>
      <c r="AN418">
        <f>IFERROR(INDEX(PP_Grid[#Data],$DD418,38),0)</f>
        <v/>
      </c>
      <c r="AO418">
        <f>IFERROR(INDEX(PP_Grid[#Data],$DD418,39),0)</f>
        <v/>
      </c>
      <c r="AP418">
        <f>IFERROR(INDEX(PP_Grid[#Data],$DD418,40),0)</f>
        <v/>
      </c>
      <c r="AQ418">
        <f>IFERROR(INDEX(PP_Grid[#Data],$DD418,41),0)</f>
        <v/>
      </c>
      <c r="AR418">
        <f>IFERROR(INDEX(PP_Grid[#Data],$DD418,42),0)</f>
        <v/>
      </c>
      <c r="AS418">
        <f>IFERROR(INDEX(PP_Grid[#Data],$DD418,43),0)</f>
        <v/>
      </c>
      <c r="AT418">
        <f>IFERROR(INDEX(PP_Grid[#Data],$DD418,44),0)</f>
        <v/>
      </c>
      <c r="AU418">
        <f>IFERROR(INDEX(PP_Grid[#Data],$DD418,45),0)</f>
        <v/>
      </c>
      <c r="AV418">
        <f>IFERROR(INDEX(PP_Grid[#Data],$DD418,46),0)</f>
        <v/>
      </c>
      <c r="AW418">
        <f>IFERROR(INDEX(PP_Grid[#Data],$DD418,47),0)</f>
        <v/>
      </c>
      <c r="AX418">
        <f>IFERROR(INDEX(PP_Grid[#Data],$DD418,48),0)</f>
        <v/>
      </c>
      <c r="AY418">
        <f>IFERROR(INDEX(PP_Grid[#Data],$DD418,49),0)</f>
        <v/>
      </c>
      <c r="AZ418">
        <f>IFERROR(INDEX(PP_Grid[#Data],$DD418,50),0)</f>
        <v/>
      </c>
      <c r="BA418">
        <f>IFERROR(INDEX(PP_Grid[#Data],$DD418,51),0)</f>
        <v/>
      </c>
      <c r="BB418">
        <f>IFERROR(INDEX(PP_Grid[#Data],$DD418,52),0)</f>
        <v/>
      </c>
      <c r="BC418">
        <f>IFERROR(INDEX(PP_Grid[#Data],$DD418,53),0)</f>
        <v/>
      </c>
      <c r="BD418">
        <f>IFERROR(INDEX(PP_Grid[#Data],$DD418,54),0)</f>
        <v/>
      </c>
      <c r="BE418">
        <f>IFERROR(INDEX(PP_Grid[#Data],$DD418,55),0)</f>
        <v/>
      </c>
      <c r="BF418">
        <f>IFERROR(INDEX(PP_Grid[#Data],$DD418,56),0)</f>
        <v/>
      </c>
      <c r="BG418">
        <f>IFERROR(INDEX(PP_Grid[#Data],$DD418,57),0)</f>
        <v/>
      </c>
      <c r="BH418">
        <f>IFERROR(INDEX(PP_Grid[#Data],$DD418,58),0)</f>
        <v/>
      </c>
      <c r="BI418">
        <f>IFERROR(INDEX(PP_Grid[#Data],$DD418,59),0)</f>
        <v/>
      </c>
      <c r="BJ418">
        <f>IFERROR(INDEX(PP_Grid[#Data],$DD418,60),0)</f>
        <v/>
      </c>
      <c r="BK418">
        <f>IFERROR(INDEX(PP_Grid[#Data],$DD418,61),0)</f>
        <v/>
      </c>
      <c r="BL418">
        <f>IFERROR(INDEX(PP_Grid[#Data],$DD418,62),0)</f>
        <v/>
      </c>
      <c r="BM418">
        <f>IFERROR(INDEX(PP_Grid[#Data],$DD418,63),0)</f>
        <v/>
      </c>
      <c r="BN418">
        <f>IFERROR(INDEX(PP_Grid[#Data],$DD418,64),0)</f>
        <v/>
      </c>
      <c r="BO418">
        <f>IFERROR(INDEX(PP_Grid[#Data],$DD418,65),0)</f>
        <v/>
      </c>
      <c r="BP418">
        <f>IFERROR(INDEX(PP_Grid[#Data],$DD418,66),0)</f>
        <v/>
      </c>
      <c r="BQ418">
        <f>IFERROR(INDEX(PP_Grid[#Data],$DD418,67),0)</f>
        <v/>
      </c>
      <c r="BR418">
        <f>IFERROR(INDEX(PP_Grid[#Data],$DD418,68),0)</f>
        <v/>
      </c>
      <c r="BS418">
        <f>IFERROR(INDEX(PP_Grid[#Data],$DD418,69),0)</f>
        <v/>
      </c>
      <c r="BT418">
        <f>IFERROR(INDEX(PP_Grid[#Data],$DD418,70),0)</f>
        <v/>
      </c>
      <c r="BU418">
        <f>IFERROR(INDEX(PP_Grid[#Data],$DD418,71),0)</f>
        <v/>
      </c>
      <c r="BV418">
        <f>IFERROR(INDEX(PP_Grid[#Data],$DD418,72),0)</f>
        <v/>
      </c>
      <c r="BW418">
        <f>IFERROR(INDEX(PP_Grid[#Data],$DD418,73),0)</f>
        <v/>
      </c>
      <c r="BX418">
        <f>IFERROR(INDEX(PP_Grid[#Data],$DD418,74),0)</f>
        <v/>
      </c>
      <c r="BY418">
        <f>IFERROR(INDEX(PP_Grid[#Data],$DD418,75),0)</f>
        <v/>
      </c>
      <c r="BZ418">
        <f>IFERROR(INDEX(PP_Grid[#Data],$DD418,76),0)</f>
        <v/>
      </c>
      <c r="CA418">
        <f>IFERROR(INDEX(PP_Grid[#Data],$DD418,77),0)</f>
        <v/>
      </c>
      <c r="CB418">
        <f>IFERROR(INDEX(PP_Grid[#Data],$DD418,78),0)</f>
        <v/>
      </c>
      <c r="CC418">
        <f>IFERROR(INDEX(PP_Grid[#Data],$DD418,79),0)</f>
        <v/>
      </c>
      <c r="CD418">
        <f>IFERROR(INDEX(PP_Grid[#Data],$DD418,80),0)</f>
        <v/>
      </c>
      <c r="CE418">
        <f>IFERROR(INDEX(PP_Grid[#Data],$DD418,81),0)</f>
        <v/>
      </c>
      <c r="CF418">
        <f>IFERROR(INDEX(PP_Grid[#Data],$DD418,82),0)</f>
        <v/>
      </c>
      <c r="CG418">
        <f>IFERROR(INDEX(PP_Grid[#Data],$DD418,83),0)</f>
        <v/>
      </c>
      <c r="CH418">
        <f>IFERROR(INDEX(PP_Grid[#Data],$DD418,84),0)</f>
        <v/>
      </c>
      <c r="CI418">
        <f>IFERROR(INDEX(PP_Grid[#Data],$DD418,85),0)</f>
        <v/>
      </c>
      <c r="CJ418">
        <f>IFERROR(INDEX(PP_Grid[#Data],$DD418,86),0)</f>
        <v/>
      </c>
      <c r="CK418">
        <f>IFERROR(INDEX(PP_Grid[#Data],$DD418,87),0)</f>
        <v/>
      </c>
      <c r="CL418">
        <f>IFERROR(INDEX(PP_Grid[#Data],$DD418,88),0)</f>
        <v/>
      </c>
      <c r="CM418">
        <f>IFERROR(INDEX(PP_Grid[#Data],$DD418,89),0)</f>
        <v/>
      </c>
      <c r="CN418">
        <f>IFERROR(INDEX(PP_Grid[#Data],$DD418,90),0)</f>
        <v/>
      </c>
      <c r="CO418">
        <f>IFERROR(INDEX(PP_Grid[#Data],$DD418,91),0)</f>
        <v/>
      </c>
      <c r="CP418">
        <f>IFERROR(INDEX(PP_Grid[#Data],$DD418,92),0)</f>
        <v/>
      </c>
      <c r="CQ418">
        <f>IFERROR(INDEX(PP_Grid[#Data],$DD418,93),0)</f>
        <v/>
      </c>
      <c r="CR418">
        <f>IFERROR(INDEX(PP_Grid[#Data],$DD418,94),0)</f>
        <v/>
      </c>
      <c r="CS418">
        <f>IFERROR(INDEX(PP_Grid[#Data],$DD418,95),0)</f>
        <v/>
      </c>
      <c r="CT418">
        <f>IFERROR(INDEX(PP_Grid[#Data],$DD418,96),0)</f>
        <v/>
      </c>
      <c r="CU418">
        <f>IFERROR(INDEX(PP_Grid[#Data],$DD418,97),0)</f>
        <v/>
      </c>
      <c r="CV418">
        <f>IFERROR(INDEX(PP_Grid[#Data],$DD418,98),0)</f>
        <v/>
      </c>
      <c r="CW418">
        <f>IFERROR(INDEX(PP_Grid[#Data],$DD418,99),0)</f>
        <v/>
      </c>
      <c r="CX418">
        <f>IFERROR(INDEX(PP_Grid[#Data],$DD418,100),0)</f>
        <v/>
      </c>
      <c r="CY418">
        <f>IFERROR(INDEX(PP_Grid[#Data],$DD418,101),0)</f>
        <v/>
      </c>
      <c r="CZ418">
        <f>IFERROR(INDEX(PP_Grid[#Data],$DD418,102),0)</f>
        <v/>
      </c>
      <c r="DA418">
        <f>IFERROR(INDEX(PP_Grid[#Data],$DD418,103),0)</f>
        <v/>
      </c>
      <c r="DB418">
        <f>IFERROR(INDEX(PP_Grid[#Data],$DD418,104),0)</f>
        <v/>
      </c>
      <c r="DC418">
        <f>IFERROR(INDEX(PP_Grid[#Data],$DD418,105),0)</f>
        <v/>
      </c>
      <c r="DD418" s="7">
        <f>IFERROR(MATCH($B418,PP_Grid[Intermediate],0),99999)</f>
        <v/>
      </c>
    </row>
    <row r="419">
      <c r="B419" t="inlineStr">
        <is>
          <t>使用量(kg)</t>
        </is>
      </c>
      <c r="C419">
        <f>SUMIFS(M_BOM[RM_Qty_Per_Batch],M_BOM[Intermediate],$B418,M_BOM[Part Name],$A343)</f>
        <v/>
      </c>
      <c r="D419">
        <f>$C419*D418</f>
        <v/>
      </c>
      <c r="E419">
        <f>$C419*E418</f>
        <v/>
      </c>
      <c r="F419">
        <f>$C419*F418</f>
        <v/>
      </c>
      <c r="G419">
        <f>$C419*G418</f>
        <v/>
      </c>
      <c r="H419">
        <f>$C419*H418</f>
        <v/>
      </c>
      <c r="I419">
        <f>$C419*I418</f>
        <v/>
      </c>
      <c r="J419">
        <f>$C419*J418</f>
        <v/>
      </c>
      <c r="K419">
        <f>$C419*K418</f>
        <v/>
      </c>
      <c r="L419">
        <f>$C419*L418</f>
        <v/>
      </c>
      <c r="M419">
        <f>$C419*M418</f>
        <v/>
      </c>
      <c r="N419">
        <f>$C419*N418</f>
        <v/>
      </c>
      <c r="O419">
        <f>$C419*O418</f>
        <v/>
      </c>
      <c r="P419">
        <f>$C419*P418</f>
        <v/>
      </c>
      <c r="Q419">
        <f>$C419*Q418</f>
        <v/>
      </c>
      <c r="R419">
        <f>$C419*R418</f>
        <v/>
      </c>
      <c r="S419">
        <f>$C419*S418</f>
        <v/>
      </c>
      <c r="T419">
        <f>$C419*T418</f>
        <v/>
      </c>
      <c r="U419">
        <f>$C419*U418</f>
        <v/>
      </c>
      <c r="V419">
        <f>$C419*V418</f>
        <v/>
      </c>
      <c r="W419">
        <f>$C419*W418</f>
        <v/>
      </c>
      <c r="X419">
        <f>$C419*X418</f>
        <v/>
      </c>
      <c r="Y419">
        <f>$C419*Y418</f>
        <v/>
      </c>
      <c r="Z419">
        <f>$C419*Z418</f>
        <v/>
      </c>
      <c r="AA419">
        <f>$C419*AA418</f>
        <v/>
      </c>
      <c r="AB419">
        <f>$C419*AB418</f>
        <v/>
      </c>
      <c r="AC419">
        <f>$C419*AC418</f>
        <v/>
      </c>
      <c r="AD419">
        <f>$C419*AD418</f>
        <v/>
      </c>
      <c r="AE419">
        <f>$C419*AE418</f>
        <v/>
      </c>
      <c r="AF419">
        <f>$C419*AF418</f>
        <v/>
      </c>
      <c r="AG419">
        <f>$C419*AG418</f>
        <v/>
      </c>
      <c r="AH419">
        <f>$C419*AH418</f>
        <v/>
      </c>
      <c r="AI419">
        <f>$C419*AI418</f>
        <v/>
      </c>
      <c r="AJ419">
        <f>$C419*AJ418</f>
        <v/>
      </c>
      <c r="AK419">
        <f>$C419*AK418</f>
        <v/>
      </c>
      <c r="AL419">
        <f>$C419*AL418</f>
        <v/>
      </c>
      <c r="AM419">
        <f>$C419*AM418</f>
        <v/>
      </c>
      <c r="AN419">
        <f>$C419*AN418</f>
        <v/>
      </c>
      <c r="AO419">
        <f>$C419*AO418</f>
        <v/>
      </c>
      <c r="AP419">
        <f>$C419*AP418</f>
        <v/>
      </c>
      <c r="AQ419">
        <f>$C419*AQ418</f>
        <v/>
      </c>
      <c r="AR419">
        <f>$C419*AR418</f>
        <v/>
      </c>
      <c r="AS419">
        <f>$C419*AS418</f>
        <v/>
      </c>
      <c r="AT419">
        <f>$C419*AT418</f>
        <v/>
      </c>
      <c r="AU419">
        <f>$C419*AU418</f>
        <v/>
      </c>
      <c r="AV419">
        <f>$C419*AV418</f>
        <v/>
      </c>
      <c r="AW419">
        <f>$C419*AW418</f>
        <v/>
      </c>
      <c r="AX419">
        <f>$C419*AX418</f>
        <v/>
      </c>
      <c r="AY419">
        <f>$C419*AY418</f>
        <v/>
      </c>
      <c r="AZ419">
        <f>$C419*AZ418</f>
        <v/>
      </c>
      <c r="BA419">
        <f>$C419*BA418</f>
        <v/>
      </c>
      <c r="BB419">
        <f>$C419*BB418</f>
        <v/>
      </c>
      <c r="BC419">
        <f>$C419*BC418</f>
        <v/>
      </c>
      <c r="BD419">
        <f>$C419*BD418</f>
        <v/>
      </c>
      <c r="BE419">
        <f>$C419*BE418</f>
        <v/>
      </c>
      <c r="BF419">
        <f>$C419*BF418</f>
        <v/>
      </c>
      <c r="BG419">
        <f>$C419*BG418</f>
        <v/>
      </c>
      <c r="BH419">
        <f>$C419*BH418</f>
        <v/>
      </c>
      <c r="BI419">
        <f>$C419*BI418</f>
        <v/>
      </c>
      <c r="BJ419">
        <f>$C419*BJ418</f>
        <v/>
      </c>
      <c r="BK419">
        <f>$C419*BK418</f>
        <v/>
      </c>
      <c r="BL419">
        <f>$C419*BL418</f>
        <v/>
      </c>
      <c r="BM419">
        <f>$C419*BM418</f>
        <v/>
      </c>
      <c r="BN419">
        <f>$C419*BN418</f>
        <v/>
      </c>
      <c r="BO419">
        <f>$C419*BO418</f>
        <v/>
      </c>
      <c r="BP419">
        <f>$C419*BP418</f>
        <v/>
      </c>
      <c r="BQ419">
        <f>$C419*BQ418</f>
        <v/>
      </c>
      <c r="BR419">
        <f>$C419*BR418</f>
        <v/>
      </c>
      <c r="BS419">
        <f>$C419*BS418</f>
        <v/>
      </c>
      <c r="BT419">
        <f>$C419*BT418</f>
        <v/>
      </c>
      <c r="BU419">
        <f>$C419*BU418</f>
        <v/>
      </c>
      <c r="BV419">
        <f>$C419*BV418</f>
        <v/>
      </c>
      <c r="BW419">
        <f>$C419*BW418</f>
        <v/>
      </c>
      <c r="BX419">
        <f>$C419*BX418</f>
        <v/>
      </c>
      <c r="BY419">
        <f>$C419*BY418</f>
        <v/>
      </c>
      <c r="BZ419">
        <f>$C419*BZ418</f>
        <v/>
      </c>
      <c r="CA419">
        <f>$C419*CA418</f>
        <v/>
      </c>
      <c r="CB419">
        <f>$C419*CB418</f>
        <v/>
      </c>
      <c r="CC419">
        <f>$C419*CC418</f>
        <v/>
      </c>
      <c r="CD419">
        <f>$C419*CD418</f>
        <v/>
      </c>
      <c r="CE419">
        <f>$C419*CE418</f>
        <v/>
      </c>
      <c r="CF419">
        <f>$C419*CF418</f>
        <v/>
      </c>
      <c r="CG419">
        <f>$C419*CG418</f>
        <v/>
      </c>
      <c r="CH419">
        <f>$C419*CH418</f>
        <v/>
      </c>
      <c r="CI419">
        <f>$C419*CI418</f>
        <v/>
      </c>
      <c r="CJ419">
        <f>$C419*CJ418</f>
        <v/>
      </c>
      <c r="CK419">
        <f>$C419*CK418</f>
        <v/>
      </c>
      <c r="CL419">
        <f>$C419*CL418</f>
        <v/>
      </c>
      <c r="CM419">
        <f>$C419*CM418</f>
        <v/>
      </c>
      <c r="CN419">
        <f>$C419*CN418</f>
        <v/>
      </c>
      <c r="CO419">
        <f>$C419*CO418</f>
        <v/>
      </c>
      <c r="CP419">
        <f>$C419*CP418</f>
        <v/>
      </c>
      <c r="CQ419">
        <f>$C419*CQ418</f>
        <v/>
      </c>
      <c r="CR419">
        <f>$C419*CR418</f>
        <v/>
      </c>
      <c r="CS419">
        <f>$C419*CS418</f>
        <v/>
      </c>
      <c r="CT419">
        <f>$C419*CT418</f>
        <v/>
      </c>
      <c r="CU419">
        <f>$C419*CU418</f>
        <v/>
      </c>
      <c r="CV419">
        <f>$C419*CV418</f>
        <v/>
      </c>
      <c r="CW419">
        <f>$C419*CW418</f>
        <v/>
      </c>
      <c r="CX419">
        <f>$C419*CX418</f>
        <v/>
      </c>
      <c r="CY419">
        <f>$C419*CY418</f>
        <v/>
      </c>
      <c r="CZ419">
        <f>$C419*CZ418</f>
        <v/>
      </c>
      <c r="DA419">
        <f>$C419*DA418</f>
        <v/>
      </c>
      <c r="DB419">
        <f>$C419*DB418</f>
        <v/>
      </c>
      <c r="DC419">
        <f>$C419*DC418</f>
        <v/>
      </c>
    </row>
    <row r="420">
      <c r="B420" t="inlineStr">
        <is>
          <t>VSP-738</t>
        </is>
      </c>
      <c r="C420" t="inlineStr">
        <is>
          <t>No. of batches</t>
        </is>
      </c>
      <c r="D420">
        <f>IFERROR(INDEX(PP_Grid[#Data],$DD420,2),0)</f>
        <v/>
      </c>
      <c r="E420">
        <f>IFERROR(INDEX(PP_Grid[#Data],$DD420,3),0)</f>
        <v/>
      </c>
      <c r="F420">
        <f>IFERROR(INDEX(PP_Grid[#Data],$DD420,4),0)</f>
        <v/>
      </c>
      <c r="G420">
        <f>IFERROR(INDEX(PP_Grid[#Data],$DD420,5),0)</f>
        <v/>
      </c>
      <c r="H420">
        <f>IFERROR(INDEX(PP_Grid[#Data],$DD420,6),0)</f>
        <v/>
      </c>
      <c r="I420">
        <f>IFERROR(INDEX(PP_Grid[#Data],$DD420,7),0)</f>
        <v/>
      </c>
      <c r="J420">
        <f>IFERROR(INDEX(PP_Grid[#Data],$DD420,8),0)</f>
        <v/>
      </c>
      <c r="K420">
        <f>IFERROR(INDEX(PP_Grid[#Data],$DD420,9),0)</f>
        <v/>
      </c>
      <c r="L420">
        <f>IFERROR(INDEX(PP_Grid[#Data],$DD420,10),0)</f>
        <v/>
      </c>
      <c r="M420">
        <f>IFERROR(INDEX(PP_Grid[#Data],$DD420,11),0)</f>
        <v/>
      </c>
      <c r="N420">
        <f>IFERROR(INDEX(PP_Grid[#Data],$DD420,12),0)</f>
        <v/>
      </c>
      <c r="O420">
        <f>IFERROR(INDEX(PP_Grid[#Data],$DD420,13),0)</f>
        <v/>
      </c>
      <c r="P420">
        <f>IFERROR(INDEX(PP_Grid[#Data],$DD420,14),0)</f>
        <v/>
      </c>
      <c r="Q420">
        <f>IFERROR(INDEX(PP_Grid[#Data],$DD420,15),0)</f>
        <v/>
      </c>
      <c r="R420">
        <f>IFERROR(INDEX(PP_Grid[#Data],$DD420,16),0)</f>
        <v/>
      </c>
      <c r="S420">
        <f>IFERROR(INDEX(PP_Grid[#Data],$DD420,17),0)</f>
        <v/>
      </c>
      <c r="T420">
        <f>IFERROR(INDEX(PP_Grid[#Data],$DD420,18),0)</f>
        <v/>
      </c>
      <c r="U420">
        <f>IFERROR(INDEX(PP_Grid[#Data],$DD420,19),0)</f>
        <v/>
      </c>
      <c r="V420">
        <f>IFERROR(INDEX(PP_Grid[#Data],$DD420,20),0)</f>
        <v/>
      </c>
      <c r="W420">
        <f>IFERROR(INDEX(PP_Grid[#Data],$DD420,21),0)</f>
        <v/>
      </c>
      <c r="X420">
        <f>IFERROR(INDEX(PP_Grid[#Data],$DD420,22),0)</f>
        <v/>
      </c>
      <c r="Y420">
        <f>IFERROR(INDEX(PP_Grid[#Data],$DD420,23),0)</f>
        <v/>
      </c>
      <c r="Z420">
        <f>IFERROR(INDEX(PP_Grid[#Data],$DD420,24),0)</f>
        <v/>
      </c>
      <c r="AA420">
        <f>IFERROR(INDEX(PP_Grid[#Data],$DD420,25),0)</f>
        <v/>
      </c>
      <c r="AB420">
        <f>IFERROR(INDEX(PP_Grid[#Data],$DD420,26),0)</f>
        <v/>
      </c>
      <c r="AC420">
        <f>IFERROR(INDEX(PP_Grid[#Data],$DD420,27),0)</f>
        <v/>
      </c>
      <c r="AD420">
        <f>IFERROR(INDEX(PP_Grid[#Data],$DD420,28),0)</f>
        <v/>
      </c>
      <c r="AE420">
        <f>IFERROR(INDEX(PP_Grid[#Data],$DD420,29),0)</f>
        <v/>
      </c>
      <c r="AF420">
        <f>IFERROR(INDEX(PP_Grid[#Data],$DD420,30),0)</f>
        <v/>
      </c>
      <c r="AG420">
        <f>IFERROR(INDEX(PP_Grid[#Data],$DD420,31),0)</f>
        <v/>
      </c>
      <c r="AH420">
        <f>IFERROR(INDEX(PP_Grid[#Data],$DD420,32),0)</f>
        <v/>
      </c>
      <c r="AI420">
        <f>IFERROR(INDEX(PP_Grid[#Data],$DD420,33),0)</f>
        <v/>
      </c>
      <c r="AJ420">
        <f>IFERROR(INDEX(PP_Grid[#Data],$DD420,34),0)</f>
        <v/>
      </c>
      <c r="AK420">
        <f>IFERROR(INDEX(PP_Grid[#Data],$DD420,35),0)</f>
        <v/>
      </c>
      <c r="AL420">
        <f>IFERROR(INDEX(PP_Grid[#Data],$DD420,36),0)</f>
        <v/>
      </c>
      <c r="AM420">
        <f>IFERROR(INDEX(PP_Grid[#Data],$DD420,37),0)</f>
        <v/>
      </c>
      <c r="AN420">
        <f>IFERROR(INDEX(PP_Grid[#Data],$DD420,38),0)</f>
        <v/>
      </c>
      <c r="AO420">
        <f>IFERROR(INDEX(PP_Grid[#Data],$DD420,39),0)</f>
        <v/>
      </c>
      <c r="AP420">
        <f>IFERROR(INDEX(PP_Grid[#Data],$DD420,40),0)</f>
        <v/>
      </c>
      <c r="AQ420">
        <f>IFERROR(INDEX(PP_Grid[#Data],$DD420,41),0)</f>
        <v/>
      </c>
      <c r="AR420">
        <f>IFERROR(INDEX(PP_Grid[#Data],$DD420,42),0)</f>
        <v/>
      </c>
      <c r="AS420">
        <f>IFERROR(INDEX(PP_Grid[#Data],$DD420,43),0)</f>
        <v/>
      </c>
      <c r="AT420">
        <f>IFERROR(INDEX(PP_Grid[#Data],$DD420,44),0)</f>
        <v/>
      </c>
      <c r="AU420">
        <f>IFERROR(INDEX(PP_Grid[#Data],$DD420,45),0)</f>
        <v/>
      </c>
      <c r="AV420">
        <f>IFERROR(INDEX(PP_Grid[#Data],$DD420,46),0)</f>
        <v/>
      </c>
      <c r="AW420">
        <f>IFERROR(INDEX(PP_Grid[#Data],$DD420,47),0)</f>
        <v/>
      </c>
      <c r="AX420">
        <f>IFERROR(INDEX(PP_Grid[#Data],$DD420,48),0)</f>
        <v/>
      </c>
      <c r="AY420">
        <f>IFERROR(INDEX(PP_Grid[#Data],$DD420,49),0)</f>
        <v/>
      </c>
      <c r="AZ420">
        <f>IFERROR(INDEX(PP_Grid[#Data],$DD420,50),0)</f>
        <v/>
      </c>
      <c r="BA420">
        <f>IFERROR(INDEX(PP_Grid[#Data],$DD420,51),0)</f>
        <v/>
      </c>
      <c r="BB420">
        <f>IFERROR(INDEX(PP_Grid[#Data],$DD420,52),0)</f>
        <v/>
      </c>
      <c r="BC420">
        <f>IFERROR(INDEX(PP_Grid[#Data],$DD420,53),0)</f>
        <v/>
      </c>
      <c r="BD420">
        <f>IFERROR(INDEX(PP_Grid[#Data],$DD420,54),0)</f>
        <v/>
      </c>
      <c r="BE420">
        <f>IFERROR(INDEX(PP_Grid[#Data],$DD420,55),0)</f>
        <v/>
      </c>
      <c r="BF420">
        <f>IFERROR(INDEX(PP_Grid[#Data],$DD420,56),0)</f>
        <v/>
      </c>
      <c r="BG420">
        <f>IFERROR(INDEX(PP_Grid[#Data],$DD420,57),0)</f>
        <v/>
      </c>
      <c r="BH420">
        <f>IFERROR(INDEX(PP_Grid[#Data],$DD420,58),0)</f>
        <v/>
      </c>
      <c r="BI420">
        <f>IFERROR(INDEX(PP_Grid[#Data],$DD420,59),0)</f>
        <v/>
      </c>
      <c r="BJ420">
        <f>IFERROR(INDEX(PP_Grid[#Data],$DD420,60),0)</f>
        <v/>
      </c>
      <c r="BK420">
        <f>IFERROR(INDEX(PP_Grid[#Data],$DD420,61),0)</f>
        <v/>
      </c>
      <c r="BL420">
        <f>IFERROR(INDEX(PP_Grid[#Data],$DD420,62),0)</f>
        <v/>
      </c>
      <c r="BM420">
        <f>IFERROR(INDEX(PP_Grid[#Data],$DD420,63),0)</f>
        <v/>
      </c>
      <c r="BN420">
        <f>IFERROR(INDEX(PP_Grid[#Data],$DD420,64),0)</f>
        <v/>
      </c>
      <c r="BO420">
        <f>IFERROR(INDEX(PP_Grid[#Data],$DD420,65),0)</f>
        <v/>
      </c>
      <c r="BP420">
        <f>IFERROR(INDEX(PP_Grid[#Data],$DD420,66),0)</f>
        <v/>
      </c>
      <c r="BQ420">
        <f>IFERROR(INDEX(PP_Grid[#Data],$DD420,67),0)</f>
        <v/>
      </c>
      <c r="BR420">
        <f>IFERROR(INDEX(PP_Grid[#Data],$DD420,68),0)</f>
        <v/>
      </c>
      <c r="BS420">
        <f>IFERROR(INDEX(PP_Grid[#Data],$DD420,69),0)</f>
        <v/>
      </c>
      <c r="BT420">
        <f>IFERROR(INDEX(PP_Grid[#Data],$DD420,70),0)</f>
        <v/>
      </c>
      <c r="BU420">
        <f>IFERROR(INDEX(PP_Grid[#Data],$DD420,71),0)</f>
        <v/>
      </c>
      <c r="BV420">
        <f>IFERROR(INDEX(PP_Grid[#Data],$DD420,72),0)</f>
        <v/>
      </c>
      <c r="BW420">
        <f>IFERROR(INDEX(PP_Grid[#Data],$DD420,73),0)</f>
        <v/>
      </c>
      <c r="BX420">
        <f>IFERROR(INDEX(PP_Grid[#Data],$DD420,74),0)</f>
        <v/>
      </c>
      <c r="BY420">
        <f>IFERROR(INDEX(PP_Grid[#Data],$DD420,75),0)</f>
        <v/>
      </c>
      <c r="BZ420">
        <f>IFERROR(INDEX(PP_Grid[#Data],$DD420,76),0)</f>
        <v/>
      </c>
      <c r="CA420">
        <f>IFERROR(INDEX(PP_Grid[#Data],$DD420,77),0)</f>
        <v/>
      </c>
      <c r="CB420">
        <f>IFERROR(INDEX(PP_Grid[#Data],$DD420,78),0)</f>
        <v/>
      </c>
      <c r="CC420">
        <f>IFERROR(INDEX(PP_Grid[#Data],$DD420,79),0)</f>
        <v/>
      </c>
      <c r="CD420">
        <f>IFERROR(INDEX(PP_Grid[#Data],$DD420,80),0)</f>
        <v/>
      </c>
      <c r="CE420">
        <f>IFERROR(INDEX(PP_Grid[#Data],$DD420,81),0)</f>
        <v/>
      </c>
      <c r="CF420">
        <f>IFERROR(INDEX(PP_Grid[#Data],$DD420,82),0)</f>
        <v/>
      </c>
      <c r="CG420">
        <f>IFERROR(INDEX(PP_Grid[#Data],$DD420,83),0)</f>
        <v/>
      </c>
      <c r="CH420">
        <f>IFERROR(INDEX(PP_Grid[#Data],$DD420,84),0)</f>
        <v/>
      </c>
      <c r="CI420">
        <f>IFERROR(INDEX(PP_Grid[#Data],$DD420,85),0)</f>
        <v/>
      </c>
      <c r="CJ420">
        <f>IFERROR(INDEX(PP_Grid[#Data],$DD420,86),0)</f>
        <v/>
      </c>
      <c r="CK420">
        <f>IFERROR(INDEX(PP_Grid[#Data],$DD420,87),0)</f>
        <v/>
      </c>
      <c r="CL420">
        <f>IFERROR(INDEX(PP_Grid[#Data],$DD420,88),0)</f>
        <v/>
      </c>
      <c r="CM420">
        <f>IFERROR(INDEX(PP_Grid[#Data],$DD420,89),0)</f>
        <v/>
      </c>
      <c r="CN420">
        <f>IFERROR(INDEX(PP_Grid[#Data],$DD420,90),0)</f>
        <v/>
      </c>
      <c r="CO420">
        <f>IFERROR(INDEX(PP_Grid[#Data],$DD420,91),0)</f>
        <v/>
      </c>
      <c r="CP420">
        <f>IFERROR(INDEX(PP_Grid[#Data],$DD420,92),0)</f>
        <v/>
      </c>
      <c r="CQ420">
        <f>IFERROR(INDEX(PP_Grid[#Data],$DD420,93),0)</f>
        <v/>
      </c>
      <c r="CR420">
        <f>IFERROR(INDEX(PP_Grid[#Data],$DD420,94),0)</f>
        <v/>
      </c>
      <c r="CS420">
        <f>IFERROR(INDEX(PP_Grid[#Data],$DD420,95),0)</f>
        <v/>
      </c>
      <c r="CT420">
        <f>IFERROR(INDEX(PP_Grid[#Data],$DD420,96),0)</f>
        <v/>
      </c>
      <c r="CU420">
        <f>IFERROR(INDEX(PP_Grid[#Data],$DD420,97),0)</f>
        <v/>
      </c>
      <c r="CV420">
        <f>IFERROR(INDEX(PP_Grid[#Data],$DD420,98),0)</f>
        <v/>
      </c>
      <c r="CW420">
        <f>IFERROR(INDEX(PP_Grid[#Data],$DD420,99),0)</f>
        <v/>
      </c>
      <c r="CX420">
        <f>IFERROR(INDEX(PP_Grid[#Data],$DD420,100),0)</f>
        <v/>
      </c>
      <c r="CY420">
        <f>IFERROR(INDEX(PP_Grid[#Data],$DD420,101),0)</f>
        <v/>
      </c>
      <c r="CZ420">
        <f>IFERROR(INDEX(PP_Grid[#Data],$DD420,102),0)</f>
        <v/>
      </c>
      <c r="DA420">
        <f>IFERROR(INDEX(PP_Grid[#Data],$DD420,103),0)</f>
        <v/>
      </c>
      <c r="DB420">
        <f>IFERROR(INDEX(PP_Grid[#Data],$DD420,104),0)</f>
        <v/>
      </c>
      <c r="DC420">
        <f>IFERROR(INDEX(PP_Grid[#Data],$DD420,105),0)</f>
        <v/>
      </c>
      <c r="DD420" s="7">
        <f>IFERROR(MATCH($B420,PP_Grid[Intermediate],0),99999)</f>
        <v/>
      </c>
    </row>
    <row r="421">
      <c r="B421" t="inlineStr">
        <is>
          <t>使用量(kg)</t>
        </is>
      </c>
      <c r="C421">
        <f>SUMIFS(M_BOM[RM_Qty_Per_Batch],M_BOM[Intermediate],$B420,M_BOM[Part Name],$A343)</f>
        <v/>
      </c>
      <c r="D421">
        <f>$C421*D420</f>
        <v/>
      </c>
      <c r="E421">
        <f>$C421*E420</f>
        <v/>
      </c>
      <c r="F421">
        <f>$C421*F420</f>
        <v/>
      </c>
      <c r="G421">
        <f>$C421*G420</f>
        <v/>
      </c>
      <c r="H421">
        <f>$C421*H420</f>
        <v/>
      </c>
      <c r="I421">
        <f>$C421*I420</f>
        <v/>
      </c>
      <c r="J421">
        <f>$C421*J420</f>
        <v/>
      </c>
      <c r="K421">
        <f>$C421*K420</f>
        <v/>
      </c>
      <c r="L421">
        <f>$C421*L420</f>
        <v/>
      </c>
      <c r="M421">
        <f>$C421*M420</f>
        <v/>
      </c>
      <c r="N421">
        <f>$C421*N420</f>
        <v/>
      </c>
      <c r="O421">
        <f>$C421*O420</f>
        <v/>
      </c>
      <c r="P421">
        <f>$C421*P420</f>
        <v/>
      </c>
      <c r="Q421">
        <f>$C421*Q420</f>
        <v/>
      </c>
      <c r="R421">
        <f>$C421*R420</f>
        <v/>
      </c>
      <c r="S421">
        <f>$C421*S420</f>
        <v/>
      </c>
      <c r="T421">
        <f>$C421*T420</f>
        <v/>
      </c>
      <c r="U421">
        <f>$C421*U420</f>
        <v/>
      </c>
      <c r="V421">
        <f>$C421*V420</f>
        <v/>
      </c>
      <c r="W421">
        <f>$C421*W420</f>
        <v/>
      </c>
      <c r="X421">
        <f>$C421*X420</f>
        <v/>
      </c>
      <c r="Y421">
        <f>$C421*Y420</f>
        <v/>
      </c>
      <c r="Z421">
        <f>$C421*Z420</f>
        <v/>
      </c>
      <c r="AA421">
        <f>$C421*AA420</f>
        <v/>
      </c>
      <c r="AB421">
        <f>$C421*AB420</f>
        <v/>
      </c>
      <c r="AC421">
        <f>$C421*AC420</f>
        <v/>
      </c>
      <c r="AD421">
        <f>$C421*AD420</f>
        <v/>
      </c>
      <c r="AE421">
        <f>$C421*AE420</f>
        <v/>
      </c>
      <c r="AF421">
        <f>$C421*AF420</f>
        <v/>
      </c>
      <c r="AG421">
        <f>$C421*AG420</f>
        <v/>
      </c>
      <c r="AH421">
        <f>$C421*AH420</f>
        <v/>
      </c>
      <c r="AI421">
        <f>$C421*AI420</f>
        <v/>
      </c>
      <c r="AJ421">
        <f>$C421*AJ420</f>
        <v/>
      </c>
      <c r="AK421">
        <f>$C421*AK420</f>
        <v/>
      </c>
      <c r="AL421">
        <f>$C421*AL420</f>
        <v/>
      </c>
      <c r="AM421">
        <f>$C421*AM420</f>
        <v/>
      </c>
      <c r="AN421">
        <f>$C421*AN420</f>
        <v/>
      </c>
      <c r="AO421">
        <f>$C421*AO420</f>
        <v/>
      </c>
      <c r="AP421">
        <f>$C421*AP420</f>
        <v/>
      </c>
      <c r="AQ421">
        <f>$C421*AQ420</f>
        <v/>
      </c>
      <c r="AR421">
        <f>$C421*AR420</f>
        <v/>
      </c>
      <c r="AS421">
        <f>$C421*AS420</f>
        <v/>
      </c>
      <c r="AT421">
        <f>$C421*AT420</f>
        <v/>
      </c>
      <c r="AU421">
        <f>$C421*AU420</f>
        <v/>
      </c>
      <c r="AV421">
        <f>$C421*AV420</f>
        <v/>
      </c>
      <c r="AW421">
        <f>$C421*AW420</f>
        <v/>
      </c>
      <c r="AX421">
        <f>$C421*AX420</f>
        <v/>
      </c>
      <c r="AY421">
        <f>$C421*AY420</f>
        <v/>
      </c>
      <c r="AZ421">
        <f>$C421*AZ420</f>
        <v/>
      </c>
      <c r="BA421">
        <f>$C421*BA420</f>
        <v/>
      </c>
      <c r="BB421">
        <f>$C421*BB420</f>
        <v/>
      </c>
      <c r="BC421">
        <f>$C421*BC420</f>
        <v/>
      </c>
      <c r="BD421">
        <f>$C421*BD420</f>
        <v/>
      </c>
      <c r="BE421">
        <f>$C421*BE420</f>
        <v/>
      </c>
      <c r="BF421">
        <f>$C421*BF420</f>
        <v/>
      </c>
      <c r="BG421">
        <f>$C421*BG420</f>
        <v/>
      </c>
      <c r="BH421">
        <f>$C421*BH420</f>
        <v/>
      </c>
      <c r="BI421">
        <f>$C421*BI420</f>
        <v/>
      </c>
      <c r="BJ421">
        <f>$C421*BJ420</f>
        <v/>
      </c>
      <c r="BK421">
        <f>$C421*BK420</f>
        <v/>
      </c>
      <c r="BL421">
        <f>$C421*BL420</f>
        <v/>
      </c>
      <c r="BM421">
        <f>$C421*BM420</f>
        <v/>
      </c>
      <c r="BN421">
        <f>$C421*BN420</f>
        <v/>
      </c>
      <c r="BO421">
        <f>$C421*BO420</f>
        <v/>
      </c>
      <c r="BP421">
        <f>$C421*BP420</f>
        <v/>
      </c>
      <c r="BQ421">
        <f>$C421*BQ420</f>
        <v/>
      </c>
      <c r="BR421">
        <f>$C421*BR420</f>
        <v/>
      </c>
      <c r="BS421">
        <f>$C421*BS420</f>
        <v/>
      </c>
      <c r="BT421">
        <f>$C421*BT420</f>
        <v/>
      </c>
      <c r="BU421">
        <f>$C421*BU420</f>
        <v/>
      </c>
      <c r="BV421">
        <f>$C421*BV420</f>
        <v/>
      </c>
      <c r="BW421">
        <f>$C421*BW420</f>
        <v/>
      </c>
      <c r="BX421">
        <f>$C421*BX420</f>
        <v/>
      </c>
      <c r="BY421">
        <f>$C421*BY420</f>
        <v/>
      </c>
      <c r="BZ421">
        <f>$C421*BZ420</f>
        <v/>
      </c>
      <c r="CA421">
        <f>$C421*CA420</f>
        <v/>
      </c>
      <c r="CB421">
        <f>$C421*CB420</f>
        <v/>
      </c>
      <c r="CC421">
        <f>$C421*CC420</f>
        <v/>
      </c>
      <c r="CD421">
        <f>$C421*CD420</f>
        <v/>
      </c>
      <c r="CE421">
        <f>$C421*CE420</f>
        <v/>
      </c>
      <c r="CF421">
        <f>$C421*CF420</f>
        <v/>
      </c>
      <c r="CG421">
        <f>$C421*CG420</f>
        <v/>
      </c>
      <c r="CH421">
        <f>$C421*CH420</f>
        <v/>
      </c>
      <c r="CI421">
        <f>$C421*CI420</f>
        <v/>
      </c>
      <c r="CJ421">
        <f>$C421*CJ420</f>
        <v/>
      </c>
      <c r="CK421">
        <f>$C421*CK420</f>
        <v/>
      </c>
      <c r="CL421">
        <f>$C421*CL420</f>
        <v/>
      </c>
      <c r="CM421">
        <f>$C421*CM420</f>
        <v/>
      </c>
      <c r="CN421">
        <f>$C421*CN420</f>
        <v/>
      </c>
      <c r="CO421">
        <f>$C421*CO420</f>
        <v/>
      </c>
      <c r="CP421">
        <f>$C421*CP420</f>
        <v/>
      </c>
      <c r="CQ421">
        <f>$C421*CQ420</f>
        <v/>
      </c>
      <c r="CR421">
        <f>$C421*CR420</f>
        <v/>
      </c>
      <c r="CS421">
        <f>$C421*CS420</f>
        <v/>
      </c>
      <c r="CT421">
        <f>$C421*CT420</f>
        <v/>
      </c>
      <c r="CU421">
        <f>$C421*CU420</f>
        <v/>
      </c>
      <c r="CV421">
        <f>$C421*CV420</f>
        <v/>
      </c>
      <c r="CW421">
        <f>$C421*CW420</f>
        <v/>
      </c>
      <c r="CX421">
        <f>$C421*CX420</f>
        <v/>
      </c>
      <c r="CY421">
        <f>$C421*CY420</f>
        <v/>
      </c>
      <c r="CZ421">
        <f>$C421*CZ420</f>
        <v/>
      </c>
      <c r="DA421">
        <f>$C421*DA420</f>
        <v/>
      </c>
      <c r="DB421">
        <f>$C421*DB420</f>
        <v/>
      </c>
      <c r="DC421">
        <f>$C421*DC420</f>
        <v/>
      </c>
    </row>
    <row r="422">
      <c r="B422" t="inlineStr">
        <is>
          <t>VSP-739</t>
        </is>
      </c>
      <c r="C422" t="inlineStr">
        <is>
          <t>No. of batches</t>
        </is>
      </c>
      <c r="D422">
        <f>IFERROR(INDEX(PP_Grid[#Data],$DD422,2),0)</f>
        <v/>
      </c>
      <c r="E422">
        <f>IFERROR(INDEX(PP_Grid[#Data],$DD422,3),0)</f>
        <v/>
      </c>
      <c r="F422">
        <f>IFERROR(INDEX(PP_Grid[#Data],$DD422,4),0)</f>
        <v/>
      </c>
      <c r="G422">
        <f>IFERROR(INDEX(PP_Grid[#Data],$DD422,5),0)</f>
        <v/>
      </c>
      <c r="H422">
        <f>IFERROR(INDEX(PP_Grid[#Data],$DD422,6),0)</f>
        <v/>
      </c>
      <c r="I422">
        <f>IFERROR(INDEX(PP_Grid[#Data],$DD422,7),0)</f>
        <v/>
      </c>
      <c r="J422">
        <f>IFERROR(INDEX(PP_Grid[#Data],$DD422,8),0)</f>
        <v/>
      </c>
      <c r="K422">
        <f>IFERROR(INDEX(PP_Grid[#Data],$DD422,9),0)</f>
        <v/>
      </c>
      <c r="L422">
        <f>IFERROR(INDEX(PP_Grid[#Data],$DD422,10),0)</f>
        <v/>
      </c>
      <c r="M422">
        <f>IFERROR(INDEX(PP_Grid[#Data],$DD422,11),0)</f>
        <v/>
      </c>
      <c r="N422">
        <f>IFERROR(INDEX(PP_Grid[#Data],$DD422,12),0)</f>
        <v/>
      </c>
      <c r="O422">
        <f>IFERROR(INDEX(PP_Grid[#Data],$DD422,13),0)</f>
        <v/>
      </c>
      <c r="P422">
        <f>IFERROR(INDEX(PP_Grid[#Data],$DD422,14),0)</f>
        <v/>
      </c>
      <c r="Q422">
        <f>IFERROR(INDEX(PP_Grid[#Data],$DD422,15),0)</f>
        <v/>
      </c>
      <c r="R422">
        <f>IFERROR(INDEX(PP_Grid[#Data],$DD422,16),0)</f>
        <v/>
      </c>
      <c r="S422">
        <f>IFERROR(INDEX(PP_Grid[#Data],$DD422,17),0)</f>
        <v/>
      </c>
      <c r="T422">
        <f>IFERROR(INDEX(PP_Grid[#Data],$DD422,18),0)</f>
        <v/>
      </c>
      <c r="U422">
        <f>IFERROR(INDEX(PP_Grid[#Data],$DD422,19),0)</f>
        <v/>
      </c>
      <c r="V422">
        <f>IFERROR(INDEX(PP_Grid[#Data],$DD422,20),0)</f>
        <v/>
      </c>
      <c r="W422">
        <f>IFERROR(INDEX(PP_Grid[#Data],$DD422,21),0)</f>
        <v/>
      </c>
      <c r="X422">
        <f>IFERROR(INDEX(PP_Grid[#Data],$DD422,22),0)</f>
        <v/>
      </c>
      <c r="Y422">
        <f>IFERROR(INDEX(PP_Grid[#Data],$DD422,23),0)</f>
        <v/>
      </c>
      <c r="Z422">
        <f>IFERROR(INDEX(PP_Grid[#Data],$DD422,24),0)</f>
        <v/>
      </c>
      <c r="AA422">
        <f>IFERROR(INDEX(PP_Grid[#Data],$DD422,25),0)</f>
        <v/>
      </c>
      <c r="AB422">
        <f>IFERROR(INDEX(PP_Grid[#Data],$DD422,26),0)</f>
        <v/>
      </c>
      <c r="AC422">
        <f>IFERROR(INDEX(PP_Grid[#Data],$DD422,27),0)</f>
        <v/>
      </c>
      <c r="AD422">
        <f>IFERROR(INDEX(PP_Grid[#Data],$DD422,28),0)</f>
        <v/>
      </c>
      <c r="AE422">
        <f>IFERROR(INDEX(PP_Grid[#Data],$DD422,29),0)</f>
        <v/>
      </c>
      <c r="AF422">
        <f>IFERROR(INDEX(PP_Grid[#Data],$DD422,30),0)</f>
        <v/>
      </c>
      <c r="AG422">
        <f>IFERROR(INDEX(PP_Grid[#Data],$DD422,31),0)</f>
        <v/>
      </c>
      <c r="AH422">
        <f>IFERROR(INDEX(PP_Grid[#Data],$DD422,32),0)</f>
        <v/>
      </c>
      <c r="AI422">
        <f>IFERROR(INDEX(PP_Grid[#Data],$DD422,33),0)</f>
        <v/>
      </c>
      <c r="AJ422">
        <f>IFERROR(INDEX(PP_Grid[#Data],$DD422,34),0)</f>
        <v/>
      </c>
      <c r="AK422">
        <f>IFERROR(INDEX(PP_Grid[#Data],$DD422,35),0)</f>
        <v/>
      </c>
      <c r="AL422">
        <f>IFERROR(INDEX(PP_Grid[#Data],$DD422,36),0)</f>
        <v/>
      </c>
      <c r="AM422">
        <f>IFERROR(INDEX(PP_Grid[#Data],$DD422,37),0)</f>
        <v/>
      </c>
      <c r="AN422">
        <f>IFERROR(INDEX(PP_Grid[#Data],$DD422,38),0)</f>
        <v/>
      </c>
      <c r="AO422">
        <f>IFERROR(INDEX(PP_Grid[#Data],$DD422,39),0)</f>
        <v/>
      </c>
      <c r="AP422">
        <f>IFERROR(INDEX(PP_Grid[#Data],$DD422,40),0)</f>
        <v/>
      </c>
      <c r="AQ422">
        <f>IFERROR(INDEX(PP_Grid[#Data],$DD422,41),0)</f>
        <v/>
      </c>
      <c r="AR422">
        <f>IFERROR(INDEX(PP_Grid[#Data],$DD422,42),0)</f>
        <v/>
      </c>
      <c r="AS422">
        <f>IFERROR(INDEX(PP_Grid[#Data],$DD422,43),0)</f>
        <v/>
      </c>
      <c r="AT422">
        <f>IFERROR(INDEX(PP_Grid[#Data],$DD422,44),0)</f>
        <v/>
      </c>
      <c r="AU422">
        <f>IFERROR(INDEX(PP_Grid[#Data],$DD422,45),0)</f>
        <v/>
      </c>
      <c r="AV422">
        <f>IFERROR(INDEX(PP_Grid[#Data],$DD422,46),0)</f>
        <v/>
      </c>
      <c r="AW422">
        <f>IFERROR(INDEX(PP_Grid[#Data],$DD422,47),0)</f>
        <v/>
      </c>
      <c r="AX422">
        <f>IFERROR(INDEX(PP_Grid[#Data],$DD422,48),0)</f>
        <v/>
      </c>
      <c r="AY422">
        <f>IFERROR(INDEX(PP_Grid[#Data],$DD422,49),0)</f>
        <v/>
      </c>
      <c r="AZ422">
        <f>IFERROR(INDEX(PP_Grid[#Data],$DD422,50),0)</f>
        <v/>
      </c>
      <c r="BA422">
        <f>IFERROR(INDEX(PP_Grid[#Data],$DD422,51),0)</f>
        <v/>
      </c>
      <c r="BB422">
        <f>IFERROR(INDEX(PP_Grid[#Data],$DD422,52),0)</f>
        <v/>
      </c>
      <c r="BC422">
        <f>IFERROR(INDEX(PP_Grid[#Data],$DD422,53),0)</f>
        <v/>
      </c>
      <c r="BD422">
        <f>IFERROR(INDEX(PP_Grid[#Data],$DD422,54),0)</f>
        <v/>
      </c>
      <c r="BE422">
        <f>IFERROR(INDEX(PP_Grid[#Data],$DD422,55),0)</f>
        <v/>
      </c>
      <c r="BF422">
        <f>IFERROR(INDEX(PP_Grid[#Data],$DD422,56),0)</f>
        <v/>
      </c>
      <c r="BG422">
        <f>IFERROR(INDEX(PP_Grid[#Data],$DD422,57),0)</f>
        <v/>
      </c>
      <c r="BH422">
        <f>IFERROR(INDEX(PP_Grid[#Data],$DD422,58),0)</f>
        <v/>
      </c>
      <c r="BI422">
        <f>IFERROR(INDEX(PP_Grid[#Data],$DD422,59),0)</f>
        <v/>
      </c>
      <c r="BJ422">
        <f>IFERROR(INDEX(PP_Grid[#Data],$DD422,60),0)</f>
        <v/>
      </c>
      <c r="BK422">
        <f>IFERROR(INDEX(PP_Grid[#Data],$DD422,61),0)</f>
        <v/>
      </c>
      <c r="BL422">
        <f>IFERROR(INDEX(PP_Grid[#Data],$DD422,62),0)</f>
        <v/>
      </c>
      <c r="BM422">
        <f>IFERROR(INDEX(PP_Grid[#Data],$DD422,63),0)</f>
        <v/>
      </c>
      <c r="BN422">
        <f>IFERROR(INDEX(PP_Grid[#Data],$DD422,64),0)</f>
        <v/>
      </c>
      <c r="BO422">
        <f>IFERROR(INDEX(PP_Grid[#Data],$DD422,65),0)</f>
        <v/>
      </c>
      <c r="BP422">
        <f>IFERROR(INDEX(PP_Grid[#Data],$DD422,66),0)</f>
        <v/>
      </c>
      <c r="BQ422">
        <f>IFERROR(INDEX(PP_Grid[#Data],$DD422,67),0)</f>
        <v/>
      </c>
      <c r="BR422">
        <f>IFERROR(INDEX(PP_Grid[#Data],$DD422,68),0)</f>
        <v/>
      </c>
      <c r="BS422">
        <f>IFERROR(INDEX(PP_Grid[#Data],$DD422,69),0)</f>
        <v/>
      </c>
      <c r="BT422">
        <f>IFERROR(INDEX(PP_Grid[#Data],$DD422,70),0)</f>
        <v/>
      </c>
      <c r="BU422">
        <f>IFERROR(INDEX(PP_Grid[#Data],$DD422,71),0)</f>
        <v/>
      </c>
      <c r="BV422">
        <f>IFERROR(INDEX(PP_Grid[#Data],$DD422,72),0)</f>
        <v/>
      </c>
      <c r="BW422">
        <f>IFERROR(INDEX(PP_Grid[#Data],$DD422,73),0)</f>
        <v/>
      </c>
      <c r="BX422">
        <f>IFERROR(INDEX(PP_Grid[#Data],$DD422,74),0)</f>
        <v/>
      </c>
      <c r="BY422">
        <f>IFERROR(INDEX(PP_Grid[#Data],$DD422,75),0)</f>
        <v/>
      </c>
      <c r="BZ422">
        <f>IFERROR(INDEX(PP_Grid[#Data],$DD422,76),0)</f>
        <v/>
      </c>
      <c r="CA422">
        <f>IFERROR(INDEX(PP_Grid[#Data],$DD422,77),0)</f>
        <v/>
      </c>
      <c r="CB422">
        <f>IFERROR(INDEX(PP_Grid[#Data],$DD422,78),0)</f>
        <v/>
      </c>
      <c r="CC422">
        <f>IFERROR(INDEX(PP_Grid[#Data],$DD422,79),0)</f>
        <v/>
      </c>
      <c r="CD422">
        <f>IFERROR(INDEX(PP_Grid[#Data],$DD422,80),0)</f>
        <v/>
      </c>
      <c r="CE422">
        <f>IFERROR(INDEX(PP_Grid[#Data],$DD422,81),0)</f>
        <v/>
      </c>
      <c r="CF422">
        <f>IFERROR(INDEX(PP_Grid[#Data],$DD422,82),0)</f>
        <v/>
      </c>
      <c r="CG422">
        <f>IFERROR(INDEX(PP_Grid[#Data],$DD422,83),0)</f>
        <v/>
      </c>
      <c r="CH422">
        <f>IFERROR(INDEX(PP_Grid[#Data],$DD422,84),0)</f>
        <v/>
      </c>
      <c r="CI422">
        <f>IFERROR(INDEX(PP_Grid[#Data],$DD422,85),0)</f>
        <v/>
      </c>
      <c r="CJ422">
        <f>IFERROR(INDEX(PP_Grid[#Data],$DD422,86),0)</f>
        <v/>
      </c>
      <c r="CK422">
        <f>IFERROR(INDEX(PP_Grid[#Data],$DD422,87),0)</f>
        <v/>
      </c>
      <c r="CL422">
        <f>IFERROR(INDEX(PP_Grid[#Data],$DD422,88),0)</f>
        <v/>
      </c>
      <c r="CM422">
        <f>IFERROR(INDEX(PP_Grid[#Data],$DD422,89),0)</f>
        <v/>
      </c>
      <c r="CN422">
        <f>IFERROR(INDEX(PP_Grid[#Data],$DD422,90),0)</f>
        <v/>
      </c>
      <c r="CO422">
        <f>IFERROR(INDEX(PP_Grid[#Data],$DD422,91),0)</f>
        <v/>
      </c>
      <c r="CP422">
        <f>IFERROR(INDEX(PP_Grid[#Data],$DD422,92),0)</f>
        <v/>
      </c>
      <c r="CQ422">
        <f>IFERROR(INDEX(PP_Grid[#Data],$DD422,93),0)</f>
        <v/>
      </c>
      <c r="CR422">
        <f>IFERROR(INDEX(PP_Grid[#Data],$DD422,94),0)</f>
        <v/>
      </c>
      <c r="CS422">
        <f>IFERROR(INDEX(PP_Grid[#Data],$DD422,95),0)</f>
        <v/>
      </c>
      <c r="CT422">
        <f>IFERROR(INDEX(PP_Grid[#Data],$DD422,96),0)</f>
        <v/>
      </c>
      <c r="CU422">
        <f>IFERROR(INDEX(PP_Grid[#Data],$DD422,97),0)</f>
        <v/>
      </c>
      <c r="CV422">
        <f>IFERROR(INDEX(PP_Grid[#Data],$DD422,98),0)</f>
        <v/>
      </c>
      <c r="CW422">
        <f>IFERROR(INDEX(PP_Grid[#Data],$DD422,99),0)</f>
        <v/>
      </c>
      <c r="CX422">
        <f>IFERROR(INDEX(PP_Grid[#Data],$DD422,100),0)</f>
        <v/>
      </c>
      <c r="CY422">
        <f>IFERROR(INDEX(PP_Grid[#Data],$DD422,101),0)</f>
        <v/>
      </c>
      <c r="CZ422">
        <f>IFERROR(INDEX(PP_Grid[#Data],$DD422,102),0)</f>
        <v/>
      </c>
      <c r="DA422">
        <f>IFERROR(INDEX(PP_Grid[#Data],$DD422,103),0)</f>
        <v/>
      </c>
      <c r="DB422">
        <f>IFERROR(INDEX(PP_Grid[#Data],$DD422,104),0)</f>
        <v/>
      </c>
      <c r="DC422">
        <f>IFERROR(INDEX(PP_Grid[#Data],$DD422,105),0)</f>
        <v/>
      </c>
      <c r="DD422" s="7">
        <f>IFERROR(MATCH($B422,PP_Grid[Intermediate],0),99999)</f>
        <v/>
      </c>
    </row>
    <row r="423">
      <c r="B423" t="inlineStr">
        <is>
          <t>使用量(kg)</t>
        </is>
      </c>
      <c r="C423">
        <f>SUMIFS(M_BOM[RM_Qty_Per_Batch],M_BOM[Intermediate],$B422,M_BOM[Part Name],$A343)</f>
        <v/>
      </c>
      <c r="D423">
        <f>$C423*D422</f>
        <v/>
      </c>
      <c r="E423">
        <f>$C423*E422</f>
        <v/>
      </c>
      <c r="F423">
        <f>$C423*F422</f>
        <v/>
      </c>
      <c r="G423">
        <f>$C423*G422</f>
        <v/>
      </c>
      <c r="H423">
        <f>$C423*H422</f>
        <v/>
      </c>
      <c r="I423">
        <f>$C423*I422</f>
        <v/>
      </c>
      <c r="J423">
        <f>$C423*J422</f>
        <v/>
      </c>
      <c r="K423">
        <f>$C423*K422</f>
        <v/>
      </c>
      <c r="L423">
        <f>$C423*L422</f>
        <v/>
      </c>
      <c r="M423">
        <f>$C423*M422</f>
        <v/>
      </c>
      <c r="N423">
        <f>$C423*N422</f>
        <v/>
      </c>
      <c r="O423">
        <f>$C423*O422</f>
        <v/>
      </c>
      <c r="P423">
        <f>$C423*P422</f>
        <v/>
      </c>
      <c r="Q423">
        <f>$C423*Q422</f>
        <v/>
      </c>
      <c r="R423">
        <f>$C423*R422</f>
        <v/>
      </c>
      <c r="S423">
        <f>$C423*S422</f>
        <v/>
      </c>
      <c r="T423">
        <f>$C423*T422</f>
        <v/>
      </c>
      <c r="U423">
        <f>$C423*U422</f>
        <v/>
      </c>
      <c r="V423">
        <f>$C423*V422</f>
        <v/>
      </c>
      <c r="W423">
        <f>$C423*W422</f>
        <v/>
      </c>
      <c r="X423">
        <f>$C423*X422</f>
        <v/>
      </c>
      <c r="Y423">
        <f>$C423*Y422</f>
        <v/>
      </c>
      <c r="Z423">
        <f>$C423*Z422</f>
        <v/>
      </c>
      <c r="AA423">
        <f>$C423*AA422</f>
        <v/>
      </c>
      <c r="AB423">
        <f>$C423*AB422</f>
        <v/>
      </c>
      <c r="AC423">
        <f>$C423*AC422</f>
        <v/>
      </c>
      <c r="AD423">
        <f>$C423*AD422</f>
        <v/>
      </c>
      <c r="AE423">
        <f>$C423*AE422</f>
        <v/>
      </c>
      <c r="AF423">
        <f>$C423*AF422</f>
        <v/>
      </c>
      <c r="AG423">
        <f>$C423*AG422</f>
        <v/>
      </c>
      <c r="AH423">
        <f>$C423*AH422</f>
        <v/>
      </c>
      <c r="AI423">
        <f>$C423*AI422</f>
        <v/>
      </c>
      <c r="AJ423">
        <f>$C423*AJ422</f>
        <v/>
      </c>
      <c r="AK423">
        <f>$C423*AK422</f>
        <v/>
      </c>
      <c r="AL423">
        <f>$C423*AL422</f>
        <v/>
      </c>
      <c r="AM423">
        <f>$C423*AM422</f>
        <v/>
      </c>
      <c r="AN423">
        <f>$C423*AN422</f>
        <v/>
      </c>
      <c r="AO423">
        <f>$C423*AO422</f>
        <v/>
      </c>
      <c r="AP423">
        <f>$C423*AP422</f>
        <v/>
      </c>
      <c r="AQ423">
        <f>$C423*AQ422</f>
        <v/>
      </c>
      <c r="AR423">
        <f>$C423*AR422</f>
        <v/>
      </c>
      <c r="AS423">
        <f>$C423*AS422</f>
        <v/>
      </c>
      <c r="AT423">
        <f>$C423*AT422</f>
        <v/>
      </c>
      <c r="AU423">
        <f>$C423*AU422</f>
        <v/>
      </c>
      <c r="AV423">
        <f>$C423*AV422</f>
        <v/>
      </c>
      <c r="AW423">
        <f>$C423*AW422</f>
        <v/>
      </c>
      <c r="AX423">
        <f>$C423*AX422</f>
        <v/>
      </c>
      <c r="AY423">
        <f>$C423*AY422</f>
        <v/>
      </c>
      <c r="AZ423">
        <f>$C423*AZ422</f>
        <v/>
      </c>
      <c r="BA423">
        <f>$C423*BA422</f>
        <v/>
      </c>
      <c r="BB423">
        <f>$C423*BB422</f>
        <v/>
      </c>
      <c r="BC423">
        <f>$C423*BC422</f>
        <v/>
      </c>
      <c r="BD423">
        <f>$C423*BD422</f>
        <v/>
      </c>
      <c r="BE423">
        <f>$C423*BE422</f>
        <v/>
      </c>
      <c r="BF423">
        <f>$C423*BF422</f>
        <v/>
      </c>
      <c r="BG423">
        <f>$C423*BG422</f>
        <v/>
      </c>
      <c r="BH423">
        <f>$C423*BH422</f>
        <v/>
      </c>
      <c r="BI423">
        <f>$C423*BI422</f>
        <v/>
      </c>
      <c r="BJ423">
        <f>$C423*BJ422</f>
        <v/>
      </c>
      <c r="BK423">
        <f>$C423*BK422</f>
        <v/>
      </c>
      <c r="BL423">
        <f>$C423*BL422</f>
        <v/>
      </c>
      <c r="BM423">
        <f>$C423*BM422</f>
        <v/>
      </c>
      <c r="BN423">
        <f>$C423*BN422</f>
        <v/>
      </c>
      <c r="BO423">
        <f>$C423*BO422</f>
        <v/>
      </c>
      <c r="BP423">
        <f>$C423*BP422</f>
        <v/>
      </c>
      <c r="BQ423">
        <f>$C423*BQ422</f>
        <v/>
      </c>
      <c r="BR423">
        <f>$C423*BR422</f>
        <v/>
      </c>
      <c r="BS423">
        <f>$C423*BS422</f>
        <v/>
      </c>
      <c r="BT423">
        <f>$C423*BT422</f>
        <v/>
      </c>
      <c r="BU423">
        <f>$C423*BU422</f>
        <v/>
      </c>
      <c r="BV423">
        <f>$C423*BV422</f>
        <v/>
      </c>
      <c r="BW423">
        <f>$C423*BW422</f>
        <v/>
      </c>
      <c r="BX423">
        <f>$C423*BX422</f>
        <v/>
      </c>
      <c r="BY423">
        <f>$C423*BY422</f>
        <v/>
      </c>
      <c r="BZ423">
        <f>$C423*BZ422</f>
        <v/>
      </c>
      <c r="CA423">
        <f>$C423*CA422</f>
        <v/>
      </c>
      <c r="CB423">
        <f>$C423*CB422</f>
        <v/>
      </c>
      <c r="CC423">
        <f>$C423*CC422</f>
        <v/>
      </c>
      <c r="CD423">
        <f>$C423*CD422</f>
        <v/>
      </c>
      <c r="CE423">
        <f>$C423*CE422</f>
        <v/>
      </c>
      <c r="CF423">
        <f>$C423*CF422</f>
        <v/>
      </c>
      <c r="CG423">
        <f>$C423*CG422</f>
        <v/>
      </c>
      <c r="CH423">
        <f>$C423*CH422</f>
        <v/>
      </c>
      <c r="CI423">
        <f>$C423*CI422</f>
        <v/>
      </c>
      <c r="CJ423">
        <f>$C423*CJ422</f>
        <v/>
      </c>
      <c r="CK423">
        <f>$C423*CK422</f>
        <v/>
      </c>
      <c r="CL423">
        <f>$C423*CL422</f>
        <v/>
      </c>
      <c r="CM423">
        <f>$C423*CM422</f>
        <v/>
      </c>
      <c r="CN423">
        <f>$C423*CN422</f>
        <v/>
      </c>
      <c r="CO423">
        <f>$C423*CO422</f>
        <v/>
      </c>
      <c r="CP423">
        <f>$C423*CP422</f>
        <v/>
      </c>
      <c r="CQ423">
        <f>$C423*CQ422</f>
        <v/>
      </c>
      <c r="CR423">
        <f>$C423*CR422</f>
        <v/>
      </c>
      <c r="CS423">
        <f>$C423*CS422</f>
        <v/>
      </c>
      <c r="CT423">
        <f>$C423*CT422</f>
        <v/>
      </c>
      <c r="CU423">
        <f>$C423*CU422</f>
        <v/>
      </c>
      <c r="CV423">
        <f>$C423*CV422</f>
        <v/>
      </c>
      <c r="CW423">
        <f>$C423*CW422</f>
        <v/>
      </c>
      <c r="CX423">
        <f>$C423*CX422</f>
        <v/>
      </c>
      <c r="CY423">
        <f>$C423*CY422</f>
        <v/>
      </c>
      <c r="CZ423">
        <f>$C423*CZ422</f>
        <v/>
      </c>
      <c r="DA423">
        <f>$C423*DA422</f>
        <v/>
      </c>
      <c r="DB423">
        <f>$C423*DB422</f>
        <v/>
      </c>
      <c r="DC423">
        <f>$C423*DC422</f>
        <v/>
      </c>
    </row>
    <row r="424">
      <c r="B424" t="inlineStr">
        <is>
          <t>VSP-740</t>
        </is>
      </c>
      <c r="C424" t="inlineStr">
        <is>
          <t>No. of batches</t>
        </is>
      </c>
      <c r="D424">
        <f>IFERROR(INDEX(PP_Grid[#Data],$DD424,2),0)</f>
        <v/>
      </c>
      <c r="E424">
        <f>IFERROR(INDEX(PP_Grid[#Data],$DD424,3),0)</f>
        <v/>
      </c>
      <c r="F424">
        <f>IFERROR(INDEX(PP_Grid[#Data],$DD424,4),0)</f>
        <v/>
      </c>
      <c r="G424">
        <f>IFERROR(INDEX(PP_Grid[#Data],$DD424,5),0)</f>
        <v/>
      </c>
      <c r="H424">
        <f>IFERROR(INDEX(PP_Grid[#Data],$DD424,6),0)</f>
        <v/>
      </c>
      <c r="I424">
        <f>IFERROR(INDEX(PP_Grid[#Data],$DD424,7),0)</f>
        <v/>
      </c>
      <c r="J424">
        <f>IFERROR(INDEX(PP_Grid[#Data],$DD424,8),0)</f>
        <v/>
      </c>
      <c r="K424">
        <f>IFERROR(INDEX(PP_Grid[#Data],$DD424,9),0)</f>
        <v/>
      </c>
      <c r="L424">
        <f>IFERROR(INDEX(PP_Grid[#Data],$DD424,10),0)</f>
        <v/>
      </c>
      <c r="M424">
        <f>IFERROR(INDEX(PP_Grid[#Data],$DD424,11),0)</f>
        <v/>
      </c>
      <c r="N424">
        <f>IFERROR(INDEX(PP_Grid[#Data],$DD424,12),0)</f>
        <v/>
      </c>
      <c r="O424">
        <f>IFERROR(INDEX(PP_Grid[#Data],$DD424,13),0)</f>
        <v/>
      </c>
      <c r="P424">
        <f>IFERROR(INDEX(PP_Grid[#Data],$DD424,14),0)</f>
        <v/>
      </c>
      <c r="Q424">
        <f>IFERROR(INDEX(PP_Grid[#Data],$DD424,15),0)</f>
        <v/>
      </c>
      <c r="R424">
        <f>IFERROR(INDEX(PP_Grid[#Data],$DD424,16),0)</f>
        <v/>
      </c>
      <c r="S424">
        <f>IFERROR(INDEX(PP_Grid[#Data],$DD424,17),0)</f>
        <v/>
      </c>
      <c r="T424">
        <f>IFERROR(INDEX(PP_Grid[#Data],$DD424,18),0)</f>
        <v/>
      </c>
      <c r="U424">
        <f>IFERROR(INDEX(PP_Grid[#Data],$DD424,19),0)</f>
        <v/>
      </c>
      <c r="V424">
        <f>IFERROR(INDEX(PP_Grid[#Data],$DD424,20),0)</f>
        <v/>
      </c>
      <c r="W424">
        <f>IFERROR(INDEX(PP_Grid[#Data],$DD424,21),0)</f>
        <v/>
      </c>
      <c r="X424">
        <f>IFERROR(INDEX(PP_Grid[#Data],$DD424,22),0)</f>
        <v/>
      </c>
      <c r="Y424">
        <f>IFERROR(INDEX(PP_Grid[#Data],$DD424,23),0)</f>
        <v/>
      </c>
      <c r="Z424">
        <f>IFERROR(INDEX(PP_Grid[#Data],$DD424,24),0)</f>
        <v/>
      </c>
      <c r="AA424">
        <f>IFERROR(INDEX(PP_Grid[#Data],$DD424,25),0)</f>
        <v/>
      </c>
      <c r="AB424">
        <f>IFERROR(INDEX(PP_Grid[#Data],$DD424,26),0)</f>
        <v/>
      </c>
      <c r="AC424">
        <f>IFERROR(INDEX(PP_Grid[#Data],$DD424,27),0)</f>
        <v/>
      </c>
      <c r="AD424">
        <f>IFERROR(INDEX(PP_Grid[#Data],$DD424,28),0)</f>
        <v/>
      </c>
      <c r="AE424">
        <f>IFERROR(INDEX(PP_Grid[#Data],$DD424,29),0)</f>
        <v/>
      </c>
      <c r="AF424">
        <f>IFERROR(INDEX(PP_Grid[#Data],$DD424,30),0)</f>
        <v/>
      </c>
      <c r="AG424">
        <f>IFERROR(INDEX(PP_Grid[#Data],$DD424,31),0)</f>
        <v/>
      </c>
      <c r="AH424">
        <f>IFERROR(INDEX(PP_Grid[#Data],$DD424,32),0)</f>
        <v/>
      </c>
      <c r="AI424">
        <f>IFERROR(INDEX(PP_Grid[#Data],$DD424,33),0)</f>
        <v/>
      </c>
      <c r="AJ424">
        <f>IFERROR(INDEX(PP_Grid[#Data],$DD424,34),0)</f>
        <v/>
      </c>
      <c r="AK424">
        <f>IFERROR(INDEX(PP_Grid[#Data],$DD424,35),0)</f>
        <v/>
      </c>
      <c r="AL424">
        <f>IFERROR(INDEX(PP_Grid[#Data],$DD424,36),0)</f>
        <v/>
      </c>
      <c r="AM424">
        <f>IFERROR(INDEX(PP_Grid[#Data],$DD424,37),0)</f>
        <v/>
      </c>
      <c r="AN424">
        <f>IFERROR(INDEX(PP_Grid[#Data],$DD424,38),0)</f>
        <v/>
      </c>
      <c r="AO424">
        <f>IFERROR(INDEX(PP_Grid[#Data],$DD424,39),0)</f>
        <v/>
      </c>
      <c r="AP424">
        <f>IFERROR(INDEX(PP_Grid[#Data],$DD424,40),0)</f>
        <v/>
      </c>
      <c r="AQ424">
        <f>IFERROR(INDEX(PP_Grid[#Data],$DD424,41),0)</f>
        <v/>
      </c>
      <c r="AR424">
        <f>IFERROR(INDEX(PP_Grid[#Data],$DD424,42),0)</f>
        <v/>
      </c>
      <c r="AS424">
        <f>IFERROR(INDEX(PP_Grid[#Data],$DD424,43),0)</f>
        <v/>
      </c>
      <c r="AT424">
        <f>IFERROR(INDEX(PP_Grid[#Data],$DD424,44),0)</f>
        <v/>
      </c>
      <c r="AU424">
        <f>IFERROR(INDEX(PP_Grid[#Data],$DD424,45),0)</f>
        <v/>
      </c>
      <c r="AV424">
        <f>IFERROR(INDEX(PP_Grid[#Data],$DD424,46),0)</f>
        <v/>
      </c>
      <c r="AW424">
        <f>IFERROR(INDEX(PP_Grid[#Data],$DD424,47),0)</f>
        <v/>
      </c>
      <c r="AX424">
        <f>IFERROR(INDEX(PP_Grid[#Data],$DD424,48),0)</f>
        <v/>
      </c>
      <c r="AY424">
        <f>IFERROR(INDEX(PP_Grid[#Data],$DD424,49),0)</f>
        <v/>
      </c>
      <c r="AZ424">
        <f>IFERROR(INDEX(PP_Grid[#Data],$DD424,50),0)</f>
        <v/>
      </c>
      <c r="BA424">
        <f>IFERROR(INDEX(PP_Grid[#Data],$DD424,51),0)</f>
        <v/>
      </c>
      <c r="BB424">
        <f>IFERROR(INDEX(PP_Grid[#Data],$DD424,52),0)</f>
        <v/>
      </c>
      <c r="BC424">
        <f>IFERROR(INDEX(PP_Grid[#Data],$DD424,53),0)</f>
        <v/>
      </c>
      <c r="BD424">
        <f>IFERROR(INDEX(PP_Grid[#Data],$DD424,54),0)</f>
        <v/>
      </c>
      <c r="BE424">
        <f>IFERROR(INDEX(PP_Grid[#Data],$DD424,55),0)</f>
        <v/>
      </c>
      <c r="BF424">
        <f>IFERROR(INDEX(PP_Grid[#Data],$DD424,56),0)</f>
        <v/>
      </c>
      <c r="BG424">
        <f>IFERROR(INDEX(PP_Grid[#Data],$DD424,57),0)</f>
        <v/>
      </c>
      <c r="BH424">
        <f>IFERROR(INDEX(PP_Grid[#Data],$DD424,58),0)</f>
        <v/>
      </c>
      <c r="BI424">
        <f>IFERROR(INDEX(PP_Grid[#Data],$DD424,59),0)</f>
        <v/>
      </c>
      <c r="BJ424">
        <f>IFERROR(INDEX(PP_Grid[#Data],$DD424,60),0)</f>
        <v/>
      </c>
      <c r="BK424">
        <f>IFERROR(INDEX(PP_Grid[#Data],$DD424,61),0)</f>
        <v/>
      </c>
      <c r="BL424">
        <f>IFERROR(INDEX(PP_Grid[#Data],$DD424,62),0)</f>
        <v/>
      </c>
      <c r="BM424">
        <f>IFERROR(INDEX(PP_Grid[#Data],$DD424,63),0)</f>
        <v/>
      </c>
      <c r="BN424">
        <f>IFERROR(INDEX(PP_Grid[#Data],$DD424,64),0)</f>
        <v/>
      </c>
      <c r="BO424">
        <f>IFERROR(INDEX(PP_Grid[#Data],$DD424,65),0)</f>
        <v/>
      </c>
      <c r="BP424">
        <f>IFERROR(INDEX(PP_Grid[#Data],$DD424,66),0)</f>
        <v/>
      </c>
      <c r="BQ424">
        <f>IFERROR(INDEX(PP_Grid[#Data],$DD424,67),0)</f>
        <v/>
      </c>
      <c r="BR424">
        <f>IFERROR(INDEX(PP_Grid[#Data],$DD424,68),0)</f>
        <v/>
      </c>
      <c r="BS424">
        <f>IFERROR(INDEX(PP_Grid[#Data],$DD424,69),0)</f>
        <v/>
      </c>
      <c r="BT424">
        <f>IFERROR(INDEX(PP_Grid[#Data],$DD424,70),0)</f>
        <v/>
      </c>
      <c r="BU424">
        <f>IFERROR(INDEX(PP_Grid[#Data],$DD424,71),0)</f>
        <v/>
      </c>
      <c r="BV424">
        <f>IFERROR(INDEX(PP_Grid[#Data],$DD424,72),0)</f>
        <v/>
      </c>
      <c r="BW424">
        <f>IFERROR(INDEX(PP_Grid[#Data],$DD424,73),0)</f>
        <v/>
      </c>
      <c r="BX424">
        <f>IFERROR(INDEX(PP_Grid[#Data],$DD424,74),0)</f>
        <v/>
      </c>
      <c r="BY424">
        <f>IFERROR(INDEX(PP_Grid[#Data],$DD424,75),0)</f>
        <v/>
      </c>
      <c r="BZ424">
        <f>IFERROR(INDEX(PP_Grid[#Data],$DD424,76),0)</f>
        <v/>
      </c>
      <c r="CA424">
        <f>IFERROR(INDEX(PP_Grid[#Data],$DD424,77),0)</f>
        <v/>
      </c>
      <c r="CB424">
        <f>IFERROR(INDEX(PP_Grid[#Data],$DD424,78),0)</f>
        <v/>
      </c>
      <c r="CC424">
        <f>IFERROR(INDEX(PP_Grid[#Data],$DD424,79),0)</f>
        <v/>
      </c>
      <c r="CD424">
        <f>IFERROR(INDEX(PP_Grid[#Data],$DD424,80),0)</f>
        <v/>
      </c>
      <c r="CE424">
        <f>IFERROR(INDEX(PP_Grid[#Data],$DD424,81),0)</f>
        <v/>
      </c>
      <c r="CF424">
        <f>IFERROR(INDEX(PP_Grid[#Data],$DD424,82),0)</f>
        <v/>
      </c>
      <c r="CG424">
        <f>IFERROR(INDEX(PP_Grid[#Data],$DD424,83),0)</f>
        <v/>
      </c>
      <c r="CH424">
        <f>IFERROR(INDEX(PP_Grid[#Data],$DD424,84),0)</f>
        <v/>
      </c>
      <c r="CI424">
        <f>IFERROR(INDEX(PP_Grid[#Data],$DD424,85),0)</f>
        <v/>
      </c>
      <c r="CJ424">
        <f>IFERROR(INDEX(PP_Grid[#Data],$DD424,86),0)</f>
        <v/>
      </c>
      <c r="CK424">
        <f>IFERROR(INDEX(PP_Grid[#Data],$DD424,87),0)</f>
        <v/>
      </c>
      <c r="CL424">
        <f>IFERROR(INDEX(PP_Grid[#Data],$DD424,88),0)</f>
        <v/>
      </c>
      <c r="CM424">
        <f>IFERROR(INDEX(PP_Grid[#Data],$DD424,89),0)</f>
        <v/>
      </c>
      <c r="CN424">
        <f>IFERROR(INDEX(PP_Grid[#Data],$DD424,90),0)</f>
        <v/>
      </c>
      <c r="CO424">
        <f>IFERROR(INDEX(PP_Grid[#Data],$DD424,91),0)</f>
        <v/>
      </c>
      <c r="CP424">
        <f>IFERROR(INDEX(PP_Grid[#Data],$DD424,92),0)</f>
        <v/>
      </c>
      <c r="CQ424">
        <f>IFERROR(INDEX(PP_Grid[#Data],$DD424,93),0)</f>
        <v/>
      </c>
      <c r="CR424">
        <f>IFERROR(INDEX(PP_Grid[#Data],$DD424,94),0)</f>
        <v/>
      </c>
      <c r="CS424">
        <f>IFERROR(INDEX(PP_Grid[#Data],$DD424,95),0)</f>
        <v/>
      </c>
      <c r="CT424">
        <f>IFERROR(INDEX(PP_Grid[#Data],$DD424,96),0)</f>
        <v/>
      </c>
      <c r="CU424">
        <f>IFERROR(INDEX(PP_Grid[#Data],$DD424,97),0)</f>
        <v/>
      </c>
      <c r="CV424">
        <f>IFERROR(INDEX(PP_Grid[#Data],$DD424,98),0)</f>
        <v/>
      </c>
      <c r="CW424">
        <f>IFERROR(INDEX(PP_Grid[#Data],$DD424,99),0)</f>
        <v/>
      </c>
      <c r="CX424">
        <f>IFERROR(INDEX(PP_Grid[#Data],$DD424,100),0)</f>
        <v/>
      </c>
      <c r="CY424">
        <f>IFERROR(INDEX(PP_Grid[#Data],$DD424,101),0)</f>
        <v/>
      </c>
      <c r="CZ424">
        <f>IFERROR(INDEX(PP_Grid[#Data],$DD424,102),0)</f>
        <v/>
      </c>
      <c r="DA424">
        <f>IFERROR(INDEX(PP_Grid[#Data],$DD424,103),0)</f>
        <v/>
      </c>
      <c r="DB424">
        <f>IFERROR(INDEX(PP_Grid[#Data],$DD424,104),0)</f>
        <v/>
      </c>
      <c r="DC424">
        <f>IFERROR(INDEX(PP_Grid[#Data],$DD424,105),0)</f>
        <v/>
      </c>
      <c r="DD424" s="7">
        <f>IFERROR(MATCH($B424,PP_Grid[Intermediate],0),99999)</f>
        <v/>
      </c>
    </row>
    <row r="425">
      <c r="B425" t="inlineStr">
        <is>
          <t>使用量(kg)</t>
        </is>
      </c>
      <c r="C425">
        <f>SUMIFS(M_BOM[RM_Qty_Per_Batch],M_BOM[Intermediate],$B424,M_BOM[Part Name],$A343)</f>
        <v/>
      </c>
      <c r="D425">
        <f>$C425*D424</f>
        <v/>
      </c>
      <c r="E425">
        <f>$C425*E424</f>
        <v/>
      </c>
      <c r="F425">
        <f>$C425*F424</f>
        <v/>
      </c>
      <c r="G425">
        <f>$C425*G424</f>
        <v/>
      </c>
      <c r="H425">
        <f>$C425*H424</f>
        <v/>
      </c>
      <c r="I425">
        <f>$C425*I424</f>
        <v/>
      </c>
      <c r="J425">
        <f>$C425*J424</f>
        <v/>
      </c>
      <c r="K425">
        <f>$C425*K424</f>
        <v/>
      </c>
      <c r="L425">
        <f>$C425*L424</f>
        <v/>
      </c>
      <c r="M425">
        <f>$C425*M424</f>
        <v/>
      </c>
      <c r="N425">
        <f>$C425*N424</f>
        <v/>
      </c>
      <c r="O425">
        <f>$C425*O424</f>
        <v/>
      </c>
      <c r="P425">
        <f>$C425*P424</f>
        <v/>
      </c>
      <c r="Q425">
        <f>$C425*Q424</f>
        <v/>
      </c>
      <c r="R425">
        <f>$C425*R424</f>
        <v/>
      </c>
      <c r="S425">
        <f>$C425*S424</f>
        <v/>
      </c>
      <c r="T425">
        <f>$C425*T424</f>
        <v/>
      </c>
      <c r="U425">
        <f>$C425*U424</f>
        <v/>
      </c>
      <c r="V425">
        <f>$C425*V424</f>
        <v/>
      </c>
      <c r="W425">
        <f>$C425*W424</f>
        <v/>
      </c>
      <c r="X425">
        <f>$C425*X424</f>
        <v/>
      </c>
      <c r="Y425">
        <f>$C425*Y424</f>
        <v/>
      </c>
      <c r="Z425">
        <f>$C425*Z424</f>
        <v/>
      </c>
      <c r="AA425">
        <f>$C425*AA424</f>
        <v/>
      </c>
      <c r="AB425">
        <f>$C425*AB424</f>
        <v/>
      </c>
      <c r="AC425">
        <f>$C425*AC424</f>
        <v/>
      </c>
      <c r="AD425">
        <f>$C425*AD424</f>
        <v/>
      </c>
      <c r="AE425">
        <f>$C425*AE424</f>
        <v/>
      </c>
      <c r="AF425">
        <f>$C425*AF424</f>
        <v/>
      </c>
      <c r="AG425">
        <f>$C425*AG424</f>
        <v/>
      </c>
      <c r="AH425">
        <f>$C425*AH424</f>
        <v/>
      </c>
      <c r="AI425">
        <f>$C425*AI424</f>
        <v/>
      </c>
      <c r="AJ425">
        <f>$C425*AJ424</f>
        <v/>
      </c>
      <c r="AK425">
        <f>$C425*AK424</f>
        <v/>
      </c>
      <c r="AL425">
        <f>$C425*AL424</f>
        <v/>
      </c>
      <c r="AM425">
        <f>$C425*AM424</f>
        <v/>
      </c>
      <c r="AN425">
        <f>$C425*AN424</f>
        <v/>
      </c>
      <c r="AO425">
        <f>$C425*AO424</f>
        <v/>
      </c>
      <c r="AP425">
        <f>$C425*AP424</f>
        <v/>
      </c>
      <c r="AQ425">
        <f>$C425*AQ424</f>
        <v/>
      </c>
      <c r="AR425">
        <f>$C425*AR424</f>
        <v/>
      </c>
      <c r="AS425">
        <f>$C425*AS424</f>
        <v/>
      </c>
      <c r="AT425">
        <f>$C425*AT424</f>
        <v/>
      </c>
      <c r="AU425">
        <f>$C425*AU424</f>
        <v/>
      </c>
      <c r="AV425">
        <f>$C425*AV424</f>
        <v/>
      </c>
      <c r="AW425">
        <f>$C425*AW424</f>
        <v/>
      </c>
      <c r="AX425">
        <f>$C425*AX424</f>
        <v/>
      </c>
      <c r="AY425">
        <f>$C425*AY424</f>
        <v/>
      </c>
      <c r="AZ425">
        <f>$C425*AZ424</f>
        <v/>
      </c>
      <c r="BA425">
        <f>$C425*BA424</f>
        <v/>
      </c>
      <c r="BB425">
        <f>$C425*BB424</f>
        <v/>
      </c>
      <c r="BC425">
        <f>$C425*BC424</f>
        <v/>
      </c>
      <c r="BD425">
        <f>$C425*BD424</f>
        <v/>
      </c>
      <c r="BE425">
        <f>$C425*BE424</f>
        <v/>
      </c>
      <c r="BF425">
        <f>$C425*BF424</f>
        <v/>
      </c>
      <c r="BG425">
        <f>$C425*BG424</f>
        <v/>
      </c>
      <c r="BH425">
        <f>$C425*BH424</f>
        <v/>
      </c>
      <c r="BI425">
        <f>$C425*BI424</f>
        <v/>
      </c>
      <c r="BJ425">
        <f>$C425*BJ424</f>
        <v/>
      </c>
      <c r="BK425">
        <f>$C425*BK424</f>
        <v/>
      </c>
      <c r="BL425">
        <f>$C425*BL424</f>
        <v/>
      </c>
      <c r="BM425">
        <f>$C425*BM424</f>
        <v/>
      </c>
      <c r="BN425">
        <f>$C425*BN424</f>
        <v/>
      </c>
      <c r="BO425">
        <f>$C425*BO424</f>
        <v/>
      </c>
      <c r="BP425">
        <f>$C425*BP424</f>
        <v/>
      </c>
      <c r="BQ425">
        <f>$C425*BQ424</f>
        <v/>
      </c>
      <c r="BR425">
        <f>$C425*BR424</f>
        <v/>
      </c>
      <c r="BS425">
        <f>$C425*BS424</f>
        <v/>
      </c>
      <c r="BT425">
        <f>$C425*BT424</f>
        <v/>
      </c>
      <c r="BU425">
        <f>$C425*BU424</f>
        <v/>
      </c>
      <c r="BV425">
        <f>$C425*BV424</f>
        <v/>
      </c>
      <c r="BW425">
        <f>$C425*BW424</f>
        <v/>
      </c>
      <c r="BX425">
        <f>$C425*BX424</f>
        <v/>
      </c>
      <c r="BY425">
        <f>$C425*BY424</f>
        <v/>
      </c>
      <c r="BZ425">
        <f>$C425*BZ424</f>
        <v/>
      </c>
      <c r="CA425">
        <f>$C425*CA424</f>
        <v/>
      </c>
      <c r="CB425">
        <f>$C425*CB424</f>
        <v/>
      </c>
      <c r="CC425">
        <f>$C425*CC424</f>
        <v/>
      </c>
      <c r="CD425">
        <f>$C425*CD424</f>
        <v/>
      </c>
      <c r="CE425">
        <f>$C425*CE424</f>
        <v/>
      </c>
      <c r="CF425">
        <f>$C425*CF424</f>
        <v/>
      </c>
      <c r="CG425">
        <f>$C425*CG424</f>
        <v/>
      </c>
      <c r="CH425">
        <f>$C425*CH424</f>
        <v/>
      </c>
      <c r="CI425">
        <f>$C425*CI424</f>
        <v/>
      </c>
      <c r="CJ425">
        <f>$C425*CJ424</f>
        <v/>
      </c>
      <c r="CK425">
        <f>$C425*CK424</f>
        <v/>
      </c>
      <c r="CL425">
        <f>$C425*CL424</f>
        <v/>
      </c>
      <c r="CM425">
        <f>$C425*CM424</f>
        <v/>
      </c>
      <c r="CN425">
        <f>$C425*CN424</f>
        <v/>
      </c>
      <c r="CO425">
        <f>$C425*CO424</f>
        <v/>
      </c>
      <c r="CP425">
        <f>$C425*CP424</f>
        <v/>
      </c>
      <c r="CQ425">
        <f>$C425*CQ424</f>
        <v/>
      </c>
      <c r="CR425">
        <f>$C425*CR424</f>
        <v/>
      </c>
      <c r="CS425">
        <f>$C425*CS424</f>
        <v/>
      </c>
      <c r="CT425">
        <f>$C425*CT424</f>
        <v/>
      </c>
      <c r="CU425">
        <f>$C425*CU424</f>
        <v/>
      </c>
      <c r="CV425">
        <f>$C425*CV424</f>
        <v/>
      </c>
      <c r="CW425">
        <f>$C425*CW424</f>
        <v/>
      </c>
      <c r="CX425">
        <f>$C425*CX424</f>
        <v/>
      </c>
      <c r="CY425">
        <f>$C425*CY424</f>
        <v/>
      </c>
      <c r="CZ425">
        <f>$C425*CZ424</f>
        <v/>
      </c>
      <c r="DA425">
        <f>$C425*DA424</f>
        <v/>
      </c>
      <c r="DB425">
        <f>$C425*DB424</f>
        <v/>
      </c>
      <c r="DC425">
        <f>$C425*DC424</f>
        <v/>
      </c>
    </row>
    <row r="426">
      <c r="B426" t="inlineStr">
        <is>
          <t>VSP-746</t>
        </is>
      </c>
      <c r="C426" t="inlineStr">
        <is>
          <t>No. of batches</t>
        </is>
      </c>
      <c r="D426">
        <f>IFERROR(INDEX(PP_Grid[#Data],$DD426,2),0)</f>
        <v/>
      </c>
      <c r="E426">
        <f>IFERROR(INDEX(PP_Grid[#Data],$DD426,3),0)</f>
        <v/>
      </c>
      <c r="F426">
        <f>IFERROR(INDEX(PP_Grid[#Data],$DD426,4),0)</f>
        <v/>
      </c>
      <c r="G426">
        <f>IFERROR(INDEX(PP_Grid[#Data],$DD426,5),0)</f>
        <v/>
      </c>
      <c r="H426">
        <f>IFERROR(INDEX(PP_Grid[#Data],$DD426,6),0)</f>
        <v/>
      </c>
      <c r="I426">
        <f>IFERROR(INDEX(PP_Grid[#Data],$DD426,7),0)</f>
        <v/>
      </c>
      <c r="J426">
        <f>IFERROR(INDEX(PP_Grid[#Data],$DD426,8),0)</f>
        <v/>
      </c>
      <c r="K426">
        <f>IFERROR(INDEX(PP_Grid[#Data],$DD426,9),0)</f>
        <v/>
      </c>
      <c r="L426">
        <f>IFERROR(INDEX(PP_Grid[#Data],$DD426,10),0)</f>
        <v/>
      </c>
      <c r="M426">
        <f>IFERROR(INDEX(PP_Grid[#Data],$DD426,11),0)</f>
        <v/>
      </c>
      <c r="N426">
        <f>IFERROR(INDEX(PP_Grid[#Data],$DD426,12),0)</f>
        <v/>
      </c>
      <c r="O426">
        <f>IFERROR(INDEX(PP_Grid[#Data],$DD426,13),0)</f>
        <v/>
      </c>
      <c r="P426">
        <f>IFERROR(INDEX(PP_Grid[#Data],$DD426,14),0)</f>
        <v/>
      </c>
      <c r="Q426">
        <f>IFERROR(INDEX(PP_Grid[#Data],$DD426,15),0)</f>
        <v/>
      </c>
      <c r="R426">
        <f>IFERROR(INDEX(PP_Grid[#Data],$DD426,16),0)</f>
        <v/>
      </c>
      <c r="S426">
        <f>IFERROR(INDEX(PP_Grid[#Data],$DD426,17),0)</f>
        <v/>
      </c>
      <c r="T426">
        <f>IFERROR(INDEX(PP_Grid[#Data],$DD426,18),0)</f>
        <v/>
      </c>
      <c r="U426">
        <f>IFERROR(INDEX(PP_Grid[#Data],$DD426,19),0)</f>
        <v/>
      </c>
      <c r="V426">
        <f>IFERROR(INDEX(PP_Grid[#Data],$DD426,20),0)</f>
        <v/>
      </c>
      <c r="W426">
        <f>IFERROR(INDEX(PP_Grid[#Data],$DD426,21),0)</f>
        <v/>
      </c>
      <c r="X426">
        <f>IFERROR(INDEX(PP_Grid[#Data],$DD426,22),0)</f>
        <v/>
      </c>
      <c r="Y426">
        <f>IFERROR(INDEX(PP_Grid[#Data],$DD426,23),0)</f>
        <v/>
      </c>
      <c r="Z426">
        <f>IFERROR(INDEX(PP_Grid[#Data],$DD426,24),0)</f>
        <v/>
      </c>
      <c r="AA426">
        <f>IFERROR(INDEX(PP_Grid[#Data],$DD426,25),0)</f>
        <v/>
      </c>
      <c r="AB426">
        <f>IFERROR(INDEX(PP_Grid[#Data],$DD426,26),0)</f>
        <v/>
      </c>
      <c r="AC426">
        <f>IFERROR(INDEX(PP_Grid[#Data],$DD426,27),0)</f>
        <v/>
      </c>
      <c r="AD426">
        <f>IFERROR(INDEX(PP_Grid[#Data],$DD426,28),0)</f>
        <v/>
      </c>
      <c r="AE426">
        <f>IFERROR(INDEX(PP_Grid[#Data],$DD426,29),0)</f>
        <v/>
      </c>
      <c r="AF426">
        <f>IFERROR(INDEX(PP_Grid[#Data],$DD426,30),0)</f>
        <v/>
      </c>
      <c r="AG426">
        <f>IFERROR(INDEX(PP_Grid[#Data],$DD426,31),0)</f>
        <v/>
      </c>
      <c r="AH426">
        <f>IFERROR(INDEX(PP_Grid[#Data],$DD426,32),0)</f>
        <v/>
      </c>
      <c r="AI426">
        <f>IFERROR(INDEX(PP_Grid[#Data],$DD426,33),0)</f>
        <v/>
      </c>
      <c r="AJ426">
        <f>IFERROR(INDEX(PP_Grid[#Data],$DD426,34),0)</f>
        <v/>
      </c>
      <c r="AK426">
        <f>IFERROR(INDEX(PP_Grid[#Data],$DD426,35),0)</f>
        <v/>
      </c>
      <c r="AL426">
        <f>IFERROR(INDEX(PP_Grid[#Data],$DD426,36),0)</f>
        <v/>
      </c>
      <c r="AM426">
        <f>IFERROR(INDEX(PP_Grid[#Data],$DD426,37),0)</f>
        <v/>
      </c>
      <c r="AN426">
        <f>IFERROR(INDEX(PP_Grid[#Data],$DD426,38),0)</f>
        <v/>
      </c>
      <c r="AO426">
        <f>IFERROR(INDEX(PP_Grid[#Data],$DD426,39),0)</f>
        <v/>
      </c>
      <c r="AP426">
        <f>IFERROR(INDEX(PP_Grid[#Data],$DD426,40),0)</f>
        <v/>
      </c>
      <c r="AQ426">
        <f>IFERROR(INDEX(PP_Grid[#Data],$DD426,41),0)</f>
        <v/>
      </c>
      <c r="AR426">
        <f>IFERROR(INDEX(PP_Grid[#Data],$DD426,42),0)</f>
        <v/>
      </c>
      <c r="AS426">
        <f>IFERROR(INDEX(PP_Grid[#Data],$DD426,43),0)</f>
        <v/>
      </c>
      <c r="AT426">
        <f>IFERROR(INDEX(PP_Grid[#Data],$DD426,44),0)</f>
        <v/>
      </c>
      <c r="AU426">
        <f>IFERROR(INDEX(PP_Grid[#Data],$DD426,45),0)</f>
        <v/>
      </c>
      <c r="AV426">
        <f>IFERROR(INDEX(PP_Grid[#Data],$DD426,46),0)</f>
        <v/>
      </c>
      <c r="AW426">
        <f>IFERROR(INDEX(PP_Grid[#Data],$DD426,47),0)</f>
        <v/>
      </c>
      <c r="AX426">
        <f>IFERROR(INDEX(PP_Grid[#Data],$DD426,48),0)</f>
        <v/>
      </c>
      <c r="AY426">
        <f>IFERROR(INDEX(PP_Grid[#Data],$DD426,49),0)</f>
        <v/>
      </c>
      <c r="AZ426">
        <f>IFERROR(INDEX(PP_Grid[#Data],$DD426,50),0)</f>
        <v/>
      </c>
      <c r="BA426">
        <f>IFERROR(INDEX(PP_Grid[#Data],$DD426,51),0)</f>
        <v/>
      </c>
      <c r="BB426">
        <f>IFERROR(INDEX(PP_Grid[#Data],$DD426,52),0)</f>
        <v/>
      </c>
      <c r="BC426">
        <f>IFERROR(INDEX(PP_Grid[#Data],$DD426,53),0)</f>
        <v/>
      </c>
      <c r="BD426">
        <f>IFERROR(INDEX(PP_Grid[#Data],$DD426,54),0)</f>
        <v/>
      </c>
      <c r="BE426">
        <f>IFERROR(INDEX(PP_Grid[#Data],$DD426,55),0)</f>
        <v/>
      </c>
      <c r="BF426">
        <f>IFERROR(INDEX(PP_Grid[#Data],$DD426,56),0)</f>
        <v/>
      </c>
      <c r="BG426">
        <f>IFERROR(INDEX(PP_Grid[#Data],$DD426,57),0)</f>
        <v/>
      </c>
      <c r="BH426">
        <f>IFERROR(INDEX(PP_Grid[#Data],$DD426,58),0)</f>
        <v/>
      </c>
      <c r="BI426">
        <f>IFERROR(INDEX(PP_Grid[#Data],$DD426,59),0)</f>
        <v/>
      </c>
      <c r="BJ426">
        <f>IFERROR(INDEX(PP_Grid[#Data],$DD426,60),0)</f>
        <v/>
      </c>
      <c r="BK426">
        <f>IFERROR(INDEX(PP_Grid[#Data],$DD426,61),0)</f>
        <v/>
      </c>
      <c r="BL426">
        <f>IFERROR(INDEX(PP_Grid[#Data],$DD426,62),0)</f>
        <v/>
      </c>
      <c r="BM426">
        <f>IFERROR(INDEX(PP_Grid[#Data],$DD426,63),0)</f>
        <v/>
      </c>
      <c r="BN426">
        <f>IFERROR(INDEX(PP_Grid[#Data],$DD426,64),0)</f>
        <v/>
      </c>
      <c r="BO426">
        <f>IFERROR(INDEX(PP_Grid[#Data],$DD426,65),0)</f>
        <v/>
      </c>
      <c r="BP426">
        <f>IFERROR(INDEX(PP_Grid[#Data],$DD426,66),0)</f>
        <v/>
      </c>
      <c r="BQ426">
        <f>IFERROR(INDEX(PP_Grid[#Data],$DD426,67),0)</f>
        <v/>
      </c>
      <c r="BR426">
        <f>IFERROR(INDEX(PP_Grid[#Data],$DD426,68),0)</f>
        <v/>
      </c>
      <c r="BS426">
        <f>IFERROR(INDEX(PP_Grid[#Data],$DD426,69),0)</f>
        <v/>
      </c>
      <c r="BT426">
        <f>IFERROR(INDEX(PP_Grid[#Data],$DD426,70),0)</f>
        <v/>
      </c>
      <c r="BU426">
        <f>IFERROR(INDEX(PP_Grid[#Data],$DD426,71),0)</f>
        <v/>
      </c>
      <c r="BV426">
        <f>IFERROR(INDEX(PP_Grid[#Data],$DD426,72),0)</f>
        <v/>
      </c>
      <c r="BW426">
        <f>IFERROR(INDEX(PP_Grid[#Data],$DD426,73),0)</f>
        <v/>
      </c>
      <c r="BX426">
        <f>IFERROR(INDEX(PP_Grid[#Data],$DD426,74),0)</f>
        <v/>
      </c>
      <c r="BY426">
        <f>IFERROR(INDEX(PP_Grid[#Data],$DD426,75),0)</f>
        <v/>
      </c>
      <c r="BZ426">
        <f>IFERROR(INDEX(PP_Grid[#Data],$DD426,76),0)</f>
        <v/>
      </c>
      <c r="CA426">
        <f>IFERROR(INDEX(PP_Grid[#Data],$DD426,77),0)</f>
        <v/>
      </c>
      <c r="CB426">
        <f>IFERROR(INDEX(PP_Grid[#Data],$DD426,78),0)</f>
        <v/>
      </c>
      <c r="CC426">
        <f>IFERROR(INDEX(PP_Grid[#Data],$DD426,79),0)</f>
        <v/>
      </c>
      <c r="CD426">
        <f>IFERROR(INDEX(PP_Grid[#Data],$DD426,80),0)</f>
        <v/>
      </c>
      <c r="CE426">
        <f>IFERROR(INDEX(PP_Grid[#Data],$DD426,81),0)</f>
        <v/>
      </c>
      <c r="CF426">
        <f>IFERROR(INDEX(PP_Grid[#Data],$DD426,82),0)</f>
        <v/>
      </c>
      <c r="CG426">
        <f>IFERROR(INDEX(PP_Grid[#Data],$DD426,83),0)</f>
        <v/>
      </c>
      <c r="CH426">
        <f>IFERROR(INDEX(PP_Grid[#Data],$DD426,84),0)</f>
        <v/>
      </c>
      <c r="CI426">
        <f>IFERROR(INDEX(PP_Grid[#Data],$DD426,85),0)</f>
        <v/>
      </c>
      <c r="CJ426">
        <f>IFERROR(INDEX(PP_Grid[#Data],$DD426,86),0)</f>
        <v/>
      </c>
      <c r="CK426">
        <f>IFERROR(INDEX(PP_Grid[#Data],$DD426,87),0)</f>
        <v/>
      </c>
      <c r="CL426">
        <f>IFERROR(INDEX(PP_Grid[#Data],$DD426,88),0)</f>
        <v/>
      </c>
      <c r="CM426">
        <f>IFERROR(INDEX(PP_Grid[#Data],$DD426,89),0)</f>
        <v/>
      </c>
      <c r="CN426">
        <f>IFERROR(INDEX(PP_Grid[#Data],$DD426,90),0)</f>
        <v/>
      </c>
      <c r="CO426">
        <f>IFERROR(INDEX(PP_Grid[#Data],$DD426,91),0)</f>
        <v/>
      </c>
      <c r="CP426">
        <f>IFERROR(INDEX(PP_Grid[#Data],$DD426,92),0)</f>
        <v/>
      </c>
      <c r="CQ426">
        <f>IFERROR(INDEX(PP_Grid[#Data],$DD426,93),0)</f>
        <v/>
      </c>
      <c r="CR426">
        <f>IFERROR(INDEX(PP_Grid[#Data],$DD426,94),0)</f>
        <v/>
      </c>
      <c r="CS426">
        <f>IFERROR(INDEX(PP_Grid[#Data],$DD426,95),0)</f>
        <v/>
      </c>
      <c r="CT426">
        <f>IFERROR(INDEX(PP_Grid[#Data],$DD426,96),0)</f>
        <v/>
      </c>
      <c r="CU426">
        <f>IFERROR(INDEX(PP_Grid[#Data],$DD426,97),0)</f>
        <v/>
      </c>
      <c r="CV426">
        <f>IFERROR(INDEX(PP_Grid[#Data],$DD426,98),0)</f>
        <v/>
      </c>
      <c r="CW426">
        <f>IFERROR(INDEX(PP_Grid[#Data],$DD426,99),0)</f>
        <v/>
      </c>
      <c r="CX426">
        <f>IFERROR(INDEX(PP_Grid[#Data],$DD426,100),0)</f>
        <v/>
      </c>
      <c r="CY426">
        <f>IFERROR(INDEX(PP_Grid[#Data],$DD426,101),0)</f>
        <v/>
      </c>
      <c r="CZ426">
        <f>IFERROR(INDEX(PP_Grid[#Data],$DD426,102),0)</f>
        <v/>
      </c>
      <c r="DA426">
        <f>IFERROR(INDEX(PP_Grid[#Data],$DD426,103),0)</f>
        <v/>
      </c>
      <c r="DB426">
        <f>IFERROR(INDEX(PP_Grid[#Data],$DD426,104),0)</f>
        <v/>
      </c>
      <c r="DC426">
        <f>IFERROR(INDEX(PP_Grid[#Data],$DD426,105),0)</f>
        <v/>
      </c>
      <c r="DD426" s="7">
        <f>IFERROR(MATCH($B426,PP_Grid[Intermediate],0),99999)</f>
        <v/>
      </c>
    </row>
    <row r="427">
      <c r="B427" t="inlineStr">
        <is>
          <t>使用量(kg)</t>
        </is>
      </c>
      <c r="C427">
        <f>SUMIFS(M_BOM[RM_Qty_Per_Batch],M_BOM[Intermediate],$B426,M_BOM[Part Name],$A343)</f>
        <v/>
      </c>
      <c r="D427">
        <f>$C427*D426</f>
        <v/>
      </c>
      <c r="E427">
        <f>$C427*E426</f>
        <v/>
      </c>
      <c r="F427">
        <f>$C427*F426</f>
        <v/>
      </c>
      <c r="G427">
        <f>$C427*G426</f>
        <v/>
      </c>
      <c r="H427">
        <f>$C427*H426</f>
        <v/>
      </c>
      <c r="I427">
        <f>$C427*I426</f>
        <v/>
      </c>
      <c r="J427">
        <f>$C427*J426</f>
        <v/>
      </c>
      <c r="K427">
        <f>$C427*K426</f>
        <v/>
      </c>
      <c r="L427">
        <f>$C427*L426</f>
        <v/>
      </c>
      <c r="M427">
        <f>$C427*M426</f>
        <v/>
      </c>
      <c r="N427">
        <f>$C427*N426</f>
        <v/>
      </c>
      <c r="O427">
        <f>$C427*O426</f>
        <v/>
      </c>
      <c r="P427">
        <f>$C427*P426</f>
        <v/>
      </c>
      <c r="Q427">
        <f>$C427*Q426</f>
        <v/>
      </c>
      <c r="R427">
        <f>$C427*R426</f>
        <v/>
      </c>
      <c r="S427">
        <f>$C427*S426</f>
        <v/>
      </c>
      <c r="T427">
        <f>$C427*T426</f>
        <v/>
      </c>
      <c r="U427">
        <f>$C427*U426</f>
        <v/>
      </c>
      <c r="V427">
        <f>$C427*V426</f>
        <v/>
      </c>
      <c r="W427">
        <f>$C427*W426</f>
        <v/>
      </c>
      <c r="X427">
        <f>$C427*X426</f>
        <v/>
      </c>
      <c r="Y427">
        <f>$C427*Y426</f>
        <v/>
      </c>
      <c r="Z427">
        <f>$C427*Z426</f>
        <v/>
      </c>
      <c r="AA427">
        <f>$C427*AA426</f>
        <v/>
      </c>
      <c r="AB427">
        <f>$C427*AB426</f>
        <v/>
      </c>
      <c r="AC427">
        <f>$C427*AC426</f>
        <v/>
      </c>
      <c r="AD427">
        <f>$C427*AD426</f>
        <v/>
      </c>
      <c r="AE427">
        <f>$C427*AE426</f>
        <v/>
      </c>
      <c r="AF427">
        <f>$C427*AF426</f>
        <v/>
      </c>
      <c r="AG427">
        <f>$C427*AG426</f>
        <v/>
      </c>
      <c r="AH427">
        <f>$C427*AH426</f>
        <v/>
      </c>
      <c r="AI427">
        <f>$C427*AI426</f>
        <v/>
      </c>
      <c r="AJ427">
        <f>$C427*AJ426</f>
        <v/>
      </c>
      <c r="AK427">
        <f>$C427*AK426</f>
        <v/>
      </c>
      <c r="AL427">
        <f>$C427*AL426</f>
        <v/>
      </c>
      <c r="AM427">
        <f>$C427*AM426</f>
        <v/>
      </c>
      <c r="AN427">
        <f>$C427*AN426</f>
        <v/>
      </c>
      <c r="AO427">
        <f>$C427*AO426</f>
        <v/>
      </c>
      <c r="AP427">
        <f>$C427*AP426</f>
        <v/>
      </c>
      <c r="AQ427">
        <f>$C427*AQ426</f>
        <v/>
      </c>
      <c r="AR427">
        <f>$C427*AR426</f>
        <v/>
      </c>
      <c r="AS427">
        <f>$C427*AS426</f>
        <v/>
      </c>
      <c r="AT427">
        <f>$C427*AT426</f>
        <v/>
      </c>
      <c r="AU427">
        <f>$C427*AU426</f>
        <v/>
      </c>
      <c r="AV427">
        <f>$C427*AV426</f>
        <v/>
      </c>
      <c r="AW427">
        <f>$C427*AW426</f>
        <v/>
      </c>
      <c r="AX427">
        <f>$C427*AX426</f>
        <v/>
      </c>
      <c r="AY427">
        <f>$C427*AY426</f>
        <v/>
      </c>
      <c r="AZ427">
        <f>$C427*AZ426</f>
        <v/>
      </c>
      <c r="BA427">
        <f>$C427*BA426</f>
        <v/>
      </c>
      <c r="BB427">
        <f>$C427*BB426</f>
        <v/>
      </c>
      <c r="BC427">
        <f>$C427*BC426</f>
        <v/>
      </c>
      <c r="BD427">
        <f>$C427*BD426</f>
        <v/>
      </c>
      <c r="BE427">
        <f>$C427*BE426</f>
        <v/>
      </c>
      <c r="BF427">
        <f>$C427*BF426</f>
        <v/>
      </c>
      <c r="BG427">
        <f>$C427*BG426</f>
        <v/>
      </c>
      <c r="BH427">
        <f>$C427*BH426</f>
        <v/>
      </c>
      <c r="BI427">
        <f>$C427*BI426</f>
        <v/>
      </c>
      <c r="BJ427">
        <f>$C427*BJ426</f>
        <v/>
      </c>
      <c r="BK427">
        <f>$C427*BK426</f>
        <v/>
      </c>
      <c r="BL427">
        <f>$C427*BL426</f>
        <v/>
      </c>
      <c r="BM427">
        <f>$C427*BM426</f>
        <v/>
      </c>
      <c r="BN427">
        <f>$C427*BN426</f>
        <v/>
      </c>
      <c r="BO427">
        <f>$C427*BO426</f>
        <v/>
      </c>
      <c r="BP427">
        <f>$C427*BP426</f>
        <v/>
      </c>
      <c r="BQ427">
        <f>$C427*BQ426</f>
        <v/>
      </c>
      <c r="BR427">
        <f>$C427*BR426</f>
        <v/>
      </c>
      <c r="BS427">
        <f>$C427*BS426</f>
        <v/>
      </c>
      <c r="BT427">
        <f>$C427*BT426</f>
        <v/>
      </c>
      <c r="BU427">
        <f>$C427*BU426</f>
        <v/>
      </c>
      <c r="BV427">
        <f>$C427*BV426</f>
        <v/>
      </c>
      <c r="BW427">
        <f>$C427*BW426</f>
        <v/>
      </c>
      <c r="BX427">
        <f>$C427*BX426</f>
        <v/>
      </c>
      <c r="BY427">
        <f>$C427*BY426</f>
        <v/>
      </c>
      <c r="BZ427">
        <f>$C427*BZ426</f>
        <v/>
      </c>
      <c r="CA427">
        <f>$C427*CA426</f>
        <v/>
      </c>
      <c r="CB427">
        <f>$C427*CB426</f>
        <v/>
      </c>
      <c r="CC427">
        <f>$C427*CC426</f>
        <v/>
      </c>
      <c r="CD427">
        <f>$C427*CD426</f>
        <v/>
      </c>
      <c r="CE427">
        <f>$C427*CE426</f>
        <v/>
      </c>
      <c r="CF427">
        <f>$C427*CF426</f>
        <v/>
      </c>
      <c r="CG427">
        <f>$C427*CG426</f>
        <v/>
      </c>
      <c r="CH427">
        <f>$C427*CH426</f>
        <v/>
      </c>
      <c r="CI427">
        <f>$C427*CI426</f>
        <v/>
      </c>
      <c r="CJ427">
        <f>$C427*CJ426</f>
        <v/>
      </c>
      <c r="CK427">
        <f>$C427*CK426</f>
        <v/>
      </c>
      <c r="CL427">
        <f>$C427*CL426</f>
        <v/>
      </c>
      <c r="CM427">
        <f>$C427*CM426</f>
        <v/>
      </c>
      <c r="CN427">
        <f>$C427*CN426</f>
        <v/>
      </c>
      <c r="CO427">
        <f>$C427*CO426</f>
        <v/>
      </c>
      <c r="CP427">
        <f>$C427*CP426</f>
        <v/>
      </c>
      <c r="CQ427">
        <f>$C427*CQ426</f>
        <v/>
      </c>
      <c r="CR427">
        <f>$C427*CR426</f>
        <v/>
      </c>
      <c r="CS427">
        <f>$C427*CS426</f>
        <v/>
      </c>
      <c r="CT427">
        <f>$C427*CT426</f>
        <v/>
      </c>
      <c r="CU427">
        <f>$C427*CU426</f>
        <v/>
      </c>
      <c r="CV427">
        <f>$C427*CV426</f>
        <v/>
      </c>
      <c r="CW427">
        <f>$C427*CW426</f>
        <v/>
      </c>
      <c r="CX427">
        <f>$C427*CX426</f>
        <v/>
      </c>
      <c r="CY427">
        <f>$C427*CY426</f>
        <v/>
      </c>
      <c r="CZ427">
        <f>$C427*CZ426</f>
        <v/>
      </c>
      <c r="DA427">
        <f>$C427*DA426</f>
        <v/>
      </c>
      <c r="DB427">
        <f>$C427*DB426</f>
        <v/>
      </c>
      <c r="DC427">
        <f>$C427*DC426</f>
        <v/>
      </c>
    </row>
    <row r="428">
      <c r="B428" t="inlineStr">
        <is>
          <t>VSP-820</t>
        </is>
      </c>
      <c r="C428" t="inlineStr">
        <is>
          <t>No. of batches</t>
        </is>
      </c>
      <c r="D428">
        <f>IFERROR(INDEX(PP_Grid[#Data],$DD428,2),0)</f>
        <v/>
      </c>
      <c r="E428">
        <f>IFERROR(INDEX(PP_Grid[#Data],$DD428,3),0)</f>
        <v/>
      </c>
      <c r="F428">
        <f>IFERROR(INDEX(PP_Grid[#Data],$DD428,4),0)</f>
        <v/>
      </c>
      <c r="G428">
        <f>IFERROR(INDEX(PP_Grid[#Data],$DD428,5),0)</f>
        <v/>
      </c>
      <c r="H428">
        <f>IFERROR(INDEX(PP_Grid[#Data],$DD428,6),0)</f>
        <v/>
      </c>
      <c r="I428">
        <f>IFERROR(INDEX(PP_Grid[#Data],$DD428,7),0)</f>
        <v/>
      </c>
      <c r="J428">
        <f>IFERROR(INDEX(PP_Grid[#Data],$DD428,8),0)</f>
        <v/>
      </c>
      <c r="K428">
        <f>IFERROR(INDEX(PP_Grid[#Data],$DD428,9),0)</f>
        <v/>
      </c>
      <c r="L428">
        <f>IFERROR(INDEX(PP_Grid[#Data],$DD428,10),0)</f>
        <v/>
      </c>
      <c r="M428">
        <f>IFERROR(INDEX(PP_Grid[#Data],$DD428,11),0)</f>
        <v/>
      </c>
      <c r="N428">
        <f>IFERROR(INDEX(PP_Grid[#Data],$DD428,12),0)</f>
        <v/>
      </c>
      <c r="O428">
        <f>IFERROR(INDEX(PP_Grid[#Data],$DD428,13),0)</f>
        <v/>
      </c>
      <c r="P428">
        <f>IFERROR(INDEX(PP_Grid[#Data],$DD428,14),0)</f>
        <v/>
      </c>
      <c r="Q428">
        <f>IFERROR(INDEX(PP_Grid[#Data],$DD428,15),0)</f>
        <v/>
      </c>
      <c r="R428">
        <f>IFERROR(INDEX(PP_Grid[#Data],$DD428,16),0)</f>
        <v/>
      </c>
      <c r="S428">
        <f>IFERROR(INDEX(PP_Grid[#Data],$DD428,17),0)</f>
        <v/>
      </c>
      <c r="T428">
        <f>IFERROR(INDEX(PP_Grid[#Data],$DD428,18),0)</f>
        <v/>
      </c>
      <c r="U428">
        <f>IFERROR(INDEX(PP_Grid[#Data],$DD428,19),0)</f>
        <v/>
      </c>
      <c r="V428">
        <f>IFERROR(INDEX(PP_Grid[#Data],$DD428,20),0)</f>
        <v/>
      </c>
      <c r="W428">
        <f>IFERROR(INDEX(PP_Grid[#Data],$DD428,21),0)</f>
        <v/>
      </c>
      <c r="X428">
        <f>IFERROR(INDEX(PP_Grid[#Data],$DD428,22),0)</f>
        <v/>
      </c>
      <c r="Y428">
        <f>IFERROR(INDEX(PP_Grid[#Data],$DD428,23),0)</f>
        <v/>
      </c>
      <c r="Z428">
        <f>IFERROR(INDEX(PP_Grid[#Data],$DD428,24),0)</f>
        <v/>
      </c>
      <c r="AA428">
        <f>IFERROR(INDEX(PP_Grid[#Data],$DD428,25),0)</f>
        <v/>
      </c>
      <c r="AB428">
        <f>IFERROR(INDEX(PP_Grid[#Data],$DD428,26),0)</f>
        <v/>
      </c>
      <c r="AC428">
        <f>IFERROR(INDEX(PP_Grid[#Data],$DD428,27),0)</f>
        <v/>
      </c>
      <c r="AD428">
        <f>IFERROR(INDEX(PP_Grid[#Data],$DD428,28),0)</f>
        <v/>
      </c>
      <c r="AE428">
        <f>IFERROR(INDEX(PP_Grid[#Data],$DD428,29),0)</f>
        <v/>
      </c>
      <c r="AF428">
        <f>IFERROR(INDEX(PP_Grid[#Data],$DD428,30),0)</f>
        <v/>
      </c>
      <c r="AG428">
        <f>IFERROR(INDEX(PP_Grid[#Data],$DD428,31),0)</f>
        <v/>
      </c>
      <c r="AH428">
        <f>IFERROR(INDEX(PP_Grid[#Data],$DD428,32),0)</f>
        <v/>
      </c>
      <c r="AI428">
        <f>IFERROR(INDEX(PP_Grid[#Data],$DD428,33),0)</f>
        <v/>
      </c>
      <c r="AJ428">
        <f>IFERROR(INDEX(PP_Grid[#Data],$DD428,34),0)</f>
        <v/>
      </c>
      <c r="AK428">
        <f>IFERROR(INDEX(PP_Grid[#Data],$DD428,35),0)</f>
        <v/>
      </c>
      <c r="AL428">
        <f>IFERROR(INDEX(PP_Grid[#Data],$DD428,36),0)</f>
        <v/>
      </c>
      <c r="AM428">
        <f>IFERROR(INDEX(PP_Grid[#Data],$DD428,37),0)</f>
        <v/>
      </c>
      <c r="AN428">
        <f>IFERROR(INDEX(PP_Grid[#Data],$DD428,38),0)</f>
        <v/>
      </c>
      <c r="AO428">
        <f>IFERROR(INDEX(PP_Grid[#Data],$DD428,39),0)</f>
        <v/>
      </c>
      <c r="AP428">
        <f>IFERROR(INDEX(PP_Grid[#Data],$DD428,40),0)</f>
        <v/>
      </c>
      <c r="AQ428">
        <f>IFERROR(INDEX(PP_Grid[#Data],$DD428,41),0)</f>
        <v/>
      </c>
      <c r="AR428">
        <f>IFERROR(INDEX(PP_Grid[#Data],$DD428,42),0)</f>
        <v/>
      </c>
      <c r="AS428">
        <f>IFERROR(INDEX(PP_Grid[#Data],$DD428,43),0)</f>
        <v/>
      </c>
      <c r="AT428">
        <f>IFERROR(INDEX(PP_Grid[#Data],$DD428,44),0)</f>
        <v/>
      </c>
      <c r="AU428">
        <f>IFERROR(INDEX(PP_Grid[#Data],$DD428,45),0)</f>
        <v/>
      </c>
      <c r="AV428">
        <f>IFERROR(INDEX(PP_Grid[#Data],$DD428,46),0)</f>
        <v/>
      </c>
      <c r="AW428">
        <f>IFERROR(INDEX(PP_Grid[#Data],$DD428,47),0)</f>
        <v/>
      </c>
      <c r="AX428">
        <f>IFERROR(INDEX(PP_Grid[#Data],$DD428,48),0)</f>
        <v/>
      </c>
      <c r="AY428">
        <f>IFERROR(INDEX(PP_Grid[#Data],$DD428,49),0)</f>
        <v/>
      </c>
      <c r="AZ428">
        <f>IFERROR(INDEX(PP_Grid[#Data],$DD428,50),0)</f>
        <v/>
      </c>
      <c r="BA428">
        <f>IFERROR(INDEX(PP_Grid[#Data],$DD428,51),0)</f>
        <v/>
      </c>
      <c r="BB428">
        <f>IFERROR(INDEX(PP_Grid[#Data],$DD428,52),0)</f>
        <v/>
      </c>
      <c r="BC428">
        <f>IFERROR(INDEX(PP_Grid[#Data],$DD428,53),0)</f>
        <v/>
      </c>
      <c r="BD428">
        <f>IFERROR(INDEX(PP_Grid[#Data],$DD428,54),0)</f>
        <v/>
      </c>
      <c r="BE428">
        <f>IFERROR(INDEX(PP_Grid[#Data],$DD428,55),0)</f>
        <v/>
      </c>
      <c r="BF428">
        <f>IFERROR(INDEX(PP_Grid[#Data],$DD428,56),0)</f>
        <v/>
      </c>
      <c r="BG428">
        <f>IFERROR(INDEX(PP_Grid[#Data],$DD428,57),0)</f>
        <v/>
      </c>
      <c r="BH428">
        <f>IFERROR(INDEX(PP_Grid[#Data],$DD428,58),0)</f>
        <v/>
      </c>
      <c r="BI428">
        <f>IFERROR(INDEX(PP_Grid[#Data],$DD428,59),0)</f>
        <v/>
      </c>
      <c r="BJ428">
        <f>IFERROR(INDEX(PP_Grid[#Data],$DD428,60),0)</f>
        <v/>
      </c>
      <c r="BK428">
        <f>IFERROR(INDEX(PP_Grid[#Data],$DD428,61),0)</f>
        <v/>
      </c>
      <c r="BL428">
        <f>IFERROR(INDEX(PP_Grid[#Data],$DD428,62),0)</f>
        <v/>
      </c>
      <c r="BM428">
        <f>IFERROR(INDEX(PP_Grid[#Data],$DD428,63),0)</f>
        <v/>
      </c>
      <c r="BN428">
        <f>IFERROR(INDEX(PP_Grid[#Data],$DD428,64),0)</f>
        <v/>
      </c>
      <c r="BO428">
        <f>IFERROR(INDEX(PP_Grid[#Data],$DD428,65),0)</f>
        <v/>
      </c>
      <c r="BP428">
        <f>IFERROR(INDEX(PP_Grid[#Data],$DD428,66),0)</f>
        <v/>
      </c>
      <c r="BQ428">
        <f>IFERROR(INDEX(PP_Grid[#Data],$DD428,67),0)</f>
        <v/>
      </c>
      <c r="BR428">
        <f>IFERROR(INDEX(PP_Grid[#Data],$DD428,68),0)</f>
        <v/>
      </c>
      <c r="BS428">
        <f>IFERROR(INDEX(PP_Grid[#Data],$DD428,69),0)</f>
        <v/>
      </c>
      <c r="BT428">
        <f>IFERROR(INDEX(PP_Grid[#Data],$DD428,70),0)</f>
        <v/>
      </c>
      <c r="BU428">
        <f>IFERROR(INDEX(PP_Grid[#Data],$DD428,71),0)</f>
        <v/>
      </c>
      <c r="BV428">
        <f>IFERROR(INDEX(PP_Grid[#Data],$DD428,72),0)</f>
        <v/>
      </c>
      <c r="BW428">
        <f>IFERROR(INDEX(PP_Grid[#Data],$DD428,73),0)</f>
        <v/>
      </c>
      <c r="BX428">
        <f>IFERROR(INDEX(PP_Grid[#Data],$DD428,74),0)</f>
        <v/>
      </c>
      <c r="BY428">
        <f>IFERROR(INDEX(PP_Grid[#Data],$DD428,75),0)</f>
        <v/>
      </c>
      <c r="BZ428">
        <f>IFERROR(INDEX(PP_Grid[#Data],$DD428,76),0)</f>
        <v/>
      </c>
      <c r="CA428">
        <f>IFERROR(INDEX(PP_Grid[#Data],$DD428,77),0)</f>
        <v/>
      </c>
      <c r="CB428">
        <f>IFERROR(INDEX(PP_Grid[#Data],$DD428,78),0)</f>
        <v/>
      </c>
      <c r="CC428">
        <f>IFERROR(INDEX(PP_Grid[#Data],$DD428,79),0)</f>
        <v/>
      </c>
      <c r="CD428">
        <f>IFERROR(INDEX(PP_Grid[#Data],$DD428,80),0)</f>
        <v/>
      </c>
      <c r="CE428">
        <f>IFERROR(INDEX(PP_Grid[#Data],$DD428,81),0)</f>
        <v/>
      </c>
      <c r="CF428">
        <f>IFERROR(INDEX(PP_Grid[#Data],$DD428,82),0)</f>
        <v/>
      </c>
      <c r="CG428">
        <f>IFERROR(INDEX(PP_Grid[#Data],$DD428,83),0)</f>
        <v/>
      </c>
      <c r="CH428">
        <f>IFERROR(INDEX(PP_Grid[#Data],$DD428,84),0)</f>
        <v/>
      </c>
      <c r="CI428">
        <f>IFERROR(INDEX(PP_Grid[#Data],$DD428,85),0)</f>
        <v/>
      </c>
      <c r="CJ428">
        <f>IFERROR(INDEX(PP_Grid[#Data],$DD428,86),0)</f>
        <v/>
      </c>
      <c r="CK428">
        <f>IFERROR(INDEX(PP_Grid[#Data],$DD428,87),0)</f>
        <v/>
      </c>
      <c r="CL428">
        <f>IFERROR(INDEX(PP_Grid[#Data],$DD428,88),0)</f>
        <v/>
      </c>
      <c r="CM428">
        <f>IFERROR(INDEX(PP_Grid[#Data],$DD428,89),0)</f>
        <v/>
      </c>
      <c r="CN428">
        <f>IFERROR(INDEX(PP_Grid[#Data],$DD428,90),0)</f>
        <v/>
      </c>
      <c r="CO428">
        <f>IFERROR(INDEX(PP_Grid[#Data],$DD428,91),0)</f>
        <v/>
      </c>
      <c r="CP428">
        <f>IFERROR(INDEX(PP_Grid[#Data],$DD428,92),0)</f>
        <v/>
      </c>
      <c r="CQ428">
        <f>IFERROR(INDEX(PP_Grid[#Data],$DD428,93),0)</f>
        <v/>
      </c>
      <c r="CR428">
        <f>IFERROR(INDEX(PP_Grid[#Data],$DD428,94),0)</f>
        <v/>
      </c>
      <c r="CS428">
        <f>IFERROR(INDEX(PP_Grid[#Data],$DD428,95),0)</f>
        <v/>
      </c>
      <c r="CT428">
        <f>IFERROR(INDEX(PP_Grid[#Data],$DD428,96),0)</f>
        <v/>
      </c>
      <c r="CU428">
        <f>IFERROR(INDEX(PP_Grid[#Data],$DD428,97),0)</f>
        <v/>
      </c>
      <c r="CV428">
        <f>IFERROR(INDEX(PP_Grid[#Data],$DD428,98),0)</f>
        <v/>
      </c>
      <c r="CW428">
        <f>IFERROR(INDEX(PP_Grid[#Data],$DD428,99),0)</f>
        <v/>
      </c>
      <c r="CX428">
        <f>IFERROR(INDEX(PP_Grid[#Data],$DD428,100),0)</f>
        <v/>
      </c>
      <c r="CY428">
        <f>IFERROR(INDEX(PP_Grid[#Data],$DD428,101),0)</f>
        <v/>
      </c>
      <c r="CZ428">
        <f>IFERROR(INDEX(PP_Grid[#Data],$DD428,102),0)</f>
        <v/>
      </c>
      <c r="DA428">
        <f>IFERROR(INDEX(PP_Grid[#Data],$DD428,103),0)</f>
        <v/>
      </c>
      <c r="DB428">
        <f>IFERROR(INDEX(PP_Grid[#Data],$DD428,104),0)</f>
        <v/>
      </c>
      <c r="DC428">
        <f>IFERROR(INDEX(PP_Grid[#Data],$DD428,105),0)</f>
        <v/>
      </c>
      <c r="DD428" s="7">
        <f>IFERROR(MATCH($B428,PP_Grid[Intermediate],0),99999)</f>
        <v/>
      </c>
    </row>
    <row r="429">
      <c r="B429" t="inlineStr">
        <is>
          <t>使用量(kg)</t>
        </is>
      </c>
      <c r="C429">
        <f>SUMIFS(M_BOM[RM_Qty_Per_Batch],M_BOM[Intermediate],$B428,M_BOM[Part Name],$A343)</f>
        <v/>
      </c>
      <c r="D429">
        <f>$C429*D428</f>
        <v/>
      </c>
      <c r="E429">
        <f>$C429*E428</f>
        <v/>
      </c>
      <c r="F429">
        <f>$C429*F428</f>
        <v/>
      </c>
      <c r="G429">
        <f>$C429*G428</f>
        <v/>
      </c>
      <c r="H429">
        <f>$C429*H428</f>
        <v/>
      </c>
      <c r="I429">
        <f>$C429*I428</f>
        <v/>
      </c>
      <c r="J429">
        <f>$C429*J428</f>
        <v/>
      </c>
      <c r="K429">
        <f>$C429*K428</f>
        <v/>
      </c>
      <c r="L429">
        <f>$C429*L428</f>
        <v/>
      </c>
      <c r="M429">
        <f>$C429*M428</f>
        <v/>
      </c>
      <c r="N429">
        <f>$C429*N428</f>
        <v/>
      </c>
      <c r="O429">
        <f>$C429*O428</f>
        <v/>
      </c>
      <c r="P429">
        <f>$C429*P428</f>
        <v/>
      </c>
      <c r="Q429">
        <f>$C429*Q428</f>
        <v/>
      </c>
      <c r="R429">
        <f>$C429*R428</f>
        <v/>
      </c>
      <c r="S429">
        <f>$C429*S428</f>
        <v/>
      </c>
      <c r="T429">
        <f>$C429*T428</f>
        <v/>
      </c>
      <c r="U429">
        <f>$C429*U428</f>
        <v/>
      </c>
      <c r="V429">
        <f>$C429*V428</f>
        <v/>
      </c>
      <c r="W429">
        <f>$C429*W428</f>
        <v/>
      </c>
      <c r="X429">
        <f>$C429*X428</f>
        <v/>
      </c>
      <c r="Y429">
        <f>$C429*Y428</f>
        <v/>
      </c>
      <c r="Z429">
        <f>$C429*Z428</f>
        <v/>
      </c>
      <c r="AA429">
        <f>$C429*AA428</f>
        <v/>
      </c>
      <c r="AB429">
        <f>$C429*AB428</f>
        <v/>
      </c>
      <c r="AC429">
        <f>$C429*AC428</f>
        <v/>
      </c>
      <c r="AD429">
        <f>$C429*AD428</f>
        <v/>
      </c>
      <c r="AE429">
        <f>$C429*AE428</f>
        <v/>
      </c>
      <c r="AF429">
        <f>$C429*AF428</f>
        <v/>
      </c>
      <c r="AG429">
        <f>$C429*AG428</f>
        <v/>
      </c>
      <c r="AH429">
        <f>$C429*AH428</f>
        <v/>
      </c>
      <c r="AI429">
        <f>$C429*AI428</f>
        <v/>
      </c>
      <c r="AJ429">
        <f>$C429*AJ428</f>
        <v/>
      </c>
      <c r="AK429">
        <f>$C429*AK428</f>
        <v/>
      </c>
      <c r="AL429">
        <f>$C429*AL428</f>
        <v/>
      </c>
      <c r="AM429">
        <f>$C429*AM428</f>
        <v/>
      </c>
      <c r="AN429">
        <f>$C429*AN428</f>
        <v/>
      </c>
      <c r="AO429">
        <f>$C429*AO428</f>
        <v/>
      </c>
      <c r="AP429">
        <f>$C429*AP428</f>
        <v/>
      </c>
      <c r="AQ429">
        <f>$C429*AQ428</f>
        <v/>
      </c>
      <c r="AR429">
        <f>$C429*AR428</f>
        <v/>
      </c>
      <c r="AS429">
        <f>$C429*AS428</f>
        <v/>
      </c>
      <c r="AT429">
        <f>$C429*AT428</f>
        <v/>
      </c>
      <c r="AU429">
        <f>$C429*AU428</f>
        <v/>
      </c>
      <c r="AV429">
        <f>$C429*AV428</f>
        <v/>
      </c>
      <c r="AW429">
        <f>$C429*AW428</f>
        <v/>
      </c>
      <c r="AX429">
        <f>$C429*AX428</f>
        <v/>
      </c>
      <c r="AY429">
        <f>$C429*AY428</f>
        <v/>
      </c>
      <c r="AZ429">
        <f>$C429*AZ428</f>
        <v/>
      </c>
      <c r="BA429">
        <f>$C429*BA428</f>
        <v/>
      </c>
      <c r="BB429">
        <f>$C429*BB428</f>
        <v/>
      </c>
      <c r="BC429">
        <f>$C429*BC428</f>
        <v/>
      </c>
      <c r="BD429">
        <f>$C429*BD428</f>
        <v/>
      </c>
      <c r="BE429">
        <f>$C429*BE428</f>
        <v/>
      </c>
      <c r="BF429">
        <f>$C429*BF428</f>
        <v/>
      </c>
      <c r="BG429">
        <f>$C429*BG428</f>
        <v/>
      </c>
      <c r="BH429">
        <f>$C429*BH428</f>
        <v/>
      </c>
      <c r="BI429">
        <f>$C429*BI428</f>
        <v/>
      </c>
      <c r="BJ429">
        <f>$C429*BJ428</f>
        <v/>
      </c>
      <c r="BK429">
        <f>$C429*BK428</f>
        <v/>
      </c>
      <c r="BL429">
        <f>$C429*BL428</f>
        <v/>
      </c>
      <c r="BM429">
        <f>$C429*BM428</f>
        <v/>
      </c>
      <c r="BN429">
        <f>$C429*BN428</f>
        <v/>
      </c>
      <c r="BO429">
        <f>$C429*BO428</f>
        <v/>
      </c>
      <c r="BP429">
        <f>$C429*BP428</f>
        <v/>
      </c>
      <c r="BQ429">
        <f>$C429*BQ428</f>
        <v/>
      </c>
      <c r="BR429">
        <f>$C429*BR428</f>
        <v/>
      </c>
      <c r="BS429">
        <f>$C429*BS428</f>
        <v/>
      </c>
      <c r="BT429">
        <f>$C429*BT428</f>
        <v/>
      </c>
      <c r="BU429">
        <f>$C429*BU428</f>
        <v/>
      </c>
      <c r="BV429">
        <f>$C429*BV428</f>
        <v/>
      </c>
      <c r="BW429">
        <f>$C429*BW428</f>
        <v/>
      </c>
      <c r="BX429">
        <f>$C429*BX428</f>
        <v/>
      </c>
      <c r="BY429">
        <f>$C429*BY428</f>
        <v/>
      </c>
      <c r="BZ429">
        <f>$C429*BZ428</f>
        <v/>
      </c>
      <c r="CA429">
        <f>$C429*CA428</f>
        <v/>
      </c>
      <c r="CB429">
        <f>$C429*CB428</f>
        <v/>
      </c>
      <c r="CC429">
        <f>$C429*CC428</f>
        <v/>
      </c>
      <c r="CD429">
        <f>$C429*CD428</f>
        <v/>
      </c>
      <c r="CE429">
        <f>$C429*CE428</f>
        <v/>
      </c>
      <c r="CF429">
        <f>$C429*CF428</f>
        <v/>
      </c>
      <c r="CG429">
        <f>$C429*CG428</f>
        <v/>
      </c>
      <c r="CH429">
        <f>$C429*CH428</f>
        <v/>
      </c>
      <c r="CI429">
        <f>$C429*CI428</f>
        <v/>
      </c>
      <c r="CJ429">
        <f>$C429*CJ428</f>
        <v/>
      </c>
      <c r="CK429">
        <f>$C429*CK428</f>
        <v/>
      </c>
      <c r="CL429">
        <f>$C429*CL428</f>
        <v/>
      </c>
      <c r="CM429">
        <f>$C429*CM428</f>
        <v/>
      </c>
      <c r="CN429">
        <f>$C429*CN428</f>
        <v/>
      </c>
      <c r="CO429">
        <f>$C429*CO428</f>
        <v/>
      </c>
      <c r="CP429">
        <f>$C429*CP428</f>
        <v/>
      </c>
      <c r="CQ429">
        <f>$C429*CQ428</f>
        <v/>
      </c>
      <c r="CR429">
        <f>$C429*CR428</f>
        <v/>
      </c>
      <c r="CS429">
        <f>$C429*CS428</f>
        <v/>
      </c>
      <c r="CT429">
        <f>$C429*CT428</f>
        <v/>
      </c>
      <c r="CU429">
        <f>$C429*CU428</f>
        <v/>
      </c>
      <c r="CV429">
        <f>$C429*CV428</f>
        <v/>
      </c>
      <c r="CW429">
        <f>$C429*CW428</f>
        <v/>
      </c>
      <c r="CX429">
        <f>$C429*CX428</f>
        <v/>
      </c>
      <c r="CY429">
        <f>$C429*CY428</f>
        <v/>
      </c>
      <c r="CZ429">
        <f>$C429*CZ428</f>
        <v/>
      </c>
      <c r="DA429">
        <f>$C429*DA428</f>
        <v/>
      </c>
      <c r="DB429">
        <f>$C429*DB428</f>
        <v/>
      </c>
      <c r="DC429">
        <f>$C429*DC428</f>
        <v/>
      </c>
    </row>
    <row r="430">
      <c r="B430" t="inlineStr">
        <is>
          <t>VSP-822</t>
        </is>
      </c>
      <c r="C430" t="inlineStr">
        <is>
          <t>No. of batches</t>
        </is>
      </c>
      <c r="D430">
        <f>IFERROR(INDEX(PP_Grid[#Data],$DD430,2),0)</f>
        <v/>
      </c>
      <c r="E430">
        <f>IFERROR(INDEX(PP_Grid[#Data],$DD430,3),0)</f>
        <v/>
      </c>
      <c r="F430">
        <f>IFERROR(INDEX(PP_Grid[#Data],$DD430,4),0)</f>
        <v/>
      </c>
      <c r="G430">
        <f>IFERROR(INDEX(PP_Grid[#Data],$DD430,5),0)</f>
        <v/>
      </c>
      <c r="H430">
        <f>IFERROR(INDEX(PP_Grid[#Data],$DD430,6),0)</f>
        <v/>
      </c>
      <c r="I430">
        <f>IFERROR(INDEX(PP_Grid[#Data],$DD430,7),0)</f>
        <v/>
      </c>
      <c r="J430">
        <f>IFERROR(INDEX(PP_Grid[#Data],$DD430,8),0)</f>
        <v/>
      </c>
      <c r="K430">
        <f>IFERROR(INDEX(PP_Grid[#Data],$DD430,9),0)</f>
        <v/>
      </c>
      <c r="L430">
        <f>IFERROR(INDEX(PP_Grid[#Data],$DD430,10),0)</f>
        <v/>
      </c>
      <c r="M430">
        <f>IFERROR(INDEX(PP_Grid[#Data],$DD430,11),0)</f>
        <v/>
      </c>
      <c r="N430">
        <f>IFERROR(INDEX(PP_Grid[#Data],$DD430,12),0)</f>
        <v/>
      </c>
      <c r="O430">
        <f>IFERROR(INDEX(PP_Grid[#Data],$DD430,13),0)</f>
        <v/>
      </c>
      <c r="P430">
        <f>IFERROR(INDEX(PP_Grid[#Data],$DD430,14),0)</f>
        <v/>
      </c>
      <c r="Q430">
        <f>IFERROR(INDEX(PP_Grid[#Data],$DD430,15),0)</f>
        <v/>
      </c>
      <c r="R430">
        <f>IFERROR(INDEX(PP_Grid[#Data],$DD430,16),0)</f>
        <v/>
      </c>
      <c r="S430">
        <f>IFERROR(INDEX(PP_Grid[#Data],$DD430,17),0)</f>
        <v/>
      </c>
      <c r="T430">
        <f>IFERROR(INDEX(PP_Grid[#Data],$DD430,18),0)</f>
        <v/>
      </c>
      <c r="U430">
        <f>IFERROR(INDEX(PP_Grid[#Data],$DD430,19),0)</f>
        <v/>
      </c>
      <c r="V430">
        <f>IFERROR(INDEX(PP_Grid[#Data],$DD430,20),0)</f>
        <v/>
      </c>
      <c r="W430">
        <f>IFERROR(INDEX(PP_Grid[#Data],$DD430,21),0)</f>
        <v/>
      </c>
      <c r="X430">
        <f>IFERROR(INDEX(PP_Grid[#Data],$DD430,22),0)</f>
        <v/>
      </c>
      <c r="Y430">
        <f>IFERROR(INDEX(PP_Grid[#Data],$DD430,23),0)</f>
        <v/>
      </c>
      <c r="Z430">
        <f>IFERROR(INDEX(PP_Grid[#Data],$DD430,24),0)</f>
        <v/>
      </c>
      <c r="AA430">
        <f>IFERROR(INDEX(PP_Grid[#Data],$DD430,25),0)</f>
        <v/>
      </c>
      <c r="AB430">
        <f>IFERROR(INDEX(PP_Grid[#Data],$DD430,26),0)</f>
        <v/>
      </c>
      <c r="AC430">
        <f>IFERROR(INDEX(PP_Grid[#Data],$DD430,27),0)</f>
        <v/>
      </c>
      <c r="AD430">
        <f>IFERROR(INDEX(PP_Grid[#Data],$DD430,28),0)</f>
        <v/>
      </c>
      <c r="AE430">
        <f>IFERROR(INDEX(PP_Grid[#Data],$DD430,29),0)</f>
        <v/>
      </c>
      <c r="AF430">
        <f>IFERROR(INDEX(PP_Grid[#Data],$DD430,30),0)</f>
        <v/>
      </c>
      <c r="AG430">
        <f>IFERROR(INDEX(PP_Grid[#Data],$DD430,31),0)</f>
        <v/>
      </c>
      <c r="AH430">
        <f>IFERROR(INDEX(PP_Grid[#Data],$DD430,32),0)</f>
        <v/>
      </c>
      <c r="AI430">
        <f>IFERROR(INDEX(PP_Grid[#Data],$DD430,33),0)</f>
        <v/>
      </c>
      <c r="AJ430">
        <f>IFERROR(INDEX(PP_Grid[#Data],$DD430,34),0)</f>
        <v/>
      </c>
      <c r="AK430">
        <f>IFERROR(INDEX(PP_Grid[#Data],$DD430,35),0)</f>
        <v/>
      </c>
      <c r="AL430">
        <f>IFERROR(INDEX(PP_Grid[#Data],$DD430,36),0)</f>
        <v/>
      </c>
      <c r="AM430">
        <f>IFERROR(INDEX(PP_Grid[#Data],$DD430,37),0)</f>
        <v/>
      </c>
      <c r="AN430">
        <f>IFERROR(INDEX(PP_Grid[#Data],$DD430,38),0)</f>
        <v/>
      </c>
      <c r="AO430">
        <f>IFERROR(INDEX(PP_Grid[#Data],$DD430,39),0)</f>
        <v/>
      </c>
      <c r="AP430">
        <f>IFERROR(INDEX(PP_Grid[#Data],$DD430,40),0)</f>
        <v/>
      </c>
      <c r="AQ430">
        <f>IFERROR(INDEX(PP_Grid[#Data],$DD430,41),0)</f>
        <v/>
      </c>
      <c r="AR430">
        <f>IFERROR(INDEX(PP_Grid[#Data],$DD430,42),0)</f>
        <v/>
      </c>
      <c r="AS430">
        <f>IFERROR(INDEX(PP_Grid[#Data],$DD430,43),0)</f>
        <v/>
      </c>
      <c r="AT430">
        <f>IFERROR(INDEX(PP_Grid[#Data],$DD430,44),0)</f>
        <v/>
      </c>
      <c r="AU430">
        <f>IFERROR(INDEX(PP_Grid[#Data],$DD430,45),0)</f>
        <v/>
      </c>
      <c r="AV430">
        <f>IFERROR(INDEX(PP_Grid[#Data],$DD430,46),0)</f>
        <v/>
      </c>
      <c r="AW430">
        <f>IFERROR(INDEX(PP_Grid[#Data],$DD430,47),0)</f>
        <v/>
      </c>
      <c r="AX430">
        <f>IFERROR(INDEX(PP_Grid[#Data],$DD430,48),0)</f>
        <v/>
      </c>
      <c r="AY430">
        <f>IFERROR(INDEX(PP_Grid[#Data],$DD430,49),0)</f>
        <v/>
      </c>
      <c r="AZ430">
        <f>IFERROR(INDEX(PP_Grid[#Data],$DD430,50),0)</f>
        <v/>
      </c>
      <c r="BA430">
        <f>IFERROR(INDEX(PP_Grid[#Data],$DD430,51),0)</f>
        <v/>
      </c>
      <c r="BB430">
        <f>IFERROR(INDEX(PP_Grid[#Data],$DD430,52),0)</f>
        <v/>
      </c>
      <c r="BC430">
        <f>IFERROR(INDEX(PP_Grid[#Data],$DD430,53),0)</f>
        <v/>
      </c>
      <c r="BD430">
        <f>IFERROR(INDEX(PP_Grid[#Data],$DD430,54),0)</f>
        <v/>
      </c>
      <c r="BE430">
        <f>IFERROR(INDEX(PP_Grid[#Data],$DD430,55),0)</f>
        <v/>
      </c>
      <c r="BF430">
        <f>IFERROR(INDEX(PP_Grid[#Data],$DD430,56),0)</f>
        <v/>
      </c>
      <c r="BG430">
        <f>IFERROR(INDEX(PP_Grid[#Data],$DD430,57),0)</f>
        <v/>
      </c>
      <c r="BH430">
        <f>IFERROR(INDEX(PP_Grid[#Data],$DD430,58),0)</f>
        <v/>
      </c>
      <c r="BI430">
        <f>IFERROR(INDEX(PP_Grid[#Data],$DD430,59),0)</f>
        <v/>
      </c>
      <c r="BJ430">
        <f>IFERROR(INDEX(PP_Grid[#Data],$DD430,60),0)</f>
        <v/>
      </c>
      <c r="BK430">
        <f>IFERROR(INDEX(PP_Grid[#Data],$DD430,61),0)</f>
        <v/>
      </c>
      <c r="BL430">
        <f>IFERROR(INDEX(PP_Grid[#Data],$DD430,62),0)</f>
        <v/>
      </c>
      <c r="BM430">
        <f>IFERROR(INDEX(PP_Grid[#Data],$DD430,63),0)</f>
        <v/>
      </c>
      <c r="BN430">
        <f>IFERROR(INDEX(PP_Grid[#Data],$DD430,64),0)</f>
        <v/>
      </c>
      <c r="BO430">
        <f>IFERROR(INDEX(PP_Grid[#Data],$DD430,65),0)</f>
        <v/>
      </c>
      <c r="BP430">
        <f>IFERROR(INDEX(PP_Grid[#Data],$DD430,66),0)</f>
        <v/>
      </c>
      <c r="BQ430">
        <f>IFERROR(INDEX(PP_Grid[#Data],$DD430,67),0)</f>
        <v/>
      </c>
      <c r="BR430">
        <f>IFERROR(INDEX(PP_Grid[#Data],$DD430,68),0)</f>
        <v/>
      </c>
      <c r="BS430">
        <f>IFERROR(INDEX(PP_Grid[#Data],$DD430,69),0)</f>
        <v/>
      </c>
      <c r="BT430">
        <f>IFERROR(INDEX(PP_Grid[#Data],$DD430,70),0)</f>
        <v/>
      </c>
      <c r="BU430">
        <f>IFERROR(INDEX(PP_Grid[#Data],$DD430,71),0)</f>
        <v/>
      </c>
      <c r="BV430">
        <f>IFERROR(INDEX(PP_Grid[#Data],$DD430,72),0)</f>
        <v/>
      </c>
      <c r="BW430">
        <f>IFERROR(INDEX(PP_Grid[#Data],$DD430,73),0)</f>
        <v/>
      </c>
      <c r="BX430">
        <f>IFERROR(INDEX(PP_Grid[#Data],$DD430,74),0)</f>
        <v/>
      </c>
      <c r="BY430">
        <f>IFERROR(INDEX(PP_Grid[#Data],$DD430,75),0)</f>
        <v/>
      </c>
      <c r="BZ430">
        <f>IFERROR(INDEX(PP_Grid[#Data],$DD430,76),0)</f>
        <v/>
      </c>
      <c r="CA430">
        <f>IFERROR(INDEX(PP_Grid[#Data],$DD430,77),0)</f>
        <v/>
      </c>
      <c r="CB430">
        <f>IFERROR(INDEX(PP_Grid[#Data],$DD430,78),0)</f>
        <v/>
      </c>
      <c r="CC430">
        <f>IFERROR(INDEX(PP_Grid[#Data],$DD430,79),0)</f>
        <v/>
      </c>
      <c r="CD430">
        <f>IFERROR(INDEX(PP_Grid[#Data],$DD430,80),0)</f>
        <v/>
      </c>
      <c r="CE430">
        <f>IFERROR(INDEX(PP_Grid[#Data],$DD430,81),0)</f>
        <v/>
      </c>
      <c r="CF430">
        <f>IFERROR(INDEX(PP_Grid[#Data],$DD430,82),0)</f>
        <v/>
      </c>
      <c r="CG430">
        <f>IFERROR(INDEX(PP_Grid[#Data],$DD430,83),0)</f>
        <v/>
      </c>
      <c r="CH430">
        <f>IFERROR(INDEX(PP_Grid[#Data],$DD430,84),0)</f>
        <v/>
      </c>
      <c r="CI430">
        <f>IFERROR(INDEX(PP_Grid[#Data],$DD430,85),0)</f>
        <v/>
      </c>
      <c r="CJ430">
        <f>IFERROR(INDEX(PP_Grid[#Data],$DD430,86),0)</f>
        <v/>
      </c>
      <c r="CK430">
        <f>IFERROR(INDEX(PP_Grid[#Data],$DD430,87),0)</f>
        <v/>
      </c>
      <c r="CL430">
        <f>IFERROR(INDEX(PP_Grid[#Data],$DD430,88),0)</f>
        <v/>
      </c>
      <c r="CM430">
        <f>IFERROR(INDEX(PP_Grid[#Data],$DD430,89),0)</f>
        <v/>
      </c>
      <c r="CN430">
        <f>IFERROR(INDEX(PP_Grid[#Data],$DD430,90),0)</f>
        <v/>
      </c>
      <c r="CO430">
        <f>IFERROR(INDEX(PP_Grid[#Data],$DD430,91),0)</f>
        <v/>
      </c>
      <c r="CP430">
        <f>IFERROR(INDEX(PP_Grid[#Data],$DD430,92),0)</f>
        <v/>
      </c>
      <c r="CQ430">
        <f>IFERROR(INDEX(PP_Grid[#Data],$DD430,93),0)</f>
        <v/>
      </c>
      <c r="CR430">
        <f>IFERROR(INDEX(PP_Grid[#Data],$DD430,94),0)</f>
        <v/>
      </c>
      <c r="CS430">
        <f>IFERROR(INDEX(PP_Grid[#Data],$DD430,95),0)</f>
        <v/>
      </c>
      <c r="CT430">
        <f>IFERROR(INDEX(PP_Grid[#Data],$DD430,96),0)</f>
        <v/>
      </c>
      <c r="CU430">
        <f>IFERROR(INDEX(PP_Grid[#Data],$DD430,97),0)</f>
        <v/>
      </c>
      <c r="CV430">
        <f>IFERROR(INDEX(PP_Grid[#Data],$DD430,98),0)</f>
        <v/>
      </c>
      <c r="CW430">
        <f>IFERROR(INDEX(PP_Grid[#Data],$DD430,99),0)</f>
        <v/>
      </c>
      <c r="CX430">
        <f>IFERROR(INDEX(PP_Grid[#Data],$DD430,100),0)</f>
        <v/>
      </c>
      <c r="CY430">
        <f>IFERROR(INDEX(PP_Grid[#Data],$DD430,101),0)</f>
        <v/>
      </c>
      <c r="CZ430">
        <f>IFERROR(INDEX(PP_Grid[#Data],$DD430,102),0)</f>
        <v/>
      </c>
      <c r="DA430">
        <f>IFERROR(INDEX(PP_Grid[#Data],$DD430,103),0)</f>
        <v/>
      </c>
      <c r="DB430">
        <f>IFERROR(INDEX(PP_Grid[#Data],$DD430,104),0)</f>
        <v/>
      </c>
      <c r="DC430">
        <f>IFERROR(INDEX(PP_Grid[#Data],$DD430,105),0)</f>
        <v/>
      </c>
      <c r="DD430" s="7">
        <f>IFERROR(MATCH($B430,PP_Grid[Intermediate],0),99999)</f>
        <v/>
      </c>
    </row>
    <row r="431">
      <c r="B431" t="inlineStr">
        <is>
          <t>使用量(kg)</t>
        </is>
      </c>
      <c r="C431">
        <f>SUMIFS(M_BOM[RM_Qty_Per_Batch],M_BOM[Intermediate],$B430,M_BOM[Part Name],$A343)</f>
        <v/>
      </c>
      <c r="D431">
        <f>$C431*D430</f>
        <v/>
      </c>
      <c r="E431">
        <f>$C431*E430</f>
        <v/>
      </c>
      <c r="F431">
        <f>$C431*F430</f>
        <v/>
      </c>
      <c r="G431">
        <f>$C431*G430</f>
        <v/>
      </c>
      <c r="H431">
        <f>$C431*H430</f>
        <v/>
      </c>
      <c r="I431">
        <f>$C431*I430</f>
        <v/>
      </c>
      <c r="J431">
        <f>$C431*J430</f>
        <v/>
      </c>
      <c r="K431">
        <f>$C431*K430</f>
        <v/>
      </c>
      <c r="L431">
        <f>$C431*L430</f>
        <v/>
      </c>
      <c r="M431">
        <f>$C431*M430</f>
        <v/>
      </c>
      <c r="N431">
        <f>$C431*N430</f>
        <v/>
      </c>
      <c r="O431">
        <f>$C431*O430</f>
        <v/>
      </c>
      <c r="P431">
        <f>$C431*P430</f>
        <v/>
      </c>
      <c r="Q431">
        <f>$C431*Q430</f>
        <v/>
      </c>
      <c r="R431">
        <f>$C431*R430</f>
        <v/>
      </c>
      <c r="S431">
        <f>$C431*S430</f>
        <v/>
      </c>
      <c r="T431">
        <f>$C431*T430</f>
        <v/>
      </c>
      <c r="U431">
        <f>$C431*U430</f>
        <v/>
      </c>
      <c r="V431">
        <f>$C431*V430</f>
        <v/>
      </c>
      <c r="W431">
        <f>$C431*W430</f>
        <v/>
      </c>
      <c r="X431">
        <f>$C431*X430</f>
        <v/>
      </c>
      <c r="Y431">
        <f>$C431*Y430</f>
        <v/>
      </c>
      <c r="Z431">
        <f>$C431*Z430</f>
        <v/>
      </c>
      <c r="AA431">
        <f>$C431*AA430</f>
        <v/>
      </c>
      <c r="AB431">
        <f>$C431*AB430</f>
        <v/>
      </c>
      <c r="AC431">
        <f>$C431*AC430</f>
        <v/>
      </c>
      <c r="AD431">
        <f>$C431*AD430</f>
        <v/>
      </c>
      <c r="AE431">
        <f>$C431*AE430</f>
        <v/>
      </c>
      <c r="AF431">
        <f>$C431*AF430</f>
        <v/>
      </c>
      <c r="AG431">
        <f>$C431*AG430</f>
        <v/>
      </c>
      <c r="AH431">
        <f>$C431*AH430</f>
        <v/>
      </c>
      <c r="AI431">
        <f>$C431*AI430</f>
        <v/>
      </c>
      <c r="AJ431">
        <f>$C431*AJ430</f>
        <v/>
      </c>
      <c r="AK431">
        <f>$C431*AK430</f>
        <v/>
      </c>
      <c r="AL431">
        <f>$C431*AL430</f>
        <v/>
      </c>
      <c r="AM431">
        <f>$C431*AM430</f>
        <v/>
      </c>
      <c r="AN431">
        <f>$C431*AN430</f>
        <v/>
      </c>
      <c r="AO431">
        <f>$C431*AO430</f>
        <v/>
      </c>
      <c r="AP431">
        <f>$C431*AP430</f>
        <v/>
      </c>
      <c r="AQ431">
        <f>$C431*AQ430</f>
        <v/>
      </c>
      <c r="AR431">
        <f>$C431*AR430</f>
        <v/>
      </c>
      <c r="AS431">
        <f>$C431*AS430</f>
        <v/>
      </c>
      <c r="AT431">
        <f>$C431*AT430</f>
        <v/>
      </c>
      <c r="AU431">
        <f>$C431*AU430</f>
        <v/>
      </c>
      <c r="AV431">
        <f>$C431*AV430</f>
        <v/>
      </c>
      <c r="AW431">
        <f>$C431*AW430</f>
        <v/>
      </c>
      <c r="AX431">
        <f>$C431*AX430</f>
        <v/>
      </c>
      <c r="AY431">
        <f>$C431*AY430</f>
        <v/>
      </c>
      <c r="AZ431">
        <f>$C431*AZ430</f>
        <v/>
      </c>
      <c r="BA431">
        <f>$C431*BA430</f>
        <v/>
      </c>
      <c r="BB431">
        <f>$C431*BB430</f>
        <v/>
      </c>
      <c r="BC431">
        <f>$C431*BC430</f>
        <v/>
      </c>
      <c r="BD431">
        <f>$C431*BD430</f>
        <v/>
      </c>
      <c r="BE431">
        <f>$C431*BE430</f>
        <v/>
      </c>
      <c r="BF431">
        <f>$C431*BF430</f>
        <v/>
      </c>
      <c r="BG431">
        <f>$C431*BG430</f>
        <v/>
      </c>
      <c r="BH431">
        <f>$C431*BH430</f>
        <v/>
      </c>
      <c r="BI431">
        <f>$C431*BI430</f>
        <v/>
      </c>
      <c r="BJ431">
        <f>$C431*BJ430</f>
        <v/>
      </c>
      <c r="BK431">
        <f>$C431*BK430</f>
        <v/>
      </c>
      <c r="BL431">
        <f>$C431*BL430</f>
        <v/>
      </c>
      <c r="BM431">
        <f>$C431*BM430</f>
        <v/>
      </c>
      <c r="BN431">
        <f>$C431*BN430</f>
        <v/>
      </c>
      <c r="BO431">
        <f>$C431*BO430</f>
        <v/>
      </c>
      <c r="BP431">
        <f>$C431*BP430</f>
        <v/>
      </c>
      <c r="BQ431">
        <f>$C431*BQ430</f>
        <v/>
      </c>
      <c r="BR431">
        <f>$C431*BR430</f>
        <v/>
      </c>
      <c r="BS431">
        <f>$C431*BS430</f>
        <v/>
      </c>
      <c r="BT431">
        <f>$C431*BT430</f>
        <v/>
      </c>
      <c r="BU431">
        <f>$C431*BU430</f>
        <v/>
      </c>
      <c r="BV431">
        <f>$C431*BV430</f>
        <v/>
      </c>
      <c r="BW431">
        <f>$C431*BW430</f>
        <v/>
      </c>
      <c r="BX431">
        <f>$C431*BX430</f>
        <v/>
      </c>
      <c r="BY431">
        <f>$C431*BY430</f>
        <v/>
      </c>
      <c r="BZ431">
        <f>$C431*BZ430</f>
        <v/>
      </c>
      <c r="CA431">
        <f>$C431*CA430</f>
        <v/>
      </c>
      <c r="CB431">
        <f>$C431*CB430</f>
        <v/>
      </c>
      <c r="CC431">
        <f>$C431*CC430</f>
        <v/>
      </c>
      <c r="CD431">
        <f>$C431*CD430</f>
        <v/>
      </c>
      <c r="CE431">
        <f>$C431*CE430</f>
        <v/>
      </c>
      <c r="CF431">
        <f>$C431*CF430</f>
        <v/>
      </c>
      <c r="CG431">
        <f>$C431*CG430</f>
        <v/>
      </c>
      <c r="CH431">
        <f>$C431*CH430</f>
        <v/>
      </c>
      <c r="CI431">
        <f>$C431*CI430</f>
        <v/>
      </c>
      <c r="CJ431">
        <f>$C431*CJ430</f>
        <v/>
      </c>
      <c r="CK431">
        <f>$C431*CK430</f>
        <v/>
      </c>
      <c r="CL431">
        <f>$C431*CL430</f>
        <v/>
      </c>
      <c r="CM431">
        <f>$C431*CM430</f>
        <v/>
      </c>
      <c r="CN431">
        <f>$C431*CN430</f>
        <v/>
      </c>
      <c r="CO431">
        <f>$C431*CO430</f>
        <v/>
      </c>
      <c r="CP431">
        <f>$C431*CP430</f>
        <v/>
      </c>
      <c r="CQ431">
        <f>$C431*CQ430</f>
        <v/>
      </c>
      <c r="CR431">
        <f>$C431*CR430</f>
        <v/>
      </c>
      <c r="CS431">
        <f>$C431*CS430</f>
        <v/>
      </c>
      <c r="CT431">
        <f>$C431*CT430</f>
        <v/>
      </c>
      <c r="CU431">
        <f>$C431*CU430</f>
        <v/>
      </c>
      <c r="CV431">
        <f>$C431*CV430</f>
        <v/>
      </c>
      <c r="CW431">
        <f>$C431*CW430</f>
        <v/>
      </c>
      <c r="CX431">
        <f>$C431*CX430</f>
        <v/>
      </c>
      <c r="CY431">
        <f>$C431*CY430</f>
        <v/>
      </c>
      <c r="CZ431">
        <f>$C431*CZ430</f>
        <v/>
      </c>
      <c r="DA431">
        <f>$C431*DA430</f>
        <v/>
      </c>
      <c r="DB431">
        <f>$C431*DB430</f>
        <v/>
      </c>
      <c r="DC431">
        <f>$C431*DC430</f>
        <v/>
      </c>
    </row>
    <row r="432">
      <c r="B432" t="inlineStr">
        <is>
          <t>VSP-869</t>
        </is>
      </c>
      <c r="C432" t="inlineStr">
        <is>
          <t>No. of batches</t>
        </is>
      </c>
      <c r="D432">
        <f>IFERROR(INDEX(PP_Grid[#Data],$DD432,2),0)</f>
        <v/>
      </c>
      <c r="E432">
        <f>IFERROR(INDEX(PP_Grid[#Data],$DD432,3),0)</f>
        <v/>
      </c>
      <c r="F432">
        <f>IFERROR(INDEX(PP_Grid[#Data],$DD432,4),0)</f>
        <v/>
      </c>
      <c r="G432">
        <f>IFERROR(INDEX(PP_Grid[#Data],$DD432,5),0)</f>
        <v/>
      </c>
      <c r="H432">
        <f>IFERROR(INDEX(PP_Grid[#Data],$DD432,6),0)</f>
        <v/>
      </c>
      <c r="I432">
        <f>IFERROR(INDEX(PP_Grid[#Data],$DD432,7),0)</f>
        <v/>
      </c>
      <c r="J432">
        <f>IFERROR(INDEX(PP_Grid[#Data],$DD432,8),0)</f>
        <v/>
      </c>
      <c r="K432">
        <f>IFERROR(INDEX(PP_Grid[#Data],$DD432,9),0)</f>
        <v/>
      </c>
      <c r="L432">
        <f>IFERROR(INDEX(PP_Grid[#Data],$DD432,10),0)</f>
        <v/>
      </c>
      <c r="M432">
        <f>IFERROR(INDEX(PP_Grid[#Data],$DD432,11),0)</f>
        <v/>
      </c>
      <c r="N432">
        <f>IFERROR(INDEX(PP_Grid[#Data],$DD432,12),0)</f>
        <v/>
      </c>
      <c r="O432">
        <f>IFERROR(INDEX(PP_Grid[#Data],$DD432,13),0)</f>
        <v/>
      </c>
      <c r="P432">
        <f>IFERROR(INDEX(PP_Grid[#Data],$DD432,14),0)</f>
        <v/>
      </c>
      <c r="Q432">
        <f>IFERROR(INDEX(PP_Grid[#Data],$DD432,15),0)</f>
        <v/>
      </c>
      <c r="R432">
        <f>IFERROR(INDEX(PP_Grid[#Data],$DD432,16),0)</f>
        <v/>
      </c>
      <c r="S432">
        <f>IFERROR(INDEX(PP_Grid[#Data],$DD432,17),0)</f>
        <v/>
      </c>
      <c r="T432">
        <f>IFERROR(INDEX(PP_Grid[#Data],$DD432,18),0)</f>
        <v/>
      </c>
      <c r="U432">
        <f>IFERROR(INDEX(PP_Grid[#Data],$DD432,19),0)</f>
        <v/>
      </c>
      <c r="V432">
        <f>IFERROR(INDEX(PP_Grid[#Data],$DD432,20),0)</f>
        <v/>
      </c>
      <c r="W432">
        <f>IFERROR(INDEX(PP_Grid[#Data],$DD432,21),0)</f>
        <v/>
      </c>
      <c r="X432">
        <f>IFERROR(INDEX(PP_Grid[#Data],$DD432,22),0)</f>
        <v/>
      </c>
      <c r="Y432">
        <f>IFERROR(INDEX(PP_Grid[#Data],$DD432,23),0)</f>
        <v/>
      </c>
      <c r="Z432">
        <f>IFERROR(INDEX(PP_Grid[#Data],$DD432,24),0)</f>
        <v/>
      </c>
      <c r="AA432">
        <f>IFERROR(INDEX(PP_Grid[#Data],$DD432,25),0)</f>
        <v/>
      </c>
      <c r="AB432">
        <f>IFERROR(INDEX(PP_Grid[#Data],$DD432,26),0)</f>
        <v/>
      </c>
      <c r="AC432">
        <f>IFERROR(INDEX(PP_Grid[#Data],$DD432,27),0)</f>
        <v/>
      </c>
      <c r="AD432">
        <f>IFERROR(INDEX(PP_Grid[#Data],$DD432,28),0)</f>
        <v/>
      </c>
      <c r="AE432">
        <f>IFERROR(INDEX(PP_Grid[#Data],$DD432,29),0)</f>
        <v/>
      </c>
      <c r="AF432">
        <f>IFERROR(INDEX(PP_Grid[#Data],$DD432,30),0)</f>
        <v/>
      </c>
      <c r="AG432">
        <f>IFERROR(INDEX(PP_Grid[#Data],$DD432,31),0)</f>
        <v/>
      </c>
      <c r="AH432">
        <f>IFERROR(INDEX(PP_Grid[#Data],$DD432,32),0)</f>
        <v/>
      </c>
      <c r="AI432">
        <f>IFERROR(INDEX(PP_Grid[#Data],$DD432,33),0)</f>
        <v/>
      </c>
      <c r="AJ432">
        <f>IFERROR(INDEX(PP_Grid[#Data],$DD432,34),0)</f>
        <v/>
      </c>
      <c r="AK432">
        <f>IFERROR(INDEX(PP_Grid[#Data],$DD432,35),0)</f>
        <v/>
      </c>
      <c r="AL432">
        <f>IFERROR(INDEX(PP_Grid[#Data],$DD432,36),0)</f>
        <v/>
      </c>
      <c r="AM432">
        <f>IFERROR(INDEX(PP_Grid[#Data],$DD432,37),0)</f>
        <v/>
      </c>
      <c r="AN432">
        <f>IFERROR(INDEX(PP_Grid[#Data],$DD432,38),0)</f>
        <v/>
      </c>
      <c r="AO432">
        <f>IFERROR(INDEX(PP_Grid[#Data],$DD432,39),0)</f>
        <v/>
      </c>
      <c r="AP432">
        <f>IFERROR(INDEX(PP_Grid[#Data],$DD432,40),0)</f>
        <v/>
      </c>
      <c r="AQ432">
        <f>IFERROR(INDEX(PP_Grid[#Data],$DD432,41),0)</f>
        <v/>
      </c>
      <c r="AR432">
        <f>IFERROR(INDEX(PP_Grid[#Data],$DD432,42),0)</f>
        <v/>
      </c>
      <c r="AS432">
        <f>IFERROR(INDEX(PP_Grid[#Data],$DD432,43),0)</f>
        <v/>
      </c>
      <c r="AT432">
        <f>IFERROR(INDEX(PP_Grid[#Data],$DD432,44),0)</f>
        <v/>
      </c>
      <c r="AU432">
        <f>IFERROR(INDEX(PP_Grid[#Data],$DD432,45),0)</f>
        <v/>
      </c>
      <c r="AV432">
        <f>IFERROR(INDEX(PP_Grid[#Data],$DD432,46),0)</f>
        <v/>
      </c>
      <c r="AW432">
        <f>IFERROR(INDEX(PP_Grid[#Data],$DD432,47),0)</f>
        <v/>
      </c>
      <c r="AX432">
        <f>IFERROR(INDEX(PP_Grid[#Data],$DD432,48),0)</f>
        <v/>
      </c>
      <c r="AY432">
        <f>IFERROR(INDEX(PP_Grid[#Data],$DD432,49),0)</f>
        <v/>
      </c>
      <c r="AZ432">
        <f>IFERROR(INDEX(PP_Grid[#Data],$DD432,50),0)</f>
        <v/>
      </c>
      <c r="BA432">
        <f>IFERROR(INDEX(PP_Grid[#Data],$DD432,51),0)</f>
        <v/>
      </c>
      <c r="BB432">
        <f>IFERROR(INDEX(PP_Grid[#Data],$DD432,52),0)</f>
        <v/>
      </c>
      <c r="BC432">
        <f>IFERROR(INDEX(PP_Grid[#Data],$DD432,53),0)</f>
        <v/>
      </c>
      <c r="BD432">
        <f>IFERROR(INDEX(PP_Grid[#Data],$DD432,54),0)</f>
        <v/>
      </c>
      <c r="BE432">
        <f>IFERROR(INDEX(PP_Grid[#Data],$DD432,55),0)</f>
        <v/>
      </c>
      <c r="BF432">
        <f>IFERROR(INDEX(PP_Grid[#Data],$DD432,56),0)</f>
        <v/>
      </c>
      <c r="BG432">
        <f>IFERROR(INDEX(PP_Grid[#Data],$DD432,57),0)</f>
        <v/>
      </c>
      <c r="BH432">
        <f>IFERROR(INDEX(PP_Grid[#Data],$DD432,58),0)</f>
        <v/>
      </c>
      <c r="BI432">
        <f>IFERROR(INDEX(PP_Grid[#Data],$DD432,59),0)</f>
        <v/>
      </c>
      <c r="BJ432">
        <f>IFERROR(INDEX(PP_Grid[#Data],$DD432,60),0)</f>
        <v/>
      </c>
      <c r="BK432">
        <f>IFERROR(INDEX(PP_Grid[#Data],$DD432,61),0)</f>
        <v/>
      </c>
      <c r="BL432">
        <f>IFERROR(INDEX(PP_Grid[#Data],$DD432,62),0)</f>
        <v/>
      </c>
      <c r="BM432">
        <f>IFERROR(INDEX(PP_Grid[#Data],$DD432,63),0)</f>
        <v/>
      </c>
      <c r="BN432">
        <f>IFERROR(INDEX(PP_Grid[#Data],$DD432,64),0)</f>
        <v/>
      </c>
      <c r="BO432">
        <f>IFERROR(INDEX(PP_Grid[#Data],$DD432,65),0)</f>
        <v/>
      </c>
      <c r="BP432">
        <f>IFERROR(INDEX(PP_Grid[#Data],$DD432,66),0)</f>
        <v/>
      </c>
      <c r="BQ432">
        <f>IFERROR(INDEX(PP_Grid[#Data],$DD432,67),0)</f>
        <v/>
      </c>
      <c r="BR432">
        <f>IFERROR(INDEX(PP_Grid[#Data],$DD432,68),0)</f>
        <v/>
      </c>
      <c r="BS432">
        <f>IFERROR(INDEX(PP_Grid[#Data],$DD432,69),0)</f>
        <v/>
      </c>
      <c r="BT432">
        <f>IFERROR(INDEX(PP_Grid[#Data],$DD432,70),0)</f>
        <v/>
      </c>
      <c r="BU432">
        <f>IFERROR(INDEX(PP_Grid[#Data],$DD432,71),0)</f>
        <v/>
      </c>
      <c r="BV432">
        <f>IFERROR(INDEX(PP_Grid[#Data],$DD432,72),0)</f>
        <v/>
      </c>
      <c r="BW432">
        <f>IFERROR(INDEX(PP_Grid[#Data],$DD432,73),0)</f>
        <v/>
      </c>
      <c r="BX432">
        <f>IFERROR(INDEX(PP_Grid[#Data],$DD432,74),0)</f>
        <v/>
      </c>
      <c r="BY432">
        <f>IFERROR(INDEX(PP_Grid[#Data],$DD432,75),0)</f>
        <v/>
      </c>
      <c r="BZ432">
        <f>IFERROR(INDEX(PP_Grid[#Data],$DD432,76),0)</f>
        <v/>
      </c>
      <c r="CA432">
        <f>IFERROR(INDEX(PP_Grid[#Data],$DD432,77),0)</f>
        <v/>
      </c>
      <c r="CB432">
        <f>IFERROR(INDEX(PP_Grid[#Data],$DD432,78),0)</f>
        <v/>
      </c>
      <c r="CC432">
        <f>IFERROR(INDEX(PP_Grid[#Data],$DD432,79),0)</f>
        <v/>
      </c>
      <c r="CD432">
        <f>IFERROR(INDEX(PP_Grid[#Data],$DD432,80),0)</f>
        <v/>
      </c>
      <c r="CE432">
        <f>IFERROR(INDEX(PP_Grid[#Data],$DD432,81),0)</f>
        <v/>
      </c>
      <c r="CF432">
        <f>IFERROR(INDEX(PP_Grid[#Data],$DD432,82),0)</f>
        <v/>
      </c>
      <c r="CG432">
        <f>IFERROR(INDEX(PP_Grid[#Data],$DD432,83),0)</f>
        <v/>
      </c>
      <c r="CH432">
        <f>IFERROR(INDEX(PP_Grid[#Data],$DD432,84),0)</f>
        <v/>
      </c>
      <c r="CI432">
        <f>IFERROR(INDEX(PP_Grid[#Data],$DD432,85),0)</f>
        <v/>
      </c>
      <c r="CJ432">
        <f>IFERROR(INDEX(PP_Grid[#Data],$DD432,86),0)</f>
        <v/>
      </c>
      <c r="CK432">
        <f>IFERROR(INDEX(PP_Grid[#Data],$DD432,87),0)</f>
        <v/>
      </c>
      <c r="CL432">
        <f>IFERROR(INDEX(PP_Grid[#Data],$DD432,88),0)</f>
        <v/>
      </c>
      <c r="CM432">
        <f>IFERROR(INDEX(PP_Grid[#Data],$DD432,89),0)</f>
        <v/>
      </c>
      <c r="CN432">
        <f>IFERROR(INDEX(PP_Grid[#Data],$DD432,90),0)</f>
        <v/>
      </c>
      <c r="CO432">
        <f>IFERROR(INDEX(PP_Grid[#Data],$DD432,91),0)</f>
        <v/>
      </c>
      <c r="CP432">
        <f>IFERROR(INDEX(PP_Grid[#Data],$DD432,92),0)</f>
        <v/>
      </c>
      <c r="CQ432">
        <f>IFERROR(INDEX(PP_Grid[#Data],$DD432,93),0)</f>
        <v/>
      </c>
      <c r="CR432">
        <f>IFERROR(INDEX(PP_Grid[#Data],$DD432,94),0)</f>
        <v/>
      </c>
      <c r="CS432">
        <f>IFERROR(INDEX(PP_Grid[#Data],$DD432,95),0)</f>
        <v/>
      </c>
      <c r="CT432">
        <f>IFERROR(INDEX(PP_Grid[#Data],$DD432,96),0)</f>
        <v/>
      </c>
      <c r="CU432">
        <f>IFERROR(INDEX(PP_Grid[#Data],$DD432,97),0)</f>
        <v/>
      </c>
      <c r="CV432">
        <f>IFERROR(INDEX(PP_Grid[#Data],$DD432,98),0)</f>
        <v/>
      </c>
      <c r="CW432">
        <f>IFERROR(INDEX(PP_Grid[#Data],$DD432,99),0)</f>
        <v/>
      </c>
      <c r="CX432">
        <f>IFERROR(INDEX(PP_Grid[#Data],$DD432,100),0)</f>
        <v/>
      </c>
      <c r="CY432">
        <f>IFERROR(INDEX(PP_Grid[#Data],$DD432,101),0)</f>
        <v/>
      </c>
      <c r="CZ432">
        <f>IFERROR(INDEX(PP_Grid[#Data],$DD432,102),0)</f>
        <v/>
      </c>
      <c r="DA432">
        <f>IFERROR(INDEX(PP_Grid[#Data],$DD432,103),0)</f>
        <v/>
      </c>
      <c r="DB432">
        <f>IFERROR(INDEX(PP_Grid[#Data],$DD432,104),0)</f>
        <v/>
      </c>
      <c r="DC432">
        <f>IFERROR(INDEX(PP_Grid[#Data],$DD432,105),0)</f>
        <v/>
      </c>
      <c r="DD432" s="7">
        <f>IFERROR(MATCH($B432,PP_Grid[Intermediate],0),99999)</f>
        <v/>
      </c>
    </row>
    <row r="433">
      <c r="B433" t="inlineStr">
        <is>
          <t>使用量(kg)</t>
        </is>
      </c>
      <c r="C433">
        <f>SUMIFS(M_BOM[RM_Qty_Per_Batch],M_BOM[Intermediate],$B432,M_BOM[Part Name],$A343)</f>
        <v/>
      </c>
      <c r="D433">
        <f>$C433*D432</f>
        <v/>
      </c>
      <c r="E433">
        <f>$C433*E432</f>
        <v/>
      </c>
      <c r="F433">
        <f>$C433*F432</f>
        <v/>
      </c>
      <c r="G433">
        <f>$C433*G432</f>
        <v/>
      </c>
      <c r="H433">
        <f>$C433*H432</f>
        <v/>
      </c>
      <c r="I433">
        <f>$C433*I432</f>
        <v/>
      </c>
      <c r="J433">
        <f>$C433*J432</f>
        <v/>
      </c>
      <c r="K433">
        <f>$C433*K432</f>
        <v/>
      </c>
      <c r="L433">
        <f>$C433*L432</f>
        <v/>
      </c>
      <c r="M433">
        <f>$C433*M432</f>
        <v/>
      </c>
      <c r="N433">
        <f>$C433*N432</f>
        <v/>
      </c>
      <c r="O433">
        <f>$C433*O432</f>
        <v/>
      </c>
      <c r="P433">
        <f>$C433*P432</f>
        <v/>
      </c>
      <c r="Q433">
        <f>$C433*Q432</f>
        <v/>
      </c>
      <c r="R433">
        <f>$C433*R432</f>
        <v/>
      </c>
      <c r="S433">
        <f>$C433*S432</f>
        <v/>
      </c>
      <c r="T433">
        <f>$C433*T432</f>
        <v/>
      </c>
      <c r="U433">
        <f>$C433*U432</f>
        <v/>
      </c>
      <c r="V433">
        <f>$C433*V432</f>
        <v/>
      </c>
      <c r="W433">
        <f>$C433*W432</f>
        <v/>
      </c>
      <c r="X433">
        <f>$C433*X432</f>
        <v/>
      </c>
      <c r="Y433">
        <f>$C433*Y432</f>
        <v/>
      </c>
      <c r="Z433">
        <f>$C433*Z432</f>
        <v/>
      </c>
      <c r="AA433">
        <f>$C433*AA432</f>
        <v/>
      </c>
      <c r="AB433">
        <f>$C433*AB432</f>
        <v/>
      </c>
      <c r="AC433">
        <f>$C433*AC432</f>
        <v/>
      </c>
      <c r="AD433">
        <f>$C433*AD432</f>
        <v/>
      </c>
      <c r="AE433">
        <f>$C433*AE432</f>
        <v/>
      </c>
      <c r="AF433">
        <f>$C433*AF432</f>
        <v/>
      </c>
      <c r="AG433">
        <f>$C433*AG432</f>
        <v/>
      </c>
      <c r="AH433">
        <f>$C433*AH432</f>
        <v/>
      </c>
      <c r="AI433">
        <f>$C433*AI432</f>
        <v/>
      </c>
      <c r="AJ433">
        <f>$C433*AJ432</f>
        <v/>
      </c>
      <c r="AK433">
        <f>$C433*AK432</f>
        <v/>
      </c>
      <c r="AL433">
        <f>$C433*AL432</f>
        <v/>
      </c>
      <c r="AM433">
        <f>$C433*AM432</f>
        <v/>
      </c>
      <c r="AN433">
        <f>$C433*AN432</f>
        <v/>
      </c>
      <c r="AO433">
        <f>$C433*AO432</f>
        <v/>
      </c>
      <c r="AP433">
        <f>$C433*AP432</f>
        <v/>
      </c>
      <c r="AQ433">
        <f>$C433*AQ432</f>
        <v/>
      </c>
      <c r="AR433">
        <f>$C433*AR432</f>
        <v/>
      </c>
      <c r="AS433">
        <f>$C433*AS432</f>
        <v/>
      </c>
      <c r="AT433">
        <f>$C433*AT432</f>
        <v/>
      </c>
      <c r="AU433">
        <f>$C433*AU432</f>
        <v/>
      </c>
      <c r="AV433">
        <f>$C433*AV432</f>
        <v/>
      </c>
      <c r="AW433">
        <f>$C433*AW432</f>
        <v/>
      </c>
      <c r="AX433">
        <f>$C433*AX432</f>
        <v/>
      </c>
      <c r="AY433">
        <f>$C433*AY432</f>
        <v/>
      </c>
      <c r="AZ433">
        <f>$C433*AZ432</f>
        <v/>
      </c>
      <c r="BA433">
        <f>$C433*BA432</f>
        <v/>
      </c>
      <c r="BB433">
        <f>$C433*BB432</f>
        <v/>
      </c>
      <c r="BC433">
        <f>$C433*BC432</f>
        <v/>
      </c>
      <c r="BD433">
        <f>$C433*BD432</f>
        <v/>
      </c>
      <c r="BE433">
        <f>$C433*BE432</f>
        <v/>
      </c>
      <c r="BF433">
        <f>$C433*BF432</f>
        <v/>
      </c>
      <c r="BG433">
        <f>$C433*BG432</f>
        <v/>
      </c>
      <c r="BH433">
        <f>$C433*BH432</f>
        <v/>
      </c>
      <c r="BI433">
        <f>$C433*BI432</f>
        <v/>
      </c>
      <c r="BJ433">
        <f>$C433*BJ432</f>
        <v/>
      </c>
      <c r="BK433">
        <f>$C433*BK432</f>
        <v/>
      </c>
      <c r="BL433">
        <f>$C433*BL432</f>
        <v/>
      </c>
      <c r="BM433">
        <f>$C433*BM432</f>
        <v/>
      </c>
      <c r="BN433">
        <f>$C433*BN432</f>
        <v/>
      </c>
      <c r="BO433">
        <f>$C433*BO432</f>
        <v/>
      </c>
      <c r="BP433">
        <f>$C433*BP432</f>
        <v/>
      </c>
      <c r="BQ433">
        <f>$C433*BQ432</f>
        <v/>
      </c>
      <c r="BR433">
        <f>$C433*BR432</f>
        <v/>
      </c>
      <c r="BS433">
        <f>$C433*BS432</f>
        <v/>
      </c>
      <c r="BT433">
        <f>$C433*BT432</f>
        <v/>
      </c>
      <c r="BU433">
        <f>$C433*BU432</f>
        <v/>
      </c>
      <c r="BV433">
        <f>$C433*BV432</f>
        <v/>
      </c>
      <c r="BW433">
        <f>$C433*BW432</f>
        <v/>
      </c>
      <c r="BX433">
        <f>$C433*BX432</f>
        <v/>
      </c>
      <c r="BY433">
        <f>$C433*BY432</f>
        <v/>
      </c>
      <c r="BZ433">
        <f>$C433*BZ432</f>
        <v/>
      </c>
      <c r="CA433">
        <f>$C433*CA432</f>
        <v/>
      </c>
      <c r="CB433">
        <f>$C433*CB432</f>
        <v/>
      </c>
      <c r="CC433">
        <f>$C433*CC432</f>
        <v/>
      </c>
      <c r="CD433">
        <f>$C433*CD432</f>
        <v/>
      </c>
      <c r="CE433">
        <f>$C433*CE432</f>
        <v/>
      </c>
      <c r="CF433">
        <f>$C433*CF432</f>
        <v/>
      </c>
      <c r="CG433">
        <f>$C433*CG432</f>
        <v/>
      </c>
      <c r="CH433">
        <f>$C433*CH432</f>
        <v/>
      </c>
      <c r="CI433">
        <f>$C433*CI432</f>
        <v/>
      </c>
      <c r="CJ433">
        <f>$C433*CJ432</f>
        <v/>
      </c>
      <c r="CK433">
        <f>$C433*CK432</f>
        <v/>
      </c>
      <c r="CL433">
        <f>$C433*CL432</f>
        <v/>
      </c>
      <c r="CM433">
        <f>$C433*CM432</f>
        <v/>
      </c>
      <c r="CN433">
        <f>$C433*CN432</f>
        <v/>
      </c>
      <c r="CO433">
        <f>$C433*CO432</f>
        <v/>
      </c>
      <c r="CP433">
        <f>$C433*CP432</f>
        <v/>
      </c>
      <c r="CQ433">
        <f>$C433*CQ432</f>
        <v/>
      </c>
      <c r="CR433">
        <f>$C433*CR432</f>
        <v/>
      </c>
      <c r="CS433">
        <f>$C433*CS432</f>
        <v/>
      </c>
      <c r="CT433">
        <f>$C433*CT432</f>
        <v/>
      </c>
      <c r="CU433">
        <f>$C433*CU432</f>
        <v/>
      </c>
      <c r="CV433">
        <f>$C433*CV432</f>
        <v/>
      </c>
      <c r="CW433">
        <f>$C433*CW432</f>
        <v/>
      </c>
      <c r="CX433">
        <f>$C433*CX432</f>
        <v/>
      </c>
      <c r="CY433">
        <f>$C433*CY432</f>
        <v/>
      </c>
      <c r="CZ433">
        <f>$C433*CZ432</f>
        <v/>
      </c>
      <c r="DA433">
        <f>$C433*DA432</f>
        <v/>
      </c>
      <c r="DB433">
        <f>$C433*DB432</f>
        <v/>
      </c>
      <c r="DC433">
        <f>$C433*DC432</f>
        <v/>
      </c>
    </row>
    <row r="434">
      <c r="B434" t="inlineStr">
        <is>
          <t>VSP-870</t>
        </is>
      </c>
      <c r="C434" t="inlineStr">
        <is>
          <t>No. of batches</t>
        </is>
      </c>
      <c r="D434">
        <f>IFERROR(INDEX(PP_Grid[#Data],$DD434,2),0)</f>
        <v/>
      </c>
      <c r="E434">
        <f>IFERROR(INDEX(PP_Grid[#Data],$DD434,3),0)</f>
        <v/>
      </c>
      <c r="F434">
        <f>IFERROR(INDEX(PP_Grid[#Data],$DD434,4),0)</f>
        <v/>
      </c>
      <c r="G434">
        <f>IFERROR(INDEX(PP_Grid[#Data],$DD434,5),0)</f>
        <v/>
      </c>
      <c r="H434">
        <f>IFERROR(INDEX(PP_Grid[#Data],$DD434,6),0)</f>
        <v/>
      </c>
      <c r="I434">
        <f>IFERROR(INDEX(PP_Grid[#Data],$DD434,7),0)</f>
        <v/>
      </c>
      <c r="J434">
        <f>IFERROR(INDEX(PP_Grid[#Data],$DD434,8),0)</f>
        <v/>
      </c>
      <c r="K434">
        <f>IFERROR(INDEX(PP_Grid[#Data],$DD434,9),0)</f>
        <v/>
      </c>
      <c r="L434">
        <f>IFERROR(INDEX(PP_Grid[#Data],$DD434,10),0)</f>
        <v/>
      </c>
      <c r="M434">
        <f>IFERROR(INDEX(PP_Grid[#Data],$DD434,11),0)</f>
        <v/>
      </c>
      <c r="N434">
        <f>IFERROR(INDEX(PP_Grid[#Data],$DD434,12),0)</f>
        <v/>
      </c>
      <c r="O434">
        <f>IFERROR(INDEX(PP_Grid[#Data],$DD434,13),0)</f>
        <v/>
      </c>
      <c r="P434">
        <f>IFERROR(INDEX(PP_Grid[#Data],$DD434,14),0)</f>
        <v/>
      </c>
      <c r="Q434">
        <f>IFERROR(INDEX(PP_Grid[#Data],$DD434,15),0)</f>
        <v/>
      </c>
      <c r="R434">
        <f>IFERROR(INDEX(PP_Grid[#Data],$DD434,16),0)</f>
        <v/>
      </c>
      <c r="S434">
        <f>IFERROR(INDEX(PP_Grid[#Data],$DD434,17),0)</f>
        <v/>
      </c>
      <c r="T434">
        <f>IFERROR(INDEX(PP_Grid[#Data],$DD434,18),0)</f>
        <v/>
      </c>
      <c r="U434">
        <f>IFERROR(INDEX(PP_Grid[#Data],$DD434,19),0)</f>
        <v/>
      </c>
      <c r="V434">
        <f>IFERROR(INDEX(PP_Grid[#Data],$DD434,20),0)</f>
        <v/>
      </c>
      <c r="W434">
        <f>IFERROR(INDEX(PP_Grid[#Data],$DD434,21),0)</f>
        <v/>
      </c>
      <c r="X434">
        <f>IFERROR(INDEX(PP_Grid[#Data],$DD434,22),0)</f>
        <v/>
      </c>
      <c r="Y434">
        <f>IFERROR(INDEX(PP_Grid[#Data],$DD434,23),0)</f>
        <v/>
      </c>
      <c r="Z434">
        <f>IFERROR(INDEX(PP_Grid[#Data],$DD434,24),0)</f>
        <v/>
      </c>
      <c r="AA434">
        <f>IFERROR(INDEX(PP_Grid[#Data],$DD434,25),0)</f>
        <v/>
      </c>
      <c r="AB434">
        <f>IFERROR(INDEX(PP_Grid[#Data],$DD434,26),0)</f>
        <v/>
      </c>
      <c r="AC434">
        <f>IFERROR(INDEX(PP_Grid[#Data],$DD434,27),0)</f>
        <v/>
      </c>
      <c r="AD434">
        <f>IFERROR(INDEX(PP_Grid[#Data],$DD434,28),0)</f>
        <v/>
      </c>
      <c r="AE434">
        <f>IFERROR(INDEX(PP_Grid[#Data],$DD434,29),0)</f>
        <v/>
      </c>
      <c r="AF434">
        <f>IFERROR(INDEX(PP_Grid[#Data],$DD434,30),0)</f>
        <v/>
      </c>
      <c r="AG434">
        <f>IFERROR(INDEX(PP_Grid[#Data],$DD434,31),0)</f>
        <v/>
      </c>
      <c r="AH434">
        <f>IFERROR(INDEX(PP_Grid[#Data],$DD434,32),0)</f>
        <v/>
      </c>
      <c r="AI434">
        <f>IFERROR(INDEX(PP_Grid[#Data],$DD434,33),0)</f>
        <v/>
      </c>
      <c r="AJ434">
        <f>IFERROR(INDEX(PP_Grid[#Data],$DD434,34),0)</f>
        <v/>
      </c>
      <c r="AK434">
        <f>IFERROR(INDEX(PP_Grid[#Data],$DD434,35),0)</f>
        <v/>
      </c>
      <c r="AL434">
        <f>IFERROR(INDEX(PP_Grid[#Data],$DD434,36),0)</f>
        <v/>
      </c>
      <c r="AM434">
        <f>IFERROR(INDEX(PP_Grid[#Data],$DD434,37),0)</f>
        <v/>
      </c>
      <c r="AN434">
        <f>IFERROR(INDEX(PP_Grid[#Data],$DD434,38),0)</f>
        <v/>
      </c>
      <c r="AO434">
        <f>IFERROR(INDEX(PP_Grid[#Data],$DD434,39),0)</f>
        <v/>
      </c>
      <c r="AP434">
        <f>IFERROR(INDEX(PP_Grid[#Data],$DD434,40),0)</f>
        <v/>
      </c>
      <c r="AQ434">
        <f>IFERROR(INDEX(PP_Grid[#Data],$DD434,41),0)</f>
        <v/>
      </c>
      <c r="AR434">
        <f>IFERROR(INDEX(PP_Grid[#Data],$DD434,42),0)</f>
        <v/>
      </c>
      <c r="AS434">
        <f>IFERROR(INDEX(PP_Grid[#Data],$DD434,43),0)</f>
        <v/>
      </c>
      <c r="AT434">
        <f>IFERROR(INDEX(PP_Grid[#Data],$DD434,44),0)</f>
        <v/>
      </c>
      <c r="AU434">
        <f>IFERROR(INDEX(PP_Grid[#Data],$DD434,45),0)</f>
        <v/>
      </c>
      <c r="AV434">
        <f>IFERROR(INDEX(PP_Grid[#Data],$DD434,46),0)</f>
        <v/>
      </c>
      <c r="AW434">
        <f>IFERROR(INDEX(PP_Grid[#Data],$DD434,47),0)</f>
        <v/>
      </c>
      <c r="AX434">
        <f>IFERROR(INDEX(PP_Grid[#Data],$DD434,48),0)</f>
        <v/>
      </c>
      <c r="AY434">
        <f>IFERROR(INDEX(PP_Grid[#Data],$DD434,49),0)</f>
        <v/>
      </c>
      <c r="AZ434">
        <f>IFERROR(INDEX(PP_Grid[#Data],$DD434,50),0)</f>
        <v/>
      </c>
      <c r="BA434">
        <f>IFERROR(INDEX(PP_Grid[#Data],$DD434,51),0)</f>
        <v/>
      </c>
      <c r="BB434">
        <f>IFERROR(INDEX(PP_Grid[#Data],$DD434,52),0)</f>
        <v/>
      </c>
      <c r="BC434">
        <f>IFERROR(INDEX(PP_Grid[#Data],$DD434,53),0)</f>
        <v/>
      </c>
      <c r="BD434">
        <f>IFERROR(INDEX(PP_Grid[#Data],$DD434,54),0)</f>
        <v/>
      </c>
      <c r="BE434">
        <f>IFERROR(INDEX(PP_Grid[#Data],$DD434,55),0)</f>
        <v/>
      </c>
      <c r="BF434">
        <f>IFERROR(INDEX(PP_Grid[#Data],$DD434,56),0)</f>
        <v/>
      </c>
      <c r="BG434">
        <f>IFERROR(INDEX(PP_Grid[#Data],$DD434,57),0)</f>
        <v/>
      </c>
      <c r="BH434">
        <f>IFERROR(INDEX(PP_Grid[#Data],$DD434,58),0)</f>
        <v/>
      </c>
      <c r="BI434">
        <f>IFERROR(INDEX(PP_Grid[#Data],$DD434,59),0)</f>
        <v/>
      </c>
      <c r="BJ434">
        <f>IFERROR(INDEX(PP_Grid[#Data],$DD434,60),0)</f>
        <v/>
      </c>
      <c r="BK434">
        <f>IFERROR(INDEX(PP_Grid[#Data],$DD434,61),0)</f>
        <v/>
      </c>
      <c r="BL434">
        <f>IFERROR(INDEX(PP_Grid[#Data],$DD434,62),0)</f>
        <v/>
      </c>
      <c r="BM434">
        <f>IFERROR(INDEX(PP_Grid[#Data],$DD434,63),0)</f>
        <v/>
      </c>
      <c r="BN434">
        <f>IFERROR(INDEX(PP_Grid[#Data],$DD434,64),0)</f>
        <v/>
      </c>
      <c r="BO434">
        <f>IFERROR(INDEX(PP_Grid[#Data],$DD434,65),0)</f>
        <v/>
      </c>
      <c r="BP434">
        <f>IFERROR(INDEX(PP_Grid[#Data],$DD434,66),0)</f>
        <v/>
      </c>
      <c r="BQ434">
        <f>IFERROR(INDEX(PP_Grid[#Data],$DD434,67),0)</f>
        <v/>
      </c>
      <c r="BR434">
        <f>IFERROR(INDEX(PP_Grid[#Data],$DD434,68),0)</f>
        <v/>
      </c>
      <c r="BS434">
        <f>IFERROR(INDEX(PP_Grid[#Data],$DD434,69),0)</f>
        <v/>
      </c>
      <c r="BT434">
        <f>IFERROR(INDEX(PP_Grid[#Data],$DD434,70),0)</f>
        <v/>
      </c>
      <c r="BU434">
        <f>IFERROR(INDEX(PP_Grid[#Data],$DD434,71),0)</f>
        <v/>
      </c>
      <c r="BV434">
        <f>IFERROR(INDEX(PP_Grid[#Data],$DD434,72),0)</f>
        <v/>
      </c>
      <c r="BW434">
        <f>IFERROR(INDEX(PP_Grid[#Data],$DD434,73),0)</f>
        <v/>
      </c>
      <c r="BX434">
        <f>IFERROR(INDEX(PP_Grid[#Data],$DD434,74),0)</f>
        <v/>
      </c>
      <c r="BY434">
        <f>IFERROR(INDEX(PP_Grid[#Data],$DD434,75),0)</f>
        <v/>
      </c>
      <c r="BZ434">
        <f>IFERROR(INDEX(PP_Grid[#Data],$DD434,76),0)</f>
        <v/>
      </c>
      <c r="CA434">
        <f>IFERROR(INDEX(PP_Grid[#Data],$DD434,77),0)</f>
        <v/>
      </c>
      <c r="CB434">
        <f>IFERROR(INDEX(PP_Grid[#Data],$DD434,78),0)</f>
        <v/>
      </c>
      <c r="CC434">
        <f>IFERROR(INDEX(PP_Grid[#Data],$DD434,79),0)</f>
        <v/>
      </c>
      <c r="CD434">
        <f>IFERROR(INDEX(PP_Grid[#Data],$DD434,80),0)</f>
        <v/>
      </c>
      <c r="CE434">
        <f>IFERROR(INDEX(PP_Grid[#Data],$DD434,81),0)</f>
        <v/>
      </c>
      <c r="CF434">
        <f>IFERROR(INDEX(PP_Grid[#Data],$DD434,82),0)</f>
        <v/>
      </c>
      <c r="CG434">
        <f>IFERROR(INDEX(PP_Grid[#Data],$DD434,83),0)</f>
        <v/>
      </c>
      <c r="CH434">
        <f>IFERROR(INDEX(PP_Grid[#Data],$DD434,84),0)</f>
        <v/>
      </c>
      <c r="CI434">
        <f>IFERROR(INDEX(PP_Grid[#Data],$DD434,85),0)</f>
        <v/>
      </c>
      <c r="CJ434">
        <f>IFERROR(INDEX(PP_Grid[#Data],$DD434,86),0)</f>
        <v/>
      </c>
      <c r="CK434">
        <f>IFERROR(INDEX(PP_Grid[#Data],$DD434,87),0)</f>
        <v/>
      </c>
      <c r="CL434">
        <f>IFERROR(INDEX(PP_Grid[#Data],$DD434,88),0)</f>
        <v/>
      </c>
      <c r="CM434">
        <f>IFERROR(INDEX(PP_Grid[#Data],$DD434,89),0)</f>
        <v/>
      </c>
      <c r="CN434">
        <f>IFERROR(INDEX(PP_Grid[#Data],$DD434,90),0)</f>
        <v/>
      </c>
      <c r="CO434">
        <f>IFERROR(INDEX(PP_Grid[#Data],$DD434,91),0)</f>
        <v/>
      </c>
      <c r="CP434">
        <f>IFERROR(INDEX(PP_Grid[#Data],$DD434,92),0)</f>
        <v/>
      </c>
      <c r="CQ434">
        <f>IFERROR(INDEX(PP_Grid[#Data],$DD434,93),0)</f>
        <v/>
      </c>
      <c r="CR434">
        <f>IFERROR(INDEX(PP_Grid[#Data],$DD434,94),0)</f>
        <v/>
      </c>
      <c r="CS434">
        <f>IFERROR(INDEX(PP_Grid[#Data],$DD434,95),0)</f>
        <v/>
      </c>
      <c r="CT434">
        <f>IFERROR(INDEX(PP_Grid[#Data],$DD434,96),0)</f>
        <v/>
      </c>
      <c r="CU434">
        <f>IFERROR(INDEX(PP_Grid[#Data],$DD434,97),0)</f>
        <v/>
      </c>
      <c r="CV434">
        <f>IFERROR(INDEX(PP_Grid[#Data],$DD434,98),0)</f>
        <v/>
      </c>
      <c r="CW434">
        <f>IFERROR(INDEX(PP_Grid[#Data],$DD434,99),0)</f>
        <v/>
      </c>
      <c r="CX434">
        <f>IFERROR(INDEX(PP_Grid[#Data],$DD434,100),0)</f>
        <v/>
      </c>
      <c r="CY434">
        <f>IFERROR(INDEX(PP_Grid[#Data],$DD434,101),0)</f>
        <v/>
      </c>
      <c r="CZ434">
        <f>IFERROR(INDEX(PP_Grid[#Data],$DD434,102),0)</f>
        <v/>
      </c>
      <c r="DA434">
        <f>IFERROR(INDEX(PP_Grid[#Data],$DD434,103),0)</f>
        <v/>
      </c>
      <c r="DB434">
        <f>IFERROR(INDEX(PP_Grid[#Data],$DD434,104),0)</f>
        <v/>
      </c>
      <c r="DC434">
        <f>IFERROR(INDEX(PP_Grid[#Data],$DD434,105),0)</f>
        <v/>
      </c>
      <c r="DD434" s="7">
        <f>IFERROR(MATCH($B434,PP_Grid[Intermediate],0),99999)</f>
        <v/>
      </c>
    </row>
    <row r="435">
      <c r="B435" t="inlineStr">
        <is>
          <t>使用量(kg)</t>
        </is>
      </c>
      <c r="C435">
        <f>SUMIFS(M_BOM[RM_Qty_Per_Batch],M_BOM[Intermediate],$B434,M_BOM[Part Name],$A343)</f>
        <v/>
      </c>
      <c r="D435">
        <f>$C435*D434</f>
        <v/>
      </c>
      <c r="E435">
        <f>$C435*E434</f>
        <v/>
      </c>
      <c r="F435">
        <f>$C435*F434</f>
        <v/>
      </c>
      <c r="G435">
        <f>$C435*G434</f>
        <v/>
      </c>
      <c r="H435">
        <f>$C435*H434</f>
        <v/>
      </c>
      <c r="I435">
        <f>$C435*I434</f>
        <v/>
      </c>
      <c r="J435">
        <f>$C435*J434</f>
        <v/>
      </c>
      <c r="K435">
        <f>$C435*K434</f>
        <v/>
      </c>
      <c r="L435">
        <f>$C435*L434</f>
        <v/>
      </c>
      <c r="M435">
        <f>$C435*M434</f>
        <v/>
      </c>
      <c r="N435">
        <f>$C435*N434</f>
        <v/>
      </c>
      <c r="O435">
        <f>$C435*O434</f>
        <v/>
      </c>
      <c r="P435">
        <f>$C435*P434</f>
        <v/>
      </c>
      <c r="Q435">
        <f>$C435*Q434</f>
        <v/>
      </c>
      <c r="R435">
        <f>$C435*R434</f>
        <v/>
      </c>
      <c r="S435">
        <f>$C435*S434</f>
        <v/>
      </c>
      <c r="T435">
        <f>$C435*T434</f>
        <v/>
      </c>
      <c r="U435">
        <f>$C435*U434</f>
        <v/>
      </c>
      <c r="V435">
        <f>$C435*V434</f>
        <v/>
      </c>
      <c r="W435">
        <f>$C435*W434</f>
        <v/>
      </c>
      <c r="X435">
        <f>$C435*X434</f>
        <v/>
      </c>
      <c r="Y435">
        <f>$C435*Y434</f>
        <v/>
      </c>
      <c r="Z435">
        <f>$C435*Z434</f>
        <v/>
      </c>
      <c r="AA435">
        <f>$C435*AA434</f>
        <v/>
      </c>
      <c r="AB435">
        <f>$C435*AB434</f>
        <v/>
      </c>
      <c r="AC435">
        <f>$C435*AC434</f>
        <v/>
      </c>
      <c r="AD435">
        <f>$C435*AD434</f>
        <v/>
      </c>
      <c r="AE435">
        <f>$C435*AE434</f>
        <v/>
      </c>
      <c r="AF435">
        <f>$C435*AF434</f>
        <v/>
      </c>
      <c r="AG435">
        <f>$C435*AG434</f>
        <v/>
      </c>
      <c r="AH435">
        <f>$C435*AH434</f>
        <v/>
      </c>
      <c r="AI435">
        <f>$C435*AI434</f>
        <v/>
      </c>
      <c r="AJ435">
        <f>$C435*AJ434</f>
        <v/>
      </c>
      <c r="AK435">
        <f>$C435*AK434</f>
        <v/>
      </c>
      <c r="AL435">
        <f>$C435*AL434</f>
        <v/>
      </c>
      <c r="AM435">
        <f>$C435*AM434</f>
        <v/>
      </c>
      <c r="AN435">
        <f>$C435*AN434</f>
        <v/>
      </c>
      <c r="AO435">
        <f>$C435*AO434</f>
        <v/>
      </c>
      <c r="AP435">
        <f>$C435*AP434</f>
        <v/>
      </c>
      <c r="AQ435">
        <f>$C435*AQ434</f>
        <v/>
      </c>
      <c r="AR435">
        <f>$C435*AR434</f>
        <v/>
      </c>
      <c r="AS435">
        <f>$C435*AS434</f>
        <v/>
      </c>
      <c r="AT435">
        <f>$C435*AT434</f>
        <v/>
      </c>
      <c r="AU435">
        <f>$C435*AU434</f>
        <v/>
      </c>
      <c r="AV435">
        <f>$C435*AV434</f>
        <v/>
      </c>
      <c r="AW435">
        <f>$C435*AW434</f>
        <v/>
      </c>
      <c r="AX435">
        <f>$C435*AX434</f>
        <v/>
      </c>
      <c r="AY435">
        <f>$C435*AY434</f>
        <v/>
      </c>
      <c r="AZ435">
        <f>$C435*AZ434</f>
        <v/>
      </c>
      <c r="BA435">
        <f>$C435*BA434</f>
        <v/>
      </c>
      <c r="BB435">
        <f>$C435*BB434</f>
        <v/>
      </c>
      <c r="BC435">
        <f>$C435*BC434</f>
        <v/>
      </c>
      <c r="BD435">
        <f>$C435*BD434</f>
        <v/>
      </c>
      <c r="BE435">
        <f>$C435*BE434</f>
        <v/>
      </c>
      <c r="BF435">
        <f>$C435*BF434</f>
        <v/>
      </c>
      <c r="BG435">
        <f>$C435*BG434</f>
        <v/>
      </c>
      <c r="BH435">
        <f>$C435*BH434</f>
        <v/>
      </c>
      <c r="BI435">
        <f>$C435*BI434</f>
        <v/>
      </c>
      <c r="BJ435">
        <f>$C435*BJ434</f>
        <v/>
      </c>
      <c r="BK435">
        <f>$C435*BK434</f>
        <v/>
      </c>
      <c r="BL435">
        <f>$C435*BL434</f>
        <v/>
      </c>
      <c r="BM435">
        <f>$C435*BM434</f>
        <v/>
      </c>
      <c r="BN435">
        <f>$C435*BN434</f>
        <v/>
      </c>
      <c r="BO435">
        <f>$C435*BO434</f>
        <v/>
      </c>
      <c r="BP435">
        <f>$C435*BP434</f>
        <v/>
      </c>
      <c r="BQ435">
        <f>$C435*BQ434</f>
        <v/>
      </c>
      <c r="BR435">
        <f>$C435*BR434</f>
        <v/>
      </c>
      <c r="BS435">
        <f>$C435*BS434</f>
        <v/>
      </c>
      <c r="BT435">
        <f>$C435*BT434</f>
        <v/>
      </c>
      <c r="BU435">
        <f>$C435*BU434</f>
        <v/>
      </c>
      <c r="BV435">
        <f>$C435*BV434</f>
        <v/>
      </c>
      <c r="BW435">
        <f>$C435*BW434</f>
        <v/>
      </c>
      <c r="BX435">
        <f>$C435*BX434</f>
        <v/>
      </c>
      <c r="BY435">
        <f>$C435*BY434</f>
        <v/>
      </c>
      <c r="BZ435">
        <f>$C435*BZ434</f>
        <v/>
      </c>
      <c r="CA435">
        <f>$C435*CA434</f>
        <v/>
      </c>
      <c r="CB435">
        <f>$C435*CB434</f>
        <v/>
      </c>
      <c r="CC435">
        <f>$C435*CC434</f>
        <v/>
      </c>
      <c r="CD435">
        <f>$C435*CD434</f>
        <v/>
      </c>
      <c r="CE435">
        <f>$C435*CE434</f>
        <v/>
      </c>
      <c r="CF435">
        <f>$C435*CF434</f>
        <v/>
      </c>
      <c r="CG435">
        <f>$C435*CG434</f>
        <v/>
      </c>
      <c r="CH435">
        <f>$C435*CH434</f>
        <v/>
      </c>
      <c r="CI435">
        <f>$C435*CI434</f>
        <v/>
      </c>
      <c r="CJ435">
        <f>$C435*CJ434</f>
        <v/>
      </c>
      <c r="CK435">
        <f>$C435*CK434</f>
        <v/>
      </c>
      <c r="CL435">
        <f>$C435*CL434</f>
        <v/>
      </c>
      <c r="CM435">
        <f>$C435*CM434</f>
        <v/>
      </c>
      <c r="CN435">
        <f>$C435*CN434</f>
        <v/>
      </c>
      <c r="CO435">
        <f>$C435*CO434</f>
        <v/>
      </c>
      <c r="CP435">
        <f>$C435*CP434</f>
        <v/>
      </c>
      <c r="CQ435">
        <f>$C435*CQ434</f>
        <v/>
      </c>
      <c r="CR435">
        <f>$C435*CR434</f>
        <v/>
      </c>
      <c r="CS435">
        <f>$C435*CS434</f>
        <v/>
      </c>
      <c r="CT435">
        <f>$C435*CT434</f>
        <v/>
      </c>
      <c r="CU435">
        <f>$C435*CU434</f>
        <v/>
      </c>
      <c r="CV435">
        <f>$C435*CV434</f>
        <v/>
      </c>
      <c r="CW435">
        <f>$C435*CW434</f>
        <v/>
      </c>
      <c r="CX435">
        <f>$C435*CX434</f>
        <v/>
      </c>
      <c r="CY435">
        <f>$C435*CY434</f>
        <v/>
      </c>
      <c r="CZ435">
        <f>$C435*CZ434</f>
        <v/>
      </c>
      <c r="DA435">
        <f>$C435*DA434</f>
        <v/>
      </c>
      <c r="DB435">
        <f>$C435*DB434</f>
        <v/>
      </c>
      <c r="DC435">
        <f>$C435*DC434</f>
        <v/>
      </c>
    </row>
    <row r="436">
      <c r="B436" t="inlineStr">
        <is>
          <t>VSP-910</t>
        </is>
      </c>
      <c r="C436" t="inlineStr">
        <is>
          <t>No. of batches</t>
        </is>
      </c>
      <c r="D436">
        <f>IFERROR(INDEX(PP_Grid[#Data],$DD436,2),0)</f>
        <v/>
      </c>
      <c r="E436">
        <f>IFERROR(INDEX(PP_Grid[#Data],$DD436,3),0)</f>
        <v/>
      </c>
      <c r="F436">
        <f>IFERROR(INDEX(PP_Grid[#Data],$DD436,4),0)</f>
        <v/>
      </c>
      <c r="G436">
        <f>IFERROR(INDEX(PP_Grid[#Data],$DD436,5),0)</f>
        <v/>
      </c>
      <c r="H436">
        <f>IFERROR(INDEX(PP_Grid[#Data],$DD436,6),0)</f>
        <v/>
      </c>
      <c r="I436">
        <f>IFERROR(INDEX(PP_Grid[#Data],$DD436,7),0)</f>
        <v/>
      </c>
      <c r="J436">
        <f>IFERROR(INDEX(PP_Grid[#Data],$DD436,8),0)</f>
        <v/>
      </c>
      <c r="K436">
        <f>IFERROR(INDEX(PP_Grid[#Data],$DD436,9),0)</f>
        <v/>
      </c>
      <c r="L436">
        <f>IFERROR(INDEX(PP_Grid[#Data],$DD436,10),0)</f>
        <v/>
      </c>
      <c r="M436">
        <f>IFERROR(INDEX(PP_Grid[#Data],$DD436,11),0)</f>
        <v/>
      </c>
      <c r="N436">
        <f>IFERROR(INDEX(PP_Grid[#Data],$DD436,12),0)</f>
        <v/>
      </c>
      <c r="O436">
        <f>IFERROR(INDEX(PP_Grid[#Data],$DD436,13),0)</f>
        <v/>
      </c>
      <c r="P436">
        <f>IFERROR(INDEX(PP_Grid[#Data],$DD436,14),0)</f>
        <v/>
      </c>
      <c r="Q436">
        <f>IFERROR(INDEX(PP_Grid[#Data],$DD436,15),0)</f>
        <v/>
      </c>
      <c r="R436">
        <f>IFERROR(INDEX(PP_Grid[#Data],$DD436,16),0)</f>
        <v/>
      </c>
      <c r="S436">
        <f>IFERROR(INDEX(PP_Grid[#Data],$DD436,17),0)</f>
        <v/>
      </c>
      <c r="T436">
        <f>IFERROR(INDEX(PP_Grid[#Data],$DD436,18),0)</f>
        <v/>
      </c>
      <c r="U436">
        <f>IFERROR(INDEX(PP_Grid[#Data],$DD436,19),0)</f>
        <v/>
      </c>
      <c r="V436">
        <f>IFERROR(INDEX(PP_Grid[#Data],$DD436,20),0)</f>
        <v/>
      </c>
      <c r="W436">
        <f>IFERROR(INDEX(PP_Grid[#Data],$DD436,21),0)</f>
        <v/>
      </c>
      <c r="X436">
        <f>IFERROR(INDEX(PP_Grid[#Data],$DD436,22),0)</f>
        <v/>
      </c>
      <c r="Y436">
        <f>IFERROR(INDEX(PP_Grid[#Data],$DD436,23),0)</f>
        <v/>
      </c>
      <c r="Z436">
        <f>IFERROR(INDEX(PP_Grid[#Data],$DD436,24),0)</f>
        <v/>
      </c>
      <c r="AA436">
        <f>IFERROR(INDEX(PP_Grid[#Data],$DD436,25),0)</f>
        <v/>
      </c>
      <c r="AB436">
        <f>IFERROR(INDEX(PP_Grid[#Data],$DD436,26),0)</f>
        <v/>
      </c>
      <c r="AC436">
        <f>IFERROR(INDEX(PP_Grid[#Data],$DD436,27),0)</f>
        <v/>
      </c>
      <c r="AD436">
        <f>IFERROR(INDEX(PP_Grid[#Data],$DD436,28),0)</f>
        <v/>
      </c>
      <c r="AE436">
        <f>IFERROR(INDEX(PP_Grid[#Data],$DD436,29),0)</f>
        <v/>
      </c>
      <c r="AF436">
        <f>IFERROR(INDEX(PP_Grid[#Data],$DD436,30),0)</f>
        <v/>
      </c>
      <c r="AG436">
        <f>IFERROR(INDEX(PP_Grid[#Data],$DD436,31),0)</f>
        <v/>
      </c>
      <c r="AH436">
        <f>IFERROR(INDEX(PP_Grid[#Data],$DD436,32),0)</f>
        <v/>
      </c>
      <c r="AI436">
        <f>IFERROR(INDEX(PP_Grid[#Data],$DD436,33),0)</f>
        <v/>
      </c>
      <c r="AJ436">
        <f>IFERROR(INDEX(PP_Grid[#Data],$DD436,34),0)</f>
        <v/>
      </c>
      <c r="AK436">
        <f>IFERROR(INDEX(PP_Grid[#Data],$DD436,35),0)</f>
        <v/>
      </c>
      <c r="AL436">
        <f>IFERROR(INDEX(PP_Grid[#Data],$DD436,36),0)</f>
        <v/>
      </c>
      <c r="AM436">
        <f>IFERROR(INDEX(PP_Grid[#Data],$DD436,37),0)</f>
        <v/>
      </c>
      <c r="AN436">
        <f>IFERROR(INDEX(PP_Grid[#Data],$DD436,38),0)</f>
        <v/>
      </c>
      <c r="AO436">
        <f>IFERROR(INDEX(PP_Grid[#Data],$DD436,39),0)</f>
        <v/>
      </c>
      <c r="AP436">
        <f>IFERROR(INDEX(PP_Grid[#Data],$DD436,40),0)</f>
        <v/>
      </c>
      <c r="AQ436">
        <f>IFERROR(INDEX(PP_Grid[#Data],$DD436,41),0)</f>
        <v/>
      </c>
      <c r="AR436">
        <f>IFERROR(INDEX(PP_Grid[#Data],$DD436,42),0)</f>
        <v/>
      </c>
      <c r="AS436">
        <f>IFERROR(INDEX(PP_Grid[#Data],$DD436,43),0)</f>
        <v/>
      </c>
      <c r="AT436">
        <f>IFERROR(INDEX(PP_Grid[#Data],$DD436,44),0)</f>
        <v/>
      </c>
      <c r="AU436">
        <f>IFERROR(INDEX(PP_Grid[#Data],$DD436,45),0)</f>
        <v/>
      </c>
      <c r="AV436">
        <f>IFERROR(INDEX(PP_Grid[#Data],$DD436,46),0)</f>
        <v/>
      </c>
      <c r="AW436">
        <f>IFERROR(INDEX(PP_Grid[#Data],$DD436,47),0)</f>
        <v/>
      </c>
      <c r="AX436">
        <f>IFERROR(INDEX(PP_Grid[#Data],$DD436,48),0)</f>
        <v/>
      </c>
      <c r="AY436">
        <f>IFERROR(INDEX(PP_Grid[#Data],$DD436,49),0)</f>
        <v/>
      </c>
      <c r="AZ436">
        <f>IFERROR(INDEX(PP_Grid[#Data],$DD436,50),0)</f>
        <v/>
      </c>
      <c r="BA436">
        <f>IFERROR(INDEX(PP_Grid[#Data],$DD436,51),0)</f>
        <v/>
      </c>
      <c r="BB436">
        <f>IFERROR(INDEX(PP_Grid[#Data],$DD436,52),0)</f>
        <v/>
      </c>
      <c r="BC436">
        <f>IFERROR(INDEX(PP_Grid[#Data],$DD436,53),0)</f>
        <v/>
      </c>
      <c r="BD436">
        <f>IFERROR(INDEX(PP_Grid[#Data],$DD436,54),0)</f>
        <v/>
      </c>
      <c r="BE436">
        <f>IFERROR(INDEX(PP_Grid[#Data],$DD436,55),0)</f>
        <v/>
      </c>
      <c r="BF436">
        <f>IFERROR(INDEX(PP_Grid[#Data],$DD436,56),0)</f>
        <v/>
      </c>
      <c r="BG436">
        <f>IFERROR(INDEX(PP_Grid[#Data],$DD436,57),0)</f>
        <v/>
      </c>
      <c r="BH436">
        <f>IFERROR(INDEX(PP_Grid[#Data],$DD436,58),0)</f>
        <v/>
      </c>
      <c r="BI436">
        <f>IFERROR(INDEX(PP_Grid[#Data],$DD436,59),0)</f>
        <v/>
      </c>
      <c r="BJ436">
        <f>IFERROR(INDEX(PP_Grid[#Data],$DD436,60),0)</f>
        <v/>
      </c>
      <c r="BK436">
        <f>IFERROR(INDEX(PP_Grid[#Data],$DD436,61),0)</f>
        <v/>
      </c>
      <c r="BL436">
        <f>IFERROR(INDEX(PP_Grid[#Data],$DD436,62),0)</f>
        <v/>
      </c>
      <c r="BM436">
        <f>IFERROR(INDEX(PP_Grid[#Data],$DD436,63),0)</f>
        <v/>
      </c>
      <c r="BN436">
        <f>IFERROR(INDEX(PP_Grid[#Data],$DD436,64),0)</f>
        <v/>
      </c>
      <c r="BO436">
        <f>IFERROR(INDEX(PP_Grid[#Data],$DD436,65),0)</f>
        <v/>
      </c>
      <c r="BP436">
        <f>IFERROR(INDEX(PP_Grid[#Data],$DD436,66),0)</f>
        <v/>
      </c>
      <c r="BQ436">
        <f>IFERROR(INDEX(PP_Grid[#Data],$DD436,67),0)</f>
        <v/>
      </c>
      <c r="BR436">
        <f>IFERROR(INDEX(PP_Grid[#Data],$DD436,68),0)</f>
        <v/>
      </c>
      <c r="BS436">
        <f>IFERROR(INDEX(PP_Grid[#Data],$DD436,69),0)</f>
        <v/>
      </c>
      <c r="BT436">
        <f>IFERROR(INDEX(PP_Grid[#Data],$DD436,70),0)</f>
        <v/>
      </c>
      <c r="BU436">
        <f>IFERROR(INDEX(PP_Grid[#Data],$DD436,71),0)</f>
        <v/>
      </c>
      <c r="BV436">
        <f>IFERROR(INDEX(PP_Grid[#Data],$DD436,72),0)</f>
        <v/>
      </c>
      <c r="BW436">
        <f>IFERROR(INDEX(PP_Grid[#Data],$DD436,73),0)</f>
        <v/>
      </c>
      <c r="BX436">
        <f>IFERROR(INDEX(PP_Grid[#Data],$DD436,74),0)</f>
        <v/>
      </c>
      <c r="BY436">
        <f>IFERROR(INDEX(PP_Grid[#Data],$DD436,75),0)</f>
        <v/>
      </c>
      <c r="BZ436">
        <f>IFERROR(INDEX(PP_Grid[#Data],$DD436,76),0)</f>
        <v/>
      </c>
      <c r="CA436">
        <f>IFERROR(INDEX(PP_Grid[#Data],$DD436,77),0)</f>
        <v/>
      </c>
      <c r="CB436">
        <f>IFERROR(INDEX(PP_Grid[#Data],$DD436,78),0)</f>
        <v/>
      </c>
      <c r="CC436">
        <f>IFERROR(INDEX(PP_Grid[#Data],$DD436,79),0)</f>
        <v/>
      </c>
      <c r="CD436">
        <f>IFERROR(INDEX(PP_Grid[#Data],$DD436,80),0)</f>
        <v/>
      </c>
      <c r="CE436">
        <f>IFERROR(INDEX(PP_Grid[#Data],$DD436,81),0)</f>
        <v/>
      </c>
      <c r="CF436">
        <f>IFERROR(INDEX(PP_Grid[#Data],$DD436,82),0)</f>
        <v/>
      </c>
      <c r="CG436">
        <f>IFERROR(INDEX(PP_Grid[#Data],$DD436,83),0)</f>
        <v/>
      </c>
      <c r="CH436">
        <f>IFERROR(INDEX(PP_Grid[#Data],$DD436,84),0)</f>
        <v/>
      </c>
      <c r="CI436">
        <f>IFERROR(INDEX(PP_Grid[#Data],$DD436,85),0)</f>
        <v/>
      </c>
      <c r="CJ436">
        <f>IFERROR(INDEX(PP_Grid[#Data],$DD436,86),0)</f>
        <v/>
      </c>
      <c r="CK436">
        <f>IFERROR(INDEX(PP_Grid[#Data],$DD436,87),0)</f>
        <v/>
      </c>
      <c r="CL436">
        <f>IFERROR(INDEX(PP_Grid[#Data],$DD436,88),0)</f>
        <v/>
      </c>
      <c r="CM436">
        <f>IFERROR(INDEX(PP_Grid[#Data],$DD436,89),0)</f>
        <v/>
      </c>
      <c r="CN436">
        <f>IFERROR(INDEX(PP_Grid[#Data],$DD436,90),0)</f>
        <v/>
      </c>
      <c r="CO436">
        <f>IFERROR(INDEX(PP_Grid[#Data],$DD436,91),0)</f>
        <v/>
      </c>
      <c r="CP436">
        <f>IFERROR(INDEX(PP_Grid[#Data],$DD436,92),0)</f>
        <v/>
      </c>
      <c r="CQ436">
        <f>IFERROR(INDEX(PP_Grid[#Data],$DD436,93),0)</f>
        <v/>
      </c>
      <c r="CR436">
        <f>IFERROR(INDEX(PP_Grid[#Data],$DD436,94),0)</f>
        <v/>
      </c>
      <c r="CS436">
        <f>IFERROR(INDEX(PP_Grid[#Data],$DD436,95),0)</f>
        <v/>
      </c>
      <c r="CT436">
        <f>IFERROR(INDEX(PP_Grid[#Data],$DD436,96),0)</f>
        <v/>
      </c>
      <c r="CU436">
        <f>IFERROR(INDEX(PP_Grid[#Data],$DD436,97),0)</f>
        <v/>
      </c>
      <c r="CV436">
        <f>IFERROR(INDEX(PP_Grid[#Data],$DD436,98),0)</f>
        <v/>
      </c>
      <c r="CW436">
        <f>IFERROR(INDEX(PP_Grid[#Data],$DD436,99),0)</f>
        <v/>
      </c>
      <c r="CX436">
        <f>IFERROR(INDEX(PP_Grid[#Data],$DD436,100),0)</f>
        <v/>
      </c>
      <c r="CY436">
        <f>IFERROR(INDEX(PP_Grid[#Data],$DD436,101),0)</f>
        <v/>
      </c>
      <c r="CZ436">
        <f>IFERROR(INDEX(PP_Grid[#Data],$DD436,102),0)</f>
        <v/>
      </c>
      <c r="DA436">
        <f>IFERROR(INDEX(PP_Grid[#Data],$DD436,103),0)</f>
        <v/>
      </c>
      <c r="DB436">
        <f>IFERROR(INDEX(PP_Grid[#Data],$DD436,104),0)</f>
        <v/>
      </c>
      <c r="DC436">
        <f>IFERROR(INDEX(PP_Grid[#Data],$DD436,105),0)</f>
        <v/>
      </c>
      <c r="DD436" s="7">
        <f>IFERROR(MATCH($B436,PP_Grid[Intermediate],0),99999)</f>
        <v/>
      </c>
    </row>
    <row r="437">
      <c r="B437" t="inlineStr">
        <is>
          <t>使用量(kg)</t>
        </is>
      </c>
      <c r="C437">
        <f>SUMIFS(M_BOM[RM_Qty_Per_Batch],M_BOM[Intermediate],$B436,M_BOM[Part Name],$A343)</f>
        <v/>
      </c>
      <c r="D437">
        <f>$C437*D436</f>
        <v/>
      </c>
      <c r="E437">
        <f>$C437*E436</f>
        <v/>
      </c>
      <c r="F437">
        <f>$C437*F436</f>
        <v/>
      </c>
      <c r="G437">
        <f>$C437*G436</f>
        <v/>
      </c>
      <c r="H437">
        <f>$C437*H436</f>
        <v/>
      </c>
      <c r="I437">
        <f>$C437*I436</f>
        <v/>
      </c>
      <c r="J437">
        <f>$C437*J436</f>
        <v/>
      </c>
      <c r="K437">
        <f>$C437*K436</f>
        <v/>
      </c>
      <c r="L437">
        <f>$C437*L436</f>
        <v/>
      </c>
      <c r="M437">
        <f>$C437*M436</f>
        <v/>
      </c>
      <c r="N437">
        <f>$C437*N436</f>
        <v/>
      </c>
      <c r="O437">
        <f>$C437*O436</f>
        <v/>
      </c>
      <c r="P437">
        <f>$C437*P436</f>
        <v/>
      </c>
      <c r="Q437">
        <f>$C437*Q436</f>
        <v/>
      </c>
      <c r="R437">
        <f>$C437*R436</f>
        <v/>
      </c>
      <c r="S437">
        <f>$C437*S436</f>
        <v/>
      </c>
      <c r="T437">
        <f>$C437*T436</f>
        <v/>
      </c>
      <c r="U437">
        <f>$C437*U436</f>
        <v/>
      </c>
      <c r="V437">
        <f>$C437*V436</f>
        <v/>
      </c>
      <c r="W437">
        <f>$C437*W436</f>
        <v/>
      </c>
      <c r="X437">
        <f>$C437*X436</f>
        <v/>
      </c>
      <c r="Y437">
        <f>$C437*Y436</f>
        <v/>
      </c>
      <c r="Z437">
        <f>$C437*Z436</f>
        <v/>
      </c>
      <c r="AA437">
        <f>$C437*AA436</f>
        <v/>
      </c>
      <c r="AB437">
        <f>$C437*AB436</f>
        <v/>
      </c>
      <c r="AC437">
        <f>$C437*AC436</f>
        <v/>
      </c>
      <c r="AD437">
        <f>$C437*AD436</f>
        <v/>
      </c>
      <c r="AE437">
        <f>$C437*AE436</f>
        <v/>
      </c>
      <c r="AF437">
        <f>$C437*AF436</f>
        <v/>
      </c>
      <c r="AG437">
        <f>$C437*AG436</f>
        <v/>
      </c>
      <c r="AH437">
        <f>$C437*AH436</f>
        <v/>
      </c>
      <c r="AI437">
        <f>$C437*AI436</f>
        <v/>
      </c>
      <c r="AJ437">
        <f>$C437*AJ436</f>
        <v/>
      </c>
      <c r="AK437">
        <f>$C437*AK436</f>
        <v/>
      </c>
      <c r="AL437">
        <f>$C437*AL436</f>
        <v/>
      </c>
      <c r="AM437">
        <f>$C437*AM436</f>
        <v/>
      </c>
      <c r="AN437">
        <f>$C437*AN436</f>
        <v/>
      </c>
      <c r="AO437">
        <f>$C437*AO436</f>
        <v/>
      </c>
      <c r="AP437">
        <f>$C437*AP436</f>
        <v/>
      </c>
      <c r="AQ437">
        <f>$C437*AQ436</f>
        <v/>
      </c>
      <c r="AR437">
        <f>$C437*AR436</f>
        <v/>
      </c>
      <c r="AS437">
        <f>$C437*AS436</f>
        <v/>
      </c>
      <c r="AT437">
        <f>$C437*AT436</f>
        <v/>
      </c>
      <c r="AU437">
        <f>$C437*AU436</f>
        <v/>
      </c>
      <c r="AV437">
        <f>$C437*AV436</f>
        <v/>
      </c>
      <c r="AW437">
        <f>$C437*AW436</f>
        <v/>
      </c>
      <c r="AX437">
        <f>$C437*AX436</f>
        <v/>
      </c>
      <c r="AY437">
        <f>$C437*AY436</f>
        <v/>
      </c>
      <c r="AZ437">
        <f>$C437*AZ436</f>
        <v/>
      </c>
      <c r="BA437">
        <f>$C437*BA436</f>
        <v/>
      </c>
      <c r="BB437">
        <f>$C437*BB436</f>
        <v/>
      </c>
      <c r="BC437">
        <f>$C437*BC436</f>
        <v/>
      </c>
      <c r="BD437">
        <f>$C437*BD436</f>
        <v/>
      </c>
      <c r="BE437">
        <f>$C437*BE436</f>
        <v/>
      </c>
      <c r="BF437">
        <f>$C437*BF436</f>
        <v/>
      </c>
      <c r="BG437">
        <f>$C437*BG436</f>
        <v/>
      </c>
      <c r="BH437">
        <f>$C437*BH436</f>
        <v/>
      </c>
      <c r="BI437">
        <f>$C437*BI436</f>
        <v/>
      </c>
      <c r="BJ437">
        <f>$C437*BJ436</f>
        <v/>
      </c>
      <c r="BK437">
        <f>$C437*BK436</f>
        <v/>
      </c>
      <c r="BL437">
        <f>$C437*BL436</f>
        <v/>
      </c>
      <c r="BM437">
        <f>$C437*BM436</f>
        <v/>
      </c>
      <c r="BN437">
        <f>$C437*BN436</f>
        <v/>
      </c>
      <c r="BO437">
        <f>$C437*BO436</f>
        <v/>
      </c>
      <c r="BP437">
        <f>$C437*BP436</f>
        <v/>
      </c>
      <c r="BQ437">
        <f>$C437*BQ436</f>
        <v/>
      </c>
      <c r="BR437">
        <f>$C437*BR436</f>
        <v/>
      </c>
      <c r="BS437">
        <f>$C437*BS436</f>
        <v/>
      </c>
      <c r="BT437">
        <f>$C437*BT436</f>
        <v/>
      </c>
      <c r="BU437">
        <f>$C437*BU436</f>
        <v/>
      </c>
      <c r="BV437">
        <f>$C437*BV436</f>
        <v/>
      </c>
      <c r="BW437">
        <f>$C437*BW436</f>
        <v/>
      </c>
      <c r="BX437">
        <f>$C437*BX436</f>
        <v/>
      </c>
      <c r="BY437">
        <f>$C437*BY436</f>
        <v/>
      </c>
      <c r="BZ437">
        <f>$C437*BZ436</f>
        <v/>
      </c>
      <c r="CA437">
        <f>$C437*CA436</f>
        <v/>
      </c>
      <c r="CB437">
        <f>$C437*CB436</f>
        <v/>
      </c>
      <c r="CC437">
        <f>$C437*CC436</f>
        <v/>
      </c>
      <c r="CD437">
        <f>$C437*CD436</f>
        <v/>
      </c>
      <c r="CE437">
        <f>$C437*CE436</f>
        <v/>
      </c>
      <c r="CF437">
        <f>$C437*CF436</f>
        <v/>
      </c>
      <c r="CG437">
        <f>$C437*CG436</f>
        <v/>
      </c>
      <c r="CH437">
        <f>$C437*CH436</f>
        <v/>
      </c>
      <c r="CI437">
        <f>$C437*CI436</f>
        <v/>
      </c>
      <c r="CJ437">
        <f>$C437*CJ436</f>
        <v/>
      </c>
      <c r="CK437">
        <f>$C437*CK436</f>
        <v/>
      </c>
      <c r="CL437">
        <f>$C437*CL436</f>
        <v/>
      </c>
      <c r="CM437">
        <f>$C437*CM436</f>
        <v/>
      </c>
      <c r="CN437">
        <f>$C437*CN436</f>
        <v/>
      </c>
      <c r="CO437">
        <f>$C437*CO436</f>
        <v/>
      </c>
      <c r="CP437">
        <f>$C437*CP436</f>
        <v/>
      </c>
      <c r="CQ437">
        <f>$C437*CQ436</f>
        <v/>
      </c>
      <c r="CR437">
        <f>$C437*CR436</f>
        <v/>
      </c>
      <c r="CS437">
        <f>$C437*CS436</f>
        <v/>
      </c>
      <c r="CT437">
        <f>$C437*CT436</f>
        <v/>
      </c>
      <c r="CU437">
        <f>$C437*CU436</f>
        <v/>
      </c>
      <c r="CV437">
        <f>$C437*CV436</f>
        <v/>
      </c>
      <c r="CW437">
        <f>$C437*CW436</f>
        <v/>
      </c>
      <c r="CX437">
        <f>$C437*CX436</f>
        <v/>
      </c>
      <c r="CY437">
        <f>$C437*CY436</f>
        <v/>
      </c>
      <c r="CZ437">
        <f>$C437*CZ436</f>
        <v/>
      </c>
      <c r="DA437">
        <f>$C437*DA436</f>
        <v/>
      </c>
      <c r="DB437">
        <f>$C437*DB436</f>
        <v/>
      </c>
      <c r="DC437">
        <f>$C437*DC436</f>
        <v/>
      </c>
    </row>
    <row r="438">
      <c r="B438" t="inlineStr">
        <is>
          <t>VSP-989</t>
        </is>
      </c>
      <c r="C438" t="inlineStr">
        <is>
          <t>No. of batches</t>
        </is>
      </c>
      <c r="D438">
        <f>IFERROR(INDEX(PP_Grid[#Data],$DD438,2),0)</f>
        <v/>
      </c>
      <c r="E438">
        <f>IFERROR(INDEX(PP_Grid[#Data],$DD438,3),0)</f>
        <v/>
      </c>
      <c r="F438">
        <f>IFERROR(INDEX(PP_Grid[#Data],$DD438,4),0)</f>
        <v/>
      </c>
      <c r="G438">
        <f>IFERROR(INDEX(PP_Grid[#Data],$DD438,5),0)</f>
        <v/>
      </c>
      <c r="H438">
        <f>IFERROR(INDEX(PP_Grid[#Data],$DD438,6),0)</f>
        <v/>
      </c>
      <c r="I438">
        <f>IFERROR(INDEX(PP_Grid[#Data],$DD438,7),0)</f>
        <v/>
      </c>
      <c r="J438">
        <f>IFERROR(INDEX(PP_Grid[#Data],$DD438,8),0)</f>
        <v/>
      </c>
      <c r="K438">
        <f>IFERROR(INDEX(PP_Grid[#Data],$DD438,9),0)</f>
        <v/>
      </c>
      <c r="L438">
        <f>IFERROR(INDEX(PP_Grid[#Data],$DD438,10),0)</f>
        <v/>
      </c>
      <c r="M438">
        <f>IFERROR(INDEX(PP_Grid[#Data],$DD438,11),0)</f>
        <v/>
      </c>
      <c r="N438">
        <f>IFERROR(INDEX(PP_Grid[#Data],$DD438,12),0)</f>
        <v/>
      </c>
      <c r="O438">
        <f>IFERROR(INDEX(PP_Grid[#Data],$DD438,13),0)</f>
        <v/>
      </c>
      <c r="P438">
        <f>IFERROR(INDEX(PP_Grid[#Data],$DD438,14),0)</f>
        <v/>
      </c>
      <c r="Q438">
        <f>IFERROR(INDEX(PP_Grid[#Data],$DD438,15),0)</f>
        <v/>
      </c>
      <c r="R438">
        <f>IFERROR(INDEX(PP_Grid[#Data],$DD438,16),0)</f>
        <v/>
      </c>
      <c r="S438">
        <f>IFERROR(INDEX(PP_Grid[#Data],$DD438,17),0)</f>
        <v/>
      </c>
      <c r="T438">
        <f>IFERROR(INDEX(PP_Grid[#Data],$DD438,18),0)</f>
        <v/>
      </c>
      <c r="U438">
        <f>IFERROR(INDEX(PP_Grid[#Data],$DD438,19),0)</f>
        <v/>
      </c>
      <c r="V438">
        <f>IFERROR(INDEX(PP_Grid[#Data],$DD438,20),0)</f>
        <v/>
      </c>
      <c r="W438">
        <f>IFERROR(INDEX(PP_Grid[#Data],$DD438,21),0)</f>
        <v/>
      </c>
      <c r="X438">
        <f>IFERROR(INDEX(PP_Grid[#Data],$DD438,22),0)</f>
        <v/>
      </c>
      <c r="Y438">
        <f>IFERROR(INDEX(PP_Grid[#Data],$DD438,23),0)</f>
        <v/>
      </c>
      <c r="Z438">
        <f>IFERROR(INDEX(PP_Grid[#Data],$DD438,24),0)</f>
        <v/>
      </c>
      <c r="AA438">
        <f>IFERROR(INDEX(PP_Grid[#Data],$DD438,25),0)</f>
        <v/>
      </c>
      <c r="AB438">
        <f>IFERROR(INDEX(PP_Grid[#Data],$DD438,26),0)</f>
        <v/>
      </c>
      <c r="AC438">
        <f>IFERROR(INDEX(PP_Grid[#Data],$DD438,27),0)</f>
        <v/>
      </c>
      <c r="AD438">
        <f>IFERROR(INDEX(PP_Grid[#Data],$DD438,28),0)</f>
        <v/>
      </c>
      <c r="AE438">
        <f>IFERROR(INDEX(PP_Grid[#Data],$DD438,29),0)</f>
        <v/>
      </c>
      <c r="AF438">
        <f>IFERROR(INDEX(PP_Grid[#Data],$DD438,30),0)</f>
        <v/>
      </c>
      <c r="AG438">
        <f>IFERROR(INDEX(PP_Grid[#Data],$DD438,31),0)</f>
        <v/>
      </c>
      <c r="AH438">
        <f>IFERROR(INDEX(PP_Grid[#Data],$DD438,32),0)</f>
        <v/>
      </c>
      <c r="AI438">
        <f>IFERROR(INDEX(PP_Grid[#Data],$DD438,33),0)</f>
        <v/>
      </c>
      <c r="AJ438">
        <f>IFERROR(INDEX(PP_Grid[#Data],$DD438,34),0)</f>
        <v/>
      </c>
      <c r="AK438">
        <f>IFERROR(INDEX(PP_Grid[#Data],$DD438,35),0)</f>
        <v/>
      </c>
      <c r="AL438">
        <f>IFERROR(INDEX(PP_Grid[#Data],$DD438,36),0)</f>
        <v/>
      </c>
      <c r="AM438">
        <f>IFERROR(INDEX(PP_Grid[#Data],$DD438,37),0)</f>
        <v/>
      </c>
      <c r="AN438">
        <f>IFERROR(INDEX(PP_Grid[#Data],$DD438,38),0)</f>
        <v/>
      </c>
      <c r="AO438">
        <f>IFERROR(INDEX(PP_Grid[#Data],$DD438,39),0)</f>
        <v/>
      </c>
      <c r="AP438">
        <f>IFERROR(INDEX(PP_Grid[#Data],$DD438,40),0)</f>
        <v/>
      </c>
      <c r="AQ438">
        <f>IFERROR(INDEX(PP_Grid[#Data],$DD438,41),0)</f>
        <v/>
      </c>
      <c r="AR438">
        <f>IFERROR(INDEX(PP_Grid[#Data],$DD438,42),0)</f>
        <v/>
      </c>
      <c r="AS438">
        <f>IFERROR(INDEX(PP_Grid[#Data],$DD438,43),0)</f>
        <v/>
      </c>
      <c r="AT438">
        <f>IFERROR(INDEX(PP_Grid[#Data],$DD438,44),0)</f>
        <v/>
      </c>
      <c r="AU438">
        <f>IFERROR(INDEX(PP_Grid[#Data],$DD438,45),0)</f>
        <v/>
      </c>
      <c r="AV438">
        <f>IFERROR(INDEX(PP_Grid[#Data],$DD438,46),0)</f>
        <v/>
      </c>
      <c r="AW438">
        <f>IFERROR(INDEX(PP_Grid[#Data],$DD438,47),0)</f>
        <v/>
      </c>
      <c r="AX438">
        <f>IFERROR(INDEX(PP_Grid[#Data],$DD438,48),0)</f>
        <v/>
      </c>
      <c r="AY438">
        <f>IFERROR(INDEX(PP_Grid[#Data],$DD438,49),0)</f>
        <v/>
      </c>
      <c r="AZ438">
        <f>IFERROR(INDEX(PP_Grid[#Data],$DD438,50),0)</f>
        <v/>
      </c>
      <c r="BA438">
        <f>IFERROR(INDEX(PP_Grid[#Data],$DD438,51),0)</f>
        <v/>
      </c>
      <c r="BB438">
        <f>IFERROR(INDEX(PP_Grid[#Data],$DD438,52),0)</f>
        <v/>
      </c>
      <c r="BC438">
        <f>IFERROR(INDEX(PP_Grid[#Data],$DD438,53),0)</f>
        <v/>
      </c>
      <c r="BD438">
        <f>IFERROR(INDEX(PP_Grid[#Data],$DD438,54),0)</f>
        <v/>
      </c>
      <c r="BE438">
        <f>IFERROR(INDEX(PP_Grid[#Data],$DD438,55),0)</f>
        <v/>
      </c>
      <c r="BF438">
        <f>IFERROR(INDEX(PP_Grid[#Data],$DD438,56),0)</f>
        <v/>
      </c>
      <c r="BG438">
        <f>IFERROR(INDEX(PP_Grid[#Data],$DD438,57),0)</f>
        <v/>
      </c>
      <c r="BH438">
        <f>IFERROR(INDEX(PP_Grid[#Data],$DD438,58),0)</f>
        <v/>
      </c>
      <c r="BI438">
        <f>IFERROR(INDEX(PP_Grid[#Data],$DD438,59),0)</f>
        <v/>
      </c>
      <c r="BJ438">
        <f>IFERROR(INDEX(PP_Grid[#Data],$DD438,60),0)</f>
        <v/>
      </c>
      <c r="BK438">
        <f>IFERROR(INDEX(PP_Grid[#Data],$DD438,61),0)</f>
        <v/>
      </c>
      <c r="BL438">
        <f>IFERROR(INDEX(PP_Grid[#Data],$DD438,62),0)</f>
        <v/>
      </c>
      <c r="BM438">
        <f>IFERROR(INDEX(PP_Grid[#Data],$DD438,63),0)</f>
        <v/>
      </c>
      <c r="BN438">
        <f>IFERROR(INDEX(PP_Grid[#Data],$DD438,64),0)</f>
        <v/>
      </c>
      <c r="BO438">
        <f>IFERROR(INDEX(PP_Grid[#Data],$DD438,65),0)</f>
        <v/>
      </c>
      <c r="BP438">
        <f>IFERROR(INDEX(PP_Grid[#Data],$DD438,66),0)</f>
        <v/>
      </c>
      <c r="BQ438">
        <f>IFERROR(INDEX(PP_Grid[#Data],$DD438,67),0)</f>
        <v/>
      </c>
      <c r="BR438">
        <f>IFERROR(INDEX(PP_Grid[#Data],$DD438,68),0)</f>
        <v/>
      </c>
      <c r="BS438">
        <f>IFERROR(INDEX(PP_Grid[#Data],$DD438,69),0)</f>
        <v/>
      </c>
      <c r="BT438">
        <f>IFERROR(INDEX(PP_Grid[#Data],$DD438,70),0)</f>
        <v/>
      </c>
      <c r="BU438">
        <f>IFERROR(INDEX(PP_Grid[#Data],$DD438,71),0)</f>
        <v/>
      </c>
      <c r="BV438">
        <f>IFERROR(INDEX(PP_Grid[#Data],$DD438,72),0)</f>
        <v/>
      </c>
      <c r="BW438">
        <f>IFERROR(INDEX(PP_Grid[#Data],$DD438,73),0)</f>
        <v/>
      </c>
      <c r="BX438">
        <f>IFERROR(INDEX(PP_Grid[#Data],$DD438,74),0)</f>
        <v/>
      </c>
      <c r="BY438">
        <f>IFERROR(INDEX(PP_Grid[#Data],$DD438,75),0)</f>
        <v/>
      </c>
      <c r="BZ438">
        <f>IFERROR(INDEX(PP_Grid[#Data],$DD438,76),0)</f>
        <v/>
      </c>
      <c r="CA438">
        <f>IFERROR(INDEX(PP_Grid[#Data],$DD438,77),0)</f>
        <v/>
      </c>
      <c r="CB438">
        <f>IFERROR(INDEX(PP_Grid[#Data],$DD438,78),0)</f>
        <v/>
      </c>
      <c r="CC438">
        <f>IFERROR(INDEX(PP_Grid[#Data],$DD438,79),0)</f>
        <v/>
      </c>
      <c r="CD438">
        <f>IFERROR(INDEX(PP_Grid[#Data],$DD438,80),0)</f>
        <v/>
      </c>
      <c r="CE438">
        <f>IFERROR(INDEX(PP_Grid[#Data],$DD438,81),0)</f>
        <v/>
      </c>
      <c r="CF438">
        <f>IFERROR(INDEX(PP_Grid[#Data],$DD438,82),0)</f>
        <v/>
      </c>
      <c r="CG438">
        <f>IFERROR(INDEX(PP_Grid[#Data],$DD438,83),0)</f>
        <v/>
      </c>
      <c r="CH438">
        <f>IFERROR(INDEX(PP_Grid[#Data],$DD438,84),0)</f>
        <v/>
      </c>
      <c r="CI438">
        <f>IFERROR(INDEX(PP_Grid[#Data],$DD438,85),0)</f>
        <v/>
      </c>
      <c r="CJ438">
        <f>IFERROR(INDEX(PP_Grid[#Data],$DD438,86),0)</f>
        <v/>
      </c>
      <c r="CK438">
        <f>IFERROR(INDEX(PP_Grid[#Data],$DD438,87),0)</f>
        <v/>
      </c>
      <c r="CL438">
        <f>IFERROR(INDEX(PP_Grid[#Data],$DD438,88),0)</f>
        <v/>
      </c>
      <c r="CM438">
        <f>IFERROR(INDEX(PP_Grid[#Data],$DD438,89),0)</f>
        <v/>
      </c>
      <c r="CN438">
        <f>IFERROR(INDEX(PP_Grid[#Data],$DD438,90),0)</f>
        <v/>
      </c>
      <c r="CO438">
        <f>IFERROR(INDEX(PP_Grid[#Data],$DD438,91),0)</f>
        <v/>
      </c>
      <c r="CP438">
        <f>IFERROR(INDEX(PP_Grid[#Data],$DD438,92),0)</f>
        <v/>
      </c>
      <c r="CQ438">
        <f>IFERROR(INDEX(PP_Grid[#Data],$DD438,93),0)</f>
        <v/>
      </c>
      <c r="CR438">
        <f>IFERROR(INDEX(PP_Grid[#Data],$DD438,94),0)</f>
        <v/>
      </c>
      <c r="CS438">
        <f>IFERROR(INDEX(PP_Grid[#Data],$DD438,95),0)</f>
        <v/>
      </c>
      <c r="CT438">
        <f>IFERROR(INDEX(PP_Grid[#Data],$DD438,96),0)</f>
        <v/>
      </c>
      <c r="CU438">
        <f>IFERROR(INDEX(PP_Grid[#Data],$DD438,97),0)</f>
        <v/>
      </c>
      <c r="CV438">
        <f>IFERROR(INDEX(PP_Grid[#Data],$DD438,98),0)</f>
        <v/>
      </c>
      <c r="CW438">
        <f>IFERROR(INDEX(PP_Grid[#Data],$DD438,99),0)</f>
        <v/>
      </c>
      <c r="CX438">
        <f>IFERROR(INDEX(PP_Grid[#Data],$DD438,100),0)</f>
        <v/>
      </c>
      <c r="CY438">
        <f>IFERROR(INDEX(PP_Grid[#Data],$DD438,101),0)</f>
        <v/>
      </c>
      <c r="CZ438">
        <f>IFERROR(INDEX(PP_Grid[#Data],$DD438,102),0)</f>
        <v/>
      </c>
      <c r="DA438">
        <f>IFERROR(INDEX(PP_Grid[#Data],$DD438,103),0)</f>
        <v/>
      </c>
      <c r="DB438">
        <f>IFERROR(INDEX(PP_Grid[#Data],$DD438,104),0)</f>
        <v/>
      </c>
      <c r="DC438">
        <f>IFERROR(INDEX(PP_Grid[#Data],$DD438,105),0)</f>
        <v/>
      </c>
      <c r="DD438" s="7">
        <f>IFERROR(MATCH($B438,PP_Grid[Intermediate],0),99999)</f>
        <v/>
      </c>
    </row>
    <row r="439">
      <c r="B439" t="inlineStr">
        <is>
          <t>使用量(kg)</t>
        </is>
      </c>
      <c r="C439">
        <f>SUMIFS(M_BOM[RM_Qty_Per_Batch],M_BOM[Intermediate],$B438,M_BOM[Part Name],$A343)</f>
        <v/>
      </c>
      <c r="D439">
        <f>$C439*D438</f>
        <v/>
      </c>
      <c r="E439">
        <f>$C439*E438</f>
        <v/>
      </c>
      <c r="F439">
        <f>$C439*F438</f>
        <v/>
      </c>
      <c r="G439">
        <f>$C439*G438</f>
        <v/>
      </c>
      <c r="H439">
        <f>$C439*H438</f>
        <v/>
      </c>
      <c r="I439">
        <f>$C439*I438</f>
        <v/>
      </c>
      <c r="J439">
        <f>$C439*J438</f>
        <v/>
      </c>
      <c r="K439">
        <f>$C439*K438</f>
        <v/>
      </c>
      <c r="L439">
        <f>$C439*L438</f>
        <v/>
      </c>
      <c r="M439">
        <f>$C439*M438</f>
        <v/>
      </c>
      <c r="N439">
        <f>$C439*N438</f>
        <v/>
      </c>
      <c r="O439">
        <f>$C439*O438</f>
        <v/>
      </c>
      <c r="P439">
        <f>$C439*P438</f>
        <v/>
      </c>
      <c r="Q439">
        <f>$C439*Q438</f>
        <v/>
      </c>
      <c r="R439">
        <f>$C439*R438</f>
        <v/>
      </c>
      <c r="S439">
        <f>$C439*S438</f>
        <v/>
      </c>
      <c r="T439">
        <f>$C439*T438</f>
        <v/>
      </c>
      <c r="U439">
        <f>$C439*U438</f>
        <v/>
      </c>
      <c r="V439">
        <f>$C439*V438</f>
        <v/>
      </c>
      <c r="W439">
        <f>$C439*W438</f>
        <v/>
      </c>
      <c r="X439">
        <f>$C439*X438</f>
        <v/>
      </c>
      <c r="Y439">
        <f>$C439*Y438</f>
        <v/>
      </c>
      <c r="Z439">
        <f>$C439*Z438</f>
        <v/>
      </c>
      <c r="AA439">
        <f>$C439*AA438</f>
        <v/>
      </c>
      <c r="AB439">
        <f>$C439*AB438</f>
        <v/>
      </c>
      <c r="AC439">
        <f>$C439*AC438</f>
        <v/>
      </c>
      <c r="AD439">
        <f>$C439*AD438</f>
        <v/>
      </c>
      <c r="AE439">
        <f>$C439*AE438</f>
        <v/>
      </c>
      <c r="AF439">
        <f>$C439*AF438</f>
        <v/>
      </c>
      <c r="AG439">
        <f>$C439*AG438</f>
        <v/>
      </c>
      <c r="AH439">
        <f>$C439*AH438</f>
        <v/>
      </c>
      <c r="AI439">
        <f>$C439*AI438</f>
        <v/>
      </c>
      <c r="AJ439">
        <f>$C439*AJ438</f>
        <v/>
      </c>
      <c r="AK439">
        <f>$C439*AK438</f>
        <v/>
      </c>
      <c r="AL439">
        <f>$C439*AL438</f>
        <v/>
      </c>
      <c r="AM439">
        <f>$C439*AM438</f>
        <v/>
      </c>
      <c r="AN439">
        <f>$C439*AN438</f>
        <v/>
      </c>
      <c r="AO439">
        <f>$C439*AO438</f>
        <v/>
      </c>
      <c r="AP439">
        <f>$C439*AP438</f>
        <v/>
      </c>
      <c r="AQ439">
        <f>$C439*AQ438</f>
        <v/>
      </c>
      <c r="AR439">
        <f>$C439*AR438</f>
        <v/>
      </c>
      <c r="AS439">
        <f>$C439*AS438</f>
        <v/>
      </c>
      <c r="AT439">
        <f>$C439*AT438</f>
        <v/>
      </c>
      <c r="AU439">
        <f>$C439*AU438</f>
        <v/>
      </c>
      <c r="AV439">
        <f>$C439*AV438</f>
        <v/>
      </c>
      <c r="AW439">
        <f>$C439*AW438</f>
        <v/>
      </c>
      <c r="AX439">
        <f>$C439*AX438</f>
        <v/>
      </c>
      <c r="AY439">
        <f>$C439*AY438</f>
        <v/>
      </c>
      <c r="AZ439">
        <f>$C439*AZ438</f>
        <v/>
      </c>
      <c r="BA439">
        <f>$C439*BA438</f>
        <v/>
      </c>
      <c r="BB439">
        <f>$C439*BB438</f>
        <v/>
      </c>
      <c r="BC439">
        <f>$C439*BC438</f>
        <v/>
      </c>
      <c r="BD439">
        <f>$C439*BD438</f>
        <v/>
      </c>
      <c r="BE439">
        <f>$C439*BE438</f>
        <v/>
      </c>
      <c r="BF439">
        <f>$C439*BF438</f>
        <v/>
      </c>
      <c r="BG439">
        <f>$C439*BG438</f>
        <v/>
      </c>
      <c r="BH439">
        <f>$C439*BH438</f>
        <v/>
      </c>
      <c r="BI439">
        <f>$C439*BI438</f>
        <v/>
      </c>
      <c r="BJ439">
        <f>$C439*BJ438</f>
        <v/>
      </c>
      <c r="BK439">
        <f>$C439*BK438</f>
        <v/>
      </c>
      <c r="BL439">
        <f>$C439*BL438</f>
        <v/>
      </c>
      <c r="BM439">
        <f>$C439*BM438</f>
        <v/>
      </c>
      <c r="BN439">
        <f>$C439*BN438</f>
        <v/>
      </c>
      <c r="BO439">
        <f>$C439*BO438</f>
        <v/>
      </c>
      <c r="BP439">
        <f>$C439*BP438</f>
        <v/>
      </c>
      <c r="BQ439">
        <f>$C439*BQ438</f>
        <v/>
      </c>
      <c r="BR439">
        <f>$C439*BR438</f>
        <v/>
      </c>
      <c r="BS439">
        <f>$C439*BS438</f>
        <v/>
      </c>
      <c r="BT439">
        <f>$C439*BT438</f>
        <v/>
      </c>
      <c r="BU439">
        <f>$C439*BU438</f>
        <v/>
      </c>
      <c r="BV439">
        <f>$C439*BV438</f>
        <v/>
      </c>
      <c r="BW439">
        <f>$C439*BW438</f>
        <v/>
      </c>
      <c r="BX439">
        <f>$C439*BX438</f>
        <v/>
      </c>
      <c r="BY439">
        <f>$C439*BY438</f>
        <v/>
      </c>
      <c r="BZ439">
        <f>$C439*BZ438</f>
        <v/>
      </c>
      <c r="CA439">
        <f>$C439*CA438</f>
        <v/>
      </c>
      <c r="CB439">
        <f>$C439*CB438</f>
        <v/>
      </c>
      <c r="CC439">
        <f>$C439*CC438</f>
        <v/>
      </c>
      <c r="CD439">
        <f>$C439*CD438</f>
        <v/>
      </c>
      <c r="CE439">
        <f>$C439*CE438</f>
        <v/>
      </c>
      <c r="CF439">
        <f>$C439*CF438</f>
        <v/>
      </c>
      <c r="CG439">
        <f>$C439*CG438</f>
        <v/>
      </c>
      <c r="CH439">
        <f>$C439*CH438</f>
        <v/>
      </c>
      <c r="CI439">
        <f>$C439*CI438</f>
        <v/>
      </c>
      <c r="CJ439">
        <f>$C439*CJ438</f>
        <v/>
      </c>
      <c r="CK439">
        <f>$C439*CK438</f>
        <v/>
      </c>
      <c r="CL439">
        <f>$C439*CL438</f>
        <v/>
      </c>
      <c r="CM439">
        <f>$C439*CM438</f>
        <v/>
      </c>
      <c r="CN439">
        <f>$C439*CN438</f>
        <v/>
      </c>
      <c r="CO439">
        <f>$C439*CO438</f>
        <v/>
      </c>
      <c r="CP439">
        <f>$C439*CP438</f>
        <v/>
      </c>
      <c r="CQ439">
        <f>$C439*CQ438</f>
        <v/>
      </c>
      <c r="CR439">
        <f>$C439*CR438</f>
        <v/>
      </c>
      <c r="CS439">
        <f>$C439*CS438</f>
        <v/>
      </c>
      <c r="CT439">
        <f>$C439*CT438</f>
        <v/>
      </c>
      <c r="CU439">
        <f>$C439*CU438</f>
        <v/>
      </c>
      <c r="CV439">
        <f>$C439*CV438</f>
        <v/>
      </c>
      <c r="CW439">
        <f>$C439*CW438</f>
        <v/>
      </c>
      <c r="CX439">
        <f>$C439*CX438</f>
        <v/>
      </c>
      <c r="CY439">
        <f>$C439*CY438</f>
        <v/>
      </c>
      <c r="CZ439">
        <f>$C439*CZ438</f>
        <v/>
      </c>
      <c r="DA439">
        <f>$C439*DA438</f>
        <v/>
      </c>
      <c r="DB439">
        <f>$C439*DB438</f>
        <v/>
      </c>
      <c r="DC439">
        <f>$C439*DC438</f>
        <v/>
      </c>
    </row>
    <row r="440">
      <c r="B440" t="inlineStr">
        <is>
          <t>VSP-990</t>
        </is>
      </c>
      <c r="C440" t="inlineStr">
        <is>
          <t>No. of batches</t>
        </is>
      </c>
      <c r="D440">
        <f>IFERROR(INDEX(PP_Grid[#Data],$DD440,2),0)</f>
        <v/>
      </c>
      <c r="E440">
        <f>IFERROR(INDEX(PP_Grid[#Data],$DD440,3),0)</f>
        <v/>
      </c>
      <c r="F440">
        <f>IFERROR(INDEX(PP_Grid[#Data],$DD440,4),0)</f>
        <v/>
      </c>
      <c r="G440">
        <f>IFERROR(INDEX(PP_Grid[#Data],$DD440,5),0)</f>
        <v/>
      </c>
      <c r="H440">
        <f>IFERROR(INDEX(PP_Grid[#Data],$DD440,6),0)</f>
        <v/>
      </c>
      <c r="I440">
        <f>IFERROR(INDEX(PP_Grid[#Data],$DD440,7),0)</f>
        <v/>
      </c>
      <c r="J440">
        <f>IFERROR(INDEX(PP_Grid[#Data],$DD440,8),0)</f>
        <v/>
      </c>
      <c r="K440">
        <f>IFERROR(INDEX(PP_Grid[#Data],$DD440,9),0)</f>
        <v/>
      </c>
      <c r="L440">
        <f>IFERROR(INDEX(PP_Grid[#Data],$DD440,10),0)</f>
        <v/>
      </c>
      <c r="M440">
        <f>IFERROR(INDEX(PP_Grid[#Data],$DD440,11),0)</f>
        <v/>
      </c>
      <c r="N440">
        <f>IFERROR(INDEX(PP_Grid[#Data],$DD440,12),0)</f>
        <v/>
      </c>
      <c r="O440">
        <f>IFERROR(INDEX(PP_Grid[#Data],$DD440,13),0)</f>
        <v/>
      </c>
      <c r="P440">
        <f>IFERROR(INDEX(PP_Grid[#Data],$DD440,14),0)</f>
        <v/>
      </c>
      <c r="Q440">
        <f>IFERROR(INDEX(PP_Grid[#Data],$DD440,15),0)</f>
        <v/>
      </c>
      <c r="R440">
        <f>IFERROR(INDEX(PP_Grid[#Data],$DD440,16),0)</f>
        <v/>
      </c>
      <c r="S440">
        <f>IFERROR(INDEX(PP_Grid[#Data],$DD440,17),0)</f>
        <v/>
      </c>
      <c r="T440">
        <f>IFERROR(INDEX(PP_Grid[#Data],$DD440,18),0)</f>
        <v/>
      </c>
      <c r="U440">
        <f>IFERROR(INDEX(PP_Grid[#Data],$DD440,19),0)</f>
        <v/>
      </c>
      <c r="V440">
        <f>IFERROR(INDEX(PP_Grid[#Data],$DD440,20),0)</f>
        <v/>
      </c>
      <c r="W440">
        <f>IFERROR(INDEX(PP_Grid[#Data],$DD440,21),0)</f>
        <v/>
      </c>
      <c r="X440">
        <f>IFERROR(INDEX(PP_Grid[#Data],$DD440,22),0)</f>
        <v/>
      </c>
      <c r="Y440">
        <f>IFERROR(INDEX(PP_Grid[#Data],$DD440,23),0)</f>
        <v/>
      </c>
      <c r="Z440">
        <f>IFERROR(INDEX(PP_Grid[#Data],$DD440,24),0)</f>
        <v/>
      </c>
      <c r="AA440">
        <f>IFERROR(INDEX(PP_Grid[#Data],$DD440,25),0)</f>
        <v/>
      </c>
      <c r="AB440">
        <f>IFERROR(INDEX(PP_Grid[#Data],$DD440,26),0)</f>
        <v/>
      </c>
      <c r="AC440">
        <f>IFERROR(INDEX(PP_Grid[#Data],$DD440,27),0)</f>
        <v/>
      </c>
      <c r="AD440">
        <f>IFERROR(INDEX(PP_Grid[#Data],$DD440,28),0)</f>
        <v/>
      </c>
      <c r="AE440">
        <f>IFERROR(INDEX(PP_Grid[#Data],$DD440,29),0)</f>
        <v/>
      </c>
      <c r="AF440">
        <f>IFERROR(INDEX(PP_Grid[#Data],$DD440,30),0)</f>
        <v/>
      </c>
      <c r="AG440">
        <f>IFERROR(INDEX(PP_Grid[#Data],$DD440,31),0)</f>
        <v/>
      </c>
      <c r="AH440">
        <f>IFERROR(INDEX(PP_Grid[#Data],$DD440,32),0)</f>
        <v/>
      </c>
      <c r="AI440">
        <f>IFERROR(INDEX(PP_Grid[#Data],$DD440,33),0)</f>
        <v/>
      </c>
      <c r="AJ440">
        <f>IFERROR(INDEX(PP_Grid[#Data],$DD440,34),0)</f>
        <v/>
      </c>
      <c r="AK440">
        <f>IFERROR(INDEX(PP_Grid[#Data],$DD440,35),0)</f>
        <v/>
      </c>
      <c r="AL440">
        <f>IFERROR(INDEX(PP_Grid[#Data],$DD440,36),0)</f>
        <v/>
      </c>
      <c r="AM440">
        <f>IFERROR(INDEX(PP_Grid[#Data],$DD440,37),0)</f>
        <v/>
      </c>
      <c r="AN440">
        <f>IFERROR(INDEX(PP_Grid[#Data],$DD440,38),0)</f>
        <v/>
      </c>
      <c r="AO440">
        <f>IFERROR(INDEX(PP_Grid[#Data],$DD440,39),0)</f>
        <v/>
      </c>
      <c r="AP440">
        <f>IFERROR(INDEX(PP_Grid[#Data],$DD440,40),0)</f>
        <v/>
      </c>
      <c r="AQ440">
        <f>IFERROR(INDEX(PP_Grid[#Data],$DD440,41),0)</f>
        <v/>
      </c>
      <c r="AR440">
        <f>IFERROR(INDEX(PP_Grid[#Data],$DD440,42),0)</f>
        <v/>
      </c>
      <c r="AS440">
        <f>IFERROR(INDEX(PP_Grid[#Data],$DD440,43),0)</f>
        <v/>
      </c>
      <c r="AT440">
        <f>IFERROR(INDEX(PP_Grid[#Data],$DD440,44),0)</f>
        <v/>
      </c>
      <c r="AU440">
        <f>IFERROR(INDEX(PP_Grid[#Data],$DD440,45),0)</f>
        <v/>
      </c>
      <c r="AV440">
        <f>IFERROR(INDEX(PP_Grid[#Data],$DD440,46),0)</f>
        <v/>
      </c>
      <c r="AW440">
        <f>IFERROR(INDEX(PP_Grid[#Data],$DD440,47),0)</f>
        <v/>
      </c>
      <c r="AX440">
        <f>IFERROR(INDEX(PP_Grid[#Data],$DD440,48),0)</f>
        <v/>
      </c>
      <c r="AY440">
        <f>IFERROR(INDEX(PP_Grid[#Data],$DD440,49),0)</f>
        <v/>
      </c>
      <c r="AZ440">
        <f>IFERROR(INDEX(PP_Grid[#Data],$DD440,50),0)</f>
        <v/>
      </c>
      <c r="BA440">
        <f>IFERROR(INDEX(PP_Grid[#Data],$DD440,51),0)</f>
        <v/>
      </c>
      <c r="BB440">
        <f>IFERROR(INDEX(PP_Grid[#Data],$DD440,52),0)</f>
        <v/>
      </c>
      <c r="BC440">
        <f>IFERROR(INDEX(PP_Grid[#Data],$DD440,53),0)</f>
        <v/>
      </c>
      <c r="BD440">
        <f>IFERROR(INDEX(PP_Grid[#Data],$DD440,54),0)</f>
        <v/>
      </c>
      <c r="BE440">
        <f>IFERROR(INDEX(PP_Grid[#Data],$DD440,55),0)</f>
        <v/>
      </c>
      <c r="BF440">
        <f>IFERROR(INDEX(PP_Grid[#Data],$DD440,56),0)</f>
        <v/>
      </c>
      <c r="BG440">
        <f>IFERROR(INDEX(PP_Grid[#Data],$DD440,57),0)</f>
        <v/>
      </c>
      <c r="BH440">
        <f>IFERROR(INDEX(PP_Grid[#Data],$DD440,58),0)</f>
        <v/>
      </c>
      <c r="BI440">
        <f>IFERROR(INDEX(PP_Grid[#Data],$DD440,59),0)</f>
        <v/>
      </c>
      <c r="BJ440">
        <f>IFERROR(INDEX(PP_Grid[#Data],$DD440,60),0)</f>
        <v/>
      </c>
      <c r="BK440">
        <f>IFERROR(INDEX(PP_Grid[#Data],$DD440,61),0)</f>
        <v/>
      </c>
      <c r="BL440">
        <f>IFERROR(INDEX(PP_Grid[#Data],$DD440,62),0)</f>
        <v/>
      </c>
      <c r="BM440">
        <f>IFERROR(INDEX(PP_Grid[#Data],$DD440,63),0)</f>
        <v/>
      </c>
      <c r="BN440">
        <f>IFERROR(INDEX(PP_Grid[#Data],$DD440,64),0)</f>
        <v/>
      </c>
      <c r="BO440">
        <f>IFERROR(INDEX(PP_Grid[#Data],$DD440,65),0)</f>
        <v/>
      </c>
      <c r="BP440">
        <f>IFERROR(INDEX(PP_Grid[#Data],$DD440,66),0)</f>
        <v/>
      </c>
      <c r="BQ440">
        <f>IFERROR(INDEX(PP_Grid[#Data],$DD440,67),0)</f>
        <v/>
      </c>
      <c r="BR440">
        <f>IFERROR(INDEX(PP_Grid[#Data],$DD440,68),0)</f>
        <v/>
      </c>
      <c r="BS440">
        <f>IFERROR(INDEX(PP_Grid[#Data],$DD440,69),0)</f>
        <v/>
      </c>
      <c r="BT440">
        <f>IFERROR(INDEX(PP_Grid[#Data],$DD440,70),0)</f>
        <v/>
      </c>
      <c r="BU440">
        <f>IFERROR(INDEX(PP_Grid[#Data],$DD440,71),0)</f>
        <v/>
      </c>
      <c r="BV440">
        <f>IFERROR(INDEX(PP_Grid[#Data],$DD440,72),0)</f>
        <v/>
      </c>
      <c r="BW440">
        <f>IFERROR(INDEX(PP_Grid[#Data],$DD440,73),0)</f>
        <v/>
      </c>
      <c r="BX440">
        <f>IFERROR(INDEX(PP_Grid[#Data],$DD440,74),0)</f>
        <v/>
      </c>
      <c r="BY440">
        <f>IFERROR(INDEX(PP_Grid[#Data],$DD440,75),0)</f>
        <v/>
      </c>
      <c r="BZ440">
        <f>IFERROR(INDEX(PP_Grid[#Data],$DD440,76),0)</f>
        <v/>
      </c>
      <c r="CA440">
        <f>IFERROR(INDEX(PP_Grid[#Data],$DD440,77),0)</f>
        <v/>
      </c>
      <c r="CB440">
        <f>IFERROR(INDEX(PP_Grid[#Data],$DD440,78),0)</f>
        <v/>
      </c>
      <c r="CC440">
        <f>IFERROR(INDEX(PP_Grid[#Data],$DD440,79),0)</f>
        <v/>
      </c>
      <c r="CD440">
        <f>IFERROR(INDEX(PP_Grid[#Data],$DD440,80),0)</f>
        <v/>
      </c>
      <c r="CE440">
        <f>IFERROR(INDEX(PP_Grid[#Data],$DD440,81),0)</f>
        <v/>
      </c>
      <c r="CF440">
        <f>IFERROR(INDEX(PP_Grid[#Data],$DD440,82),0)</f>
        <v/>
      </c>
      <c r="CG440">
        <f>IFERROR(INDEX(PP_Grid[#Data],$DD440,83),0)</f>
        <v/>
      </c>
      <c r="CH440">
        <f>IFERROR(INDEX(PP_Grid[#Data],$DD440,84),0)</f>
        <v/>
      </c>
      <c r="CI440">
        <f>IFERROR(INDEX(PP_Grid[#Data],$DD440,85),0)</f>
        <v/>
      </c>
      <c r="CJ440">
        <f>IFERROR(INDEX(PP_Grid[#Data],$DD440,86),0)</f>
        <v/>
      </c>
      <c r="CK440">
        <f>IFERROR(INDEX(PP_Grid[#Data],$DD440,87),0)</f>
        <v/>
      </c>
      <c r="CL440">
        <f>IFERROR(INDEX(PP_Grid[#Data],$DD440,88),0)</f>
        <v/>
      </c>
      <c r="CM440">
        <f>IFERROR(INDEX(PP_Grid[#Data],$DD440,89),0)</f>
        <v/>
      </c>
      <c r="CN440">
        <f>IFERROR(INDEX(PP_Grid[#Data],$DD440,90),0)</f>
        <v/>
      </c>
      <c r="CO440">
        <f>IFERROR(INDEX(PP_Grid[#Data],$DD440,91),0)</f>
        <v/>
      </c>
      <c r="CP440">
        <f>IFERROR(INDEX(PP_Grid[#Data],$DD440,92),0)</f>
        <v/>
      </c>
      <c r="CQ440">
        <f>IFERROR(INDEX(PP_Grid[#Data],$DD440,93),0)</f>
        <v/>
      </c>
      <c r="CR440">
        <f>IFERROR(INDEX(PP_Grid[#Data],$DD440,94),0)</f>
        <v/>
      </c>
      <c r="CS440">
        <f>IFERROR(INDEX(PP_Grid[#Data],$DD440,95),0)</f>
        <v/>
      </c>
      <c r="CT440">
        <f>IFERROR(INDEX(PP_Grid[#Data],$DD440,96),0)</f>
        <v/>
      </c>
      <c r="CU440">
        <f>IFERROR(INDEX(PP_Grid[#Data],$DD440,97),0)</f>
        <v/>
      </c>
      <c r="CV440">
        <f>IFERROR(INDEX(PP_Grid[#Data],$DD440,98),0)</f>
        <v/>
      </c>
      <c r="CW440">
        <f>IFERROR(INDEX(PP_Grid[#Data],$DD440,99),0)</f>
        <v/>
      </c>
      <c r="CX440">
        <f>IFERROR(INDEX(PP_Grid[#Data],$DD440,100),0)</f>
        <v/>
      </c>
      <c r="CY440">
        <f>IFERROR(INDEX(PP_Grid[#Data],$DD440,101),0)</f>
        <v/>
      </c>
      <c r="CZ440">
        <f>IFERROR(INDEX(PP_Grid[#Data],$DD440,102),0)</f>
        <v/>
      </c>
      <c r="DA440">
        <f>IFERROR(INDEX(PP_Grid[#Data],$DD440,103),0)</f>
        <v/>
      </c>
      <c r="DB440">
        <f>IFERROR(INDEX(PP_Grid[#Data],$DD440,104),0)</f>
        <v/>
      </c>
      <c r="DC440">
        <f>IFERROR(INDEX(PP_Grid[#Data],$DD440,105),0)</f>
        <v/>
      </c>
      <c r="DD440" s="7">
        <f>IFERROR(MATCH($B440,PP_Grid[Intermediate],0),99999)</f>
        <v/>
      </c>
    </row>
    <row r="441">
      <c r="B441" t="inlineStr">
        <is>
          <t>使用量(kg)</t>
        </is>
      </c>
      <c r="C441">
        <f>SUMIFS(M_BOM[RM_Qty_Per_Batch],M_BOM[Intermediate],$B440,M_BOM[Part Name],$A343)</f>
        <v/>
      </c>
      <c r="D441">
        <f>$C441*D440</f>
        <v/>
      </c>
      <c r="E441">
        <f>$C441*E440</f>
        <v/>
      </c>
      <c r="F441">
        <f>$C441*F440</f>
        <v/>
      </c>
      <c r="G441">
        <f>$C441*G440</f>
        <v/>
      </c>
      <c r="H441">
        <f>$C441*H440</f>
        <v/>
      </c>
      <c r="I441">
        <f>$C441*I440</f>
        <v/>
      </c>
      <c r="J441">
        <f>$C441*J440</f>
        <v/>
      </c>
      <c r="K441">
        <f>$C441*K440</f>
        <v/>
      </c>
      <c r="L441">
        <f>$C441*L440</f>
        <v/>
      </c>
      <c r="M441">
        <f>$C441*M440</f>
        <v/>
      </c>
      <c r="N441">
        <f>$C441*N440</f>
        <v/>
      </c>
      <c r="O441">
        <f>$C441*O440</f>
        <v/>
      </c>
      <c r="P441">
        <f>$C441*P440</f>
        <v/>
      </c>
      <c r="Q441">
        <f>$C441*Q440</f>
        <v/>
      </c>
      <c r="R441">
        <f>$C441*R440</f>
        <v/>
      </c>
      <c r="S441">
        <f>$C441*S440</f>
        <v/>
      </c>
      <c r="T441">
        <f>$C441*T440</f>
        <v/>
      </c>
      <c r="U441">
        <f>$C441*U440</f>
        <v/>
      </c>
      <c r="V441">
        <f>$C441*V440</f>
        <v/>
      </c>
      <c r="W441">
        <f>$C441*W440</f>
        <v/>
      </c>
      <c r="X441">
        <f>$C441*X440</f>
        <v/>
      </c>
      <c r="Y441">
        <f>$C441*Y440</f>
        <v/>
      </c>
      <c r="Z441">
        <f>$C441*Z440</f>
        <v/>
      </c>
      <c r="AA441">
        <f>$C441*AA440</f>
        <v/>
      </c>
      <c r="AB441">
        <f>$C441*AB440</f>
        <v/>
      </c>
      <c r="AC441">
        <f>$C441*AC440</f>
        <v/>
      </c>
      <c r="AD441">
        <f>$C441*AD440</f>
        <v/>
      </c>
      <c r="AE441">
        <f>$C441*AE440</f>
        <v/>
      </c>
      <c r="AF441">
        <f>$C441*AF440</f>
        <v/>
      </c>
      <c r="AG441">
        <f>$C441*AG440</f>
        <v/>
      </c>
      <c r="AH441">
        <f>$C441*AH440</f>
        <v/>
      </c>
      <c r="AI441">
        <f>$C441*AI440</f>
        <v/>
      </c>
      <c r="AJ441">
        <f>$C441*AJ440</f>
        <v/>
      </c>
      <c r="AK441">
        <f>$C441*AK440</f>
        <v/>
      </c>
      <c r="AL441">
        <f>$C441*AL440</f>
        <v/>
      </c>
      <c r="AM441">
        <f>$C441*AM440</f>
        <v/>
      </c>
      <c r="AN441">
        <f>$C441*AN440</f>
        <v/>
      </c>
      <c r="AO441">
        <f>$C441*AO440</f>
        <v/>
      </c>
      <c r="AP441">
        <f>$C441*AP440</f>
        <v/>
      </c>
      <c r="AQ441">
        <f>$C441*AQ440</f>
        <v/>
      </c>
      <c r="AR441">
        <f>$C441*AR440</f>
        <v/>
      </c>
      <c r="AS441">
        <f>$C441*AS440</f>
        <v/>
      </c>
      <c r="AT441">
        <f>$C441*AT440</f>
        <v/>
      </c>
      <c r="AU441">
        <f>$C441*AU440</f>
        <v/>
      </c>
      <c r="AV441">
        <f>$C441*AV440</f>
        <v/>
      </c>
      <c r="AW441">
        <f>$C441*AW440</f>
        <v/>
      </c>
      <c r="AX441">
        <f>$C441*AX440</f>
        <v/>
      </c>
      <c r="AY441">
        <f>$C441*AY440</f>
        <v/>
      </c>
      <c r="AZ441">
        <f>$C441*AZ440</f>
        <v/>
      </c>
      <c r="BA441">
        <f>$C441*BA440</f>
        <v/>
      </c>
      <c r="BB441">
        <f>$C441*BB440</f>
        <v/>
      </c>
      <c r="BC441">
        <f>$C441*BC440</f>
        <v/>
      </c>
      <c r="BD441">
        <f>$C441*BD440</f>
        <v/>
      </c>
      <c r="BE441">
        <f>$C441*BE440</f>
        <v/>
      </c>
      <c r="BF441">
        <f>$C441*BF440</f>
        <v/>
      </c>
      <c r="BG441">
        <f>$C441*BG440</f>
        <v/>
      </c>
      <c r="BH441">
        <f>$C441*BH440</f>
        <v/>
      </c>
      <c r="BI441">
        <f>$C441*BI440</f>
        <v/>
      </c>
      <c r="BJ441">
        <f>$C441*BJ440</f>
        <v/>
      </c>
      <c r="BK441">
        <f>$C441*BK440</f>
        <v/>
      </c>
      <c r="BL441">
        <f>$C441*BL440</f>
        <v/>
      </c>
      <c r="BM441">
        <f>$C441*BM440</f>
        <v/>
      </c>
      <c r="BN441">
        <f>$C441*BN440</f>
        <v/>
      </c>
      <c r="BO441">
        <f>$C441*BO440</f>
        <v/>
      </c>
      <c r="BP441">
        <f>$C441*BP440</f>
        <v/>
      </c>
      <c r="BQ441">
        <f>$C441*BQ440</f>
        <v/>
      </c>
      <c r="BR441">
        <f>$C441*BR440</f>
        <v/>
      </c>
      <c r="BS441">
        <f>$C441*BS440</f>
        <v/>
      </c>
      <c r="BT441">
        <f>$C441*BT440</f>
        <v/>
      </c>
      <c r="BU441">
        <f>$C441*BU440</f>
        <v/>
      </c>
      <c r="BV441">
        <f>$C441*BV440</f>
        <v/>
      </c>
      <c r="BW441">
        <f>$C441*BW440</f>
        <v/>
      </c>
      <c r="BX441">
        <f>$C441*BX440</f>
        <v/>
      </c>
      <c r="BY441">
        <f>$C441*BY440</f>
        <v/>
      </c>
      <c r="BZ441">
        <f>$C441*BZ440</f>
        <v/>
      </c>
      <c r="CA441">
        <f>$C441*CA440</f>
        <v/>
      </c>
      <c r="CB441">
        <f>$C441*CB440</f>
        <v/>
      </c>
      <c r="CC441">
        <f>$C441*CC440</f>
        <v/>
      </c>
      <c r="CD441">
        <f>$C441*CD440</f>
        <v/>
      </c>
      <c r="CE441">
        <f>$C441*CE440</f>
        <v/>
      </c>
      <c r="CF441">
        <f>$C441*CF440</f>
        <v/>
      </c>
      <c r="CG441">
        <f>$C441*CG440</f>
        <v/>
      </c>
      <c r="CH441">
        <f>$C441*CH440</f>
        <v/>
      </c>
      <c r="CI441">
        <f>$C441*CI440</f>
        <v/>
      </c>
      <c r="CJ441">
        <f>$C441*CJ440</f>
        <v/>
      </c>
      <c r="CK441">
        <f>$C441*CK440</f>
        <v/>
      </c>
      <c r="CL441">
        <f>$C441*CL440</f>
        <v/>
      </c>
      <c r="CM441">
        <f>$C441*CM440</f>
        <v/>
      </c>
      <c r="CN441">
        <f>$C441*CN440</f>
        <v/>
      </c>
      <c r="CO441">
        <f>$C441*CO440</f>
        <v/>
      </c>
      <c r="CP441">
        <f>$C441*CP440</f>
        <v/>
      </c>
      <c r="CQ441">
        <f>$C441*CQ440</f>
        <v/>
      </c>
      <c r="CR441">
        <f>$C441*CR440</f>
        <v/>
      </c>
      <c r="CS441">
        <f>$C441*CS440</f>
        <v/>
      </c>
      <c r="CT441">
        <f>$C441*CT440</f>
        <v/>
      </c>
      <c r="CU441">
        <f>$C441*CU440</f>
        <v/>
      </c>
      <c r="CV441">
        <f>$C441*CV440</f>
        <v/>
      </c>
      <c r="CW441">
        <f>$C441*CW440</f>
        <v/>
      </c>
      <c r="CX441">
        <f>$C441*CX440</f>
        <v/>
      </c>
      <c r="CY441">
        <f>$C441*CY440</f>
        <v/>
      </c>
      <c r="CZ441">
        <f>$C441*CZ440</f>
        <v/>
      </c>
      <c r="DA441">
        <f>$C441*DA440</f>
        <v/>
      </c>
      <c r="DB441">
        <f>$C441*DB440</f>
        <v/>
      </c>
      <c r="DC441">
        <f>$C441*DC440</f>
        <v/>
      </c>
    </row>
    <row r="442">
      <c r="B442" t="inlineStr">
        <is>
          <t>VSZ-745</t>
        </is>
      </c>
      <c r="C442" t="inlineStr">
        <is>
          <t>No. of batches</t>
        </is>
      </c>
      <c r="D442">
        <f>IFERROR(INDEX(PP_Grid[#Data],$DD442,2),0)</f>
        <v/>
      </c>
      <c r="E442">
        <f>IFERROR(INDEX(PP_Grid[#Data],$DD442,3),0)</f>
        <v/>
      </c>
      <c r="F442">
        <f>IFERROR(INDEX(PP_Grid[#Data],$DD442,4),0)</f>
        <v/>
      </c>
      <c r="G442">
        <f>IFERROR(INDEX(PP_Grid[#Data],$DD442,5),0)</f>
        <v/>
      </c>
      <c r="H442">
        <f>IFERROR(INDEX(PP_Grid[#Data],$DD442,6),0)</f>
        <v/>
      </c>
      <c r="I442">
        <f>IFERROR(INDEX(PP_Grid[#Data],$DD442,7),0)</f>
        <v/>
      </c>
      <c r="J442">
        <f>IFERROR(INDEX(PP_Grid[#Data],$DD442,8),0)</f>
        <v/>
      </c>
      <c r="K442">
        <f>IFERROR(INDEX(PP_Grid[#Data],$DD442,9),0)</f>
        <v/>
      </c>
      <c r="L442">
        <f>IFERROR(INDEX(PP_Grid[#Data],$DD442,10),0)</f>
        <v/>
      </c>
      <c r="M442">
        <f>IFERROR(INDEX(PP_Grid[#Data],$DD442,11),0)</f>
        <v/>
      </c>
      <c r="N442">
        <f>IFERROR(INDEX(PP_Grid[#Data],$DD442,12),0)</f>
        <v/>
      </c>
      <c r="O442">
        <f>IFERROR(INDEX(PP_Grid[#Data],$DD442,13),0)</f>
        <v/>
      </c>
      <c r="P442">
        <f>IFERROR(INDEX(PP_Grid[#Data],$DD442,14),0)</f>
        <v/>
      </c>
      <c r="Q442">
        <f>IFERROR(INDEX(PP_Grid[#Data],$DD442,15),0)</f>
        <v/>
      </c>
      <c r="R442">
        <f>IFERROR(INDEX(PP_Grid[#Data],$DD442,16),0)</f>
        <v/>
      </c>
      <c r="S442">
        <f>IFERROR(INDEX(PP_Grid[#Data],$DD442,17),0)</f>
        <v/>
      </c>
      <c r="T442">
        <f>IFERROR(INDEX(PP_Grid[#Data],$DD442,18),0)</f>
        <v/>
      </c>
      <c r="U442">
        <f>IFERROR(INDEX(PP_Grid[#Data],$DD442,19),0)</f>
        <v/>
      </c>
      <c r="V442">
        <f>IFERROR(INDEX(PP_Grid[#Data],$DD442,20),0)</f>
        <v/>
      </c>
      <c r="W442">
        <f>IFERROR(INDEX(PP_Grid[#Data],$DD442,21),0)</f>
        <v/>
      </c>
      <c r="X442">
        <f>IFERROR(INDEX(PP_Grid[#Data],$DD442,22),0)</f>
        <v/>
      </c>
      <c r="Y442">
        <f>IFERROR(INDEX(PP_Grid[#Data],$DD442,23),0)</f>
        <v/>
      </c>
      <c r="Z442">
        <f>IFERROR(INDEX(PP_Grid[#Data],$DD442,24),0)</f>
        <v/>
      </c>
      <c r="AA442">
        <f>IFERROR(INDEX(PP_Grid[#Data],$DD442,25),0)</f>
        <v/>
      </c>
      <c r="AB442">
        <f>IFERROR(INDEX(PP_Grid[#Data],$DD442,26),0)</f>
        <v/>
      </c>
      <c r="AC442">
        <f>IFERROR(INDEX(PP_Grid[#Data],$DD442,27),0)</f>
        <v/>
      </c>
      <c r="AD442">
        <f>IFERROR(INDEX(PP_Grid[#Data],$DD442,28),0)</f>
        <v/>
      </c>
      <c r="AE442">
        <f>IFERROR(INDEX(PP_Grid[#Data],$DD442,29),0)</f>
        <v/>
      </c>
      <c r="AF442">
        <f>IFERROR(INDEX(PP_Grid[#Data],$DD442,30),0)</f>
        <v/>
      </c>
      <c r="AG442">
        <f>IFERROR(INDEX(PP_Grid[#Data],$DD442,31),0)</f>
        <v/>
      </c>
      <c r="AH442">
        <f>IFERROR(INDEX(PP_Grid[#Data],$DD442,32),0)</f>
        <v/>
      </c>
      <c r="AI442">
        <f>IFERROR(INDEX(PP_Grid[#Data],$DD442,33),0)</f>
        <v/>
      </c>
      <c r="AJ442">
        <f>IFERROR(INDEX(PP_Grid[#Data],$DD442,34),0)</f>
        <v/>
      </c>
      <c r="AK442">
        <f>IFERROR(INDEX(PP_Grid[#Data],$DD442,35),0)</f>
        <v/>
      </c>
      <c r="AL442">
        <f>IFERROR(INDEX(PP_Grid[#Data],$DD442,36),0)</f>
        <v/>
      </c>
      <c r="AM442">
        <f>IFERROR(INDEX(PP_Grid[#Data],$DD442,37),0)</f>
        <v/>
      </c>
      <c r="AN442">
        <f>IFERROR(INDEX(PP_Grid[#Data],$DD442,38),0)</f>
        <v/>
      </c>
      <c r="AO442">
        <f>IFERROR(INDEX(PP_Grid[#Data],$DD442,39),0)</f>
        <v/>
      </c>
      <c r="AP442">
        <f>IFERROR(INDEX(PP_Grid[#Data],$DD442,40),0)</f>
        <v/>
      </c>
      <c r="AQ442">
        <f>IFERROR(INDEX(PP_Grid[#Data],$DD442,41),0)</f>
        <v/>
      </c>
      <c r="AR442">
        <f>IFERROR(INDEX(PP_Grid[#Data],$DD442,42),0)</f>
        <v/>
      </c>
      <c r="AS442">
        <f>IFERROR(INDEX(PP_Grid[#Data],$DD442,43),0)</f>
        <v/>
      </c>
      <c r="AT442">
        <f>IFERROR(INDEX(PP_Grid[#Data],$DD442,44),0)</f>
        <v/>
      </c>
      <c r="AU442">
        <f>IFERROR(INDEX(PP_Grid[#Data],$DD442,45),0)</f>
        <v/>
      </c>
      <c r="AV442">
        <f>IFERROR(INDEX(PP_Grid[#Data],$DD442,46),0)</f>
        <v/>
      </c>
      <c r="AW442">
        <f>IFERROR(INDEX(PP_Grid[#Data],$DD442,47),0)</f>
        <v/>
      </c>
      <c r="AX442">
        <f>IFERROR(INDEX(PP_Grid[#Data],$DD442,48),0)</f>
        <v/>
      </c>
      <c r="AY442">
        <f>IFERROR(INDEX(PP_Grid[#Data],$DD442,49),0)</f>
        <v/>
      </c>
      <c r="AZ442">
        <f>IFERROR(INDEX(PP_Grid[#Data],$DD442,50),0)</f>
        <v/>
      </c>
      <c r="BA442">
        <f>IFERROR(INDEX(PP_Grid[#Data],$DD442,51),0)</f>
        <v/>
      </c>
      <c r="BB442">
        <f>IFERROR(INDEX(PP_Grid[#Data],$DD442,52),0)</f>
        <v/>
      </c>
      <c r="BC442">
        <f>IFERROR(INDEX(PP_Grid[#Data],$DD442,53),0)</f>
        <v/>
      </c>
      <c r="BD442">
        <f>IFERROR(INDEX(PP_Grid[#Data],$DD442,54),0)</f>
        <v/>
      </c>
      <c r="BE442">
        <f>IFERROR(INDEX(PP_Grid[#Data],$DD442,55),0)</f>
        <v/>
      </c>
      <c r="BF442">
        <f>IFERROR(INDEX(PP_Grid[#Data],$DD442,56),0)</f>
        <v/>
      </c>
      <c r="BG442">
        <f>IFERROR(INDEX(PP_Grid[#Data],$DD442,57),0)</f>
        <v/>
      </c>
      <c r="BH442">
        <f>IFERROR(INDEX(PP_Grid[#Data],$DD442,58),0)</f>
        <v/>
      </c>
      <c r="BI442">
        <f>IFERROR(INDEX(PP_Grid[#Data],$DD442,59),0)</f>
        <v/>
      </c>
      <c r="BJ442">
        <f>IFERROR(INDEX(PP_Grid[#Data],$DD442,60),0)</f>
        <v/>
      </c>
      <c r="BK442">
        <f>IFERROR(INDEX(PP_Grid[#Data],$DD442,61),0)</f>
        <v/>
      </c>
      <c r="BL442">
        <f>IFERROR(INDEX(PP_Grid[#Data],$DD442,62),0)</f>
        <v/>
      </c>
      <c r="BM442">
        <f>IFERROR(INDEX(PP_Grid[#Data],$DD442,63),0)</f>
        <v/>
      </c>
      <c r="BN442">
        <f>IFERROR(INDEX(PP_Grid[#Data],$DD442,64),0)</f>
        <v/>
      </c>
      <c r="BO442">
        <f>IFERROR(INDEX(PP_Grid[#Data],$DD442,65),0)</f>
        <v/>
      </c>
      <c r="BP442">
        <f>IFERROR(INDEX(PP_Grid[#Data],$DD442,66),0)</f>
        <v/>
      </c>
      <c r="BQ442">
        <f>IFERROR(INDEX(PP_Grid[#Data],$DD442,67),0)</f>
        <v/>
      </c>
      <c r="BR442">
        <f>IFERROR(INDEX(PP_Grid[#Data],$DD442,68),0)</f>
        <v/>
      </c>
      <c r="BS442">
        <f>IFERROR(INDEX(PP_Grid[#Data],$DD442,69),0)</f>
        <v/>
      </c>
      <c r="BT442">
        <f>IFERROR(INDEX(PP_Grid[#Data],$DD442,70),0)</f>
        <v/>
      </c>
      <c r="BU442">
        <f>IFERROR(INDEX(PP_Grid[#Data],$DD442,71),0)</f>
        <v/>
      </c>
      <c r="BV442">
        <f>IFERROR(INDEX(PP_Grid[#Data],$DD442,72),0)</f>
        <v/>
      </c>
      <c r="BW442">
        <f>IFERROR(INDEX(PP_Grid[#Data],$DD442,73),0)</f>
        <v/>
      </c>
      <c r="BX442">
        <f>IFERROR(INDEX(PP_Grid[#Data],$DD442,74),0)</f>
        <v/>
      </c>
      <c r="BY442">
        <f>IFERROR(INDEX(PP_Grid[#Data],$DD442,75),0)</f>
        <v/>
      </c>
      <c r="BZ442">
        <f>IFERROR(INDEX(PP_Grid[#Data],$DD442,76),0)</f>
        <v/>
      </c>
      <c r="CA442">
        <f>IFERROR(INDEX(PP_Grid[#Data],$DD442,77),0)</f>
        <v/>
      </c>
      <c r="CB442">
        <f>IFERROR(INDEX(PP_Grid[#Data],$DD442,78),0)</f>
        <v/>
      </c>
      <c r="CC442">
        <f>IFERROR(INDEX(PP_Grid[#Data],$DD442,79),0)</f>
        <v/>
      </c>
      <c r="CD442">
        <f>IFERROR(INDEX(PP_Grid[#Data],$DD442,80),0)</f>
        <v/>
      </c>
      <c r="CE442">
        <f>IFERROR(INDEX(PP_Grid[#Data],$DD442,81),0)</f>
        <v/>
      </c>
      <c r="CF442">
        <f>IFERROR(INDEX(PP_Grid[#Data],$DD442,82),0)</f>
        <v/>
      </c>
      <c r="CG442">
        <f>IFERROR(INDEX(PP_Grid[#Data],$DD442,83),0)</f>
        <v/>
      </c>
      <c r="CH442">
        <f>IFERROR(INDEX(PP_Grid[#Data],$DD442,84),0)</f>
        <v/>
      </c>
      <c r="CI442">
        <f>IFERROR(INDEX(PP_Grid[#Data],$DD442,85),0)</f>
        <v/>
      </c>
      <c r="CJ442">
        <f>IFERROR(INDEX(PP_Grid[#Data],$DD442,86),0)</f>
        <v/>
      </c>
      <c r="CK442">
        <f>IFERROR(INDEX(PP_Grid[#Data],$DD442,87),0)</f>
        <v/>
      </c>
      <c r="CL442">
        <f>IFERROR(INDEX(PP_Grid[#Data],$DD442,88),0)</f>
        <v/>
      </c>
      <c r="CM442">
        <f>IFERROR(INDEX(PP_Grid[#Data],$DD442,89),0)</f>
        <v/>
      </c>
      <c r="CN442">
        <f>IFERROR(INDEX(PP_Grid[#Data],$DD442,90),0)</f>
        <v/>
      </c>
      <c r="CO442">
        <f>IFERROR(INDEX(PP_Grid[#Data],$DD442,91),0)</f>
        <v/>
      </c>
      <c r="CP442">
        <f>IFERROR(INDEX(PP_Grid[#Data],$DD442,92),0)</f>
        <v/>
      </c>
      <c r="CQ442">
        <f>IFERROR(INDEX(PP_Grid[#Data],$DD442,93),0)</f>
        <v/>
      </c>
      <c r="CR442">
        <f>IFERROR(INDEX(PP_Grid[#Data],$DD442,94),0)</f>
        <v/>
      </c>
      <c r="CS442">
        <f>IFERROR(INDEX(PP_Grid[#Data],$DD442,95),0)</f>
        <v/>
      </c>
      <c r="CT442">
        <f>IFERROR(INDEX(PP_Grid[#Data],$DD442,96),0)</f>
        <v/>
      </c>
      <c r="CU442">
        <f>IFERROR(INDEX(PP_Grid[#Data],$DD442,97),0)</f>
        <v/>
      </c>
      <c r="CV442">
        <f>IFERROR(INDEX(PP_Grid[#Data],$DD442,98),0)</f>
        <v/>
      </c>
      <c r="CW442">
        <f>IFERROR(INDEX(PP_Grid[#Data],$DD442,99),0)</f>
        <v/>
      </c>
      <c r="CX442">
        <f>IFERROR(INDEX(PP_Grid[#Data],$DD442,100),0)</f>
        <v/>
      </c>
      <c r="CY442">
        <f>IFERROR(INDEX(PP_Grid[#Data],$DD442,101),0)</f>
        <v/>
      </c>
      <c r="CZ442">
        <f>IFERROR(INDEX(PP_Grid[#Data],$DD442,102),0)</f>
        <v/>
      </c>
      <c r="DA442">
        <f>IFERROR(INDEX(PP_Grid[#Data],$DD442,103),0)</f>
        <v/>
      </c>
      <c r="DB442">
        <f>IFERROR(INDEX(PP_Grid[#Data],$DD442,104),0)</f>
        <v/>
      </c>
      <c r="DC442">
        <f>IFERROR(INDEX(PP_Grid[#Data],$DD442,105),0)</f>
        <v/>
      </c>
      <c r="DD442" s="7">
        <f>IFERROR(MATCH($B442,PP_Grid[Intermediate],0),99999)</f>
        <v/>
      </c>
    </row>
    <row r="443">
      <c r="B443" t="inlineStr">
        <is>
          <t>使用量(kg)</t>
        </is>
      </c>
      <c r="C443">
        <f>SUMIFS(M_BOM[RM_Qty_Per_Batch],M_BOM[Intermediate],$B442,M_BOM[Part Name],$A343)</f>
        <v/>
      </c>
      <c r="D443">
        <f>$C443*D442</f>
        <v/>
      </c>
      <c r="E443">
        <f>$C443*E442</f>
        <v/>
      </c>
      <c r="F443">
        <f>$C443*F442</f>
        <v/>
      </c>
      <c r="G443">
        <f>$C443*G442</f>
        <v/>
      </c>
      <c r="H443">
        <f>$C443*H442</f>
        <v/>
      </c>
      <c r="I443">
        <f>$C443*I442</f>
        <v/>
      </c>
      <c r="J443">
        <f>$C443*J442</f>
        <v/>
      </c>
      <c r="K443">
        <f>$C443*K442</f>
        <v/>
      </c>
      <c r="L443">
        <f>$C443*L442</f>
        <v/>
      </c>
      <c r="M443">
        <f>$C443*M442</f>
        <v/>
      </c>
      <c r="N443">
        <f>$C443*N442</f>
        <v/>
      </c>
      <c r="O443">
        <f>$C443*O442</f>
        <v/>
      </c>
      <c r="P443">
        <f>$C443*P442</f>
        <v/>
      </c>
      <c r="Q443">
        <f>$C443*Q442</f>
        <v/>
      </c>
      <c r="R443">
        <f>$C443*R442</f>
        <v/>
      </c>
      <c r="S443">
        <f>$C443*S442</f>
        <v/>
      </c>
      <c r="T443">
        <f>$C443*T442</f>
        <v/>
      </c>
      <c r="U443">
        <f>$C443*U442</f>
        <v/>
      </c>
      <c r="V443">
        <f>$C443*V442</f>
        <v/>
      </c>
      <c r="W443">
        <f>$C443*W442</f>
        <v/>
      </c>
      <c r="X443">
        <f>$C443*X442</f>
        <v/>
      </c>
      <c r="Y443">
        <f>$C443*Y442</f>
        <v/>
      </c>
      <c r="Z443">
        <f>$C443*Z442</f>
        <v/>
      </c>
      <c r="AA443">
        <f>$C443*AA442</f>
        <v/>
      </c>
      <c r="AB443">
        <f>$C443*AB442</f>
        <v/>
      </c>
      <c r="AC443">
        <f>$C443*AC442</f>
        <v/>
      </c>
      <c r="AD443">
        <f>$C443*AD442</f>
        <v/>
      </c>
      <c r="AE443">
        <f>$C443*AE442</f>
        <v/>
      </c>
      <c r="AF443">
        <f>$C443*AF442</f>
        <v/>
      </c>
      <c r="AG443">
        <f>$C443*AG442</f>
        <v/>
      </c>
      <c r="AH443">
        <f>$C443*AH442</f>
        <v/>
      </c>
      <c r="AI443">
        <f>$C443*AI442</f>
        <v/>
      </c>
      <c r="AJ443">
        <f>$C443*AJ442</f>
        <v/>
      </c>
      <c r="AK443">
        <f>$C443*AK442</f>
        <v/>
      </c>
      <c r="AL443">
        <f>$C443*AL442</f>
        <v/>
      </c>
      <c r="AM443">
        <f>$C443*AM442</f>
        <v/>
      </c>
      <c r="AN443">
        <f>$C443*AN442</f>
        <v/>
      </c>
      <c r="AO443">
        <f>$C443*AO442</f>
        <v/>
      </c>
      <c r="AP443">
        <f>$C443*AP442</f>
        <v/>
      </c>
      <c r="AQ443">
        <f>$C443*AQ442</f>
        <v/>
      </c>
      <c r="AR443">
        <f>$C443*AR442</f>
        <v/>
      </c>
      <c r="AS443">
        <f>$C443*AS442</f>
        <v/>
      </c>
      <c r="AT443">
        <f>$C443*AT442</f>
        <v/>
      </c>
      <c r="AU443">
        <f>$C443*AU442</f>
        <v/>
      </c>
      <c r="AV443">
        <f>$C443*AV442</f>
        <v/>
      </c>
      <c r="AW443">
        <f>$C443*AW442</f>
        <v/>
      </c>
      <c r="AX443">
        <f>$C443*AX442</f>
        <v/>
      </c>
      <c r="AY443">
        <f>$C443*AY442</f>
        <v/>
      </c>
      <c r="AZ443">
        <f>$C443*AZ442</f>
        <v/>
      </c>
      <c r="BA443">
        <f>$C443*BA442</f>
        <v/>
      </c>
      <c r="BB443">
        <f>$C443*BB442</f>
        <v/>
      </c>
      <c r="BC443">
        <f>$C443*BC442</f>
        <v/>
      </c>
      <c r="BD443">
        <f>$C443*BD442</f>
        <v/>
      </c>
      <c r="BE443">
        <f>$C443*BE442</f>
        <v/>
      </c>
      <c r="BF443">
        <f>$C443*BF442</f>
        <v/>
      </c>
      <c r="BG443">
        <f>$C443*BG442</f>
        <v/>
      </c>
      <c r="BH443">
        <f>$C443*BH442</f>
        <v/>
      </c>
      <c r="BI443">
        <f>$C443*BI442</f>
        <v/>
      </c>
      <c r="BJ443">
        <f>$C443*BJ442</f>
        <v/>
      </c>
      <c r="BK443">
        <f>$C443*BK442</f>
        <v/>
      </c>
      <c r="BL443">
        <f>$C443*BL442</f>
        <v/>
      </c>
      <c r="BM443">
        <f>$C443*BM442</f>
        <v/>
      </c>
      <c r="BN443">
        <f>$C443*BN442</f>
        <v/>
      </c>
      <c r="BO443">
        <f>$C443*BO442</f>
        <v/>
      </c>
      <c r="BP443">
        <f>$C443*BP442</f>
        <v/>
      </c>
      <c r="BQ443">
        <f>$C443*BQ442</f>
        <v/>
      </c>
      <c r="BR443">
        <f>$C443*BR442</f>
        <v/>
      </c>
      <c r="BS443">
        <f>$C443*BS442</f>
        <v/>
      </c>
      <c r="BT443">
        <f>$C443*BT442</f>
        <v/>
      </c>
      <c r="BU443">
        <f>$C443*BU442</f>
        <v/>
      </c>
      <c r="BV443">
        <f>$C443*BV442</f>
        <v/>
      </c>
      <c r="BW443">
        <f>$C443*BW442</f>
        <v/>
      </c>
      <c r="BX443">
        <f>$C443*BX442</f>
        <v/>
      </c>
      <c r="BY443">
        <f>$C443*BY442</f>
        <v/>
      </c>
      <c r="BZ443">
        <f>$C443*BZ442</f>
        <v/>
      </c>
      <c r="CA443">
        <f>$C443*CA442</f>
        <v/>
      </c>
      <c r="CB443">
        <f>$C443*CB442</f>
        <v/>
      </c>
      <c r="CC443">
        <f>$C443*CC442</f>
        <v/>
      </c>
      <c r="CD443">
        <f>$C443*CD442</f>
        <v/>
      </c>
      <c r="CE443">
        <f>$C443*CE442</f>
        <v/>
      </c>
      <c r="CF443">
        <f>$C443*CF442</f>
        <v/>
      </c>
      <c r="CG443">
        <f>$C443*CG442</f>
        <v/>
      </c>
      <c r="CH443">
        <f>$C443*CH442</f>
        <v/>
      </c>
      <c r="CI443">
        <f>$C443*CI442</f>
        <v/>
      </c>
      <c r="CJ443">
        <f>$C443*CJ442</f>
        <v/>
      </c>
      <c r="CK443">
        <f>$C443*CK442</f>
        <v/>
      </c>
      <c r="CL443">
        <f>$C443*CL442</f>
        <v/>
      </c>
      <c r="CM443">
        <f>$C443*CM442</f>
        <v/>
      </c>
      <c r="CN443">
        <f>$C443*CN442</f>
        <v/>
      </c>
      <c r="CO443">
        <f>$C443*CO442</f>
        <v/>
      </c>
      <c r="CP443">
        <f>$C443*CP442</f>
        <v/>
      </c>
      <c r="CQ443">
        <f>$C443*CQ442</f>
        <v/>
      </c>
      <c r="CR443">
        <f>$C443*CR442</f>
        <v/>
      </c>
      <c r="CS443">
        <f>$C443*CS442</f>
        <v/>
      </c>
      <c r="CT443">
        <f>$C443*CT442</f>
        <v/>
      </c>
      <c r="CU443">
        <f>$C443*CU442</f>
        <v/>
      </c>
      <c r="CV443">
        <f>$C443*CV442</f>
        <v/>
      </c>
      <c r="CW443">
        <f>$C443*CW442</f>
        <v/>
      </c>
      <c r="CX443">
        <f>$C443*CX442</f>
        <v/>
      </c>
      <c r="CY443">
        <f>$C443*CY442</f>
        <v/>
      </c>
      <c r="CZ443">
        <f>$C443*CZ442</f>
        <v/>
      </c>
      <c r="DA443">
        <f>$C443*DA442</f>
        <v/>
      </c>
      <c r="DB443">
        <f>$C443*DB442</f>
        <v/>
      </c>
      <c r="DC443">
        <f>$C443*DC442</f>
        <v/>
      </c>
    </row>
    <row r="444">
      <c r="B444" t="inlineStr">
        <is>
          <t>TSP-1499</t>
        </is>
      </c>
      <c r="C444" t="inlineStr">
        <is>
          <t>No. of batches</t>
        </is>
      </c>
      <c r="D444">
        <f>IFERROR(INDEX(PP_Grid[#Data],$DD444,2),0)</f>
        <v/>
      </c>
      <c r="E444">
        <f>IFERROR(INDEX(PP_Grid[#Data],$DD444,3),0)</f>
        <v/>
      </c>
      <c r="F444">
        <f>IFERROR(INDEX(PP_Grid[#Data],$DD444,4),0)</f>
        <v/>
      </c>
      <c r="G444">
        <f>IFERROR(INDEX(PP_Grid[#Data],$DD444,5),0)</f>
        <v/>
      </c>
      <c r="H444">
        <f>IFERROR(INDEX(PP_Grid[#Data],$DD444,6),0)</f>
        <v/>
      </c>
      <c r="I444">
        <f>IFERROR(INDEX(PP_Grid[#Data],$DD444,7),0)</f>
        <v/>
      </c>
      <c r="J444">
        <f>IFERROR(INDEX(PP_Grid[#Data],$DD444,8),0)</f>
        <v/>
      </c>
      <c r="K444">
        <f>IFERROR(INDEX(PP_Grid[#Data],$DD444,9),0)</f>
        <v/>
      </c>
      <c r="L444">
        <f>IFERROR(INDEX(PP_Grid[#Data],$DD444,10),0)</f>
        <v/>
      </c>
      <c r="M444">
        <f>IFERROR(INDEX(PP_Grid[#Data],$DD444,11),0)</f>
        <v/>
      </c>
      <c r="N444">
        <f>IFERROR(INDEX(PP_Grid[#Data],$DD444,12),0)</f>
        <v/>
      </c>
      <c r="O444">
        <f>IFERROR(INDEX(PP_Grid[#Data],$DD444,13),0)</f>
        <v/>
      </c>
      <c r="P444">
        <f>IFERROR(INDEX(PP_Grid[#Data],$DD444,14),0)</f>
        <v/>
      </c>
      <c r="Q444">
        <f>IFERROR(INDEX(PP_Grid[#Data],$DD444,15),0)</f>
        <v/>
      </c>
      <c r="R444">
        <f>IFERROR(INDEX(PP_Grid[#Data],$DD444,16),0)</f>
        <v/>
      </c>
      <c r="S444">
        <f>IFERROR(INDEX(PP_Grid[#Data],$DD444,17),0)</f>
        <v/>
      </c>
      <c r="T444">
        <f>IFERROR(INDEX(PP_Grid[#Data],$DD444,18),0)</f>
        <v/>
      </c>
      <c r="U444">
        <f>IFERROR(INDEX(PP_Grid[#Data],$DD444,19),0)</f>
        <v/>
      </c>
      <c r="V444">
        <f>IFERROR(INDEX(PP_Grid[#Data],$DD444,20),0)</f>
        <v/>
      </c>
      <c r="W444">
        <f>IFERROR(INDEX(PP_Grid[#Data],$DD444,21),0)</f>
        <v/>
      </c>
      <c r="X444">
        <f>IFERROR(INDEX(PP_Grid[#Data],$DD444,22),0)</f>
        <v/>
      </c>
      <c r="Y444">
        <f>IFERROR(INDEX(PP_Grid[#Data],$DD444,23),0)</f>
        <v/>
      </c>
      <c r="Z444">
        <f>IFERROR(INDEX(PP_Grid[#Data],$DD444,24),0)</f>
        <v/>
      </c>
      <c r="AA444">
        <f>IFERROR(INDEX(PP_Grid[#Data],$DD444,25),0)</f>
        <v/>
      </c>
      <c r="AB444">
        <f>IFERROR(INDEX(PP_Grid[#Data],$DD444,26),0)</f>
        <v/>
      </c>
      <c r="AC444">
        <f>IFERROR(INDEX(PP_Grid[#Data],$DD444,27),0)</f>
        <v/>
      </c>
      <c r="AD444">
        <f>IFERROR(INDEX(PP_Grid[#Data],$DD444,28),0)</f>
        <v/>
      </c>
      <c r="AE444">
        <f>IFERROR(INDEX(PP_Grid[#Data],$DD444,29),0)</f>
        <v/>
      </c>
      <c r="AF444">
        <f>IFERROR(INDEX(PP_Grid[#Data],$DD444,30),0)</f>
        <v/>
      </c>
      <c r="AG444">
        <f>IFERROR(INDEX(PP_Grid[#Data],$DD444,31),0)</f>
        <v/>
      </c>
      <c r="AH444">
        <f>IFERROR(INDEX(PP_Grid[#Data],$DD444,32),0)</f>
        <v/>
      </c>
      <c r="AI444">
        <f>IFERROR(INDEX(PP_Grid[#Data],$DD444,33),0)</f>
        <v/>
      </c>
      <c r="AJ444">
        <f>IFERROR(INDEX(PP_Grid[#Data],$DD444,34),0)</f>
        <v/>
      </c>
      <c r="AK444">
        <f>IFERROR(INDEX(PP_Grid[#Data],$DD444,35),0)</f>
        <v/>
      </c>
      <c r="AL444">
        <f>IFERROR(INDEX(PP_Grid[#Data],$DD444,36),0)</f>
        <v/>
      </c>
      <c r="AM444">
        <f>IFERROR(INDEX(PP_Grid[#Data],$DD444,37),0)</f>
        <v/>
      </c>
      <c r="AN444">
        <f>IFERROR(INDEX(PP_Grid[#Data],$DD444,38),0)</f>
        <v/>
      </c>
      <c r="AO444">
        <f>IFERROR(INDEX(PP_Grid[#Data],$DD444,39),0)</f>
        <v/>
      </c>
      <c r="AP444">
        <f>IFERROR(INDEX(PP_Grid[#Data],$DD444,40),0)</f>
        <v/>
      </c>
      <c r="AQ444">
        <f>IFERROR(INDEX(PP_Grid[#Data],$DD444,41),0)</f>
        <v/>
      </c>
      <c r="AR444">
        <f>IFERROR(INDEX(PP_Grid[#Data],$DD444,42),0)</f>
        <v/>
      </c>
      <c r="AS444">
        <f>IFERROR(INDEX(PP_Grid[#Data],$DD444,43),0)</f>
        <v/>
      </c>
      <c r="AT444">
        <f>IFERROR(INDEX(PP_Grid[#Data],$DD444,44),0)</f>
        <v/>
      </c>
      <c r="AU444">
        <f>IFERROR(INDEX(PP_Grid[#Data],$DD444,45),0)</f>
        <v/>
      </c>
      <c r="AV444">
        <f>IFERROR(INDEX(PP_Grid[#Data],$DD444,46),0)</f>
        <v/>
      </c>
      <c r="AW444">
        <f>IFERROR(INDEX(PP_Grid[#Data],$DD444,47),0)</f>
        <v/>
      </c>
      <c r="AX444">
        <f>IFERROR(INDEX(PP_Grid[#Data],$DD444,48),0)</f>
        <v/>
      </c>
      <c r="AY444">
        <f>IFERROR(INDEX(PP_Grid[#Data],$DD444,49),0)</f>
        <v/>
      </c>
      <c r="AZ444">
        <f>IFERROR(INDEX(PP_Grid[#Data],$DD444,50),0)</f>
        <v/>
      </c>
      <c r="BA444">
        <f>IFERROR(INDEX(PP_Grid[#Data],$DD444,51),0)</f>
        <v/>
      </c>
      <c r="BB444">
        <f>IFERROR(INDEX(PP_Grid[#Data],$DD444,52),0)</f>
        <v/>
      </c>
      <c r="BC444">
        <f>IFERROR(INDEX(PP_Grid[#Data],$DD444,53),0)</f>
        <v/>
      </c>
      <c r="BD444">
        <f>IFERROR(INDEX(PP_Grid[#Data],$DD444,54),0)</f>
        <v/>
      </c>
      <c r="BE444">
        <f>IFERROR(INDEX(PP_Grid[#Data],$DD444,55),0)</f>
        <v/>
      </c>
      <c r="BF444">
        <f>IFERROR(INDEX(PP_Grid[#Data],$DD444,56),0)</f>
        <v/>
      </c>
      <c r="BG444">
        <f>IFERROR(INDEX(PP_Grid[#Data],$DD444,57),0)</f>
        <v/>
      </c>
      <c r="BH444">
        <f>IFERROR(INDEX(PP_Grid[#Data],$DD444,58),0)</f>
        <v/>
      </c>
      <c r="BI444">
        <f>IFERROR(INDEX(PP_Grid[#Data],$DD444,59),0)</f>
        <v/>
      </c>
      <c r="BJ444">
        <f>IFERROR(INDEX(PP_Grid[#Data],$DD444,60),0)</f>
        <v/>
      </c>
      <c r="BK444">
        <f>IFERROR(INDEX(PP_Grid[#Data],$DD444,61),0)</f>
        <v/>
      </c>
      <c r="BL444">
        <f>IFERROR(INDEX(PP_Grid[#Data],$DD444,62),0)</f>
        <v/>
      </c>
      <c r="BM444">
        <f>IFERROR(INDEX(PP_Grid[#Data],$DD444,63),0)</f>
        <v/>
      </c>
      <c r="BN444">
        <f>IFERROR(INDEX(PP_Grid[#Data],$DD444,64),0)</f>
        <v/>
      </c>
      <c r="BO444">
        <f>IFERROR(INDEX(PP_Grid[#Data],$DD444,65),0)</f>
        <v/>
      </c>
      <c r="BP444">
        <f>IFERROR(INDEX(PP_Grid[#Data],$DD444,66),0)</f>
        <v/>
      </c>
      <c r="BQ444">
        <f>IFERROR(INDEX(PP_Grid[#Data],$DD444,67),0)</f>
        <v/>
      </c>
      <c r="BR444">
        <f>IFERROR(INDEX(PP_Grid[#Data],$DD444,68),0)</f>
        <v/>
      </c>
      <c r="BS444">
        <f>IFERROR(INDEX(PP_Grid[#Data],$DD444,69),0)</f>
        <v/>
      </c>
      <c r="BT444">
        <f>IFERROR(INDEX(PP_Grid[#Data],$DD444,70),0)</f>
        <v/>
      </c>
      <c r="BU444">
        <f>IFERROR(INDEX(PP_Grid[#Data],$DD444,71),0)</f>
        <v/>
      </c>
      <c r="BV444">
        <f>IFERROR(INDEX(PP_Grid[#Data],$DD444,72),0)</f>
        <v/>
      </c>
      <c r="BW444">
        <f>IFERROR(INDEX(PP_Grid[#Data],$DD444,73),0)</f>
        <v/>
      </c>
      <c r="BX444">
        <f>IFERROR(INDEX(PP_Grid[#Data],$DD444,74),0)</f>
        <v/>
      </c>
      <c r="BY444">
        <f>IFERROR(INDEX(PP_Grid[#Data],$DD444,75),0)</f>
        <v/>
      </c>
      <c r="BZ444">
        <f>IFERROR(INDEX(PP_Grid[#Data],$DD444,76),0)</f>
        <v/>
      </c>
      <c r="CA444">
        <f>IFERROR(INDEX(PP_Grid[#Data],$DD444,77),0)</f>
        <v/>
      </c>
      <c r="CB444">
        <f>IFERROR(INDEX(PP_Grid[#Data],$DD444,78),0)</f>
        <v/>
      </c>
      <c r="CC444">
        <f>IFERROR(INDEX(PP_Grid[#Data],$DD444,79),0)</f>
        <v/>
      </c>
      <c r="CD444">
        <f>IFERROR(INDEX(PP_Grid[#Data],$DD444,80),0)</f>
        <v/>
      </c>
      <c r="CE444">
        <f>IFERROR(INDEX(PP_Grid[#Data],$DD444,81),0)</f>
        <v/>
      </c>
      <c r="CF444">
        <f>IFERROR(INDEX(PP_Grid[#Data],$DD444,82),0)</f>
        <v/>
      </c>
      <c r="CG444">
        <f>IFERROR(INDEX(PP_Grid[#Data],$DD444,83),0)</f>
        <v/>
      </c>
      <c r="CH444">
        <f>IFERROR(INDEX(PP_Grid[#Data],$DD444,84),0)</f>
        <v/>
      </c>
      <c r="CI444">
        <f>IFERROR(INDEX(PP_Grid[#Data],$DD444,85),0)</f>
        <v/>
      </c>
      <c r="CJ444">
        <f>IFERROR(INDEX(PP_Grid[#Data],$DD444,86),0)</f>
        <v/>
      </c>
      <c r="CK444">
        <f>IFERROR(INDEX(PP_Grid[#Data],$DD444,87),0)</f>
        <v/>
      </c>
      <c r="CL444">
        <f>IFERROR(INDEX(PP_Grid[#Data],$DD444,88),0)</f>
        <v/>
      </c>
      <c r="CM444">
        <f>IFERROR(INDEX(PP_Grid[#Data],$DD444,89),0)</f>
        <v/>
      </c>
      <c r="CN444">
        <f>IFERROR(INDEX(PP_Grid[#Data],$DD444,90),0)</f>
        <v/>
      </c>
      <c r="CO444">
        <f>IFERROR(INDEX(PP_Grid[#Data],$DD444,91),0)</f>
        <v/>
      </c>
      <c r="CP444">
        <f>IFERROR(INDEX(PP_Grid[#Data],$DD444,92),0)</f>
        <v/>
      </c>
      <c r="CQ444">
        <f>IFERROR(INDEX(PP_Grid[#Data],$DD444,93),0)</f>
        <v/>
      </c>
      <c r="CR444">
        <f>IFERROR(INDEX(PP_Grid[#Data],$DD444,94),0)</f>
        <v/>
      </c>
      <c r="CS444">
        <f>IFERROR(INDEX(PP_Grid[#Data],$DD444,95),0)</f>
        <v/>
      </c>
      <c r="CT444">
        <f>IFERROR(INDEX(PP_Grid[#Data],$DD444,96),0)</f>
        <v/>
      </c>
      <c r="CU444">
        <f>IFERROR(INDEX(PP_Grid[#Data],$DD444,97),0)</f>
        <v/>
      </c>
      <c r="CV444">
        <f>IFERROR(INDEX(PP_Grid[#Data],$DD444,98),0)</f>
        <v/>
      </c>
      <c r="CW444">
        <f>IFERROR(INDEX(PP_Grid[#Data],$DD444,99),0)</f>
        <v/>
      </c>
      <c r="CX444">
        <f>IFERROR(INDEX(PP_Grid[#Data],$DD444,100),0)</f>
        <v/>
      </c>
      <c r="CY444">
        <f>IFERROR(INDEX(PP_Grid[#Data],$DD444,101),0)</f>
        <v/>
      </c>
      <c r="CZ444">
        <f>IFERROR(INDEX(PP_Grid[#Data],$DD444,102),0)</f>
        <v/>
      </c>
      <c r="DA444">
        <f>IFERROR(INDEX(PP_Grid[#Data],$DD444,103),0)</f>
        <v/>
      </c>
      <c r="DB444">
        <f>IFERROR(INDEX(PP_Grid[#Data],$DD444,104),0)</f>
        <v/>
      </c>
      <c r="DC444">
        <f>IFERROR(INDEX(PP_Grid[#Data],$DD444,105),0)</f>
        <v/>
      </c>
      <c r="DD444" s="7">
        <f>IFERROR(MATCH($B444,PP_Grid[Intermediate],0),99999)</f>
        <v/>
      </c>
    </row>
    <row r="445">
      <c r="B445" t="inlineStr">
        <is>
          <t>使用量(kg)</t>
        </is>
      </c>
      <c r="C445">
        <f>SUMIFS(M_BOM[RM_Qty_Per_Batch],M_BOM[Intermediate],$B444,M_BOM[Part Name],$A343)</f>
        <v/>
      </c>
      <c r="D445">
        <f>$C445*D444</f>
        <v/>
      </c>
      <c r="E445">
        <f>$C445*E444</f>
        <v/>
      </c>
      <c r="F445">
        <f>$C445*F444</f>
        <v/>
      </c>
      <c r="G445">
        <f>$C445*G444</f>
        <v/>
      </c>
      <c r="H445">
        <f>$C445*H444</f>
        <v/>
      </c>
      <c r="I445">
        <f>$C445*I444</f>
        <v/>
      </c>
      <c r="J445">
        <f>$C445*J444</f>
        <v/>
      </c>
      <c r="K445">
        <f>$C445*K444</f>
        <v/>
      </c>
      <c r="L445">
        <f>$C445*L444</f>
        <v/>
      </c>
      <c r="M445">
        <f>$C445*M444</f>
        <v/>
      </c>
      <c r="N445">
        <f>$C445*N444</f>
        <v/>
      </c>
      <c r="O445">
        <f>$C445*O444</f>
        <v/>
      </c>
      <c r="P445">
        <f>$C445*P444</f>
        <v/>
      </c>
      <c r="Q445">
        <f>$C445*Q444</f>
        <v/>
      </c>
      <c r="R445">
        <f>$C445*R444</f>
        <v/>
      </c>
      <c r="S445">
        <f>$C445*S444</f>
        <v/>
      </c>
      <c r="T445">
        <f>$C445*T444</f>
        <v/>
      </c>
      <c r="U445">
        <f>$C445*U444</f>
        <v/>
      </c>
      <c r="V445">
        <f>$C445*V444</f>
        <v/>
      </c>
      <c r="W445">
        <f>$C445*W444</f>
        <v/>
      </c>
      <c r="X445">
        <f>$C445*X444</f>
        <v/>
      </c>
      <c r="Y445">
        <f>$C445*Y444</f>
        <v/>
      </c>
      <c r="Z445">
        <f>$C445*Z444</f>
        <v/>
      </c>
      <c r="AA445">
        <f>$C445*AA444</f>
        <v/>
      </c>
      <c r="AB445">
        <f>$C445*AB444</f>
        <v/>
      </c>
      <c r="AC445">
        <f>$C445*AC444</f>
        <v/>
      </c>
      <c r="AD445">
        <f>$C445*AD444</f>
        <v/>
      </c>
      <c r="AE445">
        <f>$C445*AE444</f>
        <v/>
      </c>
      <c r="AF445">
        <f>$C445*AF444</f>
        <v/>
      </c>
      <c r="AG445">
        <f>$C445*AG444</f>
        <v/>
      </c>
      <c r="AH445">
        <f>$C445*AH444</f>
        <v/>
      </c>
      <c r="AI445">
        <f>$C445*AI444</f>
        <v/>
      </c>
      <c r="AJ445">
        <f>$C445*AJ444</f>
        <v/>
      </c>
      <c r="AK445">
        <f>$C445*AK444</f>
        <v/>
      </c>
      <c r="AL445">
        <f>$C445*AL444</f>
        <v/>
      </c>
      <c r="AM445">
        <f>$C445*AM444</f>
        <v/>
      </c>
      <c r="AN445">
        <f>$C445*AN444</f>
        <v/>
      </c>
      <c r="AO445">
        <f>$C445*AO444</f>
        <v/>
      </c>
      <c r="AP445">
        <f>$C445*AP444</f>
        <v/>
      </c>
      <c r="AQ445">
        <f>$C445*AQ444</f>
        <v/>
      </c>
      <c r="AR445">
        <f>$C445*AR444</f>
        <v/>
      </c>
      <c r="AS445">
        <f>$C445*AS444</f>
        <v/>
      </c>
      <c r="AT445">
        <f>$C445*AT444</f>
        <v/>
      </c>
      <c r="AU445">
        <f>$C445*AU444</f>
        <v/>
      </c>
      <c r="AV445">
        <f>$C445*AV444</f>
        <v/>
      </c>
      <c r="AW445">
        <f>$C445*AW444</f>
        <v/>
      </c>
      <c r="AX445">
        <f>$C445*AX444</f>
        <v/>
      </c>
      <c r="AY445">
        <f>$C445*AY444</f>
        <v/>
      </c>
      <c r="AZ445">
        <f>$C445*AZ444</f>
        <v/>
      </c>
      <c r="BA445">
        <f>$C445*BA444</f>
        <v/>
      </c>
      <c r="BB445">
        <f>$C445*BB444</f>
        <v/>
      </c>
      <c r="BC445">
        <f>$C445*BC444</f>
        <v/>
      </c>
      <c r="BD445">
        <f>$C445*BD444</f>
        <v/>
      </c>
      <c r="BE445">
        <f>$C445*BE444</f>
        <v/>
      </c>
      <c r="BF445">
        <f>$C445*BF444</f>
        <v/>
      </c>
      <c r="BG445">
        <f>$C445*BG444</f>
        <v/>
      </c>
      <c r="BH445">
        <f>$C445*BH444</f>
        <v/>
      </c>
      <c r="BI445">
        <f>$C445*BI444</f>
        <v/>
      </c>
      <c r="BJ445">
        <f>$C445*BJ444</f>
        <v/>
      </c>
      <c r="BK445">
        <f>$C445*BK444</f>
        <v/>
      </c>
      <c r="BL445">
        <f>$C445*BL444</f>
        <v/>
      </c>
      <c r="BM445">
        <f>$C445*BM444</f>
        <v/>
      </c>
      <c r="BN445">
        <f>$C445*BN444</f>
        <v/>
      </c>
      <c r="BO445">
        <f>$C445*BO444</f>
        <v/>
      </c>
      <c r="BP445">
        <f>$C445*BP444</f>
        <v/>
      </c>
      <c r="BQ445">
        <f>$C445*BQ444</f>
        <v/>
      </c>
      <c r="BR445">
        <f>$C445*BR444</f>
        <v/>
      </c>
      <c r="BS445">
        <f>$C445*BS444</f>
        <v/>
      </c>
      <c r="BT445">
        <f>$C445*BT444</f>
        <v/>
      </c>
      <c r="BU445">
        <f>$C445*BU444</f>
        <v/>
      </c>
      <c r="BV445">
        <f>$C445*BV444</f>
        <v/>
      </c>
      <c r="BW445">
        <f>$C445*BW444</f>
        <v/>
      </c>
      <c r="BX445">
        <f>$C445*BX444</f>
        <v/>
      </c>
      <c r="BY445">
        <f>$C445*BY444</f>
        <v/>
      </c>
      <c r="BZ445">
        <f>$C445*BZ444</f>
        <v/>
      </c>
      <c r="CA445">
        <f>$C445*CA444</f>
        <v/>
      </c>
      <c r="CB445">
        <f>$C445*CB444</f>
        <v/>
      </c>
      <c r="CC445">
        <f>$C445*CC444</f>
        <v/>
      </c>
      <c r="CD445">
        <f>$C445*CD444</f>
        <v/>
      </c>
      <c r="CE445">
        <f>$C445*CE444</f>
        <v/>
      </c>
      <c r="CF445">
        <f>$C445*CF444</f>
        <v/>
      </c>
      <c r="CG445">
        <f>$C445*CG444</f>
        <v/>
      </c>
      <c r="CH445">
        <f>$C445*CH444</f>
        <v/>
      </c>
      <c r="CI445">
        <f>$C445*CI444</f>
        <v/>
      </c>
      <c r="CJ445">
        <f>$C445*CJ444</f>
        <v/>
      </c>
      <c r="CK445">
        <f>$C445*CK444</f>
        <v/>
      </c>
      <c r="CL445">
        <f>$C445*CL444</f>
        <v/>
      </c>
      <c r="CM445">
        <f>$C445*CM444</f>
        <v/>
      </c>
      <c r="CN445">
        <f>$C445*CN444</f>
        <v/>
      </c>
      <c r="CO445">
        <f>$C445*CO444</f>
        <v/>
      </c>
      <c r="CP445">
        <f>$C445*CP444</f>
        <v/>
      </c>
      <c r="CQ445">
        <f>$C445*CQ444</f>
        <v/>
      </c>
      <c r="CR445">
        <f>$C445*CR444</f>
        <v/>
      </c>
      <c r="CS445">
        <f>$C445*CS444</f>
        <v/>
      </c>
      <c r="CT445">
        <f>$C445*CT444</f>
        <v/>
      </c>
      <c r="CU445">
        <f>$C445*CU444</f>
        <v/>
      </c>
      <c r="CV445">
        <f>$C445*CV444</f>
        <v/>
      </c>
      <c r="CW445">
        <f>$C445*CW444</f>
        <v/>
      </c>
      <c r="CX445">
        <f>$C445*CX444</f>
        <v/>
      </c>
      <c r="CY445">
        <f>$C445*CY444</f>
        <v/>
      </c>
      <c r="CZ445">
        <f>$C445*CZ444</f>
        <v/>
      </c>
      <c r="DA445">
        <f>$C445*DA444</f>
        <v/>
      </c>
      <c r="DB445">
        <f>$C445*DB444</f>
        <v/>
      </c>
      <c r="DC445">
        <f>$C445*DC444</f>
        <v/>
      </c>
    </row>
    <row r="446">
      <c r="B446" s="4" t="inlineStr">
        <is>
          <t>合計使用量(kg)/週</t>
        </is>
      </c>
      <c r="D446">
        <f>'Grid_Requirement'!B15</f>
        <v/>
      </c>
      <c r="E446">
        <f>'Grid_Requirement'!C15</f>
        <v/>
      </c>
      <c r="F446">
        <f>'Grid_Requirement'!D15</f>
        <v/>
      </c>
      <c r="G446">
        <f>'Grid_Requirement'!E15</f>
        <v/>
      </c>
      <c r="H446">
        <f>'Grid_Requirement'!F15</f>
        <v/>
      </c>
      <c r="I446">
        <f>'Grid_Requirement'!G15</f>
        <v/>
      </c>
      <c r="J446">
        <f>'Grid_Requirement'!H15</f>
        <v/>
      </c>
      <c r="K446">
        <f>'Grid_Requirement'!I15</f>
        <v/>
      </c>
      <c r="L446">
        <f>'Grid_Requirement'!J15</f>
        <v/>
      </c>
      <c r="M446">
        <f>'Grid_Requirement'!K15</f>
        <v/>
      </c>
      <c r="N446">
        <f>'Grid_Requirement'!L15</f>
        <v/>
      </c>
      <c r="O446">
        <f>'Grid_Requirement'!M15</f>
        <v/>
      </c>
      <c r="P446">
        <f>'Grid_Requirement'!N15</f>
        <v/>
      </c>
      <c r="Q446">
        <f>'Grid_Requirement'!O15</f>
        <v/>
      </c>
      <c r="R446">
        <f>'Grid_Requirement'!P15</f>
        <v/>
      </c>
      <c r="S446">
        <f>'Grid_Requirement'!Q15</f>
        <v/>
      </c>
      <c r="T446">
        <f>'Grid_Requirement'!R15</f>
        <v/>
      </c>
      <c r="U446">
        <f>'Grid_Requirement'!S15</f>
        <v/>
      </c>
      <c r="V446">
        <f>'Grid_Requirement'!T15</f>
        <v/>
      </c>
      <c r="W446">
        <f>'Grid_Requirement'!U15</f>
        <v/>
      </c>
      <c r="X446">
        <f>'Grid_Requirement'!V15</f>
        <v/>
      </c>
      <c r="Y446">
        <f>'Grid_Requirement'!W15</f>
        <v/>
      </c>
      <c r="Z446">
        <f>'Grid_Requirement'!X15</f>
        <v/>
      </c>
      <c r="AA446">
        <f>'Grid_Requirement'!Y15</f>
        <v/>
      </c>
      <c r="AB446">
        <f>'Grid_Requirement'!Z15</f>
        <v/>
      </c>
      <c r="AC446">
        <f>'Grid_Requirement'!AA15</f>
        <v/>
      </c>
      <c r="AD446">
        <f>'Grid_Requirement'!AB15</f>
        <v/>
      </c>
      <c r="AE446">
        <f>'Grid_Requirement'!AC15</f>
        <v/>
      </c>
      <c r="AF446">
        <f>'Grid_Requirement'!AD15</f>
        <v/>
      </c>
      <c r="AG446">
        <f>'Grid_Requirement'!AE15</f>
        <v/>
      </c>
      <c r="AH446">
        <f>'Grid_Requirement'!AF15</f>
        <v/>
      </c>
      <c r="AI446">
        <f>'Grid_Requirement'!AG15</f>
        <v/>
      </c>
      <c r="AJ446">
        <f>'Grid_Requirement'!AH15</f>
        <v/>
      </c>
      <c r="AK446">
        <f>'Grid_Requirement'!AI15</f>
        <v/>
      </c>
      <c r="AL446">
        <f>'Grid_Requirement'!AJ15</f>
        <v/>
      </c>
      <c r="AM446">
        <f>'Grid_Requirement'!AK15</f>
        <v/>
      </c>
      <c r="AN446">
        <f>'Grid_Requirement'!AL15</f>
        <v/>
      </c>
      <c r="AO446">
        <f>'Grid_Requirement'!AM15</f>
        <v/>
      </c>
      <c r="AP446">
        <f>'Grid_Requirement'!AN15</f>
        <v/>
      </c>
      <c r="AQ446">
        <f>'Grid_Requirement'!AO15</f>
        <v/>
      </c>
      <c r="AR446">
        <f>'Grid_Requirement'!AP15</f>
        <v/>
      </c>
      <c r="AS446">
        <f>'Grid_Requirement'!AQ15</f>
        <v/>
      </c>
      <c r="AT446">
        <f>'Grid_Requirement'!AR15</f>
        <v/>
      </c>
      <c r="AU446">
        <f>'Grid_Requirement'!AS15</f>
        <v/>
      </c>
      <c r="AV446">
        <f>'Grid_Requirement'!AT15</f>
        <v/>
      </c>
      <c r="AW446">
        <f>'Grid_Requirement'!AU15</f>
        <v/>
      </c>
      <c r="AX446">
        <f>'Grid_Requirement'!AV15</f>
        <v/>
      </c>
      <c r="AY446">
        <f>'Grid_Requirement'!AW15</f>
        <v/>
      </c>
      <c r="AZ446">
        <f>'Grid_Requirement'!AX15</f>
        <v/>
      </c>
      <c r="BA446">
        <f>'Grid_Requirement'!AY15</f>
        <v/>
      </c>
      <c r="BB446">
        <f>'Grid_Requirement'!AZ15</f>
        <v/>
      </c>
      <c r="BC446">
        <f>'Grid_Requirement'!BA15</f>
        <v/>
      </c>
      <c r="BD446">
        <f>'Grid_Requirement'!BB15</f>
        <v/>
      </c>
      <c r="BE446">
        <f>'Grid_Requirement'!BC15</f>
        <v/>
      </c>
      <c r="BF446">
        <f>'Grid_Requirement'!BD15</f>
        <v/>
      </c>
      <c r="BG446">
        <f>'Grid_Requirement'!BE15</f>
        <v/>
      </c>
      <c r="BH446">
        <f>'Grid_Requirement'!BF15</f>
        <v/>
      </c>
      <c r="BI446">
        <f>'Grid_Requirement'!BG15</f>
        <v/>
      </c>
      <c r="BJ446">
        <f>'Grid_Requirement'!BH15</f>
        <v/>
      </c>
      <c r="BK446">
        <f>'Grid_Requirement'!BI15</f>
        <v/>
      </c>
      <c r="BL446">
        <f>'Grid_Requirement'!BJ15</f>
        <v/>
      </c>
      <c r="BM446">
        <f>'Grid_Requirement'!BK15</f>
        <v/>
      </c>
      <c r="BN446">
        <f>'Grid_Requirement'!BL15</f>
        <v/>
      </c>
      <c r="BO446">
        <f>'Grid_Requirement'!BM15</f>
        <v/>
      </c>
      <c r="BP446">
        <f>'Grid_Requirement'!BN15</f>
        <v/>
      </c>
      <c r="BQ446">
        <f>'Grid_Requirement'!BO15</f>
        <v/>
      </c>
      <c r="BR446">
        <f>'Grid_Requirement'!BP15</f>
        <v/>
      </c>
      <c r="BS446">
        <f>'Grid_Requirement'!BQ15</f>
        <v/>
      </c>
      <c r="BT446">
        <f>'Grid_Requirement'!BR15</f>
        <v/>
      </c>
      <c r="BU446">
        <f>'Grid_Requirement'!BS15</f>
        <v/>
      </c>
      <c r="BV446">
        <f>'Grid_Requirement'!BT15</f>
        <v/>
      </c>
      <c r="BW446">
        <f>'Grid_Requirement'!BU15</f>
        <v/>
      </c>
      <c r="BX446">
        <f>'Grid_Requirement'!BV15</f>
        <v/>
      </c>
      <c r="BY446">
        <f>'Grid_Requirement'!BW15</f>
        <v/>
      </c>
      <c r="BZ446">
        <f>'Grid_Requirement'!BX15</f>
        <v/>
      </c>
      <c r="CA446">
        <f>'Grid_Requirement'!BY15</f>
        <v/>
      </c>
      <c r="CB446">
        <f>'Grid_Requirement'!BZ15</f>
        <v/>
      </c>
      <c r="CC446">
        <f>'Grid_Requirement'!CA15</f>
        <v/>
      </c>
      <c r="CD446">
        <f>'Grid_Requirement'!CB15</f>
        <v/>
      </c>
      <c r="CE446">
        <f>'Grid_Requirement'!CC15</f>
        <v/>
      </c>
      <c r="CF446">
        <f>'Grid_Requirement'!CD15</f>
        <v/>
      </c>
      <c r="CG446">
        <f>'Grid_Requirement'!CE15</f>
        <v/>
      </c>
      <c r="CH446">
        <f>'Grid_Requirement'!CF15</f>
        <v/>
      </c>
      <c r="CI446">
        <f>'Grid_Requirement'!CG15</f>
        <v/>
      </c>
      <c r="CJ446">
        <f>'Grid_Requirement'!CH15</f>
        <v/>
      </c>
      <c r="CK446">
        <f>'Grid_Requirement'!CI15</f>
        <v/>
      </c>
      <c r="CL446">
        <f>'Grid_Requirement'!CJ15</f>
        <v/>
      </c>
      <c r="CM446">
        <f>'Grid_Requirement'!CK15</f>
        <v/>
      </c>
      <c r="CN446">
        <f>'Grid_Requirement'!CL15</f>
        <v/>
      </c>
      <c r="CO446">
        <f>'Grid_Requirement'!CM15</f>
        <v/>
      </c>
      <c r="CP446">
        <f>'Grid_Requirement'!CN15</f>
        <v/>
      </c>
      <c r="CQ446">
        <f>'Grid_Requirement'!CO15</f>
        <v/>
      </c>
      <c r="CR446">
        <f>'Grid_Requirement'!CP15</f>
        <v/>
      </c>
      <c r="CS446">
        <f>'Grid_Requirement'!CQ15</f>
        <v/>
      </c>
      <c r="CT446">
        <f>'Grid_Requirement'!CR15</f>
        <v/>
      </c>
      <c r="CU446">
        <f>'Grid_Requirement'!CS15</f>
        <v/>
      </c>
      <c r="CV446">
        <f>'Grid_Requirement'!CT15</f>
        <v/>
      </c>
      <c r="CW446">
        <f>'Grid_Requirement'!CU15</f>
        <v/>
      </c>
      <c r="CX446">
        <f>'Grid_Requirement'!CV15</f>
        <v/>
      </c>
      <c r="CY446">
        <f>'Grid_Requirement'!CW15</f>
        <v/>
      </c>
      <c r="CZ446">
        <f>'Grid_Requirement'!CX15</f>
        <v/>
      </c>
      <c r="DA446">
        <f>'Grid_Requirement'!CY15</f>
        <v/>
      </c>
      <c r="DB446">
        <f>'Grid_Requirement'!CZ15</f>
        <v/>
      </c>
      <c r="DC446">
        <f>'Grid_Requirement'!DA15</f>
        <v/>
      </c>
    </row>
    <row r="447">
      <c r="B447" t="inlineStr">
        <is>
          <t>TTAF在庫(実績,kg)</t>
        </is>
      </c>
      <c r="D447">
        <f>'T_TTAFStock'!B19</f>
        <v/>
      </c>
      <c r="E447">
        <f>'T_TTAFStock'!C19</f>
        <v/>
      </c>
      <c r="F447">
        <f>'T_TTAFStock'!D19</f>
        <v/>
      </c>
      <c r="G447">
        <f>'T_TTAFStock'!E19</f>
        <v/>
      </c>
      <c r="H447">
        <f>'T_TTAFStock'!F19</f>
        <v/>
      </c>
      <c r="I447">
        <f>'T_TTAFStock'!G19</f>
        <v/>
      </c>
      <c r="J447">
        <f>'T_TTAFStock'!H19</f>
        <v/>
      </c>
      <c r="K447">
        <f>'T_TTAFStock'!I19</f>
        <v/>
      </c>
      <c r="L447">
        <f>'T_TTAFStock'!J19</f>
        <v/>
      </c>
      <c r="M447">
        <f>'T_TTAFStock'!K19</f>
        <v/>
      </c>
      <c r="N447">
        <f>'T_TTAFStock'!L19</f>
        <v/>
      </c>
      <c r="O447">
        <f>'T_TTAFStock'!M19</f>
        <v/>
      </c>
      <c r="P447">
        <f>'T_TTAFStock'!N19</f>
        <v/>
      </c>
      <c r="Q447">
        <f>'T_TTAFStock'!O19</f>
        <v/>
      </c>
      <c r="R447">
        <f>'T_TTAFStock'!P19</f>
        <v/>
      </c>
      <c r="S447">
        <f>'T_TTAFStock'!Q19</f>
        <v/>
      </c>
      <c r="T447">
        <f>'T_TTAFStock'!R19</f>
        <v/>
      </c>
      <c r="U447">
        <f>'T_TTAFStock'!S19</f>
        <v/>
      </c>
      <c r="V447">
        <f>'T_TTAFStock'!T19</f>
        <v/>
      </c>
      <c r="W447">
        <f>'T_TTAFStock'!U19</f>
        <v/>
      </c>
      <c r="X447">
        <f>'T_TTAFStock'!V19</f>
        <v/>
      </c>
      <c r="Y447">
        <f>'T_TTAFStock'!W19</f>
        <v/>
      </c>
      <c r="Z447">
        <f>'T_TTAFStock'!X19</f>
        <v/>
      </c>
      <c r="AA447">
        <f>'T_TTAFStock'!Y19</f>
        <v/>
      </c>
      <c r="AB447">
        <f>'T_TTAFStock'!Z19</f>
        <v/>
      </c>
      <c r="AC447">
        <f>'T_TTAFStock'!AA19</f>
        <v/>
      </c>
      <c r="AD447">
        <f>'T_TTAFStock'!AB19</f>
        <v/>
      </c>
      <c r="AE447">
        <f>'T_TTAFStock'!AC19</f>
        <v/>
      </c>
      <c r="AF447">
        <f>'T_TTAFStock'!AD19</f>
        <v/>
      </c>
      <c r="AG447">
        <f>'T_TTAFStock'!AE19</f>
        <v/>
      </c>
      <c r="AH447">
        <f>'T_TTAFStock'!AF19</f>
        <v/>
      </c>
      <c r="AI447">
        <f>'T_TTAFStock'!AG19</f>
        <v/>
      </c>
      <c r="AJ447">
        <f>'T_TTAFStock'!AH19</f>
        <v/>
      </c>
      <c r="AK447">
        <f>'T_TTAFStock'!AI19</f>
        <v/>
      </c>
      <c r="AL447">
        <f>'T_TTAFStock'!AJ19</f>
        <v/>
      </c>
      <c r="AM447">
        <f>'T_TTAFStock'!AK19</f>
        <v/>
      </c>
      <c r="AN447">
        <f>'T_TTAFStock'!AL19</f>
        <v/>
      </c>
      <c r="AO447">
        <f>'T_TTAFStock'!AM19</f>
        <v/>
      </c>
      <c r="AP447">
        <f>'T_TTAFStock'!AN19</f>
        <v/>
      </c>
      <c r="AQ447">
        <f>'T_TTAFStock'!AO19</f>
        <v/>
      </c>
      <c r="AR447">
        <f>'T_TTAFStock'!AP19</f>
        <v/>
      </c>
      <c r="AS447">
        <f>'T_TTAFStock'!AQ19</f>
        <v/>
      </c>
      <c r="AT447">
        <f>'T_TTAFStock'!AR19</f>
        <v/>
      </c>
      <c r="AU447">
        <f>'T_TTAFStock'!AS19</f>
        <v/>
      </c>
      <c r="AV447">
        <f>'T_TTAFStock'!AT19</f>
        <v/>
      </c>
      <c r="AW447">
        <f>'T_TTAFStock'!AU19</f>
        <v/>
      </c>
      <c r="AX447">
        <f>'T_TTAFStock'!AV19</f>
        <v/>
      </c>
      <c r="AY447">
        <f>'T_TTAFStock'!AW19</f>
        <v/>
      </c>
      <c r="AZ447">
        <f>'T_TTAFStock'!AX19</f>
        <v/>
      </c>
      <c r="BA447">
        <f>'T_TTAFStock'!AY19</f>
        <v/>
      </c>
      <c r="BB447">
        <f>'T_TTAFStock'!AZ19</f>
        <v/>
      </c>
      <c r="BC447">
        <f>'T_TTAFStock'!BA19</f>
        <v/>
      </c>
      <c r="BD447">
        <f>'T_TTAFStock'!BB19</f>
        <v/>
      </c>
      <c r="BE447">
        <f>'T_TTAFStock'!BC19</f>
        <v/>
      </c>
      <c r="BF447">
        <f>'T_TTAFStock'!BD19</f>
        <v/>
      </c>
      <c r="BG447">
        <f>'T_TTAFStock'!BE19</f>
        <v/>
      </c>
      <c r="BH447">
        <f>'T_TTAFStock'!BF19</f>
        <v/>
      </c>
      <c r="BI447">
        <f>'T_TTAFStock'!BG19</f>
        <v/>
      </c>
      <c r="BJ447">
        <f>'T_TTAFStock'!BH19</f>
        <v/>
      </c>
      <c r="BK447">
        <f>'T_TTAFStock'!BI19</f>
        <v/>
      </c>
      <c r="BL447">
        <f>'T_TTAFStock'!BJ19</f>
        <v/>
      </c>
      <c r="BM447">
        <f>'T_TTAFStock'!BK19</f>
        <v/>
      </c>
      <c r="BN447">
        <f>'T_TTAFStock'!BL19</f>
        <v/>
      </c>
      <c r="BO447">
        <f>'T_TTAFStock'!BM19</f>
        <v/>
      </c>
      <c r="BP447">
        <f>'T_TTAFStock'!BN19</f>
        <v/>
      </c>
      <c r="BQ447">
        <f>'T_TTAFStock'!BO19</f>
        <v/>
      </c>
      <c r="BR447">
        <f>'T_TTAFStock'!BP19</f>
        <v/>
      </c>
      <c r="BS447">
        <f>'T_TTAFStock'!BQ19</f>
        <v/>
      </c>
      <c r="BT447">
        <f>'T_TTAFStock'!BR19</f>
        <v/>
      </c>
      <c r="BU447">
        <f>'T_TTAFStock'!BS19</f>
        <v/>
      </c>
      <c r="BV447">
        <f>'T_TTAFStock'!BT19</f>
        <v/>
      </c>
      <c r="BW447">
        <f>'T_TTAFStock'!BU19</f>
        <v/>
      </c>
      <c r="BX447">
        <f>'T_TTAFStock'!BV19</f>
        <v/>
      </c>
      <c r="BY447">
        <f>'T_TTAFStock'!BW19</f>
        <v/>
      </c>
      <c r="BZ447">
        <f>'T_TTAFStock'!BX19</f>
        <v/>
      </c>
      <c r="CA447">
        <f>'T_TTAFStock'!BY19</f>
        <v/>
      </c>
      <c r="CB447">
        <f>'T_TTAFStock'!BZ19</f>
        <v/>
      </c>
      <c r="CC447">
        <f>'T_TTAFStock'!CA19</f>
        <v/>
      </c>
      <c r="CD447">
        <f>'T_TTAFStock'!CB19</f>
        <v/>
      </c>
      <c r="CE447">
        <f>'T_TTAFStock'!CC19</f>
        <v/>
      </c>
      <c r="CF447">
        <f>'T_TTAFStock'!CD19</f>
        <v/>
      </c>
      <c r="CG447">
        <f>'T_TTAFStock'!CE19</f>
        <v/>
      </c>
      <c r="CH447">
        <f>'T_TTAFStock'!CF19</f>
        <v/>
      </c>
      <c r="CI447">
        <f>'T_TTAFStock'!CG19</f>
        <v/>
      </c>
      <c r="CJ447">
        <f>'T_TTAFStock'!CH19</f>
        <v/>
      </c>
      <c r="CK447">
        <f>'T_TTAFStock'!CI19</f>
        <v/>
      </c>
      <c r="CL447">
        <f>'T_TTAFStock'!CJ19</f>
        <v/>
      </c>
      <c r="CM447">
        <f>'T_TTAFStock'!CK19</f>
        <v/>
      </c>
      <c r="CN447">
        <f>'T_TTAFStock'!CL19</f>
        <v/>
      </c>
      <c r="CO447">
        <f>'T_TTAFStock'!CM19</f>
        <v/>
      </c>
      <c r="CP447">
        <f>'T_TTAFStock'!CN19</f>
        <v/>
      </c>
      <c r="CQ447">
        <f>'T_TTAFStock'!CO19</f>
        <v/>
      </c>
      <c r="CR447">
        <f>'T_TTAFStock'!CP19</f>
        <v/>
      </c>
      <c r="CS447">
        <f>'T_TTAFStock'!CQ19</f>
        <v/>
      </c>
      <c r="CT447">
        <f>'T_TTAFStock'!CR19</f>
        <v/>
      </c>
      <c r="CU447">
        <f>'T_TTAFStock'!CS19</f>
        <v/>
      </c>
      <c r="CV447">
        <f>'T_TTAFStock'!CT19</f>
        <v/>
      </c>
      <c r="CW447">
        <f>'T_TTAFStock'!CU19</f>
        <v/>
      </c>
      <c r="CX447">
        <f>'T_TTAFStock'!CV19</f>
        <v/>
      </c>
      <c r="CY447">
        <f>'T_TTAFStock'!CW19</f>
        <v/>
      </c>
      <c r="CZ447">
        <f>'T_TTAFStock'!CX19</f>
        <v/>
      </c>
      <c r="DA447">
        <f>'T_TTAFStock'!CY19</f>
        <v/>
      </c>
      <c r="DB447">
        <f>'T_TTAFStock'!CZ19</f>
        <v/>
      </c>
      <c r="DC447">
        <f>'T_TTAFStock'!DA19</f>
        <v/>
      </c>
    </row>
    <row r="448">
      <c r="B448" t="inlineStr">
        <is>
          <t>自社在庫(実績,kg)</t>
        </is>
      </c>
      <c r="D448">
        <f>'T_SelfStock'!B19</f>
        <v/>
      </c>
      <c r="E448">
        <f>'T_SelfStock'!C19</f>
        <v/>
      </c>
      <c r="F448">
        <f>'T_SelfStock'!D19</f>
        <v/>
      </c>
      <c r="G448">
        <f>'T_SelfStock'!E19</f>
        <v/>
      </c>
      <c r="H448">
        <f>'T_SelfStock'!F19</f>
        <v/>
      </c>
      <c r="I448">
        <f>'T_SelfStock'!G19</f>
        <v/>
      </c>
      <c r="J448">
        <f>'T_SelfStock'!H19</f>
        <v/>
      </c>
      <c r="K448">
        <f>'T_SelfStock'!I19</f>
        <v/>
      </c>
      <c r="L448">
        <f>'T_SelfStock'!J19</f>
        <v/>
      </c>
      <c r="M448">
        <f>'T_SelfStock'!K19</f>
        <v/>
      </c>
      <c r="N448">
        <f>'T_SelfStock'!L19</f>
        <v/>
      </c>
      <c r="O448">
        <f>'T_SelfStock'!M19</f>
        <v/>
      </c>
      <c r="P448">
        <f>'T_SelfStock'!N19</f>
        <v/>
      </c>
      <c r="Q448">
        <f>'T_SelfStock'!O19</f>
        <v/>
      </c>
      <c r="R448">
        <f>'T_SelfStock'!P19</f>
        <v/>
      </c>
      <c r="S448">
        <f>'T_SelfStock'!Q19</f>
        <v/>
      </c>
      <c r="T448">
        <f>'T_SelfStock'!R19</f>
        <v/>
      </c>
      <c r="U448">
        <f>'T_SelfStock'!S19</f>
        <v/>
      </c>
      <c r="V448">
        <f>'T_SelfStock'!T19</f>
        <v/>
      </c>
      <c r="W448">
        <f>'T_SelfStock'!U19</f>
        <v/>
      </c>
      <c r="X448">
        <f>'T_SelfStock'!V19</f>
        <v/>
      </c>
      <c r="Y448">
        <f>'T_SelfStock'!W19</f>
        <v/>
      </c>
      <c r="Z448">
        <f>'T_SelfStock'!X19</f>
        <v/>
      </c>
      <c r="AA448">
        <f>'T_SelfStock'!Y19</f>
        <v/>
      </c>
      <c r="AB448">
        <f>'T_SelfStock'!Z19</f>
        <v/>
      </c>
      <c r="AC448">
        <f>'T_SelfStock'!AA19</f>
        <v/>
      </c>
      <c r="AD448">
        <f>'T_SelfStock'!AB19</f>
        <v/>
      </c>
      <c r="AE448">
        <f>'T_SelfStock'!AC19</f>
        <v/>
      </c>
      <c r="AF448">
        <f>'T_SelfStock'!AD19</f>
        <v/>
      </c>
      <c r="AG448">
        <f>'T_SelfStock'!AE19</f>
        <v/>
      </c>
      <c r="AH448">
        <f>'T_SelfStock'!AF19</f>
        <v/>
      </c>
      <c r="AI448">
        <f>'T_SelfStock'!AG19</f>
        <v/>
      </c>
      <c r="AJ448">
        <f>'T_SelfStock'!AH19</f>
        <v/>
      </c>
      <c r="AK448">
        <f>'T_SelfStock'!AI19</f>
        <v/>
      </c>
      <c r="AL448">
        <f>'T_SelfStock'!AJ19</f>
        <v/>
      </c>
      <c r="AM448">
        <f>'T_SelfStock'!AK19</f>
        <v/>
      </c>
      <c r="AN448">
        <f>'T_SelfStock'!AL19</f>
        <v/>
      </c>
      <c r="AO448">
        <f>'T_SelfStock'!AM19</f>
        <v/>
      </c>
      <c r="AP448">
        <f>'T_SelfStock'!AN19</f>
        <v/>
      </c>
      <c r="AQ448">
        <f>'T_SelfStock'!AO19</f>
        <v/>
      </c>
      <c r="AR448">
        <f>'T_SelfStock'!AP19</f>
        <v/>
      </c>
      <c r="AS448">
        <f>'T_SelfStock'!AQ19</f>
        <v/>
      </c>
      <c r="AT448">
        <f>'T_SelfStock'!AR19</f>
        <v/>
      </c>
      <c r="AU448">
        <f>'T_SelfStock'!AS19</f>
        <v/>
      </c>
      <c r="AV448">
        <f>'T_SelfStock'!AT19</f>
        <v/>
      </c>
      <c r="AW448">
        <f>'T_SelfStock'!AU19</f>
        <v/>
      </c>
      <c r="AX448">
        <f>'T_SelfStock'!AV19</f>
        <v/>
      </c>
      <c r="AY448">
        <f>'T_SelfStock'!AW19</f>
        <v/>
      </c>
      <c r="AZ448">
        <f>'T_SelfStock'!AX19</f>
        <v/>
      </c>
      <c r="BA448">
        <f>'T_SelfStock'!AY19</f>
        <v/>
      </c>
      <c r="BB448">
        <f>'T_SelfStock'!AZ19</f>
        <v/>
      </c>
      <c r="BC448">
        <f>'T_SelfStock'!BA19</f>
        <v/>
      </c>
      <c r="BD448">
        <f>'T_SelfStock'!BB19</f>
        <v/>
      </c>
      <c r="BE448">
        <f>'T_SelfStock'!BC19</f>
        <v/>
      </c>
      <c r="BF448">
        <f>'T_SelfStock'!BD19</f>
        <v/>
      </c>
      <c r="BG448">
        <f>'T_SelfStock'!BE19</f>
        <v/>
      </c>
      <c r="BH448">
        <f>'T_SelfStock'!BF19</f>
        <v/>
      </c>
      <c r="BI448">
        <f>'T_SelfStock'!BG19</f>
        <v/>
      </c>
      <c r="BJ448">
        <f>'T_SelfStock'!BH19</f>
        <v/>
      </c>
      <c r="BK448">
        <f>'T_SelfStock'!BI19</f>
        <v/>
      </c>
      <c r="BL448">
        <f>'T_SelfStock'!BJ19</f>
        <v/>
      </c>
      <c r="BM448">
        <f>'T_SelfStock'!BK19</f>
        <v/>
      </c>
      <c r="BN448">
        <f>'T_SelfStock'!BL19</f>
        <v/>
      </c>
      <c r="BO448">
        <f>'T_SelfStock'!BM19</f>
        <v/>
      </c>
      <c r="BP448">
        <f>'T_SelfStock'!BN19</f>
        <v/>
      </c>
      <c r="BQ448">
        <f>'T_SelfStock'!BO19</f>
        <v/>
      </c>
      <c r="BR448">
        <f>'T_SelfStock'!BP19</f>
        <v/>
      </c>
      <c r="BS448">
        <f>'T_SelfStock'!BQ19</f>
        <v/>
      </c>
      <c r="BT448">
        <f>'T_SelfStock'!BR19</f>
        <v/>
      </c>
      <c r="BU448">
        <f>'T_SelfStock'!BS19</f>
        <v/>
      </c>
      <c r="BV448">
        <f>'T_SelfStock'!BT19</f>
        <v/>
      </c>
      <c r="BW448">
        <f>'T_SelfStock'!BU19</f>
        <v/>
      </c>
      <c r="BX448">
        <f>'T_SelfStock'!BV19</f>
        <v/>
      </c>
      <c r="BY448">
        <f>'T_SelfStock'!BW19</f>
        <v/>
      </c>
      <c r="BZ448">
        <f>'T_SelfStock'!BX19</f>
        <v/>
      </c>
      <c r="CA448">
        <f>'T_SelfStock'!BY19</f>
        <v/>
      </c>
      <c r="CB448">
        <f>'T_SelfStock'!BZ19</f>
        <v/>
      </c>
      <c r="CC448">
        <f>'T_SelfStock'!CA19</f>
        <v/>
      </c>
      <c r="CD448">
        <f>'T_SelfStock'!CB19</f>
        <v/>
      </c>
      <c r="CE448">
        <f>'T_SelfStock'!CC19</f>
        <v/>
      </c>
      <c r="CF448">
        <f>'T_SelfStock'!CD19</f>
        <v/>
      </c>
      <c r="CG448">
        <f>'T_SelfStock'!CE19</f>
        <v/>
      </c>
      <c r="CH448">
        <f>'T_SelfStock'!CF19</f>
        <v/>
      </c>
      <c r="CI448">
        <f>'T_SelfStock'!CG19</f>
        <v/>
      </c>
      <c r="CJ448">
        <f>'T_SelfStock'!CH19</f>
        <v/>
      </c>
      <c r="CK448">
        <f>'T_SelfStock'!CI19</f>
        <v/>
      </c>
      <c r="CL448">
        <f>'T_SelfStock'!CJ19</f>
        <v/>
      </c>
      <c r="CM448">
        <f>'T_SelfStock'!CK19</f>
        <v/>
      </c>
      <c r="CN448">
        <f>'T_SelfStock'!CL19</f>
        <v/>
      </c>
      <c r="CO448">
        <f>'T_SelfStock'!CM19</f>
        <v/>
      </c>
      <c r="CP448">
        <f>'T_SelfStock'!CN19</f>
        <v/>
      </c>
      <c r="CQ448">
        <f>'T_SelfStock'!CO19</f>
        <v/>
      </c>
      <c r="CR448">
        <f>'T_SelfStock'!CP19</f>
        <v/>
      </c>
      <c r="CS448">
        <f>'T_SelfStock'!CQ19</f>
        <v/>
      </c>
      <c r="CT448">
        <f>'T_SelfStock'!CR19</f>
        <v/>
      </c>
      <c r="CU448">
        <f>'T_SelfStock'!CS19</f>
        <v/>
      </c>
      <c r="CV448">
        <f>'T_SelfStock'!CT19</f>
        <v/>
      </c>
      <c r="CW448">
        <f>'T_SelfStock'!CU19</f>
        <v/>
      </c>
      <c r="CX448">
        <f>'T_SelfStock'!CV19</f>
        <v/>
      </c>
      <c r="CY448">
        <f>'T_SelfStock'!CW19</f>
        <v/>
      </c>
      <c r="CZ448">
        <f>'T_SelfStock'!CX19</f>
        <v/>
      </c>
      <c r="DA448">
        <f>'T_SelfStock'!CY19</f>
        <v/>
      </c>
      <c r="DB448">
        <f>'T_SelfStock'!CZ19</f>
        <v/>
      </c>
      <c r="DC448">
        <f>'T_SelfStock'!DA19</f>
        <v/>
      </c>
    </row>
    <row r="449">
      <c r="B449" t="inlineStr">
        <is>
          <t>Order(発注予定,kg)</t>
        </is>
      </c>
      <c r="D449">
        <f>IF(SUMIFS(T_PlannedOrders[EffectiveQty],T_PlannedOrders[Part Name],$A343,T_PlannedOrders[WeekIndex],1)=0,"",SUMIFS(T_PlannedOrders[EffectiveQty],T_PlannedOrders[Part Name],$A343,T_PlannedOrders[WeekIndex],1)&amp;" ("&amp;TEXT(SUMPRODUCT(MAX((T_PlannedOrders[Part Name]=$A343)*(T_PlannedOrders[WeekIndex]=1)*(T_PlannedOrders[EffectiveQty]&gt;0)*T_PlannedOrders[Order_Month])),"m月")&amp;"発注)")</f>
        <v/>
      </c>
      <c r="E449">
        <f>IF(SUMIFS(T_PlannedOrders[EffectiveQty],T_PlannedOrders[Part Name],$A343,T_PlannedOrders[WeekIndex],2)=0,"",SUMIFS(T_PlannedOrders[EffectiveQty],T_PlannedOrders[Part Name],$A343,T_PlannedOrders[WeekIndex],2)&amp;" ("&amp;TEXT(SUMPRODUCT(MAX((T_PlannedOrders[Part Name]=$A343)*(T_PlannedOrders[WeekIndex]=2)*(T_PlannedOrders[EffectiveQty]&gt;0)*T_PlannedOrders[Order_Month])),"m月")&amp;"発注)")</f>
        <v/>
      </c>
      <c r="F449">
        <f>IF(SUMIFS(T_PlannedOrders[EffectiveQty],T_PlannedOrders[Part Name],$A343,T_PlannedOrders[WeekIndex],3)=0,"",SUMIFS(T_PlannedOrders[EffectiveQty],T_PlannedOrders[Part Name],$A343,T_PlannedOrders[WeekIndex],3)&amp;" ("&amp;TEXT(SUMPRODUCT(MAX((T_PlannedOrders[Part Name]=$A343)*(T_PlannedOrders[WeekIndex]=3)*(T_PlannedOrders[EffectiveQty]&gt;0)*T_PlannedOrders[Order_Month])),"m月")&amp;"発注)")</f>
        <v/>
      </c>
      <c r="G449">
        <f>IF(SUMIFS(T_PlannedOrders[EffectiveQty],T_PlannedOrders[Part Name],$A343,T_PlannedOrders[WeekIndex],4)=0,"",SUMIFS(T_PlannedOrders[EffectiveQty],T_PlannedOrders[Part Name],$A343,T_PlannedOrders[WeekIndex],4)&amp;" ("&amp;TEXT(SUMPRODUCT(MAX((T_PlannedOrders[Part Name]=$A343)*(T_PlannedOrders[WeekIndex]=4)*(T_PlannedOrders[EffectiveQty]&gt;0)*T_PlannedOrders[Order_Month])),"m月")&amp;"発注)")</f>
        <v/>
      </c>
      <c r="H449">
        <f>IF(SUMIFS(T_PlannedOrders[EffectiveQty],T_PlannedOrders[Part Name],$A343,T_PlannedOrders[WeekIndex],5)=0,"",SUMIFS(T_PlannedOrders[EffectiveQty],T_PlannedOrders[Part Name],$A343,T_PlannedOrders[WeekIndex],5)&amp;" ("&amp;TEXT(SUMPRODUCT(MAX((T_PlannedOrders[Part Name]=$A343)*(T_PlannedOrders[WeekIndex]=5)*(T_PlannedOrders[EffectiveQty]&gt;0)*T_PlannedOrders[Order_Month])),"m月")&amp;"発注)")</f>
        <v/>
      </c>
      <c r="I449">
        <f>IF(SUMIFS(T_PlannedOrders[EffectiveQty],T_PlannedOrders[Part Name],$A343,T_PlannedOrders[WeekIndex],6)=0,"",SUMIFS(T_PlannedOrders[EffectiveQty],T_PlannedOrders[Part Name],$A343,T_PlannedOrders[WeekIndex],6)&amp;" ("&amp;TEXT(SUMPRODUCT(MAX((T_PlannedOrders[Part Name]=$A343)*(T_PlannedOrders[WeekIndex]=6)*(T_PlannedOrders[EffectiveQty]&gt;0)*T_PlannedOrders[Order_Month])),"m月")&amp;"発注)")</f>
        <v/>
      </c>
      <c r="J449">
        <f>IF(SUMIFS(T_PlannedOrders[EffectiveQty],T_PlannedOrders[Part Name],$A343,T_PlannedOrders[WeekIndex],7)=0,"",SUMIFS(T_PlannedOrders[EffectiveQty],T_PlannedOrders[Part Name],$A343,T_PlannedOrders[WeekIndex],7)&amp;" ("&amp;TEXT(SUMPRODUCT(MAX((T_PlannedOrders[Part Name]=$A343)*(T_PlannedOrders[WeekIndex]=7)*(T_PlannedOrders[EffectiveQty]&gt;0)*T_PlannedOrders[Order_Month])),"m月")&amp;"発注)")</f>
        <v/>
      </c>
      <c r="K449">
        <f>IF(SUMIFS(T_PlannedOrders[EffectiveQty],T_PlannedOrders[Part Name],$A343,T_PlannedOrders[WeekIndex],8)=0,"",SUMIFS(T_PlannedOrders[EffectiveQty],T_PlannedOrders[Part Name],$A343,T_PlannedOrders[WeekIndex],8)&amp;" ("&amp;TEXT(SUMPRODUCT(MAX((T_PlannedOrders[Part Name]=$A343)*(T_PlannedOrders[WeekIndex]=8)*(T_PlannedOrders[EffectiveQty]&gt;0)*T_PlannedOrders[Order_Month])),"m月")&amp;"発注)")</f>
        <v/>
      </c>
      <c r="L449">
        <f>IF(SUMIFS(T_PlannedOrders[EffectiveQty],T_PlannedOrders[Part Name],$A343,T_PlannedOrders[WeekIndex],9)=0,"",SUMIFS(T_PlannedOrders[EffectiveQty],T_PlannedOrders[Part Name],$A343,T_PlannedOrders[WeekIndex],9)&amp;" ("&amp;TEXT(SUMPRODUCT(MAX((T_PlannedOrders[Part Name]=$A343)*(T_PlannedOrders[WeekIndex]=9)*(T_PlannedOrders[EffectiveQty]&gt;0)*T_PlannedOrders[Order_Month])),"m月")&amp;"発注)")</f>
        <v/>
      </c>
      <c r="M449">
        <f>IF(SUMIFS(T_PlannedOrders[EffectiveQty],T_PlannedOrders[Part Name],$A343,T_PlannedOrders[WeekIndex],10)=0,"",SUMIFS(T_PlannedOrders[EffectiveQty],T_PlannedOrders[Part Name],$A343,T_PlannedOrders[WeekIndex],10)&amp;" ("&amp;TEXT(SUMPRODUCT(MAX((T_PlannedOrders[Part Name]=$A343)*(T_PlannedOrders[WeekIndex]=10)*(T_PlannedOrders[EffectiveQty]&gt;0)*T_PlannedOrders[Order_Month])),"m月")&amp;"発注)")</f>
        <v/>
      </c>
      <c r="N449">
        <f>IF(SUMIFS(T_PlannedOrders[EffectiveQty],T_PlannedOrders[Part Name],$A343,T_PlannedOrders[WeekIndex],11)=0,"",SUMIFS(T_PlannedOrders[EffectiveQty],T_PlannedOrders[Part Name],$A343,T_PlannedOrders[WeekIndex],11)&amp;" ("&amp;TEXT(SUMPRODUCT(MAX((T_PlannedOrders[Part Name]=$A343)*(T_PlannedOrders[WeekIndex]=11)*(T_PlannedOrders[EffectiveQty]&gt;0)*T_PlannedOrders[Order_Month])),"m月")&amp;"発注)")</f>
        <v/>
      </c>
      <c r="O449">
        <f>IF(SUMIFS(T_PlannedOrders[EffectiveQty],T_PlannedOrders[Part Name],$A343,T_PlannedOrders[WeekIndex],12)=0,"",SUMIFS(T_PlannedOrders[EffectiveQty],T_PlannedOrders[Part Name],$A343,T_PlannedOrders[WeekIndex],12)&amp;" ("&amp;TEXT(SUMPRODUCT(MAX((T_PlannedOrders[Part Name]=$A343)*(T_PlannedOrders[WeekIndex]=12)*(T_PlannedOrders[EffectiveQty]&gt;0)*T_PlannedOrders[Order_Month])),"m月")&amp;"発注)")</f>
        <v/>
      </c>
      <c r="P449">
        <f>IF(SUMIFS(T_PlannedOrders[EffectiveQty],T_PlannedOrders[Part Name],$A343,T_PlannedOrders[WeekIndex],13)=0,"",SUMIFS(T_PlannedOrders[EffectiveQty],T_PlannedOrders[Part Name],$A343,T_PlannedOrders[WeekIndex],13)&amp;" ("&amp;TEXT(SUMPRODUCT(MAX((T_PlannedOrders[Part Name]=$A343)*(T_PlannedOrders[WeekIndex]=13)*(T_PlannedOrders[EffectiveQty]&gt;0)*T_PlannedOrders[Order_Month])),"m月")&amp;"発注)")</f>
        <v/>
      </c>
      <c r="Q449">
        <f>IF(SUMIFS(T_PlannedOrders[EffectiveQty],T_PlannedOrders[Part Name],$A343,T_PlannedOrders[WeekIndex],14)=0,"",SUMIFS(T_PlannedOrders[EffectiveQty],T_PlannedOrders[Part Name],$A343,T_PlannedOrders[WeekIndex],14)&amp;" ("&amp;TEXT(SUMPRODUCT(MAX((T_PlannedOrders[Part Name]=$A343)*(T_PlannedOrders[WeekIndex]=14)*(T_PlannedOrders[EffectiveQty]&gt;0)*T_PlannedOrders[Order_Month])),"m月")&amp;"発注)")</f>
        <v/>
      </c>
      <c r="R449">
        <f>IF(SUMIFS(T_PlannedOrders[EffectiveQty],T_PlannedOrders[Part Name],$A343,T_PlannedOrders[WeekIndex],15)=0,"",SUMIFS(T_PlannedOrders[EffectiveQty],T_PlannedOrders[Part Name],$A343,T_PlannedOrders[WeekIndex],15)&amp;" ("&amp;TEXT(SUMPRODUCT(MAX((T_PlannedOrders[Part Name]=$A343)*(T_PlannedOrders[WeekIndex]=15)*(T_PlannedOrders[EffectiveQty]&gt;0)*T_PlannedOrders[Order_Month])),"m月")&amp;"発注)")</f>
        <v/>
      </c>
      <c r="S449">
        <f>IF(SUMIFS(T_PlannedOrders[EffectiveQty],T_PlannedOrders[Part Name],$A343,T_PlannedOrders[WeekIndex],16)=0,"",SUMIFS(T_PlannedOrders[EffectiveQty],T_PlannedOrders[Part Name],$A343,T_PlannedOrders[WeekIndex],16)&amp;" ("&amp;TEXT(SUMPRODUCT(MAX((T_PlannedOrders[Part Name]=$A343)*(T_PlannedOrders[WeekIndex]=16)*(T_PlannedOrders[EffectiveQty]&gt;0)*T_PlannedOrders[Order_Month])),"m月")&amp;"発注)")</f>
        <v/>
      </c>
      <c r="T449">
        <f>IF(SUMIFS(T_PlannedOrders[EffectiveQty],T_PlannedOrders[Part Name],$A343,T_PlannedOrders[WeekIndex],17)=0,"",SUMIFS(T_PlannedOrders[EffectiveQty],T_PlannedOrders[Part Name],$A343,T_PlannedOrders[WeekIndex],17)&amp;" ("&amp;TEXT(SUMPRODUCT(MAX((T_PlannedOrders[Part Name]=$A343)*(T_PlannedOrders[WeekIndex]=17)*(T_PlannedOrders[EffectiveQty]&gt;0)*T_PlannedOrders[Order_Month])),"m月")&amp;"発注)")</f>
        <v/>
      </c>
      <c r="U449">
        <f>IF(SUMIFS(T_PlannedOrders[EffectiveQty],T_PlannedOrders[Part Name],$A343,T_PlannedOrders[WeekIndex],18)=0,"",SUMIFS(T_PlannedOrders[EffectiveQty],T_PlannedOrders[Part Name],$A343,T_PlannedOrders[WeekIndex],18)&amp;" ("&amp;TEXT(SUMPRODUCT(MAX((T_PlannedOrders[Part Name]=$A343)*(T_PlannedOrders[WeekIndex]=18)*(T_PlannedOrders[EffectiveQty]&gt;0)*T_PlannedOrders[Order_Month])),"m月")&amp;"発注)")</f>
        <v/>
      </c>
      <c r="V449">
        <f>IF(SUMIFS(T_PlannedOrders[EffectiveQty],T_PlannedOrders[Part Name],$A343,T_PlannedOrders[WeekIndex],19)=0,"",SUMIFS(T_PlannedOrders[EffectiveQty],T_PlannedOrders[Part Name],$A343,T_PlannedOrders[WeekIndex],19)&amp;" ("&amp;TEXT(SUMPRODUCT(MAX((T_PlannedOrders[Part Name]=$A343)*(T_PlannedOrders[WeekIndex]=19)*(T_PlannedOrders[EffectiveQty]&gt;0)*T_PlannedOrders[Order_Month])),"m月")&amp;"発注)")</f>
        <v/>
      </c>
      <c r="W449">
        <f>IF(SUMIFS(T_PlannedOrders[EffectiveQty],T_PlannedOrders[Part Name],$A343,T_PlannedOrders[WeekIndex],20)=0,"",SUMIFS(T_PlannedOrders[EffectiveQty],T_PlannedOrders[Part Name],$A343,T_PlannedOrders[WeekIndex],20)&amp;" ("&amp;TEXT(SUMPRODUCT(MAX((T_PlannedOrders[Part Name]=$A343)*(T_PlannedOrders[WeekIndex]=20)*(T_PlannedOrders[EffectiveQty]&gt;0)*T_PlannedOrders[Order_Month])),"m月")&amp;"発注)")</f>
        <v/>
      </c>
      <c r="X449">
        <f>IF(SUMIFS(T_PlannedOrders[EffectiveQty],T_PlannedOrders[Part Name],$A343,T_PlannedOrders[WeekIndex],21)=0,"",SUMIFS(T_PlannedOrders[EffectiveQty],T_PlannedOrders[Part Name],$A343,T_PlannedOrders[WeekIndex],21)&amp;" ("&amp;TEXT(SUMPRODUCT(MAX((T_PlannedOrders[Part Name]=$A343)*(T_PlannedOrders[WeekIndex]=21)*(T_PlannedOrders[EffectiveQty]&gt;0)*T_PlannedOrders[Order_Month])),"m月")&amp;"発注)")</f>
        <v/>
      </c>
      <c r="Y449">
        <f>IF(SUMIFS(T_PlannedOrders[EffectiveQty],T_PlannedOrders[Part Name],$A343,T_PlannedOrders[WeekIndex],22)=0,"",SUMIFS(T_PlannedOrders[EffectiveQty],T_PlannedOrders[Part Name],$A343,T_PlannedOrders[WeekIndex],22)&amp;" ("&amp;TEXT(SUMPRODUCT(MAX((T_PlannedOrders[Part Name]=$A343)*(T_PlannedOrders[WeekIndex]=22)*(T_PlannedOrders[EffectiveQty]&gt;0)*T_PlannedOrders[Order_Month])),"m月")&amp;"発注)")</f>
        <v/>
      </c>
      <c r="Z449">
        <f>IF(SUMIFS(T_PlannedOrders[EffectiveQty],T_PlannedOrders[Part Name],$A343,T_PlannedOrders[WeekIndex],23)=0,"",SUMIFS(T_PlannedOrders[EffectiveQty],T_PlannedOrders[Part Name],$A343,T_PlannedOrders[WeekIndex],23)&amp;" ("&amp;TEXT(SUMPRODUCT(MAX((T_PlannedOrders[Part Name]=$A343)*(T_PlannedOrders[WeekIndex]=23)*(T_PlannedOrders[EffectiveQty]&gt;0)*T_PlannedOrders[Order_Month])),"m月")&amp;"発注)")</f>
        <v/>
      </c>
      <c r="AA449">
        <f>IF(SUMIFS(T_PlannedOrders[EffectiveQty],T_PlannedOrders[Part Name],$A343,T_PlannedOrders[WeekIndex],24)=0,"",SUMIFS(T_PlannedOrders[EffectiveQty],T_PlannedOrders[Part Name],$A343,T_PlannedOrders[WeekIndex],24)&amp;" ("&amp;TEXT(SUMPRODUCT(MAX((T_PlannedOrders[Part Name]=$A343)*(T_PlannedOrders[WeekIndex]=24)*(T_PlannedOrders[EffectiveQty]&gt;0)*T_PlannedOrders[Order_Month])),"m月")&amp;"発注)")</f>
        <v/>
      </c>
      <c r="AB449">
        <f>IF(SUMIFS(T_PlannedOrders[EffectiveQty],T_PlannedOrders[Part Name],$A343,T_PlannedOrders[WeekIndex],25)=0,"",SUMIFS(T_PlannedOrders[EffectiveQty],T_PlannedOrders[Part Name],$A343,T_PlannedOrders[WeekIndex],25)&amp;" ("&amp;TEXT(SUMPRODUCT(MAX((T_PlannedOrders[Part Name]=$A343)*(T_PlannedOrders[WeekIndex]=25)*(T_PlannedOrders[EffectiveQty]&gt;0)*T_PlannedOrders[Order_Month])),"m月")&amp;"発注)")</f>
        <v/>
      </c>
      <c r="AC449">
        <f>IF(SUMIFS(T_PlannedOrders[EffectiveQty],T_PlannedOrders[Part Name],$A343,T_PlannedOrders[WeekIndex],26)=0,"",SUMIFS(T_PlannedOrders[EffectiveQty],T_PlannedOrders[Part Name],$A343,T_PlannedOrders[WeekIndex],26)&amp;" ("&amp;TEXT(SUMPRODUCT(MAX((T_PlannedOrders[Part Name]=$A343)*(T_PlannedOrders[WeekIndex]=26)*(T_PlannedOrders[EffectiveQty]&gt;0)*T_PlannedOrders[Order_Month])),"m月")&amp;"発注)")</f>
        <v/>
      </c>
      <c r="AD449">
        <f>IF(SUMIFS(T_PlannedOrders[EffectiveQty],T_PlannedOrders[Part Name],$A343,T_PlannedOrders[WeekIndex],27)=0,"",SUMIFS(T_PlannedOrders[EffectiveQty],T_PlannedOrders[Part Name],$A343,T_PlannedOrders[WeekIndex],27)&amp;" ("&amp;TEXT(SUMPRODUCT(MAX((T_PlannedOrders[Part Name]=$A343)*(T_PlannedOrders[WeekIndex]=27)*(T_PlannedOrders[EffectiveQty]&gt;0)*T_PlannedOrders[Order_Month])),"m月")&amp;"発注)")</f>
        <v/>
      </c>
      <c r="AE449">
        <f>IF(SUMIFS(T_PlannedOrders[EffectiveQty],T_PlannedOrders[Part Name],$A343,T_PlannedOrders[WeekIndex],28)=0,"",SUMIFS(T_PlannedOrders[EffectiveQty],T_PlannedOrders[Part Name],$A343,T_PlannedOrders[WeekIndex],28)&amp;" ("&amp;TEXT(SUMPRODUCT(MAX((T_PlannedOrders[Part Name]=$A343)*(T_PlannedOrders[WeekIndex]=28)*(T_PlannedOrders[EffectiveQty]&gt;0)*T_PlannedOrders[Order_Month])),"m月")&amp;"発注)")</f>
        <v/>
      </c>
      <c r="AF449">
        <f>IF(SUMIFS(T_PlannedOrders[EffectiveQty],T_PlannedOrders[Part Name],$A343,T_PlannedOrders[WeekIndex],29)=0,"",SUMIFS(T_PlannedOrders[EffectiveQty],T_PlannedOrders[Part Name],$A343,T_PlannedOrders[WeekIndex],29)&amp;" ("&amp;TEXT(SUMPRODUCT(MAX((T_PlannedOrders[Part Name]=$A343)*(T_PlannedOrders[WeekIndex]=29)*(T_PlannedOrders[EffectiveQty]&gt;0)*T_PlannedOrders[Order_Month])),"m月")&amp;"発注)")</f>
        <v/>
      </c>
      <c r="AG449">
        <f>IF(SUMIFS(T_PlannedOrders[EffectiveQty],T_PlannedOrders[Part Name],$A343,T_PlannedOrders[WeekIndex],30)=0,"",SUMIFS(T_PlannedOrders[EffectiveQty],T_PlannedOrders[Part Name],$A343,T_PlannedOrders[WeekIndex],30)&amp;" ("&amp;TEXT(SUMPRODUCT(MAX((T_PlannedOrders[Part Name]=$A343)*(T_PlannedOrders[WeekIndex]=30)*(T_PlannedOrders[EffectiveQty]&gt;0)*T_PlannedOrders[Order_Month])),"m月")&amp;"発注)")</f>
        <v/>
      </c>
      <c r="AH449">
        <f>IF(SUMIFS(T_PlannedOrders[EffectiveQty],T_PlannedOrders[Part Name],$A343,T_PlannedOrders[WeekIndex],31)=0,"",SUMIFS(T_PlannedOrders[EffectiveQty],T_PlannedOrders[Part Name],$A343,T_PlannedOrders[WeekIndex],31)&amp;" ("&amp;TEXT(SUMPRODUCT(MAX((T_PlannedOrders[Part Name]=$A343)*(T_PlannedOrders[WeekIndex]=31)*(T_PlannedOrders[EffectiveQty]&gt;0)*T_PlannedOrders[Order_Month])),"m月")&amp;"発注)")</f>
        <v/>
      </c>
      <c r="AI449">
        <f>IF(SUMIFS(T_PlannedOrders[EffectiveQty],T_PlannedOrders[Part Name],$A343,T_PlannedOrders[WeekIndex],32)=0,"",SUMIFS(T_PlannedOrders[EffectiveQty],T_PlannedOrders[Part Name],$A343,T_PlannedOrders[WeekIndex],32)&amp;" ("&amp;TEXT(SUMPRODUCT(MAX((T_PlannedOrders[Part Name]=$A343)*(T_PlannedOrders[WeekIndex]=32)*(T_PlannedOrders[EffectiveQty]&gt;0)*T_PlannedOrders[Order_Month])),"m月")&amp;"発注)")</f>
        <v/>
      </c>
      <c r="AJ449">
        <f>IF(SUMIFS(T_PlannedOrders[EffectiveQty],T_PlannedOrders[Part Name],$A343,T_PlannedOrders[WeekIndex],33)=0,"",SUMIFS(T_PlannedOrders[EffectiveQty],T_PlannedOrders[Part Name],$A343,T_PlannedOrders[WeekIndex],33)&amp;" ("&amp;TEXT(SUMPRODUCT(MAX((T_PlannedOrders[Part Name]=$A343)*(T_PlannedOrders[WeekIndex]=33)*(T_PlannedOrders[EffectiveQty]&gt;0)*T_PlannedOrders[Order_Month])),"m月")&amp;"発注)")</f>
        <v/>
      </c>
      <c r="AK449">
        <f>IF(SUMIFS(T_PlannedOrders[EffectiveQty],T_PlannedOrders[Part Name],$A343,T_PlannedOrders[WeekIndex],34)=0,"",SUMIFS(T_PlannedOrders[EffectiveQty],T_PlannedOrders[Part Name],$A343,T_PlannedOrders[WeekIndex],34)&amp;" ("&amp;TEXT(SUMPRODUCT(MAX((T_PlannedOrders[Part Name]=$A343)*(T_PlannedOrders[WeekIndex]=34)*(T_PlannedOrders[EffectiveQty]&gt;0)*T_PlannedOrders[Order_Month])),"m月")&amp;"発注)")</f>
        <v/>
      </c>
      <c r="AL449">
        <f>IF(SUMIFS(T_PlannedOrders[EffectiveQty],T_PlannedOrders[Part Name],$A343,T_PlannedOrders[WeekIndex],35)=0,"",SUMIFS(T_PlannedOrders[EffectiveQty],T_PlannedOrders[Part Name],$A343,T_PlannedOrders[WeekIndex],35)&amp;" ("&amp;TEXT(SUMPRODUCT(MAX((T_PlannedOrders[Part Name]=$A343)*(T_PlannedOrders[WeekIndex]=35)*(T_PlannedOrders[EffectiveQty]&gt;0)*T_PlannedOrders[Order_Month])),"m月")&amp;"発注)")</f>
        <v/>
      </c>
      <c r="AM449">
        <f>IF(SUMIFS(T_PlannedOrders[EffectiveQty],T_PlannedOrders[Part Name],$A343,T_PlannedOrders[WeekIndex],36)=0,"",SUMIFS(T_PlannedOrders[EffectiveQty],T_PlannedOrders[Part Name],$A343,T_PlannedOrders[WeekIndex],36)&amp;" ("&amp;TEXT(SUMPRODUCT(MAX((T_PlannedOrders[Part Name]=$A343)*(T_PlannedOrders[WeekIndex]=36)*(T_PlannedOrders[EffectiveQty]&gt;0)*T_PlannedOrders[Order_Month])),"m月")&amp;"発注)")</f>
        <v/>
      </c>
      <c r="AN449">
        <f>IF(SUMIFS(T_PlannedOrders[EffectiveQty],T_PlannedOrders[Part Name],$A343,T_PlannedOrders[WeekIndex],37)=0,"",SUMIFS(T_PlannedOrders[EffectiveQty],T_PlannedOrders[Part Name],$A343,T_PlannedOrders[WeekIndex],37)&amp;" ("&amp;TEXT(SUMPRODUCT(MAX((T_PlannedOrders[Part Name]=$A343)*(T_PlannedOrders[WeekIndex]=37)*(T_PlannedOrders[EffectiveQty]&gt;0)*T_PlannedOrders[Order_Month])),"m月")&amp;"発注)")</f>
        <v/>
      </c>
      <c r="AO449">
        <f>IF(SUMIFS(T_PlannedOrders[EffectiveQty],T_PlannedOrders[Part Name],$A343,T_PlannedOrders[WeekIndex],38)=0,"",SUMIFS(T_PlannedOrders[EffectiveQty],T_PlannedOrders[Part Name],$A343,T_PlannedOrders[WeekIndex],38)&amp;" ("&amp;TEXT(SUMPRODUCT(MAX((T_PlannedOrders[Part Name]=$A343)*(T_PlannedOrders[WeekIndex]=38)*(T_PlannedOrders[EffectiveQty]&gt;0)*T_PlannedOrders[Order_Month])),"m月")&amp;"発注)")</f>
        <v/>
      </c>
      <c r="AP449">
        <f>IF(SUMIFS(T_PlannedOrders[EffectiveQty],T_PlannedOrders[Part Name],$A343,T_PlannedOrders[WeekIndex],39)=0,"",SUMIFS(T_PlannedOrders[EffectiveQty],T_PlannedOrders[Part Name],$A343,T_PlannedOrders[WeekIndex],39)&amp;" ("&amp;TEXT(SUMPRODUCT(MAX((T_PlannedOrders[Part Name]=$A343)*(T_PlannedOrders[WeekIndex]=39)*(T_PlannedOrders[EffectiveQty]&gt;0)*T_PlannedOrders[Order_Month])),"m月")&amp;"発注)")</f>
        <v/>
      </c>
      <c r="AQ449">
        <f>IF(SUMIFS(T_PlannedOrders[EffectiveQty],T_PlannedOrders[Part Name],$A343,T_PlannedOrders[WeekIndex],40)=0,"",SUMIFS(T_PlannedOrders[EffectiveQty],T_PlannedOrders[Part Name],$A343,T_PlannedOrders[WeekIndex],40)&amp;" ("&amp;TEXT(SUMPRODUCT(MAX((T_PlannedOrders[Part Name]=$A343)*(T_PlannedOrders[WeekIndex]=40)*(T_PlannedOrders[EffectiveQty]&gt;0)*T_PlannedOrders[Order_Month])),"m月")&amp;"発注)")</f>
        <v/>
      </c>
      <c r="AR449">
        <f>IF(SUMIFS(T_PlannedOrders[EffectiveQty],T_PlannedOrders[Part Name],$A343,T_PlannedOrders[WeekIndex],41)=0,"",SUMIFS(T_PlannedOrders[EffectiveQty],T_PlannedOrders[Part Name],$A343,T_PlannedOrders[WeekIndex],41)&amp;" ("&amp;TEXT(SUMPRODUCT(MAX((T_PlannedOrders[Part Name]=$A343)*(T_PlannedOrders[WeekIndex]=41)*(T_PlannedOrders[EffectiveQty]&gt;0)*T_PlannedOrders[Order_Month])),"m月")&amp;"発注)")</f>
        <v/>
      </c>
      <c r="AS449">
        <f>IF(SUMIFS(T_PlannedOrders[EffectiveQty],T_PlannedOrders[Part Name],$A343,T_PlannedOrders[WeekIndex],42)=0,"",SUMIFS(T_PlannedOrders[EffectiveQty],T_PlannedOrders[Part Name],$A343,T_PlannedOrders[WeekIndex],42)&amp;" ("&amp;TEXT(SUMPRODUCT(MAX((T_PlannedOrders[Part Name]=$A343)*(T_PlannedOrders[WeekIndex]=42)*(T_PlannedOrders[EffectiveQty]&gt;0)*T_PlannedOrders[Order_Month])),"m月")&amp;"発注)")</f>
        <v/>
      </c>
      <c r="AT449">
        <f>IF(SUMIFS(T_PlannedOrders[EffectiveQty],T_PlannedOrders[Part Name],$A343,T_PlannedOrders[WeekIndex],43)=0,"",SUMIFS(T_PlannedOrders[EffectiveQty],T_PlannedOrders[Part Name],$A343,T_PlannedOrders[WeekIndex],43)&amp;" ("&amp;TEXT(SUMPRODUCT(MAX((T_PlannedOrders[Part Name]=$A343)*(T_PlannedOrders[WeekIndex]=43)*(T_PlannedOrders[EffectiveQty]&gt;0)*T_PlannedOrders[Order_Month])),"m月")&amp;"発注)")</f>
        <v/>
      </c>
      <c r="AU449">
        <f>IF(SUMIFS(T_PlannedOrders[EffectiveQty],T_PlannedOrders[Part Name],$A343,T_PlannedOrders[WeekIndex],44)=0,"",SUMIFS(T_PlannedOrders[EffectiveQty],T_PlannedOrders[Part Name],$A343,T_PlannedOrders[WeekIndex],44)&amp;" ("&amp;TEXT(SUMPRODUCT(MAX((T_PlannedOrders[Part Name]=$A343)*(T_PlannedOrders[WeekIndex]=44)*(T_PlannedOrders[EffectiveQty]&gt;0)*T_PlannedOrders[Order_Month])),"m月")&amp;"発注)")</f>
        <v/>
      </c>
      <c r="AV449">
        <f>IF(SUMIFS(T_PlannedOrders[EffectiveQty],T_PlannedOrders[Part Name],$A343,T_PlannedOrders[WeekIndex],45)=0,"",SUMIFS(T_PlannedOrders[EffectiveQty],T_PlannedOrders[Part Name],$A343,T_PlannedOrders[WeekIndex],45)&amp;" ("&amp;TEXT(SUMPRODUCT(MAX((T_PlannedOrders[Part Name]=$A343)*(T_PlannedOrders[WeekIndex]=45)*(T_PlannedOrders[EffectiveQty]&gt;0)*T_PlannedOrders[Order_Month])),"m月")&amp;"発注)")</f>
        <v/>
      </c>
      <c r="AW449">
        <f>IF(SUMIFS(T_PlannedOrders[EffectiveQty],T_PlannedOrders[Part Name],$A343,T_PlannedOrders[WeekIndex],46)=0,"",SUMIFS(T_PlannedOrders[EffectiveQty],T_PlannedOrders[Part Name],$A343,T_PlannedOrders[WeekIndex],46)&amp;" ("&amp;TEXT(SUMPRODUCT(MAX((T_PlannedOrders[Part Name]=$A343)*(T_PlannedOrders[WeekIndex]=46)*(T_PlannedOrders[EffectiveQty]&gt;0)*T_PlannedOrders[Order_Month])),"m月")&amp;"発注)")</f>
        <v/>
      </c>
      <c r="AX449">
        <f>IF(SUMIFS(T_PlannedOrders[EffectiveQty],T_PlannedOrders[Part Name],$A343,T_PlannedOrders[WeekIndex],47)=0,"",SUMIFS(T_PlannedOrders[EffectiveQty],T_PlannedOrders[Part Name],$A343,T_PlannedOrders[WeekIndex],47)&amp;" ("&amp;TEXT(SUMPRODUCT(MAX((T_PlannedOrders[Part Name]=$A343)*(T_PlannedOrders[WeekIndex]=47)*(T_PlannedOrders[EffectiveQty]&gt;0)*T_PlannedOrders[Order_Month])),"m月")&amp;"発注)")</f>
        <v/>
      </c>
      <c r="AY449">
        <f>IF(SUMIFS(T_PlannedOrders[EffectiveQty],T_PlannedOrders[Part Name],$A343,T_PlannedOrders[WeekIndex],48)=0,"",SUMIFS(T_PlannedOrders[EffectiveQty],T_PlannedOrders[Part Name],$A343,T_PlannedOrders[WeekIndex],48)&amp;" ("&amp;TEXT(SUMPRODUCT(MAX((T_PlannedOrders[Part Name]=$A343)*(T_PlannedOrders[WeekIndex]=48)*(T_PlannedOrders[EffectiveQty]&gt;0)*T_PlannedOrders[Order_Month])),"m月")&amp;"発注)")</f>
        <v/>
      </c>
      <c r="AZ449">
        <f>IF(SUMIFS(T_PlannedOrders[EffectiveQty],T_PlannedOrders[Part Name],$A343,T_PlannedOrders[WeekIndex],49)=0,"",SUMIFS(T_PlannedOrders[EffectiveQty],T_PlannedOrders[Part Name],$A343,T_PlannedOrders[WeekIndex],49)&amp;" ("&amp;TEXT(SUMPRODUCT(MAX((T_PlannedOrders[Part Name]=$A343)*(T_PlannedOrders[WeekIndex]=49)*(T_PlannedOrders[EffectiveQty]&gt;0)*T_PlannedOrders[Order_Month])),"m月")&amp;"発注)")</f>
        <v/>
      </c>
      <c r="BA449">
        <f>IF(SUMIFS(T_PlannedOrders[EffectiveQty],T_PlannedOrders[Part Name],$A343,T_PlannedOrders[WeekIndex],50)=0,"",SUMIFS(T_PlannedOrders[EffectiveQty],T_PlannedOrders[Part Name],$A343,T_PlannedOrders[WeekIndex],50)&amp;" ("&amp;TEXT(SUMPRODUCT(MAX((T_PlannedOrders[Part Name]=$A343)*(T_PlannedOrders[WeekIndex]=50)*(T_PlannedOrders[EffectiveQty]&gt;0)*T_PlannedOrders[Order_Month])),"m月")&amp;"発注)")</f>
        <v/>
      </c>
      <c r="BB449">
        <f>IF(SUMIFS(T_PlannedOrders[EffectiveQty],T_PlannedOrders[Part Name],$A343,T_PlannedOrders[WeekIndex],51)=0,"",SUMIFS(T_PlannedOrders[EffectiveQty],T_PlannedOrders[Part Name],$A343,T_PlannedOrders[WeekIndex],51)&amp;" ("&amp;TEXT(SUMPRODUCT(MAX((T_PlannedOrders[Part Name]=$A343)*(T_PlannedOrders[WeekIndex]=51)*(T_PlannedOrders[EffectiveQty]&gt;0)*T_PlannedOrders[Order_Month])),"m月")&amp;"発注)")</f>
        <v/>
      </c>
      <c r="BC449">
        <f>IF(SUMIFS(T_PlannedOrders[EffectiveQty],T_PlannedOrders[Part Name],$A343,T_PlannedOrders[WeekIndex],52)=0,"",SUMIFS(T_PlannedOrders[EffectiveQty],T_PlannedOrders[Part Name],$A343,T_PlannedOrders[WeekIndex],52)&amp;" ("&amp;TEXT(SUMPRODUCT(MAX((T_PlannedOrders[Part Name]=$A343)*(T_PlannedOrders[WeekIndex]=52)*(T_PlannedOrders[EffectiveQty]&gt;0)*T_PlannedOrders[Order_Month])),"m月")&amp;"発注)")</f>
        <v/>
      </c>
      <c r="BD449">
        <f>IF(SUMIFS(T_PlannedOrders[EffectiveQty],T_PlannedOrders[Part Name],$A343,T_PlannedOrders[WeekIndex],53)=0,"",SUMIFS(T_PlannedOrders[EffectiveQty],T_PlannedOrders[Part Name],$A343,T_PlannedOrders[WeekIndex],53)&amp;" ("&amp;TEXT(SUMPRODUCT(MAX((T_PlannedOrders[Part Name]=$A343)*(T_PlannedOrders[WeekIndex]=53)*(T_PlannedOrders[EffectiveQty]&gt;0)*T_PlannedOrders[Order_Month])),"m月")&amp;"発注)")</f>
        <v/>
      </c>
      <c r="BE449">
        <f>IF(SUMIFS(T_PlannedOrders[EffectiveQty],T_PlannedOrders[Part Name],$A343,T_PlannedOrders[WeekIndex],54)=0,"",SUMIFS(T_PlannedOrders[EffectiveQty],T_PlannedOrders[Part Name],$A343,T_PlannedOrders[WeekIndex],54)&amp;" ("&amp;TEXT(SUMPRODUCT(MAX((T_PlannedOrders[Part Name]=$A343)*(T_PlannedOrders[WeekIndex]=54)*(T_PlannedOrders[EffectiveQty]&gt;0)*T_PlannedOrders[Order_Month])),"m月")&amp;"発注)")</f>
        <v/>
      </c>
      <c r="BF449">
        <f>IF(SUMIFS(T_PlannedOrders[EffectiveQty],T_PlannedOrders[Part Name],$A343,T_PlannedOrders[WeekIndex],55)=0,"",SUMIFS(T_PlannedOrders[EffectiveQty],T_PlannedOrders[Part Name],$A343,T_PlannedOrders[WeekIndex],55)&amp;" ("&amp;TEXT(SUMPRODUCT(MAX((T_PlannedOrders[Part Name]=$A343)*(T_PlannedOrders[WeekIndex]=55)*(T_PlannedOrders[EffectiveQty]&gt;0)*T_PlannedOrders[Order_Month])),"m月")&amp;"発注)")</f>
        <v/>
      </c>
      <c r="BG449">
        <f>IF(SUMIFS(T_PlannedOrders[EffectiveQty],T_PlannedOrders[Part Name],$A343,T_PlannedOrders[WeekIndex],56)=0,"",SUMIFS(T_PlannedOrders[EffectiveQty],T_PlannedOrders[Part Name],$A343,T_PlannedOrders[WeekIndex],56)&amp;" ("&amp;TEXT(SUMPRODUCT(MAX((T_PlannedOrders[Part Name]=$A343)*(T_PlannedOrders[WeekIndex]=56)*(T_PlannedOrders[EffectiveQty]&gt;0)*T_PlannedOrders[Order_Month])),"m月")&amp;"発注)")</f>
        <v/>
      </c>
      <c r="BH449">
        <f>IF(SUMIFS(T_PlannedOrders[EffectiveQty],T_PlannedOrders[Part Name],$A343,T_PlannedOrders[WeekIndex],57)=0,"",SUMIFS(T_PlannedOrders[EffectiveQty],T_PlannedOrders[Part Name],$A343,T_PlannedOrders[WeekIndex],57)&amp;" ("&amp;TEXT(SUMPRODUCT(MAX((T_PlannedOrders[Part Name]=$A343)*(T_PlannedOrders[WeekIndex]=57)*(T_PlannedOrders[EffectiveQty]&gt;0)*T_PlannedOrders[Order_Month])),"m月")&amp;"発注)")</f>
        <v/>
      </c>
      <c r="BI449">
        <f>IF(SUMIFS(T_PlannedOrders[EffectiveQty],T_PlannedOrders[Part Name],$A343,T_PlannedOrders[WeekIndex],58)=0,"",SUMIFS(T_PlannedOrders[EffectiveQty],T_PlannedOrders[Part Name],$A343,T_PlannedOrders[WeekIndex],58)&amp;" ("&amp;TEXT(SUMPRODUCT(MAX((T_PlannedOrders[Part Name]=$A343)*(T_PlannedOrders[WeekIndex]=58)*(T_PlannedOrders[EffectiveQty]&gt;0)*T_PlannedOrders[Order_Month])),"m月")&amp;"発注)")</f>
        <v/>
      </c>
      <c r="BJ449">
        <f>IF(SUMIFS(T_PlannedOrders[EffectiveQty],T_PlannedOrders[Part Name],$A343,T_PlannedOrders[WeekIndex],59)=0,"",SUMIFS(T_PlannedOrders[EffectiveQty],T_PlannedOrders[Part Name],$A343,T_PlannedOrders[WeekIndex],59)&amp;" ("&amp;TEXT(SUMPRODUCT(MAX((T_PlannedOrders[Part Name]=$A343)*(T_PlannedOrders[WeekIndex]=59)*(T_PlannedOrders[EffectiveQty]&gt;0)*T_PlannedOrders[Order_Month])),"m月")&amp;"発注)")</f>
        <v/>
      </c>
      <c r="BK449">
        <f>IF(SUMIFS(T_PlannedOrders[EffectiveQty],T_PlannedOrders[Part Name],$A343,T_PlannedOrders[WeekIndex],60)=0,"",SUMIFS(T_PlannedOrders[EffectiveQty],T_PlannedOrders[Part Name],$A343,T_PlannedOrders[WeekIndex],60)&amp;" ("&amp;TEXT(SUMPRODUCT(MAX((T_PlannedOrders[Part Name]=$A343)*(T_PlannedOrders[WeekIndex]=60)*(T_PlannedOrders[EffectiveQty]&gt;0)*T_PlannedOrders[Order_Month])),"m月")&amp;"発注)")</f>
        <v/>
      </c>
      <c r="BL449">
        <f>IF(SUMIFS(T_PlannedOrders[EffectiveQty],T_PlannedOrders[Part Name],$A343,T_PlannedOrders[WeekIndex],61)=0,"",SUMIFS(T_PlannedOrders[EffectiveQty],T_PlannedOrders[Part Name],$A343,T_PlannedOrders[WeekIndex],61)&amp;" ("&amp;TEXT(SUMPRODUCT(MAX((T_PlannedOrders[Part Name]=$A343)*(T_PlannedOrders[WeekIndex]=61)*(T_PlannedOrders[EffectiveQty]&gt;0)*T_PlannedOrders[Order_Month])),"m月")&amp;"発注)")</f>
        <v/>
      </c>
      <c r="BM449">
        <f>IF(SUMIFS(T_PlannedOrders[EffectiveQty],T_PlannedOrders[Part Name],$A343,T_PlannedOrders[WeekIndex],62)=0,"",SUMIFS(T_PlannedOrders[EffectiveQty],T_PlannedOrders[Part Name],$A343,T_PlannedOrders[WeekIndex],62)&amp;" ("&amp;TEXT(SUMPRODUCT(MAX((T_PlannedOrders[Part Name]=$A343)*(T_PlannedOrders[WeekIndex]=62)*(T_PlannedOrders[EffectiveQty]&gt;0)*T_PlannedOrders[Order_Month])),"m月")&amp;"発注)")</f>
        <v/>
      </c>
      <c r="BN449">
        <f>IF(SUMIFS(T_PlannedOrders[EffectiveQty],T_PlannedOrders[Part Name],$A343,T_PlannedOrders[WeekIndex],63)=0,"",SUMIFS(T_PlannedOrders[EffectiveQty],T_PlannedOrders[Part Name],$A343,T_PlannedOrders[WeekIndex],63)&amp;" ("&amp;TEXT(SUMPRODUCT(MAX((T_PlannedOrders[Part Name]=$A343)*(T_PlannedOrders[WeekIndex]=63)*(T_PlannedOrders[EffectiveQty]&gt;0)*T_PlannedOrders[Order_Month])),"m月")&amp;"発注)")</f>
        <v/>
      </c>
      <c r="BO449">
        <f>IF(SUMIFS(T_PlannedOrders[EffectiveQty],T_PlannedOrders[Part Name],$A343,T_PlannedOrders[WeekIndex],64)=0,"",SUMIFS(T_PlannedOrders[EffectiveQty],T_PlannedOrders[Part Name],$A343,T_PlannedOrders[WeekIndex],64)&amp;" ("&amp;TEXT(SUMPRODUCT(MAX((T_PlannedOrders[Part Name]=$A343)*(T_PlannedOrders[WeekIndex]=64)*(T_PlannedOrders[EffectiveQty]&gt;0)*T_PlannedOrders[Order_Month])),"m月")&amp;"発注)")</f>
        <v/>
      </c>
      <c r="BP449">
        <f>IF(SUMIFS(T_PlannedOrders[EffectiveQty],T_PlannedOrders[Part Name],$A343,T_PlannedOrders[WeekIndex],65)=0,"",SUMIFS(T_PlannedOrders[EffectiveQty],T_PlannedOrders[Part Name],$A343,T_PlannedOrders[WeekIndex],65)&amp;" ("&amp;TEXT(SUMPRODUCT(MAX((T_PlannedOrders[Part Name]=$A343)*(T_PlannedOrders[WeekIndex]=65)*(T_PlannedOrders[EffectiveQty]&gt;0)*T_PlannedOrders[Order_Month])),"m月")&amp;"発注)")</f>
        <v/>
      </c>
      <c r="BQ449">
        <f>IF(SUMIFS(T_PlannedOrders[EffectiveQty],T_PlannedOrders[Part Name],$A343,T_PlannedOrders[WeekIndex],66)=0,"",SUMIFS(T_PlannedOrders[EffectiveQty],T_PlannedOrders[Part Name],$A343,T_PlannedOrders[WeekIndex],66)&amp;" ("&amp;TEXT(SUMPRODUCT(MAX((T_PlannedOrders[Part Name]=$A343)*(T_PlannedOrders[WeekIndex]=66)*(T_PlannedOrders[EffectiveQty]&gt;0)*T_PlannedOrders[Order_Month])),"m月")&amp;"発注)")</f>
        <v/>
      </c>
      <c r="BR449">
        <f>IF(SUMIFS(T_PlannedOrders[EffectiveQty],T_PlannedOrders[Part Name],$A343,T_PlannedOrders[WeekIndex],67)=0,"",SUMIFS(T_PlannedOrders[EffectiveQty],T_PlannedOrders[Part Name],$A343,T_PlannedOrders[WeekIndex],67)&amp;" ("&amp;TEXT(SUMPRODUCT(MAX((T_PlannedOrders[Part Name]=$A343)*(T_PlannedOrders[WeekIndex]=67)*(T_PlannedOrders[EffectiveQty]&gt;0)*T_PlannedOrders[Order_Month])),"m月")&amp;"発注)")</f>
        <v/>
      </c>
      <c r="BS449">
        <f>IF(SUMIFS(T_PlannedOrders[EffectiveQty],T_PlannedOrders[Part Name],$A343,T_PlannedOrders[WeekIndex],68)=0,"",SUMIFS(T_PlannedOrders[EffectiveQty],T_PlannedOrders[Part Name],$A343,T_PlannedOrders[WeekIndex],68)&amp;" ("&amp;TEXT(SUMPRODUCT(MAX((T_PlannedOrders[Part Name]=$A343)*(T_PlannedOrders[WeekIndex]=68)*(T_PlannedOrders[EffectiveQty]&gt;0)*T_PlannedOrders[Order_Month])),"m月")&amp;"発注)")</f>
        <v/>
      </c>
      <c r="BT449">
        <f>IF(SUMIFS(T_PlannedOrders[EffectiveQty],T_PlannedOrders[Part Name],$A343,T_PlannedOrders[WeekIndex],69)=0,"",SUMIFS(T_PlannedOrders[EffectiveQty],T_PlannedOrders[Part Name],$A343,T_PlannedOrders[WeekIndex],69)&amp;" ("&amp;TEXT(SUMPRODUCT(MAX((T_PlannedOrders[Part Name]=$A343)*(T_PlannedOrders[WeekIndex]=69)*(T_PlannedOrders[EffectiveQty]&gt;0)*T_PlannedOrders[Order_Month])),"m月")&amp;"発注)")</f>
        <v/>
      </c>
      <c r="BU449">
        <f>IF(SUMIFS(T_PlannedOrders[EffectiveQty],T_PlannedOrders[Part Name],$A343,T_PlannedOrders[WeekIndex],70)=0,"",SUMIFS(T_PlannedOrders[EffectiveQty],T_PlannedOrders[Part Name],$A343,T_PlannedOrders[WeekIndex],70)&amp;" ("&amp;TEXT(SUMPRODUCT(MAX((T_PlannedOrders[Part Name]=$A343)*(T_PlannedOrders[WeekIndex]=70)*(T_PlannedOrders[EffectiveQty]&gt;0)*T_PlannedOrders[Order_Month])),"m月")&amp;"発注)")</f>
        <v/>
      </c>
      <c r="BV449">
        <f>IF(SUMIFS(T_PlannedOrders[EffectiveQty],T_PlannedOrders[Part Name],$A343,T_PlannedOrders[WeekIndex],71)=0,"",SUMIFS(T_PlannedOrders[EffectiveQty],T_PlannedOrders[Part Name],$A343,T_PlannedOrders[WeekIndex],71)&amp;" ("&amp;TEXT(SUMPRODUCT(MAX((T_PlannedOrders[Part Name]=$A343)*(T_PlannedOrders[WeekIndex]=71)*(T_PlannedOrders[EffectiveQty]&gt;0)*T_PlannedOrders[Order_Month])),"m月")&amp;"発注)")</f>
        <v/>
      </c>
      <c r="BW449">
        <f>IF(SUMIFS(T_PlannedOrders[EffectiveQty],T_PlannedOrders[Part Name],$A343,T_PlannedOrders[WeekIndex],72)=0,"",SUMIFS(T_PlannedOrders[EffectiveQty],T_PlannedOrders[Part Name],$A343,T_PlannedOrders[WeekIndex],72)&amp;" ("&amp;TEXT(SUMPRODUCT(MAX((T_PlannedOrders[Part Name]=$A343)*(T_PlannedOrders[WeekIndex]=72)*(T_PlannedOrders[EffectiveQty]&gt;0)*T_PlannedOrders[Order_Month])),"m月")&amp;"発注)")</f>
        <v/>
      </c>
      <c r="BX449">
        <f>IF(SUMIFS(T_PlannedOrders[EffectiveQty],T_PlannedOrders[Part Name],$A343,T_PlannedOrders[WeekIndex],73)=0,"",SUMIFS(T_PlannedOrders[EffectiveQty],T_PlannedOrders[Part Name],$A343,T_PlannedOrders[WeekIndex],73)&amp;" ("&amp;TEXT(SUMPRODUCT(MAX((T_PlannedOrders[Part Name]=$A343)*(T_PlannedOrders[WeekIndex]=73)*(T_PlannedOrders[EffectiveQty]&gt;0)*T_PlannedOrders[Order_Month])),"m月")&amp;"発注)")</f>
        <v/>
      </c>
      <c r="BY449">
        <f>IF(SUMIFS(T_PlannedOrders[EffectiveQty],T_PlannedOrders[Part Name],$A343,T_PlannedOrders[WeekIndex],74)=0,"",SUMIFS(T_PlannedOrders[EffectiveQty],T_PlannedOrders[Part Name],$A343,T_PlannedOrders[WeekIndex],74)&amp;" ("&amp;TEXT(SUMPRODUCT(MAX((T_PlannedOrders[Part Name]=$A343)*(T_PlannedOrders[WeekIndex]=74)*(T_PlannedOrders[EffectiveQty]&gt;0)*T_PlannedOrders[Order_Month])),"m月")&amp;"発注)")</f>
        <v/>
      </c>
      <c r="BZ449">
        <f>IF(SUMIFS(T_PlannedOrders[EffectiveQty],T_PlannedOrders[Part Name],$A343,T_PlannedOrders[WeekIndex],75)=0,"",SUMIFS(T_PlannedOrders[EffectiveQty],T_PlannedOrders[Part Name],$A343,T_PlannedOrders[WeekIndex],75)&amp;" ("&amp;TEXT(SUMPRODUCT(MAX((T_PlannedOrders[Part Name]=$A343)*(T_PlannedOrders[WeekIndex]=75)*(T_PlannedOrders[EffectiveQty]&gt;0)*T_PlannedOrders[Order_Month])),"m月")&amp;"発注)")</f>
        <v/>
      </c>
      <c r="CA449">
        <f>IF(SUMIFS(T_PlannedOrders[EffectiveQty],T_PlannedOrders[Part Name],$A343,T_PlannedOrders[WeekIndex],76)=0,"",SUMIFS(T_PlannedOrders[EffectiveQty],T_PlannedOrders[Part Name],$A343,T_PlannedOrders[WeekIndex],76)&amp;" ("&amp;TEXT(SUMPRODUCT(MAX((T_PlannedOrders[Part Name]=$A343)*(T_PlannedOrders[WeekIndex]=76)*(T_PlannedOrders[EffectiveQty]&gt;0)*T_PlannedOrders[Order_Month])),"m月")&amp;"発注)")</f>
        <v/>
      </c>
      <c r="CB449">
        <f>IF(SUMIFS(T_PlannedOrders[EffectiveQty],T_PlannedOrders[Part Name],$A343,T_PlannedOrders[WeekIndex],77)=0,"",SUMIFS(T_PlannedOrders[EffectiveQty],T_PlannedOrders[Part Name],$A343,T_PlannedOrders[WeekIndex],77)&amp;" ("&amp;TEXT(SUMPRODUCT(MAX((T_PlannedOrders[Part Name]=$A343)*(T_PlannedOrders[WeekIndex]=77)*(T_PlannedOrders[EffectiveQty]&gt;0)*T_PlannedOrders[Order_Month])),"m月")&amp;"発注)")</f>
        <v/>
      </c>
      <c r="CC449">
        <f>IF(SUMIFS(T_PlannedOrders[EffectiveQty],T_PlannedOrders[Part Name],$A343,T_PlannedOrders[WeekIndex],78)=0,"",SUMIFS(T_PlannedOrders[EffectiveQty],T_PlannedOrders[Part Name],$A343,T_PlannedOrders[WeekIndex],78)&amp;" ("&amp;TEXT(SUMPRODUCT(MAX((T_PlannedOrders[Part Name]=$A343)*(T_PlannedOrders[WeekIndex]=78)*(T_PlannedOrders[EffectiveQty]&gt;0)*T_PlannedOrders[Order_Month])),"m月")&amp;"発注)")</f>
        <v/>
      </c>
      <c r="CD449">
        <f>IF(SUMIFS(T_PlannedOrders[EffectiveQty],T_PlannedOrders[Part Name],$A343,T_PlannedOrders[WeekIndex],79)=0,"",SUMIFS(T_PlannedOrders[EffectiveQty],T_PlannedOrders[Part Name],$A343,T_PlannedOrders[WeekIndex],79)&amp;" ("&amp;TEXT(SUMPRODUCT(MAX((T_PlannedOrders[Part Name]=$A343)*(T_PlannedOrders[WeekIndex]=79)*(T_PlannedOrders[EffectiveQty]&gt;0)*T_PlannedOrders[Order_Month])),"m月")&amp;"発注)")</f>
        <v/>
      </c>
      <c r="CE449">
        <f>IF(SUMIFS(T_PlannedOrders[EffectiveQty],T_PlannedOrders[Part Name],$A343,T_PlannedOrders[WeekIndex],80)=0,"",SUMIFS(T_PlannedOrders[EffectiveQty],T_PlannedOrders[Part Name],$A343,T_PlannedOrders[WeekIndex],80)&amp;" ("&amp;TEXT(SUMPRODUCT(MAX((T_PlannedOrders[Part Name]=$A343)*(T_PlannedOrders[WeekIndex]=80)*(T_PlannedOrders[EffectiveQty]&gt;0)*T_PlannedOrders[Order_Month])),"m月")&amp;"発注)")</f>
        <v/>
      </c>
      <c r="CF449">
        <f>IF(SUMIFS(T_PlannedOrders[EffectiveQty],T_PlannedOrders[Part Name],$A343,T_PlannedOrders[WeekIndex],81)=0,"",SUMIFS(T_PlannedOrders[EffectiveQty],T_PlannedOrders[Part Name],$A343,T_PlannedOrders[WeekIndex],81)&amp;" ("&amp;TEXT(SUMPRODUCT(MAX((T_PlannedOrders[Part Name]=$A343)*(T_PlannedOrders[WeekIndex]=81)*(T_PlannedOrders[EffectiveQty]&gt;0)*T_PlannedOrders[Order_Month])),"m月")&amp;"発注)")</f>
        <v/>
      </c>
      <c r="CG449">
        <f>IF(SUMIFS(T_PlannedOrders[EffectiveQty],T_PlannedOrders[Part Name],$A343,T_PlannedOrders[WeekIndex],82)=0,"",SUMIFS(T_PlannedOrders[EffectiveQty],T_PlannedOrders[Part Name],$A343,T_PlannedOrders[WeekIndex],82)&amp;" ("&amp;TEXT(SUMPRODUCT(MAX((T_PlannedOrders[Part Name]=$A343)*(T_PlannedOrders[WeekIndex]=82)*(T_PlannedOrders[EffectiveQty]&gt;0)*T_PlannedOrders[Order_Month])),"m月")&amp;"発注)")</f>
        <v/>
      </c>
      <c r="CH449">
        <f>IF(SUMIFS(T_PlannedOrders[EffectiveQty],T_PlannedOrders[Part Name],$A343,T_PlannedOrders[WeekIndex],83)=0,"",SUMIFS(T_PlannedOrders[EffectiveQty],T_PlannedOrders[Part Name],$A343,T_PlannedOrders[WeekIndex],83)&amp;" ("&amp;TEXT(SUMPRODUCT(MAX((T_PlannedOrders[Part Name]=$A343)*(T_PlannedOrders[WeekIndex]=83)*(T_PlannedOrders[EffectiveQty]&gt;0)*T_PlannedOrders[Order_Month])),"m月")&amp;"発注)")</f>
        <v/>
      </c>
      <c r="CI449">
        <f>IF(SUMIFS(T_PlannedOrders[EffectiveQty],T_PlannedOrders[Part Name],$A343,T_PlannedOrders[WeekIndex],84)=0,"",SUMIFS(T_PlannedOrders[EffectiveQty],T_PlannedOrders[Part Name],$A343,T_PlannedOrders[WeekIndex],84)&amp;" ("&amp;TEXT(SUMPRODUCT(MAX((T_PlannedOrders[Part Name]=$A343)*(T_PlannedOrders[WeekIndex]=84)*(T_PlannedOrders[EffectiveQty]&gt;0)*T_PlannedOrders[Order_Month])),"m月")&amp;"発注)")</f>
        <v/>
      </c>
      <c r="CJ449">
        <f>IF(SUMIFS(T_PlannedOrders[EffectiveQty],T_PlannedOrders[Part Name],$A343,T_PlannedOrders[WeekIndex],85)=0,"",SUMIFS(T_PlannedOrders[EffectiveQty],T_PlannedOrders[Part Name],$A343,T_PlannedOrders[WeekIndex],85)&amp;" ("&amp;TEXT(SUMPRODUCT(MAX((T_PlannedOrders[Part Name]=$A343)*(T_PlannedOrders[WeekIndex]=85)*(T_PlannedOrders[EffectiveQty]&gt;0)*T_PlannedOrders[Order_Month])),"m月")&amp;"発注)")</f>
        <v/>
      </c>
      <c r="CK449">
        <f>IF(SUMIFS(T_PlannedOrders[EffectiveQty],T_PlannedOrders[Part Name],$A343,T_PlannedOrders[WeekIndex],86)=0,"",SUMIFS(T_PlannedOrders[EffectiveQty],T_PlannedOrders[Part Name],$A343,T_PlannedOrders[WeekIndex],86)&amp;" ("&amp;TEXT(SUMPRODUCT(MAX((T_PlannedOrders[Part Name]=$A343)*(T_PlannedOrders[WeekIndex]=86)*(T_PlannedOrders[EffectiveQty]&gt;0)*T_PlannedOrders[Order_Month])),"m月")&amp;"発注)")</f>
        <v/>
      </c>
      <c r="CL449">
        <f>IF(SUMIFS(T_PlannedOrders[EffectiveQty],T_PlannedOrders[Part Name],$A343,T_PlannedOrders[WeekIndex],87)=0,"",SUMIFS(T_PlannedOrders[EffectiveQty],T_PlannedOrders[Part Name],$A343,T_PlannedOrders[WeekIndex],87)&amp;" ("&amp;TEXT(SUMPRODUCT(MAX((T_PlannedOrders[Part Name]=$A343)*(T_PlannedOrders[WeekIndex]=87)*(T_PlannedOrders[EffectiveQty]&gt;0)*T_PlannedOrders[Order_Month])),"m月")&amp;"発注)")</f>
        <v/>
      </c>
      <c r="CM449">
        <f>IF(SUMIFS(T_PlannedOrders[EffectiveQty],T_PlannedOrders[Part Name],$A343,T_PlannedOrders[WeekIndex],88)=0,"",SUMIFS(T_PlannedOrders[EffectiveQty],T_PlannedOrders[Part Name],$A343,T_PlannedOrders[WeekIndex],88)&amp;" ("&amp;TEXT(SUMPRODUCT(MAX((T_PlannedOrders[Part Name]=$A343)*(T_PlannedOrders[WeekIndex]=88)*(T_PlannedOrders[EffectiveQty]&gt;0)*T_PlannedOrders[Order_Month])),"m月")&amp;"発注)")</f>
        <v/>
      </c>
      <c r="CN449">
        <f>IF(SUMIFS(T_PlannedOrders[EffectiveQty],T_PlannedOrders[Part Name],$A343,T_PlannedOrders[WeekIndex],89)=0,"",SUMIFS(T_PlannedOrders[EffectiveQty],T_PlannedOrders[Part Name],$A343,T_PlannedOrders[WeekIndex],89)&amp;" ("&amp;TEXT(SUMPRODUCT(MAX((T_PlannedOrders[Part Name]=$A343)*(T_PlannedOrders[WeekIndex]=89)*(T_PlannedOrders[EffectiveQty]&gt;0)*T_PlannedOrders[Order_Month])),"m月")&amp;"発注)")</f>
        <v/>
      </c>
      <c r="CO449">
        <f>IF(SUMIFS(T_PlannedOrders[EffectiveQty],T_PlannedOrders[Part Name],$A343,T_PlannedOrders[WeekIndex],90)=0,"",SUMIFS(T_PlannedOrders[EffectiveQty],T_PlannedOrders[Part Name],$A343,T_PlannedOrders[WeekIndex],90)&amp;" ("&amp;TEXT(SUMPRODUCT(MAX((T_PlannedOrders[Part Name]=$A343)*(T_PlannedOrders[WeekIndex]=90)*(T_PlannedOrders[EffectiveQty]&gt;0)*T_PlannedOrders[Order_Month])),"m月")&amp;"発注)")</f>
        <v/>
      </c>
      <c r="CP449">
        <f>IF(SUMIFS(T_PlannedOrders[EffectiveQty],T_PlannedOrders[Part Name],$A343,T_PlannedOrders[WeekIndex],91)=0,"",SUMIFS(T_PlannedOrders[EffectiveQty],T_PlannedOrders[Part Name],$A343,T_PlannedOrders[WeekIndex],91)&amp;" ("&amp;TEXT(SUMPRODUCT(MAX((T_PlannedOrders[Part Name]=$A343)*(T_PlannedOrders[WeekIndex]=91)*(T_PlannedOrders[EffectiveQty]&gt;0)*T_PlannedOrders[Order_Month])),"m月")&amp;"発注)")</f>
        <v/>
      </c>
      <c r="CQ449">
        <f>IF(SUMIFS(T_PlannedOrders[EffectiveQty],T_PlannedOrders[Part Name],$A343,T_PlannedOrders[WeekIndex],92)=0,"",SUMIFS(T_PlannedOrders[EffectiveQty],T_PlannedOrders[Part Name],$A343,T_PlannedOrders[WeekIndex],92)&amp;" ("&amp;TEXT(SUMPRODUCT(MAX((T_PlannedOrders[Part Name]=$A343)*(T_PlannedOrders[WeekIndex]=92)*(T_PlannedOrders[EffectiveQty]&gt;0)*T_PlannedOrders[Order_Month])),"m月")&amp;"発注)")</f>
        <v/>
      </c>
      <c r="CR449">
        <f>IF(SUMIFS(T_PlannedOrders[EffectiveQty],T_PlannedOrders[Part Name],$A343,T_PlannedOrders[WeekIndex],93)=0,"",SUMIFS(T_PlannedOrders[EffectiveQty],T_PlannedOrders[Part Name],$A343,T_PlannedOrders[WeekIndex],93)&amp;" ("&amp;TEXT(SUMPRODUCT(MAX((T_PlannedOrders[Part Name]=$A343)*(T_PlannedOrders[WeekIndex]=93)*(T_PlannedOrders[EffectiveQty]&gt;0)*T_PlannedOrders[Order_Month])),"m月")&amp;"発注)")</f>
        <v/>
      </c>
      <c r="CS449">
        <f>IF(SUMIFS(T_PlannedOrders[EffectiveQty],T_PlannedOrders[Part Name],$A343,T_PlannedOrders[WeekIndex],94)=0,"",SUMIFS(T_PlannedOrders[EffectiveQty],T_PlannedOrders[Part Name],$A343,T_PlannedOrders[WeekIndex],94)&amp;" ("&amp;TEXT(SUMPRODUCT(MAX((T_PlannedOrders[Part Name]=$A343)*(T_PlannedOrders[WeekIndex]=94)*(T_PlannedOrders[EffectiveQty]&gt;0)*T_PlannedOrders[Order_Month])),"m月")&amp;"発注)")</f>
        <v/>
      </c>
      <c r="CT449">
        <f>IF(SUMIFS(T_PlannedOrders[EffectiveQty],T_PlannedOrders[Part Name],$A343,T_PlannedOrders[WeekIndex],95)=0,"",SUMIFS(T_PlannedOrders[EffectiveQty],T_PlannedOrders[Part Name],$A343,T_PlannedOrders[WeekIndex],95)&amp;" ("&amp;TEXT(SUMPRODUCT(MAX((T_PlannedOrders[Part Name]=$A343)*(T_PlannedOrders[WeekIndex]=95)*(T_PlannedOrders[EffectiveQty]&gt;0)*T_PlannedOrders[Order_Month])),"m月")&amp;"発注)")</f>
        <v/>
      </c>
      <c r="CU449">
        <f>IF(SUMIFS(T_PlannedOrders[EffectiveQty],T_PlannedOrders[Part Name],$A343,T_PlannedOrders[WeekIndex],96)=0,"",SUMIFS(T_PlannedOrders[EffectiveQty],T_PlannedOrders[Part Name],$A343,T_PlannedOrders[WeekIndex],96)&amp;" ("&amp;TEXT(SUMPRODUCT(MAX((T_PlannedOrders[Part Name]=$A343)*(T_PlannedOrders[WeekIndex]=96)*(T_PlannedOrders[EffectiveQty]&gt;0)*T_PlannedOrders[Order_Month])),"m月")&amp;"発注)")</f>
        <v/>
      </c>
      <c r="CV449">
        <f>IF(SUMIFS(T_PlannedOrders[EffectiveQty],T_PlannedOrders[Part Name],$A343,T_PlannedOrders[WeekIndex],97)=0,"",SUMIFS(T_PlannedOrders[EffectiveQty],T_PlannedOrders[Part Name],$A343,T_PlannedOrders[WeekIndex],97)&amp;" ("&amp;TEXT(SUMPRODUCT(MAX((T_PlannedOrders[Part Name]=$A343)*(T_PlannedOrders[WeekIndex]=97)*(T_PlannedOrders[EffectiveQty]&gt;0)*T_PlannedOrders[Order_Month])),"m月")&amp;"発注)")</f>
        <v/>
      </c>
      <c r="CW449">
        <f>IF(SUMIFS(T_PlannedOrders[EffectiveQty],T_PlannedOrders[Part Name],$A343,T_PlannedOrders[WeekIndex],98)=0,"",SUMIFS(T_PlannedOrders[EffectiveQty],T_PlannedOrders[Part Name],$A343,T_PlannedOrders[WeekIndex],98)&amp;" ("&amp;TEXT(SUMPRODUCT(MAX((T_PlannedOrders[Part Name]=$A343)*(T_PlannedOrders[WeekIndex]=98)*(T_PlannedOrders[EffectiveQty]&gt;0)*T_PlannedOrders[Order_Month])),"m月")&amp;"発注)")</f>
        <v/>
      </c>
      <c r="CX449">
        <f>IF(SUMIFS(T_PlannedOrders[EffectiveQty],T_PlannedOrders[Part Name],$A343,T_PlannedOrders[WeekIndex],99)=0,"",SUMIFS(T_PlannedOrders[EffectiveQty],T_PlannedOrders[Part Name],$A343,T_PlannedOrders[WeekIndex],99)&amp;" ("&amp;TEXT(SUMPRODUCT(MAX((T_PlannedOrders[Part Name]=$A343)*(T_PlannedOrders[WeekIndex]=99)*(T_PlannedOrders[EffectiveQty]&gt;0)*T_PlannedOrders[Order_Month])),"m月")&amp;"発注)")</f>
        <v/>
      </c>
      <c r="CY449">
        <f>IF(SUMIFS(T_PlannedOrders[EffectiveQty],T_PlannedOrders[Part Name],$A343,T_PlannedOrders[WeekIndex],100)=0,"",SUMIFS(T_PlannedOrders[EffectiveQty],T_PlannedOrders[Part Name],$A343,T_PlannedOrders[WeekIndex],100)&amp;" ("&amp;TEXT(SUMPRODUCT(MAX((T_PlannedOrders[Part Name]=$A343)*(T_PlannedOrders[WeekIndex]=100)*(T_PlannedOrders[EffectiveQty]&gt;0)*T_PlannedOrders[Order_Month])),"m月")&amp;"発注)")</f>
        <v/>
      </c>
      <c r="CZ449">
        <f>IF(SUMIFS(T_PlannedOrders[EffectiveQty],T_PlannedOrders[Part Name],$A343,T_PlannedOrders[WeekIndex],101)=0,"",SUMIFS(T_PlannedOrders[EffectiveQty],T_PlannedOrders[Part Name],$A343,T_PlannedOrders[WeekIndex],101)&amp;" ("&amp;TEXT(SUMPRODUCT(MAX((T_PlannedOrders[Part Name]=$A343)*(T_PlannedOrders[WeekIndex]=101)*(T_PlannedOrders[EffectiveQty]&gt;0)*T_PlannedOrders[Order_Month])),"m月")&amp;"発注)")</f>
        <v/>
      </c>
      <c r="DA449">
        <f>IF(SUMIFS(T_PlannedOrders[EffectiveQty],T_PlannedOrders[Part Name],$A343,T_PlannedOrders[WeekIndex],102)=0,"",SUMIFS(T_PlannedOrders[EffectiveQty],T_PlannedOrders[Part Name],$A343,T_PlannedOrders[WeekIndex],102)&amp;" ("&amp;TEXT(SUMPRODUCT(MAX((T_PlannedOrders[Part Name]=$A343)*(T_PlannedOrders[WeekIndex]=102)*(T_PlannedOrders[EffectiveQty]&gt;0)*T_PlannedOrders[Order_Month])),"m月")&amp;"発注)")</f>
        <v/>
      </c>
      <c r="DB449">
        <f>IF(SUMIFS(T_PlannedOrders[EffectiveQty],T_PlannedOrders[Part Name],$A343,T_PlannedOrders[WeekIndex],103)=0,"",SUMIFS(T_PlannedOrders[EffectiveQty],T_PlannedOrders[Part Name],$A343,T_PlannedOrders[WeekIndex],103)&amp;" ("&amp;TEXT(SUMPRODUCT(MAX((T_PlannedOrders[Part Name]=$A343)*(T_PlannedOrders[WeekIndex]=103)*(T_PlannedOrders[EffectiveQty]&gt;0)*T_PlannedOrders[Order_Month])),"m月")&amp;"発注)")</f>
        <v/>
      </c>
      <c r="DC449">
        <f>IF(SUMIFS(T_PlannedOrders[EffectiveQty],T_PlannedOrders[Part Name],$A343,T_PlannedOrders[WeekIndex],104)=0,"",SUMIFS(T_PlannedOrders[EffectiveQty],T_PlannedOrders[Part Name],$A343,T_PlannedOrders[WeekIndex],104)&amp;" ("&amp;TEXT(SUMPRODUCT(MAX((T_PlannedOrders[Part Name]=$A343)*(T_PlannedOrders[WeekIndex]=104)*(T_PlannedOrders[EffectiveQty]&gt;0)*T_PlannedOrders[Order_Month])),"m月")&amp;"発注)")</f>
        <v/>
      </c>
    </row>
    <row r="450">
      <c r="B450" s="4" t="inlineStr">
        <is>
          <t>合計在庫(週末時点,kg)</t>
        </is>
      </c>
      <c r="D450">
        <f>'Grid_Stock'!B15</f>
        <v/>
      </c>
      <c r="E450">
        <f>'Grid_Stock'!C15</f>
        <v/>
      </c>
      <c r="F450">
        <f>'Grid_Stock'!D15</f>
        <v/>
      </c>
      <c r="G450">
        <f>'Grid_Stock'!E15</f>
        <v/>
      </c>
      <c r="H450">
        <f>'Grid_Stock'!F15</f>
        <v/>
      </c>
      <c r="I450">
        <f>'Grid_Stock'!G15</f>
        <v/>
      </c>
      <c r="J450">
        <f>'Grid_Stock'!H15</f>
        <v/>
      </c>
      <c r="K450">
        <f>'Grid_Stock'!I15</f>
        <v/>
      </c>
      <c r="L450">
        <f>'Grid_Stock'!J15</f>
        <v/>
      </c>
      <c r="M450">
        <f>'Grid_Stock'!K15</f>
        <v/>
      </c>
      <c r="N450">
        <f>'Grid_Stock'!L15</f>
        <v/>
      </c>
      <c r="O450">
        <f>'Grid_Stock'!M15</f>
        <v/>
      </c>
      <c r="P450">
        <f>'Grid_Stock'!N15</f>
        <v/>
      </c>
      <c r="Q450">
        <f>'Grid_Stock'!O15</f>
        <v/>
      </c>
      <c r="R450">
        <f>'Grid_Stock'!P15</f>
        <v/>
      </c>
      <c r="S450">
        <f>'Grid_Stock'!Q15</f>
        <v/>
      </c>
      <c r="T450">
        <f>'Grid_Stock'!R15</f>
        <v/>
      </c>
      <c r="U450">
        <f>'Grid_Stock'!S15</f>
        <v/>
      </c>
      <c r="V450">
        <f>'Grid_Stock'!T15</f>
        <v/>
      </c>
      <c r="W450">
        <f>'Grid_Stock'!U15</f>
        <v/>
      </c>
      <c r="X450">
        <f>'Grid_Stock'!V15</f>
        <v/>
      </c>
      <c r="Y450">
        <f>'Grid_Stock'!W15</f>
        <v/>
      </c>
      <c r="Z450">
        <f>'Grid_Stock'!X15</f>
        <v/>
      </c>
      <c r="AA450">
        <f>'Grid_Stock'!Y15</f>
        <v/>
      </c>
      <c r="AB450">
        <f>'Grid_Stock'!Z15</f>
        <v/>
      </c>
      <c r="AC450">
        <f>'Grid_Stock'!AA15</f>
        <v/>
      </c>
      <c r="AD450">
        <f>'Grid_Stock'!AB15</f>
        <v/>
      </c>
      <c r="AE450">
        <f>'Grid_Stock'!AC15</f>
        <v/>
      </c>
      <c r="AF450">
        <f>'Grid_Stock'!AD15</f>
        <v/>
      </c>
      <c r="AG450">
        <f>'Grid_Stock'!AE15</f>
        <v/>
      </c>
      <c r="AH450">
        <f>'Grid_Stock'!AF15</f>
        <v/>
      </c>
      <c r="AI450">
        <f>'Grid_Stock'!AG15</f>
        <v/>
      </c>
      <c r="AJ450">
        <f>'Grid_Stock'!AH15</f>
        <v/>
      </c>
      <c r="AK450">
        <f>'Grid_Stock'!AI15</f>
        <v/>
      </c>
      <c r="AL450">
        <f>'Grid_Stock'!AJ15</f>
        <v/>
      </c>
      <c r="AM450">
        <f>'Grid_Stock'!AK15</f>
        <v/>
      </c>
      <c r="AN450">
        <f>'Grid_Stock'!AL15</f>
        <v/>
      </c>
      <c r="AO450">
        <f>'Grid_Stock'!AM15</f>
        <v/>
      </c>
      <c r="AP450">
        <f>'Grid_Stock'!AN15</f>
        <v/>
      </c>
      <c r="AQ450">
        <f>'Grid_Stock'!AO15</f>
        <v/>
      </c>
      <c r="AR450">
        <f>'Grid_Stock'!AP15</f>
        <v/>
      </c>
      <c r="AS450">
        <f>'Grid_Stock'!AQ15</f>
        <v/>
      </c>
      <c r="AT450">
        <f>'Grid_Stock'!AR15</f>
        <v/>
      </c>
      <c r="AU450">
        <f>'Grid_Stock'!AS15</f>
        <v/>
      </c>
      <c r="AV450">
        <f>'Grid_Stock'!AT15</f>
        <v/>
      </c>
      <c r="AW450">
        <f>'Grid_Stock'!AU15</f>
        <v/>
      </c>
      <c r="AX450">
        <f>'Grid_Stock'!AV15</f>
        <v/>
      </c>
      <c r="AY450">
        <f>'Grid_Stock'!AW15</f>
        <v/>
      </c>
      <c r="AZ450">
        <f>'Grid_Stock'!AX15</f>
        <v/>
      </c>
      <c r="BA450">
        <f>'Grid_Stock'!AY15</f>
        <v/>
      </c>
      <c r="BB450">
        <f>'Grid_Stock'!AZ15</f>
        <v/>
      </c>
      <c r="BC450">
        <f>'Grid_Stock'!BA15</f>
        <v/>
      </c>
      <c r="BD450">
        <f>'Grid_Stock'!BB15</f>
        <v/>
      </c>
      <c r="BE450">
        <f>'Grid_Stock'!BC15</f>
        <v/>
      </c>
      <c r="BF450">
        <f>'Grid_Stock'!BD15</f>
        <v/>
      </c>
      <c r="BG450">
        <f>'Grid_Stock'!BE15</f>
        <v/>
      </c>
      <c r="BH450">
        <f>'Grid_Stock'!BF15</f>
        <v/>
      </c>
      <c r="BI450">
        <f>'Grid_Stock'!BG15</f>
        <v/>
      </c>
      <c r="BJ450">
        <f>'Grid_Stock'!BH15</f>
        <v/>
      </c>
      <c r="BK450">
        <f>'Grid_Stock'!BI15</f>
        <v/>
      </c>
      <c r="BL450">
        <f>'Grid_Stock'!BJ15</f>
        <v/>
      </c>
      <c r="BM450">
        <f>'Grid_Stock'!BK15</f>
        <v/>
      </c>
      <c r="BN450">
        <f>'Grid_Stock'!BL15</f>
        <v/>
      </c>
      <c r="BO450">
        <f>'Grid_Stock'!BM15</f>
        <v/>
      </c>
      <c r="BP450">
        <f>'Grid_Stock'!BN15</f>
        <v/>
      </c>
      <c r="BQ450">
        <f>'Grid_Stock'!BO15</f>
        <v/>
      </c>
      <c r="BR450">
        <f>'Grid_Stock'!BP15</f>
        <v/>
      </c>
      <c r="BS450">
        <f>'Grid_Stock'!BQ15</f>
        <v/>
      </c>
      <c r="BT450">
        <f>'Grid_Stock'!BR15</f>
        <v/>
      </c>
      <c r="BU450">
        <f>'Grid_Stock'!BS15</f>
        <v/>
      </c>
      <c r="BV450">
        <f>'Grid_Stock'!BT15</f>
        <v/>
      </c>
      <c r="BW450">
        <f>'Grid_Stock'!BU15</f>
        <v/>
      </c>
      <c r="BX450">
        <f>'Grid_Stock'!BV15</f>
        <v/>
      </c>
      <c r="BY450">
        <f>'Grid_Stock'!BW15</f>
        <v/>
      </c>
      <c r="BZ450">
        <f>'Grid_Stock'!BX15</f>
        <v/>
      </c>
      <c r="CA450">
        <f>'Grid_Stock'!BY15</f>
        <v/>
      </c>
      <c r="CB450">
        <f>'Grid_Stock'!BZ15</f>
        <v/>
      </c>
      <c r="CC450">
        <f>'Grid_Stock'!CA15</f>
        <v/>
      </c>
      <c r="CD450">
        <f>'Grid_Stock'!CB15</f>
        <v/>
      </c>
      <c r="CE450">
        <f>'Grid_Stock'!CC15</f>
        <v/>
      </c>
      <c r="CF450">
        <f>'Grid_Stock'!CD15</f>
        <v/>
      </c>
      <c r="CG450">
        <f>'Grid_Stock'!CE15</f>
        <v/>
      </c>
      <c r="CH450">
        <f>'Grid_Stock'!CF15</f>
        <v/>
      </c>
      <c r="CI450">
        <f>'Grid_Stock'!CG15</f>
        <v/>
      </c>
      <c r="CJ450">
        <f>'Grid_Stock'!CH15</f>
        <v/>
      </c>
      <c r="CK450">
        <f>'Grid_Stock'!CI15</f>
        <v/>
      </c>
      <c r="CL450">
        <f>'Grid_Stock'!CJ15</f>
        <v/>
      </c>
      <c r="CM450">
        <f>'Grid_Stock'!CK15</f>
        <v/>
      </c>
      <c r="CN450">
        <f>'Grid_Stock'!CL15</f>
        <v/>
      </c>
      <c r="CO450">
        <f>'Grid_Stock'!CM15</f>
        <v/>
      </c>
      <c r="CP450">
        <f>'Grid_Stock'!CN15</f>
        <v/>
      </c>
      <c r="CQ450">
        <f>'Grid_Stock'!CO15</f>
        <v/>
      </c>
      <c r="CR450">
        <f>'Grid_Stock'!CP15</f>
        <v/>
      </c>
      <c r="CS450">
        <f>'Grid_Stock'!CQ15</f>
        <v/>
      </c>
      <c r="CT450">
        <f>'Grid_Stock'!CR15</f>
        <v/>
      </c>
      <c r="CU450">
        <f>'Grid_Stock'!CS15</f>
        <v/>
      </c>
      <c r="CV450">
        <f>'Grid_Stock'!CT15</f>
        <v/>
      </c>
      <c r="CW450">
        <f>'Grid_Stock'!CU15</f>
        <v/>
      </c>
      <c r="CX450">
        <f>'Grid_Stock'!CV15</f>
        <v/>
      </c>
      <c r="CY450">
        <f>'Grid_Stock'!CW15</f>
        <v/>
      </c>
      <c r="CZ450">
        <f>'Grid_Stock'!CX15</f>
        <v/>
      </c>
      <c r="DA450">
        <f>'Grid_Stock'!CY15</f>
        <v/>
      </c>
      <c r="DB450">
        <f>'Grid_Stock'!CZ15</f>
        <v/>
      </c>
      <c r="DC450">
        <f>'Grid_Stock'!DA15</f>
        <v/>
      </c>
    </row>
    <row r="451">
      <c r="B451" s="16" t="inlineStr">
        <is>
          <t>（発注の目安はDashboardの基準在庫[下限/上限]と色分けを参照）</t>
        </is>
      </c>
    </row>
    <row r="453">
      <c r="A453" s="14" t="inlineStr">
        <is>
          <t>CHEM-1430</t>
        </is>
      </c>
      <c r="B453" s="14" t="inlineStr">
        <is>
          <t>RCT22</t>
        </is>
      </c>
      <c r="C453" s="15" t="n"/>
      <c r="D453" s="14" t="n"/>
      <c r="E453" s="14" t="n"/>
      <c r="F453" s="14" t="n"/>
      <c r="G453" s="14" t="n"/>
      <c r="H453" s="14" t="n"/>
      <c r="I453" s="14" t="n"/>
      <c r="J453" s="14" t="n"/>
      <c r="K453" s="14" t="n"/>
      <c r="L453" s="14" t="n"/>
      <c r="M453" s="14" t="n"/>
      <c r="N453" s="14" t="n"/>
      <c r="O453" s="14" t="n"/>
      <c r="P453" s="14" t="n"/>
      <c r="Q453" s="14" t="n"/>
      <c r="R453" s="14" t="n"/>
      <c r="S453" s="14" t="n"/>
      <c r="T453" s="14" t="n"/>
      <c r="U453" s="14" t="n"/>
      <c r="V453" s="14" t="n"/>
      <c r="W453" s="14" t="n"/>
      <c r="X453" s="14" t="n"/>
      <c r="Y453" s="14" t="n"/>
      <c r="Z453" s="14" t="n"/>
      <c r="AA453" s="14" t="n"/>
      <c r="AB453" s="14" t="n"/>
      <c r="AC453" s="14" t="n"/>
      <c r="AD453" s="14" t="n"/>
      <c r="AE453" s="14" t="n"/>
      <c r="AF453" s="14" t="n"/>
      <c r="AG453" s="14" t="n"/>
      <c r="AH453" s="14" t="n"/>
      <c r="AI453" s="14" t="n"/>
      <c r="AJ453" s="14" t="n"/>
      <c r="AK453" s="14" t="n"/>
      <c r="AL453" s="14" t="n"/>
      <c r="AM453" s="14" t="n"/>
      <c r="AN453" s="14" t="n"/>
      <c r="AO453" s="14" t="n"/>
      <c r="AP453" s="14" t="n"/>
      <c r="AQ453" s="14" t="n"/>
      <c r="AR453" s="14" t="n"/>
      <c r="AS453" s="14" t="n"/>
      <c r="AT453" s="14" t="n"/>
      <c r="AU453" s="14" t="n"/>
      <c r="AV453" s="14" t="n"/>
      <c r="AW453" s="14" t="n"/>
      <c r="AX453" s="14" t="n"/>
      <c r="AY453" s="14" t="n"/>
      <c r="AZ453" s="14" t="n"/>
      <c r="BA453" s="14" t="n"/>
      <c r="BB453" s="14" t="n"/>
      <c r="BC453" s="14" t="n"/>
      <c r="BD453" s="14" t="n"/>
      <c r="BE453" s="14" t="n"/>
      <c r="BF453" s="14" t="n"/>
      <c r="BG453" s="14" t="n"/>
      <c r="BH453" s="14" t="n"/>
      <c r="BI453" s="14" t="n"/>
      <c r="BJ453" s="14" t="n"/>
      <c r="BK453" s="14" t="n"/>
      <c r="BL453" s="14" t="n"/>
      <c r="BM453" s="14" t="n"/>
      <c r="BN453" s="14" t="n"/>
      <c r="BO453" s="14" t="n"/>
      <c r="BP453" s="14" t="n"/>
      <c r="BQ453" s="14" t="n"/>
      <c r="BR453" s="14" t="n"/>
      <c r="BS453" s="14" t="n"/>
      <c r="BT453" s="14" t="n"/>
      <c r="BU453" s="14" t="n"/>
      <c r="BV453" s="14" t="n"/>
      <c r="BW453" s="14" t="n"/>
      <c r="BX453" s="14" t="n"/>
      <c r="BY453" s="14" t="n"/>
      <c r="BZ453" s="14" t="n"/>
      <c r="CA453" s="14" t="n"/>
      <c r="CB453" s="14" t="n"/>
      <c r="CC453" s="14" t="n"/>
      <c r="CD453" s="14" t="n"/>
      <c r="CE453" s="14" t="n"/>
      <c r="CF453" s="14" t="n"/>
      <c r="CG453" s="14" t="n"/>
      <c r="CH453" s="14" t="n"/>
      <c r="CI453" s="14" t="n"/>
      <c r="CJ453" s="14" t="n"/>
      <c r="CK453" s="14" t="n"/>
      <c r="CL453" s="14" t="n"/>
      <c r="CM453" s="14" t="n"/>
      <c r="CN453" s="14" t="n"/>
      <c r="CO453" s="14" t="n"/>
      <c r="CP453" s="14" t="n"/>
      <c r="CQ453" s="14" t="n"/>
      <c r="CR453" s="14" t="n"/>
      <c r="CS453" s="14" t="n"/>
      <c r="CT453" s="14" t="n"/>
      <c r="CU453" s="14" t="n"/>
      <c r="CV453" s="14" t="n"/>
      <c r="CW453" s="14" t="n"/>
      <c r="CX453" s="14" t="n"/>
      <c r="CY453" s="14" t="n"/>
      <c r="CZ453" s="14" t="n"/>
      <c r="DA453" s="14" t="n"/>
      <c r="DB453" s="14" t="n"/>
      <c r="DC453" s="14" t="n"/>
    </row>
    <row r="454">
      <c r="B454" t="inlineStr">
        <is>
          <t>TSP-050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Name],$A453)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TSP-078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Name],$A453)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TSP-080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Name],$A453)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TSP-088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Name],$A453)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TSP-089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Name],$A453)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t="inlineStr">
        <is>
          <t>TSP-105</t>
        </is>
      </c>
      <c r="C464" t="inlineStr">
        <is>
          <t>No. of batches</t>
        </is>
      </c>
      <c r="D464">
        <f>IFERROR(INDEX(PP_Grid[#Data],$DD464,2),0)</f>
        <v/>
      </c>
      <c r="E464">
        <f>IFERROR(INDEX(PP_Grid[#Data],$DD464,3),0)</f>
        <v/>
      </c>
      <c r="F464">
        <f>IFERROR(INDEX(PP_Grid[#Data],$DD464,4),0)</f>
        <v/>
      </c>
      <c r="G464">
        <f>IFERROR(INDEX(PP_Grid[#Data],$DD464,5),0)</f>
        <v/>
      </c>
      <c r="H464">
        <f>IFERROR(INDEX(PP_Grid[#Data],$DD464,6),0)</f>
        <v/>
      </c>
      <c r="I464">
        <f>IFERROR(INDEX(PP_Grid[#Data],$DD464,7),0)</f>
        <v/>
      </c>
      <c r="J464">
        <f>IFERROR(INDEX(PP_Grid[#Data],$DD464,8),0)</f>
        <v/>
      </c>
      <c r="K464">
        <f>IFERROR(INDEX(PP_Grid[#Data],$DD464,9),0)</f>
        <v/>
      </c>
      <c r="L464">
        <f>IFERROR(INDEX(PP_Grid[#Data],$DD464,10),0)</f>
        <v/>
      </c>
      <c r="M464">
        <f>IFERROR(INDEX(PP_Grid[#Data],$DD464,11),0)</f>
        <v/>
      </c>
      <c r="N464">
        <f>IFERROR(INDEX(PP_Grid[#Data],$DD464,12),0)</f>
        <v/>
      </c>
      <c r="O464">
        <f>IFERROR(INDEX(PP_Grid[#Data],$DD464,13),0)</f>
        <v/>
      </c>
      <c r="P464">
        <f>IFERROR(INDEX(PP_Grid[#Data],$DD464,14),0)</f>
        <v/>
      </c>
      <c r="Q464">
        <f>IFERROR(INDEX(PP_Grid[#Data],$DD464,15),0)</f>
        <v/>
      </c>
      <c r="R464">
        <f>IFERROR(INDEX(PP_Grid[#Data],$DD464,16),0)</f>
        <v/>
      </c>
      <c r="S464">
        <f>IFERROR(INDEX(PP_Grid[#Data],$DD464,17),0)</f>
        <v/>
      </c>
      <c r="T464">
        <f>IFERROR(INDEX(PP_Grid[#Data],$DD464,18),0)</f>
        <v/>
      </c>
      <c r="U464">
        <f>IFERROR(INDEX(PP_Grid[#Data],$DD464,19),0)</f>
        <v/>
      </c>
      <c r="V464">
        <f>IFERROR(INDEX(PP_Grid[#Data],$DD464,20),0)</f>
        <v/>
      </c>
      <c r="W464">
        <f>IFERROR(INDEX(PP_Grid[#Data],$DD464,21),0)</f>
        <v/>
      </c>
      <c r="X464">
        <f>IFERROR(INDEX(PP_Grid[#Data],$DD464,22),0)</f>
        <v/>
      </c>
      <c r="Y464">
        <f>IFERROR(INDEX(PP_Grid[#Data],$DD464,23),0)</f>
        <v/>
      </c>
      <c r="Z464">
        <f>IFERROR(INDEX(PP_Grid[#Data],$DD464,24),0)</f>
        <v/>
      </c>
      <c r="AA464">
        <f>IFERROR(INDEX(PP_Grid[#Data],$DD464,25),0)</f>
        <v/>
      </c>
      <c r="AB464">
        <f>IFERROR(INDEX(PP_Grid[#Data],$DD464,26),0)</f>
        <v/>
      </c>
      <c r="AC464">
        <f>IFERROR(INDEX(PP_Grid[#Data],$DD464,27),0)</f>
        <v/>
      </c>
      <c r="AD464">
        <f>IFERROR(INDEX(PP_Grid[#Data],$DD464,28),0)</f>
        <v/>
      </c>
      <c r="AE464">
        <f>IFERROR(INDEX(PP_Grid[#Data],$DD464,29),0)</f>
        <v/>
      </c>
      <c r="AF464">
        <f>IFERROR(INDEX(PP_Grid[#Data],$DD464,30),0)</f>
        <v/>
      </c>
      <c r="AG464">
        <f>IFERROR(INDEX(PP_Grid[#Data],$DD464,31),0)</f>
        <v/>
      </c>
      <c r="AH464">
        <f>IFERROR(INDEX(PP_Grid[#Data],$DD464,32),0)</f>
        <v/>
      </c>
      <c r="AI464">
        <f>IFERROR(INDEX(PP_Grid[#Data],$DD464,33),0)</f>
        <v/>
      </c>
      <c r="AJ464">
        <f>IFERROR(INDEX(PP_Grid[#Data],$DD464,34),0)</f>
        <v/>
      </c>
      <c r="AK464">
        <f>IFERROR(INDEX(PP_Grid[#Data],$DD464,35),0)</f>
        <v/>
      </c>
      <c r="AL464">
        <f>IFERROR(INDEX(PP_Grid[#Data],$DD464,36),0)</f>
        <v/>
      </c>
      <c r="AM464">
        <f>IFERROR(INDEX(PP_Grid[#Data],$DD464,37),0)</f>
        <v/>
      </c>
      <c r="AN464">
        <f>IFERROR(INDEX(PP_Grid[#Data],$DD464,38),0)</f>
        <v/>
      </c>
      <c r="AO464">
        <f>IFERROR(INDEX(PP_Grid[#Data],$DD464,39),0)</f>
        <v/>
      </c>
      <c r="AP464">
        <f>IFERROR(INDEX(PP_Grid[#Data],$DD464,40),0)</f>
        <v/>
      </c>
      <c r="AQ464">
        <f>IFERROR(INDEX(PP_Grid[#Data],$DD464,41),0)</f>
        <v/>
      </c>
      <c r="AR464">
        <f>IFERROR(INDEX(PP_Grid[#Data],$DD464,42),0)</f>
        <v/>
      </c>
      <c r="AS464">
        <f>IFERROR(INDEX(PP_Grid[#Data],$DD464,43),0)</f>
        <v/>
      </c>
      <c r="AT464">
        <f>IFERROR(INDEX(PP_Grid[#Data],$DD464,44),0)</f>
        <v/>
      </c>
      <c r="AU464">
        <f>IFERROR(INDEX(PP_Grid[#Data],$DD464,45),0)</f>
        <v/>
      </c>
      <c r="AV464">
        <f>IFERROR(INDEX(PP_Grid[#Data],$DD464,46),0)</f>
        <v/>
      </c>
      <c r="AW464">
        <f>IFERROR(INDEX(PP_Grid[#Data],$DD464,47),0)</f>
        <v/>
      </c>
      <c r="AX464">
        <f>IFERROR(INDEX(PP_Grid[#Data],$DD464,48),0)</f>
        <v/>
      </c>
      <c r="AY464">
        <f>IFERROR(INDEX(PP_Grid[#Data],$DD464,49),0)</f>
        <v/>
      </c>
      <c r="AZ464">
        <f>IFERROR(INDEX(PP_Grid[#Data],$DD464,50),0)</f>
        <v/>
      </c>
      <c r="BA464">
        <f>IFERROR(INDEX(PP_Grid[#Data],$DD464,51),0)</f>
        <v/>
      </c>
      <c r="BB464">
        <f>IFERROR(INDEX(PP_Grid[#Data],$DD464,52),0)</f>
        <v/>
      </c>
      <c r="BC464">
        <f>IFERROR(INDEX(PP_Grid[#Data],$DD464,53),0)</f>
        <v/>
      </c>
      <c r="BD464">
        <f>IFERROR(INDEX(PP_Grid[#Data],$DD464,54),0)</f>
        <v/>
      </c>
      <c r="BE464">
        <f>IFERROR(INDEX(PP_Grid[#Data],$DD464,55),0)</f>
        <v/>
      </c>
      <c r="BF464">
        <f>IFERROR(INDEX(PP_Grid[#Data],$DD464,56),0)</f>
        <v/>
      </c>
      <c r="BG464">
        <f>IFERROR(INDEX(PP_Grid[#Data],$DD464,57),0)</f>
        <v/>
      </c>
      <c r="BH464">
        <f>IFERROR(INDEX(PP_Grid[#Data],$DD464,58),0)</f>
        <v/>
      </c>
      <c r="BI464">
        <f>IFERROR(INDEX(PP_Grid[#Data],$DD464,59),0)</f>
        <v/>
      </c>
      <c r="BJ464">
        <f>IFERROR(INDEX(PP_Grid[#Data],$DD464,60),0)</f>
        <v/>
      </c>
      <c r="BK464">
        <f>IFERROR(INDEX(PP_Grid[#Data],$DD464,61),0)</f>
        <v/>
      </c>
      <c r="BL464">
        <f>IFERROR(INDEX(PP_Grid[#Data],$DD464,62),0)</f>
        <v/>
      </c>
      <c r="BM464">
        <f>IFERROR(INDEX(PP_Grid[#Data],$DD464,63),0)</f>
        <v/>
      </c>
      <c r="BN464">
        <f>IFERROR(INDEX(PP_Grid[#Data],$DD464,64),0)</f>
        <v/>
      </c>
      <c r="BO464">
        <f>IFERROR(INDEX(PP_Grid[#Data],$DD464,65),0)</f>
        <v/>
      </c>
      <c r="BP464">
        <f>IFERROR(INDEX(PP_Grid[#Data],$DD464,66),0)</f>
        <v/>
      </c>
      <c r="BQ464">
        <f>IFERROR(INDEX(PP_Grid[#Data],$DD464,67),0)</f>
        <v/>
      </c>
      <c r="BR464">
        <f>IFERROR(INDEX(PP_Grid[#Data],$DD464,68),0)</f>
        <v/>
      </c>
      <c r="BS464">
        <f>IFERROR(INDEX(PP_Grid[#Data],$DD464,69),0)</f>
        <v/>
      </c>
      <c r="BT464">
        <f>IFERROR(INDEX(PP_Grid[#Data],$DD464,70),0)</f>
        <v/>
      </c>
      <c r="BU464">
        <f>IFERROR(INDEX(PP_Grid[#Data],$DD464,71),0)</f>
        <v/>
      </c>
      <c r="BV464">
        <f>IFERROR(INDEX(PP_Grid[#Data],$DD464,72),0)</f>
        <v/>
      </c>
      <c r="BW464">
        <f>IFERROR(INDEX(PP_Grid[#Data],$DD464,73),0)</f>
        <v/>
      </c>
      <c r="BX464">
        <f>IFERROR(INDEX(PP_Grid[#Data],$DD464,74),0)</f>
        <v/>
      </c>
      <c r="BY464">
        <f>IFERROR(INDEX(PP_Grid[#Data],$DD464,75),0)</f>
        <v/>
      </c>
      <c r="BZ464">
        <f>IFERROR(INDEX(PP_Grid[#Data],$DD464,76),0)</f>
        <v/>
      </c>
      <c r="CA464">
        <f>IFERROR(INDEX(PP_Grid[#Data],$DD464,77),0)</f>
        <v/>
      </c>
      <c r="CB464">
        <f>IFERROR(INDEX(PP_Grid[#Data],$DD464,78),0)</f>
        <v/>
      </c>
      <c r="CC464">
        <f>IFERROR(INDEX(PP_Grid[#Data],$DD464,79),0)</f>
        <v/>
      </c>
      <c r="CD464">
        <f>IFERROR(INDEX(PP_Grid[#Data],$DD464,80),0)</f>
        <v/>
      </c>
      <c r="CE464">
        <f>IFERROR(INDEX(PP_Grid[#Data],$DD464,81),0)</f>
        <v/>
      </c>
      <c r="CF464">
        <f>IFERROR(INDEX(PP_Grid[#Data],$DD464,82),0)</f>
        <v/>
      </c>
      <c r="CG464">
        <f>IFERROR(INDEX(PP_Grid[#Data],$DD464,83),0)</f>
        <v/>
      </c>
      <c r="CH464">
        <f>IFERROR(INDEX(PP_Grid[#Data],$DD464,84),0)</f>
        <v/>
      </c>
      <c r="CI464">
        <f>IFERROR(INDEX(PP_Grid[#Data],$DD464,85),0)</f>
        <v/>
      </c>
      <c r="CJ464">
        <f>IFERROR(INDEX(PP_Grid[#Data],$DD464,86),0)</f>
        <v/>
      </c>
      <c r="CK464">
        <f>IFERROR(INDEX(PP_Grid[#Data],$DD464,87),0)</f>
        <v/>
      </c>
      <c r="CL464">
        <f>IFERROR(INDEX(PP_Grid[#Data],$DD464,88),0)</f>
        <v/>
      </c>
      <c r="CM464">
        <f>IFERROR(INDEX(PP_Grid[#Data],$DD464,89),0)</f>
        <v/>
      </c>
      <c r="CN464">
        <f>IFERROR(INDEX(PP_Grid[#Data],$DD464,90),0)</f>
        <v/>
      </c>
      <c r="CO464">
        <f>IFERROR(INDEX(PP_Grid[#Data],$DD464,91),0)</f>
        <v/>
      </c>
      <c r="CP464">
        <f>IFERROR(INDEX(PP_Grid[#Data],$DD464,92),0)</f>
        <v/>
      </c>
      <c r="CQ464">
        <f>IFERROR(INDEX(PP_Grid[#Data],$DD464,93),0)</f>
        <v/>
      </c>
      <c r="CR464">
        <f>IFERROR(INDEX(PP_Grid[#Data],$DD464,94),0)</f>
        <v/>
      </c>
      <c r="CS464">
        <f>IFERROR(INDEX(PP_Grid[#Data],$DD464,95),0)</f>
        <v/>
      </c>
      <c r="CT464">
        <f>IFERROR(INDEX(PP_Grid[#Data],$DD464,96),0)</f>
        <v/>
      </c>
      <c r="CU464">
        <f>IFERROR(INDEX(PP_Grid[#Data],$DD464,97),0)</f>
        <v/>
      </c>
      <c r="CV464">
        <f>IFERROR(INDEX(PP_Grid[#Data],$DD464,98),0)</f>
        <v/>
      </c>
      <c r="CW464">
        <f>IFERROR(INDEX(PP_Grid[#Data],$DD464,99),0)</f>
        <v/>
      </c>
      <c r="CX464">
        <f>IFERROR(INDEX(PP_Grid[#Data],$DD464,100),0)</f>
        <v/>
      </c>
      <c r="CY464">
        <f>IFERROR(INDEX(PP_Grid[#Data],$DD464,101),0)</f>
        <v/>
      </c>
      <c r="CZ464">
        <f>IFERROR(INDEX(PP_Grid[#Data],$DD464,102),0)</f>
        <v/>
      </c>
      <c r="DA464">
        <f>IFERROR(INDEX(PP_Grid[#Data],$DD464,103),0)</f>
        <v/>
      </c>
      <c r="DB464">
        <f>IFERROR(INDEX(PP_Grid[#Data],$DD464,104),0)</f>
        <v/>
      </c>
      <c r="DC464">
        <f>IFERROR(INDEX(PP_Grid[#Data],$DD464,105),0)</f>
        <v/>
      </c>
      <c r="DD464" s="7">
        <f>IFERROR(MATCH($B464,PP_Grid[Intermediate],0),99999)</f>
        <v/>
      </c>
    </row>
    <row r="465">
      <c r="B465" t="inlineStr">
        <is>
          <t>使用量(kg)</t>
        </is>
      </c>
      <c r="C465">
        <f>SUMIFS(M_BOM[RM_Qty_Per_Batch],M_BOM[Intermediate],$B464,M_BOM[Part Name],$A453)</f>
        <v/>
      </c>
      <c r="D465">
        <f>$C465*D464</f>
        <v/>
      </c>
      <c r="E465">
        <f>$C465*E464</f>
        <v/>
      </c>
      <c r="F465">
        <f>$C465*F464</f>
        <v/>
      </c>
      <c r="G465">
        <f>$C465*G464</f>
        <v/>
      </c>
      <c r="H465">
        <f>$C465*H464</f>
        <v/>
      </c>
      <c r="I465">
        <f>$C465*I464</f>
        <v/>
      </c>
      <c r="J465">
        <f>$C465*J464</f>
        <v/>
      </c>
      <c r="K465">
        <f>$C465*K464</f>
        <v/>
      </c>
      <c r="L465">
        <f>$C465*L464</f>
        <v/>
      </c>
      <c r="M465">
        <f>$C465*M464</f>
        <v/>
      </c>
      <c r="N465">
        <f>$C465*N464</f>
        <v/>
      </c>
      <c r="O465">
        <f>$C465*O464</f>
        <v/>
      </c>
      <c r="P465">
        <f>$C465*P464</f>
        <v/>
      </c>
      <c r="Q465">
        <f>$C465*Q464</f>
        <v/>
      </c>
      <c r="R465">
        <f>$C465*R464</f>
        <v/>
      </c>
      <c r="S465">
        <f>$C465*S464</f>
        <v/>
      </c>
      <c r="T465">
        <f>$C465*T464</f>
        <v/>
      </c>
      <c r="U465">
        <f>$C465*U464</f>
        <v/>
      </c>
      <c r="V465">
        <f>$C465*V464</f>
        <v/>
      </c>
      <c r="W465">
        <f>$C465*W464</f>
        <v/>
      </c>
      <c r="X465">
        <f>$C465*X464</f>
        <v/>
      </c>
      <c r="Y465">
        <f>$C465*Y464</f>
        <v/>
      </c>
      <c r="Z465">
        <f>$C465*Z464</f>
        <v/>
      </c>
      <c r="AA465">
        <f>$C465*AA464</f>
        <v/>
      </c>
      <c r="AB465">
        <f>$C465*AB464</f>
        <v/>
      </c>
      <c r="AC465">
        <f>$C465*AC464</f>
        <v/>
      </c>
      <c r="AD465">
        <f>$C465*AD464</f>
        <v/>
      </c>
      <c r="AE465">
        <f>$C465*AE464</f>
        <v/>
      </c>
      <c r="AF465">
        <f>$C465*AF464</f>
        <v/>
      </c>
      <c r="AG465">
        <f>$C465*AG464</f>
        <v/>
      </c>
      <c r="AH465">
        <f>$C465*AH464</f>
        <v/>
      </c>
      <c r="AI465">
        <f>$C465*AI464</f>
        <v/>
      </c>
      <c r="AJ465">
        <f>$C465*AJ464</f>
        <v/>
      </c>
      <c r="AK465">
        <f>$C465*AK464</f>
        <v/>
      </c>
      <c r="AL465">
        <f>$C465*AL464</f>
        <v/>
      </c>
      <c r="AM465">
        <f>$C465*AM464</f>
        <v/>
      </c>
      <c r="AN465">
        <f>$C465*AN464</f>
        <v/>
      </c>
      <c r="AO465">
        <f>$C465*AO464</f>
        <v/>
      </c>
      <c r="AP465">
        <f>$C465*AP464</f>
        <v/>
      </c>
      <c r="AQ465">
        <f>$C465*AQ464</f>
        <v/>
      </c>
      <c r="AR465">
        <f>$C465*AR464</f>
        <v/>
      </c>
      <c r="AS465">
        <f>$C465*AS464</f>
        <v/>
      </c>
      <c r="AT465">
        <f>$C465*AT464</f>
        <v/>
      </c>
      <c r="AU465">
        <f>$C465*AU464</f>
        <v/>
      </c>
      <c r="AV465">
        <f>$C465*AV464</f>
        <v/>
      </c>
      <c r="AW465">
        <f>$C465*AW464</f>
        <v/>
      </c>
      <c r="AX465">
        <f>$C465*AX464</f>
        <v/>
      </c>
      <c r="AY465">
        <f>$C465*AY464</f>
        <v/>
      </c>
      <c r="AZ465">
        <f>$C465*AZ464</f>
        <v/>
      </c>
      <c r="BA465">
        <f>$C465*BA464</f>
        <v/>
      </c>
      <c r="BB465">
        <f>$C465*BB464</f>
        <v/>
      </c>
      <c r="BC465">
        <f>$C465*BC464</f>
        <v/>
      </c>
      <c r="BD465">
        <f>$C465*BD464</f>
        <v/>
      </c>
      <c r="BE465">
        <f>$C465*BE464</f>
        <v/>
      </c>
      <c r="BF465">
        <f>$C465*BF464</f>
        <v/>
      </c>
      <c r="BG465">
        <f>$C465*BG464</f>
        <v/>
      </c>
      <c r="BH465">
        <f>$C465*BH464</f>
        <v/>
      </c>
      <c r="BI465">
        <f>$C465*BI464</f>
        <v/>
      </c>
      <c r="BJ465">
        <f>$C465*BJ464</f>
        <v/>
      </c>
      <c r="BK465">
        <f>$C465*BK464</f>
        <v/>
      </c>
      <c r="BL465">
        <f>$C465*BL464</f>
        <v/>
      </c>
      <c r="BM465">
        <f>$C465*BM464</f>
        <v/>
      </c>
      <c r="BN465">
        <f>$C465*BN464</f>
        <v/>
      </c>
      <c r="BO465">
        <f>$C465*BO464</f>
        <v/>
      </c>
      <c r="BP465">
        <f>$C465*BP464</f>
        <v/>
      </c>
      <c r="BQ465">
        <f>$C465*BQ464</f>
        <v/>
      </c>
      <c r="BR465">
        <f>$C465*BR464</f>
        <v/>
      </c>
      <c r="BS465">
        <f>$C465*BS464</f>
        <v/>
      </c>
      <c r="BT465">
        <f>$C465*BT464</f>
        <v/>
      </c>
      <c r="BU465">
        <f>$C465*BU464</f>
        <v/>
      </c>
      <c r="BV465">
        <f>$C465*BV464</f>
        <v/>
      </c>
      <c r="BW465">
        <f>$C465*BW464</f>
        <v/>
      </c>
      <c r="BX465">
        <f>$C465*BX464</f>
        <v/>
      </c>
      <c r="BY465">
        <f>$C465*BY464</f>
        <v/>
      </c>
      <c r="BZ465">
        <f>$C465*BZ464</f>
        <v/>
      </c>
      <c r="CA465">
        <f>$C465*CA464</f>
        <v/>
      </c>
      <c r="CB465">
        <f>$C465*CB464</f>
        <v/>
      </c>
      <c r="CC465">
        <f>$C465*CC464</f>
        <v/>
      </c>
      <c r="CD465">
        <f>$C465*CD464</f>
        <v/>
      </c>
      <c r="CE465">
        <f>$C465*CE464</f>
        <v/>
      </c>
      <c r="CF465">
        <f>$C465*CF464</f>
        <v/>
      </c>
      <c r="CG465">
        <f>$C465*CG464</f>
        <v/>
      </c>
      <c r="CH465">
        <f>$C465*CH464</f>
        <v/>
      </c>
      <c r="CI465">
        <f>$C465*CI464</f>
        <v/>
      </c>
      <c r="CJ465">
        <f>$C465*CJ464</f>
        <v/>
      </c>
      <c r="CK465">
        <f>$C465*CK464</f>
        <v/>
      </c>
      <c r="CL465">
        <f>$C465*CL464</f>
        <v/>
      </c>
      <c r="CM465">
        <f>$C465*CM464</f>
        <v/>
      </c>
      <c r="CN465">
        <f>$C465*CN464</f>
        <v/>
      </c>
      <c r="CO465">
        <f>$C465*CO464</f>
        <v/>
      </c>
      <c r="CP465">
        <f>$C465*CP464</f>
        <v/>
      </c>
      <c r="CQ465">
        <f>$C465*CQ464</f>
        <v/>
      </c>
      <c r="CR465">
        <f>$C465*CR464</f>
        <v/>
      </c>
      <c r="CS465">
        <f>$C465*CS464</f>
        <v/>
      </c>
      <c r="CT465">
        <f>$C465*CT464</f>
        <v/>
      </c>
      <c r="CU465">
        <f>$C465*CU464</f>
        <v/>
      </c>
      <c r="CV465">
        <f>$C465*CV464</f>
        <v/>
      </c>
      <c r="CW465">
        <f>$C465*CW464</f>
        <v/>
      </c>
      <c r="CX465">
        <f>$C465*CX464</f>
        <v/>
      </c>
      <c r="CY465">
        <f>$C465*CY464</f>
        <v/>
      </c>
      <c r="CZ465">
        <f>$C465*CZ464</f>
        <v/>
      </c>
      <c r="DA465">
        <f>$C465*DA464</f>
        <v/>
      </c>
      <c r="DB465">
        <f>$C465*DB464</f>
        <v/>
      </c>
      <c r="DC465">
        <f>$C465*DC464</f>
        <v/>
      </c>
    </row>
    <row r="466">
      <c r="B466" t="inlineStr">
        <is>
          <t>TSP-225</t>
        </is>
      </c>
      <c r="C466" t="inlineStr">
        <is>
          <t>No. of batches</t>
        </is>
      </c>
      <c r="D466">
        <f>IFERROR(INDEX(PP_Grid[#Data],$DD466,2),0)</f>
        <v/>
      </c>
      <c r="E466">
        <f>IFERROR(INDEX(PP_Grid[#Data],$DD466,3),0)</f>
        <v/>
      </c>
      <c r="F466">
        <f>IFERROR(INDEX(PP_Grid[#Data],$DD466,4),0)</f>
        <v/>
      </c>
      <c r="G466">
        <f>IFERROR(INDEX(PP_Grid[#Data],$DD466,5),0)</f>
        <v/>
      </c>
      <c r="H466">
        <f>IFERROR(INDEX(PP_Grid[#Data],$DD466,6),0)</f>
        <v/>
      </c>
      <c r="I466">
        <f>IFERROR(INDEX(PP_Grid[#Data],$DD466,7),0)</f>
        <v/>
      </c>
      <c r="J466">
        <f>IFERROR(INDEX(PP_Grid[#Data],$DD466,8),0)</f>
        <v/>
      </c>
      <c r="K466">
        <f>IFERROR(INDEX(PP_Grid[#Data],$DD466,9),0)</f>
        <v/>
      </c>
      <c r="L466">
        <f>IFERROR(INDEX(PP_Grid[#Data],$DD466,10),0)</f>
        <v/>
      </c>
      <c r="M466">
        <f>IFERROR(INDEX(PP_Grid[#Data],$DD466,11),0)</f>
        <v/>
      </c>
      <c r="N466">
        <f>IFERROR(INDEX(PP_Grid[#Data],$DD466,12),0)</f>
        <v/>
      </c>
      <c r="O466">
        <f>IFERROR(INDEX(PP_Grid[#Data],$DD466,13),0)</f>
        <v/>
      </c>
      <c r="P466">
        <f>IFERROR(INDEX(PP_Grid[#Data],$DD466,14),0)</f>
        <v/>
      </c>
      <c r="Q466">
        <f>IFERROR(INDEX(PP_Grid[#Data],$DD466,15),0)</f>
        <v/>
      </c>
      <c r="R466">
        <f>IFERROR(INDEX(PP_Grid[#Data],$DD466,16),0)</f>
        <v/>
      </c>
      <c r="S466">
        <f>IFERROR(INDEX(PP_Grid[#Data],$DD466,17),0)</f>
        <v/>
      </c>
      <c r="T466">
        <f>IFERROR(INDEX(PP_Grid[#Data],$DD466,18),0)</f>
        <v/>
      </c>
      <c r="U466">
        <f>IFERROR(INDEX(PP_Grid[#Data],$DD466,19),0)</f>
        <v/>
      </c>
      <c r="V466">
        <f>IFERROR(INDEX(PP_Grid[#Data],$DD466,20),0)</f>
        <v/>
      </c>
      <c r="W466">
        <f>IFERROR(INDEX(PP_Grid[#Data],$DD466,21),0)</f>
        <v/>
      </c>
      <c r="X466">
        <f>IFERROR(INDEX(PP_Grid[#Data],$DD466,22),0)</f>
        <v/>
      </c>
      <c r="Y466">
        <f>IFERROR(INDEX(PP_Grid[#Data],$DD466,23),0)</f>
        <v/>
      </c>
      <c r="Z466">
        <f>IFERROR(INDEX(PP_Grid[#Data],$DD466,24),0)</f>
        <v/>
      </c>
      <c r="AA466">
        <f>IFERROR(INDEX(PP_Grid[#Data],$DD466,25),0)</f>
        <v/>
      </c>
      <c r="AB466">
        <f>IFERROR(INDEX(PP_Grid[#Data],$DD466,26),0)</f>
        <v/>
      </c>
      <c r="AC466">
        <f>IFERROR(INDEX(PP_Grid[#Data],$DD466,27),0)</f>
        <v/>
      </c>
      <c r="AD466">
        <f>IFERROR(INDEX(PP_Grid[#Data],$DD466,28),0)</f>
        <v/>
      </c>
      <c r="AE466">
        <f>IFERROR(INDEX(PP_Grid[#Data],$DD466,29),0)</f>
        <v/>
      </c>
      <c r="AF466">
        <f>IFERROR(INDEX(PP_Grid[#Data],$DD466,30),0)</f>
        <v/>
      </c>
      <c r="AG466">
        <f>IFERROR(INDEX(PP_Grid[#Data],$DD466,31),0)</f>
        <v/>
      </c>
      <c r="AH466">
        <f>IFERROR(INDEX(PP_Grid[#Data],$DD466,32),0)</f>
        <v/>
      </c>
      <c r="AI466">
        <f>IFERROR(INDEX(PP_Grid[#Data],$DD466,33),0)</f>
        <v/>
      </c>
      <c r="AJ466">
        <f>IFERROR(INDEX(PP_Grid[#Data],$DD466,34),0)</f>
        <v/>
      </c>
      <c r="AK466">
        <f>IFERROR(INDEX(PP_Grid[#Data],$DD466,35),0)</f>
        <v/>
      </c>
      <c r="AL466">
        <f>IFERROR(INDEX(PP_Grid[#Data],$DD466,36),0)</f>
        <v/>
      </c>
      <c r="AM466">
        <f>IFERROR(INDEX(PP_Grid[#Data],$DD466,37),0)</f>
        <v/>
      </c>
      <c r="AN466">
        <f>IFERROR(INDEX(PP_Grid[#Data],$DD466,38),0)</f>
        <v/>
      </c>
      <c r="AO466">
        <f>IFERROR(INDEX(PP_Grid[#Data],$DD466,39),0)</f>
        <v/>
      </c>
      <c r="AP466">
        <f>IFERROR(INDEX(PP_Grid[#Data],$DD466,40),0)</f>
        <v/>
      </c>
      <c r="AQ466">
        <f>IFERROR(INDEX(PP_Grid[#Data],$DD466,41),0)</f>
        <v/>
      </c>
      <c r="AR466">
        <f>IFERROR(INDEX(PP_Grid[#Data],$DD466,42),0)</f>
        <v/>
      </c>
      <c r="AS466">
        <f>IFERROR(INDEX(PP_Grid[#Data],$DD466,43),0)</f>
        <v/>
      </c>
      <c r="AT466">
        <f>IFERROR(INDEX(PP_Grid[#Data],$DD466,44),0)</f>
        <v/>
      </c>
      <c r="AU466">
        <f>IFERROR(INDEX(PP_Grid[#Data],$DD466,45),0)</f>
        <v/>
      </c>
      <c r="AV466">
        <f>IFERROR(INDEX(PP_Grid[#Data],$DD466,46),0)</f>
        <v/>
      </c>
      <c r="AW466">
        <f>IFERROR(INDEX(PP_Grid[#Data],$DD466,47),0)</f>
        <v/>
      </c>
      <c r="AX466">
        <f>IFERROR(INDEX(PP_Grid[#Data],$DD466,48),0)</f>
        <v/>
      </c>
      <c r="AY466">
        <f>IFERROR(INDEX(PP_Grid[#Data],$DD466,49),0)</f>
        <v/>
      </c>
      <c r="AZ466">
        <f>IFERROR(INDEX(PP_Grid[#Data],$DD466,50),0)</f>
        <v/>
      </c>
      <c r="BA466">
        <f>IFERROR(INDEX(PP_Grid[#Data],$DD466,51),0)</f>
        <v/>
      </c>
      <c r="BB466">
        <f>IFERROR(INDEX(PP_Grid[#Data],$DD466,52),0)</f>
        <v/>
      </c>
      <c r="BC466">
        <f>IFERROR(INDEX(PP_Grid[#Data],$DD466,53),0)</f>
        <v/>
      </c>
      <c r="BD466">
        <f>IFERROR(INDEX(PP_Grid[#Data],$DD466,54),0)</f>
        <v/>
      </c>
      <c r="BE466">
        <f>IFERROR(INDEX(PP_Grid[#Data],$DD466,55),0)</f>
        <v/>
      </c>
      <c r="BF466">
        <f>IFERROR(INDEX(PP_Grid[#Data],$DD466,56),0)</f>
        <v/>
      </c>
      <c r="BG466">
        <f>IFERROR(INDEX(PP_Grid[#Data],$DD466,57),0)</f>
        <v/>
      </c>
      <c r="BH466">
        <f>IFERROR(INDEX(PP_Grid[#Data],$DD466,58),0)</f>
        <v/>
      </c>
      <c r="BI466">
        <f>IFERROR(INDEX(PP_Grid[#Data],$DD466,59),0)</f>
        <v/>
      </c>
      <c r="BJ466">
        <f>IFERROR(INDEX(PP_Grid[#Data],$DD466,60),0)</f>
        <v/>
      </c>
      <c r="BK466">
        <f>IFERROR(INDEX(PP_Grid[#Data],$DD466,61),0)</f>
        <v/>
      </c>
      <c r="BL466">
        <f>IFERROR(INDEX(PP_Grid[#Data],$DD466,62),0)</f>
        <v/>
      </c>
      <c r="BM466">
        <f>IFERROR(INDEX(PP_Grid[#Data],$DD466,63),0)</f>
        <v/>
      </c>
      <c r="BN466">
        <f>IFERROR(INDEX(PP_Grid[#Data],$DD466,64),0)</f>
        <v/>
      </c>
      <c r="BO466">
        <f>IFERROR(INDEX(PP_Grid[#Data],$DD466,65),0)</f>
        <v/>
      </c>
      <c r="BP466">
        <f>IFERROR(INDEX(PP_Grid[#Data],$DD466,66),0)</f>
        <v/>
      </c>
      <c r="BQ466">
        <f>IFERROR(INDEX(PP_Grid[#Data],$DD466,67),0)</f>
        <v/>
      </c>
      <c r="BR466">
        <f>IFERROR(INDEX(PP_Grid[#Data],$DD466,68),0)</f>
        <v/>
      </c>
      <c r="BS466">
        <f>IFERROR(INDEX(PP_Grid[#Data],$DD466,69),0)</f>
        <v/>
      </c>
      <c r="BT466">
        <f>IFERROR(INDEX(PP_Grid[#Data],$DD466,70),0)</f>
        <v/>
      </c>
      <c r="BU466">
        <f>IFERROR(INDEX(PP_Grid[#Data],$DD466,71),0)</f>
        <v/>
      </c>
      <c r="BV466">
        <f>IFERROR(INDEX(PP_Grid[#Data],$DD466,72),0)</f>
        <v/>
      </c>
      <c r="BW466">
        <f>IFERROR(INDEX(PP_Grid[#Data],$DD466,73),0)</f>
        <v/>
      </c>
      <c r="BX466">
        <f>IFERROR(INDEX(PP_Grid[#Data],$DD466,74),0)</f>
        <v/>
      </c>
      <c r="BY466">
        <f>IFERROR(INDEX(PP_Grid[#Data],$DD466,75),0)</f>
        <v/>
      </c>
      <c r="BZ466">
        <f>IFERROR(INDEX(PP_Grid[#Data],$DD466,76),0)</f>
        <v/>
      </c>
      <c r="CA466">
        <f>IFERROR(INDEX(PP_Grid[#Data],$DD466,77),0)</f>
        <v/>
      </c>
      <c r="CB466">
        <f>IFERROR(INDEX(PP_Grid[#Data],$DD466,78),0)</f>
        <v/>
      </c>
      <c r="CC466">
        <f>IFERROR(INDEX(PP_Grid[#Data],$DD466,79),0)</f>
        <v/>
      </c>
      <c r="CD466">
        <f>IFERROR(INDEX(PP_Grid[#Data],$DD466,80),0)</f>
        <v/>
      </c>
      <c r="CE466">
        <f>IFERROR(INDEX(PP_Grid[#Data],$DD466,81),0)</f>
        <v/>
      </c>
      <c r="CF466">
        <f>IFERROR(INDEX(PP_Grid[#Data],$DD466,82),0)</f>
        <v/>
      </c>
      <c r="CG466">
        <f>IFERROR(INDEX(PP_Grid[#Data],$DD466,83),0)</f>
        <v/>
      </c>
      <c r="CH466">
        <f>IFERROR(INDEX(PP_Grid[#Data],$DD466,84),0)</f>
        <v/>
      </c>
      <c r="CI466">
        <f>IFERROR(INDEX(PP_Grid[#Data],$DD466,85),0)</f>
        <v/>
      </c>
      <c r="CJ466">
        <f>IFERROR(INDEX(PP_Grid[#Data],$DD466,86),0)</f>
        <v/>
      </c>
      <c r="CK466">
        <f>IFERROR(INDEX(PP_Grid[#Data],$DD466,87),0)</f>
        <v/>
      </c>
      <c r="CL466">
        <f>IFERROR(INDEX(PP_Grid[#Data],$DD466,88),0)</f>
        <v/>
      </c>
      <c r="CM466">
        <f>IFERROR(INDEX(PP_Grid[#Data],$DD466,89),0)</f>
        <v/>
      </c>
      <c r="CN466">
        <f>IFERROR(INDEX(PP_Grid[#Data],$DD466,90),0)</f>
        <v/>
      </c>
      <c r="CO466">
        <f>IFERROR(INDEX(PP_Grid[#Data],$DD466,91),0)</f>
        <v/>
      </c>
      <c r="CP466">
        <f>IFERROR(INDEX(PP_Grid[#Data],$DD466,92),0)</f>
        <v/>
      </c>
      <c r="CQ466">
        <f>IFERROR(INDEX(PP_Grid[#Data],$DD466,93),0)</f>
        <v/>
      </c>
      <c r="CR466">
        <f>IFERROR(INDEX(PP_Grid[#Data],$DD466,94),0)</f>
        <v/>
      </c>
      <c r="CS466">
        <f>IFERROR(INDEX(PP_Grid[#Data],$DD466,95),0)</f>
        <v/>
      </c>
      <c r="CT466">
        <f>IFERROR(INDEX(PP_Grid[#Data],$DD466,96),0)</f>
        <v/>
      </c>
      <c r="CU466">
        <f>IFERROR(INDEX(PP_Grid[#Data],$DD466,97),0)</f>
        <v/>
      </c>
      <c r="CV466">
        <f>IFERROR(INDEX(PP_Grid[#Data],$DD466,98),0)</f>
        <v/>
      </c>
      <c r="CW466">
        <f>IFERROR(INDEX(PP_Grid[#Data],$DD466,99),0)</f>
        <v/>
      </c>
      <c r="CX466">
        <f>IFERROR(INDEX(PP_Grid[#Data],$DD466,100),0)</f>
        <v/>
      </c>
      <c r="CY466">
        <f>IFERROR(INDEX(PP_Grid[#Data],$DD466,101),0)</f>
        <v/>
      </c>
      <c r="CZ466">
        <f>IFERROR(INDEX(PP_Grid[#Data],$DD466,102),0)</f>
        <v/>
      </c>
      <c r="DA466">
        <f>IFERROR(INDEX(PP_Grid[#Data],$DD466,103),0)</f>
        <v/>
      </c>
      <c r="DB466">
        <f>IFERROR(INDEX(PP_Grid[#Data],$DD466,104),0)</f>
        <v/>
      </c>
      <c r="DC466">
        <f>IFERROR(INDEX(PP_Grid[#Data],$DD466,105),0)</f>
        <v/>
      </c>
      <c r="DD466" s="7">
        <f>IFERROR(MATCH($B466,PP_Grid[Intermediate],0),99999)</f>
        <v/>
      </c>
    </row>
    <row r="467">
      <c r="B467" t="inlineStr">
        <is>
          <t>使用量(kg)</t>
        </is>
      </c>
      <c r="C467">
        <f>SUMIFS(M_BOM[RM_Qty_Per_Batch],M_BOM[Intermediate],$B466,M_BOM[Part Name],$A453)</f>
        <v/>
      </c>
      <c r="D467">
        <f>$C467*D466</f>
        <v/>
      </c>
      <c r="E467">
        <f>$C467*E466</f>
        <v/>
      </c>
      <c r="F467">
        <f>$C467*F466</f>
        <v/>
      </c>
      <c r="G467">
        <f>$C467*G466</f>
        <v/>
      </c>
      <c r="H467">
        <f>$C467*H466</f>
        <v/>
      </c>
      <c r="I467">
        <f>$C467*I466</f>
        <v/>
      </c>
      <c r="J467">
        <f>$C467*J466</f>
        <v/>
      </c>
      <c r="K467">
        <f>$C467*K466</f>
        <v/>
      </c>
      <c r="L467">
        <f>$C467*L466</f>
        <v/>
      </c>
      <c r="M467">
        <f>$C467*M466</f>
        <v/>
      </c>
      <c r="N467">
        <f>$C467*N466</f>
        <v/>
      </c>
      <c r="O467">
        <f>$C467*O466</f>
        <v/>
      </c>
      <c r="P467">
        <f>$C467*P466</f>
        <v/>
      </c>
      <c r="Q467">
        <f>$C467*Q466</f>
        <v/>
      </c>
      <c r="R467">
        <f>$C467*R466</f>
        <v/>
      </c>
      <c r="S467">
        <f>$C467*S466</f>
        <v/>
      </c>
      <c r="T467">
        <f>$C467*T466</f>
        <v/>
      </c>
      <c r="U467">
        <f>$C467*U466</f>
        <v/>
      </c>
      <c r="V467">
        <f>$C467*V466</f>
        <v/>
      </c>
      <c r="W467">
        <f>$C467*W466</f>
        <v/>
      </c>
      <c r="X467">
        <f>$C467*X466</f>
        <v/>
      </c>
      <c r="Y467">
        <f>$C467*Y466</f>
        <v/>
      </c>
      <c r="Z467">
        <f>$C467*Z466</f>
        <v/>
      </c>
      <c r="AA467">
        <f>$C467*AA466</f>
        <v/>
      </c>
      <c r="AB467">
        <f>$C467*AB466</f>
        <v/>
      </c>
      <c r="AC467">
        <f>$C467*AC466</f>
        <v/>
      </c>
      <c r="AD467">
        <f>$C467*AD466</f>
        <v/>
      </c>
      <c r="AE467">
        <f>$C467*AE466</f>
        <v/>
      </c>
      <c r="AF467">
        <f>$C467*AF466</f>
        <v/>
      </c>
      <c r="AG467">
        <f>$C467*AG466</f>
        <v/>
      </c>
      <c r="AH467">
        <f>$C467*AH466</f>
        <v/>
      </c>
      <c r="AI467">
        <f>$C467*AI466</f>
        <v/>
      </c>
      <c r="AJ467">
        <f>$C467*AJ466</f>
        <v/>
      </c>
      <c r="AK467">
        <f>$C467*AK466</f>
        <v/>
      </c>
      <c r="AL467">
        <f>$C467*AL466</f>
        <v/>
      </c>
      <c r="AM467">
        <f>$C467*AM466</f>
        <v/>
      </c>
      <c r="AN467">
        <f>$C467*AN466</f>
        <v/>
      </c>
      <c r="AO467">
        <f>$C467*AO466</f>
        <v/>
      </c>
      <c r="AP467">
        <f>$C467*AP466</f>
        <v/>
      </c>
      <c r="AQ467">
        <f>$C467*AQ466</f>
        <v/>
      </c>
      <c r="AR467">
        <f>$C467*AR466</f>
        <v/>
      </c>
      <c r="AS467">
        <f>$C467*AS466</f>
        <v/>
      </c>
      <c r="AT467">
        <f>$C467*AT466</f>
        <v/>
      </c>
      <c r="AU467">
        <f>$C467*AU466</f>
        <v/>
      </c>
      <c r="AV467">
        <f>$C467*AV466</f>
        <v/>
      </c>
      <c r="AW467">
        <f>$C467*AW466</f>
        <v/>
      </c>
      <c r="AX467">
        <f>$C467*AX466</f>
        <v/>
      </c>
      <c r="AY467">
        <f>$C467*AY466</f>
        <v/>
      </c>
      <c r="AZ467">
        <f>$C467*AZ466</f>
        <v/>
      </c>
      <c r="BA467">
        <f>$C467*BA466</f>
        <v/>
      </c>
      <c r="BB467">
        <f>$C467*BB466</f>
        <v/>
      </c>
      <c r="BC467">
        <f>$C467*BC466</f>
        <v/>
      </c>
      <c r="BD467">
        <f>$C467*BD466</f>
        <v/>
      </c>
      <c r="BE467">
        <f>$C467*BE466</f>
        <v/>
      </c>
      <c r="BF467">
        <f>$C467*BF466</f>
        <v/>
      </c>
      <c r="BG467">
        <f>$C467*BG466</f>
        <v/>
      </c>
      <c r="BH467">
        <f>$C467*BH466</f>
        <v/>
      </c>
      <c r="BI467">
        <f>$C467*BI466</f>
        <v/>
      </c>
      <c r="BJ467">
        <f>$C467*BJ466</f>
        <v/>
      </c>
      <c r="BK467">
        <f>$C467*BK466</f>
        <v/>
      </c>
      <c r="BL467">
        <f>$C467*BL466</f>
        <v/>
      </c>
      <c r="BM467">
        <f>$C467*BM466</f>
        <v/>
      </c>
      <c r="BN467">
        <f>$C467*BN466</f>
        <v/>
      </c>
      <c r="BO467">
        <f>$C467*BO466</f>
        <v/>
      </c>
      <c r="BP467">
        <f>$C467*BP466</f>
        <v/>
      </c>
      <c r="BQ467">
        <f>$C467*BQ466</f>
        <v/>
      </c>
      <c r="BR467">
        <f>$C467*BR466</f>
        <v/>
      </c>
      <c r="BS467">
        <f>$C467*BS466</f>
        <v/>
      </c>
      <c r="BT467">
        <f>$C467*BT466</f>
        <v/>
      </c>
      <c r="BU467">
        <f>$C467*BU466</f>
        <v/>
      </c>
      <c r="BV467">
        <f>$C467*BV466</f>
        <v/>
      </c>
      <c r="BW467">
        <f>$C467*BW466</f>
        <v/>
      </c>
      <c r="BX467">
        <f>$C467*BX466</f>
        <v/>
      </c>
      <c r="BY467">
        <f>$C467*BY466</f>
        <v/>
      </c>
      <c r="BZ467">
        <f>$C467*BZ466</f>
        <v/>
      </c>
      <c r="CA467">
        <f>$C467*CA466</f>
        <v/>
      </c>
      <c r="CB467">
        <f>$C467*CB466</f>
        <v/>
      </c>
      <c r="CC467">
        <f>$C467*CC466</f>
        <v/>
      </c>
      <c r="CD467">
        <f>$C467*CD466</f>
        <v/>
      </c>
      <c r="CE467">
        <f>$C467*CE466</f>
        <v/>
      </c>
      <c r="CF467">
        <f>$C467*CF466</f>
        <v/>
      </c>
      <c r="CG467">
        <f>$C467*CG466</f>
        <v/>
      </c>
      <c r="CH467">
        <f>$C467*CH466</f>
        <v/>
      </c>
      <c r="CI467">
        <f>$C467*CI466</f>
        <v/>
      </c>
      <c r="CJ467">
        <f>$C467*CJ466</f>
        <v/>
      </c>
      <c r="CK467">
        <f>$C467*CK466</f>
        <v/>
      </c>
      <c r="CL467">
        <f>$C467*CL466</f>
        <v/>
      </c>
      <c r="CM467">
        <f>$C467*CM466</f>
        <v/>
      </c>
      <c r="CN467">
        <f>$C467*CN466</f>
        <v/>
      </c>
      <c r="CO467">
        <f>$C467*CO466</f>
        <v/>
      </c>
      <c r="CP467">
        <f>$C467*CP466</f>
        <v/>
      </c>
      <c r="CQ467">
        <f>$C467*CQ466</f>
        <v/>
      </c>
      <c r="CR467">
        <f>$C467*CR466</f>
        <v/>
      </c>
      <c r="CS467">
        <f>$C467*CS466</f>
        <v/>
      </c>
      <c r="CT467">
        <f>$C467*CT466</f>
        <v/>
      </c>
      <c r="CU467">
        <f>$C467*CU466</f>
        <v/>
      </c>
      <c r="CV467">
        <f>$C467*CV466</f>
        <v/>
      </c>
      <c r="CW467">
        <f>$C467*CW466</f>
        <v/>
      </c>
      <c r="CX467">
        <f>$C467*CX466</f>
        <v/>
      </c>
      <c r="CY467">
        <f>$C467*CY466</f>
        <v/>
      </c>
      <c r="CZ467">
        <f>$C467*CZ466</f>
        <v/>
      </c>
      <c r="DA467">
        <f>$C467*DA466</f>
        <v/>
      </c>
      <c r="DB467">
        <f>$C467*DB466</f>
        <v/>
      </c>
      <c r="DC467">
        <f>$C467*DC466</f>
        <v/>
      </c>
    </row>
    <row r="468">
      <c r="B468" s="4" t="inlineStr">
        <is>
          <t>合計使用量(kg)/週</t>
        </is>
      </c>
      <c r="D468">
        <f>'Grid_Requirement'!B32</f>
        <v/>
      </c>
      <c r="E468">
        <f>'Grid_Requirement'!C32</f>
        <v/>
      </c>
      <c r="F468">
        <f>'Grid_Requirement'!D32</f>
        <v/>
      </c>
      <c r="G468">
        <f>'Grid_Requirement'!E32</f>
        <v/>
      </c>
      <c r="H468">
        <f>'Grid_Requirement'!F32</f>
        <v/>
      </c>
      <c r="I468">
        <f>'Grid_Requirement'!G32</f>
        <v/>
      </c>
      <c r="J468">
        <f>'Grid_Requirement'!H32</f>
        <v/>
      </c>
      <c r="K468">
        <f>'Grid_Requirement'!I32</f>
        <v/>
      </c>
      <c r="L468">
        <f>'Grid_Requirement'!J32</f>
        <v/>
      </c>
      <c r="M468">
        <f>'Grid_Requirement'!K32</f>
        <v/>
      </c>
      <c r="N468">
        <f>'Grid_Requirement'!L32</f>
        <v/>
      </c>
      <c r="O468">
        <f>'Grid_Requirement'!M32</f>
        <v/>
      </c>
      <c r="P468">
        <f>'Grid_Requirement'!N32</f>
        <v/>
      </c>
      <c r="Q468">
        <f>'Grid_Requirement'!O32</f>
        <v/>
      </c>
      <c r="R468">
        <f>'Grid_Requirement'!P32</f>
        <v/>
      </c>
      <c r="S468">
        <f>'Grid_Requirement'!Q32</f>
        <v/>
      </c>
      <c r="T468">
        <f>'Grid_Requirement'!R32</f>
        <v/>
      </c>
      <c r="U468">
        <f>'Grid_Requirement'!S32</f>
        <v/>
      </c>
      <c r="V468">
        <f>'Grid_Requirement'!T32</f>
        <v/>
      </c>
      <c r="W468">
        <f>'Grid_Requirement'!U32</f>
        <v/>
      </c>
      <c r="X468">
        <f>'Grid_Requirement'!V32</f>
        <v/>
      </c>
      <c r="Y468">
        <f>'Grid_Requirement'!W32</f>
        <v/>
      </c>
      <c r="Z468">
        <f>'Grid_Requirement'!X32</f>
        <v/>
      </c>
      <c r="AA468">
        <f>'Grid_Requirement'!Y32</f>
        <v/>
      </c>
      <c r="AB468">
        <f>'Grid_Requirement'!Z32</f>
        <v/>
      </c>
      <c r="AC468">
        <f>'Grid_Requirement'!AA32</f>
        <v/>
      </c>
      <c r="AD468">
        <f>'Grid_Requirement'!AB32</f>
        <v/>
      </c>
      <c r="AE468">
        <f>'Grid_Requirement'!AC32</f>
        <v/>
      </c>
      <c r="AF468">
        <f>'Grid_Requirement'!AD32</f>
        <v/>
      </c>
      <c r="AG468">
        <f>'Grid_Requirement'!AE32</f>
        <v/>
      </c>
      <c r="AH468">
        <f>'Grid_Requirement'!AF32</f>
        <v/>
      </c>
      <c r="AI468">
        <f>'Grid_Requirement'!AG32</f>
        <v/>
      </c>
      <c r="AJ468">
        <f>'Grid_Requirement'!AH32</f>
        <v/>
      </c>
      <c r="AK468">
        <f>'Grid_Requirement'!AI32</f>
        <v/>
      </c>
      <c r="AL468">
        <f>'Grid_Requirement'!AJ32</f>
        <v/>
      </c>
      <c r="AM468">
        <f>'Grid_Requirement'!AK32</f>
        <v/>
      </c>
      <c r="AN468">
        <f>'Grid_Requirement'!AL32</f>
        <v/>
      </c>
      <c r="AO468">
        <f>'Grid_Requirement'!AM32</f>
        <v/>
      </c>
      <c r="AP468">
        <f>'Grid_Requirement'!AN32</f>
        <v/>
      </c>
      <c r="AQ468">
        <f>'Grid_Requirement'!AO32</f>
        <v/>
      </c>
      <c r="AR468">
        <f>'Grid_Requirement'!AP32</f>
        <v/>
      </c>
      <c r="AS468">
        <f>'Grid_Requirement'!AQ32</f>
        <v/>
      </c>
      <c r="AT468">
        <f>'Grid_Requirement'!AR32</f>
        <v/>
      </c>
      <c r="AU468">
        <f>'Grid_Requirement'!AS32</f>
        <v/>
      </c>
      <c r="AV468">
        <f>'Grid_Requirement'!AT32</f>
        <v/>
      </c>
      <c r="AW468">
        <f>'Grid_Requirement'!AU32</f>
        <v/>
      </c>
      <c r="AX468">
        <f>'Grid_Requirement'!AV32</f>
        <v/>
      </c>
      <c r="AY468">
        <f>'Grid_Requirement'!AW32</f>
        <v/>
      </c>
      <c r="AZ468">
        <f>'Grid_Requirement'!AX32</f>
        <v/>
      </c>
      <c r="BA468">
        <f>'Grid_Requirement'!AY32</f>
        <v/>
      </c>
      <c r="BB468">
        <f>'Grid_Requirement'!AZ32</f>
        <v/>
      </c>
      <c r="BC468">
        <f>'Grid_Requirement'!BA32</f>
        <v/>
      </c>
      <c r="BD468">
        <f>'Grid_Requirement'!BB32</f>
        <v/>
      </c>
      <c r="BE468">
        <f>'Grid_Requirement'!BC32</f>
        <v/>
      </c>
      <c r="BF468">
        <f>'Grid_Requirement'!BD32</f>
        <v/>
      </c>
      <c r="BG468">
        <f>'Grid_Requirement'!BE32</f>
        <v/>
      </c>
      <c r="BH468">
        <f>'Grid_Requirement'!BF32</f>
        <v/>
      </c>
      <c r="BI468">
        <f>'Grid_Requirement'!BG32</f>
        <v/>
      </c>
      <c r="BJ468">
        <f>'Grid_Requirement'!BH32</f>
        <v/>
      </c>
      <c r="BK468">
        <f>'Grid_Requirement'!BI32</f>
        <v/>
      </c>
      <c r="BL468">
        <f>'Grid_Requirement'!BJ32</f>
        <v/>
      </c>
      <c r="BM468">
        <f>'Grid_Requirement'!BK32</f>
        <v/>
      </c>
      <c r="BN468">
        <f>'Grid_Requirement'!BL32</f>
        <v/>
      </c>
      <c r="BO468">
        <f>'Grid_Requirement'!BM32</f>
        <v/>
      </c>
      <c r="BP468">
        <f>'Grid_Requirement'!BN32</f>
        <v/>
      </c>
      <c r="BQ468">
        <f>'Grid_Requirement'!BO32</f>
        <v/>
      </c>
      <c r="BR468">
        <f>'Grid_Requirement'!BP32</f>
        <v/>
      </c>
      <c r="BS468">
        <f>'Grid_Requirement'!BQ32</f>
        <v/>
      </c>
      <c r="BT468">
        <f>'Grid_Requirement'!BR32</f>
        <v/>
      </c>
      <c r="BU468">
        <f>'Grid_Requirement'!BS32</f>
        <v/>
      </c>
      <c r="BV468">
        <f>'Grid_Requirement'!BT32</f>
        <v/>
      </c>
      <c r="BW468">
        <f>'Grid_Requirement'!BU32</f>
        <v/>
      </c>
      <c r="BX468">
        <f>'Grid_Requirement'!BV32</f>
        <v/>
      </c>
      <c r="BY468">
        <f>'Grid_Requirement'!BW32</f>
        <v/>
      </c>
      <c r="BZ468">
        <f>'Grid_Requirement'!BX32</f>
        <v/>
      </c>
      <c r="CA468">
        <f>'Grid_Requirement'!BY32</f>
        <v/>
      </c>
      <c r="CB468">
        <f>'Grid_Requirement'!BZ32</f>
        <v/>
      </c>
      <c r="CC468">
        <f>'Grid_Requirement'!CA32</f>
        <v/>
      </c>
      <c r="CD468">
        <f>'Grid_Requirement'!CB32</f>
        <v/>
      </c>
      <c r="CE468">
        <f>'Grid_Requirement'!CC32</f>
        <v/>
      </c>
      <c r="CF468">
        <f>'Grid_Requirement'!CD32</f>
        <v/>
      </c>
      <c r="CG468">
        <f>'Grid_Requirement'!CE32</f>
        <v/>
      </c>
      <c r="CH468">
        <f>'Grid_Requirement'!CF32</f>
        <v/>
      </c>
      <c r="CI468">
        <f>'Grid_Requirement'!CG32</f>
        <v/>
      </c>
      <c r="CJ468">
        <f>'Grid_Requirement'!CH32</f>
        <v/>
      </c>
      <c r="CK468">
        <f>'Grid_Requirement'!CI32</f>
        <v/>
      </c>
      <c r="CL468">
        <f>'Grid_Requirement'!CJ32</f>
        <v/>
      </c>
      <c r="CM468">
        <f>'Grid_Requirement'!CK32</f>
        <v/>
      </c>
      <c r="CN468">
        <f>'Grid_Requirement'!CL32</f>
        <v/>
      </c>
      <c r="CO468">
        <f>'Grid_Requirement'!CM32</f>
        <v/>
      </c>
      <c r="CP468">
        <f>'Grid_Requirement'!CN32</f>
        <v/>
      </c>
      <c r="CQ468">
        <f>'Grid_Requirement'!CO32</f>
        <v/>
      </c>
      <c r="CR468">
        <f>'Grid_Requirement'!CP32</f>
        <v/>
      </c>
      <c r="CS468">
        <f>'Grid_Requirement'!CQ32</f>
        <v/>
      </c>
      <c r="CT468">
        <f>'Grid_Requirement'!CR32</f>
        <v/>
      </c>
      <c r="CU468">
        <f>'Grid_Requirement'!CS32</f>
        <v/>
      </c>
      <c r="CV468">
        <f>'Grid_Requirement'!CT32</f>
        <v/>
      </c>
      <c r="CW468">
        <f>'Grid_Requirement'!CU32</f>
        <v/>
      </c>
      <c r="CX468">
        <f>'Grid_Requirement'!CV32</f>
        <v/>
      </c>
      <c r="CY468">
        <f>'Grid_Requirement'!CW32</f>
        <v/>
      </c>
      <c r="CZ468">
        <f>'Grid_Requirement'!CX32</f>
        <v/>
      </c>
      <c r="DA468">
        <f>'Grid_Requirement'!CY32</f>
        <v/>
      </c>
      <c r="DB468">
        <f>'Grid_Requirement'!CZ32</f>
        <v/>
      </c>
      <c r="DC468">
        <f>'Grid_Requirement'!DA32</f>
        <v/>
      </c>
    </row>
    <row r="469">
      <c r="B469" t="inlineStr">
        <is>
          <t>TTAF在庫(実績,kg)</t>
        </is>
      </c>
      <c r="D469">
        <f>'T_TTAFStock'!B36</f>
        <v/>
      </c>
      <c r="E469">
        <f>'T_TTAFStock'!C36</f>
        <v/>
      </c>
      <c r="F469">
        <f>'T_TTAFStock'!D36</f>
        <v/>
      </c>
      <c r="G469">
        <f>'T_TTAFStock'!E36</f>
        <v/>
      </c>
      <c r="H469">
        <f>'T_TTAFStock'!F36</f>
        <v/>
      </c>
      <c r="I469">
        <f>'T_TTAFStock'!G36</f>
        <v/>
      </c>
      <c r="J469">
        <f>'T_TTAFStock'!H36</f>
        <v/>
      </c>
      <c r="K469">
        <f>'T_TTAFStock'!I36</f>
        <v/>
      </c>
      <c r="L469">
        <f>'T_TTAFStock'!J36</f>
        <v/>
      </c>
      <c r="M469">
        <f>'T_TTAFStock'!K36</f>
        <v/>
      </c>
      <c r="N469">
        <f>'T_TTAFStock'!L36</f>
        <v/>
      </c>
      <c r="O469">
        <f>'T_TTAFStock'!M36</f>
        <v/>
      </c>
      <c r="P469">
        <f>'T_TTAFStock'!N36</f>
        <v/>
      </c>
      <c r="Q469">
        <f>'T_TTAFStock'!O36</f>
        <v/>
      </c>
      <c r="R469">
        <f>'T_TTAFStock'!P36</f>
        <v/>
      </c>
      <c r="S469">
        <f>'T_TTAFStock'!Q36</f>
        <v/>
      </c>
      <c r="T469">
        <f>'T_TTAFStock'!R36</f>
        <v/>
      </c>
      <c r="U469">
        <f>'T_TTAFStock'!S36</f>
        <v/>
      </c>
      <c r="V469">
        <f>'T_TTAFStock'!T36</f>
        <v/>
      </c>
      <c r="W469">
        <f>'T_TTAFStock'!U36</f>
        <v/>
      </c>
      <c r="X469">
        <f>'T_TTAFStock'!V36</f>
        <v/>
      </c>
      <c r="Y469">
        <f>'T_TTAFStock'!W36</f>
        <v/>
      </c>
      <c r="Z469">
        <f>'T_TTAFStock'!X36</f>
        <v/>
      </c>
      <c r="AA469">
        <f>'T_TTAFStock'!Y36</f>
        <v/>
      </c>
      <c r="AB469">
        <f>'T_TTAFStock'!Z36</f>
        <v/>
      </c>
      <c r="AC469">
        <f>'T_TTAFStock'!AA36</f>
        <v/>
      </c>
      <c r="AD469">
        <f>'T_TTAFStock'!AB36</f>
        <v/>
      </c>
      <c r="AE469">
        <f>'T_TTAFStock'!AC36</f>
        <v/>
      </c>
      <c r="AF469">
        <f>'T_TTAFStock'!AD36</f>
        <v/>
      </c>
      <c r="AG469">
        <f>'T_TTAFStock'!AE36</f>
        <v/>
      </c>
      <c r="AH469">
        <f>'T_TTAFStock'!AF36</f>
        <v/>
      </c>
      <c r="AI469">
        <f>'T_TTAFStock'!AG36</f>
        <v/>
      </c>
      <c r="AJ469">
        <f>'T_TTAFStock'!AH36</f>
        <v/>
      </c>
      <c r="AK469">
        <f>'T_TTAFStock'!AI36</f>
        <v/>
      </c>
      <c r="AL469">
        <f>'T_TTAFStock'!AJ36</f>
        <v/>
      </c>
      <c r="AM469">
        <f>'T_TTAFStock'!AK36</f>
        <v/>
      </c>
      <c r="AN469">
        <f>'T_TTAFStock'!AL36</f>
        <v/>
      </c>
      <c r="AO469">
        <f>'T_TTAFStock'!AM36</f>
        <v/>
      </c>
      <c r="AP469">
        <f>'T_TTAFStock'!AN36</f>
        <v/>
      </c>
      <c r="AQ469">
        <f>'T_TTAFStock'!AO36</f>
        <v/>
      </c>
      <c r="AR469">
        <f>'T_TTAFStock'!AP36</f>
        <v/>
      </c>
      <c r="AS469">
        <f>'T_TTAFStock'!AQ36</f>
        <v/>
      </c>
      <c r="AT469">
        <f>'T_TTAFStock'!AR36</f>
        <v/>
      </c>
      <c r="AU469">
        <f>'T_TTAFStock'!AS36</f>
        <v/>
      </c>
      <c r="AV469">
        <f>'T_TTAFStock'!AT36</f>
        <v/>
      </c>
      <c r="AW469">
        <f>'T_TTAFStock'!AU36</f>
        <v/>
      </c>
      <c r="AX469">
        <f>'T_TTAFStock'!AV36</f>
        <v/>
      </c>
      <c r="AY469">
        <f>'T_TTAFStock'!AW36</f>
        <v/>
      </c>
      <c r="AZ469">
        <f>'T_TTAFStock'!AX36</f>
        <v/>
      </c>
      <c r="BA469">
        <f>'T_TTAFStock'!AY36</f>
        <v/>
      </c>
      <c r="BB469">
        <f>'T_TTAFStock'!AZ36</f>
        <v/>
      </c>
      <c r="BC469">
        <f>'T_TTAFStock'!BA36</f>
        <v/>
      </c>
      <c r="BD469">
        <f>'T_TTAFStock'!BB36</f>
        <v/>
      </c>
      <c r="BE469">
        <f>'T_TTAFStock'!BC36</f>
        <v/>
      </c>
      <c r="BF469">
        <f>'T_TTAFStock'!BD36</f>
        <v/>
      </c>
      <c r="BG469">
        <f>'T_TTAFStock'!BE36</f>
        <v/>
      </c>
      <c r="BH469">
        <f>'T_TTAFStock'!BF36</f>
        <v/>
      </c>
      <c r="BI469">
        <f>'T_TTAFStock'!BG36</f>
        <v/>
      </c>
      <c r="BJ469">
        <f>'T_TTAFStock'!BH36</f>
        <v/>
      </c>
      <c r="BK469">
        <f>'T_TTAFStock'!BI36</f>
        <v/>
      </c>
      <c r="BL469">
        <f>'T_TTAFStock'!BJ36</f>
        <v/>
      </c>
      <c r="BM469">
        <f>'T_TTAFStock'!BK36</f>
        <v/>
      </c>
      <c r="BN469">
        <f>'T_TTAFStock'!BL36</f>
        <v/>
      </c>
      <c r="BO469">
        <f>'T_TTAFStock'!BM36</f>
        <v/>
      </c>
      <c r="BP469">
        <f>'T_TTAFStock'!BN36</f>
        <v/>
      </c>
      <c r="BQ469">
        <f>'T_TTAFStock'!BO36</f>
        <v/>
      </c>
      <c r="BR469">
        <f>'T_TTAFStock'!BP36</f>
        <v/>
      </c>
      <c r="BS469">
        <f>'T_TTAFStock'!BQ36</f>
        <v/>
      </c>
      <c r="BT469">
        <f>'T_TTAFStock'!BR36</f>
        <v/>
      </c>
      <c r="BU469">
        <f>'T_TTAFStock'!BS36</f>
        <v/>
      </c>
      <c r="BV469">
        <f>'T_TTAFStock'!BT36</f>
        <v/>
      </c>
      <c r="BW469">
        <f>'T_TTAFStock'!BU36</f>
        <v/>
      </c>
      <c r="BX469">
        <f>'T_TTAFStock'!BV36</f>
        <v/>
      </c>
      <c r="BY469">
        <f>'T_TTAFStock'!BW36</f>
        <v/>
      </c>
      <c r="BZ469">
        <f>'T_TTAFStock'!BX36</f>
        <v/>
      </c>
      <c r="CA469">
        <f>'T_TTAFStock'!BY36</f>
        <v/>
      </c>
      <c r="CB469">
        <f>'T_TTAFStock'!BZ36</f>
        <v/>
      </c>
      <c r="CC469">
        <f>'T_TTAFStock'!CA36</f>
        <v/>
      </c>
      <c r="CD469">
        <f>'T_TTAFStock'!CB36</f>
        <v/>
      </c>
      <c r="CE469">
        <f>'T_TTAFStock'!CC36</f>
        <v/>
      </c>
      <c r="CF469">
        <f>'T_TTAFStock'!CD36</f>
        <v/>
      </c>
      <c r="CG469">
        <f>'T_TTAFStock'!CE36</f>
        <v/>
      </c>
      <c r="CH469">
        <f>'T_TTAFStock'!CF36</f>
        <v/>
      </c>
      <c r="CI469">
        <f>'T_TTAFStock'!CG36</f>
        <v/>
      </c>
      <c r="CJ469">
        <f>'T_TTAFStock'!CH36</f>
        <v/>
      </c>
      <c r="CK469">
        <f>'T_TTAFStock'!CI36</f>
        <v/>
      </c>
      <c r="CL469">
        <f>'T_TTAFStock'!CJ36</f>
        <v/>
      </c>
      <c r="CM469">
        <f>'T_TTAFStock'!CK36</f>
        <v/>
      </c>
      <c r="CN469">
        <f>'T_TTAFStock'!CL36</f>
        <v/>
      </c>
      <c r="CO469">
        <f>'T_TTAFStock'!CM36</f>
        <v/>
      </c>
      <c r="CP469">
        <f>'T_TTAFStock'!CN36</f>
        <v/>
      </c>
      <c r="CQ469">
        <f>'T_TTAFStock'!CO36</f>
        <v/>
      </c>
      <c r="CR469">
        <f>'T_TTAFStock'!CP36</f>
        <v/>
      </c>
      <c r="CS469">
        <f>'T_TTAFStock'!CQ36</f>
        <v/>
      </c>
      <c r="CT469">
        <f>'T_TTAFStock'!CR36</f>
        <v/>
      </c>
      <c r="CU469">
        <f>'T_TTAFStock'!CS36</f>
        <v/>
      </c>
      <c r="CV469">
        <f>'T_TTAFStock'!CT36</f>
        <v/>
      </c>
      <c r="CW469">
        <f>'T_TTAFStock'!CU36</f>
        <v/>
      </c>
      <c r="CX469">
        <f>'T_TTAFStock'!CV36</f>
        <v/>
      </c>
      <c r="CY469">
        <f>'T_TTAFStock'!CW36</f>
        <v/>
      </c>
      <c r="CZ469">
        <f>'T_TTAFStock'!CX36</f>
        <v/>
      </c>
      <c r="DA469">
        <f>'T_TTAFStock'!CY36</f>
        <v/>
      </c>
      <c r="DB469">
        <f>'T_TTAFStock'!CZ36</f>
        <v/>
      </c>
      <c r="DC469">
        <f>'T_TTAFStock'!DA36</f>
        <v/>
      </c>
    </row>
    <row r="470">
      <c r="B470" t="inlineStr">
        <is>
          <t>自社在庫(実績,kg)</t>
        </is>
      </c>
      <c r="D470">
        <f>'T_SelfStock'!B36</f>
        <v/>
      </c>
      <c r="E470">
        <f>'T_SelfStock'!C36</f>
        <v/>
      </c>
      <c r="F470">
        <f>'T_SelfStock'!D36</f>
        <v/>
      </c>
      <c r="G470">
        <f>'T_SelfStock'!E36</f>
        <v/>
      </c>
      <c r="H470">
        <f>'T_SelfStock'!F36</f>
        <v/>
      </c>
      <c r="I470">
        <f>'T_SelfStock'!G36</f>
        <v/>
      </c>
      <c r="J470">
        <f>'T_SelfStock'!H36</f>
        <v/>
      </c>
      <c r="K470">
        <f>'T_SelfStock'!I36</f>
        <v/>
      </c>
      <c r="L470">
        <f>'T_SelfStock'!J36</f>
        <v/>
      </c>
      <c r="M470">
        <f>'T_SelfStock'!K36</f>
        <v/>
      </c>
      <c r="N470">
        <f>'T_SelfStock'!L36</f>
        <v/>
      </c>
      <c r="O470">
        <f>'T_SelfStock'!M36</f>
        <v/>
      </c>
      <c r="P470">
        <f>'T_SelfStock'!N36</f>
        <v/>
      </c>
      <c r="Q470">
        <f>'T_SelfStock'!O36</f>
        <v/>
      </c>
      <c r="R470">
        <f>'T_SelfStock'!P36</f>
        <v/>
      </c>
      <c r="S470">
        <f>'T_SelfStock'!Q36</f>
        <v/>
      </c>
      <c r="T470">
        <f>'T_SelfStock'!R36</f>
        <v/>
      </c>
      <c r="U470">
        <f>'T_SelfStock'!S36</f>
        <v/>
      </c>
      <c r="V470">
        <f>'T_SelfStock'!T36</f>
        <v/>
      </c>
      <c r="W470">
        <f>'T_SelfStock'!U36</f>
        <v/>
      </c>
      <c r="X470">
        <f>'T_SelfStock'!V36</f>
        <v/>
      </c>
      <c r="Y470">
        <f>'T_SelfStock'!W36</f>
        <v/>
      </c>
      <c r="Z470">
        <f>'T_SelfStock'!X36</f>
        <v/>
      </c>
      <c r="AA470">
        <f>'T_SelfStock'!Y36</f>
        <v/>
      </c>
      <c r="AB470">
        <f>'T_SelfStock'!Z36</f>
        <v/>
      </c>
      <c r="AC470">
        <f>'T_SelfStock'!AA36</f>
        <v/>
      </c>
      <c r="AD470">
        <f>'T_SelfStock'!AB36</f>
        <v/>
      </c>
      <c r="AE470">
        <f>'T_SelfStock'!AC36</f>
        <v/>
      </c>
      <c r="AF470">
        <f>'T_SelfStock'!AD36</f>
        <v/>
      </c>
      <c r="AG470">
        <f>'T_SelfStock'!AE36</f>
        <v/>
      </c>
      <c r="AH470">
        <f>'T_SelfStock'!AF36</f>
        <v/>
      </c>
      <c r="AI470">
        <f>'T_SelfStock'!AG36</f>
        <v/>
      </c>
      <c r="AJ470">
        <f>'T_SelfStock'!AH36</f>
        <v/>
      </c>
      <c r="AK470">
        <f>'T_SelfStock'!AI36</f>
        <v/>
      </c>
      <c r="AL470">
        <f>'T_SelfStock'!AJ36</f>
        <v/>
      </c>
      <c r="AM470">
        <f>'T_SelfStock'!AK36</f>
        <v/>
      </c>
      <c r="AN470">
        <f>'T_SelfStock'!AL36</f>
        <v/>
      </c>
      <c r="AO470">
        <f>'T_SelfStock'!AM36</f>
        <v/>
      </c>
      <c r="AP470">
        <f>'T_SelfStock'!AN36</f>
        <v/>
      </c>
      <c r="AQ470">
        <f>'T_SelfStock'!AO36</f>
        <v/>
      </c>
      <c r="AR470">
        <f>'T_SelfStock'!AP36</f>
        <v/>
      </c>
      <c r="AS470">
        <f>'T_SelfStock'!AQ36</f>
        <v/>
      </c>
      <c r="AT470">
        <f>'T_SelfStock'!AR36</f>
        <v/>
      </c>
      <c r="AU470">
        <f>'T_SelfStock'!AS36</f>
        <v/>
      </c>
      <c r="AV470">
        <f>'T_SelfStock'!AT36</f>
        <v/>
      </c>
      <c r="AW470">
        <f>'T_SelfStock'!AU36</f>
        <v/>
      </c>
      <c r="AX470">
        <f>'T_SelfStock'!AV36</f>
        <v/>
      </c>
      <c r="AY470">
        <f>'T_SelfStock'!AW36</f>
        <v/>
      </c>
      <c r="AZ470">
        <f>'T_SelfStock'!AX36</f>
        <v/>
      </c>
      <c r="BA470">
        <f>'T_SelfStock'!AY36</f>
        <v/>
      </c>
      <c r="BB470">
        <f>'T_SelfStock'!AZ36</f>
        <v/>
      </c>
      <c r="BC470">
        <f>'T_SelfStock'!BA36</f>
        <v/>
      </c>
      <c r="BD470">
        <f>'T_SelfStock'!BB36</f>
        <v/>
      </c>
      <c r="BE470">
        <f>'T_SelfStock'!BC36</f>
        <v/>
      </c>
      <c r="BF470">
        <f>'T_SelfStock'!BD36</f>
        <v/>
      </c>
      <c r="BG470">
        <f>'T_SelfStock'!BE36</f>
        <v/>
      </c>
      <c r="BH470">
        <f>'T_SelfStock'!BF36</f>
        <v/>
      </c>
      <c r="BI470">
        <f>'T_SelfStock'!BG36</f>
        <v/>
      </c>
      <c r="BJ470">
        <f>'T_SelfStock'!BH36</f>
        <v/>
      </c>
      <c r="BK470">
        <f>'T_SelfStock'!BI36</f>
        <v/>
      </c>
      <c r="BL470">
        <f>'T_SelfStock'!BJ36</f>
        <v/>
      </c>
      <c r="BM470">
        <f>'T_SelfStock'!BK36</f>
        <v/>
      </c>
      <c r="BN470">
        <f>'T_SelfStock'!BL36</f>
        <v/>
      </c>
      <c r="BO470">
        <f>'T_SelfStock'!BM36</f>
        <v/>
      </c>
      <c r="BP470">
        <f>'T_SelfStock'!BN36</f>
        <v/>
      </c>
      <c r="BQ470">
        <f>'T_SelfStock'!BO36</f>
        <v/>
      </c>
      <c r="BR470">
        <f>'T_SelfStock'!BP36</f>
        <v/>
      </c>
      <c r="BS470">
        <f>'T_SelfStock'!BQ36</f>
        <v/>
      </c>
      <c r="BT470">
        <f>'T_SelfStock'!BR36</f>
        <v/>
      </c>
      <c r="BU470">
        <f>'T_SelfStock'!BS36</f>
        <v/>
      </c>
      <c r="BV470">
        <f>'T_SelfStock'!BT36</f>
        <v/>
      </c>
      <c r="BW470">
        <f>'T_SelfStock'!BU36</f>
        <v/>
      </c>
      <c r="BX470">
        <f>'T_SelfStock'!BV36</f>
        <v/>
      </c>
      <c r="BY470">
        <f>'T_SelfStock'!BW36</f>
        <v/>
      </c>
      <c r="BZ470">
        <f>'T_SelfStock'!BX36</f>
        <v/>
      </c>
      <c r="CA470">
        <f>'T_SelfStock'!BY36</f>
        <v/>
      </c>
      <c r="CB470">
        <f>'T_SelfStock'!BZ36</f>
        <v/>
      </c>
      <c r="CC470">
        <f>'T_SelfStock'!CA36</f>
        <v/>
      </c>
      <c r="CD470">
        <f>'T_SelfStock'!CB36</f>
        <v/>
      </c>
      <c r="CE470">
        <f>'T_SelfStock'!CC36</f>
        <v/>
      </c>
      <c r="CF470">
        <f>'T_SelfStock'!CD36</f>
        <v/>
      </c>
      <c r="CG470">
        <f>'T_SelfStock'!CE36</f>
        <v/>
      </c>
      <c r="CH470">
        <f>'T_SelfStock'!CF36</f>
        <v/>
      </c>
      <c r="CI470">
        <f>'T_SelfStock'!CG36</f>
        <v/>
      </c>
      <c r="CJ470">
        <f>'T_SelfStock'!CH36</f>
        <v/>
      </c>
      <c r="CK470">
        <f>'T_SelfStock'!CI36</f>
        <v/>
      </c>
      <c r="CL470">
        <f>'T_SelfStock'!CJ36</f>
        <v/>
      </c>
      <c r="CM470">
        <f>'T_SelfStock'!CK36</f>
        <v/>
      </c>
      <c r="CN470">
        <f>'T_SelfStock'!CL36</f>
        <v/>
      </c>
      <c r="CO470">
        <f>'T_SelfStock'!CM36</f>
        <v/>
      </c>
      <c r="CP470">
        <f>'T_SelfStock'!CN36</f>
        <v/>
      </c>
      <c r="CQ470">
        <f>'T_SelfStock'!CO36</f>
        <v/>
      </c>
      <c r="CR470">
        <f>'T_SelfStock'!CP36</f>
        <v/>
      </c>
      <c r="CS470">
        <f>'T_SelfStock'!CQ36</f>
        <v/>
      </c>
      <c r="CT470">
        <f>'T_SelfStock'!CR36</f>
        <v/>
      </c>
      <c r="CU470">
        <f>'T_SelfStock'!CS36</f>
        <v/>
      </c>
      <c r="CV470">
        <f>'T_SelfStock'!CT36</f>
        <v/>
      </c>
      <c r="CW470">
        <f>'T_SelfStock'!CU36</f>
        <v/>
      </c>
      <c r="CX470">
        <f>'T_SelfStock'!CV36</f>
        <v/>
      </c>
      <c r="CY470">
        <f>'T_SelfStock'!CW36</f>
        <v/>
      </c>
      <c r="CZ470">
        <f>'T_SelfStock'!CX36</f>
        <v/>
      </c>
      <c r="DA470">
        <f>'T_SelfStock'!CY36</f>
        <v/>
      </c>
      <c r="DB470">
        <f>'T_SelfStock'!CZ36</f>
        <v/>
      </c>
      <c r="DC470">
        <f>'T_SelfStock'!DA36</f>
        <v/>
      </c>
    </row>
    <row r="471">
      <c r="B471" t="inlineStr">
        <is>
          <t>Order(発注予定,kg)</t>
        </is>
      </c>
      <c r="D471">
        <f>IF(SUMIFS(T_PlannedOrders[EffectiveQty],T_PlannedOrders[Part Name],$A453,T_PlannedOrders[WeekIndex],1)=0,"",SUMIFS(T_PlannedOrders[EffectiveQty],T_PlannedOrders[Part Name],$A453,T_PlannedOrders[WeekIndex],1)&amp;" ("&amp;TEXT(SUMPRODUCT(MAX((T_PlannedOrders[Part Name]=$A453)*(T_PlannedOrders[WeekIndex]=1)*(T_PlannedOrders[EffectiveQty]&gt;0)*T_PlannedOrders[Order_Month])),"m月")&amp;"発注)")</f>
        <v/>
      </c>
      <c r="E471">
        <f>IF(SUMIFS(T_PlannedOrders[EffectiveQty],T_PlannedOrders[Part Name],$A453,T_PlannedOrders[WeekIndex],2)=0,"",SUMIFS(T_PlannedOrders[EffectiveQty],T_PlannedOrders[Part Name],$A453,T_PlannedOrders[WeekIndex],2)&amp;" ("&amp;TEXT(SUMPRODUCT(MAX((T_PlannedOrders[Part Name]=$A453)*(T_PlannedOrders[WeekIndex]=2)*(T_PlannedOrders[EffectiveQty]&gt;0)*T_PlannedOrders[Order_Month])),"m月")&amp;"発注)")</f>
        <v/>
      </c>
      <c r="F471">
        <f>IF(SUMIFS(T_PlannedOrders[EffectiveQty],T_PlannedOrders[Part Name],$A453,T_PlannedOrders[WeekIndex],3)=0,"",SUMIFS(T_PlannedOrders[EffectiveQty],T_PlannedOrders[Part Name],$A453,T_PlannedOrders[WeekIndex],3)&amp;" ("&amp;TEXT(SUMPRODUCT(MAX((T_PlannedOrders[Part Name]=$A453)*(T_PlannedOrders[WeekIndex]=3)*(T_PlannedOrders[EffectiveQty]&gt;0)*T_PlannedOrders[Order_Month])),"m月")&amp;"発注)")</f>
        <v/>
      </c>
      <c r="G471">
        <f>IF(SUMIFS(T_PlannedOrders[EffectiveQty],T_PlannedOrders[Part Name],$A453,T_PlannedOrders[WeekIndex],4)=0,"",SUMIFS(T_PlannedOrders[EffectiveQty],T_PlannedOrders[Part Name],$A453,T_PlannedOrders[WeekIndex],4)&amp;" ("&amp;TEXT(SUMPRODUCT(MAX((T_PlannedOrders[Part Name]=$A453)*(T_PlannedOrders[WeekIndex]=4)*(T_PlannedOrders[EffectiveQty]&gt;0)*T_PlannedOrders[Order_Month])),"m月")&amp;"発注)")</f>
        <v/>
      </c>
      <c r="H471">
        <f>IF(SUMIFS(T_PlannedOrders[EffectiveQty],T_PlannedOrders[Part Name],$A453,T_PlannedOrders[WeekIndex],5)=0,"",SUMIFS(T_PlannedOrders[EffectiveQty],T_PlannedOrders[Part Name],$A453,T_PlannedOrders[WeekIndex],5)&amp;" ("&amp;TEXT(SUMPRODUCT(MAX((T_PlannedOrders[Part Name]=$A453)*(T_PlannedOrders[WeekIndex]=5)*(T_PlannedOrders[EffectiveQty]&gt;0)*T_PlannedOrders[Order_Month])),"m月")&amp;"発注)")</f>
        <v/>
      </c>
      <c r="I471">
        <f>IF(SUMIFS(T_PlannedOrders[EffectiveQty],T_PlannedOrders[Part Name],$A453,T_PlannedOrders[WeekIndex],6)=0,"",SUMIFS(T_PlannedOrders[EffectiveQty],T_PlannedOrders[Part Name],$A453,T_PlannedOrders[WeekIndex],6)&amp;" ("&amp;TEXT(SUMPRODUCT(MAX((T_PlannedOrders[Part Name]=$A453)*(T_PlannedOrders[WeekIndex]=6)*(T_PlannedOrders[EffectiveQty]&gt;0)*T_PlannedOrders[Order_Month])),"m月")&amp;"発注)")</f>
        <v/>
      </c>
      <c r="J471">
        <f>IF(SUMIFS(T_PlannedOrders[EffectiveQty],T_PlannedOrders[Part Name],$A453,T_PlannedOrders[WeekIndex],7)=0,"",SUMIFS(T_PlannedOrders[EffectiveQty],T_PlannedOrders[Part Name],$A453,T_PlannedOrders[WeekIndex],7)&amp;" ("&amp;TEXT(SUMPRODUCT(MAX((T_PlannedOrders[Part Name]=$A453)*(T_PlannedOrders[WeekIndex]=7)*(T_PlannedOrders[EffectiveQty]&gt;0)*T_PlannedOrders[Order_Month])),"m月")&amp;"発注)")</f>
        <v/>
      </c>
      <c r="K471">
        <f>IF(SUMIFS(T_PlannedOrders[EffectiveQty],T_PlannedOrders[Part Name],$A453,T_PlannedOrders[WeekIndex],8)=0,"",SUMIFS(T_PlannedOrders[EffectiveQty],T_PlannedOrders[Part Name],$A453,T_PlannedOrders[WeekIndex],8)&amp;" ("&amp;TEXT(SUMPRODUCT(MAX((T_PlannedOrders[Part Name]=$A453)*(T_PlannedOrders[WeekIndex]=8)*(T_PlannedOrders[EffectiveQty]&gt;0)*T_PlannedOrders[Order_Month])),"m月")&amp;"発注)")</f>
        <v/>
      </c>
      <c r="L471">
        <f>IF(SUMIFS(T_PlannedOrders[EffectiveQty],T_PlannedOrders[Part Name],$A453,T_PlannedOrders[WeekIndex],9)=0,"",SUMIFS(T_PlannedOrders[EffectiveQty],T_PlannedOrders[Part Name],$A453,T_PlannedOrders[WeekIndex],9)&amp;" ("&amp;TEXT(SUMPRODUCT(MAX((T_PlannedOrders[Part Name]=$A453)*(T_PlannedOrders[WeekIndex]=9)*(T_PlannedOrders[EffectiveQty]&gt;0)*T_PlannedOrders[Order_Month])),"m月")&amp;"発注)")</f>
        <v/>
      </c>
      <c r="M471">
        <f>IF(SUMIFS(T_PlannedOrders[EffectiveQty],T_PlannedOrders[Part Name],$A453,T_PlannedOrders[WeekIndex],10)=0,"",SUMIFS(T_PlannedOrders[EffectiveQty],T_PlannedOrders[Part Name],$A453,T_PlannedOrders[WeekIndex],10)&amp;" ("&amp;TEXT(SUMPRODUCT(MAX((T_PlannedOrders[Part Name]=$A453)*(T_PlannedOrders[WeekIndex]=10)*(T_PlannedOrders[EffectiveQty]&gt;0)*T_PlannedOrders[Order_Month])),"m月")&amp;"発注)")</f>
        <v/>
      </c>
      <c r="N471">
        <f>IF(SUMIFS(T_PlannedOrders[EffectiveQty],T_PlannedOrders[Part Name],$A453,T_PlannedOrders[WeekIndex],11)=0,"",SUMIFS(T_PlannedOrders[EffectiveQty],T_PlannedOrders[Part Name],$A453,T_PlannedOrders[WeekIndex],11)&amp;" ("&amp;TEXT(SUMPRODUCT(MAX((T_PlannedOrders[Part Name]=$A453)*(T_PlannedOrders[WeekIndex]=11)*(T_PlannedOrders[EffectiveQty]&gt;0)*T_PlannedOrders[Order_Month])),"m月")&amp;"発注)")</f>
        <v/>
      </c>
      <c r="O471">
        <f>IF(SUMIFS(T_PlannedOrders[EffectiveQty],T_PlannedOrders[Part Name],$A453,T_PlannedOrders[WeekIndex],12)=0,"",SUMIFS(T_PlannedOrders[EffectiveQty],T_PlannedOrders[Part Name],$A453,T_PlannedOrders[WeekIndex],12)&amp;" ("&amp;TEXT(SUMPRODUCT(MAX((T_PlannedOrders[Part Name]=$A453)*(T_PlannedOrders[WeekIndex]=12)*(T_PlannedOrders[EffectiveQty]&gt;0)*T_PlannedOrders[Order_Month])),"m月")&amp;"発注)")</f>
        <v/>
      </c>
      <c r="P471">
        <f>IF(SUMIFS(T_PlannedOrders[EffectiveQty],T_PlannedOrders[Part Name],$A453,T_PlannedOrders[WeekIndex],13)=0,"",SUMIFS(T_PlannedOrders[EffectiveQty],T_PlannedOrders[Part Name],$A453,T_PlannedOrders[WeekIndex],13)&amp;" ("&amp;TEXT(SUMPRODUCT(MAX((T_PlannedOrders[Part Name]=$A453)*(T_PlannedOrders[WeekIndex]=13)*(T_PlannedOrders[EffectiveQty]&gt;0)*T_PlannedOrders[Order_Month])),"m月")&amp;"発注)")</f>
        <v/>
      </c>
      <c r="Q471">
        <f>IF(SUMIFS(T_PlannedOrders[EffectiveQty],T_PlannedOrders[Part Name],$A453,T_PlannedOrders[WeekIndex],14)=0,"",SUMIFS(T_PlannedOrders[EffectiveQty],T_PlannedOrders[Part Name],$A453,T_PlannedOrders[WeekIndex],14)&amp;" ("&amp;TEXT(SUMPRODUCT(MAX((T_PlannedOrders[Part Name]=$A453)*(T_PlannedOrders[WeekIndex]=14)*(T_PlannedOrders[EffectiveQty]&gt;0)*T_PlannedOrders[Order_Month])),"m月")&amp;"発注)")</f>
        <v/>
      </c>
      <c r="R471">
        <f>IF(SUMIFS(T_PlannedOrders[EffectiveQty],T_PlannedOrders[Part Name],$A453,T_PlannedOrders[WeekIndex],15)=0,"",SUMIFS(T_PlannedOrders[EffectiveQty],T_PlannedOrders[Part Name],$A453,T_PlannedOrders[WeekIndex],15)&amp;" ("&amp;TEXT(SUMPRODUCT(MAX((T_PlannedOrders[Part Name]=$A453)*(T_PlannedOrders[WeekIndex]=15)*(T_PlannedOrders[EffectiveQty]&gt;0)*T_PlannedOrders[Order_Month])),"m月")&amp;"発注)")</f>
        <v/>
      </c>
      <c r="S471">
        <f>IF(SUMIFS(T_PlannedOrders[EffectiveQty],T_PlannedOrders[Part Name],$A453,T_PlannedOrders[WeekIndex],16)=0,"",SUMIFS(T_PlannedOrders[EffectiveQty],T_PlannedOrders[Part Name],$A453,T_PlannedOrders[WeekIndex],16)&amp;" ("&amp;TEXT(SUMPRODUCT(MAX((T_PlannedOrders[Part Name]=$A453)*(T_PlannedOrders[WeekIndex]=16)*(T_PlannedOrders[EffectiveQty]&gt;0)*T_PlannedOrders[Order_Month])),"m月")&amp;"発注)")</f>
        <v/>
      </c>
      <c r="T471">
        <f>IF(SUMIFS(T_PlannedOrders[EffectiveQty],T_PlannedOrders[Part Name],$A453,T_PlannedOrders[WeekIndex],17)=0,"",SUMIFS(T_PlannedOrders[EffectiveQty],T_PlannedOrders[Part Name],$A453,T_PlannedOrders[WeekIndex],17)&amp;" ("&amp;TEXT(SUMPRODUCT(MAX((T_PlannedOrders[Part Name]=$A453)*(T_PlannedOrders[WeekIndex]=17)*(T_PlannedOrders[EffectiveQty]&gt;0)*T_PlannedOrders[Order_Month])),"m月")&amp;"発注)")</f>
        <v/>
      </c>
      <c r="U471">
        <f>IF(SUMIFS(T_PlannedOrders[EffectiveQty],T_PlannedOrders[Part Name],$A453,T_PlannedOrders[WeekIndex],18)=0,"",SUMIFS(T_PlannedOrders[EffectiveQty],T_PlannedOrders[Part Name],$A453,T_PlannedOrders[WeekIndex],18)&amp;" ("&amp;TEXT(SUMPRODUCT(MAX((T_PlannedOrders[Part Name]=$A453)*(T_PlannedOrders[WeekIndex]=18)*(T_PlannedOrders[EffectiveQty]&gt;0)*T_PlannedOrders[Order_Month])),"m月")&amp;"発注)")</f>
        <v/>
      </c>
      <c r="V471">
        <f>IF(SUMIFS(T_PlannedOrders[EffectiveQty],T_PlannedOrders[Part Name],$A453,T_PlannedOrders[WeekIndex],19)=0,"",SUMIFS(T_PlannedOrders[EffectiveQty],T_PlannedOrders[Part Name],$A453,T_PlannedOrders[WeekIndex],19)&amp;" ("&amp;TEXT(SUMPRODUCT(MAX((T_PlannedOrders[Part Name]=$A453)*(T_PlannedOrders[WeekIndex]=19)*(T_PlannedOrders[EffectiveQty]&gt;0)*T_PlannedOrders[Order_Month])),"m月")&amp;"発注)")</f>
        <v/>
      </c>
      <c r="W471">
        <f>IF(SUMIFS(T_PlannedOrders[EffectiveQty],T_PlannedOrders[Part Name],$A453,T_PlannedOrders[WeekIndex],20)=0,"",SUMIFS(T_PlannedOrders[EffectiveQty],T_PlannedOrders[Part Name],$A453,T_PlannedOrders[WeekIndex],20)&amp;" ("&amp;TEXT(SUMPRODUCT(MAX((T_PlannedOrders[Part Name]=$A453)*(T_PlannedOrders[WeekIndex]=20)*(T_PlannedOrders[EffectiveQty]&gt;0)*T_PlannedOrders[Order_Month])),"m月")&amp;"発注)")</f>
        <v/>
      </c>
      <c r="X471">
        <f>IF(SUMIFS(T_PlannedOrders[EffectiveQty],T_PlannedOrders[Part Name],$A453,T_PlannedOrders[WeekIndex],21)=0,"",SUMIFS(T_PlannedOrders[EffectiveQty],T_PlannedOrders[Part Name],$A453,T_PlannedOrders[WeekIndex],21)&amp;" ("&amp;TEXT(SUMPRODUCT(MAX((T_PlannedOrders[Part Name]=$A453)*(T_PlannedOrders[WeekIndex]=21)*(T_PlannedOrders[EffectiveQty]&gt;0)*T_PlannedOrders[Order_Month])),"m月")&amp;"発注)")</f>
        <v/>
      </c>
      <c r="Y471">
        <f>IF(SUMIFS(T_PlannedOrders[EffectiveQty],T_PlannedOrders[Part Name],$A453,T_PlannedOrders[WeekIndex],22)=0,"",SUMIFS(T_PlannedOrders[EffectiveQty],T_PlannedOrders[Part Name],$A453,T_PlannedOrders[WeekIndex],22)&amp;" ("&amp;TEXT(SUMPRODUCT(MAX((T_PlannedOrders[Part Name]=$A453)*(T_PlannedOrders[WeekIndex]=22)*(T_PlannedOrders[EffectiveQty]&gt;0)*T_PlannedOrders[Order_Month])),"m月")&amp;"発注)")</f>
        <v/>
      </c>
      <c r="Z471">
        <f>IF(SUMIFS(T_PlannedOrders[EffectiveQty],T_PlannedOrders[Part Name],$A453,T_PlannedOrders[WeekIndex],23)=0,"",SUMIFS(T_PlannedOrders[EffectiveQty],T_PlannedOrders[Part Name],$A453,T_PlannedOrders[WeekIndex],23)&amp;" ("&amp;TEXT(SUMPRODUCT(MAX((T_PlannedOrders[Part Name]=$A453)*(T_PlannedOrders[WeekIndex]=23)*(T_PlannedOrders[EffectiveQty]&gt;0)*T_PlannedOrders[Order_Month])),"m月")&amp;"発注)")</f>
        <v/>
      </c>
      <c r="AA471">
        <f>IF(SUMIFS(T_PlannedOrders[EffectiveQty],T_PlannedOrders[Part Name],$A453,T_PlannedOrders[WeekIndex],24)=0,"",SUMIFS(T_PlannedOrders[EffectiveQty],T_PlannedOrders[Part Name],$A453,T_PlannedOrders[WeekIndex],24)&amp;" ("&amp;TEXT(SUMPRODUCT(MAX((T_PlannedOrders[Part Name]=$A453)*(T_PlannedOrders[WeekIndex]=24)*(T_PlannedOrders[EffectiveQty]&gt;0)*T_PlannedOrders[Order_Month])),"m月")&amp;"発注)")</f>
        <v/>
      </c>
      <c r="AB471">
        <f>IF(SUMIFS(T_PlannedOrders[EffectiveQty],T_PlannedOrders[Part Name],$A453,T_PlannedOrders[WeekIndex],25)=0,"",SUMIFS(T_PlannedOrders[EffectiveQty],T_PlannedOrders[Part Name],$A453,T_PlannedOrders[WeekIndex],25)&amp;" ("&amp;TEXT(SUMPRODUCT(MAX((T_PlannedOrders[Part Name]=$A453)*(T_PlannedOrders[WeekIndex]=25)*(T_PlannedOrders[EffectiveQty]&gt;0)*T_PlannedOrders[Order_Month])),"m月")&amp;"発注)")</f>
        <v/>
      </c>
      <c r="AC471">
        <f>IF(SUMIFS(T_PlannedOrders[EffectiveQty],T_PlannedOrders[Part Name],$A453,T_PlannedOrders[WeekIndex],26)=0,"",SUMIFS(T_PlannedOrders[EffectiveQty],T_PlannedOrders[Part Name],$A453,T_PlannedOrders[WeekIndex],26)&amp;" ("&amp;TEXT(SUMPRODUCT(MAX((T_PlannedOrders[Part Name]=$A453)*(T_PlannedOrders[WeekIndex]=26)*(T_PlannedOrders[EffectiveQty]&gt;0)*T_PlannedOrders[Order_Month])),"m月")&amp;"発注)")</f>
        <v/>
      </c>
      <c r="AD471">
        <f>IF(SUMIFS(T_PlannedOrders[EffectiveQty],T_PlannedOrders[Part Name],$A453,T_PlannedOrders[WeekIndex],27)=0,"",SUMIFS(T_PlannedOrders[EffectiveQty],T_PlannedOrders[Part Name],$A453,T_PlannedOrders[WeekIndex],27)&amp;" ("&amp;TEXT(SUMPRODUCT(MAX((T_PlannedOrders[Part Name]=$A453)*(T_PlannedOrders[WeekIndex]=27)*(T_PlannedOrders[EffectiveQty]&gt;0)*T_PlannedOrders[Order_Month])),"m月")&amp;"発注)")</f>
        <v/>
      </c>
      <c r="AE471">
        <f>IF(SUMIFS(T_PlannedOrders[EffectiveQty],T_PlannedOrders[Part Name],$A453,T_PlannedOrders[WeekIndex],28)=0,"",SUMIFS(T_PlannedOrders[EffectiveQty],T_PlannedOrders[Part Name],$A453,T_PlannedOrders[WeekIndex],28)&amp;" ("&amp;TEXT(SUMPRODUCT(MAX((T_PlannedOrders[Part Name]=$A453)*(T_PlannedOrders[WeekIndex]=28)*(T_PlannedOrders[EffectiveQty]&gt;0)*T_PlannedOrders[Order_Month])),"m月")&amp;"発注)")</f>
        <v/>
      </c>
      <c r="AF471">
        <f>IF(SUMIFS(T_PlannedOrders[EffectiveQty],T_PlannedOrders[Part Name],$A453,T_PlannedOrders[WeekIndex],29)=0,"",SUMIFS(T_PlannedOrders[EffectiveQty],T_PlannedOrders[Part Name],$A453,T_PlannedOrders[WeekIndex],29)&amp;" ("&amp;TEXT(SUMPRODUCT(MAX((T_PlannedOrders[Part Name]=$A453)*(T_PlannedOrders[WeekIndex]=29)*(T_PlannedOrders[EffectiveQty]&gt;0)*T_PlannedOrders[Order_Month])),"m月")&amp;"発注)")</f>
        <v/>
      </c>
      <c r="AG471">
        <f>IF(SUMIFS(T_PlannedOrders[EffectiveQty],T_PlannedOrders[Part Name],$A453,T_PlannedOrders[WeekIndex],30)=0,"",SUMIFS(T_PlannedOrders[EffectiveQty],T_PlannedOrders[Part Name],$A453,T_PlannedOrders[WeekIndex],30)&amp;" ("&amp;TEXT(SUMPRODUCT(MAX((T_PlannedOrders[Part Name]=$A453)*(T_PlannedOrders[WeekIndex]=30)*(T_PlannedOrders[EffectiveQty]&gt;0)*T_PlannedOrders[Order_Month])),"m月")&amp;"発注)")</f>
        <v/>
      </c>
      <c r="AH471">
        <f>IF(SUMIFS(T_PlannedOrders[EffectiveQty],T_PlannedOrders[Part Name],$A453,T_PlannedOrders[WeekIndex],31)=0,"",SUMIFS(T_PlannedOrders[EffectiveQty],T_PlannedOrders[Part Name],$A453,T_PlannedOrders[WeekIndex],31)&amp;" ("&amp;TEXT(SUMPRODUCT(MAX((T_PlannedOrders[Part Name]=$A453)*(T_PlannedOrders[WeekIndex]=31)*(T_PlannedOrders[EffectiveQty]&gt;0)*T_PlannedOrders[Order_Month])),"m月")&amp;"発注)")</f>
        <v/>
      </c>
      <c r="AI471">
        <f>IF(SUMIFS(T_PlannedOrders[EffectiveQty],T_PlannedOrders[Part Name],$A453,T_PlannedOrders[WeekIndex],32)=0,"",SUMIFS(T_PlannedOrders[EffectiveQty],T_PlannedOrders[Part Name],$A453,T_PlannedOrders[WeekIndex],32)&amp;" ("&amp;TEXT(SUMPRODUCT(MAX((T_PlannedOrders[Part Name]=$A453)*(T_PlannedOrders[WeekIndex]=32)*(T_PlannedOrders[EffectiveQty]&gt;0)*T_PlannedOrders[Order_Month])),"m月")&amp;"発注)")</f>
        <v/>
      </c>
      <c r="AJ471">
        <f>IF(SUMIFS(T_PlannedOrders[EffectiveQty],T_PlannedOrders[Part Name],$A453,T_PlannedOrders[WeekIndex],33)=0,"",SUMIFS(T_PlannedOrders[EffectiveQty],T_PlannedOrders[Part Name],$A453,T_PlannedOrders[WeekIndex],33)&amp;" ("&amp;TEXT(SUMPRODUCT(MAX((T_PlannedOrders[Part Name]=$A453)*(T_PlannedOrders[WeekIndex]=33)*(T_PlannedOrders[EffectiveQty]&gt;0)*T_PlannedOrders[Order_Month])),"m月")&amp;"発注)")</f>
        <v/>
      </c>
      <c r="AK471">
        <f>IF(SUMIFS(T_PlannedOrders[EffectiveQty],T_PlannedOrders[Part Name],$A453,T_PlannedOrders[WeekIndex],34)=0,"",SUMIFS(T_PlannedOrders[EffectiveQty],T_PlannedOrders[Part Name],$A453,T_PlannedOrders[WeekIndex],34)&amp;" ("&amp;TEXT(SUMPRODUCT(MAX((T_PlannedOrders[Part Name]=$A453)*(T_PlannedOrders[WeekIndex]=34)*(T_PlannedOrders[EffectiveQty]&gt;0)*T_PlannedOrders[Order_Month])),"m月")&amp;"発注)")</f>
        <v/>
      </c>
      <c r="AL471">
        <f>IF(SUMIFS(T_PlannedOrders[EffectiveQty],T_PlannedOrders[Part Name],$A453,T_PlannedOrders[WeekIndex],35)=0,"",SUMIFS(T_PlannedOrders[EffectiveQty],T_PlannedOrders[Part Name],$A453,T_PlannedOrders[WeekIndex],35)&amp;" ("&amp;TEXT(SUMPRODUCT(MAX((T_PlannedOrders[Part Name]=$A453)*(T_PlannedOrders[WeekIndex]=35)*(T_PlannedOrders[EffectiveQty]&gt;0)*T_PlannedOrders[Order_Month])),"m月")&amp;"発注)")</f>
        <v/>
      </c>
      <c r="AM471">
        <f>IF(SUMIFS(T_PlannedOrders[EffectiveQty],T_PlannedOrders[Part Name],$A453,T_PlannedOrders[WeekIndex],36)=0,"",SUMIFS(T_PlannedOrders[EffectiveQty],T_PlannedOrders[Part Name],$A453,T_PlannedOrders[WeekIndex],36)&amp;" ("&amp;TEXT(SUMPRODUCT(MAX((T_PlannedOrders[Part Name]=$A453)*(T_PlannedOrders[WeekIndex]=36)*(T_PlannedOrders[EffectiveQty]&gt;0)*T_PlannedOrders[Order_Month])),"m月")&amp;"発注)")</f>
        <v/>
      </c>
      <c r="AN471">
        <f>IF(SUMIFS(T_PlannedOrders[EffectiveQty],T_PlannedOrders[Part Name],$A453,T_PlannedOrders[WeekIndex],37)=0,"",SUMIFS(T_PlannedOrders[EffectiveQty],T_PlannedOrders[Part Name],$A453,T_PlannedOrders[WeekIndex],37)&amp;" ("&amp;TEXT(SUMPRODUCT(MAX((T_PlannedOrders[Part Name]=$A453)*(T_PlannedOrders[WeekIndex]=37)*(T_PlannedOrders[EffectiveQty]&gt;0)*T_PlannedOrders[Order_Month])),"m月")&amp;"発注)")</f>
        <v/>
      </c>
      <c r="AO471">
        <f>IF(SUMIFS(T_PlannedOrders[EffectiveQty],T_PlannedOrders[Part Name],$A453,T_PlannedOrders[WeekIndex],38)=0,"",SUMIFS(T_PlannedOrders[EffectiveQty],T_PlannedOrders[Part Name],$A453,T_PlannedOrders[WeekIndex],38)&amp;" ("&amp;TEXT(SUMPRODUCT(MAX((T_PlannedOrders[Part Name]=$A453)*(T_PlannedOrders[WeekIndex]=38)*(T_PlannedOrders[EffectiveQty]&gt;0)*T_PlannedOrders[Order_Month])),"m月")&amp;"発注)")</f>
        <v/>
      </c>
      <c r="AP471">
        <f>IF(SUMIFS(T_PlannedOrders[EffectiveQty],T_PlannedOrders[Part Name],$A453,T_PlannedOrders[WeekIndex],39)=0,"",SUMIFS(T_PlannedOrders[EffectiveQty],T_PlannedOrders[Part Name],$A453,T_PlannedOrders[WeekIndex],39)&amp;" ("&amp;TEXT(SUMPRODUCT(MAX((T_PlannedOrders[Part Name]=$A453)*(T_PlannedOrders[WeekIndex]=39)*(T_PlannedOrders[EffectiveQty]&gt;0)*T_PlannedOrders[Order_Month])),"m月")&amp;"発注)")</f>
        <v/>
      </c>
      <c r="AQ471">
        <f>IF(SUMIFS(T_PlannedOrders[EffectiveQty],T_PlannedOrders[Part Name],$A453,T_PlannedOrders[WeekIndex],40)=0,"",SUMIFS(T_PlannedOrders[EffectiveQty],T_PlannedOrders[Part Name],$A453,T_PlannedOrders[WeekIndex],40)&amp;" ("&amp;TEXT(SUMPRODUCT(MAX((T_PlannedOrders[Part Name]=$A453)*(T_PlannedOrders[WeekIndex]=40)*(T_PlannedOrders[EffectiveQty]&gt;0)*T_PlannedOrders[Order_Month])),"m月")&amp;"発注)")</f>
        <v/>
      </c>
      <c r="AR471">
        <f>IF(SUMIFS(T_PlannedOrders[EffectiveQty],T_PlannedOrders[Part Name],$A453,T_PlannedOrders[WeekIndex],41)=0,"",SUMIFS(T_PlannedOrders[EffectiveQty],T_PlannedOrders[Part Name],$A453,T_PlannedOrders[WeekIndex],41)&amp;" ("&amp;TEXT(SUMPRODUCT(MAX((T_PlannedOrders[Part Name]=$A453)*(T_PlannedOrders[WeekIndex]=41)*(T_PlannedOrders[EffectiveQty]&gt;0)*T_PlannedOrders[Order_Month])),"m月")&amp;"発注)")</f>
        <v/>
      </c>
      <c r="AS471">
        <f>IF(SUMIFS(T_PlannedOrders[EffectiveQty],T_PlannedOrders[Part Name],$A453,T_PlannedOrders[WeekIndex],42)=0,"",SUMIFS(T_PlannedOrders[EffectiveQty],T_PlannedOrders[Part Name],$A453,T_PlannedOrders[WeekIndex],42)&amp;" ("&amp;TEXT(SUMPRODUCT(MAX((T_PlannedOrders[Part Name]=$A453)*(T_PlannedOrders[WeekIndex]=42)*(T_PlannedOrders[EffectiveQty]&gt;0)*T_PlannedOrders[Order_Month])),"m月")&amp;"発注)")</f>
        <v/>
      </c>
      <c r="AT471">
        <f>IF(SUMIFS(T_PlannedOrders[EffectiveQty],T_PlannedOrders[Part Name],$A453,T_PlannedOrders[WeekIndex],43)=0,"",SUMIFS(T_PlannedOrders[EffectiveQty],T_PlannedOrders[Part Name],$A453,T_PlannedOrders[WeekIndex],43)&amp;" ("&amp;TEXT(SUMPRODUCT(MAX((T_PlannedOrders[Part Name]=$A453)*(T_PlannedOrders[WeekIndex]=43)*(T_PlannedOrders[EffectiveQty]&gt;0)*T_PlannedOrders[Order_Month])),"m月")&amp;"発注)")</f>
        <v/>
      </c>
      <c r="AU471">
        <f>IF(SUMIFS(T_PlannedOrders[EffectiveQty],T_PlannedOrders[Part Name],$A453,T_PlannedOrders[WeekIndex],44)=0,"",SUMIFS(T_PlannedOrders[EffectiveQty],T_PlannedOrders[Part Name],$A453,T_PlannedOrders[WeekIndex],44)&amp;" ("&amp;TEXT(SUMPRODUCT(MAX((T_PlannedOrders[Part Name]=$A453)*(T_PlannedOrders[WeekIndex]=44)*(T_PlannedOrders[EffectiveQty]&gt;0)*T_PlannedOrders[Order_Month])),"m月")&amp;"発注)")</f>
        <v/>
      </c>
      <c r="AV471">
        <f>IF(SUMIFS(T_PlannedOrders[EffectiveQty],T_PlannedOrders[Part Name],$A453,T_PlannedOrders[WeekIndex],45)=0,"",SUMIFS(T_PlannedOrders[EffectiveQty],T_PlannedOrders[Part Name],$A453,T_PlannedOrders[WeekIndex],45)&amp;" ("&amp;TEXT(SUMPRODUCT(MAX((T_PlannedOrders[Part Name]=$A453)*(T_PlannedOrders[WeekIndex]=45)*(T_PlannedOrders[EffectiveQty]&gt;0)*T_PlannedOrders[Order_Month])),"m月")&amp;"発注)")</f>
        <v/>
      </c>
      <c r="AW471">
        <f>IF(SUMIFS(T_PlannedOrders[EffectiveQty],T_PlannedOrders[Part Name],$A453,T_PlannedOrders[WeekIndex],46)=0,"",SUMIFS(T_PlannedOrders[EffectiveQty],T_PlannedOrders[Part Name],$A453,T_PlannedOrders[WeekIndex],46)&amp;" ("&amp;TEXT(SUMPRODUCT(MAX((T_PlannedOrders[Part Name]=$A453)*(T_PlannedOrders[WeekIndex]=46)*(T_PlannedOrders[EffectiveQty]&gt;0)*T_PlannedOrders[Order_Month])),"m月")&amp;"発注)")</f>
        <v/>
      </c>
      <c r="AX471">
        <f>IF(SUMIFS(T_PlannedOrders[EffectiveQty],T_PlannedOrders[Part Name],$A453,T_PlannedOrders[WeekIndex],47)=0,"",SUMIFS(T_PlannedOrders[EffectiveQty],T_PlannedOrders[Part Name],$A453,T_PlannedOrders[WeekIndex],47)&amp;" ("&amp;TEXT(SUMPRODUCT(MAX((T_PlannedOrders[Part Name]=$A453)*(T_PlannedOrders[WeekIndex]=47)*(T_PlannedOrders[EffectiveQty]&gt;0)*T_PlannedOrders[Order_Month])),"m月")&amp;"発注)")</f>
        <v/>
      </c>
      <c r="AY471">
        <f>IF(SUMIFS(T_PlannedOrders[EffectiveQty],T_PlannedOrders[Part Name],$A453,T_PlannedOrders[WeekIndex],48)=0,"",SUMIFS(T_PlannedOrders[EffectiveQty],T_PlannedOrders[Part Name],$A453,T_PlannedOrders[WeekIndex],48)&amp;" ("&amp;TEXT(SUMPRODUCT(MAX((T_PlannedOrders[Part Name]=$A453)*(T_PlannedOrders[WeekIndex]=48)*(T_PlannedOrders[EffectiveQty]&gt;0)*T_PlannedOrders[Order_Month])),"m月")&amp;"発注)")</f>
        <v/>
      </c>
      <c r="AZ471">
        <f>IF(SUMIFS(T_PlannedOrders[EffectiveQty],T_PlannedOrders[Part Name],$A453,T_PlannedOrders[WeekIndex],49)=0,"",SUMIFS(T_PlannedOrders[EffectiveQty],T_PlannedOrders[Part Name],$A453,T_PlannedOrders[WeekIndex],49)&amp;" ("&amp;TEXT(SUMPRODUCT(MAX((T_PlannedOrders[Part Name]=$A453)*(T_PlannedOrders[WeekIndex]=49)*(T_PlannedOrders[EffectiveQty]&gt;0)*T_PlannedOrders[Order_Month])),"m月")&amp;"発注)")</f>
        <v/>
      </c>
      <c r="BA471">
        <f>IF(SUMIFS(T_PlannedOrders[EffectiveQty],T_PlannedOrders[Part Name],$A453,T_PlannedOrders[WeekIndex],50)=0,"",SUMIFS(T_PlannedOrders[EffectiveQty],T_PlannedOrders[Part Name],$A453,T_PlannedOrders[WeekIndex],50)&amp;" ("&amp;TEXT(SUMPRODUCT(MAX((T_PlannedOrders[Part Name]=$A453)*(T_PlannedOrders[WeekIndex]=50)*(T_PlannedOrders[EffectiveQty]&gt;0)*T_PlannedOrders[Order_Month])),"m月")&amp;"発注)")</f>
        <v/>
      </c>
      <c r="BB471">
        <f>IF(SUMIFS(T_PlannedOrders[EffectiveQty],T_PlannedOrders[Part Name],$A453,T_PlannedOrders[WeekIndex],51)=0,"",SUMIFS(T_PlannedOrders[EffectiveQty],T_PlannedOrders[Part Name],$A453,T_PlannedOrders[WeekIndex],51)&amp;" ("&amp;TEXT(SUMPRODUCT(MAX((T_PlannedOrders[Part Name]=$A453)*(T_PlannedOrders[WeekIndex]=51)*(T_PlannedOrders[EffectiveQty]&gt;0)*T_PlannedOrders[Order_Month])),"m月")&amp;"発注)")</f>
        <v/>
      </c>
      <c r="BC471">
        <f>IF(SUMIFS(T_PlannedOrders[EffectiveQty],T_PlannedOrders[Part Name],$A453,T_PlannedOrders[WeekIndex],52)=0,"",SUMIFS(T_PlannedOrders[EffectiveQty],T_PlannedOrders[Part Name],$A453,T_PlannedOrders[WeekIndex],52)&amp;" ("&amp;TEXT(SUMPRODUCT(MAX((T_PlannedOrders[Part Name]=$A453)*(T_PlannedOrders[WeekIndex]=52)*(T_PlannedOrders[EffectiveQty]&gt;0)*T_PlannedOrders[Order_Month])),"m月")&amp;"発注)")</f>
        <v/>
      </c>
      <c r="BD471">
        <f>IF(SUMIFS(T_PlannedOrders[EffectiveQty],T_PlannedOrders[Part Name],$A453,T_PlannedOrders[WeekIndex],53)=0,"",SUMIFS(T_PlannedOrders[EffectiveQty],T_PlannedOrders[Part Name],$A453,T_PlannedOrders[WeekIndex],53)&amp;" ("&amp;TEXT(SUMPRODUCT(MAX((T_PlannedOrders[Part Name]=$A453)*(T_PlannedOrders[WeekIndex]=53)*(T_PlannedOrders[EffectiveQty]&gt;0)*T_PlannedOrders[Order_Month])),"m月")&amp;"発注)")</f>
        <v/>
      </c>
      <c r="BE471">
        <f>IF(SUMIFS(T_PlannedOrders[EffectiveQty],T_PlannedOrders[Part Name],$A453,T_PlannedOrders[WeekIndex],54)=0,"",SUMIFS(T_PlannedOrders[EffectiveQty],T_PlannedOrders[Part Name],$A453,T_PlannedOrders[WeekIndex],54)&amp;" ("&amp;TEXT(SUMPRODUCT(MAX((T_PlannedOrders[Part Name]=$A453)*(T_PlannedOrders[WeekIndex]=54)*(T_PlannedOrders[EffectiveQty]&gt;0)*T_PlannedOrders[Order_Month])),"m月")&amp;"発注)")</f>
        <v/>
      </c>
      <c r="BF471">
        <f>IF(SUMIFS(T_PlannedOrders[EffectiveQty],T_PlannedOrders[Part Name],$A453,T_PlannedOrders[WeekIndex],55)=0,"",SUMIFS(T_PlannedOrders[EffectiveQty],T_PlannedOrders[Part Name],$A453,T_PlannedOrders[WeekIndex],55)&amp;" ("&amp;TEXT(SUMPRODUCT(MAX((T_PlannedOrders[Part Name]=$A453)*(T_PlannedOrders[WeekIndex]=55)*(T_PlannedOrders[EffectiveQty]&gt;0)*T_PlannedOrders[Order_Month])),"m月")&amp;"発注)")</f>
        <v/>
      </c>
      <c r="BG471">
        <f>IF(SUMIFS(T_PlannedOrders[EffectiveQty],T_PlannedOrders[Part Name],$A453,T_PlannedOrders[WeekIndex],56)=0,"",SUMIFS(T_PlannedOrders[EffectiveQty],T_PlannedOrders[Part Name],$A453,T_PlannedOrders[WeekIndex],56)&amp;" ("&amp;TEXT(SUMPRODUCT(MAX((T_PlannedOrders[Part Name]=$A453)*(T_PlannedOrders[WeekIndex]=56)*(T_PlannedOrders[EffectiveQty]&gt;0)*T_PlannedOrders[Order_Month])),"m月")&amp;"発注)")</f>
        <v/>
      </c>
      <c r="BH471">
        <f>IF(SUMIFS(T_PlannedOrders[EffectiveQty],T_PlannedOrders[Part Name],$A453,T_PlannedOrders[WeekIndex],57)=0,"",SUMIFS(T_PlannedOrders[EffectiveQty],T_PlannedOrders[Part Name],$A453,T_PlannedOrders[WeekIndex],57)&amp;" ("&amp;TEXT(SUMPRODUCT(MAX((T_PlannedOrders[Part Name]=$A453)*(T_PlannedOrders[WeekIndex]=57)*(T_PlannedOrders[EffectiveQty]&gt;0)*T_PlannedOrders[Order_Month])),"m月")&amp;"発注)")</f>
        <v/>
      </c>
      <c r="BI471">
        <f>IF(SUMIFS(T_PlannedOrders[EffectiveQty],T_PlannedOrders[Part Name],$A453,T_PlannedOrders[WeekIndex],58)=0,"",SUMIFS(T_PlannedOrders[EffectiveQty],T_PlannedOrders[Part Name],$A453,T_PlannedOrders[WeekIndex],58)&amp;" ("&amp;TEXT(SUMPRODUCT(MAX((T_PlannedOrders[Part Name]=$A453)*(T_PlannedOrders[WeekIndex]=58)*(T_PlannedOrders[EffectiveQty]&gt;0)*T_PlannedOrders[Order_Month])),"m月")&amp;"発注)")</f>
        <v/>
      </c>
      <c r="BJ471">
        <f>IF(SUMIFS(T_PlannedOrders[EffectiveQty],T_PlannedOrders[Part Name],$A453,T_PlannedOrders[WeekIndex],59)=0,"",SUMIFS(T_PlannedOrders[EffectiveQty],T_PlannedOrders[Part Name],$A453,T_PlannedOrders[WeekIndex],59)&amp;" ("&amp;TEXT(SUMPRODUCT(MAX((T_PlannedOrders[Part Name]=$A453)*(T_PlannedOrders[WeekIndex]=59)*(T_PlannedOrders[EffectiveQty]&gt;0)*T_PlannedOrders[Order_Month])),"m月")&amp;"発注)")</f>
        <v/>
      </c>
      <c r="BK471">
        <f>IF(SUMIFS(T_PlannedOrders[EffectiveQty],T_PlannedOrders[Part Name],$A453,T_PlannedOrders[WeekIndex],60)=0,"",SUMIFS(T_PlannedOrders[EffectiveQty],T_PlannedOrders[Part Name],$A453,T_PlannedOrders[WeekIndex],60)&amp;" ("&amp;TEXT(SUMPRODUCT(MAX((T_PlannedOrders[Part Name]=$A453)*(T_PlannedOrders[WeekIndex]=60)*(T_PlannedOrders[EffectiveQty]&gt;0)*T_PlannedOrders[Order_Month])),"m月")&amp;"発注)")</f>
        <v/>
      </c>
      <c r="BL471">
        <f>IF(SUMIFS(T_PlannedOrders[EffectiveQty],T_PlannedOrders[Part Name],$A453,T_PlannedOrders[WeekIndex],61)=0,"",SUMIFS(T_PlannedOrders[EffectiveQty],T_PlannedOrders[Part Name],$A453,T_PlannedOrders[WeekIndex],61)&amp;" ("&amp;TEXT(SUMPRODUCT(MAX((T_PlannedOrders[Part Name]=$A453)*(T_PlannedOrders[WeekIndex]=61)*(T_PlannedOrders[EffectiveQty]&gt;0)*T_PlannedOrders[Order_Month])),"m月")&amp;"発注)")</f>
        <v/>
      </c>
      <c r="BM471">
        <f>IF(SUMIFS(T_PlannedOrders[EffectiveQty],T_PlannedOrders[Part Name],$A453,T_PlannedOrders[WeekIndex],62)=0,"",SUMIFS(T_PlannedOrders[EffectiveQty],T_PlannedOrders[Part Name],$A453,T_PlannedOrders[WeekIndex],62)&amp;" ("&amp;TEXT(SUMPRODUCT(MAX((T_PlannedOrders[Part Name]=$A453)*(T_PlannedOrders[WeekIndex]=62)*(T_PlannedOrders[EffectiveQty]&gt;0)*T_PlannedOrders[Order_Month])),"m月")&amp;"発注)")</f>
        <v/>
      </c>
      <c r="BN471">
        <f>IF(SUMIFS(T_PlannedOrders[EffectiveQty],T_PlannedOrders[Part Name],$A453,T_PlannedOrders[WeekIndex],63)=0,"",SUMIFS(T_PlannedOrders[EffectiveQty],T_PlannedOrders[Part Name],$A453,T_PlannedOrders[WeekIndex],63)&amp;" ("&amp;TEXT(SUMPRODUCT(MAX((T_PlannedOrders[Part Name]=$A453)*(T_PlannedOrders[WeekIndex]=63)*(T_PlannedOrders[EffectiveQty]&gt;0)*T_PlannedOrders[Order_Month])),"m月")&amp;"発注)")</f>
        <v/>
      </c>
      <c r="BO471">
        <f>IF(SUMIFS(T_PlannedOrders[EffectiveQty],T_PlannedOrders[Part Name],$A453,T_PlannedOrders[WeekIndex],64)=0,"",SUMIFS(T_PlannedOrders[EffectiveQty],T_PlannedOrders[Part Name],$A453,T_PlannedOrders[WeekIndex],64)&amp;" ("&amp;TEXT(SUMPRODUCT(MAX((T_PlannedOrders[Part Name]=$A453)*(T_PlannedOrders[WeekIndex]=64)*(T_PlannedOrders[EffectiveQty]&gt;0)*T_PlannedOrders[Order_Month])),"m月")&amp;"発注)")</f>
        <v/>
      </c>
      <c r="BP471">
        <f>IF(SUMIFS(T_PlannedOrders[EffectiveQty],T_PlannedOrders[Part Name],$A453,T_PlannedOrders[WeekIndex],65)=0,"",SUMIFS(T_PlannedOrders[EffectiveQty],T_PlannedOrders[Part Name],$A453,T_PlannedOrders[WeekIndex],65)&amp;" ("&amp;TEXT(SUMPRODUCT(MAX((T_PlannedOrders[Part Name]=$A453)*(T_PlannedOrders[WeekIndex]=65)*(T_PlannedOrders[EffectiveQty]&gt;0)*T_PlannedOrders[Order_Month])),"m月")&amp;"発注)")</f>
        <v/>
      </c>
      <c r="BQ471">
        <f>IF(SUMIFS(T_PlannedOrders[EffectiveQty],T_PlannedOrders[Part Name],$A453,T_PlannedOrders[WeekIndex],66)=0,"",SUMIFS(T_PlannedOrders[EffectiveQty],T_PlannedOrders[Part Name],$A453,T_PlannedOrders[WeekIndex],66)&amp;" ("&amp;TEXT(SUMPRODUCT(MAX((T_PlannedOrders[Part Name]=$A453)*(T_PlannedOrders[WeekIndex]=66)*(T_PlannedOrders[EffectiveQty]&gt;0)*T_PlannedOrders[Order_Month])),"m月")&amp;"発注)")</f>
        <v/>
      </c>
      <c r="BR471">
        <f>IF(SUMIFS(T_PlannedOrders[EffectiveQty],T_PlannedOrders[Part Name],$A453,T_PlannedOrders[WeekIndex],67)=0,"",SUMIFS(T_PlannedOrders[EffectiveQty],T_PlannedOrders[Part Name],$A453,T_PlannedOrders[WeekIndex],67)&amp;" ("&amp;TEXT(SUMPRODUCT(MAX((T_PlannedOrders[Part Name]=$A453)*(T_PlannedOrders[WeekIndex]=67)*(T_PlannedOrders[EffectiveQty]&gt;0)*T_PlannedOrders[Order_Month])),"m月")&amp;"発注)")</f>
        <v/>
      </c>
      <c r="BS471">
        <f>IF(SUMIFS(T_PlannedOrders[EffectiveQty],T_PlannedOrders[Part Name],$A453,T_PlannedOrders[WeekIndex],68)=0,"",SUMIFS(T_PlannedOrders[EffectiveQty],T_PlannedOrders[Part Name],$A453,T_PlannedOrders[WeekIndex],68)&amp;" ("&amp;TEXT(SUMPRODUCT(MAX((T_PlannedOrders[Part Name]=$A453)*(T_PlannedOrders[WeekIndex]=68)*(T_PlannedOrders[EffectiveQty]&gt;0)*T_PlannedOrders[Order_Month])),"m月")&amp;"発注)")</f>
        <v/>
      </c>
      <c r="BT471">
        <f>IF(SUMIFS(T_PlannedOrders[EffectiveQty],T_PlannedOrders[Part Name],$A453,T_PlannedOrders[WeekIndex],69)=0,"",SUMIFS(T_PlannedOrders[EffectiveQty],T_PlannedOrders[Part Name],$A453,T_PlannedOrders[WeekIndex],69)&amp;" ("&amp;TEXT(SUMPRODUCT(MAX((T_PlannedOrders[Part Name]=$A453)*(T_PlannedOrders[WeekIndex]=69)*(T_PlannedOrders[EffectiveQty]&gt;0)*T_PlannedOrders[Order_Month])),"m月")&amp;"発注)")</f>
        <v/>
      </c>
      <c r="BU471">
        <f>IF(SUMIFS(T_PlannedOrders[EffectiveQty],T_PlannedOrders[Part Name],$A453,T_PlannedOrders[WeekIndex],70)=0,"",SUMIFS(T_PlannedOrders[EffectiveQty],T_PlannedOrders[Part Name],$A453,T_PlannedOrders[WeekIndex],70)&amp;" ("&amp;TEXT(SUMPRODUCT(MAX((T_PlannedOrders[Part Name]=$A453)*(T_PlannedOrders[WeekIndex]=70)*(T_PlannedOrders[EffectiveQty]&gt;0)*T_PlannedOrders[Order_Month])),"m月")&amp;"発注)")</f>
        <v/>
      </c>
      <c r="BV471">
        <f>IF(SUMIFS(T_PlannedOrders[EffectiveQty],T_PlannedOrders[Part Name],$A453,T_PlannedOrders[WeekIndex],71)=0,"",SUMIFS(T_PlannedOrders[EffectiveQty],T_PlannedOrders[Part Name],$A453,T_PlannedOrders[WeekIndex],71)&amp;" ("&amp;TEXT(SUMPRODUCT(MAX((T_PlannedOrders[Part Name]=$A453)*(T_PlannedOrders[WeekIndex]=71)*(T_PlannedOrders[EffectiveQty]&gt;0)*T_PlannedOrders[Order_Month])),"m月")&amp;"発注)")</f>
        <v/>
      </c>
      <c r="BW471">
        <f>IF(SUMIFS(T_PlannedOrders[EffectiveQty],T_PlannedOrders[Part Name],$A453,T_PlannedOrders[WeekIndex],72)=0,"",SUMIFS(T_PlannedOrders[EffectiveQty],T_PlannedOrders[Part Name],$A453,T_PlannedOrders[WeekIndex],72)&amp;" ("&amp;TEXT(SUMPRODUCT(MAX((T_PlannedOrders[Part Name]=$A453)*(T_PlannedOrders[WeekIndex]=72)*(T_PlannedOrders[EffectiveQty]&gt;0)*T_PlannedOrders[Order_Month])),"m月")&amp;"発注)")</f>
        <v/>
      </c>
      <c r="BX471">
        <f>IF(SUMIFS(T_PlannedOrders[EffectiveQty],T_PlannedOrders[Part Name],$A453,T_PlannedOrders[WeekIndex],73)=0,"",SUMIFS(T_PlannedOrders[EffectiveQty],T_PlannedOrders[Part Name],$A453,T_PlannedOrders[WeekIndex],73)&amp;" ("&amp;TEXT(SUMPRODUCT(MAX((T_PlannedOrders[Part Name]=$A453)*(T_PlannedOrders[WeekIndex]=73)*(T_PlannedOrders[EffectiveQty]&gt;0)*T_PlannedOrders[Order_Month])),"m月")&amp;"発注)")</f>
        <v/>
      </c>
      <c r="BY471">
        <f>IF(SUMIFS(T_PlannedOrders[EffectiveQty],T_PlannedOrders[Part Name],$A453,T_PlannedOrders[WeekIndex],74)=0,"",SUMIFS(T_PlannedOrders[EffectiveQty],T_PlannedOrders[Part Name],$A453,T_PlannedOrders[WeekIndex],74)&amp;" ("&amp;TEXT(SUMPRODUCT(MAX((T_PlannedOrders[Part Name]=$A453)*(T_PlannedOrders[WeekIndex]=74)*(T_PlannedOrders[EffectiveQty]&gt;0)*T_PlannedOrders[Order_Month])),"m月")&amp;"発注)")</f>
        <v/>
      </c>
      <c r="BZ471">
        <f>IF(SUMIFS(T_PlannedOrders[EffectiveQty],T_PlannedOrders[Part Name],$A453,T_PlannedOrders[WeekIndex],75)=0,"",SUMIFS(T_PlannedOrders[EffectiveQty],T_PlannedOrders[Part Name],$A453,T_PlannedOrders[WeekIndex],75)&amp;" ("&amp;TEXT(SUMPRODUCT(MAX((T_PlannedOrders[Part Name]=$A453)*(T_PlannedOrders[WeekIndex]=75)*(T_PlannedOrders[EffectiveQty]&gt;0)*T_PlannedOrders[Order_Month])),"m月")&amp;"発注)")</f>
        <v/>
      </c>
      <c r="CA471">
        <f>IF(SUMIFS(T_PlannedOrders[EffectiveQty],T_PlannedOrders[Part Name],$A453,T_PlannedOrders[WeekIndex],76)=0,"",SUMIFS(T_PlannedOrders[EffectiveQty],T_PlannedOrders[Part Name],$A453,T_PlannedOrders[WeekIndex],76)&amp;" ("&amp;TEXT(SUMPRODUCT(MAX((T_PlannedOrders[Part Name]=$A453)*(T_PlannedOrders[WeekIndex]=76)*(T_PlannedOrders[EffectiveQty]&gt;0)*T_PlannedOrders[Order_Month])),"m月")&amp;"発注)")</f>
        <v/>
      </c>
      <c r="CB471">
        <f>IF(SUMIFS(T_PlannedOrders[EffectiveQty],T_PlannedOrders[Part Name],$A453,T_PlannedOrders[WeekIndex],77)=0,"",SUMIFS(T_PlannedOrders[EffectiveQty],T_PlannedOrders[Part Name],$A453,T_PlannedOrders[WeekIndex],77)&amp;" ("&amp;TEXT(SUMPRODUCT(MAX((T_PlannedOrders[Part Name]=$A453)*(T_PlannedOrders[WeekIndex]=77)*(T_PlannedOrders[EffectiveQty]&gt;0)*T_PlannedOrders[Order_Month])),"m月")&amp;"発注)")</f>
        <v/>
      </c>
      <c r="CC471">
        <f>IF(SUMIFS(T_PlannedOrders[EffectiveQty],T_PlannedOrders[Part Name],$A453,T_PlannedOrders[WeekIndex],78)=0,"",SUMIFS(T_PlannedOrders[EffectiveQty],T_PlannedOrders[Part Name],$A453,T_PlannedOrders[WeekIndex],78)&amp;" ("&amp;TEXT(SUMPRODUCT(MAX((T_PlannedOrders[Part Name]=$A453)*(T_PlannedOrders[WeekIndex]=78)*(T_PlannedOrders[EffectiveQty]&gt;0)*T_PlannedOrders[Order_Month])),"m月")&amp;"発注)")</f>
        <v/>
      </c>
      <c r="CD471">
        <f>IF(SUMIFS(T_PlannedOrders[EffectiveQty],T_PlannedOrders[Part Name],$A453,T_PlannedOrders[WeekIndex],79)=0,"",SUMIFS(T_PlannedOrders[EffectiveQty],T_PlannedOrders[Part Name],$A453,T_PlannedOrders[WeekIndex],79)&amp;" ("&amp;TEXT(SUMPRODUCT(MAX((T_PlannedOrders[Part Name]=$A453)*(T_PlannedOrders[WeekIndex]=79)*(T_PlannedOrders[EffectiveQty]&gt;0)*T_PlannedOrders[Order_Month])),"m月")&amp;"発注)")</f>
        <v/>
      </c>
      <c r="CE471">
        <f>IF(SUMIFS(T_PlannedOrders[EffectiveQty],T_PlannedOrders[Part Name],$A453,T_PlannedOrders[WeekIndex],80)=0,"",SUMIFS(T_PlannedOrders[EffectiveQty],T_PlannedOrders[Part Name],$A453,T_PlannedOrders[WeekIndex],80)&amp;" ("&amp;TEXT(SUMPRODUCT(MAX((T_PlannedOrders[Part Name]=$A453)*(T_PlannedOrders[WeekIndex]=80)*(T_PlannedOrders[EffectiveQty]&gt;0)*T_PlannedOrders[Order_Month])),"m月")&amp;"発注)")</f>
        <v/>
      </c>
      <c r="CF471">
        <f>IF(SUMIFS(T_PlannedOrders[EffectiveQty],T_PlannedOrders[Part Name],$A453,T_PlannedOrders[WeekIndex],81)=0,"",SUMIFS(T_PlannedOrders[EffectiveQty],T_PlannedOrders[Part Name],$A453,T_PlannedOrders[WeekIndex],81)&amp;" ("&amp;TEXT(SUMPRODUCT(MAX((T_PlannedOrders[Part Name]=$A453)*(T_PlannedOrders[WeekIndex]=81)*(T_PlannedOrders[EffectiveQty]&gt;0)*T_PlannedOrders[Order_Month])),"m月")&amp;"発注)")</f>
        <v/>
      </c>
      <c r="CG471">
        <f>IF(SUMIFS(T_PlannedOrders[EffectiveQty],T_PlannedOrders[Part Name],$A453,T_PlannedOrders[WeekIndex],82)=0,"",SUMIFS(T_PlannedOrders[EffectiveQty],T_PlannedOrders[Part Name],$A453,T_PlannedOrders[WeekIndex],82)&amp;" ("&amp;TEXT(SUMPRODUCT(MAX((T_PlannedOrders[Part Name]=$A453)*(T_PlannedOrders[WeekIndex]=82)*(T_PlannedOrders[EffectiveQty]&gt;0)*T_PlannedOrders[Order_Month])),"m月")&amp;"発注)")</f>
        <v/>
      </c>
      <c r="CH471">
        <f>IF(SUMIFS(T_PlannedOrders[EffectiveQty],T_PlannedOrders[Part Name],$A453,T_PlannedOrders[WeekIndex],83)=0,"",SUMIFS(T_PlannedOrders[EffectiveQty],T_PlannedOrders[Part Name],$A453,T_PlannedOrders[WeekIndex],83)&amp;" ("&amp;TEXT(SUMPRODUCT(MAX((T_PlannedOrders[Part Name]=$A453)*(T_PlannedOrders[WeekIndex]=83)*(T_PlannedOrders[EffectiveQty]&gt;0)*T_PlannedOrders[Order_Month])),"m月")&amp;"発注)")</f>
        <v/>
      </c>
      <c r="CI471">
        <f>IF(SUMIFS(T_PlannedOrders[EffectiveQty],T_PlannedOrders[Part Name],$A453,T_PlannedOrders[WeekIndex],84)=0,"",SUMIFS(T_PlannedOrders[EffectiveQty],T_PlannedOrders[Part Name],$A453,T_PlannedOrders[WeekIndex],84)&amp;" ("&amp;TEXT(SUMPRODUCT(MAX((T_PlannedOrders[Part Name]=$A453)*(T_PlannedOrders[WeekIndex]=84)*(T_PlannedOrders[EffectiveQty]&gt;0)*T_PlannedOrders[Order_Month])),"m月")&amp;"発注)")</f>
        <v/>
      </c>
      <c r="CJ471">
        <f>IF(SUMIFS(T_PlannedOrders[EffectiveQty],T_PlannedOrders[Part Name],$A453,T_PlannedOrders[WeekIndex],85)=0,"",SUMIFS(T_PlannedOrders[EffectiveQty],T_PlannedOrders[Part Name],$A453,T_PlannedOrders[WeekIndex],85)&amp;" ("&amp;TEXT(SUMPRODUCT(MAX((T_PlannedOrders[Part Name]=$A453)*(T_PlannedOrders[WeekIndex]=85)*(T_PlannedOrders[EffectiveQty]&gt;0)*T_PlannedOrders[Order_Month])),"m月")&amp;"発注)")</f>
        <v/>
      </c>
      <c r="CK471">
        <f>IF(SUMIFS(T_PlannedOrders[EffectiveQty],T_PlannedOrders[Part Name],$A453,T_PlannedOrders[WeekIndex],86)=0,"",SUMIFS(T_PlannedOrders[EffectiveQty],T_PlannedOrders[Part Name],$A453,T_PlannedOrders[WeekIndex],86)&amp;" ("&amp;TEXT(SUMPRODUCT(MAX((T_PlannedOrders[Part Name]=$A453)*(T_PlannedOrders[WeekIndex]=86)*(T_PlannedOrders[EffectiveQty]&gt;0)*T_PlannedOrders[Order_Month])),"m月")&amp;"発注)")</f>
        <v/>
      </c>
      <c r="CL471">
        <f>IF(SUMIFS(T_PlannedOrders[EffectiveQty],T_PlannedOrders[Part Name],$A453,T_PlannedOrders[WeekIndex],87)=0,"",SUMIFS(T_PlannedOrders[EffectiveQty],T_PlannedOrders[Part Name],$A453,T_PlannedOrders[WeekIndex],87)&amp;" ("&amp;TEXT(SUMPRODUCT(MAX((T_PlannedOrders[Part Name]=$A453)*(T_PlannedOrders[WeekIndex]=87)*(T_PlannedOrders[EffectiveQty]&gt;0)*T_PlannedOrders[Order_Month])),"m月")&amp;"発注)")</f>
        <v/>
      </c>
      <c r="CM471">
        <f>IF(SUMIFS(T_PlannedOrders[EffectiveQty],T_PlannedOrders[Part Name],$A453,T_PlannedOrders[WeekIndex],88)=0,"",SUMIFS(T_PlannedOrders[EffectiveQty],T_PlannedOrders[Part Name],$A453,T_PlannedOrders[WeekIndex],88)&amp;" ("&amp;TEXT(SUMPRODUCT(MAX((T_PlannedOrders[Part Name]=$A453)*(T_PlannedOrders[WeekIndex]=88)*(T_PlannedOrders[EffectiveQty]&gt;0)*T_PlannedOrders[Order_Month])),"m月")&amp;"発注)")</f>
        <v/>
      </c>
      <c r="CN471">
        <f>IF(SUMIFS(T_PlannedOrders[EffectiveQty],T_PlannedOrders[Part Name],$A453,T_PlannedOrders[WeekIndex],89)=0,"",SUMIFS(T_PlannedOrders[EffectiveQty],T_PlannedOrders[Part Name],$A453,T_PlannedOrders[WeekIndex],89)&amp;" ("&amp;TEXT(SUMPRODUCT(MAX((T_PlannedOrders[Part Name]=$A453)*(T_PlannedOrders[WeekIndex]=89)*(T_PlannedOrders[EffectiveQty]&gt;0)*T_PlannedOrders[Order_Month])),"m月")&amp;"発注)")</f>
        <v/>
      </c>
      <c r="CO471">
        <f>IF(SUMIFS(T_PlannedOrders[EffectiveQty],T_PlannedOrders[Part Name],$A453,T_PlannedOrders[WeekIndex],90)=0,"",SUMIFS(T_PlannedOrders[EffectiveQty],T_PlannedOrders[Part Name],$A453,T_PlannedOrders[WeekIndex],90)&amp;" ("&amp;TEXT(SUMPRODUCT(MAX((T_PlannedOrders[Part Name]=$A453)*(T_PlannedOrders[WeekIndex]=90)*(T_PlannedOrders[EffectiveQty]&gt;0)*T_PlannedOrders[Order_Month])),"m月")&amp;"発注)")</f>
        <v/>
      </c>
      <c r="CP471">
        <f>IF(SUMIFS(T_PlannedOrders[EffectiveQty],T_PlannedOrders[Part Name],$A453,T_PlannedOrders[WeekIndex],91)=0,"",SUMIFS(T_PlannedOrders[EffectiveQty],T_PlannedOrders[Part Name],$A453,T_PlannedOrders[WeekIndex],91)&amp;" ("&amp;TEXT(SUMPRODUCT(MAX((T_PlannedOrders[Part Name]=$A453)*(T_PlannedOrders[WeekIndex]=91)*(T_PlannedOrders[EffectiveQty]&gt;0)*T_PlannedOrders[Order_Month])),"m月")&amp;"発注)")</f>
        <v/>
      </c>
      <c r="CQ471">
        <f>IF(SUMIFS(T_PlannedOrders[EffectiveQty],T_PlannedOrders[Part Name],$A453,T_PlannedOrders[WeekIndex],92)=0,"",SUMIFS(T_PlannedOrders[EffectiveQty],T_PlannedOrders[Part Name],$A453,T_PlannedOrders[WeekIndex],92)&amp;" ("&amp;TEXT(SUMPRODUCT(MAX((T_PlannedOrders[Part Name]=$A453)*(T_PlannedOrders[WeekIndex]=92)*(T_PlannedOrders[EffectiveQty]&gt;0)*T_PlannedOrders[Order_Month])),"m月")&amp;"発注)")</f>
        <v/>
      </c>
      <c r="CR471">
        <f>IF(SUMIFS(T_PlannedOrders[EffectiveQty],T_PlannedOrders[Part Name],$A453,T_PlannedOrders[WeekIndex],93)=0,"",SUMIFS(T_PlannedOrders[EffectiveQty],T_PlannedOrders[Part Name],$A453,T_PlannedOrders[WeekIndex],93)&amp;" ("&amp;TEXT(SUMPRODUCT(MAX((T_PlannedOrders[Part Name]=$A453)*(T_PlannedOrders[WeekIndex]=93)*(T_PlannedOrders[EffectiveQty]&gt;0)*T_PlannedOrders[Order_Month])),"m月")&amp;"発注)")</f>
        <v/>
      </c>
      <c r="CS471">
        <f>IF(SUMIFS(T_PlannedOrders[EffectiveQty],T_PlannedOrders[Part Name],$A453,T_PlannedOrders[WeekIndex],94)=0,"",SUMIFS(T_PlannedOrders[EffectiveQty],T_PlannedOrders[Part Name],$A453,T_PlannedOrders[WeekIndex],94)&amp;" ("&amp;TEXT(SUMPRODUCT(MAX((T_PlannedOrders[Part Name]=$A453)*(T_PlannedOrders[WeekIndex]=94)*(T_PlannedOrders[EffectiveQty]&gt;0)*T_PlannedOrders[Order_Month])),"m月")&amp;"発注)")</f>
        <v/>
      </c>
      <c r="CT471">
        <f>IF(SUMIFS(T_PlannedOrders[EffectiveQty],T_PlannedOrders[Part Name],$A453,T_PlannedOrders[WeekIndex],95)=0,"",SUMIFS(T_PlannedOrders[EffectiveQty],T_PlannedOrders[Part Name],$A453,T_PlannedOrders[WeekIndex],95)&amp;" ("&amp;TEXT(SUMPRODUCT(MAX((T_PlannedOrders[Part Name]=$A453)*(T_PlannedOrders[WeekIndex]=95)*(T_PlannedOrders[EffectiveQty]&gt;0)*T_PlannedOrders[Order_Month])),"m月")&amp;"発注)")</f>
        <v/>
      </c>
      <c r="CU471">
        <f>IF(SUMIFS(T_PlannedOrders[EffectiveQty],T_PlannedOrders[Part Name],$A453,T_PlannedOrders[WeekIndex],96)=0,"",SUMIFS(T_PlannedOrders[EffectiveQty],T_PlannedOrders[Part Name],$A453,T_PlannedOrders[WeekIndex],96)&amp;" ("&amp;TEXT(SUMPRODUCT(MAX((T_PlannedOrders[Part Name]=$A453)*(T_PlannedOrders[WeekIndex]=96)*(T_PlannedOrders[EffectiveQty]&gt;0)*T_PlannedOrders[Order_Month])),"m月")&amp;"発注)")</f>
        <v/>
      </c>
      <c r="CV471">
        <f>IF(SUMIFS(T_PlannedOrders[EffectiveQty],T_PlannedOrders[Part Name],$A453,T_PlannedOrders[WeekIndex],97)=0,"",SUMIFS(T_PlannedOrders[EffectiveQty],T_PlannedOrders[Part Name],$A453,T_PlannedOrders[WeekIndex],97)&amp;" ("&amp;TEXT(SUMPRODUCT(MAX((T_PlannedOrders[Part Name]=$A453)*(T_PlannedOrders[WeekIndex]=97)*(T_PlannedOrders[EffectiveQty]&gt;0)*T_PlannedOrders[Order_Month])),"m月")&amp;"発注)")</f>
        <v/>
      </c>
      <c r="CW471">
        <f>IF(SUMIFS(T_PlannedOrders[EffectiveQty],T_PlannedOrders[Part Name],$A453,T_PlannedOrders[WeekIndex],98)=0,"",SUMIFS(T_PlannedOrders[EffectiveQty],T_PlannedOrders[Part Name],$A453,T_PlannedOrders[WeekIndex],98)&amp;" ("&amp;TEXT(SUMPRODUCT(MAX((T_PlannedOrders[Part Name]=$A453)*(T_PlannedOrders[WeekIndex]=98)*(T_PlannedOrders[EffectiveQty]&gt;0)*T_PlannedOrders[Order_Month])),"m月")&amp;"発注)")</f>
        <v/>
      </c>
      <c r="CX471">
        <f>IF(SUMIFS(T_PlannedOrders[EffectiveQty],T_PlannedOrders[Part Name],$A453,T_PlannedOrders[WeekIndex],99)=0,"",SUMIFS(T_PlannedOrders[EffectiveQty],T_PlannedOrders[Part Name],$A453,T_PlannedOrders[WeekIndex],99)&amp;" ("&amp;TEXT(SUMPRODUCT(MAX((T_PlannedOrders[Part Name]=$A453)*(T_PlannedOrders[WeekIndex]=99)*(T_PlannedOrders[EffectiveQty]&gt;0)*T_PlannedOrders[Order_Month])),"m月")&amp;"発注)")</f>
        <v/>
      </c>
      <c r="CY471">
        <f>IF(SUMIFS(T_PlannedOrders[EffectiveQty],T_PlannedOrders[Part Name],$A453,T_PlannedOrders[WeekIndex],100)=0,"",SUMIFS(T_PlannedOrders[EffectiveQty],T_PlannedOrders[Part Name],$A453,T_PlannedOrders[WeekIndex],100)&amp;" ("&amp;TEXT(SUMPRODUCT(MAX((T_PlannedOrders[Part Name]=$A453)*(T_PlannedOrders[WeekIndex]=100)*(T_PlannedOrders[EffectiveQty]&gt;0)*T_PlannedOrders[Order_Month])),"m月")&amp;"発注)")</f>
        <v/>
      </c>
      <c r="CZ471">
        <f>IF(SUMIFS(T_PlannedOrders[EffectiveQty],T_PlannedOrders[Part Name],$A453,T_PlannedOrders[WeekIndex],101)=0,"",SUMIFS(T_PlannedOrders[EffectiveQty],T_PlannedOrders[Part Name],$A453,T_PlannedOrders[WeekIndex],101)&amp;" ("&amp;TEXT(SUMPRODUCT(MAX((T_PlannedOrders[Part Name]=$A453)*(T_PlannedOrders[WeekIndex]=101)*(T_PlannedOrders[EffectiveQty]&gt;0)*T_PlannedOrders[Order_Month])),"m月")&amp;"発注)")</f>
        <v/>
      </c>
      <c r="DA471">
        <f>IF(SUMIFS(T_PlannedOrders[EffectiveQty],T_PlannedOrders[Part Name],$A453,T_PlannedOrders[WeekIndex],102)=0,"",SUMIFS(T_PlannedOrders[EffectiveQty],T_PlannedOrders[Part Name],$A453,T_PlannedOrders[WeekIndex],102)&amp;" ("&amp;TEXT(SUMPRODUCT(MAX((T_PlannedOrders[Part Name]=$A453)*(T_PlannedOrders[WeekIndex]=102)*(T_PlannedOrders[EffectiveQty]&gt;0)*T_PlannedOrders[Order_Month])),"m月")&amp;"発注)")</f>
        <v/>
      </c>
      <c r="DB471">
        <f>IF(SUMIFS(T_PlannedOrders[EffectiveQty],T_PlannedOrders[Part Name],$A453,T_PlannedOrders[WeekIndex],103)=0,"",SUMIFS(T_PlannedOrders[EffectiveQty],T_PlannedOrders[Part Name],$A453,T_PlannedOrders[WeekIndex],103)&amp;" ("&amp;TEXT(SUMPRODUCT(MAX((T_PlannedOrders[Part Name]=$A453)*(T_PlannedOrders[WeekIndex]=103)*(T_PlannedOrders[EffectiveQty]&gt;0)*T_PlannedOrders[Order_Month])),"m月")&amp;"発注)")</f>
        <v/>
      </c>
      <c r="DC471">
        <f>IF(SUMIFS(T_PlannedOrders[EffectiveQty],T_PlannedOrders[Part Name],$A453,T_PlannedOrders[WeekIndex],104)=0,"",SUMIFS(T_PlannedOrders[EffectiveQty],T_PlannedOrders[Part Name],$A453,T_PlannedOrders[WeekIndex],104)&amp;" ("&amp;TEXT(SUMPRODUCT(MAX((T_PlannedOrders[Part Name]=$A453)*(T_PlannedOrders[WeekIndex]=104)*(T_PlannedOrders[EffectiveQty]&gt;0)*T_PlannedOrders[Order_Month])),"m月")&amp;"発注)")</f>
        <v/>
      </c>
    </row>
    <row r="472">
      <c r="B472" s="4" t="inlineStr">
        <is>
          <t>合計在庫(週末時点,kg)</t>
        </is>
      </c>
      <c r="D472">
        <f>'Grid_Stock'!B32</f>
        <v/>
      </c>
      <c r="E472">
        <f>'Grid_Stock'!C32</f>
        <v/>
      </c>
      <c r="F472">
        <f>'Grid_Stock'!D32</f>
        <v/>
      </c>
      <c r="G472">
        <f>'Grid_Stock'!E32</f>
        <v/>
      </c>
      <c r="H472">
        <f>'Grid_Stock'!F32</f>
        <v/>
      </c>
      <c r="I472">
        <f>'Grid_Stock'!G32</f>
        <v/>
      </c>
      <c r="J472">
        <f>'Grid_Stock'!H32</f>
        <v/>
      </c>
      <c r="K472">
        <f>'Grid_Stock'!I32</f>
        <v/>
      </c>
      <c r="L472">
        <f>'Grid_Stock'!J32</f>
        <v/>
      </c>
      <c r="M472">
        <f>'Grid_Stock'!K32</f>
        <v/>
      </c>
      <c r="N472">
        <f>'Grid_Stock'!L32</f>
        <v/>
      </c>
      <c r="O472">
        <f>'Grid_Stock'!M32</f>
        <v/>
      </c>
      <c r="P472">
        <f>'Grid_Stock'!N32</f>
        <v/>
      </c>
      <c r="Q472">
        <f>'Grid_Stock'!O32</f>
        <v/>
      </c>
      <c r="R472">
        <f>'Grid_Stock'!P32</f>
        <v/>
      </c>
      <c r="S472">
        <f>'Grid_Stock'!Q32</f>
        <v/>
      </c>
      <c r="T472">
        <f>'Grid_Stock'!R32</f>
        <v/>
      </c>
      <c r="U472">
        <f>'Grid_Stock'!S32</f>
        <v/>
      </c>
      <c r="V472">
        <f>'Grid_Stock'!T32</f>
        <v/>
      </c>
      <c r="W472">
        <f>'Grid_Stock'!U32</f>
        <v/>
      </c>
      <c r="X472">
        <f>'Grid_Stock'!V32</f>
        <v/>
      </c>
      <c r="Y472">
        <f>'Grid_Stock'!W32</f>
        <v/>
      </c>
      <c r="Z472">
        <f>'Grid_Stock'!X32</f>
        <v/>
      </c>
      <c r="AA472">
        <f>'Grid_Stock'!Y32</f>
        <v/>
      </c>
      <c r="AB472">
        <f>'Grid_Stock'!Z32</f>
        <v/>
      </c>
      <c r="AC472">
        <f>'Grid_Stock'!AA32</f>
        <v/>
      </c>
      <c r="AD472">
        <f>'Grid_Stock'!AB32</f>
        <v/>
      </c>
      <c r="AE472">
        <f>'Grid_Stock'!AC32</f>
        <v/>
      </c>
      <c r="AF472">
        <f>'Grid_Stock'!AD32</f>
        <v/>
      </c>
      <c r="AG472">
        <f>'Grid_Stock'!AE32</f>
        <v/>
      </c>
      <c r="AH472">
        <f>'Grid_Stock'!AF32</f>
        <v/>
      </c>
      <c r="AI472">
        <f>'Grid_Stock'!AG32</f>
        <v/>
      </c>
      <c r="AJ472">
        <f>'Grid_Stock'!AH32</f>
        <v/>
      </c>
      <c r="AK472">
        <f>'Grid_Stock'!AI32</f>
        <v/>
      </c>
      <c r="AL472">
        <f>'Grid_Stock'!AJ32</f>
        <v/>
      </c>
      <c r="AM472">
        <f>'Grid_Stock'!AK32</f>
        <v/>
      </c>
      <c r="AN472">
        <f>'Grid_Stock'!AL32</f>
        <v/>
      </c>
      <c r="AO472">
        <f>'Grid_Stock'!AM32</f>
        <v/>
      </c>
      <c r="AP472">
        <f>'Grid_Stock'!AN32</f>
        <v/>
      </c>
      <c r="AQ472">
        <f>'Grid_Stock'!AO32</f>
        <v/>
      </c>
      <c r="AR472">
        <f>'Grid_Stock'!AP32</f>
        <v/>
      </c>
      <c r="AS472">
        <f>'Grid_Stock'!AQ32</f>
        <v/>
      </c>
      <c r="AT472">
        <f>'Grid_Stock'!AR32</f>
        <v/>
      </c>
      <c r="AU472">
        <f>'Grid_Stock'!AS32</f>
        <v/>
      </c>
      <c r="AV472">
        <f>'Grid_Stock'!AT32</f>
        <v/>
      </c>
      <c r="AW472">
        <f>'Grid_Stock'!AU32</f>
        <v/>
      </c>
      <c r="AX472">
        <f>'Grid_Stock'!AV32</f>
        <v/>
      </c>
      <c r="AY472">
        <f>'Grid_Stock'!AW32</f>
        <v/>
      </c>
      <c r="AZ472">
        <f>'Grid_Stock'!AX32</f>
        <v/>
      </c>
      <c r="BA472">
        <f>'Grid_Stock'!AY32</f>
        <v/>
      </c>
      <c r="BB472">
        <f>'Grid_Stock'!AZ32</f>
        <v/>
      </c>
      <c r="BC472">
        <f>'Grid_Stock'!BA32</f>
        <v/>
      </c>
      <c r="BD472">
        <f>'Grid_Stock'!BB32</f>
        <v/>
      </c>
      <c r="BE472">
        <f>'Grid_Stock'!BC32</f>
        <v/>
      </c>
      <c r="BF472">
        <f>'Grid_Stock'!BD32</f>
        <v/>
      </c>
      <c r="BG472">
        <f>'Grid_Stock'!BE32</f>
        <v/>
      </c>
      <c r="BH472">
        <f>'Grid_Stock'!BF32</f>
        <v/>
      </c>
      <c r="BI472">
        <f>'Grid_Stock'!BG32</f>
        <v/>
      </c>
      <c r="BJ472">
        <f>'Grid_Stock'!BH32</f>
        <v/>
      </c>
      <c r="BK472">
        <f>'Grid_Stock'!BI32</f>
        <v/>
      </c>
      <c r="BL472">
        <f>'Grid_Stock'!BJ32</f>
        <v/>
      </c>
      <c r="BM472">
        <f>'Grid_Stock'!BK32</f>
        <v/>
      </c>
      <c r="BN472">
        <f>'Grid_Stock'!BL32</f>
        <v/>
      </c>
      <c r="BO472">
        <f>'Grid_Stock'!BM32</f>
        <v/>
      </c>
      <c r="BP472">
        <f>'Grid_Stock'!BN32</f>
        <v/>
      </c>
      <c r="BQ472">
        <f>'Grid_Stock'!BO32</f>
        <v/>
      </c>
      <c r="BR472">
        <f>'Grid_Stock'!BP32</f>
        <v/>
      </c>
      <c r="BS472">
        <f>'Grid_Stock'!BQ32</f>
        <v/>
      </c>
      <c r="BT472">
        <f>'Grid_Stock'!BR32</f>
        <v/>
      </c>
      <c r="BU472">
        <f>'Grid_Stock'!BS32</f>
        <v/>
      </c>
      <c r="BV472">
        <f>'Grid_Stock'!BT32</f>
        <v/>
      </c>
      <c r="BW472">
        <f>'Grid_Stock'!BU32</f>
        <v/>
      </c>
      <c r="BX472">
        <f>'Grid_Stock'!BV32</f>
        <v/>
      </c>
      <c r="BY472">
        <f>'Grid_Stock'!BW32</f>
        <v/>
      </c>
      <c r="BZ472">
        <f>'Grid_Stock'!BX32</f>
        <v/>
      </c>
      <c r="CA472">
        <f>'Grid_Stock'!BY32</f>
        <v/>
      </c>
      <c r="CB472">
        <f>'Grid_Stock'!BZ32</f>
        <v/>
      </c>
      <c r="CC472">
        <f>'Grid_Stock'!CA32</f>
        <v/>
      </c>
      <c r="CD472">
        <f>'Grid_Stock'!CB32</f>
        <v/>
      </c>
      <c r="CE472">
        <f>'Grid_Stock'!CC32</f>
        <v/>
      </c>
      <c r="CF472">
        <f>'Grid_Stock'!CD32</f>
        <v/>
      </c>
      <c r="CG472">
        <f>'Grid_Stock'!CE32</f>
        <v/>
      </c>
      <c r="CH472">
        <f>'Grid_Stock'!CF32</f>
        <v/>
      </c>
      <c r="CI472">
        <f>'Grid_Stock'!CG32</f>
        <v/>
      </c>
      <c r="CJ472">
        <f>'Grid_Stock'!CH32</f>
        <v/>
      </c>
      <c r="CK472">
        <f>'Grid_Stock'!CI32</f>
        <v/>
      </c>
      <c r="CL472">
        <f>'Grid_Stock'!CJ32</f>
        <v/>
      </c>
      <c r="CM472">
        <f>'Grid_Stock'!CK32</f>
        <v/>
      </c>
      <c r="CN472">
        <f>'Grid_Stock'!CL32</f>
        <v/>
      </c>
      <c r="CO472">
        <f>'Grid_Stock'!CM32</f>
        <v/>
      </c>
      <c r="CP472">
        <f>'Grid_Stock'!CN32</f>
        <v/>
      </c>
      <c r="CQ472">
        <f>'Grid_Stock'!CO32</f>
        <v/>
      </c>
      <c r="CR472">
        <f>'Grid_Stock'!CP32</f>
        <v/>
      </c>
      <c r="CS472">
        <f>'Grid_Stock'!CQ32</f>
        <v/>
      </c>
      <c r="CT472">
        <f>'Grid_Stock'!CR32</f>
        <v/>
      </c>
      <c r="CU472">
        <f>'Grid_Stock'!CS32</f>
        <v/>
      </c>
      <c r="CV472">
        <f>'Grid_Stock'!CT32</f>
        <v/>
      </c>
      <c r="CW472">
        <f>'Grid_Stock'!CU32</f>
        <v/>
      </c>
      <c r="CX472">
        <f>'Grid_Stock'!CV32</f>
        <v/>
      </c>
      <c r="CY472">
        <f>'Grid_Stock'!CW32</f>
        <v/>
      </c>
      <c r="CZ472">
        <f>'Grid_Stock'!CX32</f>
        <v/>
      </c>
      <c r="DA472">
        <f>'Grid_Stock'!CY32</f>
        <v/>
      </c>
      <c r="DB472">
        <f>'Grid_Stock'!CZ32</f>
        <v/>
      </c>
      <c r="DC472">
        <f>'Grid_Stock'!DA32</f>
        <v/>
      </c>
    </row>
    <row r="473">
      <c r="B473" s="16" t="inlineStr">
        <is>
          <t>（発注の目安はDashboardの基準在庫[下限/上限]と色分けを参照）</t>
        </is>
      </c>
    </row>
    <row r="475">
      <c r="A475" s="14" t="inlineStr">
        <is>
          <t>CHEM-1480</t>
        </is>
      </c>
      <c r="B475" s="14" t="inlineStr">
        <is>
          <t>NAT-30</t>
        </is>
      </c>
      <c r="C475" s="15" t="n"/>
      <c r="D475" s="14" t="n"/>
      <c r="E475" s="14" t="n"/>
      <c r="F475" s="14" t="n"/>
      <c r="G475" s="14" t="n"/>
      <c r="H475" s="14" t="n"/>
      <c r="I475" s="14" t="n"/>
      <c r="J475" s="14" t="n"/>
      <c r="K475" s="14" t="n"/>
      <c r="L475" s="14" t="n"/>
      <c r="M475" s="14" t="n"/>
      <c r="N475" s="14" t="n"/>
      <c r="O475" s="14" t="n"/>
      <c r="P475" s="14" t="n"/>
      <c r="Q475" s="14" t="n"/>
      <c r="R475" s="14" t="n"/>
      <c r="S475" s="14" t="n"/>
      <c r="T475" s="14" t="n"/>
      <c r="U475" s="14" t="n"/>
      <c r="V475" s="14" t="n"/>
      <c r="W475" s="14" t="n"/>
      <c r="X475" s="14" t="n"/>
      <c r="Y475" s="14" t="n"/>
      <c r="Z475" s="14" t="n"/>
      <c r="AA475" s="14" t="n"/>
      <c r="AB475" s="14" t="n"/>
      <c r="AC475" s="14" t="n"/>
      <c r="AD475" s="14" t="n"/>
      <c r="AE475" s="14" t="n"/>
      <c r="AF475" s="14" t="n"/>
      <c r="AG475" s="14" t="n"/>
      <c r="AH475" s="14" t="n"/>
      <c r="AI475" s="14" t="n"/>
      <c r="AJ475" s="14" t="n"/>
      <c r="AK475" s="14" t="n"/>
      <c r="AL475" s="14" t="n"/>
      <c r="AM475" s="14" t="n"/>
      <c r="AN475" s="14" t="n"/>
      <c r="AO475" s="14" t="n"/>
      <c r="AP475" s="14" t="n"/>
      <c r="AQ475" s="14" t="n"/>
      <c r="AR475" s="14" t="n"/>
      <c r="AS475" s="14" t="n"/>
      <c r="AT475" s="14" t="n"/>
      <c r="AU475" s="14" t="n"/>
      <c r="AV475" s="14" t="n"/>
      <c r="AW475" s="14" t="n"/>
      <c r="AX475" s="14" t="n"/>
      <c r="AY475" s="14" t="n"/>
      <c r="AZ475" s="14" t="n"/>
      <c r="BA475" s="14" t="n"/>
      <c r="BB475" s="14" t="n"/>
      <c r="BC475" s="14" t="n"/>
      <c r="BD475" s="14" t="n"/>
      <c r="BE475" s="14" t="n"/>
      <c r="BF475" s="14" t="n"/>
      <c r="BG475" s="14" t="n"/>
      <c r="BH475" s="14" t="n"/>
      <c r="BI475" s="14" t="n"/>
      <c r="BJ475" s="14" t="n"/>
      <c r="BK475" s="14" t="n"/>
      <c r="BL475" s="14" t="n"/>
      <c r="BM475" s="14" t="n"/>
      <c r="BN475" s="14" t="n"/>
      <c r="BO475" s="14" t="n"/>
      <c r="BP475" s="14" t="n"/>
      <c r="BQ475" s="14" t="n"/>
      <c r="BR475" s="14" t="n"/>
      <c r="BS475" s="14" t="n"/>
      <c r="BT475" s="14" t="n"/>
      <c r="BU475" s="14" t="n"/>
      <c r="BV475" s="14" t="n"/>
      <c r="BW475" s="14" t="n"/>
      <c r="BX475" s="14" t="n"/>
      <c r="BY475" s="14" t="n"/>
      <c r="BZ475" s="14" t="n"/>
      <c r="CA475" s="14" t="n"/>
      <c r="CB475" s="14" t="n"/>
      <c r="CC475" s="14" t="n"/>
      <c r="CD475" s="14" t="n"/>
      <c r="CE475" s="14" t="n"/>
      <c r="CF475" s="14" t="n"/>
      <c r="CG475" s="14" t="n"/>
      <c r="CH475" s="14" t="n"/>
      <c r="CI475" s="14" t="n"/>
      <c r="CJ475" s="14" t="n"/>
      <c r="CK475" s="14" t="n"/>
      <c r="CL475" s="14" t="n"/>
      <c r="CM475" s="14" t="n"/>
      <c r="CN475" s="14" t="n"/>
      <c r="CO475" s="14" t="n"/>
      <c r="CP475" s="14" t="n"/>
      <c r="CQ475" s="14" t="n"/>
      <c r="CR475" s="14" t="n"/>
      <c r="CS475" s="14" t="n"/>
      <c r="CT475" s="14" t="n"/>
      <c r="CU475" s="14" t="n"/>
      <c r="CV475" s="14" t="n"/>
      <c r="CW475" s="14" t="n"/>
      <c r="CX475" s="14" t="n"/>
      <c r="CY475" s="14" t="n"/>
      <c r="CZ475" s="14" t="n"/>
      <c r="DA475" s="14" t="n"/>
      <c r="DB475" s="14" t="n"/>
      <c r="DC475" s="14" t="n"/>
    </row>
    <row r="476">
      <c r="B476" t="inlineStr">
        <is>
          <t>TSP-206</t>
        </is>
      </c>
      <c r="C476" t="inlineStr">
        <is>
          <t>No. of batches</t>
        </is>
      </c>
      <c r="D476">
        <f>IFERROR(INDEX(PP_Grid[#Data],$DD476,2),0)</f>
        <v/>
      </c>
      <c r="E476">
        <f>IFERROR(INDEX(PP_Grid[#Data],$DD476,3),0)</f>
        <v/>
      </c>
      <c r="F476">
        <f>IFERROR(INDEX(PP_Grid[#Data],$DD476,4),0)</f>
        <v/>
      </c>
      <c r="G476">
        <f>IFERROR(INDEX(PP_Grid[#Data],$DD476,5),0)</f>
        <v/>
      </c>
      <c r="H476">
        <f>IFERROR(INDEX(PP_Grid[#Data],$DD476,6),0)</f>
        <v/>
      </c>
      <c r="I476">
        <f>IFERROR(INDEX(PP_Grid[#Data],$DD476,7),0)</f>
        <v/>
      </c>
      <c r="J476">
        <f>IFERROR(INDEX(PP_Grid[#Data],$DD476,8),0)</f>
        <v/>
      </c>
      <c r="K476">
        <f>IFERROR(INDEX(PP_Grid[#Data],$DD476,9),0)</f>
        <v/>
      </c>
      <c r="L476">
        <f>IFERROR(INDEX(PP_Grid[#Data],$DD476,10),0)</f>
        <v/>
      </c>
      <c r="M476">
        <f>IFERROR(INDEX(PP_Grid[#Data],$DD476,11),0)</f>
        <v/>
      </c>
      <c r="N476">
        <f>IFERROR(INDEX(PP_Grid[#Data],$DD476,12),0)</f>
        <v/>
      </c>
      <c r="O476">
        <f>IFERROR(INDEX(PP_Grid[#Data],$DD476,13),0)</f>
        <v/>
      </c>
      <c r="P476">
        <f>IFERROR(INDEX(PP_Grid[#Data],$DD476,14),0)</f>
        <v/>
      </c>
      <c r="Q476">
        <f>IFERROR(INDEX(PP_Grid[#Data],$DD476,15),0)</f>
        <v/>
      </c>
      <c r="R476">
        <f>IFERROR(INDEX(PP_Grid[#Data],$DD476,16),0)</f>
        <v/>
      </c>
      <c r="S476">
        <f>IFERROR(INDEX(PP_Grid[#Data],$DD476,17),0)</f>
        <v/>
      </c>
      <c r="T476">
        <f>IFERROR(INDEX(PP_Grid[#Data],$DD476,18),0)</f>
        <v/>
      </c>
      <c r="U476">
        <f>IFERROR(INDEX(PP_Grid[#Data],$DD476,19),0)</f>
        <v/>
      </c>
      <c r="V476">
        <f>IFERROR(INDEX(PP_Grid[#Data],$DD476,20),0)</f>
        <v/>
      </c>
      <c r="W476">
        <f>IFERROR(INDEX(PP_Grid[#Data],$DD476,21),0)</f>
        <v/>
      </c>
      <c r="X476">
        <f>IFERROR(INDEX(PP_Grid[#Data],$DD476,22),0)</f>
        <v/>
      </c>
      <c r="Y476">
        <f>IFERROR(INDEX(PP_Grid[#Data],$DD476,23),0)</f>
        <v/>
      </c>
      <c r="Z476">
        <f>IFERROR(INDEX(PP_Grid[#Data],$DD476,24),0)</f>
        <v/>
      </c>
      <c r="AA476">
        <f>IFERROR(INDEX(PP_Grid[#Data],$DD476,25),0)</f>
        <v/>
      </c>
      <c r="AB476">
        <f>IFERROR(INDEX(PP_Grid[#Data],$DD476,26),0)</f>
        <v/>
      </c>
      <c r="AC476">
        <f>IFERROR(INDEX(PP_Grid[#Data],$DD476,27),0)</f>
        <v/>
      </c>
      <c r="AD476">
        <f>IFERROR(INDEX(PP_Grid[#Data],$DD476,28),0)</f>
        <v/>
      </c>
      <c r="AE476">
        <f>IFERROR(INDEX(PP_Grid[#Data],$DD476,29),0)</f>
        <v/>
      </c>
      <c r="AF476">
        <f>IFERROR(INDEX(PP_Grid[#Data],$DD476,30),0)</f>
        <v/>
      </c>
      <c r="AG476">
        <f>IFERROR(INDEX(PP_Grid[#Data],$DD476,31),0)</f>
        <v/>
      </c>
      <c r="AH476">
        <f>IFERROR(INDEX(PP_Grid[#Data],$DD476,32),0)</f>
        <v/>
      </c>
      <c r="AI476">
        <f>IFERROR(INDEX(PP_Grid[#Data],$DD476,33),0)</f>
        <v/>
      </c>
      <c r="AJ476">
        <f>IFERROR(INDEX(PP_Grid[#Data],$DD476,34),0)</f>
        <v/>
      </c>
      <c r="AK476">
        <f>IFERROR(INDEX(PP_Grid[#Data],$DD476,35),0)</f>
        <v/>
      </c>
      <c r="AL476">
        <f>IFERROR(INDEX(PP_Grid[#Data],$DD476,36),0)</f>
        <v/>
      </c>
      <c r="AM476">
        <f>IFERROR(INDEX(PP_Grid[#Data],$DD476,37),0)</f>
        <v/>
      </c>
      <c r="AN476">
        <f>IFERROR(INDEX(PP_Grid[#Data],$DD476,38),0)</f>
        <v/>
      </c>
      <c r="AO476">
        <f>IFERROR(INDEX(PP_Grid[#Data],$DD476,39),0)</f>
        <v/>
      </c>
      <c r="AP476">
        <f>IFERROR(INDEX(PP_Grid[#Data],$DD476,40),0)</f>
        <v/>
      </c>
      <c r="AQ476">
        <f>IFERROR(INDEX(PP_Grid[#Data],$DD476,41),0)</f>
        <v/>
      </c>
      <c r="AR476">
        <f>IFERROR(INDEX(PP_Grid[#Data],$DD476,42),0)</f>
        <v/>
      </c>
      <c r="AS476">
        <f>IFERROR(INDEX(PP_Grid[#Data],$DD476,43),0)</f>
        <v/>
      </c>
      <c r="AT476">
        <f>IFERROR(INDEX(PP_Grid[#Data],$DD476,44),0)</f>
        <v/>
      </c>
      <c r="AU476">
        <f>IFERROR(INDEX(PP_Grid[#Data],$DD476,45),0)</f>
        <v/>
      </c>
      <c r="AV476">
        <f>IFERROR(INDEX(PP_Grid[#Data],$DD476,46),0)</f>
        <v/>
      </c>
      <c r="AW476">
        <f>IFERROR(INDEX(PP_Grid[#Data],$DD476,47),0)</f>
        <v/>
      </c>
      <c r="AX476">
        <f>IFERROR(INDEX(PP_Grid[#Data],$DD476,48),0)</f>
        <v/>
      </c>
      <c r="AY476">
        <f>IFERROR(INDEX(PP_Grid[#Data],$DD476,49),0)</f>
        <v/>
      </c>
      <c r="AZ476">
        <f>IFERROR(INDEX(PP_Grid[#Data],$DD476,50),0)</f>
        <v/>
      </c>
      <c r="BA476">
        <f>IFERROR(INDEX(PP_Grid[#Data],$DD476,51),0)</f>
        <v/>
      </c>
      <c r="BB476">
        <f>IFERROR(INDEX(PP_Grid[#Data],$DD476,52),0)</f>
        <v/>
      </c>
      <c r="BC476">
        <f>IFERROR(INDEX(PP_Grid[#Data],$DD476,53),0)</f>
        <v/>
      </c>
      <c r="BD476">
        <f>IFERROR(INDEX(PP_Grid[#Data],$DD476,54),0)</f>
        <v/>
      </c>
      <c r="BE476">
        <f>IFERROR(INDEX(PP_Grid[#Data],$DD476,55),0)</f>
        <v/>
      </c>
      <c r="BF476">
        <f>IFERROR(INDEX(PP_Grid[#Data],$DD476,56),0)</f>
        <v/>
      </c>
      <c r="BG476">
        <f>IFERROR(INDEX(PP_Grid[#Data],$DD476,57),0)</f>
        <v/>
      </c>
      <c r="BH476">
        <f>IFERROR(INDEX(PP_Grid[#Data],$DD476,58),0)</f>
        <v/>
      </c>
      <c r="BI476">
        <f>IFERROR(INDEX(PP_Grid[#Data],$DD476,59),0)</f>
        <v/>
      </c>
      <c r="BJ476">
        <f>IFERROR(INDEX(PP_Grid[#Data],$DD476,60),0)</f>
        <v/>
      </c>
      <c r="BK476">
        <f>IFERROR(INDEX(PP_Grid[#Data],$DD476,61),0)</f>
        <v/>
      </c>
      <c r="BL476">
        <f>IFERROR(INDEX(PP_Grid[#Data],$DD476,62),0)</f>
        <v/>
      </c>
      <c r="BM476">
        <f>IFERROR(INDEX(PP_Grid[#Data],$DD476,63),0)</f>
        <v/>
      </c>
      <c r="BN476">
        <f>IFERROR(INDEX(PP_Grid[#Data],$DD476,64),0)</f>
        <v/>
      </c>
      <c r="BO476">
        <f>IFERROR(INDEX(PP_Grid[#Data],$DD476,65),0)</f>
        <v/>
      </c>
      <c r="BP476">
        <f>IFERROR(INDEX(PP_Grid[#Data],$DD476,66),0)</f>
        <v/>
      </c>
      <c r="BQ476">
        <f>IFERROR(INDEX(PP_Grid[#Data],$DD476,67),0)</f>
        <v/>
      </c>
      <c r="BR476">
        <f>IFERROR(INDEX(PP_Grid[#Data],$DD476,68),0)</f>
        <v/>
      </c>
      <c r="BS476">
        <f>IFERROR(INDEX(PP_Grid[#Data],$DD476,69),0)</f>
        <v/>
      </c>
      <c r="BT476">
        <f>IFERROR(INDEX(PP_Grid[#Data],$DD476,70),0)</f>
        <v/>
      </c>
      <c r="BU476">
        <f>IFERROR(INDEX(PP_Grid[#Data],$DD476,71),0)</f>
        <v/>
      </c>
      <c r="BV476">
        <f>IFERROR(INDEX(PP_Grid[#Data],$DD476,72),0)</f>
        <v/>
      </c>
      <c r="BW476">
        <f>IFERROR(INDEX(PP_Grid[#Data],$DD476,73),0)</f>
        <v/>
      </c>
      <c r="BX476">
        <f>IFERROR(INDEX(PP_Grid[#Data],$DD476,74),0)</f>
        <v/>
      </c>
      <c r="BY476">
        <f>IFERROR(INDEX(PP_Grid[#Data],$DD476,75),0)</f>
        <v/>
      </c>
      <c r="BZ476">
        <f>IFERROR(INDEX(PP_Grid[#Data],$DD476,76),0)</f>
        <v/>
      </c>
      <c r="CA476">
        <f>IFERROR(INDEX(PP_Grid[#Data],$DD476,77),0)</f>
        <v/>
      </c>
      <c r="CB476">
        <f>IFERROR(INDEX(PP_Grid[#Data],$DD476,78),0)</f>
        <v/>
      </c>
      <c r="CC476">
        <f>IFERROR(INDEX(PP_Grid[#Data],$DD476,79),0)</f>
        <v/>
      </c>
      <c r="CD476">
        <f>IFERROR(INDEX(PP_Grid[#Data],$DD476,80),0)</f>
        <v/>
      </c>
      <c r="CE476">
        <f>IFERROR(INDEX(PP_Grid[#Data],$DD476,81),0)</f>
        <v/>
      </c>
      <c r="CF476">
        <f>IFERROR(INDEX(PP_Grid[#Data],$DD476,82),0)</f>
        <v/>
      </c>
      <c r="CG476">
        <f>IFERROR(INDEX(PP_Grid[#Data],$DD476,83),0)</f>
        <v/>
      </c>
      <c r="CH476">
        <f>IFERROR(INDEX(PP_Grid[#Data],$DD476,84),0)</f>
        <v/>
      </c>
      <c r="CI476">
        <f>IFERROR(INDEX(PP_Grid[#Data],$DD476,85),0)</f>
        <v/>
      </c>
      <c r="CJ476">
        <f>IFERROR(INDEX(PP_Grid[#Data],$DD476,86),0)</f>
        <v/>
      </c>
      <c r="CK476">
        <f>IFERROR(INDEX(PP_Grid[#Data],$DD476,87),0)</f>
        <v/>
      </c>
      <c r="CL476">
        <f>IFERROR(INDEX(PP_Grid[#Data],$DD476,88),0)</f>
        <v/>
      </c>
      <c r="CM476">
        <f>IFERROR(INDEX(PP_Grid[#Data],$DD476,89),0)</f>
        <v/>
      </c>
      <c r="CN476">
        <f>IFERROR(INDEX(PP_Grid[#Data],$DD476,90),0)</f>
        <v/>
      </c>
      <c r="CO476">
        <f>IFERROR(INDEX(PP_Grid[#Data],$DD476,91),0)</f>
        <v/>
      </c>
      <c r="CP476">
        <f>IFERROR(INDEX(PP_Grid[#Data],$DD476,92),0)</f>
        <v/>
      </c>
      <c r="CQ476">
        <f>IFERROR(INDEX(PP_Grid[#Data],$DD476,93),0)</f>
        <v/>
      </c>
      <c r="CR476">
        <f>IFERROR(INDEX(PP_Grid[#Data],$DD476,94),0)</f>
        <v/>
      </c>
      <c r="CS476">
        <f>IFERROR(INDEX(PP_Grid[#Data],$DD476,95),0)</f>
        <v/>
      </c>
      <c r="CT476">
        <f>IFERROR(INDEX(PP_Grid[#Data],$DD476,96),0)</f>
        <v/>
      </c>
      <c r="CU476">
        <f>IFERROR(INDEX(PP_Grid[#Data],$DD476,97),0)</f>
        <v/>
      </c>
      <c r="CV476">
        <f>IFERROR(INDEX(PP_Grid[#Data],$DD476,98),0)</f>
        <v/>
      </c>
      <c r="CW476">
        <f>IFERROR(INDEX(PP_Grid[#Data],$DD476,99),0)</f>
        <v/>
      </c>
      <c r="CX476">
        <f>IFERROR(INDEX(PP_Grid[#Data],$DD476,100),0)</f>
        <v/>
      </c>
      <c r="CY476">
        <f>IFERROR(INDEX(PP_Grid[#Data],$DD476,101),0)</f>
        <v/>
      </c>
      <c r="CZ476">
        <f>IFERROR(INDEX(PP_Grid[#Data],$DD476,102),0)</f>
        <v/>
      </c>
      <c r="DA476">
        <f>IFERROR(INDEX(PP_Grid[#Data],$DD476,103),0)</f>
        <v/>
      </c>
      <c r="DB476">
        <f>IFERROR(INDEX(PP_Grid[#Data],$DD476,104),0)</f>
        <v/>
      </c>
      <c r="DC476">
        <f>IFERROR(INDEX(PP_Grid[#Data],$DD476,105),0)</f>
        <v/>
      </c>
      <c r="DD476" s="7">
        <f>IFERROR(MATCH($B476,PP_Grid[Intermediate],0),99999)</f>
        <v/>
      </c>
    </row>
    <row r="477">
      <c r="B477" t="inlineStr">
        <is>
          <t>使用量(kg)</t>
        </is>
      </c>
      <c r="C477">
        <f>SUMIFS(M_BOM[RM_Qty_Per_Batch],M_BOM[Intermediate],$B476,M_BOM[Part Name],$A475)</f>
        <v/>
      </c>
      <c r="D477">
        <f>$C477*D476</f>
        <v/>
      </c>
      <c r="E477">
        <f>$C477*E476</f>
        <v/>
      </c>
      <c r="F477">
        <f>$C477*F476</f>
        <v/>
      </c>
      <c r="G477">
        <f>$C477*G476</f>
        <v/>
      </c>
      <c r="H477">
        <f>$C477*H476</f>
        <v/>
      </c>
      <c r="I477">
        <f>$C477*I476</f>
        <v/>
      </c>
      <c r="J477">
        <f>$C477*J476</f>
        <v/>
      </c>
      <c r="K477">
        <f>$C477*K476</f>
        <v/>
      </c>
      <c r="L477">
        <f>$C477*L476</f>
        <v/>
      </c>
      <c r="M477">
        <f>$C477*M476</f>
        <v/>
      </c>
      <c r="N477">
        <f>$C477*N476</f>
        <v/>
      </c>
      <c r="O477">
        <f>$C477*O476</f>
        <v/>
      </c>
      <c r="P477">
        <f>$C477*P476</f>
        <v/>
      </c>
      <c r="Q477">
        <f>$C477*Q476</f>
        <v/>
      </c>
      <c r="R477">
        <f>$C477*R476</f>
        <v/>
      </c>
      <c r="S477">
        <f>$C477*S476</f>
        <v/>
      </c>
      <c r="T477">
        <f>$C477*T476</f>
        <v/>
      </c>
      <c r="U477">
        <f>$C477*U476</f>
        <v/>
      </c>
      <c r="V477">
        <f>$C477*V476</f>
        <v/>
      </c>
      <c r="W477">
        <f>$C477*W476</f>
        <v/>
      </c>
      <c r="X477">
        <f>$C477*X476</f>
        <v/>
      </c>
      <c r="Y477">
        <f>$C477*Y476</f>
        <v/>
      </c>
      <c r="Z477">
        <f>$C477*Z476</f>
        <v/>
      </c>
      <c r="AA477">
        <f>$C477*AA476</f>
        <v/>
      </c>
      <c r="AB477">
        <f>$C477*AB476</f>
        <v/>
      </c>
      <c r="AC477">
        <f>$C477*AC476</f>
        <v/>
      </c>
      <c r="AD477">
        <f>$C477*AD476</f>
        <v/>
      </c>
      <c r="AE477">
        <f>$C477*AE476</f>
        <v/>
      </c>
      <c r="AF477">
        <f>$C477*AF476</f>
        <v/>
      </c>
      <c r="AG477">
        <f>$C477*AG476</f>
        <v/>
      </c>
      <c r="AH477">
        <f>$C477*AH476</f>
        <v/>
      </c>
      <c r="AI477">
        <f>$C477*AI476</f>
        <v/>
      </c>
      <c r="AJ477">
        <f>$C477*AJ476</f>
        <v/>
      </c>
      <c r="AK477">
        <f>$C477*AK476</f>
        <v/>
      </c>
      <c r="AL477">
        <f>$C477*AL476</f>
        <v/>
      </c>
      <c r="AM477">
        <f>$C477*AM476</f>
        <v/>
      </c>
      <c r="AN477">
        <f>$C477*AN476</f>
        <v/>
      </c>
      <c r="AO477">
        <f>$C477*AO476</f>
        <v/>
      </c>
      <c r="AP477">
        <f>$C477*AP476</f>
        <v/>
      </c>
      <c r="AQ477">
        <f>$C477*AQ476</f>
        <v/>
      </c>
      <c r="AR477">
        <f>$C477*AR476</f>
        <v/>
      </c>
      <c r="AS477">
        <f>$C477*AS476</f>
        <v/>
      </c>
      <c r="AT477">
        <f>$C477*AT476</f>
        <v/>
      </c>
      <c r="AU477">
        <f>$C477*AU476</f>
        <v/>
      </c>
      <c r="AV477">
        <f>$C477*AV476</f>
        <v/>
      </c>
      <c r="AW477">
        <f>$C477*AW476</f>
        <v/>
      </c>
      <c r="AX477">
        <f>$C477*AX476</f>
        <v/>
      </c>
      <c r="AY477">
        <f>$C477*AY476</f>
        <v/>
      </c>
      <c r="AZ477">
        <f>$C477*AZ476</f>
        <v/>
      </c>
      <c r="BA477">
        <f>$C477*BA476</f>
        <v/>
      </c>
      <c r="BB477">
        <f>$C477*BB476</f>
        <v/>
      </c>
      <c r="BC477">
        <f>$C477*BC476</f>
        <v/>
      </c>
      <c r="BD477">
        <f>$C477*BD476</f>
        <v/>
      </c>
      <c r="BE477">
        <f>$C477*BE476</f>
        <v/>
      </c>
      <c r="BF477">
        <f>$C477*BF476</f>
        <v/>
      </c>
      <c r="BG477">
        <f>$C477*BG476</f>
        <v/>
      </c>
      <c r="BH477">
        <f>$C477*BH476</f>
        <v/>
      </c>
      <c r="BI477">
        <f>$C477*BI476</f>
        <v/>
      </c>
      <c r="BJ477">
        <f>$C477*BJ476</f>
        <v/>
      </c>
      <c r="BK477">
        <f>$C477*BK476</f>
        <v/>
      </c>
      <c r="BL477">
        <f>$C477*BL476</f>
        <v/>
      </c>
      <c r="BM477">
        <f>$C477*BM476</f>
        <v/>
      </c>
      <c r="BN477">
        <f>$C477*BN476</f>
        <v/>
      </c>
      <c r="BO477">
        <f>$C477*BO476</f>
        <v/>
      </c>
      <c r="BP477">
        <f>$C477*BP476</f>
        <v/>
      </c>
      <c r="BQ477">
        <f>$C477*BQ476</f>
        <v/>
      </c>
      <c r="BR477">
        <f>$C477*BR476</f>
        <v/>
      </c>
      <c r="BS477">
        <f>$C477*BS476</f>
        <v/>
      </c>
      <c r="BT477">
        <f>$C477*BT476</f>
        <v/>
      </c>
      <c r="BU477">
        <f>$C477*BU476</f>
        <v/>
      </c>
      <c r="BV477">
        <f>$C477*BV476</f>
        <v/>
      </c>
      <c r="BW477">
        <f>$C477*BW476</f>
        <v/>
      </c>
      <c r="BX477">
        <f>$C477*BX476</f>
        <v/>
      </c>
      <c r="BY477">
        <f>$C477*BY476</f>
        <v/>
      </c>
      <c r="BZ477">
        <f>$C477*BZ476</f>
        <v/>
      </c>
      <c r="CA477">
        <f>$C477*CA476</f>
        <v/>
      </c>
      <c r="CB477">
        <f>$C477*CB476</f>
        <v/>
      </c>
      <c r="CC477">
        <f>$C477*CC476</f>
        <v/>
      </c>
      <c r="CD477">
        <f>$C477*CD476</f>
        <v/>
      </c>
      <c r="CE477">
        <f>$C477*CE476</f>
        <v/>
      </c>
      <c r="CF477">
        <f>$C477*CF476</f>
        <v/>
      </c>
      <c r="CG477">
        <f>$C477*CG476</f>
        <v/>
      </c>
      <c r="CH477">
        <f>$C477*CH476</f>
        <v/>
      </c>
      <c r="CI477">
        <f>$C477*CI476</f>
        <v/>
      </c>
      <c r="CJ477">
        <f>$C477*CJ476</f>
        <v/>
      </c>
      <c r="CK477">
        <f>$C477*CK476</f>
        <v/>
      </c>
      <c r="CL477">
        <f>$C477*CL476</f>
        <v/>
      </c>
      <c r="CM477">
        <f>$C477*CM476</f>
        <v/>
      </c>
      <c r="CN477">
        <f>$C477*CN476</f>
        <v/>
      </c>
      <c r="CO477">
        <f>$C477*CO476</f>
        <v/>
      </c>
      <c r="CP477">
        <f>$C477*CP476</f>
        <v/>
      </c>
      <c r="CQ477">
        <f>$C477*CQ476</f>
        <v/>
      </c>
      <c r="CR477">
        <f>$C477*CR476</f>
        <v/>
      </c>
      <c r="CS477">
        <f>$C477*CS476</f>
        <v/>
      </c>
      <c r="CT477">
        <f>$C477*CT476</f>
        <v/>
      </c>
      <c r="CU477">
        <f>$C477*CU476</f>
        <v/>
      </c>
      <c r="CV477">
        <f>$C477*CV476</f>
        <v/>
      </c>
      <c r="CW477">
        <f>$C477*CW476</f>
        <v/>
      </c>
      <c r="CX477">
        <f>$C477*CX476</f>
        <v/>
      </c>
      <c r="CY477">
        <f>$C477*CY476</f>
        <v/>
      </c>
      <c r="CZ477">
        <f>$C477*CZ476</f>
        <v/>
      </c>
      <c r="DA477">
        <f>$C477*DA476</f>
        <v/>
      </c>
      <c r="DB477">
        <f>$C477*DB476</f>
        <v/>
      </c>
      <c r="DC477">
        <f>$C477*DC476</f>
        <v/>
      </c>
    </row>
    <row r="478">
      <c r="B478" s="4" t="inlineStr">
        <is>
          <t>合計使用量(kg)/週</t>
        </is>
      </c>
      <c r="D478">
        <f>'Grid_Requirement'!B33</f>
        <v/>
      </c>
      <c r="E478">
        <f>'Grid_Requirement'!C33</f>
        <v/>
      </c>
      <c r="F478">
        <f>'Grid_Requirement'!D33</f>
        <v/>
      </c>
      <c r="G478">
        <f>'Grid_Requirement'!E33</f>
        <v/>
      </c>
      <c r="H478">
        <f>'Grid_Requirement'!F33</f>
        <v/>
      </c>
      <c r="I478">
        <f>'Grid_Requirement'!G33</f>
        <v/>
      </c>
      <c r="J478">
        <f>'Grid_Requirement'!H33</f>
        <v/>
      </c>
      <c r="K478">
        <f>'Grid_Requirement'!I33</f>
        <v/>
      </c>
      <c r="L478">
        <f>'Grid_Requirement'!J33</f>
        <v/>
      </c>
      <c r="M478">
        <f>'Grid_Requirement'!K33</f>
        <v/>
      </c>
      <c r="N478">
        <f>'Grid_Requirement'!L33</f>
        <v/>
      </c>
      <c r="O478">
        <f>'Grid_Requirement'!M33</f>
        <v/>
      </c>
      <c r="P478">
        <f>'Grid_Requirement'!N33</f>
        <v/>
      </c>
      <c r="Q478">
        <f>'Grid_Requirement'!O33</f>
        <v/>
      </c>
      <c r="R478">
        <f>'Grid_Requirement'!P33</f>
        <v/>
      </c>
      <c r="S478">
        <f>'Grid_Requirement'!Q33</f>
        <v/>
      </c>
      <c r="T478">
        <f>'Grid_Requirement'!R33</f>
        <v/>
      </c>
      <c r="U478">
        <f>'Grid_Requirement'!S33</f>
        <v/>
      </c>
      <c r="V478">
        <f>'Grid_Requirement'!T33</f>
        <v/>
      </c>
      <c r="W478">
        <f>'Grid_Requirement'!U33</f>
        <v/>
      </c>
      <c r="X478">
        <f>'Grid_Requirement'!V33</f>
        <v/>
      </c>
      <c r="Y478">
        <f>'Grid_Requirement'!W33</f>
        <v/>
      </c>
      <c r="Z478">
        <f>'Grid_Requirement'!X33</f>
        <v/>
      </c>
      <c r="AA478">
        <f>'Grid_Requirement'!Y33</f>
        <v/>
      </c>
      <c r="AB478">
        <f>'Grid_Requirement'!Z33</f>
        <v/>
      </c>
      <c r="AC478">
        <f>'Grid_Requirement'!AA33</f>
        <v/>
      </c>
      <c r="AD478">
        <f>'Grid_Requirement'!AB33</f>
        <v/>
      </c>
      <c r="AE478">
        <f>'Grid_Requirement'!AC33</f>
        <v/>
      </c>
      <c r="AF478">
        <f>'Grid_Requirement'!AD33</f>
        <v/>
      </c>
      <c r="AG478">
        <f>'Grid_Requirement'!AE33</f>
        <v/>
      </c>
      <c r="AH478">
        <f>'Grid_Requirement'!AF33</f>
        <v/>
      </c>
      <c r="AI478">
        <f>'Grid_Requirement'!AG33</f>
        <v/>
      </c>
      <c r="AJ478">
        <f>'Grid_Requirement'!AH33</f>
        <v/>
      </c>
      <c r="AK478">
        <f>'Grid_Requirement'!AI33</f>
        <v/>
      </c>
      <c r="AL478">
        <f>'Grid_Requirement'!AJ33</f>
        <v/>
      </c>
      <c r="AM478">
        <f>'Grid_Requirement'!AK33</f>
        <v/>
      </c>
      <c r="AN478">
        <f>'Grid_Requirement'!AL33</f>
        <v/>
      </c>
      <c r="AO478">
        <f>'Grid_Requirement'!AM33</f>
        <v/>
      </c>
      <c r="AP478">
        <f>'Grid_Requirement'!AN33</f>
        <v/>
      </c>
      <c r="AQ478">
        <f>'Grid_Requirement'!AO33</f>
        <v/>
      </c>
      <c r="AR478">
        <f>'Grid_Requirement'!AP33</f>
        <v/>
      </c>
      <c r="AS478">
        <f>'Grid_Requirement'!AQ33</f>
        <v/>
      </c>
      <c r="AT478">
        <f>'Grid_Requirement'!AR33</f>
        <v/>
      </c>
      <c r="AU478">
        <f>'Grid_Requirement'!AS33</f>
        <v/>
      </c>
      <c r="AV478">
        <f>'Grid_Requirement'!AT33</f>
        <v/>
      </c>
      <c r="AW478">
        <f>'Grid_Requirement'!AU33</f>
        <v/>
      </c>
      <c r="AX478">
        <f>'Grid_Requirement'!AV33</f>
        <v/>
      </c>
      <c r="AY478">
        <f>'Grid_Requirement'!AW33</f>
        <v/>
      </c>
      <c r="AZ478">
        <f>'Grid_Requirement'!AX33</f>
        <v/>
      </c>
      <c r="BA478">
        <f>'Grid_Requirement'!AY33</f>
        <v/>
      </c>
      <c r="BB478">
        <f>'Grid_Requirement'!AZ33</f>
        <v/>
      </c>
      <c r="BC478">
        <f>'Grid_Requirement'!BA33</f>
        <v/>
      </c>
      <c r="BD478">
        <f>'Grid_Requirement'!BB33</f>
        <v/>
      </c>
      <c r="BE478">
        <f>'Grid_Requirement'!BC33</f>
        <v/>
      </c>
      <c r="BF478">
        <f>'Grid_Requirement'!BD33</f>
        <v/>
      </c>
      <c r="BG478">
        <f>'Grid_Requirement'!BE33</f>
        <v/>
      </c>
      <c r="BH478">
        <f>'Grid_Requirement'!BF33</f>
        <v/>
      </c>
      <c r="BI478">
        <f>'Grid_Requirement'!BG33</f>
        <v/>
      </c>
      <c r="BJ478">
        <f>'Grid_Requirement'!BH33</f>
        <v/>
      </c>
      <c r="BK478">
        <f>'Grid_Requirement'!BI33</f>
        <v/>
      </c>
      <c r="BL478">
        <f>'Grid_Requirement'!BJ33</f>
        <v/>
      </c>
      <c r="BM478">
        <f>'Grid_Requirement'!BK33</f>
        <v/>
      </c>
      <c r="BN478">
        <f>'Grid_Requirement'!BL33</f>
        <v/>
      </c>
      <c r="BO478">
        <f>'Grid_Requirement'!BM33</f>
        <v/>
      </c>
      <c r="BP478">
        <f>'Grid_Requirement'!BN33</f>
        <v/>
      </c>
      <c r="BQ478">
        <f>'Grid_Requirement'!BO33</f>
        <v/>
      </c>
      <c r="BR478">
        <f>'Grid_Requirement'!BP33</f>
        <v/>
      </c>
      <c r="BS478">
        <f>'Grid_Requirement'!BQ33</f>
        <v/>
      </c>
      <c r="BT478">
        <f>'Grid_Requirement'!BR33</f>
        <v/>
      </c>
      <c r="BU478">
        <f>'Grid_Requirement'!BS33</f>
        <v/>
      </c>
      <c r="BV478">
        <f>'Grid_Requirement'!BT33</f>
        <v/>
      </c>
      <c r="BW478">
        <f>'Grid_Requirement'!BU33</f>
        <v/>
      </c>
      <c r="BX478">
        <f>'Grid_Requirement'!BV33</f>
        <v/>
      </c>
      <c r="BY478">
        <f>'Grid_Requirement'!BW33</f>
        <v/>
      </c>
      <c r="BZ478">
        <f>'Grid_Requirement'!BX33</f>
        <v/>
      </c>
      <c r="CA478">
        <f>'Grid_Requirement'!BY33</f>
        <v/>
      </c>
      <c r="CB478">
        <f>'Grid_Requirement'!BZ33</f>
        <v/>
      </c>
      <c r="CC478">
        <f>'Grid_Requirement'!CA33</f>
        <v/>
      </c>
      <c r="CD478">
        <f>'Grid_Requirement'!CB33</f>
        <v/>
      </c>
      <c r="CE478">
        <f>'Grid_Requirement'!CC33</f>
        <v/>
      </c>
      <c r="CF478">
        <f>'Grid_Requirement'!CD33</f>
        <v/>
      </c>
      <c r="CG478">
        <f>'Grid_Requirement'!CE33</f>
        <v/>
      </c>
      <c r="CH478">
        <f>'Grid_Requirement'!CF33</f>
        <v/>
      </c>
      <c r="CI478">
        <f>'Grid_Requirement'!CG33</f>
        <v/>
      </c>
      <c r="CJ478">
        <f>'Grid_Requirement'!CH33</f>
        <v/>
      </c>
      <c r="CK478">
        <f>'Grid_Requirement'!CI33</f>
        <v/>
      </c>
      <c r="CL478">
        <f>'Grid_Requirement'!CJ33</f>
        <v/>
      </c>
      <c r="CM478">
        <f>'Grid_Requirement'!CK33</f>
        <v/>
      </c>
      <c r="CN478">
        <f>'Grid_Requirement'!CL33</f>
        <v/>
      </c>
      <c r="CO478">
        <f>'Grid_Requirement'!CM33</f>
        <v/>
      </c>
      <c r="CP478">
        <f>'Grid_Requirement'!CN33</f>
        <v/>
      </c>
      <c r="CQ478">
        <f>'Grid_Requirement'!CO33</f>
        <v/>
      </c>
      <c r="CR478">
        <f>'Grid_Requirement'!CP33</f>
        <v/>
      </c>
      <c r="CS478">
        <f>'Grid_Requirement'!CQ33</f>
        <v/>
      </c>
      <c r="CT478">
        <f>'Grid_Requirement'!CR33</f>
        <v/>
      </c>
      <c r="CU478">
        <f>'Grid_Requirement'!CS33</f>
        <v/>
      </c>
      <c r="CV478">
        <f>'Grid_Requirement'!CT33</f>
        <v/>
      </c>
      <c r="CW478">
        <f>'Grid_Requirement'!CU33</f>
        <v/>
      </c>
      <c r="CX478">
        <f>'Grid_Requirement'!CV33</f>
        <v/>
      </c>
      <c r="CY478">
        <f>'Grid_Requirement'!CW33</f>
        <v/>
      </c>
      <c r="CZ478">
        <f>'Grid_Requirement'!CX33</f>
        <v/>
      </c>
      <c r="DA478">
        <f>'Grid_Requirement'!CY33</f>
        <v/>
      </c>
      <c r="DB478">
        <f>'Grid_Requirement'!CZ33</f>
        <v/>
      </c>
      <c r="DC478">
        <f>'Grid_Requirement'!DA33</f>
        <v/>
      </c>
    </row>
    <row r="479">
      <c r="B479" t="inlineStr">
        <is>
          <t>TTAF在庫(実績,kg)</t>
        </is>
      </c>
      <c r="D479">
        <f>'T_TTAFStock'!B37</f>
        <v/>
      </c>
      <c r="E479">
        <f>'T_TTAFStock'!C37</f>
        <v/>
      </c>
      <c r="F479">
        <f>'T_TTAFStock'!D37</f>
        <v/>
      </c>
      <c r="G479">
        <f>'T_TTAFStock'!E37</f>
        <v/>
      </c>
      <c r="H479">
        <f>'T_TTAFStock'!F37</f>
        <v/>
      </c>
      <c r="I479">
        <f>'T_TTAFStock'!G37</f>
        <v/>
      </c>
      <c r="J479">
        <f>'T_TTAFStock'!H37</f>
        <v/>
      </c>
      <c r="K479">
        <f>'T_TTAFStock'!I37</f>
        <v/>
      </c>
      <c r="L479">
        <f>'T_TTAFStock'!J37</f>
        <v/>
      </c>
      <c r="M479">
        <f>'T_TTAFStock'!K37</f>
        <v/>
      </c>
      <c r="N479">
        <f>'T_TTAFStock'!L37</f>
        <v/>
      </c>
      <c r="O479">
        <f>'T_TTAFStock'!M37</f>
        <v/>
      </c>
      <c r="P479">
        <f>'T_TTAFStock'!N37</f>
        <v/>
      </c>
      <c r="Q479">
        <f>'T_TTAFStock'!O37</f>
        <v/>
      </c>
      <c r="R479">
        <f>'T_TTAFStock'!P37</f>
        <v/>
      </c>
      <c r="S479">
        <f>'T_TTAFStock'!Q37</f>
        <v/>
      </c>
      <c r="T479">
        <f>'T_TTAFStock'!R37</f>
        <v/>
      </c>
      <c r="U479">
        <f>'T_TTAFStock'!S37</f>
        <v/>
      </c>
      <c r="V479">
        <f>'T_TTAFStock'!T37</f>
        <v/>
      </c>
      <c r="W479">
        <f>'T_TTAFStock'!U37</f>
        <v/>
      </c>
      <c r="X479">
        <f>'T_TTAFStock'!V37</f>
        <v/>
      </c>
      <c r="Y479">
        <f>'T_TTAFStock'!W37</f>
        <v/>
      </c>
      <c r="Z479">
        <f>'T_TTAFStock'!X37</f>
        <v/>
      </c>
      <c r="AA479">
        <f>'T_TTAFStock'!Y37</f>
        <v/>
      </c>
      <c r="AB479">
        <f>'T_TTAFStock'!Z37</f>
        <v/>
      </c>
      <c r="AC479">
        <f>'T_TTAFStock'!AA37</f>
        <v/>
      </c>
      <c r="AD479">
        <f>'T_TTAFStock'!AB37</f>
        <v/>
      </c>
      <c r="AE479">
        <f>'T_TTAFStock'!AC37</f>
        <v/>
      </c>
      <c r="AF479">
        <f>'T_TTAFStock'!AD37</f>
        <v/>
      </c>
      <c r="AG479">
        <f>'T_TTAFStock'!AE37</f>
        <v/>
      </c>
      <c r="AH479">
        <f>'T_TTAFStock'!AF37</f>
        <v/>
      </c>
      <c r="AI479">
        <f>'T_TTAFStock'!AG37</f>
        <v/>
      </c>
      <c r="AJ479">
        <f>'T_TTAFStock'!AH37</f>
        <v/>
      </c>
      <c r="AK479">
        <f>'T_TTAFStock'!AI37</f>
        <v/>
      </c>
      <c r="AL479">
        <f>'T_TTAFStock'!AJ37</f>
        <v/>
      </c>
      <c r="AM479">
        <f>'T_TTAFStock'!AK37</f>
        <v/>
      </c>
      <c r="AN479">
        <f>'T_TTAFStock'!AL37</f>
        <v/>
      </c>
      <c r="AO479">
        <f>'T_TTAFStock'!AM37</f>
        <v/>
      </c>
      <c r="AP479">
        <f>'T_TTAFStock'!AN37</f>
        <v/>
      </c>
      <c r="AQ479">
        <f>'T_TTAFStock'!AO37</f>
        <v/>
      </c>
      <c r="AR479">
        <f>'T_TTAFStock'!AP37</f>
        <v/>
      </c>
      <c r="AS479">
        <f>'T_TTAFStock'!AQ37</f>
        <v/>
      </c>
      <c r="AT479">
        <f>'T_TTAFStock'!AR37</f>
        <v/>
      </c>
      <c r="AU479">
        <f>'T_TTAFStock'!AS37</f>
        <v/>
      </c>
      <c r="AV479">
        <f>'T_TTAFStock'!AT37</f>
        <v/>
      </c>
      <c r="AW479">
        <f>'T_TTAFStock'!AU37</f>
        <v/>
      </c>
      <c r="AX479">
        <f>'T_TTAFStock'!AV37</f>
        <v/>
      </c>
      <c r="AY479">
        <f>'T_TTAFStock'!AW37</f>
        <v/>
      </c>
      <c r="AZ479">
        <f>'T_TTAFStock'!AX37</f>
        <v/>
      </c>
      <c r="BA479">
        <f>'T_TTAFStock'!AY37</f>
        <v/>
      </c>
      <c r="BB479">
        <f>'T_TTAFStock'!AZ37</f>
        <v/>
      </c>
      <c r="BC479">
        <f>'T_TTAFStock'!BA37</f>
        <v/>
      </c>
      <c r="BD479">
        <f>'T_TTAFStock'!BB37</f>
        <v/>
      </c>
      <c r="BE479">
        <f>'T_TTAFStock'!BC37</f>
        <v/>
      </c>
      <c r="BF479">
        <f>'T_TTAFStock'!BD37</f>
        <v/>
      </c>
      <c r="BG479">
        <f>'T_TTAFStock'!BE37</f>
        <v/>
      </c>
      <c r="BH479">
        <f>'T_TTAFStock'!BF37</f>
        <v/>
      </c>
      <c r="BI479">
        <f>'T_TTAFStock'!BG37</f>
        <v/>
      </c>
      <c r="BJ479">
        <f>'T_TTAFStock'!BH37</f>
        <v/>
      </c>
      <c r="BK479">
        <f>'T_TTAFStock'!BI37</f>
        <v/>
      </c>
      <c r="BL479">
        <f>'T_TTAFStock'!BJ37</f>
        <v/>
      </c>
      <c r="BM479">
        <f>'T_TTAFStock'!BK37</f>
        <v/>
      </c>
      <c r="BN479">
        <f>'T_TTAFStock'!BL37</f>
        <v/>
      </c>
      <c r="BO479">
        <f>'T_TTAFStock'!BM37</f>
        <v/>
      </c>
      <c r="BP479">
        <f>'T_TTAFStock'!BN37</f>
        <v/>
      </c>
      <c r="BQ479">
        <f>'T_TTAFStock'!BO37</f>
        <v/>
      </c>
      <c r="BR479">
        <f>'T_TTAFStock'!BP37</f>
        <v/>
      </c>
      <c r="BS479">
        <f>'T_TTAFStock'!BQ37</f>
        <v/>
      </c>
      <c r="BT479">
        <f>'T_TTAFStock'!BR37</f>
        <v/>
      </c>
      <c r="BU479">
        <f>'T_TTAFStock'!BS37</f>
        <v/>
      </c>
      <c r="BV479">
        <f>'T_TTAFStock'!BT37</f>
        <v/>
      </c>
      <c r="BW479">
        <f>'T_TTAFStock'!BU37</f>
        <v/>
      </c>
      <c r="BX479">
        <f>'T_TTAFStock'!BV37</f>
        <v/>
      </c>
      <c r="BY479">
        <f>'T_TTAFStock'!BW37</f>
        <v/>
      </c>
      <c r="BZ479">
        <f>'T_TTAFStock'!BX37</f>
        <v/>
      </c>
      <c r="CA479">
        <f>'T_TTAFStock'!BY37</f>
        <v/>
      </c>
      <c r="CB479">
        <f>'T_TTAFStock'!BZ37</f>
        <v/>
      </c>
      <c r="CC479">
        <f>'T_TTAFStock'!CA37</f>
        <v/>
      </c>
      <c r="CD479">
        <f>'T_TTAFStock'!CB37</f>
        <v/>
      </c>
      <c r="CE479">
        <f>'T_TTAFStock'!CC37</f>
        <v/>
      </c>
      <c r="CF479">
        <f>'T_TTAFStock'!CD37</f>
        <v/>
      </c>
      <c r="CG479">
        <f>'T_TTAFStock'!CE37</f>
        <v/>
      </c>
      <c r="CH479">
        <f>'T_TTAFStock'!CF37</f>
        <v/>
      </c>
      <c r="CI479">
        <f>'T_TTAFStock'!CG37</f>
        <v/>
      </c>
      <c r="CJ479">
        <f>'T_TTAFStock'!CH37</f>
        <v/>
      </c>
      <c r="CK479">
        <f>'T_TTAFStock'!CI37</f>
        <v/>
      </c>
      <c r="CL479">
        <f>'T_TTAFStock'!CJ37</f>
        <v/>
      </c>
      <c r="CM479">
        <f>'T_TTAFStock'!CK37</f>
        <v/>
      </c>
      <c r="CN479">
        <f>'T_TTAFStock'!CL37</f>
        <v/>
      </c>
      <c r="CO479">
        <f>'T_TTAFStock'!CM37</f>
        <v/>
      </c>
      <c r="CP479">
        <f>'T_TTAFStock'!CN37</f>
        <v/>
      </c>
      <c r="CQ479">
        <f>'T_TTAFStock'!CO37</f>
        <v/>
      </c>
      <c r="CR479">
        <f>'T_TTAFStock'!CP37</f>
        <v/>
      </c>
      <c r="CS479">
        <f>'T_TTAFStock'!CQ37</f>
        <v/>
      </c>
      <c r="CT479">
        <f>'T_TTAFStock'!CR37</f>
        <v/>
      </c>
      <c r="CU479">
        <f>'T_TTAFStock'!CS37</f>
        <v/>
      </c>
      <c r="CV479">
        <f>'T_TTAFStock'!CT37</f>
        <v/>
      </c>
      <c r="CW479">
        <f>'T_TTAFStock'!CU37</f>
        <v/>
      </c>
      <c r="CX479">
        <f>'T_TTAFStock'!CV37</f>
        <v/>
      </c>
      <c r="CY479">
        <f>'T_TTAFStock'!CW37</f>
        <v/>
      </c>
      <c r="CZ479">
        <f>'T_TTAFStock'!CX37</f>
        <v/>
      </c>
      <c r="DA479">
        <f>'T_TTAFStock'!CY37</f>
        <v/>
      </c>
      <c r="DB479">
        <f>'T_TTAFStock'!CZ37</f>
        <v/>
      </c>
      <c r="DC479">
        <f>'T_TTAFStock'!DA37</f>
        <v/>
      </c>
    </row>
    <row r="480">
      <c r="B480" t="inlineStr">
        <is>
          <t>自社在庫(実績,kg)</t>
        </is>
      </c>
      <c r="D480">
        <f>'T_SelfStock'!B37</f>
        <v/>
      </c>
      <c r="E480">
        <f>'T_SelfStock'!C37</f>
        <v/>
      </c>
      <c r="F480">
        <f>'T_SelfStock'!D37</f>
        <v/>
      </c>
      <c r="G480">
        <f>'T_SelfStock'!E37</f>
        <v/>
      </c>
      <c r="H480">
        <f>'T_SelfStock'!F37</f>
        <v/>
      </c>
      <c r="I480">
        <f>'T_SelfStock'!G37</f>
        <v/>
      </c>
      <c r="J480">
        <f>'T_SelfStock'!H37</f>
        <v/>
      </c>
      <c r="K480">
        <f>'T_SelfStock'!I37</f>
        <v/>
      </c>
      <c r="L480">
        <f>'T_SelfStock'!J37</f>
        <v/>
      </c>
      <c r="M480">
        <f>'T_SelfStock'!K37</f>
        <v/>
      </c>
      <c r="N480">
        <f>'T_SelfStock'!L37</f>
        <v/>
      </c>
      <c r="O480">
        <f>'T_SelfStock'!M37</f>
        <v/>
      </c>
      <c r="P480">
        <f>'T_SelfStock'!N37</f>
        <v/>
      </c>
      <c r="Q480">
        <f>'T_SelfStock'!O37</f>
        <v/>
      </c>
      <c r="R480">
        <f>'T_SelfStock'!P37</f>
        <v/>
      </c>
      <c r="S480">
        <f>'T_SelfStock'!Q37</f>
        <v/>
      </c>
      <c r="T480">
        <f>'T_SelfStock'!R37</f>
        <v/>
      </c>
      <c r="U480">
        <f>'T_SelfStock'!S37</f>
        <v/>
      </c>
      <c r="V480">
        <f>'T_SelfStock'!T37</f>
        <v/>
      </c>
      <c r="W480">
        <f>'T_SelfStock'!U37</f>
        <v/>
      </c>
      <c r="X480">
        <f>'T_SelfStock'!V37</f>
        <v/>
      </c>
      <c r="Y480">
        <f>'T_SelfStock'!W37</f>
        <v/>
      </c>
      <c r="Z480">
        <f>'T_SelfStock'!X37</f>
        <v/>
      </c>
      <c r="AA480">
        <f>'T_SelfStock'!Y37</f>
        <v/>
      </c>
      <c r="AB480">
        <f>'T_SelfStock'!Z37</f>
        <v/>
      </c>
      <c r="AC480">
        <f>'T_SelfStock'!AA37</f>
        <v/>
      </c>
      <c r="AD480">
        <f>'T_SelfStock'!AB37</f>
        <v/>
      </c>
      <c r="AE480">
        <f>'T_SelfStock'!AC37</f>
        <v/>
      </c>
      <c r="AF480">
        <f>'T_SelfStock'!AD37</f>
        <v/>
      </c>
      <c r="AG480">
        <f>'T_SelfStock'!AE37</f>
        <v/>
      </c>
      <c r="AH480">
        <f>'T_SelfStock'!AF37</f>
        <v/>
      </c>
      <c r="AI480">
        <f>'T_SelfStock'!AG37</f>
        <v/>
      </c>
      <c r="AJ480">
        <f>'T_SelfStock'!AH37</f>
        <v/>
      </c>
      <c r="AK480">
        <f>'T_SelfStock'!AI37</f>
        <v/>
      </c>
      <c r="AL480">
        <f>'T_SelfStock'!AJ37</f>
        <v/>
      </c>
      <c r="AM480">
        <f>'T_SelfStock'!AK37</f>
        <v/>
      </c>
      <c r="AN480">
        <f>'T_SelfStock'!AL37</f>
        <v/>
      </c>
      <c r="AO480">
        <f>'T_SelfStock'!AM37</f>
        <v/>
      </c>
      <c r="AP480">
        <f>'T_SelfStock'!AN37</f>
        <v/>
      </c>
      <c r="AQ480">
        <f>'T_SelfStock'!AO37</f>
        <v/>
      </c>
      <c r="AR480">
        <f>'T_SelfStock'!AP37</f>
        <v/>
      </c>
      <c r="AS480">
        <f>'T_SelfStock'!AQ37</f>
        <v/>
      </c>
      <c r="AT480">
        <f>'T_SelfStock'!AR37</f>
        <v/>
      </c>
      <c r="AU480">
        <f>'T_SelfStock'!AS37</f>
        <v/>
      </c>
      <c r="AV480">
        <f>'T_SelfStock'!AT37</f>
        <v/>
      </c>
      <c r="AW480">
        <f>'T_SelfStock'!AU37</f>
        <v/>
      </c>
      <c r="AX480">
        <f>'T_SelfStock'!AV37</f>
        <v/>
      </c>
      <c r="AY480">
        <f>'T_SelfStock'!AW37</f>
        <v/>
      </c>
      <c r="AZ480">
        <f>'T_SelfStock'!AX37</f>
        <v/>
      </c>
      <c r="BA480">
        <f>'T_SelfStock'!AY37</f>
        <v/>
      </c>
      <c r="BB480">
        <f>'T_SelfStock'!AZ37</f>
        <v/>
      </c>
      <c r="BC480">
        <f>'T_SelfStock'!BA37</f>
        <v/>
      </c>
      <c r="BD480">
        <f>'T_SelfStock'!BB37</f>
        <v/>
      </c>
      <c r="BE480">
        <f>'T_SelfStock'!BC37</f>
        <v/>
      </c>
      <c r="BF480">
        <f>'T_SelfStock'!BD37</f>
        <v/>
      </c>
      <c r="BG480">
        <f>'T_SelfStock'!BE37</f>
        <v/>
      </c>
      <c r="BH480">
        <f>'T_SelfStock'!BF37</f>
        <v/>
      </c>
      <c r="BI480">
        <f>'T_SelfStock'!BG37</f>
        <v/>
      </c>
      <c r="BJ480">
        <f>'T_SelfStock'!BH37</f>
        <v/>
      </c>
      <c r="BK480">
        <f>'T_SelfStock'!BI37</f>
        <v/>
      </c>
      <c r="BL480">
        <f>'T_SelfStock'!BJ37</f>
        <v/>
      </c>
      <c r="BM480">
        <f>'T_SelfStock'!BK37</f>
        <v/>
      </c>
      <c r="BN480">
        <f>'T_SelfStock'!BL37</f>
        <v/>
      </c>
      <c r="BO480">
        <f>'T_SelfStock'!BM37</f>
        <v/>
      </c>
      <c r="BP480">
        <f>'T_SelfStock'!BN37</f>
        <v/>
      </c>
      <c r="BQ480">
        <f>'T_SelfStock'!BO37</f>
        <v/>
      </c>
      <c r="BR480">
        <f>'T_SelfStock'!BP37</f>
        <v/>
      </c>
      <c r="BS480">
        <f>'T_SelfStock'!BQ37</f>
        <v/>
      </c>
      <c r="BT480">
        <f>'T_SelfStock'!BR37</f>
        <v/>
      </c>
      <c r="BU480">
        <f>'T_SelfStock'!BS37</f>
        <v/>
      </c>
      <c r="BV480">
        <f>'T_SelfStock'!BT37</f>
        <v/>
      </c>
      <c r="BW480">
        <f>'T_SelfStock'!BU37</f>
        <v/>
      </c>
      <c r="BX480">
        <f>'T_SelfStock'!BV37</f>
        <v/>
      </c>
      <c r="BY480">
        <f>'T_SelfStock'!BW37</f>
        <v/>
      </c>
      <c r="BZ480">
        <f>'T_SelfStock'!BX37</f>
        <v/>
      </c>
      <c r="CA480">
        <f>'T_SelfStock'!BY37</f>
        <v/>
      </c>
      <c r="CB480">
        <f>'T_SelfStock'!BZ37</f>
        <v/>
      </c>
      <c r="CC480">
        <f>'T_SelfStock'!CA37</f>
        <v/>
      </c>
      <c r="CD480">
        <f>'T_SelfStock'!CB37</f>
        <v/>
      </c>
      <c r="CE480">
        <f>'T_SelfStock'!CC37</f>
        <v/>
      </c>
      <c r="CF480">
        <f>'T_SelfStock'!CD37</f>
        <v/>
      </c>
      <c r="CG480">
        <f>'T_SelfStock'!CE37</f>
        <v/>
      </c>
      <c r="CH480">
        <f>'T_SelfStock'!CF37</f>
        <v/>
      </c>
      <c r="CI480">
        <f>'T_SelfStock'!CG37</f>
        <v/>
      </c>
      <c r="CJ480">
        <f>'T_SelfStock'!CH37</f>
        <v/>
      </c>
      <c r="CK480">
        <f>'T_SelfStock'!CI37</f>
        <v/>
      </c>
      <c r="CL480">
        <f>'T_SelfStock'!CJ37</f>
        <v/>
      </c>
      <c r="CM480">
        <f>'T_SelfStock'!CK37</f>
        <v/>
      </c>
      <c r="CN480">
        <f>'T_SelfStock'!CL37</f>
        <v/>
      </c>
      <c r="CO480">
        <f>'T_SelfStock'!CM37</f>
        <v/>
      </c>
      <c r="CP480">
        <f>'T_SelfStock'!CN37</f>
        <v/>
      </c>
      <c r="CQ480">
        <f>'T_SelfStock'!CO37</f>
        <v/>
      </c>
      <c r="CR480">
        <f>'T_SelfStock'!CP37</f>
        <v/>
      </c>
      <c r="CS480">
        <f>'T_SelfStock'!CQ37</f>
        <v/>
      </c>
      <c r="CT480">
        <f>'T_SelfStock'!CR37</f>
        <v/>
      </c>
      <c r="CU480">
        <f>'T_SelfStock'!CS37</f>
        <v/>
      </c>
      <c r="CV480">
        <f>'T_SelfStock'!CT37</f>
        <v/>
      </c>
      <c r="CW480">
        <f>'T_SelfStock'!CU37</f>
        <v/>
      </c>
      <c r="CX480">
        <f>'T_SelfStock'!CV37</f>
        <v/>
      </c>
      <c r="CY480">
        <f>'T_SelfStock'!CW37</f>
        <v/>
      </c>
      <c r="CZ480">
        <f>'T_SelfStock'!CX37</f>
        <v/>
      </c>
      <c r="DA480">
        <f>'T_SelfStock'!CY37</f>
        <v/>
      </c>
      <c r="DB480">
        <f>'T_SelfStock'!CZ37</f>
        <v/>
      </c>
      <c r="DC480">
        <f>'T_SelfStock'!DA37</f>
        <v/>
      </c>
    </row>
    <row r="481">
      <c r="B481" t="inlineStr">
        <is>
          <t>Order(発注予定,kg)</t>
        </is>
      </c>
      <c r="D481">
        <f>IF(SUMIFS(T_PlannedOrders[EffectiveQty],T_PlannedOrders[Part Name],$A475,T_PlannedOrders[WeekIndex],1)=0,"",SUMIFS(T_PlannedOrders[EffectiveQty],T_PlannedOrders[Part Name],$A475,T_PlannedOrders[WeekIndex],1)&amp;" ("&amp;TEXT(SUMPRODUCT(MAX((T_PlannedOrders[Part Name]=$A475)*(T_PlannedOrders[WeekIndex]=1)*(T_PlannedOrders[EffectiveQty]&gt;0)*T_PlannedOrders[Order_Month])),"m月")&amp;"発注)")</f>
        <v/>
      </c>
      <c r="E481">
        <f>IF(SUMIFS(T_PlannedOrders[EffectiveQty],T_PlannedOrders[Part Name],$A475,T_PlannedOrders[WeekIndex],2)=0,"",SUMIFS(T_PlannedOrders[EffectiveQty],T_PlannedOrders[Part Name],$A475,T_PlannedOrders[WeekIndex],2)&amp;" ("&amp;TEXT(SUMPRODUCT(MAX((T_PlannedOrders[Part Name]=$A475)*(T_PlannedOrders[WeekIndex]=2)*(T_PlannedOrders[EffectiveQty]&gt;0)*T_PlannedOrders[Order_Month])),"m月")&amp;"発注)")</f>
        <v/>
      </c>
      <c r="F481">
        <f>IF(SUMIFS(T_PlannedOrders[EffectiveQty],T_PlannedOrders[Part Name],$A475,T_PlannedOrders[WeekIndex],3)=0,"",SUMIFS(T_PlannedOrders[EffectiveQty],T_PlannedOrders[Part Name],$A475,T_PlannedOrders[WeekIndex],3)&amp;" ("&amp;TEXT(SUMPRODUCT(MAX((T_PlannedOrders[Part Name]=$A475)*(T_PlannedOrders[WeekIndex]=3)*(T_PlannedOrders[EffectiveQty]&gt;0)*T_PlannedOrders[Order_Month])),"m月")&amp;"発注)")</f>
        <v/>
      </c>
      <c r="G481">
        <f>IF(SUMIFS(T_PlannedOrders[EffectiveQty],T_PlannedOrders[Part Name],$A475,T_PlannedOrders[WeekIndex],4)=0,"",SUMIFS(T_PlannedOrders[EffectiveQty],T_PlannedOrders[Part Name],$A475,T_PlannedOrders[WeekIndex],4)&amp;" ("&amp;TEXT(SUMPRODUCT(MAX((T_PlannedOrders[Part Name]=$A475)*(T_PlannedOrders[WeekIndex]=4)*(T_PlannedOrders[EffectiveQty]&gt;0)*T_PlannedOrders[Order_Month])),"m月")&amp;"発注)")</f>
        <v/>
      </c>
      <c r="H481">
        <f>IF(SUMIFS(T_PlannedOrders[EffectiveQty],T_PlannedOrders[Part Name],$A475,T_PlannedOrders[WeekIndex],5)=0,"",SUMIFS(T_PlannedOrders[EffectiveQty],T_PlannedOrders[Part Name],$A475,T_PlannedOrders[WeekIndex],5)&amp;" ("&amp;TEXT(SUMPRODUCT(MAX((T_PlannedOrders[Part Name]=$A475)*(T_PlannedOrders[WeekIndex]=5)*(T_PlannedOrders[EffectiveQty]&gt;0)*T_PlannedOrders[Order_Month])),"m月")&amp;"発注)")</f>
        <v/>
      </c>
      <c r="I481">
        <f>IF(SUMIFS(T_PlannedOrders[EffectiveQty],T_PlannedOrders[Part Name],$A475,T_PlannedOrders[WeekIndex],6)=0,"",SUMIFS(T_PlannedOrders[EffectiveQty],T_PlannedOrders[Part Name],$A475,T_PlannedOrders[WeekIndex],6)&amp;" ("&amp;TEXT(SUMPRODUCT(MAX((T_PlannedOrders[Part Name]=$A475)*(T_PlannedOrders[WeekIndex]=6)*(T_PlannedOrders[EffectiveQty]&gt;0)*T_PlannedOrders[Order_Month])),"m月")&amp;"発注)")</f>
        <v/>
      </c>
      <c r="J481">
        <f>IF(SUMIFS(T_PlannedOrders[EffectiveQty],T_PlannedOrders[Part Name],$A475,T_PlannedOrders[WeekIndex],7)=0,"",SUMIFS(T_PlannedOrders[EffectiveQty],T_PlannedOrders[Part Name],$A475,T_PlannedOrders[WeekIndex],7)&amp;" ("&amp;TEXT(SUMPRODUCT(MAX((T_PlannedOrders[Part Name]=$A475)*(T_PlannedOrders[WeekIndex]=7)*(T_PlannedOrders[EffectiveQty]&gt;0)*T_PlannedOrders[Order_Month])),"m月")&amp;"発注)")</f>
        <v/>
      </c>
      <c r="K481">
        <f>IF(SUMIFS(T_PlannedOrders[EffectiveQty],T_PlannedOrders[Part Name],$A475,T_PlannedOrders[WeekIndex],8)=0,"",SUMIFS(T_PlannedOrders[EffectiveQty],T_PlannedOrders[Part Name],$A475,T_PlannedOrders[WeekIndex],8)&amp;" ("&amp;TEXT(SUMPRODUCT(MAX((T_PlannedOrders[Part Name]=$A475)*(T_PlannedOrders[WeekIndex]=8)*(T_PlannedOrders[EffectiveQty]&gt;0)*T_PlannedOrders[Order_Month])),"m月")&amp;"発注)")</f>
        <v/>
      </c>
      <c r="L481">
        <f>IF(SUMIFS(T_PlannedOrders[EffectiveQty],T_PlannedOrders[Part Name],$A475,T_PlannedOrders[WeekIndex],9)=0,"",SUMIFS(T_PlannedOrders[EffectiveQty],T_PlannedOrders[Part Name],$A475,T_PlannedOrders[WeekIndex],9)&amp;" ("&amp;TEXT(SUMPRODUCT(MAX((T_PlannedOrders[Part Name]=$A475)*(T_PlannedOrders[WeekIndex]=9)*(T_PlannedOrders[EffectiveQty]&gt;0)*T_PlannedOrders[Order_Month])),"m月")&amp;"発注)")</f>
        <v/>
      </c>
      <c r="M481">
        <f>IF(SUMIFS(T_PlannedOrders[EffectiveQty],T_PlannedOrders[Part Name],$A475,T_PlannedOrders[WeekIndex],10)=0,"",SUMIFS(T_PlannedOrders[EffectiveQty],T_PlannedOrders[Part Name],$A475,T_PlannedOrders[WeekIndex],10)&amp;" ("&amp;TEXT(SUMPRODUCT(MAX((T_PlannedOrders[Part Name]=$A475)*(T_PlannedOrders[WeekIndex]=10)*(T_PlannedOrders[EffectiveQty]&gt;0)*T_PlannedOrders[Order_Month])),"m月")&amp;"発注)")</f>
        <v/>
      </c>
      <c r="N481">
        <f>IF(SUMIFS(T_PlannedOrders[EffectiveQty],T_PlannedOrders[Part Name],$A475,T_PlannedOrders[WeekIndex],11)=0,"",SUMIFS(T_PlannedOrders[EffectiveQty],T_PlannedOrders[Part Name],$A475,T_PlannedOrders[WeekIndex],11)&amp;" ("&amp;TEXT(SUMPRODUCT(MAX((T_PlannedOrders[Part Name]=$A475)*(T_PlannedOrders[WeekIndex]=11)*(T_PlannedOrders[EffectiveQty]&gt;0)*T_PlannedOrders[Order_Month])),"m月")&amp;"発注)")</f>
        <v/>
      </c>
      <c r="O481">
        <f>IF(SUMIFS(T_PlannedOrders[EffectiveQty],T_PlannedOrders[Part Name],$A475,T_PlannedOrders[WeekIndex],12)=0,"",SUMIFS(T_PlannedOrders[EffectiveQty],T_PlannedOrders[Part Name],$A475,T_PlannedOrders[WeekIndex],12)&amp;" ("&amp;TEXT(SUMPRODUCT(MAX((T_PlannedOrders[Part Name]=$A475)*(T_PlannedOrders[WeekIndex]=12)*(T_PlannedOrders[EffectiveQty]&gt;0)*T_PlannedOrders[Order_Month])),"m月")&amp;"発注)")</f>
        <v/>
      </c>
      <c r="P481">
        <f>IF(SUMIFS(T_PlannedOrders[EffectiveQty],T_PlannedOrders[Part Name],$A475,T_PlannedOrders[WeekIndex],13)=0,"",SUMIFS(T_PlannedOrders[EffectiveQty],T_PlannedOrders[Part Name],$A475,T_PlannedOrders[WeekIndex],13)&amp;" ("&amp;TEXT(SUMPRODUCT(MAX((T_PlannedOrders[Part Name]=$A475)*(T_PlannedOrders[WeekIndex]=13)*(T_PlannedOrders[EffectiveQty]&gt;0)*T_PlannedOrders[Order_Month])),"m月")&amp;"発注)")</f>
        <v/>
      </c>
      <c r="Q481">
        <f>IF(SUMIFS(T_PlannedOrders[EffectiveQty],T_PlannedOrders[Part Name],$A475,T_PlannedOrders[WeekIndex],14)=0,"",SUMIFS(T_PlannedOrders[EffectiveQty],T_PlannedOrders[Part Name],$A475,T_PlannedOrders[WeekIndex],14)&amp;" ("&amp;TEXT(SUMPRODUCT(MAX((T_PlannedOrders[Part Name]=$A475)*(T_PlannedOrders[WeekIndex]=14)*(T_PlannedOrders[EffectiveQty]&gt;0)*T_PlannedOrders[Order_Month])),"m月")&amp;"発注)")</f>
        <v/>
      </c>
      <c r="R481">
        <f>IF(SUMIFS(T_PlannedOrders[EffectiveQty],T_PlannedOrders[Part Name],$A475,T_PlannedOrders[WeekIndex],15)=0,"",SUMIFS(T_PlannedOrders[EffectiveQty],T_PlannedOrders[Part Name],$A475,T_PlannedOrders[WeekIndex],15)&amp;" ("&amp;TEXT(SUMPRODUCT(MAX((T_PlannedOrders[Part Name]=$A475)*(T_PlannedOrders[WeekIndex]=15)*(T_PlannedOrders[EffectiveQty]&gt;0)*T_PlannedOrders[Order_Month])),"m月")&amp;"発注)")</f>
        <v/>
      </c>
      <c r="S481">
        <f>IF(SUMIFS(T_PlannedOrders[EffectiveQty],T_PlannedOrders[Part Name],$A475,T_PlannedOrders[WeekIndex],16)=0,"",SUMIFS(T_PlannedOrders[EffectiveQty],T_PlannedOrders[Part Name],$A475,T_PlannedOrders[WeekIndex],16)&amp;" ("&amp;TEXT(SUMPRODUCT(MAX((T_PlannedOrders[Part Name]=$A475)*(T_PlannedOrders[WeekIndex]=16)*(T_PlannedOrders[EffectiveQty]&gt;0)*T_PlannedOrders[Order_Month])),"m月")&amp;"発注)")</f>
        <v/>
      </c>
      <c r="T481">
        <f>IF(SUMIFS(T_PlannedOrders[EffectiveQty],T_PlannedOrders[Part Name],$A475,T_PlannedOrders[WeekIndex],17)=0,"",SUMIFS(T_PlannedOrders[EffectiveQty],T_PlannedOrders[Part Name],$A475,T_PlannedOrders[WeekIndex],17)&amp;" ("&amp;TEXT(SUMPRODUCT(MAX((T_PlannedOrders[Part Name]=$A475)*(T_PlannedOrders[WeekIndex]=17)*(T_PlannedOrders[EffectiveQty]&gt;0)*T_PlannedOrders[Order_Month])),"m月")&amp;"発注)")</f>
        <v/>
      </c>
      <c r="U481">
        <f>IF(SUMIFS(T_PlannedOrders[EffectiveQty],T_PlannedOrders[Part Name],$A475,T_PlannedOrders[WeekIndex],18)=0,"",SUMIFS(T_PlannedOrders[EffectiveQty],T_PlannedOrders[Part Name],$A475,T_PlannedOrders[WeekIndex],18)&amp;" ("&amp;TEXT(SUMPRODUCT(MAX((T_PlannedOrders[Part Name]=$A475)*(T_PlannedOrders[WeekIndex]=18)*(T_PlannedOrders[EffectiveQty]&gt;0)*T_PlannedOrders[Order_Month])),"m月")&amp;"発注)")</f>
        <v/>
      </c>
      <c r="V481">
        <f>IF(SUMIFS(T_PlannedOrders[EffectiveQty],T_PlannedOrders[Part Name],$A475,T_PlannedOrders[WeekIndex],19)=0,"",SUMIFS(T_PlannedOrders[EffectiveQty],T_PlannedOrders[Part Name],$A475,T_PlannedOrders[WeekIndex],19)&amp;" ("&amp;TEXT(SUMPRODUCT(MAX((T_PlannedOrders[Part Name]=$A475)*(T_PlannedOrders[WeekIndex]=19)*(T_PlannedOrders[EffectiveQty]&gt;0)*T_PlannedOrders[Order_Month])),"m月")&amp;"発注)")</f>
        <v/>
      </c>
      <c r="W481">
        <f>IF(SUMIFS(T_PlannedOrders[EffectiveQty],T_PlannedOrders[Part Name],$A475,T_PlannedOrders[WeekIndex],20)=0,"",SUMIFS(T_PlannedOrders[EffectiveQty],T_PlannedOrders[Part Name],$A475,T_PlannedOrders[WeekIndex],20)&amp;" ("&amp;TEXT(SUMPRODUCT(MAX((T_PlannedOrders[Part Name]=$A475)*(T_PlannedOrders[WeekIndex]=20)*(T_PlannedOrders[EffectiveQty]&gt;0)*T_PlannedOrders[Order_Month])),"m月")&amp;"発注)")</f>
        <v/>
      </c>
      <c r="X481">
        <f>IF(SUMIFS(T_PlannedOrders[EffectiveQty],T_PlannedOrders[Part Name],$A475,T_PlannedOrders[WeekIndex],21)=0,"",SUMIFS(T_PlannedOrders[EffectiveQty],T_PlannedOrders[Part Name],$A475,T_PlannedOrders[WeekIndex],21)&amp;" ("&amp;TEXT(SUMPRODUCT(MAX((T_PlannedOrders[Part Name]=$A475)*(T_PlannedOrders[WeekIndex]=21)*(T_PlannedOrders[EffectiveQty]&gt;0)*T_PlannedOrders[Order_Month])),"m月")&amp;"発注)")</f>
        <v/>
      </c>
      <c r="Y481">
        <f>IF(SUMIFS(T_PlannedOrders[EffectiveQty],T_PlannedOrders[Part Name],$A475,T_PlannedOrders[WeekIndex],22)=0,"",SUMIFS(T_PlannedOrders[EffectiveQty],T_PlannedOrders[Part Name],$A475,T_PlannedOrders[WeekIndex],22)&amp;" ("&amp;TEXT(SUMPRODUCT(MAX((T_PlannedOrders[Part Name]=$A475)*(T_PlannedOrders[WeekIndex]=22)*(T_PlannedOrders[EffectiveQty]&gt;0)*T_PlannedOrders[Order_Month])),"m月")&amp;"発注)")</f>
        <v/>
      </c>
      <c r="Z481">
        <f>IF(SUMIFS(T_PlannedOrders[EffectiveQty],T_PlannedOrders[Part Name],$A475,T_PlannedOrders[WeekIndex],23)=0,"",SUMIFS(T_PlannedOrders[EffectiveQty],T_PlannedOrders[Part Name],$A475,T_PlannedOrders[WeekIndex],23)&amp;" ("&amp;TEXT(SUMPRODUCT(MAX((T_PlannedOrders[Part Name]=$A475)*(T_PlannedOrders[WeekIndex]=23)*(T_PlannedOrders[EffectiveQty]&gt;0)*T_PlannedOrders[Order_Month])),"m月")&amp;"発注)")</f>
        <v/>
      </c>
      <c r="AA481">
        <f>IF(SUMIFS(T_PlannedOrders[EffectiveQty],T_PlannedOrders[Part Name],$A475,T_PlannedOrders[WeekIndex],24)=0,"",SUMIFS(T_PlannedOrders[EffectiveQty],T_PlannedOrders[Part Name],$A475,T_PlannedOrders[WeekIndex],24)&amp;" ("&amp;TEXT(SUMPRODUCT(MAX((T_PlannedOrders[Part Name]=$A475)*(T_PlannedOrders[WeekIndex]=24)*(T_PlannedOrders[EffectiveQty]&gt;0)*T_PlannedOrders[Order_Month])),"m月")&amp;"発注)")</f>
        <v/>
      </c>
      <c r="AB481">
        <f>IF(SUMIFS(T_PlannedOrders[EffectiveQty],T_PlannedOrders[Part Name],$A475,T_PlannedOrders[WeekIndex],25)=0,"",SUMIFS(T_PlannedOrders[EffectiveQty],T_PlannedOrders[Part Name],$A475,T_PlannedOrders[WeekIndex],25)&amp;" ("&amp;TEXT(SUMPRODUCT(MAX((T_PlannedOrders[Part Name]=$A475)*(T_PlannedOrders[WeekIndex]=25)*(T_PlannedOrders[EffectiveQty]&gt;0)*T_PlannedOrders[Order_Month])),"m月")&amp;"発注)")</f>
        <v/>
      </c>
      <c r="AC481">
        <f>IF(SUMIFS(T_PlannedOrders[EffectiveQty],T_PlannedOrders[Part Name],$A475,T_PlannedOrders[WeekIndex],26)=0,"",SUMIFS(T_PlannedOrders[EffectiveQty],T_PlannedOrders[Part Name],$A475,T_PlannedOrders[WeekIndex],26)&amp;" ("&amp;TEXT(SUMPRODUCT(MAX((T_PlannedOrders[Part Name]=$A475)*(T_PlannedOrders[WeekIndex]=26)*(T_PlannedOrders[EffectiveQty]&gt;0)*T_PlannedOrders[Order_Month])),"m月")&amp;"発注)")</f>
        <v/>
      </c>
      <c r="AD481">
        <f>IF(SUMIFS(T_PlannedOrders[EffectiveQty],T_PlannedOrders[Part Name],$A475,T_PlannedOrders[WeekIndex],27)=0,"",SUMIFS(T_PlannedOrders[EffectiveQty],T_PlannedOrders[Part Name],$A475,T_PlannedOrders[WeekIndex],27)&amp;" ("&amp;TEXT(SUMPRODUCT(MAX((T_PlannedOrders[Part Name]=$A475)*(T_PlannedOrders[WeekIndex]=27)*(T_PlannedOrders[EffectiveQty]&gt;0)*T_PlannedOrders[Order_Month])),"m月")&amp;"発注)")</f>
        <v/>
      </c>
      <c r="AE481">
        <f>IF(SUMIFS(T_PlannedOrders[EffectiveQty],T_PlannedOrders[Part Name],$A475,T_PlannedOrders[WeekIndex],28)=0,"",SUMIFS(T_PlannedOrders[EffectiveQty],T_PlannedOrders[Part Name],$A475,T_PlannedOrders[WeekIndex],28)&amp;" ("&amp;TEXT(SUMPRODUCT(MAX((T_PlannedOrders[Part Name]=$A475)*(T_PlannedOrders[WeekIndex]=28)*(T_PlannedOrders[EffectiveQty]&gt;0)*T_PlannedOrders[Order_Month])),"m月")&amp;"発注)")</f>
        <v/>
      </c>
      <c r="AF481">
        <f>IF(SUMIFS(T_PlannedOrders[EffectiveQty],T_PlannedOrders[Part Name],$A475,T_PlannedOrders[WeekIndex],29)=0,"",SUMIFS(T_PlannedOrders[EffectiveQty],T_PlannedOrders[Part Name],$A475,T_PlannedOrders[WeekIndex],29)&amp;" ("&amp;TEXT(SUMPRODUCT(MAX((T_PlannedOrders[Part Name]=$A475)*(T_PlannedOrders[WeekIndex]=29)*(T_PlannedOrders[EffectiveQty]&gt;0)*T_PlannedOrders[Order_Month])),"m月")&amp;"発注)")</f>
        <v/>
      </c>
      <c r="AG481">
        <f>IF(SUMIFS(T_PlannedOrders[EffectiveQty],T_PlannedOrders[Part Name],$A475,T_PlannedOrders[WeekIndex],30)=0,"",SUMIFS(T_PlannedOrders[EffectiveQty],T_PlannedOrders[Part Name],$A475,T_PlannedOrders[WeekIndex],30)&amp;" ("&amp;TEXT(SUMPRODUCT(MAX((T_PlannedOrders[Part Name]=$A475)*(T_PlannedOrders[WeekIndex]=30)*(T_PlannedOrders[EffectiveQty]&gt;0)*T_PlannedOrders[Order_Month])),"m月")&amp;"発注)")</f>
        <v/>
      </c>
      <c r="AH481">
        <f>IF(SUMIFS(T_PlannedOrders[EffectiveQty],T_PlannedOrders[Part Name],$A475,T_PlannedOrders[WeekIndex],31)=0,"",SUMIFS(T_PlannedOrders[EffectiveQty],T_PlannedOrders[Part Name],$A475,T_PlannedOrders[WeekIndex],31)&amp;" ("&amp;TEXT(SUMPRODUCT(MAX((T_PlannedOrders[Part Name]=$A475)*(T_PlannedOrders[WeekIndex]=31)*(T_PlannedOrders[EffectiveQty]&gt;0)*T_PlannedOrders[Order_Month])),"m月")&amp;"発注)")</f>
        <v/>
      </c>
      <c r="AI481">
        <f>IF(SUMIFS(T_PlannedOrders[EffectiveQty],T_PlannedOrders[Part Name],$A475,T_PlannedOrders[WeekIndex],32)=0,"",SUMIFS(T_PlannedOrders[EffectiveQty],T_PlannedOrders[Part Name],$A475,T_PlannedOrders[WeekIndex],32)&amp;" ("&amp;TEXT(SUMPRODUCT(MAX((T_PlannedOrders[Part Name]=$A475)*(T_PlannedOrders[WeekIndex]=32)*(T_PlannedOrders[EffectiveQty]&gt;0)*T_PlannedOrders[Order_Month])),"m月")&amp;"発注)")</f>
        <v/>
      </c>
      <c r="AJ481">
        <f>IF(SUMIFS(T_PlannedOrders[EffectiveQty],T_PlannedOrders[Part Name],$A475,T_PlannedOrders[WeekIndex],33)=0,"",SUMIFS(T_PlannedOrders[EffectiveQty],T_PlannedOrders[Part Name],$A475,T_PlannedOrders[WeekIndex],33)&amp;" ("&amp;TEXT(SUMPRODUCT(MAX((T_PlannedOrders[Part Name]=$A475)*(T_PlannedOrders[WeekIndex]=33)*(T_PlannedOrders[EffectiveQty]&gt;0)*T_PlannedOrders[Order_Month])),"m月")&amp;"発注)")</f>
        <v/>
      </c>
      <c r="AK481">
        <f>IF(SUMIFS(T_PlannedOrders[EffectiveQty],T_PlannedOrders[Part Name],$A475,T_PlannedOrders[WeekIndex],34)=0,"",SUMIFS(T_PlannedOrders[EffectiveQty],T_PlannedOrders[Part Name],$A475,T_PlannedOrders[WeekIndex],34)&amp;" ("&amp;TEXT(SUMPRODUCT(MAX((T_PlannedOrders[Part Name]=$A475)*(T_PlannedOrders[WeekIndex]=34)*(T_PlannedOrders[EffectiveQty]&gt;0)*T_PlannedOrders[Order_Month])),"m月")&amp;"発注)")</f>
        <v/>
      </c>
      <c r="AL481">
        <f>IF(SUMIFS(T_PlannedOrders[EffectiveQty],T_PlannedOrders[Part Name],$A475,T_PlannedOrders[WeekIndex],35)=0,"",SUMIFS(T_PlannedOrders[EffectiveQty],T_PlannedOrders[Part Name],$A475,T_PlannedOrders[WeekIndex],35)&amp;" ("&amp;TEXT(SUMPRODUCT(MAX((T_PlannedOrders[Part Name]=$A475)*(T_PlannedOrders[WeekIndex]=35)*(T_PlannedOrders[EffectiveQty]&gt;0)*T_PlannedOrders[Order_Month])),"m月")&amp;"発注)")</f>
        <v/>
      </c>
      <c r="AM481">
        <f>IF(SUMIFS(T_PlannedOrders[EffectiveQty],T_PlannedOrders[Part Name],$A475,T_PlannedOrders[WeekIndex],36)=0,"",SUMIFS(T_PlannedOrders[EffectiveQty],T_PlannedOrders[Part Name],$A475,T_PlannedOrders[WeekIndex],36)&amp;" ("&amp;TEXT(SUMPRODUCT(MAX((T_PlannedOrders[Part Name]=$A475)*(T_PlannedOrders[WeekIndex]=36)*(T_PlannedOrders[EffectiveQty]&gt;0)*T_PlannedOrders[Order_Month])),"m月")&amp;"発注)")</f>
        <v/>
      </c>
      <c r="AN481">
        <f>IF(SUMIFS(T_PlannedOrders[EffectiveQty],T_PlannedOrders[Part Name],$A475,T_PlannedOrders[WeekIndex],37)=0,"",SUMIFS(T_PlannedOrders[EffectiveQty],T_PlannedOrders[Part Name],$A475,T_PlannedOrders[WeekIndex],37)&amp;" ("&amp;TEXT(SUMPRODUCT(MAX((T_PlannedOrders[Part Name]=$A475)*(T_PlannedOrders[WeekIndex]=37)*(T_PlannedOrders[EffectiveQty]&gt;0)*T_PlannedOrders[Order_Month])),"m月")&amp;"発注)")</f>
        <v/>
      </c>
      <c r="AO481">
        <f>IF(SUMIFS(T_PlannedOrders[EffectiveQty],T_PlannedOrders[Part Name],$A475,T_PlannedOrders[WeekIndex],38)=0,"",SUMIFS(T_PlannedOrders[EffectiveQty],T_PlannedOrders[Part Name],$A475,T_PlannedOrders[WeekIndex],38)&amp;" ("&amp;TEXT(SUMPRODUCT(MAX((T_PlannedOrders[Part Name]=$A475)*(T_PlannedOrders[WeekIndex]=38)*(T_PlannedOrders[EffectiveQty]&gt;0)*T_PlannedOrders[Order_Month])),"m月")&amp;"発注)")</f>
        <v/>
      </c>
      <c r="AP481">
        <f>IF(SUMIFS(T_PlannedOrders[EffectiveQty],T_PlannedOrders[Part Name],$A475,T_PlannedOrders[WeekIndex],39)=0,"",SUMIFS(T_PlannedOrders[EffectiveQty],T_PlannedOrders[Part Name],$A475,T_PlannedOrders[WeekIndex],39)&amp;" ("&amp;TEXT(SUMPRODUCT(MAX((T_PlannedOrders[Part Name]=$A475)*(T_PlannedOrders[WeekIndex]=39)*(T_PlannedOrders[EffectiveQty]&gt;0)*T_PlannedOrders[Order_Month])),"m月")&amp;"発注)")</f>
        <v/>
      </c>
      <c r="AQ481">
        <f>IF(SUMIFS(T_PlannedOrders[EffectiveQty],T_PlannedOrders[Part Name],$A475,T_PlannedOrders[WeekIndex],40)=0,"",SUMIFS(T_PlannedOrders[EffectiveQty],T_PlannedOrders[Part Name],$A475,T_PlannedOrders[WeekIndex],40)&amp;" ("&amp;TEXT(SUMPRODUCT(MAX((T_PlannedOrders[Part Name]=$A475)*(T_PlannedOrders[WeekIndex]=40)*(T_PlannedOrders[EffectiveQty]&gt;0)*T_PlannedOrders[Order_Month])),"m月")&amp;"発注)")</f>
        <v/>
      </c>
      <c r="AR481">
        <f>IF(SUMIFS(T_PlannedOrders[EffectiveQty],T_PlannedOrders[Part Name],$A475,T_PlannedOrders[WeekIndex],41)=0,"",SUMIFS(T_PlannedOrders[EffectiveQty],T_PlannedOrders[Part Name],$A475,T_PlannedOrders[WeekIndex],41)&amp;" ("&amp;TEXT(SUMPRODUCT(MAX((T_PlannedOrders[Part Name]=$A475)*(T_PlannedOrders[WeekIndex]=41)*(T_PlannedOrders[EffectiveQty]&gt;0)*T_PlannedOrders[Order_Month])),"m月")&amp;"発注)")</f>
        <v/>
      </c>
      <c r="AS481">
        <f>IF(SUMIFS(T_PlannedOrders[EffectiveQty],T_PlannedOrders[Part Name],$A475,T_PlannedOrders[WeekIndex],42)=0,"",SUMIFS(T_PlannedOrders[EffectiveQty],T_PlannedOrders[Part Name],$A475,T_PlannedOrders[WeekIndex],42)&amp;" ("&amp;TEXT(SUMPRODUCT(MAX((T_PlannedOrders[Part Name]=$A475)*(T_PlannedOrders[WeekIndex]=42)*(T_PlannedOrders[EffectiveQty]&gt;0)*T_PlannedOrders[Order_Month])),"m月")&amp;"発注)")</f>
        <v/>
      </c>
      <c r="AT481">
        <f>IF(SUMIFS(T_PlannedOrders[EffectiveQty],T_PlannedOrders[Part Name],$A475,T_PlannedOrders[WeekIndex],43)=0,"",SUMIFS(T_PlannedOrders[EffectiveQty],T_PlannedOrders[Part Name],$A475,T_PlannedOrders[WeekIndex],43)&amp;" ("&amp;TEXT(SUMPRODUCT(MAX((T_PlannedOrders[Part Name]=$A475)*(T_PlannedOrders[WeekIndex]=43)*(T_PlannedOrders[EffectiveQty]&gt;0)*T_PlannedOrders[Order_Month])),"m月")&amp;"発注)")</f>
        <v/>
      </c>
      <c r="AU481">
        <f>IF(SUMIFS(T_PlannedOrders[EffectiveQty],T_PlannedOrders[Part Name],$A475,T_PlannedOrders[WeekIndex],44)=0,"",SUMIFS(T_PlannedOrders[EffectiveQty],T_PlannedOrders[Part Name],$A475,T_PlannedOrders[WeekIndex],44)&amp;" ("&amp;TEXT(SUMPRODUCT(MAX((T_PlannedOrders[Part Name]=$A475)*(T_PlannedOrders[WeekIndex]=44)*(T_PlannedOrders[EffectiveQty]&gt;0)*T_PlannedOrders[Order_Month])),"m月")&amp;"発注)")</f>
        <v/>
      </c>
      <c r="AV481">
        <f>IF(SUMIFS(T_PlannedOrders[EffectiveQty],T_PlannedOrders[Part Name],$A475,T_PlannedOrders[WeekIndex],45)=0,"",SUMIFS(T_PlannedOrders[EffectiveQty],T_PlannedOrders[Part Name],$A475,T_PlannedOrders[WeekIndex],45)&amp;" ("&amp;TEXT(SUMPRODUCT(MAX((T_PlannedOrders[Part Name]=$A475)*(T_PlannedOrders[WeekIndex]=45)*(T_PlannedOrders[EffectiveQty]&gt;0)*T_PlannedOrders[Order_Month])),"m月")&amp;"発注)")</f>
        <v/>
      </c>
      <c r="AW481">
        <f>IF(SUMIFS(T_PlannedOrders[EffectiveQty],T_PlannedOrders[Part Name],$A475,T_PlannedOrders[WeekIndex],46)=0,"",SUMIFS(T_PlannedOrders[EffectiveQty],T_PlannedOrders[Part Name],$A475,T_PlannedOrders[WeekIndex],46)&amp;" ("&amp;TEXT(SUMPRODUCT(MAX((T_PlannedOrders[Part Name]=$A475)*(T_PlannedOrders[WeekIndex]=46)*(T_PlannedOrders[EffectiveQty]&gt;0)*T_PlannedOrders[Order_Month])),"m月")&amp;"発注)")</f>
        <v/>
      </c>
      <c r="AX481">
        <f>IF(SUMIFS(T_PlannedOrders[EffectiveQty],T_PlannedOrders[Part Name],$A475,T_PlannedOrders[WeekIndex],47)=0,"",SUMIFS(T_PlannedOrders[EffectiveQty],T_PlannedOrders[Part Name],$A475,T_PlannedOrders[WeekIndex],47)&amp;" ("&amp;TEXT(SUMPRODUCT(MAX((T_PlannedOrders[Part Name]=$A475)*(T_PlannedOrders[WeekIndex]=47)*(T_PlannedOrders[EffectiveQty]&gt;0)*T_PlannedOrders[Order_Month])),"m月")&amp;"発注)")</f>
        <v/>
      </c>
      <c r="AY481">
        <f>IF(SUMIFS(T_PlannedOrders[EffectiveQty],T_PlannedOrders[Part Name],$A475,T_PlannedOrders[WeekIndex],48)=0,"",SUMIFS(T_PlannedOrders[EffectiveQty],T_PlannedOrders[Part Name],$A475,T_PlannedOrders[WeekIndex],48)&amp;" ("&amp;TEXT(SUMPRODUCT(MAX((T_PlannedOrders[Part Name]=$A475)*(T_PlannedOrders[WeekIndex]=48)*(T_PlannedOrders[EffectiveQty]&gt;0)*T_PlannedOrders[Order_Month])),"m月")&amp;"発注)")</f>
        <v/>
      </c>
      <c r="AZ481">
        <f>IF(SUMIFS(T_PlannedOrders[EffectiveQty],T_PlannedOrders[Part Name],$A475,T_PlannedOrders[WeekIndex],49)=0,"",SUMIFS(T_PlannedOrders[EffectiveQty],T_PlannedOrders[Part Name],$A475,T_PlannedOrders[WeekIndex],49)&amp;" ("&amp;TEXT(SUMPRODUCT(MAX((T_PlannedOrders[Part Name]=$A475)*(T_PlannedOrders[WeekIndex]=49)*(T_PlannedOrders[EffectiveQty]&gt;0)*T_PlannedOrders[Order_Month])),"m月")&amp;"発注)")</f>
        <v/>
      </c>
      <c r="BA481">
        <f>IF(SUMIFS(T_PlannedOrders[EffectiveQty],T_PlannedOrders[Part Name],$A475,T_PlannedOrders[WeekIndex],50)=0,"",SUMIFS(T_PlannedOrders[EffectiveQty],T_PlannedOrders[Part Name],$A475,T_PlannedOrders[WeekIndex],50)&amp;" ("&amp;TEXT(SUMPRODUCT(MAX((T_PlannedOrders[Part Name]=$A475)*(T_PlannedOrders[WeekIndex]=50)*(T_PlannedOrders[EffectiveQty]&gt;0)*T_PlannedOrders[Order_Month])),"m月")&amp;"発注)")</f>
        <v/>
      </c>
      <c r="BB481">
        <f>IF(SUMIFS(T_PlannedOrders[EffectiveQty],T_PlannedOrders[Part Name],$A475,T_PlannedOrders[WeekIndex],51)=0,"",SUMIFS(T_PlannedOrders[EffectiveQty],T_PlannedOrders[Part Name],$A475,T_PlannedOrders[WeekIndex],51)&amp;" ("&amp;TEXT(SUMPRODUCT(MAX((T_PlannedOrders[Part Name]=$A475)*(T_PlannedOrders[WeekIndex]=51)*(T_PlannedOrders[EffectiveQty]&gt;0)*T_PlannedOrders[Order_Month])),"m月")&amp;"発注)")</f>
        <v/>
      </c>
      <c r="BC481">
        <f>IF(SUMIFS(T_PlannedOrders[EffectiveQty],T_PlannedOrders[Part Name],$A475,T_PlannedOrders[WeekIndex],52)=0,"",SUMIFS(T_PlannedOrders[EffectiveQty],T_PlannedOrders[Part Name],$A475,T_PlannedOrders[WeekIndex],52)&amp;" ("&amp;TEXT(SUMPRODUCT(MAX((T_PlannedOrders[Part Name]=$A475)*(T_PlannedOrders[WeekIndex]=52)*(T_PlannedOrders[EffectiveQty]&gt;0)*T_PlannedOrders[Order_Month])),"m月")&amp;"発注)")</f>
        <v/>
      </c>
      <c r="BD481">
        <f>IF(SUMIFS(T_PlannedOrders[EffectiveQty],T_PlannedOrders[Part Name],$A475,T_PlannedOrders[WeekIndex],53)=0,"",SUMIFS(T_PlannedOrders[EffectiveQty],T_PlannedOrders[Part Name],$A475,T_PlannedOrders[WeekIndex],53)&amp;" ("&amp;TEXT(SUMPRODUCT(MAX((T_PlannedOrders[Part Name]=$A475)*(T_PlannedOrders[WeekIndex]=53)*(T_PlannedOrders[EffectiveQty]&gt;0)*T_PlannedOrders[Order_Month])),"m月")&amp;"発注)")</f>
        <v/>
      </c>
      <c r="BE481">
        <f>IF(SUMIFS(T_PlannedOrders[EffectiveQty],T_PlannedOrders[Part Name],$A475,T_PlannedOrders[WeekIndex],54)=0,"",SUMIFS(T_PlannedOrders[EffectiveQty],T_PlannedOrders[Part Name],$A475,T_PlannedOrders[WeekIndex],54)&amp;" ("&amp;TEXT(SUMPRODUCT(MAX((T_PlannedOrders[Part Name]=$A475)*(T_PlannedOrders[WeekIndex]=54)*(T_PlannedOrders[EffectiveQty]&gt;0)*T_PlannedOrders[Order_Month])),"m月")&amp;"発注)")</f>
        <v/>
      </c>
      <c r="BF481">
        <f>IF(SUMIFS(T_PlannedOrders[EffectiveQty],T_PlannedOrders[Part Name],$A475,T_PlannedOrders[WeekIndex],55)=0,"",SUMIFS(T_PlannedOrders[EffectiveQty],T_PlannedOrders[Part Name],$A475,T_PlannedOrders[WeekIndex],55)&amp;" ("&amp;TEXT(SUMPRODUCT(MAX((T_PlannedOrders[Part Name]=$A475)*(T_PlannedOrders[WeekIndex]=55)*(T_PlannedOrders[EffectiveQty]&gt;0)*T_PlannedOrders[Order_Month])),"m月")&amp;"発注)")</f>
        <v/>
      </c>
      <c r="BG481">
        <f>IF(SUMIFS(T_PlannedOrders[EffectiveQty],T_PlannedOrders[Part Name],$A475,T_PlannedOrders[WeekIndex],56)=0,"",SUMIFS(T_PlannedOrders[EffectiveQty],T_PlannedOrders[Part Name],$A475,T_PlannedOrders[WeekIndex],56)&amp;" ("&amp;TEXT(SUMPRODUCT(MAX((T_PlannedOrders[Part Name]=$A475)*(T_PlannedOrders[WeekIndex]=56)*(T_PlannedOrders[EffectiveQty]&gt;0)*T_PlannedOrders[Order_Month])),"m月")&amp;"発注)")</f>
        <v/>
      </c>
      <c r="BH481">
        <f>IF(SUMIFS(T_PlannedOrders[EffectiveQty],T_PlannedOrders[Part Name],$A475,T_PlannedOrders[WeekIndex],57)=0,"",SUMIFS(T_PlannedOrders[EffectiveQty],T_PlannedOrders[Part Name],$A475,T_PlannedOrders[WeekIndex],57)&amp;" ("&amp;TEXT(SUMPRODUCT(MAX((T_PlannedOrders[Part Name]=$A475)*(T_PlannedOrders[WeekIndex]=57)*(T_PlannedOrders[EffectiveQty]&gt;0)*T_PlannedOrders[Order_Month])),"m月")&amp;"発注)")</f>
        <v/>
      </c>
      <c r="BI481">
        <f>IF(SUMIFS(T_PlannedOrders[EffectiveQty],T_PlannedOrders[Part Name],$A475,T_PlannedOrders[WeekIndex],58)=0,"",SUMIFS(T_PlannedOrders[EffectiveQty],T_PlannedOrders[Part Name],$A475,T_PlannedOrders[WeekIndex],58)&amp;" ("&amp;TEXT(SUMPRODUCT(MAX((T_PlannedOrders[Part Name]=$A475)*(T_PlannedOrders[WeekIndex]=58)*(T_PlannedOrders[EffectiveQty]&gt;0)*T_PlannedOrders[Order_Month])),"m月")&amp;"発注)")</f>
        <v/>
      </c>
      <c r="BJ481">
        <f>IF(SUMIFS(T_PlannedOrders[EffectiveQty],T_PlannedOrders[Part Name],$A475,T_PlannedOrders[WeekIndex],59)=0,"",SUMIFS(T_PlannedOrders[EffectiveQty],T_PlannedOrders[Part Name],$A475,T_PlannedOrders[WeekIndex],59)&amp;" ("&amp;TEXT(SUMPRODUCT(MAX((T_PlannedOrders[Part Name]=$A475)*(T_PlannedOrders[WeekIndex]=59)*(T_PlannedOrders[EffectiveQty]&gt;0)*T_PlannedOrders[Order_Month])),"m月")&amp;"発注)")</f>
        <v/>
      </c>
      <c r="BK481">
        <f>IF(SUMIFS(T_PlannedOrders[EffectiveQty],T_PlannedOrders[Part Name],$A475,T_PlannedOrders[WeekIndex],60)=0,"",SUMIFS(T_PlannedOrders[EffectiveQty],T_PlannedOrders[Part Name],$A475,T_PlannedOrders[WeekIndex],60)&amp;" ("&amp;TEXT(SUMPRODUCT(MAX((T_PlannedOrders[Part Name]=$A475)*(T_PlannedOrders[WeekIndex]=60)*(T_PlannedOrders[EffectiveQty]&gt;0)*T_PlannedOrders[Order_Month])),"m月")&amp;"発注)")</f>
        <v/>
      </c>
      <c r="BL481">
        <f>IF(SUMIFS(T_PlannedOrders[EffectiveQty],T_PlannedOrders[Part Name],$A475,T_PlannedOrders[WeekIndex],61)=0,"",SUMIFS(T_PlannedOrders[EffectiveQty],T_PlannedOrders[Part Name],$A475,T_PlannedOrders[WeekIndex],61)&amp;" ("&amp;TEXT(SUMPRODUCT(MAX((T_PlannedOrders[Part Name]=$A475)*(T_PlannedOrders[WeekIndex]=61)*(T_PlannedOrders[EffectiveQty]&gt;0)*T_PlannedOrders[Order_Month])),"m月")&amp;"発注)")</f>
        <v/>
      </c>
      <c r="BM481">
        <f>IF(SUMIFS(T_PlannedOrders[EffectiveQty],T_PlannedOrders[Part Name],$A475,T_PlannedOrders[WeekIndex],62)=0,"",SUMIFS(T_PlannedOrders[EffectiveQty],T_PlannedOrders[Part Name],$A475,T_PlannedOrders[WeekIndex],62)&amp;" ("&amp;TEXT(SUMPRODUCT(MAX((T_PlannedOrders[Part Name]=$A475)*(T_PlannedOrders[WeekIndex]=62)*(T_PlannedOrders[EffectiveQty]&gt;0)*T_PlannedOrders[Order_Month])),"m月")&amp;"発注)")</f>
        <v/>
      </c>
      <c r="BN481">
        <f>IF(SUMIFS(T_PlannedOrders[EffectiveQty],T_PlannedOrders[Part Name],$A475,T_PlannedOrders[WeekIndex],63)=0,"",SUMIFS(T_PlannedOrders[EffectiveQty],T_PlannedOrders[Part Name],$A475,T_PlannedOrders[WeekIndex],63)&amp;" ("&amp;TEXT(SUMPRODUCT(MAX((T_PlannedOrders[Part Name]=$A475)*(T_PlannedOrders[WeekIndex]=63)*(T_PlannedOrders[EffectiveQty]&gt;0)*T_PlannedOrders[Order_Month])),"m月")&amp;"発注)")</f>
        <v/>
      </c>
      <c r="BO481">
        <f>IF(SUMIFS(T_PlannedOrders[EffectiveQty],T_PlannedOrders[Part Name],$A475,T_PlannedOrders[WeekIndex],64)=0,"",SUMIFS(T_PlannedOrders[EffectiveQty],T_PlannedOrders[Part Name],$A475,T_PlannedOrders[WeekIndex],64)&amp;" ("&amp;TEXT(SUMPRODUCT(MAX((T_PlannedOrders[Part Name]=$A475)*(T_PlannedOrders[WeekIndex]=64)*(T_PlannedOrders[EffectiveQty]&gt;0)*T_PlannedOrders[Order_Month])),"m月")&amp;"発注)")</f>
        <v/>
      </c>
      <c r="BP481">
        <f>IF(SUMIFS(T_PlannedOrders[EffectiveQty],T_PlannedOrders[Part Name],$A475,T_PlannedOrders[WeekIndex],65)=0,"",SUMIFS(T_PlannedOrders[EffectiveQty],T_PlannedOrders[Part Name],$A475,T_PlannedOrders[WeekIndex],65)&amp;" ("&amp;TEXT(SUMPRODUCT(MAX((T_PlannedOrders[Part Name]=$A475)*(T_PlannedOrders[WeekIndex]=65)*(T_PlannedOrders[EffectiveQty]&gt;0)*T_PlannedOrders[Order_Month])),"m月")&amp;"発注)")</f>
        <v/>
      </c>
      <c r="BQ481">
        <f>IF(SUMIFS(T_PlannedOrders[EffectiveQty],T_PlannedOrders[Part Name],$A475,T_PlannedOrders[WeekIndex],66)=0,"",SUMIFS(T_PlannedOrders[EffectiveQty],T_PlannedOrders[Part Name],$A475,T_PlannedOrders[WeekIndex],66)&amp;" ("&amp;TEXT(SUMPRODUCT(MAX((T_PlannedOrders[Part Name]=$A475)*(T_PlannedOrders[WeekIndex]=66)*(T_PlannedOrders[EffectiveQty]&gt;0)*T_PlannedOrders[Order_Month])),"m月")&amp;"発注)")</f>
        <v/>
      </c>
      <c r="BR481">
        <f>IF(SUMIFS(T_PlannedOrders[EffectiveQty],T_PlannedOrders[Part Name],$A475,T_PlannedOrders[WeekIndex],67)=0,"",SUMIFS(T_PlannedOrders[EffectiveQty],T_PlannedOrders[Part Name],$A475,T_PlannedOrders[WeekIndex],67)&amp;" ("&amp;TEXT(SUMPRODUCT(MAX((T_PlannedOrders[Part Name]=$A475)*(T_PlannedOrders[WeekIndex]=67)*(T_PlannedOrders[EffectiveQty]&gt;0)*T_PlannedOrders[Order_Month])),"m月")&amp;"発注)")</f>
        <v/>
      </c>
      <c r="BS481">
        <f>IF(SUMIFS(T_PlannedOrders[EffectiveQty],T_PlannedOrders[Part Name],$A475,T_PlannedOrders[WeekIndex],68)=0,"",SUMIFS(T_PlannedOrders[EffectiveQty],T_PlannedOrders[Part Name],$A475,T_PlannedOrders[WeekIndex],68)&amp;" ("&amp;TEXT(SUMPRODUCT(MAX((T_PlannedOrders[Part Name]=$A475)*(T_PlannedOrders[WeekIndex]=68)*(T_PlannedOrders[EffectiveQty]&gt;0)*T_PlannedOrders[Order_Month])),"m月")&amp;"発注)")</f>
        <v/>
      </c>
      <c r="BT481">
        <f>IF(SUMIFS(T_PlannedOrders[EffectiveQty],T_PlannedOrders[Part Name],$A475,T_PlannedOrders[WeekIndex],69)=0,"",SUMIFS(T_PlannedOrders[EffectiveQty],T_PlannedOrders[Part Name],$A475,T_PlannedOrders[WeekIndex],69)&amp;" ("&amp;TEXT(SUMPRODUCT(MAX((T_PlannedOrders[Part Name]=$A475)*(T_PlannedOrders[WeekIndex]=69)*(T_PlannedOrders[EffectiveQty]&gt;0)*T_PlannedOrders[Order_Month])),"m月")&amp;"発注)")</f>
        <v/>
      </c>
      <c r="BU481">
        <f>IF(SUMIFS(T_PlannedOrders[EffectiveQty],T_PlannedOrders[Part Name],$A475,T_PlannedOrders[WeekIndex],70)=0,"",SUMIFS(T_PlannedOrders[EffectiveQty],T_PlannedOrders[Part Name],$A475,T_PlannedOrders[WeekIndex],70)&amp;" ("&amp;TEXT(SUMPRODUCT(MAX((T_PlannedOrders[Part Name]=$A475)*(T_PlannedOrders[WeekIndex]=70)*(T_PlannedOrders[EffectiveQty]&gt;0)*T_PlannedOrders[Order_Month])),"m月")&amp;"発注)")</f>
        <v/>
      </c>
      <c r="BV481">
        <f>IF(SUMIFS(T_PlannedOrders[EffectiveQty],T_PlannedOrders[Part Name],$A475,T_PlannedOrders[WeekIndex],71)=0,"",SUMIFS(T_PlannedOrders[EffectiveQty],T_PlannedOrders[Part Name],$A475,T_PlannedOrders[WeekIndex],71)&amp;" ("&amp;TEXT(SUMPRODUCT(MAX((T_PlannedOrders[Part Name]=$A475)*(T_PlannedOrders[WeekIndex]=71)*(T_PlannedOrders[EffectiveQty]&gt;0)*T_PlannedOrders[Order_Month])),"m月")&amp;"発注)")</f>
        <v/>
      </c>
      <c r="BW481">
        <f>IF(SUMIFS(T_PlannedOrders[EffectiveQty],T_PlannedOrders[Part Name],$A475,T_PlannedOrders[WeekIndex],72)=0,"",SUMIFS(T_PlannedOrders[EffectiveQty],T_PlannedOrders[Part Name],$A475,T_PlannedOrders[WeekIndex],72)&amp;" ("&amp;TEXT(SUMPRODUCT(MAX((T_PlannedOrders[Part Name]=$A475)*(T_PlannedOrders[WeekIndex]=72)*(T_PlannedOrders[EffectiveQty]&gt;0)*T_PlannedOrders[Order_Month])),"m月")&amp;"発注)")</f>
        <v/>
      </c>
      <c r="BX481">
        <f>IF(SUMIFS(T_PlannedOrders[EffectiveQty],T_PlannedOrders[Part Name],$A475,T_PlannedOrders[WeekIndex],73)=0,"",SUMIFS(T_PlannedOrders[EffectiveQty],T_PlannedOrders[Part Name],$A475,T_PlannedOrders[WeekIndex],73)&amp;" ("&amp;TEXT(SUMPRODUCT(MAX((T_PlannedOrders[Part Name]=$A475)*(T_PlannedOrders[WeekIndex]=73)*(T_PlannedOrders[EffectiveQty]&gt;0)*T_PlannedOrders[Order_Month])),"m月")&amp;"発注)")</f>
        <v/>
      </c>
      <c r="BY481">
        <f>IF(SUMIFS(T_PlannedOrders[EffectiveQty],T_PlannedOrders[Part Name],$A475,T_PlannedOrders[WeekIndex],74)=0,"",SUMIFS(T_PlannedOrders[EffectiveQty],T_PlannedOrders[Part Name],$A475,T_PlannedOrders[WeekIndex],74)&amp;" ("&amp;TEXT(SUMPRODUCT(MAX((T_PlannedOrders[Part Name]=$A475)*(T_PlannedOrders[WeekIndex]=74)*(T_PlannedOrders[EffectiveQty]&gt;0)*T_PlannedOrders[Order_Month])),"m月")&amp;"発注)")</f>
        <v/>
      </c>
      <c r="BZ481">
        <f>IF(SUMIFS(T_PlannedOrders[EffectiveQty],T_PlannedOrders[Part Name],$A475,T_PlannedOrders[WeekIndex],75)=0,"",SUMIFS(T_PlannedOrders[EffectiveQty],T_PlannedOrders[Part Name],$A475,T_PlannedOrders[WeekIndex],75)&amp;" ("&amp;TEXT(SUMPRODUCT(MAX((T_PlannedOrders[Part Name]=$A475)*(T_PlannedOrders[WeekIndex]=75)*(T_PlannedOrders[EffectiveQty]&gt;0)*T_PlannedOrders[Order_Month])),"m月")&amp;"発注)")</f>
        <v/>
      </c>
      <c r="CA481">
        <f>IF(SUMIFS(T_PlannedOrders[EffectiveQty],T_PlannedOrders[Part Name],$A475,T_PlannedOrders[WeekIndex],76)=0,"",SUMIFS(T_PlannedOrders[EffectiveQty],T_PlannedOrders[Part Name],$A475,T_PlannedOrders[WeekIndex],76)&amp;" ("&amp;TEXT(SUMPRODUCT(MAX((T_PlannedOrders[Part Name]=$A475)*(T_PlannedOrders[WeekIndex]=76)*(T_PlannedOrders[EffectiveQty]&gt;0)*T_PlannedOrders[Order_Month])),"m月")&amp;"発注)")</f>
        <v/>
      </c>
      <c r="CB481">
        <f>IF(SUMIFS(T_PlannedOrders[EffectiveQty],T_PlannedOrders[Part Name],$A475,T_PlannedOrders[WeekIndex],77)=0,"",SUMIFS(T_PlannedOrders[EffectiveQty],T_PlannedOrders[Part Name],$A475,T_PlannedOrders[WeekIndex],77)&amp;" ("&amp;TEXT(SUMPRODUCT(MAX((T_PlannedOrders[Part Name]=$A475)*(T_PlannedOrders[WeekIndex]=77)*(T_PlannedOrders[EffectiveQty]&gt;0)*T_PlannedOrders[Order_Month])),"m月")&amp;"発注)")</f>
        <v/>
      </c>
      <c r="CC481">
        <f>IF(SUMIFS(T_PlannedOrders[EffectiveQty],T_PlannedOrders[Part Name],$A475,T_PlannedOrders[WeekIndex],78)=0,"",SUMIFS(T_PlannedOrders[EffectiveQty],T_PlannedOrders[Part Name],$A475,T_PlannedOrders[WeekIndex],78)&amp;" ("&amp;TEXT(SUMPRODUCT(MAX((T_PlannedOrders[Part Name]=$A475)*(T_PlannedOrders[WeekIndex]=78)*(T_PlannedOrders[EffectiveQty]&gt;0)*T_PlannedOrders[Order_Month])),"m月")&amp;"発注)")</f>
        <v/>
      </c>
      <c r="CD481">
        <f>IF(SUMIFS(T_PlannedOrders[EffectiveQty],T_PlannedOrders[Part Name],$A475,T_PlannedOrders[WeekIndex],79)=0,"",SUMIFS(T_PlannedOrders[EffectiveQty],T_PlannedOrders[Part Name],$A475,T_PlannedOrders[WeekIndex],79)&amp;" ("&amp;TEXT(SUMPRODUCT(MAX((T_PlannedOrders[Part Name]=$A475)*(T_PlannedOrders[WeekIndex]=79)*(T_PlannedOrders[EffectiveQty]&gt;0)*T_PlannedOrders[Order_Month])),"m月")&amp;"発注)")</f>
        <v/>
      </c>
      <c r="CE481">
        <f>IF(SUMIFS(T_PlannedOrders[EffectiveQty],T_PlannedOrders[Part Name],$A475,T_PlannedOrders[WeekIndex],80)=0,"",SUMIFS(T_PlannedOrders[EffectiveQty],T_PlannedOrders[Part Name],$A475,T_PlannedOrders[WeekIndex],80)&amp;" ("&amp;TEXT(SUMPRODUCT(MAX((T_PlannedOrders[Part Name]=$A475)*(T_PlannedOrders[WeekIndex]=80)*(T_PlannedOrders[EffectiveQty]&gt;0)*T_PlannedOrders[Order_Month])),"m月")&amp;"発注)")</f>
        <v/>
      </c>
      <c r="CF481">
        <f>IF(SUMIFS(T_PlannedOrders[EffectiveQty],T_PlannedOrders[Part Name],$A475,T_PlannedOrders[WeekIndex],81)=0,"",SUMIFS(T_PlannedOrders[EffectiveQty],T_PlannedOrders[Part Name],$A475,T_PlannedOrders[WeekIndex],81)&amp;" ("&amp;TEXT(SUMPRODUCT(MAX((T_PlannedOrders[Part Name]=$A475)*(T_PlannedOrders[WeekIndex]=81)*(T_PlannedOrders[EffectiveQty]&gt;0)*T_PlannedOrders[Order_Month])),"m月")&amp;"発注)")</f>
        <v/>
      </c>
      <c r="CG481">
        <f>IF(SUMIFS(T_PlannedOrders[EffectiveQty],T_PlannedOrders[Part Name],$A475,T_PlannedOrders[WeekIndex],82)=0,"",SUMIFS(T_PlannedOrders[EffectiveQty],T_PlannedOrders[Part Name],$A475,T_PlannedOrders[WeekIndex],82)&amp;" ("&amp;TEXT(SUMPRODUCT(MAX((T_PlannedOrders[Part Name]=$A475)*(T_PlannedOrders[WeekIndex]=82)*(T_PlannedOrders[EffectiveQty]&gt;0)*T_PlannedOrders[Order_Month])),"m月")&amp;"発注)")</f>
        <v/>
      </c>
      <c r="CH481">
        <f>IF(SUMIFS(T_PlannedOrders[EffectiveQty],T_PlannedOrders[Part Name],$A475,T_PlannedOrders[WeekIndex],83)=0,"",SUMIFS(T_PlannedOrders[EffectiveQty],T_PlannedOrders[Part Name],$A475,T_PlannedOrders[WeekIndex],83)&amp;" ("&amp;TEXT(SUMPRODUCT(MAX((T_PlannedOrders[Part Name]=$A475)*(T_PlannedOrders[WeekIndex]=83)*(T_PlannedOrders[EffectiveQty]&gt;0)*T_PlannedOrders[Order_Month])),"m月")&amp;"発注)")</f>
        <v/>
      </c>
      <c r="CI481">
        <f>IF(SUMIFS(T_PlannedOrders[EffectiveQty],T_PlannedOrders[Part Name],$A475,T_PlannedOrders[WeekIndex],84)=0,"",SUMIFS(T_PlannedOrders[EffectiveQty],T_PlannedOrders[Part Name],$A475,T_PlannedOrders[WeekIndex],84)&amp;" ("&amp;TEXT(SUMPRODUCT(MAX((T_PlannedOrders[Part Name]=$A475)*(T_PlannedOrders[WeekIndex]=84)*(T_PlannedOrders[EffectiveQty]&gt;0)*T_PlannedOrders[Order_Month])),"m月")&amp;"発注)")</f>
        <v/>
      </c>
      <c r="CJ481">
        <f>IF(SUMIFS(T_PlannedOrders[EffectiveQty],T_PlannedOrders[Part Name],$A475,T_PlannedOrders[WeekIndex],85)=0,"",SUMIFS(T_PlannedOrders[EffectiveQty],T_PlannedOrders[Part Name],$A475,T_PlannedOrders[WeekIndex],85)&amp;" ("&amp;TEXT(SUMPRODUCT(MAX((T_PlannedOrders[Part Name]=$A475)*(T_PlannedOrders[WeekIndex]=85)*(T_PlannedOrders[EffectiveQty]&gt;0)*T_PlannedOrders[Order_Month])),"m月")&amp;"発注)")</f>
        <v/>
      </c>
      <c r="CK481">
        <f>IF(SUMIFS(T_PlannedOrders[EffectiveQty],T_PlannedOrders[Part Name],$A475,T_PlannedOrders[WeekIndex],86)=0,"",SUMIFS(T_PlannedOrders[EffectiveQty],T_PlannedOrders[Part Name],$A475,T_PlannedOrders[WeekIndex],86)&amp;" ("&amp;TEXT(SUMPRODUCT(MAX((T_PlannedOrders[Part Name]=$A475)*(T_PlannedOrders[WeekIndex]=86)*(T_PlannedOrders[EffectiveQty]&gt;0)*T_PlannedOrders[Order_Month])),"m月")&amp;"発注)")</f>
        <v/>
      </c>
      <c r="CL481">
        <f>IF(SUMIFS(T_PlannedOrders[EffectiveQty],T_PlannedOrders[Part Name],$A475,T_PlannedOrders[WeekIndex],87)=0,"",SUMIFS(T_PlannedOrders[EffectiveQty],T_PlannedOrders[Part Name],$A475,T_PlannedOrders[WeekIndex],87)&amp;" ("&amp;TEXT(SUMPRODUCT(MAX((T_PlannedOrders[Part Name]=$A475)*(T_PlannedOrders[WeekIndex]=87)*(T_PlannedOrders[EffectiveQty]&gt;0)*T_PlannedOrders[Order_Month])),"m月")&amp;"発注)")</f>
        <v/>
      </c>
      <c r="CM481">
        <f>IF(SUMIFS(T_PlannedOrders[EffectiveQty],T_PlannedOrders[Part Name],$A475,T_PlannedOrders[WeekIndex],88)=0,"",SUMIFS(T_PlannedOrders[EffectiveQty],T_PlannedOrders[Part Name],$A475,T_PlannedOrders[WeekIndex],88)&amp;" ("&amp;TEXT(SUMPRODUCT(MAX((T_PlannedOrders[Part Name]=$A475)*(T_PlannedOrders[WeekIndex]=88)*(T_PlannedOrders[EffectiveQty]&gt;0)*T_PlannedOrders[Order_Month])),"m月")&amp;"発注)")</f>
        <v/>
      </c>
      <c r="CN481">
        <f>IF(SUMIFS(T_PlannedOrders[EffectiveQty],T_PlannedOrders[Part Name],$A475,T_PlannedOrders[WeekIndex],89)=0,"",SUMIFS(T_PlannedOrders[EffectiveQty],T_PlannedOrders[Part Name],$A475,T_PlannedOrders[WeekIndex],89)&amp;" ("&amp;TEXT(SUMPRODUCT(MAX((T_PlannedOrders[Part Name]=$A475)*(T_PlannedOrders[WeekIndex]=89)*(T_PlannedOrders[EffectiveQty]&gt;0)*T_PlannedOrders[Order_Month])),"m月")&amp;"発注)")</f>
        <v/>
      </c>
      <c r="CO481">
        <f>IF(SUMIFS(T_PlannedOrders[EffectiveQty],T_PlannedOrders[Part Name],$A475,T_PlannedOrders[WeekIndex],90)=0,"",SUMIFS(T_PlannedOrders[EffectiveQty],T_PlannedOrders[Part Name],$A475,T_PlannedOrders[WeekIndex],90)&amp;" ("&amp;TEXT(SUMPRODUCT(MAX((T_PlannedOrders[Part Name]=$A475)*(T_PlannedOrders[WeekIndex]=90)*(T_PlannedOrders[EffectiveQty]&gt;0)*T_PlannedOrders[Order_Month])),"m月")&amp;"発注)")</f>
        <v/>
      </c>
      <c r="CP481">
        <f>IF(SUMIFS(T_PlannedOrders[EffectiveQty],T_PlannedOrders[Part Name],$A475,T_PlannedOrders[WeekIndex],91)=0,"",SUMIFS(T_PlannedOrders[EffectiveQty],T_PlannedOrders[Part Name],$A475,T_PlannedOrders[WeekIndex],91)&amp;" ("&amp;TEXT(SUMPRODUCT(MAX((T_PlannedOrders[Part Name]=$A475)*(T_PlannedOrders[WeekIndex]=91)*(T_PlannedOrders[EffectiveQty]&gt;0)*T_PlannedOrders[Order_Month])),"m月")&amp;"発注)")</f>
        <v/>
      </c>
      <c r="CQ481">
        <f>IF(SUMIFS(T_PlannedOrders[EffectiveQty],T_PlannedOrders[Part Name],$A475,T_PlannedOrders[WeekIndex],92)=0,"",SUMIFS(T_PlannedOrders[EffectiveQty],T_PlannedOrders[Part Name],$A475,T_PlannedOrders[WeekIndex],92)&amp;" ("&amp;TEXT(SUMPRODUCT(MAX((T_PlannedOrders[Part Name]=$A475)*(T_PlannedOrders[WeekIndex]=92)*(T_PlannedOrders[EffectiveQty]&gt;0)*T_PlannedOrders[Order_Month])),"m月")&amp;"発注)")</f>
        <v/>
      </c>
      <c r="CR481">
        <f>IF(SUMIFS(T_PlannedOrders[EffectiveQty],T_PlannedOrders[Part Name],$A475,T_PlannedOrders[WeekIndex],93)=0,"",SUMIFS(T_PlannedOrders[EffectiveQty],T_PlannedOrders[Part Name],$A475,T_PlannedOrders[WeekIndex],93)&amp;" ("&amp;TEXT(SUMPRODUCT(MAX((T_PlannedOrders[Part Name]=$A475)*(T_PlannedOrders[WeekIndex]=93)*(T_PlannedOrders[EffectiveQty]&gt;0)*T_PlannedOrders[Order_Month])),"m月")&amp;"発注)")</f>
        <v/>
      </c>
      <c r="CS481">
        <f>IF(SUMIFS(T_PlannedOrders[EffectiveQty],T_PlannedOrders[Part Name],$A475,T_PlannedOrders[WeekIndex],94)=0,"",SUMIFS(T_PlannedOrders[EffectiveQty],T_PlannedOrders[Part Name],$A475,T_PlannedOrders[WeekIndex],94)&amp;" ("&amp;TEXT(SUMPRODUCT(MAX((T_PlannedOrders[Part Name]=$A475)*(T_PlannedOrders[WeekIndex]=94)*(T_PlannedOrders[EffectiveQty]&gt;0)*T_PlannedOrders[Order_Month])),"m月")&amp;"発注)")</f>
        <v/>
      </c>
      <c r="CT481">
        <f>IF(SUMIFS(T_PlannedOrders[EffectiveQty],T_PlannedOrders[Part Name],$A475,T_PlannedOrders[WeekIndex],95)=0,"",SUMIFS(T_PlannedOrders[EffectiveQty],T_PlannedOrders[Part Name],$A475,T_PlannedOrders[WeekIndex],95)&amp;" ("&amp;TEXT(SUMPRODUCT(MAX((T_PlannedOrders[Part Name]=$A475)*(T_PlannedOrders[WeekIndex]=95)*(T_PlannedOrders[EffectiveQty]&gt;0)*T_PlannedOrders[Order_Month])),"m月")&amp;"発注)")</f>
        <v/>
      </c>
      <c r="CU481">
        <f>IF(SUMIFS(T_PlannedOrders[EffectiveQty],T_PlannedOrders[Part Name],$A475,T_PlannedOrders[WeekIndex],96)=0,"",SUMIFS(T_PlannedOrders[EffectiveQty],T_PlannedOrders[Part Name],$A475,T_PlannedOrders[WeekIndex],96)&amp;" ("&amp;TEXT(SUMPRODUCT(MAX((T_PlannedOrders[Part Name]=$A475)*(T_PlannedOrders[WeekIndex]=96)*(T_PlannedOrders[EffectiveQty]&gt;0)*T_PlannedOrders[Order_Month])),"m月")&amp;"発注)")</f>
        <v/>
      </c>
      <c r="CV481">
        <f>IF(SUMIFS(T_PlannedOrders[EffectiveQty],T_PlannedOrders[Part Name],$A475,T_PlannedOrders[WeekIndex],97)=0,"",SUMIFS(T_PlannedOrders[EffectiveQty],T_PlannedOrders[Part Name],$A475,T_PlannedOrders[WeekIndex],97)&amp;" ("&amp;TEXT(SUMPRODUCT(MAX((T_PlannedOrders[Part Name]=$A475)*(T_PlannedOrders[WeekIndex]=97)*(T_PlannedOrders[EffectiveQty]&gt;0)*T_PlannedOrders[Order_Month])),"m月")&amp;"発注)")</f>
        <v/>
      </c>
      <c r="CW481">
        <f>IF(SUMIFS(T_PlannedOrders[EffectiveQty],T_PlannedOrders[Part Name],$A475,T_PlannedOrders[WeekIndex],98)=0,"",SUMIFS(T_PlannedOrders[EffectiveQty],T_PlannedOrders[Part Name],$A475,T_PlannedOrders[WeekIndex],98)&amp;" ("&amp;TEXT(SUMPRODUCT(MAX((T_PlannedOrders[Part Name]=$A475)*(T_PlannedOrders[WeekIndex]=98)*(T_PlannedOrders[EffectiveQty]&gt;0)*T_PlannedOrders[Order_Month])),"m月")&amp;"発注)")</f>
        <v/>
      </c>
      <c r="CX481">
        <f>IF(SUMIFS(T_PlannedOrders[EffectiveQty],T_PlannedOrders[Part Name],$A475,T_PlannedOrders[WeekIndex],99)=0,"",SUMIFS(T_PlannedOrders[EffectiveQty],T_PlannedOrders[Part Name],$A475,T_PlannedOrders[WeekIndex],99)&amp;" ("&amp;TEXT(SUMPRODUCT(MAX((T_PlannedOrders[Part Name]=$A475)*(T_PlannedOrders[WeekIndex]=99)*(T_PlannedOrders[EffectiveQty]&gt;0)*T_PlannedOrders[Order_Month])),"m月")&amp;"発注)")</f>
        <v/>
      </c>
      <c r="CY481">
        <f>IF(SUMIFS(T_PlannedOrders[EffectiveQty],T_PlannedOrders[Part Name],$A475,T_PlannedOrders[WeekIndex],100)=0,"",SUMIFS(T_PlannedOrders[EffectiveQty],T_PlannedOrders[Part Name],$A475,T_PlannedOrders[WeekIndex],100)&amp;" ("&amp;TEXT(SUMPRODUCT(MAX((T_PlannedOrders[Part Name]=$A475)*(T_PlannedOrders[WeekIndex]=100)*(T_PlannedOrders[EffectiveQty]&gt;0)*T_PlannedOrders[Order_Month])),"m月")&amp;"発注)")</f>
        <v/>
      </c>
      <c r="CZ481">
        <f>IF(SUMIFS(T_PlannedOrders[EffectiveQty],T_PlannedOrders[Part Name],$A475,T_PlannedOrders[WeekIndex],101)=0,"",SUMIFS(T_PlannedOrders[EffectiveQty],T_PlannedOrders[Part Name],$A475,T_PlannedOrders[WeekIndex],101)&amp;" ("&amp;TEXT(SUMPRODUCT(MAX((T_PlannedOrders[Part Name]=$A475)*(T_PlannedOrders[WeekIndex]=101)*(T_PlannedOrders[EffectiveQty]&gt;0)*T_PlannedOrders[Order_Month])),"m月")&amp;"発注)")</f>
        <v/>
      </c>
      <c r="DA481">
        <f>IF(SUMIFS(T_PlannedOrders[EffectiveQty],T_PlannedOrders[Part Name],$A475,T_PlannedOrders[WeekIndex],102)=0,"",SUMIFS(T_PlannedOrders[EffectiveQty],T_PlannedOrders[Part Name],$A475,T_PlannedOrders[WeekIndex],102)&amp;" ("&amp;TEXT(SUMPRODUCT(MAX((T_PlannedOrders[Part Name]=$A475)*(T_PlannedOrders[WeekIndex]=102)*(T_PlannedOrders[EffectiveQty]&gt;0)*T_PlannedOrders[Order_Month])),"m月")&amp;"発注)")</f>
        <v/>
      </c>
      <c r="DB481">
        <f>IF(SUMIFS(T_PlannedOrders[EffectiveQty],T_PlannedOrders[Part Name],$A475,T_PlannedOrders[WeekIndex],103)=0,"",SUMIFS(T_PlannedOrders[EffectiveQty],T_PlannedOrders[Part Name],$A475,T_PlannedOrders[WeekIndex],103)&amp;" ("&amp;TEXT(SUMPRODUCT(MAX((T_PlannedOrders[Part Name]=$A475)*(T_PlannedOrders[WeekIndex]=103)*(T_PlannedOrders[EffectiveQty]&gt;0)*T_PlannedOrders[Order_Month])),"m月")&amp;"発注)")</f>
        <v/>
      </c>
      <c r="DC481">
        <f>IF(SUMIFS(T_PlannedOrders[EffectiveQty],T_PlannedOrders[Part Name],$A475,T_PlannedOrders[WeekIndex],104)=0,"",SUMIFS(T_PlannedOrders[EffectiveQty],T_PlannedOrders[Part Name],$A475,T_PlannedOrders[WeekIndex],104)&amp;" ("&amp;TEXT(SUMPRODUCT(MAX((T_PlannedOrders[Part Name]=$A475)*(T_PlannedOrders[WeekIndex]=104)*(T_PlannedOrders[EffectiveQty]&gt;0)*T_PlannedOrders[Order_Month])),"m月")&amp;"発注)")</f>
        <v/>
      </c>
    </row>
    <row r="482">
      <c r="B482" s="4" t="inlineStr">
        <is>
          <t>合計在庫(週末時点,kg)</t>
        </is>
      </c>
      <c r="D482">
        <f>'Grid_Stock'!B33</f>
        <v/>
      </c>
      <c r="E482">
        <f>'Grid_Stock'!C33</f>
        <v/>
      </c>
      <c r="F482">
        <f>'Grid_Stock'!D33</f>
        <v/>
      </c>
      <c r="G482">
        <f>'Grid_Stock'!E33</f>
        <v/>
      </c>
      <c r="H482">
        <f>'Grid_Stock'!F33</f>
        <v/>
      </c>
      <c r="I482">
        <f>'Grid_Stock'!G33</f>
        <v/>
      </c>
      <c r="J482">
        <f>'Grid_Stock'!H33</f>
        <v/>
      </c>
      <c r="K482">
        <f>'Grid_Stock'!I33</f>
        <v/>
      </c>
      <c r="L482">
        <f>'Grid_Stock'!J33</f>
        <v/>
      </c>
      <c r="M482">
        <f>'Grid_Stock'!K33</f>
        <v/>
      </c>
      <c r="N482">
        <f>'Grid_Stock'!L33</f>
        <v/>
      </c>
      <c r="O482">
        <f>'Grid_Stock'!M33</f>
        <v/>
      </c>
      <c r="P482">
        <f>'Grid_Stock'!N33</f>
        <v/>
      </c>
      <c r="Q482">
        <f>'Grid_Stock'!O33</f>
        <v/>
      </c>
      <c r="R482">
        <f>'Grid_Stock'!P33</f>
        <v/>
      </c>
      <c r="S482">
        <f>'Grid_Stock'!Q33</f>
        <v/>
      </c>
      <c r="T482">
        <f>'Grid_Stock'!R33</f>
        <v/>
      </c>
      <c r="U482">
        <f>'Grid_Stock'!S33</f>
        <v/>
      </c>
      <c r="V482">
        <f>'Grid_Stock'!T33</f>
        <v/>
      </c>
      <c r="W482">
        <f>'Grid_Stock'!U33</f>
        <v/>
      </c>
      <c r="X482">
        <f>'Grid_Stock'!V33</f>
        <v/>
      </c>
      <c r="Y482">
        <f>'Grid_Stock'!W33</f>
        <v/>
      </c>
      <c r="Z482">
        <f>'Grid_Stock'!X33</f>
        <v/>
      </c>
      <c r="AA482">
        <f>'Grid_Stock'!Y33</f>
        <v/>
      </c>
      <c r="AB482">
        <f>'Grid_Stock'!Z33</f>
        <v/>
      </c>
      <c r="AC482">
        <f>'Grid_Stock'!AA33</f>
        <v/>
      </c>
      <c r="AD482">
        <f>'Grid_Stock'!AB33</f>
        <v/>
      </c>
      <c r="AE482">
        <f>'Grid_Stock'!AC33</f>
        <v/>
      </c>
      <c r="AF482">
        <f>'Grid_Stock'!AD33</f>
        <v/>
      </c>
      <c r="AG482">
        <f>'Grid_Stock'!AE33</f>
        <v/>
      </c>
      <c r="AH482">
        <f>'Grid_Stock'!AF33</f>
        <v/>
      </c>
      <c r="AI482">
        <f>'Grid_Stock'!AG33</f>
        <v/>
      </c>
      <c r="AJ482">
        <f>'Grid_Stock'!AH33</f>
        <v/>
      </c>
      <c r="AK482">
        <f>'Grid_Stock'!AI33</f>
        <v/>
      </c>
      <c r="AL482">
        <f>'Grid_Stock'!AJ33</f>
        <v/>
      </c>
      <c r="AM482">
        <f>'Grid_Stock'!AK33</f>
        <v/>
      </c>
      <c r="AN482">
        <f>'Grid_Stock'!AL33</f>
        <v/>
      </c>
      <c r="AO482">
        <f>'Grid_Stock'!AM33</f>
        <v/>
      </c>
      <c r="AP482">
        <f>'Grid_Stock'!AN33</f>
        <v/>
      </c>
      <c r="AQ482">
        <f>'Grid_Stock'!AO33</f>
        <v/>
      </c>
      <c r="AR482">
        <f>'Grid_Stock'!AP33</f>
        <v/>
      </c>
      <c r="AS482">
        <f>'Grid_Stock'!AQ33</f>
        <v/>
      </c>
      <c r="AT482">
        <f>'Grid_Stock'!AR33</f>
        <v/>
      </c>
      <c r="AU482">
        <f>'Grid_Stock'!AS33</f>
        <v/>
      </c>
      <c r="AV482">
        <f>'Grid_Stock'!AT33</f>
        <v/>
      </c>
      <c r="AW482">
        <f>'Grid_Stock'!AU33</f>
        <v/>
      </c>
      <c r="AX482">
        <f>'Grid_Stock'!AV33</f>
        <v/>
      </c>
      <c r="AY482">
        <f>'Grid_Stock'!AW33</f>
        <v/>
      </c>
      <c r="AZ482">
        <f>'Grid_Stock'!AX33</f>
        <v/>
      </c>
      <c r="BA482">
        <f>'Grid_Stock'!AY33</f>
        <v/>
      </c>
      <c r="BB482">
        <f>'Grid_Stock'!AZ33</f>
        <v/>
      </c>
      <c r="BC482">
        <f>'Grid_Stock'!BA33</f>
        <v/>
      </c>
      <c r="BD482">
        <f>'Grid_Stock'!BB33</f>
        <v/>
      </c>
      <c r="BE482">
        <f>'Grid_Stock'!BC33</f>
        <v/>
      </c>
      <c r="BF482">
        <f>'Grid_Stock'!BD33</f>
        <v/>
      </c>
      <c r="BG482">
        <f>'Grid_Stock'!BE33</f>
        <v/>
      </c>
      <c r="BH482">
        <f>'Grid_Stock'!BF33</f>
        <v/>
      </c>
      <c r="BI482">
        <f>'Grid_Stock'!BG33</f>
        <v/>
      </c>
      <c r="BJ482">
        <f>'Grid_Stock'!BH33</f>
        <v/>
      </c>
      <c r="BK482">
        <f>'Grid_Stock'!BI33</f>
        <v/>
      </c>
      <c r="BL482">
        <f>'Grid_Stock'!BJ33</f>
        <v/>
      </c>
      <c r="BM482">
        <f>'Grid_Stock'!BK33</f>
        <v/>
      </c>
      <c r="BN482">
        <f>'Grid_Stock'!BL33</f>
        <v/>
      </c>
      <c r="BO482">
        <f>'Grid_Stock'!BM33</f>
        <v/>
      </c>
      <c r="BP482">
        <f>'Grid_Stock'!BN33</f>
        <v/>
      </c>
      <c r="BQ482">
        <f>'Grid_Stock'!BO33</f>
        <v/>
      </c>
      <c r="BR482">
        <f>'Grid_Stock'!BP33</f>
        <v/>
      </c>
      <c r="BS482">
        <f>'Grid_Stock'!BQ33</f>
        <v/>
      </c>
      <c r="BT482">
        <f>'Grid_Stock'!BR33</f>
        <v/>
      </c>
      <c r="BU482">
        <f>'Grid_Stock'!BS33</f>
        <v/>
      </c>
      <c r="BV482">
        <f>'Grid_Stock'!BT33</f>
        <v/>
      </c>
      <c r="BW482">
        <f>'Grid_Stock'!BU33</f>
        <v/>
      </c>
      <c r="BX482">
        <f>'Grid_Stock'!BV33</f>
        <v/>
      </c>
      <c r="BY482">
        <f>'Grid_Stock'!BW33</f>
        <v/>
      </c>
      <c r="BZ482">
        <f>'Grid_Stock'!BX33</f>
        <v/>
      </c>
      <c r="CA482">
        <f>'Grid_Stock'!BY33</f>
        <v/>
      </c>
      <c r="CB482">
        <f>'Grid_Stock'!BZ33</f>
        <v/>
      </c>
      <c r="CC482">
        <f>'Grid_Stock'!CA33</f>
        <v/>
      </c>
      <c r="CD482">
        <f>'Grid_Stock'!CB33</f>
        <v/>
      </c>
      <c r="CE482">
        <f>'Grid_Stock'!CC33</f>
        <v/>
      </c>
      <c r="CF482">
        <f>'Grid_Stock'!CD33</f>
        <v/>
      </c>
      <c r="CG482">
        <f>'Grid_Stock'!CE33</f>
        <v/>
      </c>
      <c r="CH482">
        <f>'Grid_Stock'!CF33</f>
        <v/>
      </c>
      <c r="CI482">
        <f>'Grid_Stock'!CG33</f>
        <v/>
      </c>
      <c r="CJ482">
        <f>'Grid_Stock'!CH33</f>
        <v/>
      </c>
      <c r="CK482">
        <f>'Grid_Stock'!CI33</f>
        <v/>
      </c>
      <c r="CL482">
        <f>'Grid_Stock'!CJ33</f>
        <v/>
      </c>
      <c r="CM482">
        <f>'Grid_Stock'!CK33</f>
        <v/>
      </c>
      <c r="CN482">
        <f>'Grid_Stock'!CL33</f>
        <v/>
      </c>
      <c r="CO482">
        <f>'Grid_Stock'!CM33</f>
        <v/>
      </c>
      <c r="CP482">
        <f>'Grid_Stock'!CN33</f>
        <v/>
      </c>
      <c r="CQ482">
        <f>'Grid_Stock'!CO33</f>
        <v/>
      </c>
      <c r="CR482">
        <f>'Grid_Stock'!CP33</f>
        <v/>
      </c>
      <c r="CS482">
        <f>'Grid_Stock'!CQ33</f>
        <v/>
      </c>
      <c r="CT482">
        <f>'Grid_Stock'!CR33</f>
        <v/>
      </c>
      <c r="CU482">
        <f>'Grid_Stock'!CS33</f>
        <v/>
      </c>
      <c r="CV482">
        <f>'Grid_Stock'!CT33</f>
        <v/>
      </c>
      <c r="CW482">
        <f>'Grid_Stock'!CU33</f>
        <v/>
      </c>
      <c r="CX482">
        <f>'Grid_Stock'!CV33</f>
        <v/>
      </c>
      <c r="CY482">
        <f>'Grid_Stock'!CW33</f>
        <v/>
      </c>
      <c r="CZ482">
        <f>'Grid_Stock'!CX33</f>
        <v/>
      </c>
      <c r="DA482">
        <f>'Grid_Stock'!CY33</f>
        <v/>
      </c>
      <c r="DB482">
        <f>'Grid_Stock'!CZ33</f>
        <v/>
      </c>
      <c r="DC482">
        <f>'Grid_Stock'!DA33</f>
        <v/>
      </c>
    </row>
    <row r="483">
      <c r="B483" s="16" t="inlineStr">
        <is>
          <t>（発注の目安はDashboardの基準在庫[下限/上限]と色分けを参照）</t>
        </is>
      </c>
    </row>
    <row r="485">
      <c r="A485" s="14" t="inlineStr">
        <is>
          <t>CHEM-1670</t>
        </is>
      </c>
      <c r="B485" s="14" t="inlineStr">
        <is>
          <t>ALESPER 1065</t>
        </is>
      </c>
      <c r="C485" s="15" t="n"/>
      <c r="D485" s="14" t="n"/>
      <c r="E485" s="14" t="n"/>
      <c r="F485" s="14" t="n"/>
      <c r="G485" s="14" t="n"/>
      <c r="H485" s="14" t="n"/>
      <c r="I485" s="14" t="n"/>
      <c r="J485" s="14" t="n"/>
      <c r="K485" s="14" t="n"/>
      <c r="L485" s="14" t="n"/>
      <c r="M485" s="14" t="n"/>
      <c r="N485" s="14" t="n"/>
      <c r="O485" s="14" t="n"/>
      <c r="P485" s="14" t="n"/>
      <c r="Q485" s="14" t="n"/>
      <c r="R485" s="14" t="n"/>
      <c r="S485" s="14" t="n"/>
      <c r="T485" s="14" t="n"/>
      <c r="U485" s="14" t="n"/>
      <c r="V485" s="14" t="n"/>
      <c r="W485" s="14" t="n"/>
      <c r="X485" s="14" t="n"/>
      <c r="Y485" s="14" t="n"/>
      <c r="Z485" s="14" t="n"/>
      <c r="AA485" s="14" t="n"/>
      <c r="AB485" s="14" t="n"/>
      <c r="AC485" s="14" t="n"/>
      <c r="AD485" s="14" t="n"/>
      <c r="AE485" s="14" t="n"/>
      <c r="AF485" s="14" t="n"/>
      <c r="AG485" s="14" t="n"/>
      <c r="AH485" s="14" t="n"/>
      <c r="AI485" s="14" t="n"/>
      <c r="AJ485" s="14" t="n"/>
      <c r="AK485" s="14" t="n"/>
      <c r="AL485" s="14" t="n"/>
      <c r="AM485" s="14" t="n"/>
      <c r="AN485" s="14" t="n"/>
      <c r="AO485" s="14" t="n"/>
      <c r="AP485" s="14" t="n"/>
      <c r="AQ485" s="14" t="n"/>
      <c r="AR485" s="14" t="n"/>
      <c r="AS485" s="14" t="n"/>
      <c r="AT485" s="14" t="n"/>
      <c r="AU485" s="14" t="n"/>
      <c r="AV485" s="14" t="n"/>
      <c r="AW485" s="14" t="n"/>
      <c r="AX485" s="14" t="n"/>
      <c r="AY485" s="14" t="n"/>
      <c r="AZ485" s="14" t="n"/>
      <c r="BA485" s="14" t="n"/>
      <c r="BB485" s="14" t="n"/>
      <c r="BC485" s="14" t="n"/>
      <c r="BD485" s="14" t="n"/>
      <c r="BE485" s="14" t="n"/>
      <c r="BF485" s="14" t="n"/>
      <c r="BG485" s="14" t="n"/>
      <c r="BH485" s="14" t="n"/>
      <c r="BI485" s="14" t="n"/>
      <c r="BJ485" s="14" t="n"/>
      <c r="BK485" s="14" t="n"/>
      <c r="BL485" s="14" t="n"/>
      <c r="BM485" s="14" t="n"/>
      <c r="BN485" s="14" t="n"/>
      <c r="BO485" s="14" t="n"/>
      <c r="BP485" s="14" t="n"/>
      <c r="BQ485" s="14" t="n"/>
      <c r="BR485" s="14" t="n"/>
      <c r="BS485" s="14" t="n"/>
      <c r="BT485" s="14" t="n"/>
      <c r="BU485" s="14" t="n"/>
      <c r="BV485" s="14" t="n"/>
      <c r="BW485" s="14" t="n"/>
      <c r="BX485" s="14" t="n"/>
      <c r="BY485" s="14" t="n"/>
      <c r="BZ485" s="14" t="n"/>
      <c r="CA485" s="14" t="n"/>
      <c r="CB485" s="14" t="n"/>
      <c r="CC485" s="14" t="n"/>
      <c r="CD485" s="14" t="n"/>
      <c r="CE485" s="14" t="n"/>
      <c r="CF485" s="14" t="n"/>
      <c r="CG485" s="14" t="n"/>
      <c r="CH485" s="14" t="n"/>
      <c r="CI485" s="14" t="n"/>
      <c r="CJ485" s="14" t="n"/>
      <c r="CK485" s="14" t="n"/>
      <c r="CL485" s="14" t="n"/>
      <c r="CM485" s="14" t="n"/>
      <c r="CN485" s="14" t="n"/>
      <c r="CO485" s="14" t="n"/>
      <c r="CP485" s="14" t="n"/>
      <c r="CQ485" s="14" t="n"/>
      <c r="CR485" s="14" t="n"/>
      <c r="CS485" s="14" t="n"/>
      <c r="CT485" s="14" t="n"/>
      <c r="CU485" s="14" t="n"/>
      <c r="CV485" s="14" t="n"/>
      <c r="CW485" s="14" t="n"/>
      <c r="CX485" s="14" t="n"/>
      <c r="CY485" s="14" t="n"/>
      <c r="CZ485" s="14" t="n"/>
      <c r="DA485" s="14" t="n"/>
      <c r="DB485" s="14" t="n"/>
      <c r="DC485" s="14" t="n"/>
    </row>
    <row r="486">
      <c r="B486" t="inlineStr">
        <is>
          <t>TSP-218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Name],$A485)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TSP-558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Name],$A485)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TSP-903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Name],$A485)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TSP-1444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Name],$A485)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t="inlineStr">
        <is>
          <t>TSP-1445</t>
        </is>
      </c>
      <c r="C494" t="inlineStr">
        <is>
          <t>No. of batches</t>
        </is>
      </c>
      <c r="D494">
        <f>IFERROR(INDEX(PP_Grid[#Data],$DD494,2),0)</f>
        <v/>
      </c>
      <c r="E494">
        <f>IFERROR(INDEX(PP_Grid[#Data],$DD494,3),0)</f>
        <v/>
      </c>
      <c r="F494">
        <f>IFERROR(INDEX(PP_Grid[#Data],$DD494,4),0)</f>
        <v/>
      </c>
      <c r="G494">
        <f>IFERROR(INDEX(PP_Grid[#Data],$DD494,5),0)</f>
        <v/>
      </c>
      <c r="H494">
        <f>IFERROR(INDEX(PP_Grid[#Data],$DD494,6),0)</f>
        <v/>
      </c>
      <c r="I494">
        <f>IFERROR(INDEX(PP_Grid[#Data],$DD494,7),0)</f>
        <v/>
      </c>
      <c r="J494">
        <f>IFERROR(INDEX(PP_Grid[#Data],$DD494,8),0)</f>
        <v/>
      </c>
      <c r="K494">
        <f>IFERROR(INDEX(PP_Grid[#Data],$DD494,9),0)</f>
        <v/>
      </c>
      <c r="L494">
        <f>IFERROR(INDEX(PP_Grid[#Data],$DD494,10),0)</f>
        <v/>
      </c>
      <c r="M494">
        <f>IFERROR(INDEX(PP_Grid[#Data],$DD494,11),0)</f>
        <v/>
      </c>
      <c r="N494">
        <f>IFERROR(INDEX(PP_Grid[#Data],$DD494,12),0)</f>
        <v/>
      </c>
      <c r="O494">
        <f>IFERROR(INDEX(PP_Grid[#Data],$DD494,13),0)</f>
        <v/>
      </c>
      <c r="P494">
        <f>IFERROR(INDEX(PP_Grid[#Data],$DD494,14),0)</f>
        <v/>
      </c>
      <c r="Q494">
        <f>IFERROR(INDEX(PP_Grid[#Data],$DD494,15),0)</f>
        <v/>
      </c>
      <c r="R494">
        <f>IFERROR(INDEX(PP_Grid[#Data],$DD494,16),0)</f>
        <v/>
      </c>
      <c r="S494">
        <f>IFERROR(INDEX(PP_Grid[#Data],$DD494,17),0)</f>
        <v/>
      </c>
      <c r="T494">
        <f>IFERROR(INDEX(PP_Grid[#Data],$DD494,18),0)</f>
        <v/>
      </c>
      <c r="U494">
        <f>IFERROR(INDEX(PP_Grid[#Data],$DD494,19),0)</f>
        <v/>
      </c>
      <c r="V494">
        <f>IFERROR(INDEX(PP_Grid[#Data],$DD494,20),0)</f>
        <v/>
      </c>
      <c r="W494">
        <f>IFERROR(INDEX(PP_Grid[#Data],$DD494,21),0)</f>
        <v/>
      </c>
      <c r="X494">
        <f>IFERROR(INDEX(PP_Grid[#Data],$DD494,22),0)</f>
        <v/>
      </c>
      <c r="Y494">
        <f>IFERROR(INDEX(PP_Grid[#Data],$DD494,23),0)</f>
        <v/>
      </c>
      <c r="Z494">
        <f>IFERROR(INDEX(PP_Grid[#Data],$DD494,24),0)</f>
        <v/>
      </c>
      <c r="AA494">
        <f>IFERROR(INDEX(PP_Grid[#Data],$DD494,25),0)</f>
        <v/>
      </c>
      <c r="AB494">
        <f>IFERROR(INDEX(PP_Grid[#Data],$DD494,26),0)</f>
        <v/>
      </c>
      <c r="AC494">
        <f>IFERROR(INDEX(PP_Grid[#Data],$DD494,27),0)</f>
        <v/>
      </c>
      <c r="AD494">
        <f>IFERROR(INDEX(PP_Grid[#Data],$DD494,28),0)</f>
        <v/>
      </c>
      <c r="AE494">
        <f>IFERROR(INDEX(PP_Grid[#Data],$DD494,29),0)</f>
        <v/>
      </c>
      <c r="AF494">
        <f>IFERROR(INDEX(PP_Grid[#Data],$DD494,30),0)</f>
        <v/>
      </c>
      <c r="AG494">
        <f>IFERROR(INDEX(PP_Grid[#Data],$DD494,31),0)</f>
        <v/>
      </c>
      <c r="AH494">
        <f>IFERROR(INDEX(PP_Grid[#Data],$DD494,32),0)</f>
        <v/>
      </c>
      <c r="AI494">
        <f>IFERROR(INDEX(PP_Grid[#Data],$DD494,33),0)</f>
        <v/>
      </c>
      <c r="AJ494">
        <f>IFERROR(INDEX(PP_Grid[#Data],$DD494,34),0)</f>
        <v/>
      </c>
      <c r="AK494">
        <f>IFERROR(INDEX(PP_Grid[#Data],$DD494,35),0)</f>
        <v/>
      </c>
      <c r="AL494">
        <f>IFERROR(INDEX(PP_Grid[#Data],$DD494,36),0)</f>
        <v/>
      </c>
      <c r="AM494">
        <f>IFERROR(INDEX(PP_Grid[#Data],$DD494,37),0)</f>
        <v/>
      </c>
      <c r="AN494">
        <f>IFERROR(INDEX(PP_Grid[#Data],$DD494,38),0)</f>
        <v/>
      </c>
      <c r="AO494">
        <f>IFERROR(INDEX(PP_Grid[#Data],$DD494,39),0)</f>
        <v/>
      </c>
      <c r="AP494">
        <f>IFERROR(INDEX(PP_Grid[#Data],$DD494,40),0)</f>
        <v/>
      </c>
      <c r="AQ494">
        <f>IFERROR(INDEX(PP_Grid[#Data],$DD494,41),0)</f>
        <v/>
      </c>
      <c r="AR494">
        <f>IFERROR(INDEX(PP_Grid[#Data],$DD494,42),0)</f>
        <v/>
      </c>
      <c r="AS494">
        <f>IFERROR(INDEX(PP_Grid[#Data],$DD494,43),0)</f>
        <v/>
      </c>
      <c r="AT494">
        <f>IFERROR(INDEX(PP_Grid[#Data],$DD494,44),0)</f>
        <v/>
      </c>
      <c r="AU494">
        <f>IFERROR(INDEX(PP_Grid[#Data],$DD494,45),0)</f>
        <v/>
      </c>
      <c r="AV494">
        <f>IFERROR(INDEX(PP_Grid[#Data],$DD494,46),0)</f>
        <v/>
      </c>
      <c r="AW494">
        <f>IFERROR(INDEX(PP_Grid[#Data],$DD494,47),0)</f>
        <v/>
      </c>
      <c r="AX494">
        <f>IFERROR(INDEX(PP_Grid[#Data],$DD494,48),0)</f>
        <v/>
      </c>
      <c r="AY494">
        <f>IFERROR(INDEX(PP_Grid[#Data],$DD494,49),0)</f>
        <v/>
      </c>
      <c r="AZ494">
        <f>IFERROR(INDEX(PP_Grid[#Data],$DD494,50),0)</f>
        <v/>
      </c>
      <c r="BA494">
        <f>IFERROR(INDEX(PP_Grid[#Data],$DD494,51),0)</f>
        <v/>
      </c>
      <c r="BB494">
        <f>IFERROR(INDEX(PP_Grid[#Data],$DD494,52),0)</f>
        <v/>
      </c>
      <c r="BC494">
        <f>IFERROR(INDEX(PP_Grid[#Data],$DD494,53),0)</f>
        <v/>
      </c>
      <c r="BD494">
        <f>IFERROR(INDEX(PP_Grid[#Data],$DD494,54),0)</f>
        <v/>
      </c>
      <c r="BE494">
        <f>IFERROR(INDEX(PP_Grid[#Data],$DD494,55),0)</f>
        <v/>
      </c>
      <c r="BF494">
        <f>IFERROR(INDEX(PP_Grid[#Data],$DD494,56),0)</f>
        <v/>
      </c>
      <c r="BG494">
        <f>IFERROR(INDEX(PP_Grid[#Data],$DD494,57),0)</f>
        <v/>
      </c>
      <c r="BH494">
        <f>IFERROR(INDEX(PP_Grid[#Data],$DD494,58),0)</f>
        <v/>
      </c>
      <c r="BI494">
        <f>IFERROR(INDEX(PP_Grid[#Data],$DD494,59),0)</f>
        <v/>
      </c>
      <c r="BJ494">
        <f>IFERROR(INDEX(PP_Grid[#Data],$DD494,60),0)</f>
        <v/>
      </c>
      <c r="BK494">
        <f>IFERROR(INDEX(PP_Grid[#Data],$DD494,61),0)</f>
        <v/>
      </c>
      <c r="BL494">
        <f>IFERROR(INDEX(PP_Grid[#Data],$DD494,62),0)</f>
        <v/>
      </c>
      <c r="BM494">
        <f>IFERROR(INDEX(PP_Grid[#Data],$DD494,63),0)</f>
        <v/>
      </c>
      <c r="BN494">
        <f>IFERROR(INDEX(PP_Grid[#Data],$DD494,64),0)</f>
        <v/>
      </c>
      <c r="BO494">
        <f>IFERROR(INDEX(PP_Grid[#Data],$DD494,65),0)</f>
        <v/>
      </c>
      <c r="BP494">
        <f>IFERROR(INDEX(PP_Grid[#Data],$DD494,66),0)</f>
        <v/>
      </c>
      <c r="BQ494">
        <f>IFERROR(INDEX(PP_Grid[#Data],$DD494,67),0)</f>
        <v/>
      </c>
      <c r="BR494">
        <f>IFERROR(INDEX(PP_Grid[#Data],$DD494,68),0)</f>
        <v/>
      </c>
      <c r="BS494">
        <f>IFERROR(INDEX(PP_Grid[#Data],$DD494,69),0)</f>
        <v/>
      </c>
      <c r="BT494">
        <f>IFERROR(INDEX(PP_Grid[#Data],$DD494,70),0)</f>
        <v/>
      </c>
      <c r="BU494">
        <f>IFERROR(INDEX(PP_Grid[#Data],$DD494,71),0)</f>
        <v/>
      </c>
      <c r="BV494">
        <f>IFERROR(INDEX(PP_Grid[#Data],$DD494,72),0)</f>
        <v/>
      </c>
      <c r="BW494">
        <f>IFERROR(INDEX(PP_Grid[#Data],$DD494,73),0)</f>
        <v/>
      </c>
      <c r="BX494">
        <f>IFERROR(INDEX(PP_Grid[#Data],$DD494,74),0)</f>
        <v/>
      </c>
      <c r="BY494">
        <f>IFERROR(INDEX(PP_Grid[#Data],$DD494,75),0)</f>
        <v/>
      </c>
      <c r="BZ494">
        <f>IFERROR(INDEX(PP_Grid[#Data],$DD494,76),0)</f>
        <v/>
      </c>
      <c r="CA494">
        <f>IFERROR(INDEX(PP_Grid[#Data],$DD494,77),0)</f>
        <v/>
      </c>
      <c r="CB494">
        <f>IFERROR(INDEX(PP_Grid[#Data],$DD494,78),0)</f>
        <v/>
      </c>
      <c r="CC494">
        <f>IFERROR(INDEX(PP_Grid[#Data],$DD494,79),0)</f>
        <v/>
      </c>
      <c r="CD494">
        <f>IFERROR(INDEX(PP_Grid[#Data],$DD494,80),0)</f>
        <v/>
      </c>
      <c r="CE494">
        <f>IFERROR(INDEX(PP_Grid[#Data],$DD494,81),0)</f>
        <v/>
      </c>
      <c r="CF494">
        <f>IFERROR(INDEX(PP_Grid[#Data],$DD494,82),0)</f>
        <v/>
      </c>
      <c r="CG494">
        <f>IFERROR(INDEX(PP_Grid[#Data],$DD494,83),0)</f>
        <v/>
      </c>
      <c r="CH494">
        <f>IFERROR(INDEX(PP_Grid[#Data],$DD494,84),0)</f>
        <v/>
      </c>
      <c r="CI494">
        <f>IFERROR(INDEX(PP_Grid[#Data],$DD494,85),0)</f>
        <v/>
      </c>
      <c r="CJ494">
        <f>IFERROR(INDEX(PP_Grid[#Data],$DD494,86),0)</f>
        <v/>
      </c>
      <c r="CK494">
        <f>IFERROR(INDEX(PP_Grid[#Data],$DD494,87),0)</f>
        <v/>
      </c>
      <c r="CL494">
        <f>IFERROR(INDEX(PP_Grid[#Data],$DD494,88),0)</f>
        <v/>
      </c>
      <c r="CM494">
        <f>IFERROR(INDEX(PP_Grid[#Data],$DD494,89),0)</f>
        <v/>
      </c>
      <c r="CN494">
        <f>IFERROR(INDEX(PP_Grid[#Data],$DD494,90),0)</f>
        <v/>
      </c>
      <c r="CO494">
        <f>IFERROR(INDEX(PP_Grid[#Data],$DD494,91),0)</f>
        <v/>
      </c>
      <c r="CP494">
        <f>IFERROR(INDEX(PP_Grid[#Data],$DD494,92),0)</f>
        <v/>
      </c>
      <c r="CQ494">
        <f>IFERROR(INDEX(PP_Grid[#Data],$DD494,93),0)</f>
        <v/>
      </c>
      <c r="CR494">
        <f>IFERROR(INDEX(PP_Grid[#Data],$DD494,94),0)</f>
        <v/>
      </c>
      <c r="CS494">
        <f>IFERROR(INDEX(PP_Grid[#Data],$DD494,95),0)</f>
        <v/>
      </c>
      <c r="CT494">
        <f>IFERROR(INDEX(PP_Grid[#Data],$DD494,96),0)</f>
        <v/>
      </c>
      <c r="CU494">
        <f>IFERROR(INDEX(PP_Grid[#Data],$DD494,97),0)</f>
        <v/>
      </c>
      <c r="CV494">
        <f>IFERROR(INDEX(PP_Grid[#Data],$DD494,98),0)</f>
        <v/>
      </c>
      <c r="CW494">
        <f>IFERROR(INDEX(PP_Grid[#Data],$DD494,99),0)</f>
        <v/>
      </c>
      <c r="CX494">
        <f>IFERROR(INDEX(PP_Grid[#Data],$DD494,100),0)</f>
        <v/>
      </c>
      <c r="CY494">
        <f>IFERROR(INDEX(PP_Grid[#Data],$DD494,101),0)</f>
        <v/>
      </c>
      <c r="CZ494">
        <f>IFERROR(INDEX(PP_Grid[#Data],$DD494,102),0)</f>
        <v/>
      </c>
      <c r="DA494">
        <f>IFERROR(INDEX(PP_Grid[#Data],$DD494,103),0)</f>
        <v/>
      </c>
      <c r="DB494">
        <f>IFERROR(INDEX(PP_Grid[#Data],$DD494,104),0)</f>
        <v/>
      </c>
      <c r="DC494">
        <f>IFERROR(INDEX(PP_Grid[#Data],$DD494,105),0)</f>
        <v/>
      </c>
      <c r="DD494" s="7">
        <f>IFERROR(MATCH($B494,PP_Grid[Intermediate],0),99999)</f>
        <v/>
      </c>
    </row>
    <row r="495">
      <c r="B495" t="inlineStr">
        <is>
          <t>使用量(kg)</t>
        </is>
      </c>
      <c r="C495">
        <f>SUMIFS(M_BOM[RM_Qty_Per_Batch],M_BOM[Intermediate],$B494,M_BOM[Part Name],$A485)</f>
        <v/>
      </c>
      <c r="D495">
        <f>$C495*D494</f>
        <v/>
      </c>
      <c r="E495">
        <f>$C495*E494</f>
        <v/>
      </c>
      <c r="F495">
        <f>$C495*F494</f>
        <v/>
      </c>
      <c r="G495">
        <f>$C495*G494</f>
        <v/>
      </c>
      <c r="H495">
        <f>$C495*H494</f>
        <v/>
      </c>
      <c r="I495">
        <f>$C495*I494</f>
        <v/>
      </c>
      <c r="J495">
        <f>$C495*J494</f>
        <v/>
      </c>
      <c r="K495">
        <f>$C495*K494</f>
        <v/>
      </c>
      <c r="L495">
        <f>$C495*L494</f>
        <v/>
      </c>
      <c r="M495">
        <f>$C495*M494</f>
        <v/>
      </c>
      <c r="N495">
        <f>$C495*N494</f>
        <v/>
      </c>
      <c r="O495">
        <f>$C495*O494</f>
        <v/>
      </c>
      <c r="P495">
        <f>$C495*P494</f>
        <v/>
      </c>
      <c r="Q495">
        <f>$C495*Q494</f>
        <v/>
      </c>
      <c r="R495">
        <f>$C495*R494</f>
        <v/>
      </c>
      <c r="S495">
        <f>$C495*S494</f>
        <v/>
      </c>
      <c r="T495">
        <f>$C495*T494</f>
        <v/>
      </c>
      <c r="U495">
        <f>$C495*U494</f>
        <v/>
      </c>
      <c r="V495">
        <f>$C495*V494</f>
        <v/>
      </c>
      <c r="W495">
        <f>$C495*W494</f>
        <v/>
      </c>
      <c r="X495">
        <f>$C495*X494</f>
        <v/>
      </c>
      <c r="Y495">
        <f>$C495*Y494</f>
        <v/>
      </c>
      <c r="Z495">
        <f>$C495*Z494</f>
        <v/>
      </c>
      <c r="AA495">
        <f>$C495*AA494</f>
        <v/>
      </c>
      <c r="AB495">
        <f>$C495*AB494</f>
        <v/>
      </c>
      <c r="AC495">
        <f>$C495*AC494</f>
        <v/>
      </c>
      <c r="AD495">
        <f>$C495*AD494</f>
        <v/>
      </c>
      <c r="AE495">
        <f>$C495*AE494</f>
        <v/>
      </c>
      <c r="AF495">
        <f>$C495*AF494</f>
        <v/>
      </c>
      <c r="AG495">
        <f>$C495*AG494</f>
        <v/>
      </c>
      <c r="AH495">
        <f>$C495*AH494</f>
        <v/>
      </c>
      <c r="AI495">
        <f>$C495*AI494</f>
        <v/>
      </c>
      <c r="AJ495">
        <f>$C495*AJ494</f>
        <v/>
      </c>
      <c r="AK495">
        <f>$C495*AK494</f>
        <v/>
      </c>
      <c r="AL495">
        <f>$C495*AL494</f>
        <v/>
      </c>
      <c r="AM495">
        <f>$C495*AM494</f>
        <v/>
      </c>
      <c r="AN495">
        <f>$C495*AN494</f>
        <v/>
      </c>
      <c r="AO495">
        <f>$C495*AO494</f>
        <v/>
      </c>
      <c r="AP495">
        <f>$C495*AP494</f>
        <v/>
      </c>
      <c r="AQ495">
        <f>$C495*AQ494</f>
        <v/>
      </c>
      <c r="AR495">
        <f>$C495*AR494</f>
        <v/>
      </c>
      <c r="AS495">
        <f>$C495*AS494</f>
        <v/>
      </c>
      <c r="AT495">
        <f>$C495*AT494</f>
        <v/>
      </c>
      <c r="AU495">
        <f>$C495*AU494</f>
        <v/>
      </c>
      <c r="AV495">
        <f>$C495*AV494</f>
        <v/>
      </c>
      <c r="AW495">
        <f>$C495*AW494</f>
        <v/>
      </c>
      <c r="AX495">
        <f>$C495*AX494</f>
        <v/>
      </c>
      <c r="AY495">
        <f>$C495*AY494</f>
        <v/>
      </c>
      <c r="AZ495">
        <f>$C495*AZ494</f>
        <v/>
      </c>
      <c r="BA495">
        <f>$C495*BA494</f>
        <v/>
      </c>
      <c r="BB495">
        <f>$C495*BB494</f>
        <v/>
      </c>
      <c r="BC495">
        <f>$C495*BC494</f>
        <v/>
      </c>
      <c r="BD495">
        <f>$C495*BD494</f>
        <v/>
      </c>
      <c r="BE495">
        <f>$C495*BE494</f>
        <v/>
      </c>
      <c r="BF495">
        <f>$C495*BF494</f>
        <v/>
      </c>
      <c r="BG495">
        <f>$C495*BG494</f>
        <v/>
      </c>
      <c r="BH495">
        <f>$C495*BH494</f>
        <v/>
      </c>
      <c r="BI495">
        <f>$C495*BI494</f>
        <v/>
      </c>
      <c r="BJ495">
        <f>$C495*BJ494</f>
        <v/>
      </c>
      <c r="BK495">
        <f>$C495*BK494</f>
        <v/>
      </c>
      <c r="BL495">
        <f>$C495*BL494</f>
        <v/>
      </c>
      <c r="BM495">
        <f>$C495*BM494</f>
        <v/>
      </c>
      <c r="BN495">
        <f>$C495*BN494</f>
        <v/>
      </c>
      <c r="BO495">
        <f>$C495*BO494</f>
        <v/>
      </c>
      <c r="BP495">
        <f>$C495*BP494</f>
        <v/>
      </c>
      <c r="BQ495">
        <f>$C495*BQ494</f>
        <v/>
      </c>
      <c r="BR495">
        <f>$C495*BR494</f>
        <v/>
      </c>
      <c r="BS495">
        <f>$C495*BS494</f>
        <v/>
      </c>
      <c r="BT495">
        <f>$C495*BT494</f>
        <v/>
      </c>
      <c r="BU495">
        <f>$C495*BU494</f>
        <v/>
      </c>
      <c r="BV495">
        <f>$C495*BV494</f>
        <v/>
      </c>
      <c r="BW495">
        <f>$C495*BW494</f>
        <v/>
      </c>
      <c r="BX495">
        <f>$C495*BX494</f>
        <v/>
      </c>
      <c r="BY495">
        <f>$C495*BY494</f>
        <v/>
      </c>
      <c r="BZ495">
        <f>$C495*BZ494</f>
        <v/>
      </c>
      <c r="CA495">
        <f>$C495*CA494</f>
        <v/>
      </c>
      <c r="CB495">
        <f>$C495*CB494</f>
        <v/>
      </c>
      <c r="CC495">
        <f>$C495*CC494</f>
        <v/>
      </c>
      <c r="CD495">
        <f>$C495*CD494</f>
        <v/>
      </c>
      <c r="CE495">
        <f>$C495*CE494</f>
        <v/>
      </c>
      <c r="CF495">
        <f>$C495*CF494</f>
        <v/>
      </c>
      <c r="CG495">
        <f>$C495*CG494</f>
        <v/>
      </c>
      <c r="CH495">
        <f>$C495*CH494</f>
        <v/>
      </c>
      <c r="CI495">
        <f>$C495*CI494</f>
        <v/>
      </c>
      <c r="CJ495">
        <f>$C495*CJ494</f>
        <v/>
      </c>
      <c r="CK495">
        <f>$C495*CK494</f>
        <v/>
      </c>
      <c r="CL495">
        <f>$C495*CL494</f>
        <v/>
      </c>
      <c r="CM495">
        <f>$C495*CM494</f>
        <v/>
      </c>
      <c r="CN495">
        <f>$C495*CN494</f>
        <v/>
      </c>
      <c r="CO495">
        <f>$C495*CO494</f>
        <v/>
      </c>
      <c r="CP495">
        <f>$C495*CP494</f>
        <v/>
      </c>
      <c r="CQ495">
        <f>$C495*CQ494</f>
        <v/>
      </c>
      <c r="CR495">
        <f>$C495*CR494</f>
        <v/>
      </c>
      <c r="CS495">
        <f>$C495*CS494</f>
        <v/>
      </c>
      <c r="CT495">
        <f>$C495*CT494</f>
        <v/>
      </c>
      <c r="CU495">
        <f>$C495*CU494</f>
        <v/>
      </c>
      <c r="CV495">
        <f>$C495*CV494</f>
        <v/>
      </c>
      <c r="CW495">
        <f>$C495*CW494</f>
        <v/>
      </c>
      <c r="CX495">
        <f>$C495*CX494</f>
        <v/>
      </c>
      <c r="CY495">
        <f>$C495*CY494</f>
        <v/>
      </c>
      <c r="CZ495">
        <f>$C495*CZ494</f>
        <v/>
      </c>
      <c r="DA495">
        <f>$C495*DA494</f>
        <v/>
      </c>
      <c r="DB495">
        <f>$C495*DB494</f>
        <v/>
      </c>
      <c r="DC495">
        <f>$C495*DC494</f>
        <v/>
      </c>
    </row>
    <row r="496">
      <c r="B496" t="inlineStr">
        <is>
          <t>TSP-1446</t>
        </is>
      </c>
      <c r="C496" t="inlineStr">
        <is>
          <t>No. of batches</t>
        </is>
      </c>
      <c r="D496">
        <f>IFERROR(INDEX(PP_Grid[#Data],$DD496,2),0)</f>
        <v/>
      </c>
      <c r="E496">
        <f>IFERROR(INDEX(PP_Grid[#Data],$DD496,3),0)</f>
        <v/>
      </c>
      <c r="F496">
        <f>IFERROR(INDEX(PP_Grid[#Data],$DD496,4),0)</f>
        <v/>
      </c>
      <c r="G496">
        <f>IFERROR(INDEX(PP_Grid[#Data],$DD496,5),0)</f>
        <v/>
      </c>
      <c r="H496">
        <f>IFERROR(INDEX(PP_Grid[#Data],$DD496,6),0)</f>
        <v/>
      </c>
      <c r="I496">
        <f>IFERROR(INDEX(PP_Grid[#Data],$DD496,7),0)</f>
        <v/>
      </c>
      <c r="J496">
        <f>IFERROR(INDEX(PP_Grid[#Data],$DD496,8),0)</f>
        <v/>
      </c>
      <c r="K496">
        <f>IFERROR(INDEX(PP_Grid[#Data],$DD496,9),0)</f>
        <v/>
      </c>
      <c r="L496">
        <f>IFERROR(INDEX(PP_Grid[#Data],$DD496,10),0)</f>
        <v/>
      </c>
      <c r="M496">
        <f>IFERROR(INDEX(PP_Grid[#Data],$DD496,11),0)</f>
        <v/>
      </c>
      <c r="N496">
        <f>IFERROR(INDEX(PP_Grid[#Data],$DD496,12),0)</f>
        <v/>
      </c>
      <c r="O496">
        <f>IFERROR(INDEX(PP_Grid[#Data],$DD496,13),0)</f>
        <v/>
      </c>
      <c r="P496">
        <f>IFERROR(INDEX(PP_Grid[#Data],$DD496,14),0)</f>
        <v/>
      </c>
      <c r="Q496">
        <f>IFERROR(INDEX(PP_Grid[#Data],$DD496,15),0)</f>
        <v/>
      </c>
      <c r="R496">
        <f>IFERROR(INDEX(PP_Grid[#Data],$DD496,16),0)</f>
        <v/>
      </c>
      <c r="S496">
        <f>IFERROR(INDEX(PP_Grid[#Data],$DD496,17),0)</f>
        <v/>
      </c>
      <c r="T496">
        <f>IFERROR(INDEX(PP_Grid[#Data],$DD496,18),0)</f>
        <v/>
      </c>
      <c r="U496">
        <f>IFERROR(INDEX(PP_Grid[#Data],$DD496,19),0)</f>
        <v/>
      </c>
      <c r="V496">
        <f>IFERROR(INDEX(PP_Grid[#Data],$DD496,20),0)</f>
        <v/>
      </c>
      <c r="W496">
        <f>IFERROR(INDEX(PP_Grid[#Data],$DD496,21),0)</f>
        <v/>
      </c>
      <c r="X496">
        <f>IFERROR(INDEX(PP_Grid[#Data],$DD496,22),0)</f>
        <v/>
      </c>
      <c r="Y496">
        <f>IFERROR(INDEX(PP_Grid[#Data],$DD496,23),0)</f>
        <v/>
      </c>
      <c r="Z496">
        <f>IFERROR(INDEX(PP_Grid[#Data],$DD496,24),0)</f>
        <v/>
      </c>
      <c r="AA496">
        <f>IFERROR(INDEX(PP_Grid[#Data],$DD496,25),0)</f>
        <v/>
      </c>
      <c r="AB496">
        <f>IFERROR(INDEX(PP_Grid[#Data],$DD496,26),0)</f>
        <v/>
      </c>
      <c r="AC496">
        <f>IFERROR(INDEX(PP_Grid[#Data],$DD496,27),0)</f>
        <v/>
      </c>
      <c r="AD496">
        <f>IFERROR(INDEX(PP_Grid[#Data],$DD496,28),0)</f>
        <v/>
      </c>
      <c r="AE496">
        <f>IFERROR(INDEX(PP_Grid[#Data],$DD496,29),0)</f>
        <v/>
      </c>
      <c r="AF496">
        <f>IFERROR(INDEX(PP_Grid[#Data],$DD496,30),0)</f>
        <v/>
      </c>
      <c r="AG496">
        <f>IFERROR(INDEX(PP_Grid[#Data],$DD496,31),0)</f>
        <v/>
      </c>
      <c r="AH496">
        <f>IFERROR(INDEX(PP_Grid[#Data],$DD496,32),0)</f>
        <v/>
      </c>
      <c r="AI496">
        <f>IFERROR(INDEX(PP_Grid[#Data],$DD496,33),0)</f>
        <v/>
      </c>
      <c r="AJ496">
        <f>IFERROR(INDEX(PP_Grid[#Data],$DD496,34),0)</f>
        <v/>
      </c>
      <c r="AK496">
        <f>IFERROR(INDEX(PP_Grid[#Data],$DD496,35),0)</f>
        <v/>
      </c>
      <c r="AL496">
        <f>IFERROR(INDEX(PP_Grid[#Data],$DD496,36),0)</f>
        <v/>
      </c>
      <c r="AM496">
        <f>IFERROR(INDEX(PP_Grid[#Data],$DD496,37),0)</f>
        <v/>
      </c>
      <c r="AN496">
        <f>IFERROR(INDEX(PP_Grid[#Data],$DD496,38),0)</f>
        <v/>
      </c>
      <c r="AO496">
        <f>IFERROR(INDEX(PP_Grid[#Data],$DD496,39),0)</f>
        <v/>
      </c>
      <c r="AP496">
        <f>IFERROR(INDEX(PP_Grid[#Data],$DD496,40),0)</f>
        <v/>
      </c>
      <c r="AQ496">
        <f>IFERROR(INDEX(PP_Grid[#Data],$DD496,41),0)</f>
        <v/>
      </c>
      <c r="AR496">
        <f>IFERROR(INDEX(PP_Grid[#Data],$DD496,42),0)</f>
        <v/>
      </c>
      <c r="AS496">
        <f>IFERROR(INDEX(PP_Grid[#Data],$DD496,43),0)</f>
        <v/>
      </c>
      <c r="AT496">
        <f>IFERROR(INDEX(PP_Grid[#Data],$DD496,44),0)</f>
        <v/>
      </c>
      <c r="AU496">
        <f>IFERROR(INDEX(PP_Grid[#Data],$DD496,45),0)</f>
        <v/>
      </c>
      <c r="AV496">
        <f>IFERROR(INDEX(PP_Grid[#Data],$DD496,46),0)</f>
        <v/>
      </c>
      <c r="AW496">
        <f>IFERROR(INDEX(PP_Grid[#Data],$DD496,47),0)</f>
        <v/>
      </c>
      <c r="AX496">
        <f>IFERROR(INDEX(PP_Grid[#Data],$DD496,48),0)</f>
        <v/>
      </c>
      <c r="AY496">
        <f>IFERROR(INDEX(PP_Grid[#Data],$DD496,49),0)</f>
        <v/>
      </c>
      <c r="AZ496">
        <f>IFERROR(INDEX(PP_Grid[#Data],$DD496,50),0)</f>
        <v/>
      </c>
      <c r="BA496">
        <f>IFERROR(INDEX(PP_Grid[#Data],$DD496,51),0)</f>
        <v/>
      </c>
      <c r="BB496">
        <f>IFERROR(INDEX(PP_Grid[#Data],$DD496,52),0)</f>
        <v/>
      </c>
      <c r="BC496">
        <f>IFERROR(INDEX(PP_Grid[#Data],$DD496,53),0)</f>
        <v/>
      </c>
      <c r="BD496">
        <f>IFERROR(INDEX(PP_Grid[#Data],$DD496,54),0)</f>
        <v/>
      </c>
      <c r="BE496">
        <f>IFERROR(INDEX(PP_Grid[#Data],$DD496,55),0)</f>
        <v/>
      </c>
      <c r="BF496">
        <f>IFERROR(INDEX(PP_Grid[#Data],$DD496,56),0)</f>
        <v/>
      </c>
      <c r="BG496">
        <f>IFERROR(INDEX(PP_Grid[#Data],$DD496,57),0)</f>
        <v/>
      </c>
      <c r="BH496">
        <f>IFERROR(INDEX(PP_Grid[#Data],$DD496,58),0)</f>
        <v/>
      </c>
      <c r="BI496">
        <f>IFERROR(INDEX(PP_Grid[#Data],$DD496,59),0)</f>
        <v/>
      </c>
      <c r="BJ496">
        <f>IFERROR(INDEX(PP_Grid[#Data],$DD496,60),0)</f>
        <v/>
      </c>
      <c r="BK496">
        <f>IFERROR(INDEX(PP_Grid[#Data],$DD496,61),0)</f>
        <v/>
      </c>
      <c r="BL496">
        <f>IFERROR(INDEX(PP_Grid[#Data],$DD496,62),0)</f>
        <v/>
      </c>
      <c r="BM496">
        <f>IFERROR(INDEX(PP_Grid[#Data],$DD496,63),0)</f>
        <v/>
      </c>
      <c r="BN496">
        <f>IFERROR(INDEX(PP_Grid[#Data],$DD496,64),0)</f>
        <v/>
      </c>
      <c r="BO496">
        <f>IFERROR(INDEX(PP_Grid[#Data],$DD496,65),0)</f>
        <v/>
      </c>
      <c r="BP496">
        <f>IFERROR(INDEX(PP_Grid[#Data],$DD496,66),0)</f>
        <v/>
      </c>
      <c r="BQ496">
        <f>IFERROR(INDEX(PP_Grid[#Data],$DD496,67),0)</f>
        <v/>
      </c>
      <c r="BR496">
        <f>IFERROR(INDEX(PP_Grid[#Data],$DD496,68),0)</f>
        <v/>
      </c>
      <c r="BS496">
        <f>IFERROR(INDEX(PP_Grid[#Data],$DD496,69),0)</f>
        <v/>
      </c>
      <c r="BT496">
        <f>IFERROR(INDEX(PP_Grid[#Data],$DD496,70),0)</f>
        <v/>
      </c>
      <c r="BU496">
        <f>IFERROR(INDEX(PP_Grid[#Data],$DD496,71),0)</f>
        <v/>
      </c>
      <c r="BV496">
        <f>IFERROR(INDEX(PP_Grid[#Data],$DD496,72),0)</f>
        <v/>
      </c>
      <c r="BW496">
        <f>IFERROR(INDEX(PP_Grid[#Data],$DD496,73),0)</f>
        <v/>
      </c>
      <c r="BX496">
        <f>IFERROR(INDEX(PP_Grid[#Data],$DD496,74),0)</f>
        <v/>
      </c>
      <c r="BY496">
        <f>IFERROR(INDEX(PP_Grid[#Data],$DD496,75),0)</f>
        <v/>
      </c>
      <c r="BZ496">
        <f>IFERROR(INDEX(PP_Grid[#Data],$DD496,76),0)</f>
        <v/>
      </c>
      <c r="CA496">
        <f>IFERROR(INDEX(PP_Grid[#Data],$DD496,77),0)</f>
        <v/>
      </c>
      <c r="CB496">
        <f>IFERROR(INDEX(PP_Grid[#Data],$DD496,78),0)</f>
        <v/>
      </c>
      <c r="CC496">
        <f>IFERROR(INDEX(PP_Grid[#Data],$DD496,79),0)</f>
        <v/>
      </c>
      <c r="CD496">
        <f>IFERROR(INDEX(PP_Grid[#Data],$DD496,80),0)</f>
        <v/>
      </c>
      <c r="CE496">
        <f>IFERROR(INDEX(PP_Grid[#Data],$DD496,81),0)</f>
        <v/>
      </c>
      <c r="CF496">
        <f>IFERROR(INDEX(PP_Grid[#Data],$DD496,82),0)</f>
        <v/>
      </c>
      <c r="CG496">
        <f>IFERROR(INDEX(PP_Grid[#Data],$DD496,83),0)</f>
        <v/>
      </c>
      <c r="CH496">
        <f>IFERROR(INDEX(PP_Grid[#Data],$DD496,84),0)</f>
        <v/>
      </c>
      <c r="CI496">
        <f>IFERROR(INDEX(PP_Grid[#Data],$DD496,85),0)</f>
        <v/>
      </c>
      <c r="CJ496">
        <f>IFERROR(INDEX(PP_Grid[#Data],$DD496,86),0)</f>
        <v/>
      </c>
      <c r="CK496">
        <f>IFERROR(INDEX(PP_Grid[#Data],$DD496,87),0)</f>
        <v/>
      </c>
      <c r="CL496">
        <f>IFERROR(INDEX(PP_Grid[#Data],$DD496,88),0)</f>
        <v/>
      </c>
      <c r="CM496">
        <f>IFERROR(INDEX(PP_Grid[#Data],$DD496,89),0)</f>
        <v/>
      </c>
      <c r="CN496">
        <f>IFERROR(INDEX(PP_Grid[#Data],$DD496,90),0)</f>
        <v/>
      </c>
      <c r="CO496">
        <f>IFERROR(INDEX(PP_Grid[#Data],$DD496,91),0)</f>
        <v/>
      </c>
      <c r="CP496">
        <f>IFERROR(INDEX(PP_Grid[#Data],$DD496,92),0)</f>
        <v/>
      </c>
      <c r="CQ496">
        <f>IFERROR(INDEX(PP_Grid[#Data],$DD496,93),0)</f>
        <v/>
      </c>
      <c r="CR496">
        <f>IFERROR(INDEX(PP_Grid[#Data],$DD496,94),0)</f>
        <v/>
      </c>
      <c r="CS496">
        <f>IFERROR(INDEX(PP_Grid[#Data],$DD496,95),0)</f>
        <v/>
      </c>
      <c r="CT496">
        <f>IFERROR(INDEX(PP_Grid[#Data],$DD496,96),0)</f>
        <v/>
      </c>
      <c r="CU496">
        <f>IFERROR(INDEX(PP_Grid[#Data],$DD496,97),0)</f>
        <v/>
      </c>
      <c r="CV496">
        <f>IFERROR(INDEX(PP_Grid[#Data],$DD496,98),0)</f>
        <v/>
      </c>
      <c r="CW496">
        <f>IFERROR(INDEX(PP_Grid[#Data],$DD496,99),0)</f>
        <v/>
      </c>
      <c r="CX496">
        <f>IFERROR(INDEX(PP_Grid[#Data],$DD496,100),0)</f>
        <v/>
      </c>
      <c r="CY496">
        <f>IFERROR(INDEX(PP_Grid[#Data],$DD496,101),0)</f>
        <v/>
      </c>
      <c r="CZ496">
        <f>IFERROR(INDEX(PP_Grid[#Data],$DD496,102),0)</f>
        <v/>
      </c>
      <c r="DA496">
        <f>IFERROR(INDEX(PP_Grid[#Data],$DD496,103),0)</f>
        <v/>
      </c>
      <c r="DB496">
        <f>IFERROR(INDEX(PP_Grid[#Data],$DD496,104),0)</f>
        <v/>
      </c>
      <c r="DC496">
        <f>IFERROR(INDEX(PP_Grid[#Data],$DD496,105),0)</f>
        <v/>
      </c>
      <c r="DD496" s="7">
        <f>IFERROR(MATCH($B496,PP_Grid[Intermediate],0),99999)</f>
        <v/>
      </c>
    </row>
    <row r="497">
      <c r="B497" t="inlineStr">
        <is>
          <t>使用量(kg)</t>
        </is>
      </c>
      <c r="C497">
        <f>SUMIFS(M_BOM[RM_Qty_Per_Batch],M_BOM[Intermediate],$B496,M_BOM[Part Name],$A485)</f>
        <v/>
      </c>
      <c r="D497">
        <f>$C497*D496</f>
        <v/>
      </c>
      <c r="E497">
        <f>$C497*E496</f>
        <v/>
      </c>
      <c r="F497">
        <f>$C497*F496</f>
        <v/>
      </c>
      <c r="G497">
        <f>$C497*G496</f>
        <v/>
      </c>
      <c r="H497">
        <f>$C497*H496</f>
        <v/>
      </c>
      <c r="I497">
        <f>$C497*I496</f>
        <v/>
      </c>
      <c r="J497">
        <f>$C497*J496</f>
        <v/>
      </c>
      <c r="K497">
        <f>$C497*K496</f>
        <v/>
      </c>
      <c r="L497">
        <f>$C497*L496</f>
        <v/>
      </c>
      <c r="M497">
        <f>$C497*M496</f>
        <v/>
      </c>
      <c r="N497">
        <f>$C497*N496</f>
        <v/>
      </c>
      <c r="O497">
        <f>$C497*O496</f>
        <v/>
      </c>
      <c r="P497">
        <f>$C497*P496</f>
        <v/>
      </c>
      <c r="Q497">
        <f>$C497*Q496</f>
        <v/>
      </c>
      <c r="R497">
        <f>$C497*R496</f>
        <v/>
      </c>
      <c r="S497">
        <f>$C497*S496</f>
        <v/>
      </c>
      <c r="T497">
        <f>$C497*T496</f>
        <v/>
      </c>
      <c r="U497">
        <f>$C497*U496</f>
        <v/>
      </c>
      <c r="V497">
        <f>$C497*V496</f>
        <v/>
      </c>
      <c r="W497">
        <f>$C497*W496</f>
        <v/>
      </c>
      <c r="X497">
        <f>$C497*X496</f>
        <v/>
      </c>
      <c r="Y497">
        <f>$C497*Y496</f>
        <v/>
      </c>
      <c r="Z497">
        <f>$C497*Z496</f>
        <v/>
      </c>
      <c r="AA497">
        <f>$C497*AA496</f>
        <v/>
      </c>
      <c r="AB497">
        <f>$C497*AB496</f>
        <v/>
      </c>
      <c r="AC497">
        <f>$C497*AC496</f>
        <v/>
      </c>
      <c r="AD497">
        <f>$C497*AD496</f>
        <v/>
      </c>
      <c r="AE497">
        <f>$C497*AE496</f>
        <v/>
      </c>
      <c r="AF497">
        <f>$C497*AF496</f>
        <v/>
      </c>
      <c r="AG497">
        <f>$C497*AG496</f>
        <v/>
      </c>
      <c r="AH497">
        <f>$C497*AH496</f>
        <v/>
      </c>
      <c r="AI497">
        <f>$C497*AI496</f>
        <v/>
      </c>
      <c r="AJ497">
        <f>$C497*AJ496</f>
        <v/>
      </c>
      <c r="AK497">
        <f>$C497*AK496</f>
        <v/>
      </c>
      <c r="AL497">
        <f>$C497*AL496</f>
        <v/>
      </c>
      <c r="AM497">
        <f>$C497*AM496</f>
        <v/>
      </c>
      <c r="AN497">
        <f>$C497*AN496</f>
        <v/>
      </c>
      <c r="AO497">
        <f>$C497*AO496</f>
        <v/>
      </c>
      <c r="AP497">
        <f>$C497*AP496</f>
        <v/>
      </c>
      <c r="AQ497">
        <f>$C497*AQ496</f>
        <v/>
      </c>
      <c r="AR497">
        <f>$C497*AR496</f>
        <v/>
      </c>
      <c r="AS497">
        <f>$C497*AS496</f>
        <v/>
      </c>
      <c r="AT497">
        <f>$C497*AT496</f>
        <v/>
      </c>
      <c r="AU497">
        <f>$C497*AU496</f>
        <v/>
      </c>
      <c r="AV497">
        <f>$C497*AV496</f>
        <v/>
      </c>
      <c r="AW497">
        <f>$C497*AW496</f>
        <v/>
      </c>
      <c r="AX497">
        <f>$C497*AX496</f>
        <v/>
      </c>
      <c r="AY497">
        <f>$C497*AY496</f>
        <v/>
      </c>
      <c r="AZ497">
        <f>$C497*AZ496</f>
        <v/>
      </c>
      <c r="BA497">
        <f>$C497*BA496</f>
        <v/>
      </c>
      <c r="BB497">
        <f>$C497*BB496</f>
        <v/>
      </c>
      <c r="BC497">
        <f>$C497*BC496</f>
        <v/>
      </c>
      <c r="BD497">
        <f>$C497*BD496</f>
        <v/>
      </c>
      <c r="BE497">
        <f>$C497*BE496</f>
        <v/>
      </c>
      <c r="BF497">
        <f>$C497*BF496</f>
        <v/>
      </c>
      <c r="BG497">
        <f>$C497*BG496</f>
        <v/>
      </c>
      <c r="BH497">
        <f>$C497*BH496</f>
        <v/>
      </c>
      <c r="BI497">
        <f>$C497*BI496</f>
        <v/>
      </c>
      <c r="BJ497">
        <f>$C497*BJ496</f>
        <v/>
      </c>
      <c r="BK497">
        <f>$C497*BK496</f>
        <v/>
      </c>
      <c r="BL497">
        <f>$C497*BL496</f>
        <v/>
      </c>
      <c r="BM497">
        <f>$C497*BM496</f>
        <v/>
      </c>
      <c r="BN497">
        <f>$C497*BN496</f>
        <v/>
      </c>
      <c r="BO497">
        <f>$C497*BO496</f>
        <v/>
      </c>
      <c r="BP497">
        <f>$C497*BP496</f>
        <v/>
      </c>
      <c r="BQ497">
        <f>$C497*BQ496</f>
        <v/>
      </c>
      <c r="BR497">
        <f>$C497*BR496</f>
        <v/>
      </c>
      <c r="BS497">
        <f>$C497*BS496</f>
        <v/>
      </c>
      <c r="BT497">
        <f>$C497*BT496</f>
        <v/>
      </c>
      <c r="BU497">
        <f>$C497*BU496</f>
        <v/>
      </c>
      <c r="BV497">
        <f>$C497*BV496</f>
        <v/>
      </c>
      <c r="BW497">
        <f>$C497*BW496</f>
        <v/>
      </c>
      <c r="BX497">
        <f>$C497*BX496</f>
        <v/>
      </c>
      <c r="BY497">
        <f>$C497*BY496</f>
        <v/>
      </c>
      <c r="BZ497">
        <f>$C497*BZ496</f>
        <v/>
      </c>
      <c r="CA497">
        <f>$C497*CA496</f>
        <v/>
      </c>
      <c r="CB497">
        <f>$C497*CB496</f>
        <v/>
      </c>
      <c r="CC497">
        <f>$C497*CC496</f>
        <v/>
      </c>
      <c r="CD497">
        <f>$C497*CD496</f>
        <v/>
      </c>
      <c r="CE497">
        <f>$C497*CE496</f>
        <v/>
      </c>
      <c r="CF497">
        <f>$C497*CF496</f>
        <v/>
      </c>
      <c r="CG497">
        <f>$C497*CG496</f>
        <v/>
      </c>
      <c r="CH497">
        <f>$C497*CH496</f>
        <v/>
      </c>
      <c r="CI497">
        <f>$C497*CI496</f>
        <v/>
      </c>
      <c r="CJ497">
        <f>$C497*CJ496</f>
        <v/>
      </c>
      <c r="CK497">
        <f>$C497*CK496</f>
        <v/>
      </c>
      <c r="CL497">
        <f>$C497*CL496</f>
        <v/>
      </c>
      <c r="CM497">
        <f>$C497*CM496</f>
        <v/>
      </c>
      <c r="CN497">
        <f>$C497*CN496</f>
        <v/>
      </c>
      <c r="CO497">
        <f>$C497*CO496</f>
        <v/>
      </c>
      <c r="CP497">
        <f>$C497*CP496</f>
        <v/>
      </c>
      <c r="CQ497">
        <f>$C497*CQ496</f>
        <v/>
      </c>
      <c r="CR497">
        <f>$C497*CR496</f>
        <v/>
      </c>
      <c r="CS497">
        <f>$C497*CS496</f>
        <v/>
      </c>
      <c r="CT497">
        <f>$C497*CT496</f>
        <v/>
      </c>
      <c r="CU497">
        <f>$C497*CU496</f>
        <v/>
      </c>
      <c r="CV497">
        <f>$C497*CV496</f>
        <v/>
      </c>
      <c r="CW497">
        <f>$C497*CW496</f>
        <v/>
      </c>
      <c r="CX497">
        <f>$C497*CX496</f>
        <v/>
      </c>
      <c r="CY497">
        <f>$C497*CY496</f>
        <v/>
      </c>
      <c r="CZ497">
        <f>$C497*CZ496</f>
        <v/>
      </c>
      <c r="DA497">
        <f>$C497*DA496</f>
        <v/>
      </c>
      <c r="DB497">
        <f>$C497*DB496</f>
        <v/>
      </c>
      <c r="DC497">
        <f>$C497*DC496</f>
        <v/>
      </c>
    </row>
    <row r="498">
      <c r="B498" t="inlineStr">
        <is>
          <t>TSP-1499</t>
        </is>
      </c>
      <c r="C498" t="inlineStr">
        <is>
          <t>No. of batches</t>
        </is>
      </c>
      <c r="D498">
        <f>IFERROR(INDEX(PP_Grid[#Data],$DD498,2),0)</f>
        <v/>
      </c>
      <c r="E498">
        <f>IFERROR(INDEX(PP_Grid[#Data],$DD498,3),0)</f>
        <v/>
      </c>
      <c r="F498">
        <f>IFERROR(INDEX(PP_Grid[#Data],$DD498,4),0)</f>
        <v/>
      </c>
      <c r="G498">
        <f>IFERROR(INDEX(PP_Grid[#Data],$DD498,5),0)</f>
        <v/>
      </c>
      <c r="H498">
        <f>IFERROR(INDEX(PP_Grid[#Data],$DD498,6),0)</f>
        <v/>
      </c>
      <c r="I498">
        <f>IFERROR(INDEX(PP_Grid[#Data],$DD498,7),0)</f>
        <v/>
      </c>
      <c r="J498">
        <f>IFERROR(INDEX(PP_Grid[#Data],$DD498,8),0)</f>
        <v/>
      </c>
      <c r="K498">
        <f>IFERROR(INDEX(PP_Grid[#Data],$DD498,9),0)</f>
        <v/>
      </c>
      <c r="L498">
        <f>IFERROR(INDEX(PP_Grid[#Data],$DD498,10),0)</f>
        <v/>
      </c>
      <c r="M498">
        <f>IFERROR(INDEX(PP_Grid[#Data],$DD498,11),0)</f>
        <v/>
      </c>
      <c r="N498">
        <f>IFERROR(INDEX(PP_Grid[#Data],$DD498,12),0)</f>
        <v/>
      </c>
      <c r="O498">
        <f>IFERROR(INDEX(PP_Grid[#Data],$DD498,13),0)</f>
        <v/>
      </c>
      <c r="P498">
        <f>IFERROR(INDEX(PP_Grid[#Data],$DD498,14),0)</f>
        <v/>
      </c>
      <c r="Q498">
        <f>IFERROR(INDEX(PP_Grid[#Data],$DD498,15),0)</f>
        <v/>
      </c>
      <c r="R498">
        <f>IFERROR(INDEX(PP_Grid[#Data],$DD498,16),0)</f>
        <v/>
      </c>
      <c r="S498">
        <f>IFERROR(INDEX(PP_Grid[#Data],$DD498,17),0)</f>
        <v/>
      </c>
      <c r="T498">
        <f>IFERROR(INDEX(PP_Grid[#Data],$DD498,18),0)</f>
        <v/>
      </c>
      <c r="U498">
        <f>IFERROR(INDEX(PP_Grid[#Data],$DD498,19),0)</f>
        <v/>
      </c>
      <c r="V498">
        <f>IFERROR(INDEX(PP_Grid[#Data],$DD498,20),0)</f>
        <v/>
      </c>
      <c r="W498">
        <f>IFERROR(INDEX(PP_Grid[#Data],$DD498,21),0)</f>
        <v/>
      </c>
      <c r="X498">
        <f>IFERROR(INDEX(PP_Grid[#Data],$DD498,22),0)</f>
        <v/>
      </c>
      <c r="Y498">
        <f>IFERROR(INDEX(PP_Grid[#Data],$DD498,23),0)</f>
        <v/>
      </c>
      <c r="Z498">
        <f>IFERROR(INDEX(PP_Grid[#Data],$DD498,24),0)</f>
        <v/>
      </c>
      <c r="AA498">
        <f>IFERROR(INDEX(PP_Grid[#Data],$DD498,25),0)</f>
        <v/>
      </c>
      <c r="AB498">
        <f>IFERROR(INDEX(PP_Grid[#Data],$DD498,26),0)</f>
        <v/>
      </c>
      <c r="AC498">
        <f>IFERROR(INDEX(PP_Grid[#Data],$DD498,27),0)</f>
        <v/>
      </c>
      <c r="AD498">
        <f>IFERROR(INDEX(PP_Grid[#Data],$DD498,28),0)</f>
        <v/>
      </c>
      <c r="AE498">
        <f>IFERROR(INDEX(PP_Grid[#Data],$DD498,29),0)</f>
        <v/>
      </c>
      <c r="AF498">
        <f>IFERROR(INDEX(PP_Grid[#Data],$DD498,30),0)</f>
        <v/>
      </c>
      <c r="AG498">
        <f>IFERROR(INDEX(PP_Grid[#Data],$DD498,31),0)</f>
        <v/>
      </c>
      <c r="AH498">
        <f>IFERROR(INDEX(PP_Grid[#Data],$DD498,32),0)</f>
        <v/>
      </c>
      <c r="AI498">
        <f>IFERROR(INDEX(PP_Grid[#Data],$DD498,33),0)</f>
        <v/>
      </c>
      <c r="AJ498">
        <f>IFERROR(INDEX(PP_Grid[#Data],$DD498,34),0)</f>
        <v/>
      </c>
      <c r="AK498">
        <f>IFERROR(INDEX(PP_Grid[#Data],$DD498,35),0)</f>
        <v/>
      </c>
      <c r="AL498">
        <f>IFERROR(INDEX(PP_Grid[#Data],$DD498,36),0)</f>
        <v/>
      </c>
      <c r="AM498">
        <f>IFERROR(INDEX(PP_Grid[#Data],$DD498,37),0)</f>
        <v/>
      </c>
      <c r="AN498">
        <f>IFERROR(INDEX(PP_Grid[#Data],$DD498,38),0)</f>
        <v/>
      </c>
      <c r="AO498">
        <f>IFERROR(INDEX(PP_Grid[#Data],$DD498,39),0)</f>
        <v/>
      </c>
      <c r="AP498">
        <f>IFERROR(INDEX(PP_Grid[#Data],$DD498,40),0)</f>
        <v/>
      </c>
      <c r="AQ498">
        <f>IFERROR(INDEX(PP_Grid[#Data],$DD498,41),0)</f>
        <v/>
      </c>
      <c r="AR498">
        <f>IFERROR(INDEX(PP_Grid[#Data],$DD498,42),0)</f>
        <v/>
      </c>
      <c r="AS498">
        <f>IFERROR(INDEX(PP_Grid[#Data],$DD498,43),0)</f>
        <v/>
      </c>
      <c r="AT498">
        <f>IFERROR(INDEX(PP_Grid[#Data],$DD498,44),0)</f>
        <v/>
      </c>
      <c r="AU498">
        <f>IFERROR(INDEX(PP_Grid[#Data],$DD498,45),0)</f>
        <v/>
      </c>
      <c r="AV498">
        <f>IFERROR(INDEX(PP_Grid[#Data],$DD498,46),0)</f>
        <v/>
      </c>
      <c r="AW498">
        <f>IFERROR(INDEX(PP_Grid[#Data],$DD498,47),0)</f>
        <v/>
      </c>
      <c r="AX498">
        <f>IFERROR(INDEX(PP_Grid[#Data],$DD498,48),0)</f>
        <v/>
      </c>
      <c r="AY498">
        <f>IFERROR(INDEX(PP_Grid[#Data],$DD498,49),0)</f>
        <v/>
      </c>
      <c r="AZ498">
        <f>IFERROR(INDEX(PP_Grid[#Data],$DD498,50),0)</f>
        <v/>
      </c>
      <c r="BA498">
        <f>IFERROR(INDEX(PP_Grid[#Data],$DD498,51),0)</f>
        <v/>
      </c>
      <c r="BB498">
        <f>IFERROR(INDEX(PP_Grid[#Data],$DD498,52),0)</f>
        <v/>
      </c>
      <c r="BC498">
        <f>IFERROR(INDEX(PP_Grid[#Data],$DD498,53),0)</f>
        <v/>
      </c>
      <c r="BD498">
        <f>IFERROR(INDEX(PP_Grid[#Data],$DD498,54),0)</f>
        <v/>
      </c>
      <c r="BE498">
        <f>IFERROR(INDEX(PP_Grid[#Data],$DD498,55),0)</f>
        <v/>
      </c>
      <c r="BF498">
        <f>IFERROR(INDEX(PP_Grid[#Data],$DD498,56),0)</f>
        <v/>
      </c>
      <c r="BG498">
        <f>IFERROR(INDEX(PP_Grid[#Data],$DD498,57),0)</f>
        <v/>
      </c>
      <c r="BH498">
        <f>IFERROR(INDEX(PP_Grid[#Data],$DD498,58),0)</f>
        <v/>
      </c>
      <c r="BI498">
        <f>IFERROR(INDEX(PP_Grid[#Data],$DD498,59),0)</f>
        <v/>
      </c>
      <c r="BJ498">
        <f>IFERROR(INDEX(PP_Grid[#Data],$DD498,60),0)</f>
        <v/>
      </c>
      <c r="BK498">
        <f>IFERROR(INDEX(PP_Grid[#Data],$DD498,61),0)</f>
        <v/>
      </c>
      <c r="BL498">
        <f>IFERROR(INDEX(PP_Grid[#Data],$DD498,62),0)</f>
        <v/>
      </c>
      <c r="BM498">
        <f>IFERROR(INDEX(PP_Grid[#Data],$DD498,63),0)</f>
        <v/>
      </c>
      <c r="BN498">
        <f>IFERROR(INDEX(PP_Grid[#Data],$DD498,64),0)</f>
        <v/>
      </c>
      <c r="BO498">
        <f>IFERROR(INDEX(PP_Grid[#Data],$DD498,65),0)</f>
        <v/>
      </c>
      <c r="BP498">
        <f>IFERROR(INDEX(PP_Grid[#Data],$DD498,66),0)</f>
        <v/>
      </c>
      <c r="BQ498">
        <f>IFERROR(INDEX(PP_Grid[#Data],$DD498,67),0)</f>
        <v/>
      </c>
      <c r="BR498">
        <f>IFERROR(INDEX(PP_Grid[#Data],$DD498,68),0)</f>
        <v/>
      </c>
      <c r="BS498">
        <f>IFERROR(INDEX(PP_Grid[#Data],$DD498,69),0)</f>
        <v/>
      </c>
      <c r="BT498">
        <f>IFERROR(INDEX(PP_Grid[#Data],$DD498,70),0)</f>
        <v/>
      </c>
      <c r="BU498">
        <f>IFERROR(INDEX(PP_Grid[#Data],$DD498,71),0)</f>
        <v/>
      </c>
      <c r="BV498">
        <f>IFERROR(INDEX(PP_Grid[#Data],$DD498,72),0)</f>
        <v/>
      </c>
      <c r="BW498">
        <f>IFERROR(INDEX(PP_Grid[#Data],$DD498,73),0)</f>
        <v/>
      </c>
      <c r="BX498">
        <f>IFERROR(INDEX(PP_Grid[#Data],$DD498,74),0)</f>
        <v/>
      </c>
      <c r="BY498">
        <f>IFERROR(INDEX(PP_Grid[#Data],$DD498,75),0)</f>
        <v/>
      </c>
      <c r="BZ498">
        <f>IFERROR(INDEX(PP_Grid[#Data],$DD498,76),0)</f>
        <v/>
      </c>
      <c r="CA498">
        <f>IFERROR(INDEX(PP_Grid[#Data],$DD498,77),0)</f>
        <v/>
      </c>
      <c r="CB498">
        <f>IFERROR(INDEX(PP_Grid[#Data],$DD498,78),0)</f>
        <v/>
      </c>
      <c r="CC498">
        <f>IFERROR(INDEX(PP_Grid[#Data],$DD498,79),0)</f>
        <v/>
      </c>
      <c r="CD498">
        <f>IFERROR(INDEX(PP_Grid[#Data],$DD498,80),0)</f>
        <v/>
      </c>
      <c r="CE498">
        <f>IFERROR(INDEX(PP_Grid[#Data],$DD498,81),0)</f>
        <v/>
      </c>
      <c r="CF498">
        <f>IFERROR(INDEX(PP_Grid[#Data],$DD498,82),0)</f>
        <v/>
      </c>
      <c r="CG498">
        <f>IFERROR(INDEX(PP_Grid[#Data],$DD498,83),0)</f>
        <v/>
      </c>
      <c r="CH498">
        <f>IFERROR(INDEX(PP_Grid[#Data],$DD498,84),0)</f>
        <v/>
      </c>
      <c r="CI498">
        <f>IFERROR(INDEX(PP_Grid[#Data],$DD498,85),0)</f>
        <v/>
      </c>
      <c r="CJ498">
        <f>IFERROR(INDEX(PP_Grid[#Data],$DD498,86),0)</f>
        <v/>
      </c>
      <c r="CK498">
        <f>IFERROR(INDEX(PP_Grid[#Data],$DD498,87),0)</f>
        <v/>
      </c>
      <c r="CL498">
        <f>IFERROR(INDEX(PP_Grid[#Data],$DD498,88),0)</f>
        <v/>
      </c>
      <c r="CM498">
        <f>IFERROR(INDEX(PP_Grid[#Data],$DD498,89),0)</f>
        <v/>
      </c>
      <c r="CN498">
        <f>IFERROR(INDEX(PP_Grid[#Data],$DD498,90),0)</f>
        <v/>
      </c>
      <c r="CO498">
        <f>IFERROR(INDEX(PP_Grid[#Data],$DD498,91),0)</f>
        <v/>
      </c>
      <c r="CP498">
        <f>IFERROR(INDEX(PP_Grid[#Data],$DD498,92),0)</f>
        <v/>
      </c>
      <c r="CQ498">
        <f>IFERROR(INDEX(PP_Grid[#Data],$DD498,93),0)</f>
        <v/>
      </c>
      <c r="CR498">
        <f>IFERROR(INDEX(PP_Grid[#Data],$DD498,94),0)</f>
        <v/>
      </c>
      <c r="CS498">
        <f>IFERROR(INDEX(PP_Grid[#Data],$DD498,95),0)</f>
        <v/>
      </c>
      <c r="CT498">
        <f>IFERROR(INDEX(PP_Grid[#Data],$DD498,96),0)</f>
        <v/>
      </c>
      <c r="CU498">
        <f>IFERROR(INDEX(PP_Grid[#Data],$DD498,97),0)</f>
        <v/>
      </c>
      <c r="CV498">
        <f>IFERROR(INDEX(PP_Grid[#Data],$DD498,98),0)</f>
        <v/>
      </c>
      <c r="CW498">
        <f>IFERROR(INDEX(PP_Grid[#Data],$DD498,99),0)</f>
        <v/>
      </c>
      <c r="CX498">
        <f>IFERROR(INDEX(PP_Grid[#Data],$DD498,100),0)</f>
        <v/>
      </c>
      <c r="CY498">
        <f>IFERROR(INDEX(PP_Grid[#Data],$DD498,101),0)</f>
        <v/>
      </c>
      <c r="CZ498">
        <f>IFERROR(INDEX(PP_Grid[#Data],$DD498,102),0)</f>
        <v/>
      </c>
      <c r="DA498">
        <f>IFERROR(INDEX(PP_Grid[#Data],$DD498,103),0)</f>
        <v/>
      </c>
      <c r="DB498">
        <f>IFERROR(INDEX(PP_Grid[#Data],$DD498,104),0)</f>
        <v/>
      </c>
      <c r="DC498">
        <f>IFERROR(INDEX(PP_Grid[#Data],$DD498,105),0)</f>
        <v/>
      </c>
      <c r="DD498" s="7">
        <f>IFERROR(MATCH($B498,PP_Grid[Intermediate],0),99999)</f>
        <v/>
      </c>
    </row>
    <row r="499">
      <c r="B499" t="inlineStr">
        <is>
          <t>使用量(kg)</t>
        </is>
      </c>
      <c r="C499">
        <f>SUMIFS(M_BOM[RM_Qty_Per_Batch],M_BOM[Intermediate],$B498,M_BOM[Part Name],$A485)</f>
        <v/>
      </c>
      <c r="D499">
        <f>$C499*D498</f>
        <v/>
      </c>
      <c r="E499">
        <f>$C499*E498</f>
        <v/>
      </c>
      <c r="F499">
        <f>$C499*F498</f>
        <v/>
      </c>
      <c r="G499">
        <f>$C499*G498</f>
        <v/>
      </c>
      <c r="H499">
        <f>$C499*H498</f>
        <v/>
      </c>
      <c r="I499">
        <f>$C499*I498</f>
        <v/>
      </c>
      <c r="J499">
        <f>$C499*J498</f>
        <v/>
      </c>
      <c r="K499">
        <f>$C499*K498</f>
        <v/>
      </c>
      <c r="L499">
        <f>$C499*L498</f>
        <v/>
      </c>
      <c r="M499">
        <f>$C499*M498</f>
        <v/>
      </c>
      <c r="N499">
        <f>$C499*N498</f>
        <v/>
      </c>
      <c r="O499">
        <f>$C499*O498</f>
        <v/>
      </c>
      <c r="P499">
        <f>$C499*P498</f>
        <v/>
      </c>
      <c r="Q499">
        <f>$C499*Q498</f>
        <v/>
      </c>
      <c r="R499">
        <f>$C499*R498</f>
        <v/>
      </c>
      <c r="S499">
        <f>$C499*S498</f>
        <v/>
      </c>
      <c r="T499">
        <f>$C499*T498</f>
        <v/>
      </c>
      <c r="U499">
        <f>$C499*U498</f>
        <v/>
      </c>
      <c r="V499">
        <f>$C499*V498</f>
        <v/>
      </c>
      <c r="W499">
        <f>$C499*W498</f>
        <v/>
      </c>
      <c r="X499">
        <f>$C499*X498</f>
        <v/>
      </c>
      <c r="Y499">
        <f>$C499*Y498</f>
        <v/>
      </c>
      <c r="Z499">
        <f>$C499*Z498</f>
        <v/>
      </c>
      <c r="AA499">
        <f>$C499*AA498</f>
        <v/>
      </c>
      <c r="AB499">
        <f>$C499*AB498</f>
        <v/>
      </c>
      <c r="AC499">
        <f>$C499*AC498</f>
        <v/>
      </c>
      <c r="AD499">
        <f>$C499*AD498</f>
        <v/>
      </c>
      <c r="AE499">
        <f>$C499*AE498</f>
        <v/>
      </c>
      <c r="AF499">
        <f>$C499*AF498</f>
        <v/>
      </c>
      <c r="AG499">
        <f>$C499*AG498</f>
        <v/>
      </c>
      <c r="AH499">
        <f>$C499*AH498</f>
        <v/>
      </c>
      <c r="AI499">
        <f>$C499*AI498</f>
        <v/>
      </c>
      <c r="AJ499">
        <f>$C499*AJ498</f>
        <v/>
      </c>
      <c r="AK499">
        <f>$C499*AK498</f>
        <v/>
      </c>
      <c r="AL499">
        <f>$C499*AL498</f>
        <v/>
      </c>
      <c r="AM499">
        <f>$C499*AM498</f>
        <v/>
      </c>
      <c r="AN499">
        <f>$C499*AN498</f>
        <v/>
      </c>
      <c r="AO499">
        <f>$C499*AO498</f>
        <v/>
      </c>
      <c r="AP499">
        <f>$C499*AP498</f>
        <v/>
      </c>
      <c r="AQ499">
        <f>$C499*AQ498</f>
        <v/>
      </c>
      <c r="AR499">
        <f>$C499*AR498</f>
        <v/>
      </c>
      <c r="AS499">
        <f>$C499*AS498</f>
        <v/>
      </c>
      <c r="AT499">
        <f>$C499*AT498</f>
        <v/>
      </c>
      <c r="AU499">
        <f>$C499*AU498</f>
        <v/>
      </c>
      <c r="AV499">
        <f>$C499*AV498</f>
        <v/>
      </c>
      <c r="AW499">
        <f>$C499*AW498</f>
        <v/>
      </c>
      <c r="AX499">
        <f>$C499*AX498</f>
        <v/>
      </c>
      <c r="AY499">
        <f>$C499*AY498</f>
        <v/>
      </c>
      <c r="AZ499">
        <f>$C499*AZ498</f>
        <v/>
      </c>
      <c r="BA499">
        <f>$C499*BA498</f>
        <v/>
      </c>
      <c r="BB499">
        <f>$C499*BB498</f>
        <v/>
      </c>
      <c r="BC499">
        <f>$C499*BC498</f>
        <v/>
      </c>
      <c r="BD499">
        <f>$C499*BD498</f>
        <v/>
      </c>
      <c r="BE499">
        <f>$C499*BE498</f>
        <v/>
      </c>
      <c r="BF499">
        <f>$C499*BF498</f>
        <v/>
      </c>
      <c r="BG499">
        <f>$C499*BG498</f>
        <v/>
      </c>
      <c r="BH499">
        <f>$C499*BH498</f>
        <v/>
      </c>
      <c r="BI499">
        <f>$C499*BI498</f>
        <v/>
      </c>
      <c r="BJ499">
        <f>$C499*BJ498</f>
        <v/>
      </c>
      <c r="BK499">
        <f>$C499*BK498</f>
        <v/>
      </c>
      <c r="BL499">
        <f>$C499*BL498</f>
        <v/>
      </c>
      <c r="BM499">
        <f>$C499*BM498</f>
        <v/>
      </c>
      <c r="BN499">
        <f>$C499*BN498</f>
        <v/>
      </c>
      <c r="BO499">
        <f>$C499*BO498</f>
        <v/>
      </c>
      <c r="BP499">
        <f>$C499*BP498</f>
        <v/>
      </c>
      <c r="BQ499">
        <f>$C499*BQ498</f>
        <v/>
      </c>
      <c r="BR499">
        <f>$C499*BR498</f>
        <v/>
      </c>
      <c r="BS499">
        <f>$C499*BS498</f>
        <v/>
      </c>
      <c r="BT499">
        <f>$C499*BT498</f>
        <v/>
      </c>
      <c r="BU499">
        <f>$C499*BU498</f>
        <v/>
      </c>
      <c r="BV499">
        <f>$C499*BV498</f>
        <v/>
      </c>
      <c r="BW499">
        <f>$C499*BW498</f>
        <v/>
      </c>
      <c r="BX499">
        <f>$C499*BX498</f>
        <v/>
      </c>
      <c r="BY499">
        <f>$C499*BY498</f>
        <v/>
      </c>
      <c r="BZ499">
        <f>$C499*BZ498</f>
        <v/>
      </c>
      <c r="CA499">
        <f>$C499*CA498</f>
        <v/>
      </c>
      <c r="CB499">
        <f>$C499*CB498</f>
        <v/>
      </c>
      <c r="CC499">
        <f>$C499*CC498</f>
        <v/>
      </c>
      <c r="CD499">
        <f>$C499*CD498</f>
        <v/>
      </c>
      <c r="CE499">
        <f>$C499*CE498</f>
        <v/>
      </c>
      <c r="CF499">
        <f>$C499*CF498</f>
        <v/>
      </c>
      <c r="CG499">
        <f>$C499*CG498</f>
        <v/>
      </c>
      <c r="CH499">
        <f>$C499*CH498</f>
        <v/>
      </c>
      <c r="CI499">
        <f>$C499*CI498</f>
        <v/>
      </c>
      <c r="CJ499">
        <f>$C499*CJ498</f>
        <v/>
      </c>
      <c r="CK499">
        <f>$C499*CK498</f>
        <v/>
      </c>
      <c r="CL499">
        <f>$C499*CL498</f>
        <v/>
      </c>
      <c r="CM499">
        <f>$C499*CM498</f>
        <v/>
      </c>
      <c r="CN499">
        <f>$C499*CN498</f>
        <v/>
      </c>
      <c r="CO499">
        <f>$C499*CO498</f>
        <v/>
      </c>
      <c r="CP499">
        <f>$C499*CP498</f>
        <v/>
      </c>
      <c r="CQ499">
        <f>$C499*CQ498</f>
        <v/>
      </c>
      <c r="CR499">
        <f>$C499*CR498</f>
        <v/>
      </c>
      <c r="CS499">
        <f>$C499*CS498</f>
        <v/>
      </c>
      <c r="CT499">
        <f>$C499*CT498</f>
        <v/>
      </c>
      <c r="CU499">
        <f>$C499*CU498</f>
        <v/>
      </c>
      <c r="CV499">
        <f>$C499*CV498</f>
        <v/>
      </c>
      <c r="CW499">
        <f>$C499*CW498</f>
        <v/>
      </c>
      <c r="CX499">
        <f>$C499*CX498</f>
        <v/>
      </c>
      <c r="CY499">
        <f>$C499*CY498</f>
        <v/>
      </c>
      <c r="CZ499">
        <f>$C499*CZ498</f>
        <v/>
      </c>
      <c r="DA499">
        <f>$C499*DA498</f>
        <v/>
      </c>
      <c r="DB499">
        <f>$C499*DB498</f>
        <v/>
      </c>
      <c r="DC499">
        <f>$C499*DC498</f>
        <v/>
      </c>
    </row>
    <row r="500">
      <c r="B500" s="4" t="inlineStr">
        <is>
          <t>合計使用量(kg)/週</t>
        </is>
      </c>
      <c r="D500">
        <f>'Grid_Requirement'!B3</f>
        <v/>
      </c>
      <c r="E500">
        <f>'Grid_Requirement'!C3</f>
        <v/>
      </c>
      <c r="F500">
        <f>'Grid_Requirement'!D3</f>
        <v/>
      </c>
      <c r="G500">
        <f>'Grid_Requirement'!E3</f>
        <v/>
      </c>
      <c r="H500">
        <f>'Grid_Requirement'!F3</f>
        <v/>
      </c>
      <c r="I500">
        <f>'Grid_Requirement'!G3</f>
        <v/>
      </c>
      <c r="J500">
        <f>'Grid_Requirement'!H3</f>
        <v/>
      </c>
      <c r="K500">
        <f>'Grid_Requirement'!I3</f>
        <v/>
      </c>
      <c r="L500">
        <f>'Grid_Requirement'!J3</f>
        <v/>
      </c>
      <c r="M500">
        <f>'Grid_Requirement'!K3</f>
        <v/>
      </c>
      <c r="N500">
        <f>'Grid_Requirement'!L3</f>
        <v/>
      </c>
      <c r="O500">
        <f>'Grid_Requirement'!M3</f>
        <v/>
      </c>
      <c r="P500">
        <f>'Grid_Requirement'!N3</f>
        <v/>
      </c>
      <c r="Q500">
        <f>'Grid_Requirement'!O3</f>
        <v/>
      </c>
      <c r="R500">
        <f>'Grid_Requirement'!P3</f>
        <v/>
      </c>
      <c r="S500">
        <f>'Grid_Requirement'!Q3</f>
        <v/>
      </c>
      <c r="T500">
        <f>'Grid_Requirement'!R3</f>
        <v/>
      </c>
      <c r="U500">
        <f>'Grid_Requirement'!S3</f>
        <v/>
      </c>
      <c r="V500">
        <f>'Grid_Requirement'!T3</f>
        <v/>
      </c>
      <c r="W500">
        <f>'Grid_Requirement'!U3</f>
        <v/>
      </c>
      <c r="X500">
        <f>'Grid_Requirement'!V3</f>
        <v/>
      </c>
      <c r="Y500">
        <f>'Grid_Requirement'!W3</f>
        <v/>
      </c>
      <c r="Z500">
        <f>'Grid_Requirement'!X3</f>
        <v/>
      </c>
      <c r="AA500">
        <f>'Grid_Requirement'!Y3</f>
        <v/>
      </c>
      <c r="AB500">
        <f>'Grid_Requirement'!Z3</f>
        <v/>
      </c>
      <c r="AC500">
        <f>'Grid_Requirement'!AA3</f>
        <v/>
      </c>
      <c r="AD500">
        <f>'Grid_Requirement'!AB3</f>
        <v/>
      </c>
      <c r="AE500">
        <f>'Grid_Requirement'!AC3</f>
        <v/>
      </c>
      <c r="AF500">
        <f>'Grid_Requirement'!AD3</f>
        <v/>
      </c>
      <c r="AG500">
        <f>'Grid_Requirement'!AE3</f>
        <v/>
      </c>
      <c r="AH500">
        <f>'Grid_Requirement'!AF3</f>
        <v/>
      </c>
      <c r="AI500">
        <f>'Grid_Requirement'!AG3</f>
        <v/>
      </c>
      <c r="AJ500">
        <f>'Grid_Requirement'!AH3</f>
        <v/>
      </c>
      <c r="AK500">
        <f>'Grid_Requirement'!AI3</f>
        <v/>
      </c>
      <c r="AL500">
        <f>'Grid_Requirement'!AJ3</f>
        <v/>
      </c>
      <c r="AM500">
        <f>'Grid_Requirement'!AK3</f>
        <v/>
      </c>
      <c r="AN500">
        <f>'Grid_Requirement'!AL3</f>
        <v/>
      </c>
      <c r="AO500">
        <f>'Grid_Requirement'!AM3</f>
        <v/>
      </c>
      <c r="AP500">
        <f>'Grid_Requirement'!AN3</f>
        <v/>
      </c>
      <c r="AQ500">
        <f>'Grid_Requirement'!AO3</f>
        <v/>
      </c>
      <c r="AR500">
        <f>'Grid_Requirement'!AP3</f>
        <v/>
      </c>
      <c r="AS500">
        <f>'Grid_Requirement'!AQ3</f>
        <v/>
      </c>
      <c r="AT500">
        <f>'Grid_Requirement'!AR3</f>
        <v/>
      </c>
      <c r="AU500">
        <f>'Grid_Requirement'!AS3</f>
        <v/>
      </c>
      <c r="AV500">
        <f>'Grid_Requirement'!AT3</f>
        <v/>
      </c>
      <c r="AW500">
        <f>'Grid_Requirement'!AU3</f>
        <v/>
      </c>
      <c r="AX500">
        <f>'Grid_Requirement'!AV3</f>
        <v/>
      </c>
      <c r="AY500">
        <f>'Grid_Requirement'!AW3</f>
        <v/>
      </c>
      <c r="AZ500">
        <f>'Grid_Requirement'!AX3</f>
        <v/>
      </c>
      <c r="BA500">
        <f>'Grid_Requirement'!AY3</f>
        <v/>
      </c>
      <c r="BB500">
        <f>'Grid_Requirement'!AZ3</f>
        <v/>
      </c>
      <c r="BC500">
        <f>'Grid_Requirement'!BA3</f>
        <v/>
      </c>
      <c r="BD500">
        <f>'Grid_Requirement'!BB3</f>
        <v/>
      </c>
      <c r="BE500">
        <f>'Grid_Requirement'!BC3</f>
        <v/>
      </c>
      <c r="BF500">
        <f>'Grid_Requirement'!BD3</f>
        <v/>
      </c>
      <c r="BG500">
        <f>'Grid_Requirement'!BE3</f>
        <v/>
      </c>
      <c r="BH500">
        <f>'Grid_Requirement'!BF3</f>
        <v/>
      </c>
      <c r="BI500">
        <f>'Grid_Requirement'!BG3</f>
        <v/>
      </c>
      <c r="BJ500">
        <f>'Grid_Requirement'!BH3</f>
        <v/>
      </c>
      <c r="BK500">
        <f>'Grid_Requirement'!BI3</f>
        <v/>
      </c>
      <c r="BL500">
        <f>'Grid_Requirement'!BJ3</f>
        <v/>
      </c>
      <c r="BM500">
        <f>'Grid_Requirement'!BK3</f>
        <v/>
      </c>
      <c r="BN500">
        <f>'Grid_Requirement'!BL3</f>
        <v/>
      </c>
      <c r="BO500">
        <f>'Grid_Requirement'!BM3</f>
        <v/>
      </c>
      <c r="BP500">
        <f>'Grid_Requirement'!BN3</f>
        <v/>
      </c>
      <c r="BQ500">
        <f>'Grid_Requirement'!BO3</f>
        <v/>
      </c>
      <c r="BR500">
        <f>'Grid_Requirement'!BP3</f>
        <v/>
      </c>
      <c r="BS500">
        <f>'Grid_Requirement'!BQ3</f>
        <v/>
      </c>
      <c r="BT500">
        <f>'Grid_Requirement'!BR3</f>
        <v/>
      </c>
      <c r="BU500">
        <f>'Grid_Requirement'!BS3</f>
        <v/>
      </c>
      <c r="BV500">
        <f>'Grid_Requirement'!BT3</f>
        <v/>
      </c>
      <c r="BW500">
        <f>'Grid_Requirement'!BU3</f>
        <v/>
      </c>
      <c r="BX500">
        <f>'Grid_Requirement'!BV3</f>
        <v/>
      </c>
      <c r="BY500">
        <f>'Grid_Requirement'!BW3</f>
        <v/>
      </c>
      <c r="BZ500">
        <f>'Grid_Requirement'!BX3</f>
        <v/>
      </c>
      <c r="CA500">
        <f>'Grid_Requirement'!BY3</f>
        <v/>
      </c>
      <c r="CB500">
        <f>'Grid_Requirement'!BZ3</f>
        <v/>
      </c>
      <c r="CC500">
        <f>'Grid_Requirement'!CA3</f>
        <v/>
      </c>
      <c r="CD500">
        <f>'Grid_Requirement'!CB3</f>
        <v/>
      </c>
      <c r="CE500">
        <f>'Grid_Requirement'!CC3</f>
        <v/>
      </c>
      <c r="CF500">
        <f>'Grid_Requirement'!CD3</f>
        <v/>
      </c>
      <c r="CG500">
        <f>'Grid_Requirement'!CE3</f>
        <v/>
      </c>
      <c r="CH500">
        <f>'Grid_Requirement'!CF3</f>
        <v/>
      </c>
      <c r="CI500">
        <f>'Grid_Requirement'!CG3</f>
        <v/>
      </c>
      <c r="CJ500">
        <f>'Grid_Requirement'!CH3</f>
        <v/>
      </c>
      <c r="CK500">
        <f>'Grid_Requirement'!CI3</f>
        <v/>
      </c>
      <c r="CL500">
        <f>'Grid_Requirement'!CJ3</f>
        <v/>
      </c>
      <c r="CM500">
        <f>'Grid_Requirement'!CK3</f>
        <v/>
      </c>
      <c r="CN500">
        <f>'Grid_Requirement'!CL3</f>
        <v/>
      </c>
      <c r="CO500">
        <f>'Grid_Requirement'!CM3</f>
        <v/>
      </c>
      <c r="CP500">
        <f>'Grid_Requirement'!CN3</f>
        <v/>
      </c>
      <c r="CQ500">
        <f>'Grid_Requirement'!CO3</f>
        <v/>
      </c>
      <c r="CR500">
        <f>'Grid_Requirement'!CP3</f>
        <v/>
      </c>
      <c r="CS500">
        <f>'Grid_Requirement'!CQ3</f>
        <v/>
      </c>
      <c r="CT500">
        <f>'Grid_Requirement'!CR3</f>
        <v/>
      </c>
      <c r="CU500">
        <f>'Grid_Requirement'!CS3</f>
        <v/>
      </c>
      <c r="CV500">
        <f>'Grid_Requirement'!CT3</f>
        <v/>
      </c>
      <c r="CW500">
        <f>'Grid_Requirement'!CU3</f>
        <v/>
      </c>
      <c r="CX500">
        <f>'Grid_Requirement'!CV3</f>
        <v/>
      </c>
      <c r="CY500">
        <f>'Grid_Requirement'!CW3</f>
        <v/>
      </c>
      <c r="CZ500">
        <f>'Grid_Requirement'!CX3</f>
        <v/>
      </c>
      <c r="DA500">
        <f>'Grid_Requirement'!CY3</f>
        <v/>
      </c>
      <c r="DB500">
        <f>'Grid_Requirement'!CZ3</f>
        <v/>
      </c>
      <c r="DC500">
        <f>'Grid_Requirement'!DA3</f>
        <v/>
      </c>
    </row>
    <row r="501">
      <c r="B501" t="inlineStr">
        <is>
          <t>TTAF在庫(実績,kg)</t>
        </is>
      </c>
      <c r="D501">
        <f>'T_TTAFStock'!B7</f>
        <v/>
      </c>
      <c r="E501">
        <f>'T_TTAFStock'!C7</f>
        <v/>
      </c>
      <c r="F501">
        <f>'T_TTAFStock'!D7</f>
        <v/>
      </c>
      <c r="G501">
        <f>'T_TTAFStock'!E7</f>
        <v/>
      </c>
      <c r="H501">
        <f>'T_TTAFStock'!F7</f>
        <v/>
      </c>
      <c r="I501">
        <f>'T_TTAFStock'!G7</f>
        <v/>
      </c>
      <c r="J501">
        <f>'T_TTAFStock'!H7</f>
        <v/>
      </c>
      <c r="K501">
        <f>'T_TTAFStock'!I7</f>
        <v/>
      </c>
      <c r="L501">
        <f>'T_TTAFStock'!J7</f>
        <v/>
      </c>
      <c r="M501">
        <f>'T_TTAFStock'!K7</f>
        <v/>
      </c>
      <c r="N501">
        <f>'T_TTAFStock'!L7</f>
        <v/>
      </c>
      <c r="O501">
        <f>'T_TTAFStock'!M7</f>
        <v/>
      </c>
      <c r="P501">
        <f>'T_TTAFStock'!N7</f>
        <v/>
      </c>
      <c r="Q501">
        <f>'T_TTAFStock'!O7</f>
        <v/>
      </c>
      <c r="R501">
        <f>'T_TTAFStock'!P7</f>
        <v/>
      </c>
      <c r="S501">
        <f>'T_TTAFStock'!Q7</f>
        <v/>
      </c>
      <c r="T501">
        <f>'T_TTAFStock'!R7</f>
        <v/>
      </c>
      <c r="U501">
        <f>'T_TTAFStock'!S7</f>
        <v/>
      </c>
      <c r="V501">
        <f>'T_TTAFStock'!T7</f>
        <v/>
      </c>
      <c r="W501">
        <f>'T_TTAFStock'!U7</f>
        <v/>
      </c>
      <c r="X501">
        <f>'T_TTAFStock'!V7</f>
        <v/>
      </c>
      <c r="Y501">
        <f>'T_TTAFStock'!W7</f>
        <v/>
      </c>
      <c r="Z501">
        <f>'T_TTAFStock'!X7</f>
        <v/>
      </c>
      <c r="AA501">
        <f>'T_TTAFStock'!Y7</f>
        <v/>
      </c>
      <c r="AB501">
        <f>'T_TTAFStock'!Z7</f>
        <v/>
      </c>
      <c r="AC501">
        <f>'T_TTAFStock'!AA7</f>
        <v/>
      </c>
      <c r="AD501">
        <f>'T_TTAFStock'!AB7</f>
        <v/>
      </c>
      <c r="AE501">
        <f>'T_TTAFStock'!AC7</f>
        <v/>
      </c>
      <c r="AF501">
        <f>'T_TTAFStock'!AD7</f>
        <v/>
      </c>
      <c r="AG501">
        <f>'T_TTAFStock'!AE7</f>
        <v/>
      </c>
      <c r="AH501">
        <f>'T_TTAFStock'!AF7</f>
        <v/>
      </c>
      <c r="AI501">
        <f>'T_TTAFStock'!AG7</f>
        <v/>
      </c>
      <c r="AJ501">
        <f>'T_TTAFStock'!AH7</f>
        <v/>
      </c>
      <c r="AK501">
        <f>'T_TTAFStock'!AI7</f>
        <v/>
      </c>
      <c r="AL501">
        <f>'T_TTAFStock'!AJ7</f>
        <v/>
      </c>
      <c r="AM501">
        <f>'T_TTAFStock'!AK7</f>
        <v/>
      </c>
      <c r="AN501">
        <f>'T_TTAFStock'!AL7</f>
        <v/>
      </c>
      <c r="AO501">
        <f>'T_TTAFStock'!AM7</f>
        <v/>
      </c>
      <c r="AP501">
        <f>'T_TTAFStock'!AN7</f>
        <v/>
      </c>
      <c r="AQ501">
        <f>'T_TTAFStock'!AO7</f>
        <v/>
      </c>
      <c r="AR501">
        <f>'T_TTAFStock'!AP7</f>
        <v/>
      </c>
      <c r="AS501">
        <f>'T_TTAFStock'!AQ7</f>
        <v/>
      </c>
      <c r="AT501">
        <f>'T_TTAFStock'!AR7</f>
        <v/>
      </c>
      <c r="AU501">
        <f>'T_TTAFStock'!AS7</f>
        <v/>
      </c>
      <c r="AV501">
        <f>'T_TTAFStock'!AT7</f>
        <v/>
      </c>
      <c r="AW501">
        <f>'T_TTAFStock'!AU7</f>
        <v/>
      </c>
      <c r="AX501">
        <f>'T_TTAFStock'!AV7</f>
        <v/>
      </c>
      <c r="AY501">
        <f>'T_TTAFStock'!AW7</f>
        <v/>
      </c>
      <c r="AZ501">
        <f>'T_TTAFStock'!AX7</f>
        <v/>
      </c>
      <c r="BA501">
        <f>'T_TTAFStock'!AY7</f>
        <v/>
      </c>
      <c r="BB501">
        <f>'T_TTAFStock'!AZ7</f>
        <v/>
      </c>
      <c r="BC501">
        <f>'T_TTAFStock'!BA7</f>
        <v/>
      </c>
      <c r="BD501">
        <f>'T_TTAFStock'!BB7</f>
        <v/>
      </c>
      <c r="BE501">
        <f>'T_TTAFStock'!BC7</f>
        <v/>
      </c>
      <c r="BF501">
        <f>'T_TTAFStock'!BD7</f>
        <v/>
      </c>
      <c r="BG501">
        <f>'T_TTAFStock'!BE7</f>
        <v/>
      </c>
      <c r="BH501">
        <f>'T_TTAFStock'!BF7</f>
        <v/>
      </c>
      <c r="BI501">
        <f>'T_TTAFStock'!BG7</f>
        <v/>
      </c>
      <c r="BJ501">
        <f>'T_TTAFStock'!BH7</f>
        <v/>
      </c>
      <c r="BK501">
        <f>'T_TTAFStock'!BI7</f>
        <v/>
      </c>
      <c r="BL501">
        <f>'T_TTAFStock'!BJ7</f>
        <v/>
      </c>
      <c r="BM501">
        <f>'T_TTAFStock'!BK7</f>
        <v/>
      </c>
      <c r="BN501">
        <f>'T_TTAFStock'!BL7</f>
        <v/>
      </c>
      <c r="BO501">
        <f>'T_TTAFStock'!BM7</f>
        <v/>
      </c>
      <c r="BP501">
        <f>'T_TTAFStock'!BN7</f>
        <v/>
      </c>
      <c r="BQ501">
        <f>'T_TTAFStock'!BO7</f>
        <v/>
      </c>
      <c r="BR501">
        <f>'T_TTAFStock'!BP7</f>
        <v/>
      </c>
      <c r="BS501">
        <f>'T_TTAFStock'!BQ7</f>
        <v/>
      </c>
      <c r="BT501">
        <f>'T_TTAFStock'!BR7</f>
        <v/>
      </c>
      <c r="BU501">
        <f>'T_TTAFStock'!BS7</f>
        <v/>
      </c>
      <c r="BV501">
        <f>'T_TTAFStock'!BT7</f>
        <v/>
      </c>
      <c r="BW501">
        <f>'T_TTAFStock'!BU7</f>
        <v/>
      </c>
      <c r="BX501">
        <f>'T_TTAFStock'!BV7</f>
        <v/>
      </c>
      <c r="BY501">
        <f>'T_TTAFStock'!BW7</f>
        <v/>
      </c>
      <c r="BZ501">
        <f>'T_TTAFStock'!BX7</f>
        <v/>
      </c>
      <c r="CA501">
        <f>'T_TTAFStock'!BY7</f>
        <v/>
      </c>
      <c r="CB501">
        <f>'T_TTAFStock'!BZ7</f>
        <v/>
      </c>
      <c r="CC501">
        <f>'T_TTAFStock'!CA7</f>
        <v/>
      </c>
      <c r="CD501">
        <f>'T_TTAFStock'!CB7</f>
        <v/>
      </c>
      <c r="CE501">
        <f>'T_TTAFStock'!CC7</f>
        <v/>
      </c>
      <c r="CF501">
        <f>'T_TTAFStock'!CD7</f>
        <v/>
      </c>
      <c r="CG501">
        <f>'T_TTAFStock'!CE7</f>
        <v/>
      </c>
      <c r="CH501">
        <f>'T_TTAFStock'!CF7</f>
        <v/>
      </c>
      <c r="CI501">
        <f>'T_TTAFStock'!CG7</f>
        <v/>
      </c>
      <c r="CJ501">
        <f>'T_TTAFStock'!CH7</f>
        <v/>
      </c>
      <c r="CK501">
        <f>'T_TTAFStock'!CI7</f>
        <v/>
      </c>
      <c r="CL501">
        <f>'T_TTAFStock'!CJ7</f>
        <v/>
      </c>
      <c r="CM501">
        <f>'T_TTAFStock'!CK7</f>
        <v/>
      </c>
      <c r="CN501">
        <f>'T_TTAFStock'!CL7</f>
        <v/>
      </c>
      <c r="CO501">
        <f>'T_TTAFStock'!CM7</f>
        <v/>
      </c>
      <c r="CP501">
        <f>'T_TTAFStock'!CN7</f>
        <v/>
      </c>
      <c r="CQ501">
        <f>'T_TTAFStock'!CO7</f>
        <v/>
      </c>
      <c r="CR501">
        <f>'T_TTAFStock'!CP7</f>
        <v/>
      </c>
      <c r="CS501">
        <f>'T_TTAFStock'!CQ7</f>
        <v/>
      </c>
      <c r="CT501">
        <f>'T_TTAFStock'!CR7</f>
        <v/>
      </c>
      <c r="CU501">
        <f>'T_TTAFStock'!CS7</f>
        <v/>
      </c>
      <c r="CV501">
        <f>'T_TTAFStock'!CT7</f>
        <v/>
      </c>
      <c r="CW501">
        <f>'T_TTAFStock'!CU7</f>
        <v/>
      </c>
      <c r="CX501">
        <f>'T_TTAFStock'!CV7</f>
        <v/>
      </c>
      <c r="CY501">
        <f>'T_TTAFStock'!CW7</f>
        <v/>
      </c>
      <c r="CZ501">
        <f>'T_TTAFStock'!CX7</f>
        <v/>
      </c>
      <c r="DA501">
        <f>'T_TTAFStock'!CY7</f>
        <v/>
      </c>
      <c r="DB501">
        <f>'T_TTAFStock'!CZ7</f>
        <v/>
      </c>
      <c r="DC501">
        <f>'T_TTAFStock'!DA7</f>
        <v/>
      </c>
    </row>
    <row r="502">
      <c r="B502" t="inlineStr">
        <is>
          <t>自社在庫(実績,kg)</t>
        </is>
      </c>
      <c r="D502">
        <f>'T_SelfStock'!B7</f>
        <v/>
      </c>
      <c r="E502">
        <f>'T_SelfStock'!C7</f>
        <v/>
      </c>
      <c r="F502">
        <f>'T_SelfStock'!D7</f>
        <v/>
      </c>
      <c r="G502">
        <f>'T_SelfStock'!E7</f>
        <v/>
      </c>
      <c r="H502">
        <f>'T_SelfStock'!F7</f>
        <v/>
      </c>
      <c r="I502">
        <f>'T_SelfStock'!G7</f>
        <v/>
      </c>
      <c r="J502">
        <f>'T_SelfStock'!H7</f>
        <v/>
      </c>
      <c r="K502">
        <f>'T_SelfStock'!I7</f>
        <v/>
      </c>
      <c r="L502">
        <f>'T_SelfStock'!J7</f>
        <v/>
      </c>
      <c r="M502">
        <f>'T_SelfStock'!K7</f>
        <v/>
      </c>
      <c r="N502">
        <f>'T_SelfStock'!L7</f>
        <v/>
      </c>
      <c r="O502">
        <f>'T_SelfStock'!M7</f>
        <v/>
      </c>
      <c r="P502">
        <f>'T_SelfStock'!N7</f>
        <v/>
      </c>
      <c r="Q502">
        <f>'T_SelfStock'!O7</f>
        <v/>
      </c>
      <c r="R502">
        <f>'T_SelfStock'!P7</f>
        <v/>
      </c>
      <c r="S502">
        <f>'T_SelfStock'!Q7</f>
        <v/>
      </c>
      <c r="T502">
        <f>'T_SelfStock'!R7</f>
        <v/>
      </c>
      <c r="U502">
        <f>'T_SelfStock'!S7</f>
        <v/>
      </c>
      <c r="V502">
        <f>'T_SelfStock'!T7</f>
        <v/>
      </c>
      <c r="W502">
        <f>'T_SelfStock'!U7</f>
        <v/>
      </c>
      <c r="X502">
        <f>'T_SelfStock'!V7</f>
        <v/>
      </c>
      <c r="Y502">
        <f>'T_SelfStock'!W7</f>
        <v/>
      </c>
      <c r="Z502">
        <f>'T_SelfStock'!X7</f>
        <v/>
      </c>
      <c r="AA502">
        <f>'T_SelfStock'!Y7</f>
        <v/>
      </c>
      <c r="AB502">
        <f>'T_SelfStock'!Z7</f>
        <v/>
      </c>
      <c r="AC502">
        <f>'T_SelfStock'!AA7</f>
        <v/>
      </c>
      <c r="AD502">
        <f>'T_SelfStock'!AB7</f>
        <v/>
      </c>
      <c r="AE502">
        <f>'T_SelfStock'!AC7</f>
        <v/>
      </c>
      <c r="AF502">
        <f>'T_SelfStock'!AD7</f>
        <v/>
      </c>
      <c r="AG502">
        <f>'T_SelfStock'!AE7</f>
        <v/>
      </c>
      <c r="AH502">
        <f>'T_SelfStock'!AF7</f>
        <v/>
      </c>
      <c r="AI502">
        <f>'T_SelfStock'!AG7</f>
        <v/>
      </c>
      <c r="AJ502">
        <f>'T_SelfStock'!AH7</f>
        <v/>
      </c>
      <c r="AK502">
        <f>'T_SelfStock'!AI7</f>
        <v/>
      </c>
      <c r="AL502">
        <f>'T_SelfStock'!AJ7</f>
        <v/>
      </c>
      <c r="AM502">
        <f>'T_SelfStock'!AK7</f>
        <v/>
      </c>
      <c r="AN502">
        <f>'T_SelfStock'!AL7</f>
        <v/>
      </c>
      <c r="AO502">
        <f>'T_SelfStock'!AM7</f>
        <v/>
      </c>
      <c r="AP502">
        <f>'T_SelfStock'!AN7</f>
        <v/>
      </c>
      <c r="AQ502">
        <f>'T_SelfStock'!AO7</f>
        <v/>
      </c>
      <c r="AR502">
        <f>'T_SelfStock'!AP7</f>
        <v/>
      </c>
      <c r="AS502">
        <f>'T_SelfStock'!AQ7</f>
        <v/>
      </c>
      <c r="AT502">
        <f>'T_SelfStock'!AR7</f>
        <v/>
      </c>
      <c r="AU502">
        <f>'T_SelfStock'!AS7</f>
        <v/>
      </c>
      <c r="AV502">
        <f>'T_SelfStock'!AT7</f>
        <v/>
      </c>
      <c r="AW502">
        <f>'T_SelfStock'!AU7</f>
        <v/>
      </c>
      <c r="AX502">
        <f>'T_SelfStock'!AV7</f>
        <v/>
      </c>
      <c r="AY502">
        <f>'T_SelfStock'!AW7</f>
        <v/>
      </c>
      <c r="AZ502">
        <f>'T_SelfStock'!AX7</f>
        <v/>
      </c>
      <c r="BA502">
        <f>'T_SelfStock'!AY7</f>
        <v/>
      </c>
      <c r="BB502">
        <f>'T_SelfStock'!AZ7</f>
        <v/>
      </c>
      <c r="BC502">
        <f>'T_SelfStock'!BA7</f>
        <v/>
      </c>
      <c r="BD502">
        <f>'T_SelfStock'!BB7</f>
        <v/>
      </c>
      <c r="BE502">
        <f>'T_SelfStock'!BC7</f>
        <v/>
      </c>
      <c r="BF502">
        <f>'T_SelfStock'!BD7</f>
        <v/>
      </c>
      <c r="BG502">
        <f>'T_SelfStock'!BE7</f>
        <v/>
      </c>
      <c r="BH502">
        <f>'T_SelfStock'!BF7</f>
        <v/>
      </c>
      <c r="BI502">
        <f>'T_SelfStock'!BG7</f>
        <v/>
      </c>
      <c r="BJ502">
        <f>'T_SelfStock'!BH7</f>
        <v/>
      </c>
      <c r="BK502">
        <f>'T_SelfStock'!BI7</f>
        <v/>
      </c>
      <c r="BL502">
        <f>'T_SelfStock'!BJ7</f>
        <v/>
      </c>
      <c r="BM502">
        <f>'T_SelfStock'!BK7</f>
        <v/>
      </c>
      <c r="BN502">
        <f>'T_SelfStock'!BL7</f>
        <v/>
      </c>
      <c r="BO502">
        <f>'T_SelfStock'!BM7</f>
        <v/>
      </c>
      <c r="BP502">
        <f>'T_SelfStock'!BN7</f>
        <v/>
      </c>
      <c r="BQ502">
        <f>'T_SelfStock'!BO7</f>
        <v/>
      </c>
      <c r="BR502">
        <f>'T_SelfStock'!BP7</f>
        <v/>
      </c>
      <c r="BS502">
        <f>'T_SelfStock'!BQ7</f>
        <v/>
      </c>
      <c r="BT502">
        <f>'T_SelfStock'!BR7</f>
        <v/>
      </c>
      <c r="BU502">
        <f>'T_SelfStock'!BS7</f>
        <v/>
      </c>
      <c r="BV502">
        <f>'T_SelfStock'!BT7</f>
        <v/>
      </c>
      <c r="BW502">
        <f>'T_SelfStock'!BU7</f>
        <v/>
      </c>
      <c r="BX502">
        <f>'T_SelfStock'!BV7</f>
        <v/>
      </c>
      <c r="BY502">
        <f>'T_SelfStock'!BW7</f>
        <v/>
      </c>
      <c r="BZ502">
        <f>'T_SelfStock'!BX7</f>
        <v/>
      </c>
      <c r="CA502">
        <f>'T_SelfStock'!BY7</f>
        <v/>
      </c>
      <c r="CB502">
        <f>'T_SelfStock'!BZ7</f>
        <v/>
      </c>
      <c r="CC502">
        <f>'T_SelfStock'!CA7</f>
        <v/>
      </c>
      <c r="CD502">
        <f>'T_SelfStock'!CB7</f>
        <v/>
      </c>
      <c r="CE502">
        <f>'T_SelfStock'!CC7</f>
        <v/>
      </c>
      <c r="CF502">
        <f>'T_SelfStock'!CD7</f>
        <v/>
      </c>
      <c r="CG502">
        <f>'T_SelfStock'!CE7</f>
        <v/>
      </c>
      <c r="CH502">
        <f>'T_SelfStock'!CF7</f>
        <v/>
      </c>
      <c r="CI502">
        <f>'T_SelfStock'!CG7</f>
        <v/>
      </c>
      <c r="CJ502">
        <f>'T_SelfStock'!CH7</f>
        <v/>
      </c>
      <c r="CK502">
        <f>'T_SelfStock'!CI7</f>
        <v/>
      </c>
      <c r="CL502">
        <f>'T_SelfStock'!CJ7</f>
        <v/>
      </c>
      <c r="CM502">
        <f>'T_SelfStock'!CK7</f>
        <v/>
      </c>
      <c r="CN502">
        <f>'T_SelfStock'!CL7</f>
        <v/>
      </c>
      <c r="CO502">
        <f>'T_SelfStock'!CM7</f>
        <v/>
      </c>
      <c r="CP502">
        <f>'T_SelfStock'!CN7</f>
        <v/>
      </c>
      <c r="CQ502">
        <f>'T_SelfStock'!CO7</f>
        <v/>
      </c>
      <c r="CR502">
        <f>'T_SelfStock'!CP7</f>
        <v/>
      </c>
      <c r="CS502">
        <f>'T_SelfStock'!CQ7</f>
        <v/>
      </c>
      <c r="CT502">
        <f>'T_SelfStock'!CR7</f>
        <v/>
      </c>
      <c r="CU502">
        <f>'T_SelfStock'!CS7</f>
        <v/>
      </c>
      <c r="CV502">
        <f>'T_SelfStock'!CT7</f>
        <v/>
      </c>
      <c r="CW502">
        <f>'T_SelfStock'!CU7</f>
        <v/>
      </c>
      <c r="CX502">
        <f>'T_SelfStock'!CV7</f>
        <v/>
      </c>
      <c r="CY502">
        <f>'T_SelfStock'!CW7</f>
        <v/>
      </c>
      <c r="CZ502">
        <f>'T_SelfStock'!CX7</f>
        <v/>
      </c>
      <c r="DA502">
        <f>'T_SelfStock'!CY7</f>
        <v/>
      </c>
      <c r="DB502">
        <f>'T_SelfStock'!CZ7</f>
        <v/>
      </c>
      <c r="DC502">
        <f>'T_SelfStock'!DA7</f>
        <v/>
      </c>
    </row>
    <row r="503">
      <c r="B503" t="inlineStr">
        <is>
          <t>Order(発注予定,kg)</t>
        </is>
      </c>
      <c r="D503">
        <f>IF(SUMIFS(T_PlannedOrders[EffectiveQty],T_PlannedOrders[Part Name],$A485,T_PlannedOrders[WeekIndex],1)=0,"",SUMIFS(T_PlannedOrders[EffectiveQty],T_PlannedOrders[Part Name],$A485,T_PlannedOrders[WeekIndex],1)&amp;" ("&amp;TEXT(SUMPRODUCT(MAX((T_PlannedOrders[Part Name]=$A485)*(T_PlannedOrders[WeekIndex]=1)*(T_PlannedOrders[EffectiveQty]&gt;0)*T_PlannedOrders[Order_Month])),"m月")&amp;"発注)")</f>
        <v/>
      </c>
      <c r="E503">
        <f>IF(SUMIFS(T_PlannedOrders[EffectiveQty],T_PlannedOrders[Part Name],$A485,T_PlannedOrders[WeekIndex],2)=0,"",SUMIFS(T_PlannedOrders[EffectiveQty],T_PlannedOrders[Part Name],$A485,T_PlannedOrders[WeekIndex],2)&amp;" ("&amp;TEXT(SUMPRODUCT(MAX((T_PlannedOrders[Part Name]=$A485)*(T_PlannedOrders[WeekIndex]=2)*(T_PlannedOrders[EffectiveQty]&gt;0)*T_PlannedOrders[Order_Month])),"m月")&amp;"発注)")</f>
        <v/>
      </c>
      <c r="F503">
        <f>IF(SUMIFS(T_PlannedOrders[EffectiveQty],T_PlannedOrders[Part Name],$A485,T_PlannedOrders[WeekIndex],3)=0,"",SUMIFS(T_PlannedOrders[EffectiveQty],T_PlannedOrders[Part Name],$A485,T_PlannedOrders[WeekIndex],3)&amp;" ("&amp;TEXT(SUMPRODUCT(MAX((T_PlannedOrders[Part Name]=$A485)*(T_PlannedOrders[WeekIndex]=3)*(T_PlannedOrders[EffectiveQty]&gt;0)*T_PlannedOrders[Order_Month])),"m月")&amp;"発注)")</f>
        <v/>
      </c>
      <c r="G503">
        <f>IF(SUMIFS(T_PlannedOrders[EffectiveQty],T_PlannedOrders[Part Name],$A485,T_PlannedOrders[WeekIndex],4)=0,"",SUMIFS(T_PlannedOrders[EffectiveQty],T_PlannedOrders[Part Name],$A485,T_PlannedOrders[WeekIndex],4)&amp;" ("&amp;TEXT(SUMPRODUCT(MAX((T_PlannedOrders[Part Name]=$A485)*(T_PlannedOrders[WeekIndex]=4)*(T_PlannedOrders[EffectiveQty]&gt;0)*T_PlannedOrders[Order_Month])),"m月")&amp;"発注)")</f>
        <v/>
      </c>
      <c r="H503">
        <f>IF(SUMIFS(T_PlannedOrders[EffectiveQty],T_PlannedOrders[Part Name],$A485,T_PlannedOrders[WeekIndex],5)=0,"",SUMIFS(T_PlannedOrders[EffectiveQty],T_PlannedOrders[Part Name],$A485,T_PlannedOrders[WeekIndex],5)&amp;" ("&amp;TEXT(SUMPRODUCT(MAX((T_PlannedOrders[Part Name]=$A485)*(T_PlannedOrders[WeekIndex]=5)*(T_PlannedOrders[EffectiveQty]&gt;0)*T_PlannedOrders[Order_Month])),"m月")&amp;"発注)")</f>
        <v/>
      </c>
      <c r="I503">
        <f>IF(SUMIFS(T_PlannedOrders[EffectiveQty],T_PlannedOrders[Part Name],$A485,T_PlannedOrders[WeekIndex],6)=0,"",SUMIFS(T_PlannedOrders[EffectiveQty],T_PlannedOrders[Part Name],$A485,T_PlannedOrders[WeekIndex],6)&amp;" ("&amp;TEXT(SUMPRODUCT(MAX((T_PlannedOrders[Part Name]=$A485)*(T_PlannedOrders[WeekIndex]=6)*(T_PlannedOrders[EffectiveQty]&gt;0)*T_PlannedOrders[Order_Month])),"m月")&amp;"発注)")</f>
        <v/>
      </c>
      <c r="J503">
        <f>IF(SUMIFS(T_PlannedOrders[EffectiveQty],T_PlannedOrders[Part Name],$A485,T_PlannedOrders[WeekIndex],7)=0,"",SUMIFS(T_PlannedOrders[EffectiveQty],T_PlannedOrders[Part Name],$A485,T_PlannedOrders[WeekIndex],7)&amp;" ("&amp;TEXT(SUMPRODUCT(MAX((T_PlannedOrders[Part Name]=$A485)*(T_PlannedOrders[WeekIndex]=7)*(T_PlannedOrders[EffectiveQty]&gt;0)*T_PlannedOrders[Order_Month])),"m月")&amp;"発注)")</f>
        <v/>
      </c>
      <c r="K503">
        <f>IF(SUMIFS(T_PlannedOrders[EffectiveQty],T_PlannedOrders[Part Name],$A485,T_PlannedOrders[WeekIndex],8)=0,"",SUMIFS(T_PlannedOrders[EffectiveQty],T_PlannedOrders[Part Name],$A485,T_PlannedOrders[WeekIndex],8)&amp;" ("&amp;TEXT(SUMPRODUCT(MAX((T_PlannedOrders[Part Name]=$A485)*(T_PlannedOrders[WeekIndex]=8)*(T_PlannedOrders[EffectiveQty]&gt;0)*T_PlannedOrders[Order_Month])),"m月")&amp;"発注)")</f>
        <v/>
      </c>
      <c r="L503">
        <f>IF(SUMIFS(T_PlannedOrders[EffectiveQty],T_PlannedOrders[Part Name],$A485,T_PlannedOrders[WeekIndex],9)=0,"",SUMIFS(T_PlannedOrders[EffectiveQty],T_PlannedOrders[Part Name],$A485,T_PlannedOrders[WeekIndex],9)&amp;" ("&amp;TEXT(SUMPRODUCT(MAX((T_PlannedOrders[Part Name]=$A485)*(T_PlannedOrders[WeekIndex]=9)*(T_PlannedOrders[EffectiveQty]&gt;0)*T_PlannedOrders[Order_Month])),"m月")&amp;"発注)")</f>
        <v/>
      </c>
      <c r="M503">
        <f>IF(SUMIFS(T_PlannedOrders[EffectiveQty],T_PlannedOrders[Part Name],$A485,T_PlannedOrders[WeekIndex],10)=0,"",SUMIFS(T_PlannedOrders[EffectiveQty],T_PlannedOrders[Part Name],$A485,T_PlannedOrders[WeekIndex],10)&amp;" ("&amp;TEXT(SUMPRODUCT(MAX((T_PlannedOrders[Part Name]=$A485)*(T_PlannedOrders[WeekIndex]=10)*(T_PlannedOrders[EffectiveQty]&gt;0)*T_PlannedOrders[Order_Month])),"m月")&amp;"発注)")</f>
        <v/>
      </c>
      <c r="N503">
        <f>IF(SUMIFS(T_PlannedOrders[EffectiveQty],T_PlannedOrders[Part Name],$A485,T_PlannedOrders[WeekIndex],11)=0,"",SUMIFS(T_PlannedOrders[EffectiveQty],T_PlannedOrders[Part Name],$A485,T_PlannedOrders[WeekIndex],11)&amp;" ("&amp;TEXT(SUMPRODUCT(MAX((T_PlannedOrders[Part Name]=$A485)*(T_PlannedOrders[WeekIndex]=11)*(T_PlannedOrders[EffectiveQty]&gt;0)*T_PlannedOrders[Order_Month])),"m月")&amp;"発注)")</f>
        <v/>
      </c>
      <c r="O503">
        <f>IF(SUMIFS(T_PlannedOrders[EffectiveQty],T_PlannedOrders[Part Name],$A485,T_PlannedOrders[WeekIndex],12)=0,"",SUMIFS(T_PlannedOrders[EffectiveQty],T_PlannedOrders[Part Name],$A485,T_PlannedOrders[WeekIndex],12)&amp;" ("&amp;TEXT(SUMPRODUCT(MAX((T_PlannedOrders[Part Name]=$A485)*(T_PlannedOrders[WeekIndex]=12)*(T_PlannedOrders[EffectiveQty]&gt;0)*T_PlannedOrders[Order_Month])),"m月")&amp;"発注)")</f>
        <v/>
      </c>
      <c r="P503">
        <f>IF(SUMIFS(T_PlannedOrders[EffectiveQty],T_PlannedOrders[Part Name],$A485,T_PlannedOrders[WeekIndex],13)=0,"",SUMIFS(T_PlannedOrders[EffectiveQty],T_PlannedOrders[Part Name],$A485,T_PlannedOrders[WeekIndex],13)&amp;" ("&amp;TEXT(SUMPRODUCT(MAX((T_PlannedOrders[Part Name]=$A485)*(T_PlannedOrders[WeekIndex]=13)*(T_PlannedOrders[EffectiveQty]&gt;0)*T_PlannedOrders[Order_Month])),"m月")&amp;"発注)")</f>
        <v/>
      </c>
      <c r="Q503">
        <f>IF(SUMIFS(T_PlannedOrders[EffectiveQty],T_PlannedOrders[Part Name],$A485,T_PlannedOrders[WeekIndex],14)=0,"",SUMIFS(T_PlannedOrders[EffectiveQty],T_PlannedOrders[Part Name],$A485,T_PlannedOrders[WeekIndex],14)&amp;" ("&amp;TEXT(SUMPRODUCT(MAX((T_PlannedOrders[Part Name]=$A485)*(T_PlannedOrders[WeekIndex]=14)*(T_PlannedOrders[EffectiveQty]&gt;0)*T_PlannedOrders[Order_Month])),"m月")&amp;"発注)")</f>
        <v/>
      </c>
      <c r="R503">
        <f>IF(SUMIFS(T_PlannedOrders[EffectiveQty],T_PlannedOrders[Part Name],$A485,T_PlannedOrders[WeekIndex],15)=0,"",SUMIFS(T_PlannedOrders[EffectiveQty],T_PlannedOrders[Part Name],$A485,T_PlannedOrders[WeekIndex],15)&amp;" ("&amp;TEXT(SUMPRODUCT(MAX((T_PlannedOrders[Part Name]=$A485)*(T_PlannedOrders[WeekIndex]=15)*(T_PlannedOrders[EffectiveQty]&gt;0)*T_PlannedOrders[Order_Month])),"m月")&amp;"発注)")</f>
        <v/>
      </c>
      <c r="S503">
        <f>IF(SUMIFS(T_PlannedOrders[EffectiveQty],T_PlannedOrders[Part Name],$A485,T_PlannedOrders[WeekIndex],16)=0,"",SUMIFS(T_PlannedOrders[EffectiveQty],T_PlannedOrders[Part Name],$A485,T_PlannedOrders[WeekIndex],16)&amp;" ("&amp;TEXT(SUMPRODUCT(MAX((T_PlannedOrders[Part Name]=$A485)*(T_PlannedOrders[WeekIndex]=16)*(T_PlannedOrders[EffectiveQty]&gt;0)*T_PlannedOrders[Order_Month])),"m月")&amp;"発注)")</f>
        <v/>
      </c>
      <c r="T503">
        <f>IF(SUMIFS(T_PlannedOrders[EffectiveQty],T_PlannedOrders[Part Name],$A485,T_PlannedOrders[WeekIndex],17)=0,"",SUMIFS(T_PlannedOrders[EffectiveQty],T_PlannedOrders[Part Name],$A485,T_PlannedOrders[WeekIndex],17)&amp;" ("&amp;TEXT(SUMPRODUCT(MAX((T_PlannedOrders[Part Name]=$A485)*(T_PlannedOrders[WeekIndex]=17)*(T_PlannedOrders[EffectiveQty]&gt;0)*T_PlannedOrders[Order_Month])),"m月")&amp;"発注)")</f>
        <v/>
      </c>
      <c r="U503">
        <f>IF(SUMIFS(T_PlannedOrders[EffectiveQty],T_PlannedOrders[Part Name],$A485,T_PlannedOrders[WeekIndex],18)=0,"",SUMIFS(T_PlannedOrders[EffectiveQty],T_PlannedOrders[Part Name],$A485,T_PlannedOrders[WeekIndex],18)&amp;" ("&amp;TEXT(SUMPRODUCT(MAX((T_PlannedOrders[Part Name]=$A485)*(T_PlannedOrders[WeekIndex]=18)*(T_PlannedOrders[EffectiveQty]&gt;0)*T_PlannedOrders[Order_Month])),"m月")&amp;"発注)")</f>
        <v/>
      </c>
      <c r="V503">
        <f>IF(SUMIFS(T_PlannedOrders[EffectiveQty],T_PlannedOrders[Part Name],$A485,T_PlannedOrders[WeekIndex],19)=0,"",SUMIFS(T_PlannedOrders[EffectiveQty],T_PlannedOrders[Part Name],$A485,T_PlannedOrders[WeekIndex],19)&amp;" ("&amp;TEXT(SUMPRODUCT(MAX((T_PlannedOrders[Part Name]=$A485)*(T_PlannedOrders[WeekIndex]=19)*(T_PlannedOrders[EffectiveQty]&gt;0)*T_PlannedOrders[Order_Month])),"m月")&amp;"発注)")</f>
        <v/>
      </c>
      <c r="W503">
        <f>IF(SUMIFS(T_PlannedOrders[EffectiveQty],T_PlannedOrders[Part Name],$A485,T_PlannedOrders[WeekIndex],20)=0,"",SUMIFS(T_PlannedOrders[EffectiveQty],T_PlannedOrders[Part Name],$A485,T_PlannedOrders[WeekIndex],20)&amp;" ("&amp;TEXT(SUMPRODUCT(MAX((T_PlannedOrders[Part Name]=$A485)*(T_PlannedOrders[WeekIndex]=20)*(T_PlannedOrders[EffectiveQty]&gt;0)*T_PlannedOrders[Order_Month])),"m月")&amp;"発注)")</f>
        <v/>
      </c>
      <c r="X503">
        <f>IF(SUMIFS(T_PlannedOrders[EffectiveQty],T_PlannedOrders[Part Name],$A485,T_PlannedOrders[WeekIndex],21)=0,"",SUMIFS(T_PlannedOrders[EffectiveQty],T_PlannedOrders[Part Name],$A485,T_PlannedOrders[WeekIndex],21)&amp;" ("&amp;TEXT(SUMPRODUCT(MAX((T_PlannedOrders[Part Name]=$A485)*(T_PlannedOrders[WeekIndex]=21)*(T_PlannedOrders[EffectiveQty]&gt;0)*T_PlannedOrders[Order_Month])),"m月")&amp;"発注)")</f>
        <v/>
      </c>
      <c r="Y503">
        <f>IF(SUMIFS(T_PlannedOrders[EffectiveQty],T_PlannedOrders[Part Name],$A485,T_PlannedOrders[WeekIndex],22)=0,"",SUMIFS(T_PlannedOrders[EffectiveQty],T_PlannedOrders[Part Name],$A485,T_PlannedOrders[WeekIndex],22)&amp;" ("&amp;TEXT(SUMPRODUCT(MAX((T_PlannedOrders[Part Name]=$A485)*(T_PlannedOrders[WeekIndex]=22)*(T_PlannedOrders[EffectiveQty]&gt;0)*T_PlannedOrders[Order_Month])),"m月")&amp;"発注)")</f>
        <v/>
      </c>
      <c r="Z503">
        <f>IF(SUMIFS(T_PlannedOrders[EffectiveQty],T_PlannedOrders[Part Name],$A485,T_PlannedOrders[WeekIndex],23)=0,"",SUMIFS(T_PlannedOrders[EffectiveQty],T_PlannedOrders[Part Name],$A485,T_PlannedOrders[WeekIndex],23)&amp;" ("&amp;TEXT(SUMPRODUCT(MAX((T_PlannedOrders[Part Name]=$A485)*(T_PlannedOrders[WeekIndex]=23)*(T_PlannedOrders[EffectiveQty]&gt;0)*T_PlannedOrders[Order_Month])),"m月")&amp;"発注)")</f>
        <v/>
      </c>
      <c r="AA503">
        <f>IF(SUMIFS(T_PlannedOrders[EffectiveQty],T_PlannedOrders[Part Name],$A485,T_PlannedOrders[WeekIndex],24)=0,"",SUMIFS(T_PlannedOrders[EffectiveQty],T_PlannedOrders[Part Name],$A485,T_PlannedOrders[WeekIndex],24)&amp;" ("&amp;TEXT(SUMPRODUCT(MAX((T_PlannedOrders[Part Name]=$A485)*(T_PlannedOrders[WeekIndex]=24)*(T_PlannedOrders[EffectiveQty]&gt;0)*T_PlannedOrders[Order_Month])),"m月")&amp;"発注)")</f>
        <v/>
      </c>
      <c r="AB503">
        <f>IF(SUMIFS(T_PlannedOrders[EffectiveQty],T_PlannedOrders[Part Name],$A485,T_PlannedOrders[WeekIndex],25)=0,"",SUMIFS(T_PlannedOrders[EffectiveQty],T_PlannedOrders[Part Name],$A485,T_PlannedOrders[WeekIndex],25)&amp;" ("&amp;TEXT(SUMPRODUCT(MAX((T_PlannedOrders[Part Name]=$A485)*(T_PlannedOrders[WeekIndex]=25)*(T_PlannedOrders[EffectiveQty]&gt;0)*T_PlannedOrders[Order_Month])),"m月")&amp;"発注)")</f>
        <v/>
      </c>
      <c r="AC503">
        <f>IF(SUMIFS(T_PlannedOrders[EffectiveQty],T_PlannedOrders[Part Name],$A485,T_PlannedOrders[WeekIndex],26)=0,"",SUMIFS(T_PlannedOrders[EffectiveQty],T_PlannedOrders[Part Name],$A485,T_PlannedOrders[WeekIndex],26)&amp;" ("&amp;TEXT(SUMPRODUCT(MAX((T_PlannedOrders[Part Name]=$A485)*(T_PlannedOrders[WeekIndex]=26)*(T_PlannedOrders[EffectiveQty]&gt;0)*T_PlannedOrders[Order_Month])),"m月")&amp;"発注)")</f>
        <v/>
      </c>
      <c r="AD503">
        <f>IF(SUMIFS(T_PlannedOrders[EffectiveQty],T_PlannedOrders[Part Name],$A485,T_PlannedOrders[WeekIndex],27)=0,"",SUMIFS(T_PlannedOrders[EffectiveQty],T_PlannedOrders[Part Name],$A485,T_PlannedOrders[WeekIndex],27)&amp;" ("&amp;TEXT(SUMPRODUCT(MAX((T_PlannedOrders[Part Name]=$A485)*(T_PlannedOrders[WeekIndex]=27)*(T_PlannedOrders[EffectiveQty]&gt;0)*T_PlannedOrders[Order_Month])),"m月")&amp;"発注)")</f>
        <v/>
      </c>
      <c r="AE503">
        <f>IF(SUMIFS(T_PlannedOrders[EffectiveQty],T_PlannedOrders[Part Name],$A485,T_PlannedOrders[WeekIndex],28)=0,"",SUMIFS(T_PlannedOrders[EffectiveQty],T_PlannedOrders[Part Name],$A485,T_PlannedOrders[WeekIndex],28)&amp;" ("&amp;TEXT(SUMPRODUCT(MAX((T_PlannedOrders[Part Name]=$A485)*(T_PlannedOrders[WeekIndex]=28)*(T_PlannedOrders[EffectiveQty]&gt;0)*T_PlannedOrders[Order_Month])),"m月")&amp;"発注)")</f>
        <v/>
      </c>
      <c r="AF503">
        <f>IF(SUMIFS(T_PlannedOrders[EffectiveQty],T_PlannedOrders[Part Name],$A485,T_PlannedOrders[WeekIndex],29)=0,"",SUMIFS(T_PlannedOrders[EffectiveQty],T_PlannedOrders[Part Name],$A485,T_PlannedOrders[WeekIndex],29)&amp;" ("&amp;TEXT(SUMPRODUCT(MAX((T_PlannedOrders[Part Name]=$A485)*(T_PlannedOrders[WeekIndex]=29)*(T_PlannedOrders[EffectiveQty]&gt;0)*T_PlannedOrders[Order_Month])),"m月")&amp;"発注)")</f>
        <v/>
      </c>
      <c r="AG503">
        <f>IF(SUMIFS(T_PlannedOrders[EffectiveQty],T_PlannedOrders[Part Name],$A485,T_PlannedOrders[WeekIndex],30)=0,"",SUMIFS(T_PlannedOrders[EffectiveQty],T_PlannedOrders[Part Name],$A485,T_PlannedOrders[WeekIndex],30)&amp;" ("&amp;TEXT(SUMPRODUCT(MAX((T_PlannedOrders[Part Name]=$A485)*(T_PlannedOrders[WeekIndex]=30)*(T_PlannedOrders[EffectiveQty]&gt;0)*T_PlannedOrders[Order_Month])),"m月")&amp;"発注)")</f>
        <v/>
      </c>
      <c r="AH503">
        <f>IF(SUMIFS(T_PlannedOrders[EffectiveQty],T_PlannedOrders[Part Name],$A485,T_PlannedOrders[WeekIndex],31)=0,"",SUMIFS(T_PlannedOrders[EffectiveQty],T_PlannedOrders[Part Name],$A485,T_PlannedOrders[WeekIndex],31)&amp;" ("&amp;TEXT(SUMPRODUCT(MAX((T_PlannedOrders[Part Name]=$A485)*(T_PlannedOrders[WeekIndex]=31)*(T_PlannedOrders[EffectiveQty]&gt;0)*T_PlannedOrders[Order_Month])),"m月")&amp;"発注)")</f>
        <v/>
      </c>
      <c r="AI503">
        <f>IF(SUMIFS(T_PlannedOrders[EffectiveQty],T_PlannedOrders[Part Name],$A485,T_PlannedOrders[WeekIndex],32)=0,"",SUMIFS(T_PlannedOrders[EffectiveQty],T_PlannedOrders[Part Name],$A485,T_PlannedOrders[WeekIndex],32)&amp;" ("&amp;TEXT(SUMPRODUCT(MAX((T_PlannedOrders[Part Name]=$A485)*(T_PlannedOrders[WeekIndex]=32)*(T_PlannedOrders[EffectiveQty]&gt;0)*T_PlannedOrders[Order_Month])),"m月")&amp;"発注)")</f>
        <v/>
      </c>
      <c r="AJ503">
        <f>IF(SUMIFS(T_PlannedOrders[EffectiveQty],T_PlannedOrders[Part Name],$A485,T_PlannedOrders[WeekIndex],33)=0,"",SUMIFS(T_PlannedOrders[EffectiveQty],T_PlannedOrders[Part Name],$A485,T_PlannedOrders[WeekIndex],33)&amp;" ("&amp;TEXT(SUMPRODUCT(MAX((T_PlannedOrders[Part Name]=$A485)*(T_PlannedOrders[WeekIndex]=33)*(T_PlannedOrders[EffectiveQty]&gt;0)*T_PlannedOrders[Order_Month])),"m月")&amp;"発注)")</f>
        <v/>
      </c>
      <c r="AK503">
        <f>IF(SUMIFS(T_PlannedOrders[EffectiveQty],T_PlannedOrders[Part Name],$A485,T_PlannedOrders[WeekIndex],34)=0,"",SUMIFS(T_PlannedOrders[EffectiveQty],T_PlannedOrders[Part Name],$A485,T_PlannedOrders[WeekIndex],34)&amp;" ("&amp;TEXT(SUMPRODUCT(MAX((T_PlannedOrders[Part Name]=$A485)*(T_PlannedOrders[WeekIndex]=34)*(T_PlannedOrders[EffectiveQty]&gt;0)*T_PlannedOrders[Order_Month])),"m月")&amp;"発注)")</f>
        <v/>
      </c>
      <c r="AL503">
        <f>IF(SUMIFS(T_PlannedOrders[EffectiveQty],T_PlannedOrders[Part Name],$A485,T_PlannedOrders[WeekIndex],35)=0,"",SUMIFS(T_PlannedOrders[EffectiveQty],T_PlannedOrders[Part Name],$A485,T_PlannedOrders[WeekIndex],35)&amp;" ("&amp;TEXT(SUMPRODUCT(MAX((T_PlannedOrders[Part Name]=$A485)*(T_PlannedOrders[WeekIndex]=35)*(T_PlannedOrders[EffectiveQty]&gt;0)*T_PlannedOrders[Order_Month])),"m月")&amp;"発注)")</f>
        <v/>
      </c>
      <c r="AM503">
        <f>IF(SUMIFS(T_PlannedOrders[EffectiveQty],T_PlannedOrders[Part Name],$A485,T_PlannedOrders[WeekIndex],36)=0,"",SUMIFS(T_PlannedOrders[EffectiveQty],T_PlannedOrders[Part Name],$A485,T_PlannedOrders[WeekIndex],36)&amp;" ("&amp;TEXT(SUMPRODUCT(MAX((T_PlannedOrders[Part Name]=$A485)*(T_PlannedOrders[WeekIndex]=36)*(T_PlannedOrders[EffectiveQty]&gt;0)*T_PlannedOrders[Order_Month])),"m月")&amp;"発注)")</f>
        <v/>
      </c>
      <c r="AN503">
        <f>IF(SUMIFS(T_PlannedOrders[EffectiveQty],T_PlannedOrders[Part Name],$A485,T_PlannedOrders[WeekIndex],37)=0,"",SUMIFS(T_PlannedOrders[EffectiveQty],T_PlannedOrders[Part Name],$A485,T_PlannedOrders[WeekIndex],37)&amp;" ("&amp;TEXT(SUMPRODUCT(MAX((T_PlannedOrders[Part Name]=$A485)*(T_PlannedOrders[WeekIndex]=37)*(T_PlannedOrders[EffectiveQty]&gt;0)*T_PlannedOrders[Order_Month])),"m月")&amp;"発注)")</f>
        <v/>
      </c>
      <c r="AO503">
        <f>IF(SUMIFS(T_PlannedOrders[EffectiveQty],T_PlannedOrders[Part Name],$A485,T_PlannedOrders[WeekIndex],38)=0,"",SUMIFS(T_PlannedOrders[EffectiveQty],T_PlannedOrders[Part Name],$A485,T_PlannedOrders[WeekIndex],38)&amp;" ("&amp;TEXT(SUMPRODUCT(MAX((T_PlannedOrders[Part Name]=$A485)*(T_PlannedOrders[WeekIndex]=38)*(T_PlannedOrders[EffectiveQty]&gt;0)*T_PlannedOrders[Order_Month])),"m月")&amp;"発注)")</f>
        <v/>
      </c>
      <c r="AP503">
        <f>IF(SUMIFS(T_PlannedOrders[EffectiveQty],T_PlannedOrders[Part Name],$A485,T_PlannedOrders[WeekIndex],39)=0,"",SUMIFS(T_PlannedOrders[EffectiveQty],T_PlannedOrders[Part Name],$A485,T_PlannedOrders[WeekIndex],39)&amp;" ("&amp;TEXT(SUMPRODUCT(MAX((T_PlannedOrders[Part Name]=$A485)*(T_PlannedOrders[WeekIndex]=39)*(T_PlannedOrders[EffectiveQty]&gt;0)*T_PlannedOrders[Order_Month])),"m月")&amp;"発注)")</f>
        <v/>
      </c>
      <c r="AQ503">
        <f>IF(SUMIFS(T_PlannedOrders[EffectiveQty],T_PlannedOrders[Part Name],$A485,T_PlannedOrders[WeekIndex],40)=0,"",SUMIFS(T_PlannedOrders[EffectiveQty],T_PlannedOrders[Part Name],$A485,T_PlannedOrders[WeekIndex],40)&amp;" ("&amp;TEXT(SUMPRODUCT(MAX((T_PlannedOrders[Part Name]=$A485)*(T_PlannedOrders[WeekIndex]=40)*(T_PlannedOrders[EffectiveQty]&gt;0)*T_PlannedOrders[Order_Month])),"m月")&amp;"発注)")</f>
        <v/>
      </c>
      <c r="AR503">
        <f>IF(SUMIFS(T_PlannedOrders[EffectiveQty],T_PlannedOrders[Part Name],$A485,T_PlannedOrders[WeekIndex],41)=0,"",SUMIFS(T_PlannedOrders[EffectiveQty],T_PlannedOrders[Part Name],$A485,T_PlannedOrders[WeekIndex],41)&amp;" ("&amp;TEXT(SUMPRODUCT(MAX((T_PlannedOrders[Part Name]=$A485)*(T_PlannedOrders[WeekIndex]=41)*(T_PlannedOrders[EffectiveQty]&gt;0)*T_PlannedOrders[Order_Month])),"m月")&amp;"発注)")</f>
        <v/>
      </c>
      <c r="AS503">
        <f>IF(SUMIFS(T_PlannedOrders[EffectiveQty],T_PlannedOrders[Part Name],$A485,T_PlannedOrders[WeekIndex],42)=0,"",SUMIFS(T_PlannedOrders[EffectiveQty],T_PlannedOrders[Part Name],$A485,T_PlannedOrders[WeekIndex],42)&amp;" ("&amp;TEXT(SUMPRODUCT(MAX((T_PlannedOrders[Part Name]=$A485)*(T_PlannedOrders[WeekIndex]=42)*(T_PlannedOrders[EffectiveQty]&gt;0)*T_PlannedOrders[Order_Month])),"m月")&amp;"発注)")</f>
        <v/>
      </c>
      <c r="AT503">
        <f>IF(SUMIFS(T_PlannedOrders[EffectiveQty],T_PlannedOrders[Part Name],$A485,T_PlannedOrders[WeekIndex],43)=0,"",SUMIFS(T_PlannedOrders[EffectiveQty],T_PlannedOrders[Part Name],$A485,T_PlannedOrders[WeekIndex],43)&amp;" ("&amp;TEXT(SUMPRODUCT(MAX((T_PlannedOrders[Part Name]=$A485)*(T_PlannedOrders[WeekIndex]=43)*(T_PlannedOrders[EffectiveQty]&gt;0)*T_PlannedOrders[Order_Month])),"m月")&amp;"発注)")</f>
        <v/>
      </c>
      <c r="AU503">
        <f>IF(SUMIFS(T_PlannedOrders[EffectiveQty],T_PlannedOrders[Part Name],$A485,T_PlannedOrders[WeekIndex],44)=0,"",SUMIFS(T_PlannedOrders[EffectiveQty],T_PlannedOrders[Part Name],$A485,T_PlannedOrders[WeekIndex],44)&amp;" ("&amp;TEXT(SUMPRODUCT(MAX((T_PlannedOrders[Part Name]=$A485)*(T_PlannedOrders[WeekIndex]=44)*(T_PlannedOrders[EffectiveQty]&gt;0)*T_PlannedOrders[Order_Month])),"m月")&amp;"発注)")</f>
        <v/>
      </c>
      <c r="AV503">
        <f>IF(SUMIFS(T_PlannedOrders[EffectiveQty],T_PlannedOrders[Part Name],$A485,T_PlannedOrders[WeekIndex],45)=0,"",SUMIFS(T_PlannedOrders[EffectiveQty],T_PlannedOrders[Part Name],$A485,T_PlannedOrders[WeekIndex],45)&amp;" ("&amp;TEXT(SUMPRODUCT(MAX((T_PlannedOrders[Part Name]=$A485)*(T_PlannedOrders[WeekIndex]=45)*(T_PlannedOrders[EffectiveQty]&gt;0)*T_PlannedOrders[Order_Month])),"m月")&amp;"発注)")</f>
        <v/>
      </c>
      <c r="AW503">
        <f>IF(SUMIFS(T_PlannedOrders[EffectiveQty],T_PlannedOrders[Part Name],$A485,T_PlannedOrders[WeekIndex],46)=0,"",SUMIFS(T_PlannedOrders[EffectiveQty],T_PlannedOrders[Part Name],$A485,T_PlannedOrders[WeekIndex],46)&amp;" ("&amp;TEXT(SUMPRODUCT(MAX((T_PlannedOrders[Part Name]=$A485)*(T_PlannedOrders[WeekIndex]=46)*(T_PlannedOrders[EffectiveQty]&gt;0)*T_PlannedOrders[Order_Month])),"m月")&amp;"発注)")</f>
        <v/>
      </c>
      <c r="AX503">
        <f>IF(SUMIFS(T_PlannedOrders[EffectiveQty],T_PlannedOrders[Part Name],$A485,T_PlannedOrders[WeekIndex],47)=0,"",SUMIFS(T_PlannedOrders[EffectiveQty],T_PlannedOrders[Part Name],$A485,T_PlannedOrders[WeekIndex],47)&amp;" ("&amp;TEXT(SUMPRODUCT(MAX((T_PlannedOrders[Part Name]=$A485)*(T_PlannedOrders[WeekIndex]=47)*(T_PlannedOrders[EffectiveQty]&gt;0)*T_PlannedOrders[Order_Month])),"m月")&amp;"発注)")</f>
        <v/>
      </c>
      <c r="AY503">
        <f>IF(SUMIFS(T_PlannedOrders[EffectiveQty],T_PlannedOrders[Part Name],$A485,T_PlannedOrders[WeekIndex],48)=0,"",SUMIFS(T_PlannedOrders[EffectiveQty],T_PlannedOrders[Part Name],$A485,T_PlannedOrders[WeekIndex],48)&amp;" ("&amp;TEXT(SUMPRODUCT(MAX((T_PlannedOrders[Part Name]=$A485)*(T_PlannedOrders[WeekIndex]=48)*(T_PlannedOrders[EffectiveQty]&gt;0)*T_PlannedOrders[Order_Month])),"m月")&amp;"発注)")</f>
        <v/>
      </c>
      <c r="AZ503">
        <f>IF(SUMIFS(T_PlannedOrders[EffectiveQty],T_PlannedOrders[Part Name],$A485,T_PlannedOrders[WeekIndex],49)=0,"",SUMIFS(T_PlannedOrders[EffectiveQty],T_PlannedOrders[Part Name],$A485,T_PlannedOrders[WeekIndex],49)&amp;" ("&amp;TEXT(SUMPRODUCT(MAX((T_PlannedOrders[Part Name]=$A485)*(T_PlannedOrders[WeekIndex]=49)*(T_PlannedOrders[EffectiveQty]&gt;0)*T_PlannedOrders[Order_Month])),"m月")&amp;"発注)")</f>
        <v/>
      </c>
      <c r="BA503">
        <f>IF(SUMIFS(T_PlannedOrders[EffectiveQty],T_PlannedOrders[Part Name],$A485,T_PlannedOrders[WeekIndex],50)=0,"",SUMIFS(T_PlannedOrders[EffectiveQty],T_PlannedOrders[Part Name],$A485,T_PlannedOrders[WeekIndex],50)&amp;" ("&amp;TEXT(SUMPRODUCT(MAX((T_PlannedOrders[Part Name]=$A485)*(T_PlannedOrders[WeekIndex]=50)*(T_PlannedOrders[EffectiveQty]&gt;0)*T_PlannedOrders[Order_Month])),"m月")&amp;"発注)")</f>
        <v/>
      </c>
      <c r="BB503">
        <f>IF(SUMIFS(T_PlannedOrders[EffectiveQty],T_PlannedOrders[Part Name],$A485,T_PlannedOrders[WeekIndex],51)=0,"",SUMIFS(T_PlannedOrders[EffectiveQty],T_PlannedOrders[Part Name],$A485,T_PlannedOrders[WeekIndex],51)&amp;" ("&amp;TEXT(SUMPRODUCT(MAX((T_PlannedOrders[Part Name]=$A485)*(T_PlannedOrders[WeekIndex]=51)*(T_PlannedOrders[EffectiveQty]&gt;0)*T_PlannedOrders[Order_Month])),"m月")&amp;"発注)")</f>
        <v/>
      </c>
      <c r="BC503">
        <f>IF(SUMIFS(T_PlannedOrders[EffectiveQty],T_PlannedOrders[Part Name],$A485,T_PlannedOrders[WeekIndex],52)=0,"",SUMIFS(T_PlannedOrders[EffectiveQty],T_PlannedOrders[Part Name],$A485,T_PlannedOrders[WeekIndex],52)&amp;" ("&amp;TEXT(SUMPRODUCT(MAX((T_PlannedOrders[Part Name]=$A485)*(T_PlannedOrders[WeekIndex]=52)*(T_PlannedOrders[EffectiveQty]&gt;0)*T_PlannedOrders[Order_Month])),"m月")&amp;"発注)")</f>
        <v/>
      </c>
      <c r="BD503">
        <f>IF(SUMIFS(T_PlannedOrders[EffectiveQty],T_PlannedOrders[Part Name],$A485,T_PlannedOrders[WeekIndex],53)=0,"",SUMIFS(T_PlannedOrders[EffectiveQty],T_PlannedOrders[Part Name],$A485,T_PlannedOrders[WeekIndex],53)&amp;" ("&amp;TEXT(SUMPRODUCT(MAX((T_PlannedOrders[Part Name]=$A485)*(T_PlannedOrders[WeekIndex]=53)*(T_PlannedOrders[EffectiveQty]&gt;0)*T_PlannedOrders[Order_Month])),"m月")&amp;"発注)")</f>
        <v/>
      </c>
      <c r="BE503">
        <f>IF(SUMIFS(T_PlannedOrders[EffectiveQty],T_PlannedOrders[Part Name],$A485,T_PlannedOrders[WeekIndex],54)=0,"",SUMIFS(T_PlannedOrders[EffectiveQty],T_PlannedOrders[Part Name],$A485,T_PlannedOrders[WeekIndex],54)&amp;" ("&amp;TEXT(SUMPRODUCT(MAX((T_PlannedOrders[Part Name]=$A485)*(T_PlannedOrders[WeekIndex]=54)*(T_PlannedOrders[EffectiveQty]&gt;0)*T_PlannedOrders[Order_Month])),"m月")&amp;"発注)")</f>
        <v/>
      </c>
      <c r="BF503">
        <f>IF(SUMIFS(T_PlannedOrders[EffectiveQty],T_PlannedOrders[Part Name],$A485,T_PlannedOrders[WeekIndex],55)=0,"",SUMIFS(T_PlannedOrders[EffectiveQty],T_PlannedOrders[Part Name],$A485,T_PlannedOrders[WeekIndex],55)&amp;" ("&amp;TEXT(SUMPRODUCT(MAX((T_PlannedOrders[Part Name]=$A485)*(T_PlannedOrders[WeekIndex]=55)*(T_PlannedOrders[EffectiveQty]&gt;0)*T_PlannedOrders[Order_Month])),"m月")&amp;"発注)")</f>
        <v/>
      </c>
      <c r="BG503">
        <f>IF(SUMIFS(T_PlannedOrders[EffectiveQty],T_PlannedOrders[Part Name],$A485,T_PlannedOrders[WeekIndex],56)=0,"",SUMIFS(T_PlannedOrders[EffectiveQty],T_PlannedOrders[Part Name],$A485,T_PlannedOrders[WeekIndex],56)&amp;" ("&amp;TEXT(SUMPRODUCT(MAX((T_PlannedOrders[Part Name]=$A485)*(T_PlannedOrders[WeekIndex]=56)*(T_PlannedOrders[EffectiveQty]&gt;0)*T_PlannedOrders[Order_Month])),"m月")&amp;"発注)")</f>
        <v/>
      </c>
      <c r="BH503">
        <f>IF(SUMIFS(T_PlannedOrders[EffectiveQty],T_PlannedOrders[Part Name],$A485,T_PlannedOrders[WeekIndex],57)=0,"",SUMIFS(T_PlannedOrders[EffectiveQty],T_PlannedOrders[Part Name],$A485,T_PlannedOrders[WeekIndex],57)&amp;" ("&amp;TEXT(SUMPRODUCT(MAX((T_PlannedOrders[Part Name]=$A485)*(T_PlannedOrders[WeekIndex]=57)*(T_PlannedOrders[EffectiveQty]&gt;0)*T_PlannedOrders[Order_Month])),"m月")&amp;"発注)")</f>
        <v/>
      </c>
      <c r="BI503">
        <f>IF(SUMIFS(T_PlannedOrders[EffectiveQty],T_PlannedOrders[Part Name],$A485,T_PlannedOrders[WeekIndex],58)=0,"",SUMIFS(T_PlannedOrders[EffectiveQty],T_PlannedOrders[Part Name],$A485,T_PlannedOrders[WeekIndex],58)&amp;" ("&amp;TEXT(SUMPRODUCT(MAX((T_PlannedOrders[Part Name]=$A485)*(T_PlannedOrders[WeekIndex]=58)*(T_PlannedOrders[EffectiveQty]&gt;0)*T_PlannedOrders[Order_Month])),"m月")&amp;"発注)")</f>
        <v/>
      </c>
      <c r="BJ503">
        <f>IF(SUMIFS(T_PlannedOrders[EffectiveQty],T_PlannedOrders[Part Name],$A485,T_PlannedOrders[WeekIndex],59)=0,"",SUMIFS(T_PlannedOrders[EffectiveQty],T_PlannedOrders[Part Name],$A485,T_PlannedOrders[WeekIndex],59)&amp;" ("&amp;TEXT(SUMPRODUCT(MAX((T_PlannedOrders[Part Name]=$A485)*(T_PlannedOrders[WeekIndex]=59)*(T_PlannedOrders[EffectiveQty]&gt;0)*T_PlannedOrders[Order_Month])),"m月")&amp;"発注)")</f>
        <v/>
      </c>
      <c r="BK503">
        <f>IF(SUMIFS(T_PlannedOrders[EffectiveQty],T_PlannedOrders[Part Name],$A485,T_PlannedOrders[WeekIndex],60)=0,"",SUMIFS(T_PlannedOrders[EffectiveQty],T_PlannedOrders[Part Name],$A485,T_PlannedOrders[WeekIndex],60)&amp;" ("&amp;TEXT(SUMPRODUCT(MAX((T_PlannedOrders[Part Name]=$A485)*(T_PlannedOrders[WeekIndex]=60)*(T_PlannedOrders[EffectiveQty]&gt;0)*T_PlannedOrders[Order_Month])),"m月")&amp;"発注)")</f>
        <v/>
      </c>
      <c r="BL503">
        <f>IF(SUMIFS(T_PlannedOrders[EffectiveQty],T_PlannedOrders[Part Name],$A485,T_PlannedOrders[WeekIndex],61)=0,"",SUMIFS(T_PlannedOrders[EffectiveQty],T_PlannedOrders[Part Name],$A485,T_PlannedOrders[WeekIndex],61)&amp;" ("&amp;TEXT(SUMPRODUCT(MAX((T_PlannedOrders[Part Name]=$A485)*(T_PlannedOrders[WeekIndex]=61)*(T_PlannedOrders[EffectiveQty]&gt;0)*T_PlannedOrders[Order_Month])),"m月")&amp;"発注)")</f>
        <v/>
      </c>
      <c r="BM503">
        <f>IF(SUMIFS(T_PlannedOrders[EffectiveQty],T_PlannedOrders[Part Name],$A485,T_PlannedOrders[WeekIndex],62)=0,"",SUMIFS(T_PlannedOrders[EffectiveQty],T_PlannedOrders[Part Name],$A485,T_PlannedOrders[WeekIndex],62)&amp;" ("&amp;TEXT(SUMPRODUCT(MAX((T_PlannedOrders[Part Name]=$A485)*(T_PlannedOrders[WeekIndex]=62)*(T_PlannedOrders[EffectiveQty]&gt;0)*T_PlannedOrders[Order_Month])),"m月")&amp;"発注)")</f>
        <v/>
      </c>
      <c r="BN503">
        <f>IF(SUMIFS(T_PlannedOrders[EffectiveQty],T_PlannedOrders[Part Name],$A485,T_PlannedOrders[WeekIndex],63)=0,"",SUMIFS(T_PlannedOrders[EffectiveQty],T_PlannedOrders[Part Name],$A485,T_PlannedOrders[WeekIndex],63)&amp;" ("&amp;TEXT(SUMPRODUCT(MAX((T_PlannedOrders[Part Name]=$A485)*(T_PlannedOrders[WeekIndex]=63)*(T_PlannedOrders[EffectiveQty]&gt;0)*T_PlannedOrders[Order_Month])),"m月")&amp;"発注)")</f>
        <v/>
      </c>
      <c r="BO503">
        <f>IF(SUMIFS(T_PlannedOrders[EffectiveQty],T_PlannedOrders[Part Name],$A485,T_PlannedOrders[WeekIndex],64)=0,"",SUMIFS(T_PlannedOrders[EffectiveQty],T_PlannedOrders[Part Name],$A485,T_PlannedOrders[WeekIndex],64)&amp;" ("&amp;TEXT(SUMPRODUCT(MAX((T_PlannedOrders[Part Name]=$A485)*(T_PlannedOrders[WeekIndex]=64)*(T_PlannedOrders[EffectiveQty]&gt;0)*T_PlannedOrders[Order_Month])),"m月")&amp;"発注)")</f>
        <v/>
      </c>
      <c r="BP503">
        <f>IF(SUMIFS(T_PlannedOrders[EffectiveQty],T_PlannedOrders[Part Name],$A485,T_PlannedOrders[WeekIndex],65)=0,"",SUMIFS(T_PlannedOrders[EffectiveQty],T_PlannedOrders[Part Name],$A485,T_PlannedOrders[WeekIndex],65)&amp;" ("&amp;TEXT(SUMPRODUCT(MAX((T_PlannedOrders[Part Name]=$A485)*(T_PlannedOrders[WeekIndex]=65)*(T_PlannedOrders[EffectiveQty]&gt;0)*T_PlannedOrders[Order_Month])),"m月")&amp;"発注)")</f>
        <v/>
      </c>
      <c r="BQ503">
        <f>IF(SUMIFS(T_PlannedOrders[EffectiveQty],T_PlannedOrders[Part Name],$A485,T_PlannedOrders[WeekIndex],66)=0,"",SUMIFS(T_PlannedOrders[EffectiveQty],T_PlannedOrders[Part Name],$A485,T_PlannedOrders[WeekIndex],66)&amp;" ("&amp;TEXT(SUMPRODUCT(MAX((T_PlannedOrders[Part Name]=$A485)*(T_PlannedOrders[WeekIndex]=66)*(T_PlannedOrders[EffectiveQty]&gt;0)*T_PlannedOrders[Order_Month])),"m月")&amp;"発注)")</f>
        <v/>
      </c>
      <c r="BR503">
        <f>IF(SUMIFS(T_PlannedOrders[EffectiveQty],T_PlannedOrders[Part Name],$A485,T_PlannedOrders[WeekIndex],67)=0,"",SUMIFS(T_PlannedOrders[EffectiveQty],T_PlannedOrders[Part Name],$A485,T_PlannedOrders[WeekIndex],67)&amp;" ("&amp;TEXT(SUMPRODUCT(MAX((T_PlannedOrders[Part Name]=$A485)*(T_PlannedOrders[WeekIndex]=67)*(T_PlannedOrders[EffectiveQty]&gt;0)*T_PlannedOrders[Order_Month])),"m月")&amp;"発注)")</f>
        <v/>
      </c>
      <c r="BS503">
        <f>IF(SUMIFS(T_PlannedOrders[EffectiveQty],T_PlannedOrders[Part Name],$A485,T_PlannedOrders[WeekIndex],68)=0,"",SUMIFS(T_PlannedOrders[EffectiveQty],T_PlannedOrders[Part Name],$A485,T_PlannedOrders[WeekIndex],68)&amp;" ("&amp;TEXT(SUMPRODUCT(MAX((T_PlannedOrders[Part Name]=$A485)*(T_PlannedOrders[WeekIndex]=68)*(T_PlannedOrders[EffectiveQty]&gt;0)*T_PlannedOrders[Order_Month])),"m月")&amp;"発注)")</f>
        <v/>
      </c>
      <c r="BT503">
        <f>IF(SUMIFS(T_PlannedOrders[EffectiveQty],T_PlannedOrders[Part Name],$A485,T_PlannedOrders[WeekIndex],69)=0,"",SUMIFS(T_PlannedOrders[EffectiveQty],T_PlannedOrders[Part Name],$A485,T_PlannedOrders[WeekIndex],69)&amp;" ("&amp;TEXT(SUMPRODUCT(MAX((T_PlannedOrders[Part Name]=$A485)*(T_PlannedOrders[WeekIndex]=69)*(T_PlannedOrders[EffectiveQty]&gt;0)*T_PlannedOrders[Order_Month])),"m月")&amp;"発注)")</f>
        <v/>
      </c>
      <c r="BU503">
        <f>IF(SUMIFS(T_PlannedOrders[EffectiveQty],T_PlannedOrders[Part Name],$A485,T_PlannedOrders[WeekIndex],70)=0,"",SUMIFS(T_PlannedOrders[EffectiveQty],T_PlannedOrders[Part Name],$A485,T_PlannedOrders[WeekIndex],70)&amp;" ("&amp;TEXT(SUMPRODUCT(MAX((T_PlannedOrders[Part Name]=$A485)*(T_PlannedOrders[WeekIndex]=70)*(T_PlannedOrders[EffectiveQty]&gt;0)*T_PlannedOrders[Order_Month])),"m月")&amp;"発注)")</f>
        <v/>
      </c>
      <c r="BV503">
        <f>IF(SUMIFS(T_PlannedOrders[EffectiveQty],T_PlannedOrders[Part Name],$A485,T_PlannedOrders[WeekIndex],71)=0,"",SUMIFS(T_PlannedOrders[EffectiveQty],T_PlannedOrders[Part Name],$A485,T_PlannedOrders[WeekIndex],71)&amp;" ("&amp;TEXT(SUMPRODUCT(MAX((T_PlannedOrders[Part Name]=$A485)*(T_PlannedOrders[WeekIndex]=71)*(T_PlannedOrders[EffectiveQty]&gt;0)*T_PlannedOrders[Order_Month])),"m月")&amp;"発注)")</f>
        <v/>
      </c>
      <c r="BW503">
        <f>IF(SUMIFS(T_PlannedOrders[EffectiveQty],T_PlannedOrders[Part Name],$A485,T_PlannedOrders[WeekIndex],72)=0,"",SUMIFS(T_PlannedOrders[EffectiveQty],T_PlannedOrders[Part Name],$A485,T_PlannedOrders[WeekIndex],72)&amp;" ("&amp;TEXT(SUMPRODUCT(MAX((T_PlannedOrders[Part Name]=$A485)*(T_PlannedOrders[WeekIndex]=72)*(T_PlannedOrders[EffectiveQty]&gt;0)*T_PlannedOrders[Order_Month])),"m月")&amp;"発注)")</f>
        <v/>
      </c>
      <c r="BX503">
        <f>IF(SUMIFS(T_PlannedOrders[EffectiveQty],T_PlannedOrders[Part Name],$A485,T_PlannedOrders[WeekIndex],73)=0,"",SUMIFS(T_PlannedOrders[EffectiveQty],T_PlannedOrders[Part Name],$A485,T_PlannedOrders[WeekIndex],73)&amp;" ("&amp;TEXT(SUMPRODUCT(MAX((T_PlannedOrders[Part Name]=$A485)*(T_PlannedOrders[WeekIndex]=73)*(T_PlannedOrders[EffectiveQty]&gt;0)*T_PlannedOrders[Order_Month])),"m月")&amp;"発注)")</f>
        <v/>
      </c>
      <c r="BY503">
        <f>IF(SUMIFS(T_PlannedOrders[EffectiveQty],T_PlannedOrders[Part Name],$A485,T_PlannedOrders[WeekIndex],74)=0,"",SUMIFS(T_PlannedOrders[EffectiveQty],T_PlannedOrders[Part Name],$A485,T_PlannedOrders[WeekIndex],74)&amp;" ("&amp;TEXT(SUMPRODUCT(MAX((T_PlannedOrders[Part Name]=$A485)*(T_PlannedOrders[WeekIndex]=74)*(T_PlannedOrders[EffectiveQty]&gt;0)*T_PlannedOrders[Order_Month])),"m月")&amp;"発注)")</f>
        <v/>
      </c>
      <c r="BZ503">
        <f>IF(SUMIFS(T_PlannedOrders[EffectiveQty],T_PlannedOrders[Part Name],$A485,T_PlannedOrders[WeekIndex],75)=0,"",SUMIFS(T_PlannedOrders[EffectiveQty],T_PlannedOrders[Part Name],$A485,T_PlannedOrders[WeekIndex],75)&amp;" ("&amp;TEXT(SUMPRODUCT(MAX((T_PlannedOrders[Part Name]=$A485)*(T_PlannedOrders[WeekIndex]=75)*(T_PlannedOrders[EffectiveQty]&gt;0)*T_PlannedOrders[Order_Month])),"m月")&amp;"発注)")</f>
        <v/>
      </c>
      <c r="CA503">
        <f>IF(SUMIFS(T_PlannedOrders[EffectiveQty],T_PlannedOrders[Part Name],$A485,T_PlannedOrders[WeekIndex],76)=0,"",SUMIFS(T_PlannedOrders[EffectiveQty],T_PlannedOrders[Part Name],$A485,T_PlannedOrders[WeekIndex],76)&amp;" ("&amp;TEXT(SUMPRODUCT(MAX((T_PlannedOrders[Part Name]=$A485)*(T_PlannedOrders[WeekIndex]=76)*(T_PlannedOrders[EffectiveQty]&gt;0)*T_PlannedOrders[Order_Month])),"m月")&amp;"発注)")</f>
        <v/>
      </c>
      <c r="CB503">
        <f>IF(SUMIFS(T_PlannedOrders[EffectiveQty],T_PlannedOrders[Part Name],$A485,T_PlannedOrders[WeekIndex],77)=0,"",SUMIFS(T_PlannedOrders[EffectiveQty],T_PlannedOrders[Part Name],$A485,T_PlannedOrders[WeekIndex],77)&amp;" ("&amp;TEXT(SUMPRODUCT(MAX((T_PlannedOrders[Part Name]=$A485)*(T_PlannedOrders[WeekIndex]=77)*(T_PlannedOrders[EffectiveQty]&gt;0)*T_PlannedOrders[Order_Month])),"m月")&amp;"発注)")</f>
        <v/>
      </c>
      <c r="CC503">
        <f>IF(SUMIFS(T_PlannedOrders[EffectiveQty],T_PlannedOrders[Part Name],$A485,T_PlannedOrders[WeekIndex],78)=0,"",SUMIFS(T_PlannedOrders[EffectiveQty],T_PlannedOrders[Part Name],$A485,T_PlannedOrders[WeekIndex],78)&amp;" ("&amp;TEXT(SUMPRODUCT(MAX((T_PlannedOrders[Part Name]=$A485)*(T_PlannedOrders[WeekIndex]=78)*(T_PlannedOrders[EffectiveQty]&gt;0)*T_PlannedOrders[Order_Month])),"m月")&amp;"発注)")</f>
        <v/>
      </c>
      <c r="CD503">
        <f>IF(SUMIFS(T_PlannedOrders[EffectiveQty],T_PlannedOrders[Part Name],$A485,T_PlannedOrders[WeekIndex],79)=0,"",SUMIFS(T_PlannedOrders[EffectiveQty],T_PlannedOrders[Part Name],$A485,T_PlannedOrders[WeekIndex],79)&amp;" ("&amp;TEXT(SUMPRODUCT(MAX((T_PlannedOrders[Part Name]=$A485)*(T_PlannedOrders[WeekIndex]=79)*(T_PlannedOrders[EffectiveQty]&gt;0)*T_PlannedOrders[Order_Month])),"m月")&amp;"発注)")</f>
        <v/>
      </c>
      <c r="CE503">
        <f>IF(SUMIFS(T_PlannedOrders[EffectiveQty],T_PlannedOrders[Part Name],$A485,T_PlannedOrders[WeekIndex],80)=0,"",SUMIFS(T_PlannedOrders[EffectiveQty],T_PlannedOrders[Part Name],$A485,T_PlannedOrders[WeekIndex],80)&amp;" ("&amp;TEXT(SUMPRODUCT(MAX((T_PlannedOrders[Part Name]=$A485)*(T_PlannedOrders[WeekIndex]=80)*(T_PlannedOrders[EffectiveQty]&gt;0)*T_PlannedOrders[Order_Month])),"m月")&amp;"発注)")</f>
        <v/>
      </c>
      <c r="CF503">
        <f>IF(SUMIFS(T_PlannedOrders[EffectiveQty],T_PlannedOrders[Part Name],$A485,T_PlannedOrders[WeekIndex],81)=0,"",SUMIFS(T_PlannedOrders[EffectiveQty],T_PlannedOrders[Part Name],$A485,T_PlannedOrders[WeekIndex],81)&amp;" ("&amp;TEXT(SUMPRODUCT(MAX((T_PlannedOrders[Part Name]=$A485)*(T_PlannedOrders[WeekIndex]=81)*(T_PlannedOrders[EffectiveQty]&gt;0)*T_PlannedOrders[Order_Month])),"m月")&amp;"発注)")</f>
        <v/>
      </c>
      <c r="CG503">
        <f>IF(SUMIFS(T_PlannedOrders[EffectiveQty],T_PlannedOrders[Part Name],$A485,T_PlannedOrders[WeekIndex],82)=0,"",SUMIFS(T_PlannedOrders[EffectiveQty],T_PlannedOrders[Part Name],$A485,T_PlannedOrders[WeekIndex],82)&amp;" ("&amp;TEXT(SUMPRODUCT(MAX((T_PlannedOrders[Part Name]=$A485)*(T_PlannedOrders[WeekIndex]=82)*(T_PlannedOrders[EffectiveQty]&gt;0)*T_PlannedOrders[Order_Month])),"m月")&amp;"発注)")</f>
        <v/>
      </c>
      <c r="CH503">
        <f>IF(SUMIFS(T_PlannedOrders[EffectiveQty],T_PlannedOrders[Part Name],$A485,T_PlannedOrders[WeekIndex],83)=0,"",SUMIFS(T_PlannedOrders[EffectiveQty],T_PlannedOrders[Part Name],$A485,T_PlannedOrders[WeekIndex],83)&amp;" ("&amp;TEXT(SUMPRODUCT(MAX((T_PlannedOrders[Part Name]=$A485)*(T_PlannedOrders[WeekIndex]=83)*(T_PlannedOrders[EffectiveQty]&gt;0)*T_PlannedOrders[Order_Month])),"m月")&amp;"発注)")</f>
        <v/>
      </c>
      <c r="CI503">
        <f>IF(SUMIFS(T_PlannedOrders[EffectiveQty],T_PlannedOrders[Part Name],$A485,T_PlannedOrders[WeekIndex],84)=0,"",SUMIFS(T_PlannedOrders[EffectiveQty],T_PlannedOrders[Part Name],$A485,T_PlannedOrders[WeekIndex],84)&amp;" ("&amp;TEXT(SUMPRODUCT(MAX((T_PlannedOrders[Part Name]=$A485)*(T_PlannedOrders[WeekIndex]=84)*(T_PlannedOrders[EffectiveQty]&gt;0)*T_PlannedOrders[Order_Month])),"m月")&amp;"発注)")</f>
        <v/>
      </c>
      <c r="CJ503">
        <f>IF(SUMIFS(T_PlannedOrders[EffectiveQty],T_PlannedOrders[Part Name],$A485,T_PlannedOrders[WeekIndex],85)=0,"",SUMIFS(T_PlannedOrders[EffectiveQty],T_PlannedOrders[Part Name],$A485,T_PlannedOrders[WeekIndex],85)&amp;" ("&amp;TEXT(SUMPRODUCT(MAX((T_PlannedOrders[Part Name]=$A485)*(T_PlannedOrders[WeekIndex]=85)*(T_PlannedOrders[EffectiveQty]&gt;0)*T_PlannedOrders[Order_Month])),"m月")&amp;"発注)")</f>
        <v/>
      </c>
      <c r="CK503">
        <f>IF(SUMIFS(T_PlannedOrders[EffectiveQty],T_PlannedOrders[Part Name],$A485,T_PlannedOrders[WeekIndex],86)=0,"",SUMIFS(T_PlannedOrders[EffectiveQty],T_PlannedOrders[Part Name],$A485,T_PlannedOrders[WeekIndex],86)&amp;" ("&amp;TEXT(SUMPRODUCT(MAX((T_PlannedOrders[Part Name]=$A485)*(T_PlannedOrders[WeekIndex]=86)*(T_PlannedOrders[EffectiveQty]&gt;0)*T_PlannedOrders[Order_Month])),"m月")&amp;"発注)")</f>
        <v/>
      </c>
      <c r="CL503">
        <f>IF(SUMIFS(T_PlannedOrders[EffectiveQty],T_PlannedOrders[Part Name],$A485,T_PlannedOrders[WeekIndex],87)=0,"",SUMIFS(T_PlannedOrders[EffectiveQty],T_PlannedOrders[Part Name],$A485,T_PlannedOrders[WeekIndex],87)&amp;" ("&amp;TEXT(SUMPRODUCT(MAX((T_PlannedOrders[Part Name]=$A485)*(T_PlannedOrders[WeekIndex]=87)*(T_PlannedOrders[EffectiveQty]&gt;0)*T_PlannedOrders[Order_Month])),"m月")&amp;"発注)")</f>
        <v/>
      </c>
      <c r="CM503">
        <f>IF(SUMIFS(T_PlannedOrders[EffectiveQty],T_PlannedOrders[Part Name],$A485,T_PlannedOrders[WeekIndex],88)=0,"",SUMIFS(T_PlannedOrders[EffectiveQty],T_PlannedOrders[Part Name],$A485,T_PlannedOrders[WeekIndex],88)&amp;" ("&amp;TEXT(SUMPRODUCT(MAX((T_PlannedOrders[Part Name]=$A485)*(T_PlannedOrders[WeekIndex]=88)*(T_PlannedOrders[EffectiveQty]&gt;0)*T_PlannedOrders[Order_Month])),"m月")&amp;"発注)")</f>
        <v/>
      </c>
      <c r="CN503">
        <f>IF(SUMIFS(T_PlannedOrders[EffectiveQty],T_PlannedOrders[Part Name],$A485,T_PlannedOrders[WeekIndex],89)=0,"",SUMIFS(T_PlannedOrders[EffectiveQty],T_PlannedOrders[Part Name],$A485,T_PlannedOrders[WeekIndex],89)&amp;" ("&amp;TEXT(SUMPRODUCT(MAX((T_PlannedOrders[Part Name]=$A485)*(T_PlannedOrders[WeekIndex]=89)*(T_PlannedOrders[EffectiveQty]&gt;0)*T_PlannedOrders[Order_Month])),"m月")&amp;"発注)")</f>
        <v/>
      </c>
      <c r="CO503">
        <f>IF(SUMIFS(T_PlannedOrders[EffectiveQty],T_PlannedOrders[Part Name],$A485,T_PlannedOrders[WeekIndex],90)=0,"",SUMIFS(T_PlannedOrders[EffectiveQty],T_PlannedOrders[Part Name],$A485,T_PlannedOrders[WeekIndex],90)&amp;" ("&amp;TEXT(SUMPRODUCT(MAX((T_PlannedOrders[Part Name]=$A485)*(T_PlannedOrders[WeekIndex]=90)*(T_PlannedOrders[EffectiveQty]&gt;0)*T_PlannedOrders[Order_Month])),"m月")&amp;"発注)")</f>
        <v/>
      </c>
      <c r="CP503">
        <f>IF(SUMIFS(T_PlannedOrders[EffectiveQty],T_PlannedOrders[Part Name],$A485,T_PlannedOrders[WeekIndex],91)=0,"",SUMIFS(T_PlannedOrders[EffectiveQty],T_PlannedOrders[Part Name],$A485,T_PlannedOrders[WeekIndex],91)&amp;" ("&amp;TEXT(SUMPRODUCT(MAX((T_PlannedOrders[Part Name]=$A485)*(T_PlannedOrders[WeekIndex]=91)*(T_PlannedOrders[EffectiveQty]&gt;0)*T_PlannedOrders[Order_Month])),"m月")&amp;"発注)")</f>
        <v/>
      </c>
      <c r="CQ503">
        <f>IF(SUMIFS(T_PlannedOrders[EffectiveQty],T_PlannedOrders[Part Name],$A485,T_PlannedOrders[WeekIndex],92)=0,"",SUMIFS(T_PlannedOrders[EffectiveQty],T_PlannedOrders[Part Name],$A485,T_PlannedOrders[WeekIndex],92)&amp;" ("&amp;TEXT(SUMPRODUCT(MAX((T_PlannedOrders[Part Name]=$A485)*(T_PlannedOrders[WeekIndex]=92)*(T_PlannedOrders[EffectiveQty]&gt;0)*T_PlannedOrders[Order_Month])),"m月")&amp;"発注)")</f>
        <v/>
      </c>
      <c r="CR503">
        <f>IF(SUMIFS(T_PlannedOrders[EffectiveQty],T_PlannedOrders[Part Name],$A485,T_PlannedOrders[WeekIndex],93)=0,"",SUMIFS(T_PlannedOrders[EffectiveQty],T_PlannedOrders[Part Name],$A485,T_PlannedOrders[WeekIndex],93)&amp;" ("&amp;TEXT(SUMPRODUCT(MAX((T_PlannedOrders[Part Name]=$A485)*(T_PlannedOrders[WeekIndex]=93)*(T_PlannedOrders[EffectiveQty]&gt;0)*T_PlannedOrders[Order_Month])),"m月")&amp;"発注)")</f>
        <v/>
      </c>
      <c r="CS503">
        <f>IF(SUMIFS(T_PlannedOrders[EffectiveQty],T_PlannedOrders[Part Name],$A485,T_PlannedOrders[WeekIndex],94)=0,"",SUMIFS(T_PlannedOrders[EffectiveQty],T_PlannedOrders[Part Name],$A485,T_PlannedOrders[WeekIndex],94)&amp;" ("&amp;TEXT(SUMPRODUCT(MAX((T_PlannedOrders[Part Name]=$A485)*(T_PlannedOrders[WeekIndex]=94)*(T_PlannedOrders[EffectiveQty]&gt;0)*T_PlannedOrders[Order_Month])),"m月")&amp;"発注)")</f>
        <v/>
      </c>
      <c r="CT503">
        <f>IF(SUMIFS(T_PlannedOrders[EffectiveQty],T_PlannedOrders[Part Name],$A485,T_PlannedOrders[WeekIndex],95)=0,"",SUMIFS(T_PlannedOrders[EffectiveQty],T_PlannedOrders[Part Name],$A485,T_PlannedOrders[WeekIndex],95)&amp;" ("&amp;TEXT(SUMPRODUCT(MAX((T_PlannedOrders[Part Name]=$A485)*(T_PlannedOrders[WeekIndex]=95)*(T_PlannedOrders[EffectiveQty]&gt;0)*T_PlannedOrders[Order_Month])),"m月")&amp;"発注)")</f>
        <v/>
      </c>
      <c r="CU503">
        <f>IF(SUMIFS(T_PlannedOrders[EffectiveQty],T_PlannedOrders[Part Name],$A485,T_PlannedOrders[WeekIndex],96)=0,"",SUMIFS(T_PlannedOrders[EffectiveQty],T_PlannedOrders[Part Name],$A485,T_PlannedOrders[WeekIndex],96)&amp;" ("&amp;TEXT(SUMPRODUCT(MAX((T_PlannedOrders[Part Name]=$A485)*(T_PlannedOrders[WeekIndex]=96)*(T_PlannedOrders[EffectiveQty]&gt;0)*T_PlannedOrders[Order_Month])),"m月")&amp;"発注)")</f>
        <v/>
      </c>
      <c r="CV503">
        <f>IF(SUMIFS(T_PlannedOrders[EffectiveQty],T_PlannedOrders[Part Name],$A485,T_PlannedOrders[WeekIndex],97)=0,"",SUMIFS(T_PlannedOrders[EffectiveQty],T_PlannedOrders[Part Name],$A485,T_PlannedOrders[WeekIndex],97)&amp;" ("&amp;TEXT(SUMPRODUCT(MAX((T_PlannedOrders[Part Name]=$A485)*(T_PlannedOrders[WeekIndex]=97)*(T_PlannedOrders[EffectiveQty]&gt;0)*T_PlannedOrders[Order_Month])),"m月")&amp;"発注)")</f>
        <v/>
      </c>
      <c r="CW503">
        <f>IF(SUMIFS(T_PlannedOrders[EffectiveQty],T_PlannedOrders[Part Name],$A485,T_PlannedOrders[WeekIndex],98)=0,"",SUMIFS(T_PlannedOrders[EffectiveQty],T_PlannedOrders[Part Name],$A485,T_PlannedOrders[WeekIndex],98)&amp;" ("&amp;TEXT(SUMPRODUCT(MAX((T_PlannedOrders[Part Name]=$A485)*(T_PlannedOrders[WeekIndex]=98)*(T_PlannedOrders[EffectiveQty]&gt;0)*T_PlannedOrders[Order_Month])),"m月")&amp;"発注)")</f>
        <v/>
      </c>
      <c r="CX503">
        <f>IF(SUMIFS(T_PlannedOrders[EffectiveQty],T_PlannedOrders[Part Name],$A485,T_PlannedOrders[WeekIndex],99)=0,"",SUMIFS(T_PlannedOrders[EffectiveQty],T_PlannedOrders[Part Name],$A485,T_PlannedOrders[WeekIndex],99)&amp;" ("&amp;TEXT(SUMPRODUCT(MAX((T_PlannedOrders[Part Name]=$A485)*(T_PlannedOrders[WeekIndex]=99)*(T_PlannedOrders[EffectiveQty]&gt;0)*T_PlannedOrders[Order_Month])),"m月")&amp;"発注)")</f>
        <v/>
      </c>
      <c r="CY503">
        <f>IF(SUMIFS(T_PlannedOrders[EffectiveQty],T_PlannedOrders[Part Name],$A485,T_PlannedOrders[WeekIndex],100)=0,"",SUMIFS(T_PlannedOrders[EffectiveQty],T_PlannedOrders[Part Name],$A485,T_PlannedOrders[WeekIndex],100)&amp;" ("&amp;TEXT(SUMPRODUCT(MAX((T_PlannedOrders[Part Name]=$A485)*(T_PlannedOrders[WeekIndex]=100)*(T_PlannedOrders[EffectiveQty]&gt;0)*T_PlannedOrders[Order_Month])),"m月")&amp;"発注)")</f>
        <v/>
      </c>
      <c r="CZ503">
        <f>IF(SUMIFS(T_PlannedOrders[EffectiveQty],T_PlannedOrders[Part Name],$A485,T_PlannedOrders[WeekIndex],101)=0,"",SUMIFS(T_PlannedOrders[EffectiveQty],T_PlannedOrders[Part Name],$A485,T_PlannedOrders[WeekIndex],101)&amp;" ("&amp;TEXT(SUMPRODUCT(MAX((T_PlannedOrders[Part Name]=$A485)*(T_PlannedOrders[WeekIndex]=101)*(T_PlannedOrders[EffectiveQty]&gt;0)*T_PlannedOrders[Order_Month])),"m月")&amp;"発注)")</f>
        <v/>
      </c>
      <c r="DA503">
        <f>IF(SUMIFS(T_PlannedOrders[EffectiveQty],T_PlannedOrders[Part Name],$A485,T_PlannedOrders[WeekIndex],102)=0,"",SUMIFS(T_PlannedOrders[EffectiveQty],T_PlannedOrders[Part Name],$A485,T_PlannedOrders[WeekIndex],102)&amp;" ("&amp;TEXT(SUMPRODUCT(MAX((T_PlannedOrders[Part Name]=$A485)*(T_PlannedOrders[WeekIndex]=102)*(T_PlannedOrders[EffectiveQty]&gt;0)*T_PlannedOrders[Order_Month])),"m月")&amp;"発注)")</f>
        <v/>
      </c>
      <c r="DB503">
        <f>IF(SUMIFS(T_PlannedOrders[EffectiveQty],T_PlannedOrders[Part Name],$A485,T_PlannedOrders[WeekIndex],103)=0,"",SUMIFS(T_PlannedOrders[EffectiveQty],T_PlannedOrders[Part Name],$A485,T_PlannedOrders[WeekIndex],103)&amp;" ("&amp;TEXT(SUMPRODUCT(MAX((T_PlannedOrders[Part Name]=$A485)*(T_PlannedOrders[WeekIndex]=103)*(T_PlannedOrders[EffectiveQty]&gt;0)*T_PlannedOrders[Order_Month])),"m月")&amp;"発注)")</f>
        <v/>
      </c>
      <c r="DC503">
        <f>IF(SUMIFS(T_PlannedOrders[EffectiveQty],T_PlannedOrders[Part Name],$A485,T_PlannedOrders[WeekIndex],104)=0,"",SUMIFS(T_PlannedOrders[EffectiveQty],T_PlannedOrders[Part Name],$A485,T_PlannedOrders[WeekIndex],104)&amp;" ("&amp;TEXT(SUMPRODUCT(MAX((T_PlannedOrders[Part Name]=$A485)*(T_PlannedOrders[WeekIndex]=104)*(T_PlannedOrders[EffectiveQty]&gt;0)*T_PlannedOrders[Order_Month])),"m月")&amp;"発注)")</f>
        <v/>
      </c>
    </row>
    <row r="504">
      <c r="B504" s="4" t="inlineStr">
        <is>
          <t>合計在庫(週末時点,kg)</t>
        </is>
      </c>
      <c r="D504">
        <f>'Grid_Stock'!B3</f>
        <v/>
      </c>
      <c r="E504">
        <f>'Grid_Stock'!C3</f>
        <v/>
      </c>
      <c r="F504">
        <f>'Grid_Stock'!D3</f>
        <v/>
      </c>
      <c r="G504">
        <f>'Grid_Stock'!E3</f>
        <v/>
      </c>
      <c r="H504">
        <f>'Grid_Stock'!F3</f>
        <v/>
      </c>
      <c r="I504">
        <f>'Grid_Stock'!G3</f>
        <v/>
      </c>
      <c r="J504">
        <f>'Grid_Stock'!H3</f>
        <v/>
      </c>
      <c r="K504">
        <f>'Grid_Stock'!I3</f>
        <v/>
      </c>
      <c r="L504">
        <f>'Grid_Stock'!J3</f>
        <v/>
      </c>
      <c r="M504">
        <f>'Grid_Stock'!K3</f>
        <v/>
      </c>
      <c r="N504">
        <f>'Grid_Stock'!L3</f>
        <v/>
      </c>
      <c r="O504">
        <f>'Grid_Stock'!M3</f>
        <v/>
      </c>
      <c r="P504">
        <f>'Grid_Stock'!N3</f>
        <v/>
      </c>
      <c r="Q504">
        <f>'Grid_Stock'!O3</f>
        <v/>
      </c>
      <c r="R504">
        <f>'Grid_Stock'!P3</f>
        <v/>
      </c>
      <c r="S504">
        <f>'Grid_Stock'!Q3</f>
        <v/>
      </c>
      <c r="T504">
        <f>'Grid_Stock'!R3</f>
        <v/>
      </c>
      <c r="U504">
        <f>'Grid_Stock'!S3</f>
        <v/>
      </c>
      <c r="V504">
        <f>'Grid_Stock'!T3</f>
        <v/>
      </c>
      <c r="W504">
        <f>'Grid_Stock'!U3</f>
        <v/>
      </c>
      <c r="X504">
        <f>'Grid_Stock'!V3</f>
        <v/>
      </c>
      <c r="Y504">
        <f>'Grid_Stock'!W3</f>
        <v/>
      </c>
      <c r="Z504">
        <f>'Grid_Stock'!X3</f>
        <v/>
      </c>
      <c r="AA504">
        <f>'Grid_Stock'!Y3</f>
        <v/>
      </c>
      <c r="AB504">
        <f>'Grid_Stock'!Z3</f>
        <v/>
      </c>
      <c r="AC504">
        <f>'Grid_Stock'!AA3</f>
        <v/>
      </c>
      <c r="AD504">
        <f>'Grid_Stock'!AB3</f>
        <v/>
      </c>
      <c r="AE504">
        <f>'Grid_Stock'!AC3</f>
        <v/>
      </c>
      <c r="AF504">
        <f>'Grid_Stock'!AD3</f>
        <v/>
      </c>
      <c r="AG504">
        <f>'Grid_Stock'!AE3</f>
        <v/>
      </c>
      <c r="AH504">
        <f>'Grid_Stock'!AF3</f>
        <v/>
      </c>
      <c r="AI504">
        <f>'Grid_Stock'!AG3</f>
        <v/>
      </c>
      <c r="AJ504">
        <f>'Grid_Stock'!AH3</f>
        <v/>
      </c>
      <c r="AK504">
        <f>'Grid_Stock'!AI3</f>
        <v/>
      </c>
      <c r="AL504">
        <f>'Grid_Stock'!AJ3</f>
        <v/>
      </c>
      <c r="AM504">
        <f>'Grid_Stock'!AK3</f>
        <v/>
      </c>
      <c r="AN504">
        <f>'Grid_Stock'!AL3</f>
        <v/>
      </c>
      <c r="AO504">
        <f>'Grid_Stock'!AM3</f>
        <v/>
      </c>
      <c r="AP504">
        <f>'Grid_Stock'!AN3</f>
        <v/>
      </c>
      <c r="AQ504">
        <f>'Grid_Stock'!AO3</f>
        <v/>
      </c>
      <c r="AR504">
        <f>'Grid_Stock'!AP3</f>
        <v/>
      </c>
      <c r="AS504">
        <f>'Grid_Stock'!AQ3</f>
        <v/>
      </c>
      <c r="AT504">
        <f>'Grid_Stock'!AR3</f>
        <v/>
      </c>
      <c r="AU504">
        <f>'Grid_Stock'!AS3</f>
        <v/>
      </c>
      <c r="AV504">
        <f>'Grid_Stock'!AT3</f>
        <v/>
      </c>
      <c r="AW504">
        <f>'Grid_Stock'!AU3</f>
        <v/>
      </c>
      <c r="AX504">
        <f>'Grid_Stock'!AV3</f>
        <v/>
      </c>
      <c r="AY504">
        <f>'Grid_Stock'!AW3</f>
        <v/>
      </c>
      <c r="AZ504">
        <f>'Grid_Stock'!AX3</f>
        <v/>
      </c>
      <c r="BA504">
        <f>'Grid_Stock'!AY3</f>
        <v/>
      </c>
      <c r="BB504">
        <f>'Grid_Stock'!AZ3</f>
        <v/>
      </c>
      <c r="BC504">
        <f>'Grid_Stock'!BA3</f>
        <v/>
      </c>
      <c r="BD504">
        <f>'Grid_Stock'!BB3</f>
        <v/>
      </c>
      <c r="BE504">
        <f>'Grid_Stock'!BC3</f>
        <v/>
      </c>
      <c r="BF504">
        <f>'Grid_Stock'!BD3</f>
        <v/>
      </c>
      <c r="BG504">
        <f>'Grid_Stock'!BE3</f>
        <v/>
      </c>
      <c r="BH504">
        <f>'Grid_Stock'!BF3</f>
        <v/>
      </c>
      <c r="BI504">
        <f>'Grid_Stock'!BG3</f>
        <v/>
      </c>
      <c r="BJ504">
        <f>'Grid_Stock'!BH3</f>
        <v/>
      </c>
      <c r="BK504">
        <f>'Grid_Stock'!BI3</f>
        <v/>
      </c>
      <c r="BL504">
        <f>'Grid_Stock'!BJ3</f>
        <v/>
      </c>
      <c r="BM504">
        <f>'Grid_Stock'!BK3</f>
        <v/>
      </c>
      <c r="BN504">
        <f>'Grid_Stock'!BL3</f>
        <v/>
      </c>
      <c r="BO504">
        <f>'Grid_Stock'!BM3</f>
        <v/>
      </c>
      <c r="BP504">
        <f>'Grid_Stock'!BN3</f>
        <v/>
      </c>
      <c r="BQ504">
        <f>'Grid_Stock'!BO3</f>
        <v/>
      </c>
      <c r="BR504">
        <f>'Grid_Stock'!BP3</f>
        <v/>
      </c>
      <c r="BS504">
        <f>'Grid_Stock'!BQ3</f>
        <v/>
      </c>
      <c r="BT504">
        <f>'Grid_Stock'!BR3</f>
        <v/>
      </c>
      <c r="BU504">
        <f>'Grid_Stock'!BS3</f>
        <v/>
      </c>
      <c r="BV504">
        <f>'Grid_Stock'!BT3</f>
        <v/>
      </c>
      <c r="BW504">
        <f>'Grid_Stock'!BU3</f>
        <v/>
      </c>
      <c r="BX504">
        <f>'Grid_Stock'!BV3</f>
        <v/>
      </c>
      <c r="BY504">
        <f>'Grid_Stock'!BW3</f>
        <v/>
      </c>
      <c r="BZ504">
        <f>'Grid_Stock'!BX3</f>
        <v/>
      </c>
      <c r="CA504">
        <f>'Grid_Stock'!BY3</f>
        <v/>
      </c>
      <c r="CB504">
        <f>'Grid_Stock'!BZ3</f>
        <v/>
      </c>
      <c r="CC504">
        <f>'Grid_Stock'!CA3</f>
        <v/>
      </c>
      <c r="CD504">
        <f>'Grid_Stock'!CB3</f>
        <v/>
      </c>
      <c r="CE504">
        <f>'Grid_Stock'!CC3</f>
        <v/>
      </c>
      <c r="CF504">
        <f>'Grid_Stock'!CD3</f>
        <v/>
      </c>
      <c r="CG504">
        <f>'Grid_Stock'!CE3</f>
        <v/>
      </c>
      <c r="CH504">
        <f>'Grid_Stock'!CF3</f>
        <v/>
      </c>
      <c r="CI504">
        <f>'Grid_Stock'!CG3</f>
        <v/>
      </c>
      <c r="CJ504">
        <f>'Grid_Stock'!CH3</f>
        <v/>
      </c>
      <c r="CK504">
        <f>'Grid_Stock'!CI3</f>
        <v/>
      </c>
      <c r="CL504">
        <f>'Grid_Stock'!CJ3</f>
        <v/>
      </c>
      <c r="CM504">
        <f>'Grid_Stock'!CK3</f>
        <v/>
      </c>
      <c r="CN504">
        <f>'Grid_Stock'!CL3</f>
        <v/>
      </c>
      <c r="CO504">
        <f>'Grid_Stock'!CM3</f>
        <v/>
      </c>
      <c r="CP504">
        <f>'Grid_Stock'!CN3</f>
        <v/>
      </c>
      <c r="CQ504">
        <f>'Grid_Stock'!CO3</f>
        <v/>
      </c>
      <c r="CR504">
        <f>'Grid_Stock'!CP3</f>
        <v/>
      </c>
      <c r="CS504">
        <f>'Grid_Stock'!CQ3</f>
        <v/>
      </c>
      <c r="CT504">
        <f>'Grid_Stock'!CR3</f>
        <v/>
      </c>
      <c r="CU504">
        <f>'Grid_Stock'!CS3</f>
        <v/>
      </c>
      <c r="CV504">
        <f>'Grid_Stock'!CT3</f>
        <v/>
      </c>
      <c r="CW504">
        <f>'Grid_Stock'!CU3</f>
        <v/>
      </c>
      <c r="CX504">
        <f>'Grid_Stock'!CV3</f>
        <v/>
      </c>
      <c r="CY504">
        <f>'Grid_Stock'!CW3</f>
        <v/>
      </c>
      <c r="CZ504">
        <f>'Grid_Stock'!CX3</f>
        <v/>
      </c>
      <c r="DA504">
        <f>'Grid_Stock'!CY3</f>
        <v/>
      </c>
      <c r="DB504">
        <f>'Grid_Stock'!CZ3</f>
        <v/>
      </c>
      <c r="DC504">
        <f>'Grid_Stock'!DA3</f>
        <v/>
      </c>
    </row>
    <row r="505">
      <c r="B505" s="16" t="inlineStr">
        <is>
          <t>（発注の目安はDashboardの基準在庫[下限/上限]と色分けを参照）</t>
        </is>
      </c>
    </row>
    <row r="507">
      <c r="A507" s="14" t="inlineStr">
        <is>
          <t>CHEM-1600</t>
        </is>
      </c>
      <c r="B507" s="14" t="inlineStr">
        <is>
          <t>BF-1P</t>
        </is>
      </c>
      <c r="C507" s="15" t="n"/>
      <c r="D507" s="14" t="n"/>
      <c r="E507" s="14" t="n"/>
      <c r="F507" s="14" t="n"/>
      <c r="G507" s="14" t="n"/>
      <c r="H507" s="14" t="n"/>
      <c r="I507" s="14" t="n"/>
      <c r="J507" s="14" t="n"/>
      <c r="K507" s="14" t="n"/>
      <c r="L507" s="14" t="n"/>
      <c r="M507" s="14" t="n"/>
      <c r="N507" s="14" t="n"/>
      <c r="O507" s="14" t="n"/>
      <c r="P507" s="14" t="n"/>
      <c r="Q507" s="14" t="n"/>
      <c r="R507" s="14" t="n"/>
      <c r="S507" s="14" t="n"/>
      <c r="T507" s="14" t="n"/>
      <c r="U507" s="14" t="n"/>
      <c r="V507" s="14" t="n"/>
      <c r="W507" s="14" t="n"/>
      <c r="X507" s="14" t="n"/>
      <c r="Y507" s="14" t="n"/>
      <c r="Z507" s="14" t="n"/>
      <c r="AA507" s="14" t="n"/>
      <c r="AB507" s="14" t="n"/>
      <c r="AC507" s="14" t="n"/>
      <c r="AD507" s="14" t="n"/>
      <c r="AE507" s="14" t="n"/>
      <c r="AF507" s="14" t="n"/>
      <c r="AG507" s="14" t="n"/>
      <c r="AH507" s="14" t="n"/>
      <c r="AI507" s="14" t="n"/>
      <c r="AJ507" s="14" t="n"/>
      <c r="AK507" s="14" t="n"/>
      <c r="AL507" s="14" t="n"/>
      <c r="AM507" s="14" t="n"/>
      <c r="AN507" s="14" t="n"/>
      <c r="AO507" s="14" t="n"/>
      <c r="AP507" s="14" t="n"/>
      <c r="AQ507" s="14" t="n"/>
      <c r="AR507" s="14" t="n"/>
      <c r="AS507" s="14" t="n"/>
      <c r="AT507" s="14" t="n"/>
      <c r="AU507" s="14" t="n"/>
      <c r="AV507" s="14" t="n"/>
      <c r="AW507" s="14" t="n"/>
      <c r="AX507" s="14" t="n"/>
      <c r="AY507" s="14" t="n"/>
      <c r="AZ507" s="14" t="n"/>
      <c r="BA507" s="14" t="n"/>
      <c r="BB507" s="14" t="n"/>
      <c r="BC507" s="14" t="n"/>
      <c r="BD507" s="14" t="n"/>
      <c r="BE507" s="14" t="n"/>
      <c r="BF507" s="14" t="n"/>
      <c r="BG507" s="14" t="n"/>
      <c r="BH507" s="14" t="n"/>
      <c r="BI507" s="14" t="n"/>
      <c r="BJ507" s="14" t="n"/>
      <c r="BK507" s="14" t="n"/>
      <c r="BL507" s="14" t="n"/>
      <c r="BM507" s="14" t="n"/>
      <c r="BN507" s="14" t="n"/>
      <c r="BO507" s="14" t="n"/>
      <c r="BP507" s="14" t="n"/>
      <c r="BQ507" s="14" t="n"/>
      <c r="BR507" s="14" t="n"/>
      <c r="BS507" s="14" t="n"/>
      <c r="BT507" s="14" t="n"/>
      <c r="BU507" s="14" t="n"/>
      <c r="BV507" s="14" t="n"/>
      <c r="BW507" s="14" t="n"/>
      <c r="BX507" s="14" t="n"/>
      <c r="BY507" s="14" t="n"/>
      <c r="BZ507" s="14" t="n"/>
      <c r="CA507" s="14" t="n"/>
      <c r="CB507" s="14" t="n"/>
      <c r="CC507" s="14" t="n"/>
      <c r="CD507" s="14" t="n"/>
      <c r="CE507" s="14" t="n"/>
      <c r="CF507" s="14" t="n"/>
      <c r="CG507" s="14" t="n"/>
      <c r="CH507" s="14" t="n"/>
      <c r="CI507" s="14" t="n"/>
      <c r="CJ507" s="14" t="n"/>
      <c r="CK507" s="14" t="n"/>
      <c r="CL507" s="14" t="n"/>
      <c r="CM507" s="14" t="n"/>
      <c r="CN507" s="14" t="n"/>
      <c r="CO507" s="14" t="n"/>
      <c r="CP507" s="14" t="n"/>
      <c r="CQ507" s="14" t="n"/>
      <c r="CR507" s="14" t="n"/>
      <c r="CS507" s="14" t="n"/>
      <c r="CT507" s="14" t="n"/>
      <c r="CU507" s="14" t="n"/>
      <c r="CV507" s="14" t="n"/>
      <c r="CW507" s="14" t="n"/>
      <c r="CX507" s="14" t="n"/>
      <c r="CY507" s="14" t="n"/>
      <c r="CZ507" s="14" t="n"/>
      <c r="DA507" s="14" t="n"/>
      <c r="DB507" s="14" t="n"/>
      <c r="DC507" s="14" t="n"/>
    </row>
    <row r="508">
      <c r="B508" t="inlineStr">
        <is>
          <t>TSP-219</t>
        </is>
      </c>
      <c r="C508" t="inlineStr">
        <is>
          <t>No. of batches</t>
        </is>
      </c>
      <c r="D508">
        <f>IFERROR(INDEX(PP_Grid[#Data],$DD508,2),0)</f>
        <v/>
      </c>
      <c r="E508">
        <f>IFERROR(INDEX(PP_Grid[#Data],$DD508,3),0)</f>
        <v/>
      </c>
      <c r="F508">
        <f>IFERROR(INDEX(PP_Grid[#Data],$DD508,4),0)</f>
        <v/>
      </c>
      <c r="G508">
        <f>IFERROR(INDEX(PP_Grid[#Data],$DD508,5),0)</f>
        <v/>
      </c>
      <c r="H508">
        <f>IFERROR(INDEX(PP_Grid[#Data],$DD508,6),0)</f>
        <v/>
      </c>
      <c r="I508">
        <f>IFERROR(INDEX(PP_Grid[#Data],$DD508,7),0)</f>
        <v/>
      </c>
      <c r="J508">
        <f>IFERROR(INDEX(PP_Grid[#Data],$DD508,8),0)</f>
        <v/>
      </c>
      <c r="K508">
        <f>IFERROR(INDEX(PP_Grid[#Data],$DD508,9),0)</f>
        <v/>
      </c>
      <c r="L508">
        <f>IFERROR(INDEX(PP_Grid[#Data],$DD508,10),0)</f>
        <v/>
      </c>
      <c r="M508">
        <f>IFERROR(INDEX(PP_Grid[#Data],$DD508,11),0)</f>
        <v/>
      </c>
      <c r="N508">
        <f>IFERROR(INDEX(PP_Grid[#Data],$DD508,12),0)</f>
        <v/>
      </c>
      <c r="O508">
        <f>IFERROR(INDEX(PP_Grid[#Data],$DD508,13),0)</f>
        <v/>
      </c>
      <c r="P508">
        <f>IFERROR(INDEX(PP_Grid[#Data],$DD508,14),0)</f>
        <v/>
      </c>
      <c r="Q508">
        <f>IFERROR(INDEX(PP_Grid[#Data],$DD508,15),0)</f>
        <v/>
      </c>
      <c r="R508">
        <f>IFERROR(INDEX(PP_Grid[#Data],$DD508,16),0)</f>
        <v/>
      </c>
      <c r="S508">
        <f>IFERROR(INDEX(PP_Grid[#Data],$DD508,17),0)</f>
        <v/>
      </c>
      <c r="T508">
        <f>IFERROR(INDEX(PP_Grid[#Data],$DD508,18),0)</f>
        <v/>
      </c>
      <c r="U508">
        <f>IFERROR(INDEX(PP_Grid[#Data],$DD508,19),0)</f>
        <v/>
      </c>
      <c r="V508">
        <f>IFERROR(INDEX(PP_Grid[#Data],$DD508,20),0)</f>
        <v/>
      </c>
      <c r="W508">
        <f>IFERROR(INDEX(PP_Grid[#Data],$DD508,21),0)</f>
        <v/>
      </c>
      <c r="X508">
        <f>IFERROR(INDEX(PP_Grid[#Data],$DD508,22),0)</f>
        <v/>
      </c>
      <c r="Y508">
        <f>IFERROR(INDEX(PP_Grid[#Data],$DD508,23),0)</f>
        <v/>
      </c>
      <c r="Z508">
        <f>IFERROR(INDEX(PP_Grid[#Data],$DD508,24),0)</f>
        <v/>
      </c>
      <c r="AA508">
        <f>IFERROR(INDEX(PP_Grid[#Data],$DD508,25),0)</f>
        <v/>
      </c>
      <c r="AB508">
        <f>IFERROR(INDEX(PP_Grid[#Data],$DD508,26),0)</f>
        <v/>
      </c>
      <c r="AC508">
        <f>IFERROR(INDEX(PP_Grid[#Data],$DD508,27),0)</f>
        <v/>
      </c>
      <c r="AD508">
        <f>IFERROR(INDEX(PP_Grid[#Data],$DD508,28),0)</f>
        <v/>
      </c>
      <c r="AE508">
        <f>IFERROR(INDEX(PP_Grid[#Data],$DD508,29),0)</f>
        <v/>
      </c>
      <c r="AF508">
        <f>IFERROR(INDEX(PP_Grid[#Data],$DD508,30),0)</f>
        <v/>
      </c>
      <c r="AG508">
        <f>IFERROR(INDEX(PP_Grid[#Data],$DD508,31),0)</f>
        <v/>
      </c>
      <c r="AH508">
        <f>IFERROR(INDEX(PP_Grid[#Data],$DD508,32),0)</f>
        <v/>
      </c>
      <c r="AI508">
        <f>IFERROR(INDEX(PP_Grid[#Data],$DD508,33),0)</f>
        <v/>
      </c>
      <c r="AJ508">
        <f>IFERROR(INDEX(PP_Grid[#Data],$DD508,34),0)</f>
        <v/>
      </c>
      <c r="AK508">
        <f>IFERROR(INDEX(PP_Grid[#Data],$DD508,35),0)</f>
        <v/>
      </c>
      <c r="AL508">
        <f>IFERROR(INDEX(PP_Grid[#Data],$DD508,36),0)</f>
        <v/>
      </c>
      <c r="AM508">
        <f>IFERROR(INDEX(PP_Grid[#Data],$DD508,37),0)</f>
        <v/>
      </c>
      <c r="AN508">
        <f>IFERROR(INDEX(PP_Grid[#Data],$DD508,38),0)</f>
        <v/>
      </c>
      <c r="AO508">
        <f>IFERROR(INDEX(PP_Grid[#Data],$DD508,39),0)</f>
        <v/>
      </c>
      <c r="AP508">
        <f>IFERROR(INDEX(PP_Grid[#Data],$DD508,40),0)</f>
        <v/>
      </c>
      <c r="AQ508">
        <f>IFERROR(INDEX(PP_Grid[#Data],$DD508,41),0)</f>
        <v/>
      </c>
      <c r="AR508">
        <f>IFERROR(INDEX(PP_Grid[#Data],$DD508,42),0)</f>
        <v/>
      </c>
      <c r="AS508">
        <f>IFERROR(INDEX(PP_Grid[#Data],$DD508,43),0)</f>
        <v/>
      </c>
      <c r="AT508">
        <f>IFERROR(INDEX(PP_Grid[#Data],$DD508,44),0)</f>
        <v/>
      </c>
      <c r="AU508">
        <f>IFERROR(INDEX(PP_Grid[#Data],$DD508,45),0)</f>
        <v/>
      </c>
      <c r="AV508">
        <f>IFERROR(INDEX(PP_Grid[#Data],$DD508,46),0)</f>
        <v/>
      </c>
      <c r="AW508">
        <f>IFERROR(INDEX(PP_Grid[#Data],$DD508,47),0)</f>
        <v/>
      </c>
      <c r="AX508">
        <f>IFERROR(INDEX(PP_Grid[#Data],$DD508,48),0)</f>
        <v/>
      </c>
      <c r="AY508">
        <f>IFERROR(INDEX(PP_Grid[#Data],$DD508,49),0)</f>
        <v/>
      </c>
      <c r="AZ508">
        <f>IFERROR(INDEX(PP_Grid[#Data],$DD508,50),0)</f>
        <v/>
      </c>
      <c r="BA508">
        <f>IFERROR(INDEX(PP_Grid[#Data],$DD508,51),0)</f>
        <v/>
      </c>
      <c r="BB508">
        <f>IFERROR(INDEX(PP_Grid[#Data],$DD508,52),0)</f>
        <v/>
      </c>
      <c r="BC508">
        <f>IFERROR(INDEX(PP_Grid[#Data],$DD508,53),0)</f>
        <v/>
      </c>
      <c r="BD508">
        <f>IFERROR(INDEX(PP_Grid[#Data],$DD508,54),0)</f>
        <v/>
      </c>
      <c r="BE508">
        <f>IFERROR(INDEX(PP_Grid[#Data],$DD508,55),0)</f>
        <v/>
      </c>
      <c r="BF508">
        <f>IFERROR(INDEX(PP_Grid[#Data],$DD508,56),0)</f>
        <v/>
      </c>
      <c r="BG508">
        <f>IFERROR(INDEX(PP_Grid[#Data],$DD508,57),0)</f>
        <v/>
      </c>
      <c r="BH508">
        <f>IFERROR(INDEX(PP_Grid[#Data],$DD508,58),0)</f>
        <v/>
      </c>
      <c r="BI508">
        <f>IFERROR(INDEX(PP_Grid[#Data],$DD508,59),0)</f>
        <v/>
      </c>
      <c r="BJ508">
        <f>IFERROR(INDEX(PP_Grid[#Data],$DD508,60),0)</f>
        <v/>
      </c>
      <c r="BK508">
        <f>IFERROR(INDEX(PP_Grid[#Data],$DD508,61),0)</f>
        <v/>
      </c>
      <c r="BL508">
        <f>IFERROR(INDEX(PP_Grid[#Data],$DD508,62),0)</f>
        <v/>
      </c>
      <c r="BM508">
        <f>IFERROR(INDEX(PP_Grid[#Data],$DD508,63),0)</f>
        <v/>
      </c>
      <c r="BN508">
        <f>IFERROR(INDEX(PP_Grid[#Data],$DD508,64),0)</f>
        <v/>
      </c>
      <c r="BO508">
        <f>IFERROR(INDEX(PP_Grid[#Data],$DD508,65),0)</f>
        <v/>
      </c>
      <c r="BP508">
        <f>IFERROR(INDEX(PP_Grid[#Data],$DD508,66),0)</f>
        <v/>
      </c>
      <c r="BQ508">
        <f>IFERROR(INDEX(PP_Grid[#Data],$DD508,67),0)</f>
        <v/>
      </c>
      <c r="BR508">
        <f>IFERROR(INDEX(PP_Grid[#Data],$DD508,68),0)</f>
        <v/>
      </c>
      <c r="BS508">
        <f>IFERROR(INDEX(PP_Grid[#Data],$DD508,69),0)</f>
        <v/>
      </c>
      <c r="BT508">
        <f>IFERROR(INDEX(PP_Grid[#Data],$DD508,70),0)</f>
        <v/>
      </c>
      <c r="BU508">
        <f>IFERROR(INDEX(PP_Grid[#Data],$DD508,71),0)</f>
        <v/>
      </c>
      <c r="BV508">
        <f>IFERROR(INDEX(PP_Grid[#Data],$DD508,72),0)</f>
        <v/>
      </c>
      <c r="BW508">
        <f>IFERROR(INDEX(PP_Grid[#Data],$DD508,73),0)</f>
        <v/>
      </c>
      <c r="BX508">
        <f>IFERROR(INDEX(PP_Grid[#Data],$DD508,74),0)</f>
        <v/>
      </c>
      <c r="BY508">
        <f>IFERROR(INDEX(PP_Grid[#Data],$DD508,75),0)</f>
        <v/>
      </c>
      <c r="BZ508">
        <f>IFERROR(INDEX(PP_Grid[#Data],$DD508,76),0)</f>
        <v/>
      </c>
      <c r="CA508">
        <f>IFERROR(INDEX(PP_Grid[#Data],$DD508,77),0)</f>
        <v/>
      </c>
      <c r="CB508">
        <f>IFERROR(INDEX(PP_Grid[#Data],$DD508,78),0)</f>
        <v/>
      </c>
      <c r="CC508">
        <f>IFERROR(INDEX(PP_Grid[#Data],$DD508,79),0)</f>
        <v/>
      </c>
      <c r="CD508">
        <f>IFERROR(INDEX(PP_Grid[#Data],$DD508,80),0)</f>
        <v/>
      </c>
      <c r="CE508">
        <f>IFERROR(INDEX(PP_Grid[#Data],$DD508,81),0)</f>
        <v/>
      </c>
      <c r="CF508">
        <f>IFERROR(INDEX(PP_Grid[#Data],$DD508,82),0)</f>
        <v/>
      </c>
      <c r="CG508">
        <f>IFERROR(INDEX(PP_Grid[#Data],$DD508,83),0)</f>
        <v/>
      </c>
      <c r="CH508">
        <f>IFERROR(INDEX(PP_Grid[#Data],$DD508,84),0)</f>
        <v/>
      </c>
      <c r="CI508">
        <f>IFERROR(INDEX(PP_Grid[#Data],$DD508,85),0)</f>
        <v/>
      </c>
      <c r="CJ508">
        <f>IFERROR(INDEX(PP_Grid[#Data],$DD508,86),0)</f>
        <v/>
      </c>
      <c r="CK508">
        <f>IFERROR(INDEX(PP_Grid[#Data],$DD508,87),0)</f>
        <v/>
      </c>
      <c r="CL508">
        <f>IFERROR(INDEX(PP_Grid[#Data],$DD508,88),0)</f>
        <v/>
      </c>
      <c r="CM508">
        <f>IFERROR(INDEX(PP_Grid[#Data],$DD508,89),0)</f>
        <v/>
      </c>
      <c r="CN508">
        <f>IFERROR(INDEX(PP_Grid[#Data],$DD508,90),0)</f>
        <v/>
      </c>
      <c r="CO508">
        <f>IFERROR(INDEX(PP_Grid[#Data],$DD508,91),0)</f>
        <v/>
      </c>
      <c r="CP508">
        <f>IFERROR(INDEX(PP_Grid[#Data],$DD508,92),0)</f>
        <v/>
      </c>
      <c r="CQ508">
        <f>IFERROR(INDEX(PP_Grid[#Data],$DD508,93),0)</f>
        <v/>
      </c>
      <c r="CR508">
        <f>IFERROR(INDEX(PP_Grid[#Data],$DD508,94),0)</f>
        <v/>
      </c>
      <c r="CS508">
        <f>IFERROR(INDEX(PP_Grid[#Data],$DD508,95),0)</f>
        <v/>
      </c>
      <c r="CT508">
        <f>IFERROR(INDEX(PP_Grid[#Data],$DD508,96),0)</f>
        <v/>
      </c>
      <c r="CU508">
        <f>IFERROR(INDEX(PP_Grid[#Data],$DD508,97),0)</f>
        <v/>
      </c>
      <c r="CV508">
        <f>IFERROR(INDEX(PP_Grid[#Data],$DD508,98),0)</f>
        <v/>
      </c>
      <c r="CW508">
        <f>IFERROR(INDEX(PP_Grid[#Data],$DD508,99),0)</f>
        <v/>
      </c>
      <c r="CX508">
        <f>IFERROR(INDEX(PP_Grid[#Data],$DD508,100),0)</f>
        <v/>
      </c>
      <c r="CY508">
        <f>IFERROR(INDEX(PP_Grid[#Data],$DD508,101),0)</f>
        <v/>
      </c>
      <c r="CZ508">
        <f>IFERROR(INDEX(PP_Grid[#Data],$DD508,102),0)</f>
        <v/>
      </c>
      <c r="DA508">
        <f>IFERROR(INDEX(PP_Grid[#Data],$DD508,103),0)</f>
        <v/>
      </c>
      <c r="DB508">
        <f>IFERROR(INDEX(PP_Grid[#Data],$DD508,104),0)</f>
        <v/>
      </c>
      <c r="DC508">
        <f>IFERROR(INDEX(PP_Grid[#Data],$DD508,105),0)</f>
        <v/>
      </c>
      <c r="DD508" s="7">
        <f>IFERROR(MATCH($B508,PP_Grid[Intermediate],0),99999)</f>
        <v/>
      </c>
    </row>
    <row r="509">
      <c r="B509" t="inlineStr">
        <is>
          <t>使用量(kg)</t>
        </is>
      </c>
      <c r="C509">
        <f>SUMIFS(M_BOM[RM_Qty_Per_Batch],M_BOM[Intermediate],$B508,M_BOM[Part Name],$A507)</f>
        <v/>
      </c>
      <c r="D509">
        <f>$C509*D508</f>
        <v/>
      </c>
      <c r="E509">
        <f>$C509*E508</f>
        <v/>
      </c>
      <c r="F509">
        <f>$C509*F508</f>
        <v/>
      </c>
      <c r="G509">
        <f>$C509*G508</f>
        <v/>
      </c>
      <c r="H509">
        <f>$C509*H508</f>
        <v/>
      </c>
      <c r="I509">
        <f>$C509*I508</f>
        <v/>
      </c>
      <c r="J509">
        <f>$C509*J508</f>
        <v/>
      </c>
      <c r="K509">
        <f>$C509*K508</f>
        <v/>
      </c>
      <c r="L509">
        <f>$C509*L508</f>
        <v/>
      </c>
      <c r="M509">
        <f>$C509*M508</f>
        <v/>
      </c>
      <c r="N509">
        <f>$C509*N508</f>
        <v/>
      </c>
      <c r="O509">
        <f>$C509*O508</f>
        <v/>
      </c>
      <c r="P509">
        <f>$C509*P508</f>
        <v/>
      </c>
      <c r="Q509">
        <f>$C509*Q508</f>
        <v/>
      </c>
      <c r="R509">
        <f>$C509*R508</f>
        <v/>
      </c>
      <c r="S509">
        <f>$C509*S508</f>
        <v/>
      </c>
      <c r="T509">
        <f>$C509*T508</f>
        <v/>
      </c>
      <c r="U509">
        <f>$C509*U508</f>
        <v/>
      </c>
      <c r="V509">
        <f>$C509*V508</f>
        <v/>
      </c>
      <c r="W509">
        <f>$C509*W508</f>
        <v/>
      </c>
      <c r="X509">
        <f>$C509*X508</f>
        <v/>
      </c>
      <c r="Y509">
        <f>$C509*Y508</f>
        <v/>
      </c>
      <c r="Z509">
        <f>$C509*Z508</f>
        <v/>
      </c>
      <c r="AA509">
        <f>$C509*AA508</f>
        <v/>
      </c>
      <c r="AB509">
        <f>$C509*AB508</f>
        <v/>
      </c>
      <c r="AC509">
        <f>$C509*AC508</f>
        <v/>
      </c>
      <c r="AD509">
        <f>$C509*AD508</f>
        <v/>
      </c>
      <c r="AE509">
        <f>$C509*AE508</f>
        <v/>
      </c>
      <c r="AF509">
        <f>$C509*AF508</f>
        <v/>
      </c>
      <c r="AG509">
        <f>$C509*AG508</f>
        <v/>
      </c>
      <c r="AH509">
        <f>$C509*AH508</f>
        <v/>
      </c>
      <c r="AI509">
        <f>$C509*AI508</f>
        <v/>
      </c>
      <c r="AJ509">
        <f>$C509*AJ508</f>
        <v/>
      </c>
      <c r="AK509">
        <f>$C509*AK508</f>
        <v/>
      </c>
      <c r="AL509">
        <f>$C509*AL508</f>
        <v/>
      </c>
      <c r="AM509">
        <f>$C509*AM508</f>
        <v/>
      </c>
      <c r="AN509">
        <f>$C509*AN508</f>
        <v/>
      </c>
      <c r="AO509">
        <f>$C509*AO508</f>
        <v/>
      </c>
      <c r="AP509">
        <f>$C509*AP508</f>
        <v/>
      </c>
      <c r="AQ509">
        <f>$C509*AQ508</f>
        <v/>
      </c>
      <c r="AR509">
        <f>$C509*AR508</f>
        <v/>
      </c>
      <c r="AS509">
        <f>$C509*AS508</f>
        <v/>
      </c>
      <c r="AT509">
        <f>$C509*AT508</f>
        <v/>
      </c>
      <c r="AU509">
        <f>$C509*AU508</f>
        <v/>
      </c>
      <c r="AV509">
        <f>$C509*AV508</f>
        <v/>
      </c>
      <c r="AW509">
        <f>$C509*AW508</f>
        <v/>
      </c>
      <c r="AX509">
        <f>$C509*AX508</f>
        <v/>
      </c>
      <c r="AY509">
        <f>$C509*AY508</f>
        <v/>
      </c>
      <c r="AZ509">
        <f>$C509*AZ508</f>
        <v/>
      </c>
      <c r="BA509">
        <f>$C509*BA508</f>
        <v/>
      </c>
      <c r="BB509">
        <f>$C509*BB508</f>
        <v/>
      </c>
      <c r="BC509">
        <f>$C509*BC508</f>
        <v/>
      </c>
      <c r="BD509">
        <f>$C509*BD508</f>
        <v/>
      </c>
      <c r="BE509">
        <f>$C509*BE508</f>
        <v/>
      </c>
      <c r="BF509">
        <f>$C509*BF508</f>
        <v/>
      </c>
      <c r="BG509">
        <f>$C509*BG508</f>
        <v/>
      </c>
      <c r="BH509">
        <f>$C509*BH508</f>
        <v/>
      </c>
      <c r="BI509">
        <f>$C509*BI508</f>
        <v/>
      </c>
      <c r="BJ509">
        <f>$C509*BJ508</f>
        <v/>
      </c>
      <c r="BK509">
        <f>$C509*BK508</f>
        <v/>
      </c>
      <c r="BL509">
        <f>$C509*BL508</f>
        <v/>
      </c>
      <c r="BM509">
        <f>$C509*BM508</f>
        <v/>
      </c>
      <c r="BN509">
        <f>$C509*BN508</f>
        <v/>
      </c>
      <c r="BO509">
        <f>$C509*BO508</f>
        <v/>
      </c>
      <c r="BP509">
        <f>$C509*BP508</f>
        <v/>
      </c>
      <c r="BQ509">
        <f>$C509*BQ508</f>
        <v/>
      </c>
      <c r="BR509">
        <f>$C509*BR508</f>
        <v/>
      </c>
      <c r="BS509">
        <f>$C509*BS508</f>
        <v/>
      </c>
      <c r="BT509">
        <f>$C509*BT508</f>
        <v/>
      </c>
      <c r="BU509">
        <f>$C509*BU508</f>
        <v/>
      </c>
      <c r="BV509">
        <f>$C509*BV508</f>
        <v/>
      </c>
      <c r="BW509">
        <f>$C509*BW508</f>
        <v/>
      </c>
      <c r="BX509">
        <f>$C509*BX508</f>
        <v/>
      </c>
      <c r="BY509">
        <f>$C509*BY508</f>
        <v/>
      </c>
      <c r="BZ509">
        <f>$C509*BZ508</f>
        <v/>
      </c>
      <c r="CA509">
        <f>$C509*CA508</f>
        <v/>
      </c>
      <c r="CB509">
        <f>$C509*CB508</f>
        <v/>
      </c>
      <c r="CC509">
        <f>$C509*CC508</f>
        <v/>
      </c>
      <c r="CD509">
        <f>$C509*CD508</f>
        <v/>
      </c>
      <c r="CE509">
        <f>$C509*CE508</f>
        <v/>
      </c>
      <c r="CF509">
        <f>$C509*CF508</f>
        <v/>
      </c>
      <c r="CG509">
        <f>$C509*CG508</f>
        <v/>
      </c>
      <c r="CH509">
        <f>$C509*CH508</f>
        <v/>
      </c>
      <c r="CI509">
        <f>$C509*CI508</f>
        <v/>
      </c>
      <c r="CJ509">
        <f>$C509*CJ508</f>
        <v/>
      </c>
      <c r="CK509">
        <f>$C509*CK508</f>
        <v/>
      </c>
      <c r="CL509">
        <f>$C509*CL508</f>
        <v/>
      </c>
      <c r="CM509">
        <f>$C509*CM508</f>
        <v/>
      </c>
      <c r="CN509">
        <f>$C509*CN508</f>
        <v/>
      </c>
      <c r="CO509">
        <f>$C509*CO508</f>
        <v/>
      </c>
      <c r="CP509">
        <f>$C509*CP508</f>
        <v/>
      </c>
      <c r="CQ509">
        <f>$C509*CQ508</f>
        <v/>
      </c>
      <c r="CR509">
        <f>$C509*CR508</f>
        <v/>
      </c>
      <c r="CS509">
        <f>$C509*CS508</f>
        <v/>
      </c>
      <c r="CT509">
        <f>$C509*CT508</f>
        <v/>
      </c>
      <c r="CU509">
        <f>$C509*CU508</f>
        <v/>
      </c>
      <c r="CV509">
        <f>$C509*CV508</f>
        <v/>
      </c>
      <c r="CW509">
        <f>$C509*CW508</f>
        <v/>
      </c>
      <c r="CX509">
        <f>$C509*CX508</f>
        <v/>
      </c>
      <c r="CY509">
        <f>$C509*CY508</f>
        <v/>
      </c>
      <c r="CZ509">
        <f>$C509*CZ508</f>
        <v/>
      </c>
      <c r="DA509">
        <f>$C509*DA508</f>
        <v/>
      </c>
      <c r="DB509">
        <f>$C509*DB508</f>
        <v/>
      </c>
      <c r="DC509">
        <f>$C509*DC508</f>
        <v/>
      </c>
    </row>
    <row r="510">
      <c r="B510" t="inlineStr">
        <is>
          <t>TSP-828</t>
        </is>
      </c>
      <c r="C510" t="inlineStr">
        <is>
          <t>No. of batches</t>
        </is>
      </c>
      <c r="D510">
        <f>IFERROR(INDEX(PP_Grid[#Data],$DD510,2),0)</f>
        <v/>
      </c>
      <c r="E510">
        <f>IFERROR(INDEX(PP_Grid[#Data],$DD510,3),0)</f>
        <v/>
      </c>
      <c r="F510">
        <f>IFERROR(INDEX(PP_Grid[#Data],$DD510,4),0)</f>
        <v/>
      </c>
      <c r="G510">
        <f>IFERROR(INDEX(PP_Grid[#Data],$DD510,5),0)</f>
        <v/>
      </c>
      <c r="H510">
        <f>IFERROR(INDEX(PP_Grid[#Data],$DD510,6),0)</f>
        <v/>
      </c>
      <c r="I510">
        <f>IFERROR(INDEX(PP_Grid[#Data],$DD510,7),0)</f>
        <v/>
      </c>
      <c r="J510">
        <f>IFERROR(INDEX(PP_Grid[#Data],$DD510,8),0)</f>
        <v/>
      </c>
      <c r="K510">
        <f>IFERROR(INDEX(PP_Grid[#Data],$DD510,9),0)</f>
        <v/>
      </c>
      <c r="L510">
        <f>IFERROR(INDEX(PP_Grid[#Data],$DD510,10),0)</f>
        <v/>
      </c>
      <c r="M510">
        <f>IFERROR(INDEX(PP_Grid[#Data],$DD510,11),0)</f>
        <v/>
      </c>
      <c r="N510">
        <f>IFERROR(INDEX(PP_Grid[#Data],$DD510,12),0)</f>
        <v/>
      </c>
      <c r="O510">
        <f>IFERROR(INDEX(PP_Grid[#Data],$DD510,13),0)</f>
        <v/>
      </c>
      <c r="P510">
        <f>IFERROR(INDEX(PP_Grid[#Data],$DD510,14),0)</f>
        <v/>
      </c>
      <c r="Q510">
        <f>IFERROR(INDEX(PP_Grid[#Data],$DD510,15),0)</f>
        <v/>
      </c>
      <c r="R510">
        <f>IFERROR(INDEX(PP_Grid[#Data],$DD510,16),0)</f>
        <v/>
      </c>
      <c r="S510">
        <f>IFERROR(INDEX(PP_Grid[#Data],$DD510,17),0)</f>
        <v/>
      </c>
      <c r="T510">
        <f>IFERROR(INDEX(PP_Grid[#Data],$DD510,18),0)</f>
        <v/>
      </c>
      <c r="U510">
        <f>IFERROR(INDEX(PP_Grid[#Data],$DD510,19),0)</f>
        <v/>
      </c>
      <c r="V510">
        <f>IFERROR(INDEX(PP_Grid[#Data],$DD510,20),0)</f>
        <v/>
      </c>
      <c r="W510">
        <f>IFERROR(INDEX(PP_Grid[#Data],$DD510,21),0)</f>
        <v/>
      </c>
      <c r="X510">
        <f>IFERROR(INDEX(PP_Grid[#Data],$DD510,22),0)</f>
        <v/>
      </c>
      <c r="Y510">
        <f>IFERROR(INDEX(PP_Grid[#Data],$DD510,23),0)</f>
        <v/>
      </c>
      <c r="Z510">
        <f>IFERROR(INDEX(PP_Grid[#Data],$DD510,24),0)</f>
        <v/>
      </c>
      <c r="AA510">
        <f>IFERROR(INDEX(PP_Grid[#Data],$DD510,25),0)</f>
        <v/>
      </c>
      <c r="AB510">
        <f>IFERROR(INDEX(PP_Grid[#Data],$DD510,26),0)</f>
        <v/>
      </c>
      <c r="AC510">
        <f>IFERROR(INDEX(PP_Grid[#Data],$DD510,27),0)</f>
        <v/>
      </c>
      <c r="AD510">
        <f>IFERROR(INDEX(PP_Grid[#Data],$DD510,28),0)</f>
        <v/>
      </c>
      <c r="AE510">
        <f>IFERROR(INDEX(PP_Grid[#Data],$DD510,29),0)</f>
        <v/>
      </c>
      <c r="AF510">
        <f>IFERROR(INDEX(PP_Grid[#Data],$DD510,30),0)</f>
        <v/>
      </c>
      <c r="AG510">
        <f>IFERROR(INDEX(PP_Grid[#Data],$DD510,31),0)</f>
        <v/>
      </c>
      <c r="AH510">
        <f>IFERROR(INDEX(PP_Grid[#Data],$DD510,32),0)</f>
        <v/>
      </c>
      <c r="AI510">
        <f>IFERROR(INDEX(PP_Grid[#Data],$DD510,33),0)</f>
        <v/>
      </c>
      <c r="AJ510">
        <f>IFERROR(INDEX(PP_Grid[#Data],$DD510,34),0)</f>
        <v/>
      </c>
      <c r="AK510">
        <f>IFERROR(INDEX(PP_Grid[#Data],$DD510,35),0)</f>
        <v/>
      </c>
      <c r="AL510">
        <f>IFERROR(INDEX(PP_Grid[#Data],$DD510,36),0)</f>
        <v/>
      </c>
      <c r="AM510">
        <f>IFERROR(INDEX(PP_Grid[#Data],$DD510,37),0)</f>
        <v/>
      </c>
      <c r="AN510">
        <f>IFERROR(INDEX(PP_Grid[#Data],$DD510,38),0)</f>
        <v/>
      </c>
      <c r="AO510">
        <f>IFERROR(INDEX(PP_Grid[#Data],$DD510,39),0)</f>
        <v/>
      </c>
      <c r="AP510">
        <f>IFERROR(INDEX(PP_Grid[#Data],$DD510,40),0)</f>
        <v/>
      </c>
      <c r="AQ510">
        <f>IFERROR(INDEX(PP_Grid[#Data],$DD510,41),0)</f>
        <v/>
      </c>
      <c r="AR510">
        <f>IFERROR(INDEX(PP_Grid[#Data],$DD510,42),0)</f>
        <v/>
      </c>
      <c r="AS510">
        <f>IFERROR(INDEX(PP_Grid[#Data],$DD510,43),0)</f>
        <v/>
      </c>
      <c r="AT510">
        <f>IFERROR(INDEX(PP_Grid[#Data],$DD510,44),0)</f>
        <v/>
      </c>
      <c r="AU510">
        <f>IFERROR(INDEX(PP_Grid[#Data],$DD510,45),0)</f>
        <v/>
      </c>
      <c r="AV510">
        <f>IFERROR(INDEX(PP_Grid[#Data],$DD510,46),0)</f>
        <v/>
      </c>
      <c r="AW510">
        <f>IFERROR(INDEX(PP_Grid[#Data],$DD510,47),0)</f>
        <v/>
      </c>
      <c r="AX510">
        <f>IFERROR(INDEX(PP_Grid[#Data],$DD510,48),0)</f>
        <v/>
      </c>
      <c r="AY510">
        <f>IFERROR(INDEX(PP_Grid[#Data],$DD510,49),0)</f>
        <v/>
      </c>
      <c r="AZ510">
        <f>IFERROR(INDEX(PP_Grid[#Data],$DD510,50),0)</f>
        <v/>
      </c>
      <c r="BA510">
        <f>IFERROR(INDEX(PP_Grid[#Data],$DD510,51),0)</f>
        <v/>
      </c>
      <c r="BB510">
        <f>IFERROR(INDEX(PP_Grid[#Data],$DD510,52),0)</f>
        <v/>
      </c>
      <c r="BC510">
        <f>IFERROR(INDEX(PP_Grid[#Data],$DD510,53),0)</f>
        <v/>
      </c>
      <c r="BD510">
        <f>IFERROR(INDEX(PP_Grid[#Data],$DD510,54),0)</f>
        <v/>
      </c>
      <c r="BE510">
        <f>IFERROR(INDEX(PP_Grid[#Data],$DD510,55),0)</f>
        <v/>
      </c>
      <c r="BF510">
        <f>IFERROR(INDEX(PP_Grid[#Data],$DD510,56),0)</f>
        <v/>
      </c>
      <c r="BG510">
        <f>IFERROR(INDEX(PP_Grid[#Data],$DD510,57),0)</f>
        <v/>
      </c>
      <c r="BH510">
        <f>IFERROR(INDEX(PP_Grid[#Data],$DD510,58),0)</f>
        <v/>
      </c>
      <c r="BI510">
        <f>IFERROR(INDEX(PP_Grid[#Data],$DD510,59),0)</f>
        <v/>
      </c>
      <c r="BJ510">
        <f>IFERROR(INDEX(PP_Grid[#Data],$DD510,60),0)</f>
        <v/>
      </c>
      <c r="BK510">
        <f>IFERROR(INDEX(PP_Grid[#Data],$DD510,61),0)</f>
        <v/>
      </c>
      <c r="BL510">
        <f>IFERROR(INDEX(PP_Grid[#Data],$DD510,62),0)</f>
        <v/>
      </c>
      <c r="BM510">
        <f>IFERROR(INDEX(PP_Grid[#Data],$DD510,63),0)</f>
        <v/>
      </c>
      <c r="BN510">
        <f>IFERROR(INDEX(PP_Grid[#Data],$DD510,64),0)</f>
        <v/>
      </c>
      <c r="BO510">
        <f>IFERROR(INDEX(PP_Grid[#Data],$DD510,65),0)</f>
        <v/>
      </c>
      <c r="BP510">
        <f>IFERROR(INDEX(PP_Grid[#Data],$DD510,66),0)</f>
        <v/>
      </c>
      <c r="BQ510">
        <f>IFERROR(INDEX(PP_Grid[#Data],$DD510,67),0)</f>
        <v/>
      </c>
      <c r="BR510">
        <f>IFERROR(INDEX(PP_Grid[#Data],$DD510,68),0)</f>
        <v/>
      </c>
      <c r="BS510">
        <f>IFERROR(INDEX(PP_Grid[#Data],$DD510,69),0)</f>
        <v/>
      </c>
      <c r="BT510">
        <f>IFERROR(INDEX(PP_Grid[#Data],$DD510,70),0)</f>
        <v/>
      </c>
      <c r="BU510">
        <f>IFERROR(INDEX(PP_Grid[#Data],$DD510,71),0)</f>
        <v/>
      </c>
      <c r="BV510">
        <f>IFERROR(INDEX(PP_Grid[#Data],$DD510,72),0)</f>
        <v/>
      </c>
      <c r="BW510">
        <f>IFERROR(INDEX(PP_Grid[#Data],$DD510,73),0)</f>
        <v/>
      </c>
      <c r="BX510">
        <f>IFERROR(INDEX(PP_Grid[#Data],$DD510,74),0)</f>
        <v/>
      </c>
      <c r="BY510">
        <f>IFERROR(INDEX(PP_Grid[#Data],$DD510,75),0)</f>
        <v/>
      </c>
      <c r="BZ510">
        <f>IFERROR(INDEX(PP_Grid[#Data],$DD510,76),0)</f>
        <v/>
      </c>
      <c r="CA510">
        <f>IFERROR(INDEX(PP_Grid[#Data],$DD510,77),0)</f>
        <v/>
      </c>
      <c r="CB510">
        <f>IFERROR(INDEX(PP_Grid[#Data],$DD510,78),0)</f>
        <v/>
      </c>
      <c r="CC510">
        <f>IFERROR(INDEX(PP_Grid[#Data],$DD510,79),0)</f>
        <v/>
      </c>
      <c r="CD510">
        <f>IFERROR(INDEX(PP_Grid[#Data],$DD510,80),0)</f>
        <v/>
      </c>
      <c r="CE510">
        <f>IFERROR(INDEX(PP_Grid[#Data],$DD510,81),0)</f>
        <v/>
      </c>
      <c r="CF510">
        <f>IFERROR(INDEX(PP_Grid[#Data],$DD510,82),0)</f>
        <v/>
      </c>
      <c r="CG510">
        <f>IFERROR(INDEX(PP_Grid[#Data],$DD510,83),0)</f>
        <v/>
      </c>
      <c r="CH510">
        <f>IFERROR(INDEX(PP_Grid[#Data],$DD510,84),0)</f>
        <v/>
      </c>
      <c r="CI510">
        <f>IFERROR(INDEX(PP_Grid[#Data],$DD510,85),0)</f>
        <v/>
      </c>
      <c r="CJ510">
        <f>IFERROR(INDEX(PP_Grid[#Data],$DD510,86),0)</f>
        <v/>
      </c>
      <c r="CK510">
        <f>IFERROR(INDEX(PP_Grid[#Data],$DD510,87),0)</f>
        <v/>
      </c>
      <c r="CL510">
        <f>IFERROR(INDEX(PP_Grid[#Data],$DD510,88),0)</f>
        <v/>
      </c>
      <c r="CM510">
        <f>IFERROR(INDEX(PP_Grid[#Data],$DD510,89),0)</f>
        <v/>
      </c>
      <c r="CN510">
        <f>IFERROR(INDEX(PP_Grid[#Data],$DD510,90),0)</f>
        <v/>
      </c>
      <c r="CO510">
        <f>IFERROR(INDEX(PP_Grid[#Data],$DD510,91),0)</f>
        <v/>
      </c>
      <c r="CP510">
        <f>IFERROR(INDEX(PP_Grid[#Data],$DD510,92),0)</f>
        <v/>
      </c>
      <c r="CQ510">
        <f>IFERROR(INDEX(PP_Grid[#Data],$DD510,93),0)</f>
        <v/>
      </c>
      <c r="CR510">
        <f>IFERROR(INDEX(PP_Grid[#Data],$DD510,94),0)</f>
        <v/>
      </c>
      <c r="CS510">
        <f>IFERROR(INDEX(PP_Grid[#Data],$DD510,95),0)</f>
        <v/>
      </c>
      <c r="CT510">
        <f>IFERROR(INDEX(PP_Grid[#Data],$DD510,96),0)</f>
        <v/>
      </c>
      <c r="CU510">
        <f>IFERROR(INDEX(PP_Grid[#Data],$DD510,97),0)</f>
        <v/>
      </c>
      <c r="CV510">
        <f>IFERROR(INDEX(PP_Grid[#Data],$DD510,98),0)</f>
        <v/>
      </c>
      <c r="CW510">
        <f>IFERROR(INDEX(PP_Grid[#Data],$DD510,99),0)</f>
        <v/>
      </c>
      <c r="CX510">
        <f>IFERROR(INDEX(PP_Grid[#Data],$DD510,100),0)</f>
        <v/>
      </c>
      <c r="CY510">
        <f>IFERROR(INDEX(PP_Grid[#Data],$DD510,101),0)</f>
        <v/>
      </c>
      <c r="CZ510">
        <f>IFERROR(INDEX(PP_Grid[#Data],$DD510,102),0)</f>
        <v/>
      </c>
      <c r="DA510">
        <f>IFERROR(INDEX(PP_Grid[#Data],$DD510,103),0)</f>
        <v/>
      </c>
      <c r="DB510">
        <f>IFERROR(INDEX(PP_Grid[#Data],$DD510,104),0)</f>
        <v/>
      </c>
      <c r="DC510">
        <f>IFERROR(INDEX(PP_Grid[#Data],$DD510,105),0)</f>
        <v/>
      </c>
      <c r="DD510" s="7">
        <f>IFERROR(MATCH($B510,PP_Grid[Intermediate],0),99999)</f>
        <v/>
      </c>
    </row>
    <row r="511">
      <c r="B511" t="inlineStr">
        <is>
          <t>使用量(kg)</t>
        </is>
      </c>
      <c r="C511">
        <f>SUMIFS(M_BOM[RM_Qty_Per_Batch],M_BOM[Intermediate],$B510,M_BOM[Part Name],$A507)</f>
        <v/>
      </c>
      <c r="D511">
        <f>$C511*D510</f>
        <v/>
      </c>
      <c r="E511">
        <f>$C511*E510</f>
        <v/>
      </c>
      <c r="F511">
        <f>$C511*F510</f>
        <v/>
      </c>
      <c r="G511">
        <f>$C511*G510</f>
        <v/>
      </c>
      <c r="H511">
        <f>$C511*H510</f>
        <v/>
      </c>
      <c r="I511">
        <f>$C511*I510</f>
        <v/>
      </c>
      <c r="J511">
        <f>$C511*J510</f>
        <v/>
      </c>
      <c r="K511">
        <f>$C511*K510</f>
        <v/>
      </c>
      <c r="L511">
        <f>$C511*L510</f>
        <v/>
      </c>
      <c r="M511">
        <f>$C511*M510</f>
        <v/>
      </c>
      <c r="N511">
        <f>$C511*N510</f>
        <v/>
      </c>
      <c r="O511">
        <f>$C511*O510</f>
        <v/>
      </c>
      <c r="P511">
        <f>$C511*P510</f>
        <v/>
      </c>
      <c r="Q511">
        <f>$C511*Q510</f>
        <v/>
      </c>
      <c r="R511">
        <f>$C511*R510</f>
        <v/>
      </c>
      <c r="S511">
        <f>$C511*S510</f>
        <v/>
      </c>
      <c r="T511">
        <f>$C511*T510</f>
        <v/>
      </c>
      <c r="U511">
        <f>$C511*U510</f>
        <v/>
      </c>
      <c r="V511">
        <f>$C511*V510</f>
        <v/>
      </c>
      <c r="W511">
        <f>$C511*W510</f>
        <v/>
      </c>
      <c r="X511">
        <f>$C511*X510</f>
        <v/>
      </c>
      <c r="Y511">
        <f>$C511*Y510</f>
        <v/>
      </c>
      <c r="Z511">
        <f>$C511*Z510</f>
        <v/>
      </c>
      <c r="AA511">
        <f>$C511*AA510</f>
        <v/>
      </c>
      <c r="AB511">
        <f>$C511*AB510</f>
        <v/>
      </c>
      <c r="AC511">
        <f>$C511*AC510</f>
        <v/>
      </c>
      <c r="AD511">
        <f>$C511*AD510</f>
        <v/>
      </c>
      <c r="AE511">
        <f>$C511*AE510</f>
        <v/>
      </c>
      <c r="AF511">
        <f>$C511*AF510</f>
        <v/>
      </c>
      <c r="AG511">
        <f>$C511*AG510</f>
        <v/>
      </c>
      <c r="AH511">
        <f>$C511*AH510</f>
        <v/>
      </c>
      <c r="AI511">
        <f>$C511*AI510</f>
        <v/>
      </c>
      <c r="AJ511">
        <f>$C511*AJ510</f>
        <v/>
      </c>
      <c r="AK511">
        <f>$C511*AK510</f>
        <v/>
      </c>
      <c r="AL511">
        <f>$C511*AL510</f>
        <v/>
      </c>
      <c r="AM511">
        <f>$C511*AM510</f>
        <v/>
      </c>
      <c r="AN511">
        <f>$C511*AN510</f>
        <v/>
      </c>
      <c r="AO511">
        <f>$C511*AO510</f>
        <v/>
      </c>
      <c r="AP511">
        <f>$C511*AP510</f>
        <v/>
      </c>
      <c r="AQ511">
        <f>$C511*AQ510</f>
        <v/>
      </c>
      <c r="AR511">
        <f>$C511*AR510</f>
        <v/>
      </c>
      <c r="AS511">
        <f>$C511*AS510</f>
        <v/>
      </c>
      <c r="AT511">
        <f>$C511*AT510</f>
        <v/>
      </c>
      <c r="AU511">
        <f>$C511*AU510</f>
        <v/>
      </c>
      <c r="AV511">
        <f>$C511*AV510</f>
        <v/>
      </c>
      <c r="AW511">
        <f>$C511*AW510</f>
        <v/>
      </c>
      <c r="AX511">
        <f>$C511*AX510</f>
        <v/>
      </c>
      <c r="AY511">
        <f>$C511*AY510</f>
        <v/>
      </c>
      <c r="AZ511">
        <f>$C511*AZ510</f>
        <v/>
      </c>
      <c r="BA511">
        <f>$C511*BA510</f>
        <v/>
      </c>
      <c r="BB511">
        <f>$C511*BB510</f>
        <v/>
      </c>
      <c r="BC511">
        <f>$C511*BC510</f>
        <v/>
      </c>
      <c r="BD511">
        <f>$C511*BD510</f>
        <v/>
      </c>
      <c r="BE511">
        <f>$C511*BE510</f>
        <v/>
      </c>
      <c r="BF511">
        <f>$C511*BF510</f>
        <v/>
      </c>
      <c r="BG511">
        <f>$C511*BG510</f>
        <v/>
      </c>
      <c r="BH511">
        <f>$C511*BH510</f>
        <v/>
      </c>
      <c r="BI511">
        <f>$C511*BI510</f>
        <v/>
      </c>
      <c r="BJ511">
        <f>$C511*BJ510</f>
        <v/>
      </c>
      <c r="BK511">
        <f>$C511*BK510</f>
        <v/>
      </c>
      <c r="BL511">
        <f>$C511*BL510</f>
        <v/>
      </c>
      <c r="BM511">
        <f>$C511*BM510</f>
        <v/>
      </c>
      <c r="BN511">
        <f>$C511*BN510</f>
        <v/>
      </c>
      <c r="BO511">
        <f>$C511*BO510</f>
        <v/>
      </c>
      <c r="BP511">
        <f>$C511*BP510</f>
        <v/>
      </c>
      <c r="BQ511">
        <f>$C511*BQ510</f>
        <v/>
      </c>
      <c r="BR511">
        <f>$C511*BR510</f>
        <v/>
      </c>
      <c r="BS511">
        <f>$C511*BS510</f>
        <v/>
      </c>
      <c r="BT511">
        <f>$C511*BT510</f>
        <v/>
      </c>
      <c r="BU511">
        <f>$C511*BU510</f>
        <v/>
      </c>
      <c r="BV511">
        <f>$C511*BV510</f>
        <v/>
      </c>
      <c r="BW511">
        <f>$C511*BW510</f>
        <v/>
      </c>
      <c r="BX511">
        <f>$C511*BX510</f>
        <v/>
      </c>
      <c r="BY511">
        <f>$C511*BY510</f>
        <v/>
      </c>
      <c r="BZ511">
        <f>$C511*BZ510</f>
        <v/>
      </c>
      <c r="CA511">
        <f>$C511*CA510</f>
        <v/>
      </c>
      <c r="CB511">
        <f>$C511*CB510</f>
        <v/>
      </c>
      <c r="CC511">
        <f>$C511*CC510</f>
        <v/>
      </c>
      <c r="CD511">
        <f>$C511*CD510</f>
        <v/>
      </c>
      <c r="CE511">
        <f>$C511*CE510</f>
        <v/>
      </c>
      <c r="CF511">
        <f>$C511*CF510</f>
        <v/>
      </c>
      <c r="CG511">
        <f>$C511*CG510</f>
        <v/>
      </c>
      <c r="CH511">
        <f>$C511*CH510</f>
        <v/>
      </c>
      <c r="CI511">
        <f>$C511*CI510</f>
        <v/>
      </c>
      <c r="CJ511">
        <f>$C511*CJ510</f>
        <v/>
      </c>
      <c r="CK511">
        <f>$C511*CK510</f>
        <v/>
      </c>
      <c r="CL511">
        <f>$C511*CL510</f>
        <v/>
      </c>
      <c r="CM511">
        <f>$C511*CM510</f>
        <v/>
      </c>
      <c r="CN511">
        <f>$C511*CN510</f>
        <v/>
      </c>
      <c r="CO511">
        <f>$C511*CO510</f>
        <v/>
      </c>
      <c r="CP511">
        <f>$C511*CP510</f>
        <v/>
      </c>
      <c r="CQ511">
        <f>$C511*CQ510</f>
        <v/>
      </c>
      <c r="CR511">
        <f>$C511*CR510</f>
        <v/>
      </c>
      <c r="CS511">
        <f>$C511*CS510</f>
        <v/>
      </c>
      <c r="CT511">
        <f>$C511*CT510</f>
        <v/>
      </c>
      <c r="CU511">
        <f>$C511*CU510</f>
        <v/>
      </c>
      <c r="CV511">
        <f>$C511*CV510</f>
        <v/>
      </c>
      <c r="CW511">
        <f>$C511*CW510</f>
        <v/>
      </c>
      <c r="CX511">
        <f>$C511*CX510</f>
        <v/>
      </c>
      <c r="CY511">
        <f>$C511*CY510</f>
        <v/>
      </c>
      <c r="CZ511">
        <f>$C511*CZ510</f>
        <v/>
      </c>
      <c r="DA511">
        <f>$C511*DA510</f>
        <v/>
      </c>
      <c r="DB511">
        <f>$C511*DB510</f>
        <v/>
      </c>
      <c r="DC511">
        <f>$C511*DC510</f>
        <v/>
      </c>
    </row>
    <row r="512">
      <c r="B512" t="inlineStr">
        <is>
          <t>TSZ-616</t>
        </is>
      </c>
      <c r="C512" t="inlineStr">
        <is>
          <t>No. of batches</t>
        </is>
      </c>
      <c r="D512">
        <f>IFERROR(INDEX(PP_Grid[#Data],$DD512,2),0)</f>
        <v/>
      </c>
      <c r="E512">
        <f>IFERROR(INDEX(PP_Grid[#Data],$DD512,3),0)</f>
        <v/>
      </c>
      <c r="F512">
        <f>IFERROR(INDEX(PP_Grid[#Data],$DD512,4),0)</f>
        <v/>
      </c>
      <c r="G512">
        <f>IFERROR(INDEX(PP_Grid[#Data],$DD512,5),0)</f>
        <v/>
      </c>
      <c r="H512">
        <f>IFERROR(INDEX(PP_Grid[#Data],$DD512,6),0)</f>
        <v/>
      </c>
      <c r="I512">
        <f>IFERROR(INDEX(PP_Grid[#Data],$DD512,7),0)</f>
        <v/>
      </c>
      <c r="J512">
        <f>IFERROR(INDEX(PP_Grid[#Data],$DD512,8),0)</f>
        <v/>
      </c>
      <c r="K512">
        <f>IFERROR(INDEX(PP_Grid[#Data],$DD512,9),0)</f>
        <v/>
      </c>
      <c r="L512">
        <f>IFERROR(INDEX(PP_Grid[#Data],$DD512,10),0)</f>
        <v/>
      </c>
      <c r="M512">
        <f>IFERROR(INDEX(PP_Grid[#Data],$DD512,11),0)</f>
        <v/>
      </c>
      <c r="N512">
        <f>IFERROR(INDEX(PP_Grid[#Data],$DD512,12),0)</f>
        <v/>
      </c>
      <c r="O512">
        <f>IFERROR(INDEX(PP_Grid[#Data],$DD512,13),0)</f>
        <v/>
      </c>
      <c r="P512">
        <f>IFERROR(INDEX(PP_Grid[#Data],$DD512,14),0)</f>
        <v/>
      </c>
      <c r="Q512">
        <f>IFERROR(INDEX(PP_Grid[#Data],$DD512,15),0)</f>
        <v/>
      </c>
      <c r="R512">
        <f>IFERROR(INDEX(PP_Grid[#Data],$DD512,16),0)</f>
        <v/>
      </c>
      <c r="S512">
        <f>IFERROR(INDEX(PP_Grid[#Data],$DD512,17),0)</f>
        <v/>
      </c>
      <c r="T512">
        <f>IFERROR(INDEX(PP_Grid[#Data],$DD512,18),0)</f>
        <v/>
      </c>
      <c r="U512">
        <f>IFERROR(INDEX(PP_Grid[#Data],$DD512,19),0)</f>
        <v/>
      </c>
      <c r="V512">
        <f>IFERROR(INDEX(PP_Grid[#Data],$DD512,20),0)</f>
        <v/>
      </c>
      <c r="W512">
        <f>IFERROR(INDEX(PP_Grid[#Data],$DD512,21),0)</f>
        <v/>
      </c>
      <c r="X512">
        <f>IFERROR(INDEX(PP_Grid[#Data],$DD512,22),0)</f>
        <v/>
      </c>
      <c r="Y512">
        <f>IFERROR(INDEX(PP_Grid[#Data],$DD512,23),0)</f>
        <v/>
      </c>
      <c r="Z512">
        <f>IFERROR(INDEX(PP_Grid[#Data],$DD512,24),0)</f>
        <v/>
      </c>
      <c r="AA512">
        <f>IFERROR(INDEX(PP_Grid[#Data],$DD512,25),0)</f>
        <v/>
      </c>
      <c r="AB512">
        <f>IFERROR(INDEX(PP_Grid[#Data],$DD512,26),0)</f>
        <v/>
      </c>
      <c r="AC512">
        <f>IFERROR(INDEX(PP_Grid[#Data],$DD512,27),0)</f>
        <v/>
      </c>
      <c r="AD512">
        <f>IFERROR(INDEX(PP_Grid[#Data],$DD512,28),0)</f>
        <v/>
      </c>
      <c r="AE512">
        <f>IFERROR(INDEX(PP_Grid[#Data],$DD512,29),0)</f>
        <v/>
      </c>
      <c r="AF512">
        <f>IFERROR(INDEX(PP_Grid[#Data],$DD512,30),0)</f>
        <v/>
      </c>
      <c r="AG512">
        <f>IFERROR(INDEX(PP_Grid[#Data],$DD512,31),0)</f>
        <v/>
      </c>
      <c r="AH512">
        <f>IFERROR(INDEX(PP_Grid[#Data],$DD512,32),0)</f>
        <v/>
      </c>
      <c r="AI512">
        <f>IFERROR(INDEX(PP_Grid[#Data],$DD512,33),0)</f>
        <v/>
      </c>
      <c r="AJ512">
        <f>IFERROR(INDEX(PP_Grid[#Data],$DD512,34),0)</f>
        <v/>
      </c>
      <c r="AK512">
        <f>IFERROR(INDEX(PP_Grid[#Data],$DD512,35),0)</f>
        <v/>
      </c>
      <c r="AL512">
        <f>IFERROR(INDEX(PP_Grid[#Data],$DD512,36),0)</f>
        <v/>
      </c>
      <c r="AM512">
        <f>IFERROR(INDEX(PP_Grid[#Data],$DD512,37),0)</f>
        <v/>
      </c>
      <c r="AN512">
        <f>IFERROR(INDEX(PP_Grid[#Data],$DD512,38),0)</f>
        <v/>
      </c>
      <c r="AO512">
        <f>IFERROR(INDEX(PP_Grid[#Data],$DD512,39),0)</f>
        <v/>
      </c>
      <c r="AP512">
        <f>IFERROR(INDEX(PP_Grid[#Data],$DD512,40),0)</f>
        <v/>
      </c>
      <c r="AQ512">
        <f>IFERROR(INDEX(PP_Grid[#Data],$DD512,41),0)</f>
        <v/>
      </c>
      <c r="AR512">
        <f>IFERROR(INDEX(PP_Grid[#Data],$DD512,42),0)</f>
        <v/>
      </c>
      <c r="AS512">
        <f>IFERROR(INDEX(PP_Grid[#Data],$DD512,43),0)</f>
        <v/>
      </c>
      <c r="AT512">
        <f>IFERROR(INDEX(PP_Grid[#Data],$DD512,44),0)</f>
        <v/>
      </c>
      <c r="AU512">
        <f>IFERROR(INDEX(PP_Grid[#Data],$DD512,45),0)</f>
        <v/>
      </c>
      <c r="AV512">
        <f>IFERROR(INDEX(PP_Grid[#Data],$DD512,46),0)</f>
        <v/>
      </c>
      <c r="AW512">
        <f>IFERROR(INDEX(PP_Grid[#Data],$DD512,47),0)</f>
        <v/>
      </c>
      <c r="AX512">
        <f>IFERROR(INDEX(PP_Grid[#Data],$DD512,48),0)</f>
        <v/>
      </c>
      <c r="AY512">
        <f>IFERROR(INDEX(PP_Grid[#Data],$DD512,49),0)</f>
        <v/>
      </c>
      <c r="AZ512">
        <f>IFERROR(INDEX(PP_Grid[#Data],$DD512,50),0)</f>
        <v/>
      </c>
      <c r="BA512">
        <f>IFERROR(INDEX(PP_Grid[#Data],$DD512,51),0)</f>
        <v/>
      </c>
      <c r="BB512">
        <f>IFERROR(INDEX(PP_Grid[#Data],$DD512,52),0)</f>
        <v/>
      </c>
      <c r="BC512">
        <f>IFERROR(INDEX(PP_Grid[#Data],$DD512,53),0)</f>
        <v/>
      </c>
      <c r="BD512">
        <f>IFERROR(INDEX(PP_Grid[#Data],$DD512,54),0)</f>
        <v/>
      </c>
      <c r="BE512">
        <f>IFERROR(INDEX(PP_Grid[#Data],$DD512,55),0)</f>
        <v/>
      </c>
      <c r="BF512">
        <f>IFERROR(INDEX(PP_Grid[#Data],$DD512,56),0)</f>
        <v/>
      </c>
      <c r="BG512">
        <f>IFERROR(INDEX(PP_Grid[#Data],$DD512,57),0)</f>
        <v/>
      </c>
      <c r="BH512">
        <f>IFERROR(INDEX(PP_Grid[#Data],$DD512,58),0)</f>
        <v/>
      </c>
      <c r="BI512">
        <f>IFERROR(INDEX(PP_Grid[#Data],$DD512,59),0)</f>
        <v/>
      </c>
      <c r="BJ512">
        <f>IFERROR(INDEX(PP_Grid[#Data],$DD512,60),0)</f>
        <v/>
      </c>
      <c r="BK512">
        <f>IFERROR(INDEX(PP_Grid[#Data],$DD512,61),0)</f>
        <v/>
      </c>
      <c r="BL512">
        <f>IFERROR(INDEX(PP_Grid[#Data],$DD512,62),0)</f>
        <v/>
      </c>
      <c r="BM512">
        <f>IFERROR(INDEX(PP_Grid[#Data],$DD512,63),0)</f>
        <v/>
      </c>
      <c r="BN512">
        <f>IFERROR(INDEX(PP_Grid[#Data],$DD512,64),0)</f>
        <v/>
      </c>
      <c r="BO512">
        <f>IFERROR(INDEX(PP_Grid[#Data],$DD512,65),0)</f>
        <v/>
      </c>
      <c r="BP512">
        <f>IFERROR(INDEX(PP_Grid[#Data],$DD512,66),0)</f>
        <v/>
      </c>
      <c r="BQ512">
        <f>IFERROR(INDEX(PP_Grid[#Data],$DD512,67),0)</f>
        <v/>
      </c>
      <c r="BR512">
        <f>IFERROR(INDEX(PP_Grid[#Data],$DD512,68),0)</f>
        <v/>
      </c>
      <c r="BS512">
        <f>IFERROR(INDEX(PP_Grid[#Data],$DD512,69),0)</f>
        <v/>
      </c>
      <c r="BT512">
        <f>IFERROR(INDEX(PP_Grid[#Data],$DD512,70),0)</f>
        <v/>
      </c>
      <c r="BU512">
        <f>IFERROR(INDEX(PP_Grid[#Data],$DD512,71),0)</f>
        <v/>
      </c>
      <c r="BV512">
        <f>IFERROR(INDEX(PP_Grid[#Data],$DD512,72),0)</f>
        <v/>
      </c>
      <c r="BW512">
        <f>IFERROR(INDEX(PP_Grid[#Data],$DD512,73),0)</f>
        <v/>
      </c>
      <c r="BX512">
        <f>IFERROR(INDEX(PP_Grid[#Data],$DD512,74),0)</f>
        <v/>
      </c>
      <c r="BY512">
        <f>IFERROR(INDEX(PP_Grid[#Data],$DD512,75),0)</f>
        <v/>
      </c>
      <c r="BZ512">
        <f>IFERROR(INDEX(PP_Grid[#Data],$DD512,76),0)</f>
        <v/>
      </c>
      <c r="CA512">
        <f>IFERROR(INDEX(PP_Grid[#Data],$DD512,77),0)</f>
        <v/>
      </c>
      <c r="CB512">
        <f>IFERROR(INDEX(PP_Grid[#Data],$DD512,78),0)</f>
        <v/>
      </c>
      <c r="CC512">
        <f>IFERROR(INDEX(PP_Grid[#Data],$DD512,79),0)</f>
        <v/>
      </c>
      <c r="CD512">
        <f>IFERROR(INDEX(PP_Grid[#Data],$DD512,80),0)</f>
        <v/>
      </c>
      <c r="CE512">
        <f>IFERROR(INDEX(PP_Grid[#Data],$DD512,81),0)</f>
        <v/>
      </c>
      <c r="CF512">
        <f>IFERROR(INDEX(PP_Grid[#Data],$DD512,82),0)</f>
        <v/>
      </c>
      <c r="CG512">
        <f>IFERROR(INDEX(PP_Grid[#Data],$DD512,83),0)</f>
        <v/>
      </c>
      <c r="CH512">
        <f>IFERROR(INDEX(PP_Grid[#Data],$DD512,84),0)</f>
        <v/>
      </c>
      <c r="CI512">
        <f>IFERROR(INDEX(PP_Grid[#Data],$DD512,85),0)</f>
        <v/>
      </c>
      <c r="CJ512">
        <f>IFERROR(INDEX(PP_Grid[#Data],$DD512,86),0)</f>
        <v/>
      </c>
      <c r="CK512">
        <f>IFERROR(INDEX(PP_Grid[#Data],$DD512,87),0)</f>
        <v/>
      </c>
      <c r="CL512">
        <f>IFERROR(INDEX(PP_Grid[#Data],$DD512,88),0)</f>
        <v/>
      </c>
      <c r="CM512">
        <f>IFERROR(INDEX(PP_Grid[#Data],$DD512,89),0)</f>
        <v/>
      </c>
      <c r="CN512">
        <f>IFERROR(INDEX(PP_Grid[#Data],$DD512,90),0)</f>
        <v/>
      </c>
      <c r="CO512">
        <f>IFERROR(INDEX(PP_Grid[#Data],$DD512,91),0)</f>
        <v/>
      </c>
      <c r="CP512">
        <f>IFERROR(INDEX(PP_Grid[#Data],$DD512,92),0)</f>
        <v/>
      </c>
      <c r="CQ512">
        <f>IFERROR(INDEX(PP_Grid[#Data],$DD512,93),0)</f>
        <v/>
      </c>
      <c r="CR512">
        <f>IFERROR(INDEX(PP_Grid[#Data],$DD512,94),0)</f>
        <v/>
      </c>
      <c r="CS512">
        <f>IFERROR(INDEX(PP_Grid[#Data],$DD512,95),0)</f>
        <v/>
      </c>
      <c r="CT512">
        <f>IFERROR(INDEX(PP_Grid[#Data],$DD512,96),0)</f>
        <v/>
      </c>
      <c r="CU512">
        <f>IFERROR(INDEX(PP_Grid[#Data],$DD512,97),0)</f>
        <v/>
      </c>
      <c r="CV512">
        <f>IFERROR(INDEX(PP_Grid[#Data],$DD512,98),0)</f>
        <v/>
      </c>
      <c r="CW512">
        <f>IFERROR(INDEX(PP_Grid[#Data],$DD512,99),0)</f>
        <v/>
      </c>
      <c r="CX512">
        <f>IFERROR(INDEX(PP_Grid[#Data],$DD512,100),0)</f>
        <v/>
      </c>
      <c r="CY512">
        <f>IFERROR(INDEX(PP_Grid[#Data],$DD512,101),0)</f>
        <v/>
      </c>
      <c r="CZ512">
        <f>IFERROR(INDEX(PP_Grid[#Data],$DD512,102),0)</f>
        <v/>
      </c>
      <c r="DA512">
        <f>IFERROR(INDEX(PP_Grid[#Data],$DD512,103),0)</f>
        <v/>
      </c>
      <c r="DB512">
        <f>IFERROR(INDEX(PP_Grid[#Data],$DD512,104),0)</f>
        <v/>
      </c>
      <c r="DC512">
        <f>IFERROR(INDEX(PP_Grid[#Data],$DD512,105),0)</f>
        <v/>
      </c>
      <c r="DD512" s="7">
        <f>IFERROR(MATCH($B512,PP_Grid[Intermediate],0),99999)</f>
        <v/>
      </c>
    </row>
    <row r="513">
      <c r="B513" t="inlineStr">
        <is>
          <t>使用量(kg)</t>
        </is>
      </c>
      <c r="C513">
        <f>SUMIFS(M_BOM[RM_Qty_Per_Batch],M_BOM[Intermediate],$B512,M_BOM[Part Name],$A507)</f>
        <v/>
      </c>
      <c r="D513">
        <f>$C513*D512</f>
        <v/>
      </c>
      <c r="E513">
        <f>$C513*E512</f>
        <v/>
      </c>
      <c r="F513">
        <f>$C513*F512</f>
        <v/>
      </c>
      <c r="G513">
        <f>$C513*G512</f>
        <v/>
      </c>
      <c r="H513">
        <f>$C513*H512</f>
        <v/>
      </c>
      <c r="I513">
        <f>$C513*I512</f>
        <v/>
      </c>
      <c r="J513">
        <f>$C513*J512</f>
        <v/>
      </c>
      <c r="K513">
        <f>$C513*K512</f>
        <v/>
      </c>
      <c r="L513">
        <f>$C513*L512</f>
        <v/>
      </c>
      <c r="M513">
        <f>$C513*M512</f>
        <v/>
      </c>
      <c r="N513">
        <f>$C513*N512</f>
        <v/>
      </c>
      <c r="O513">
        <f>$C513*O512</f>
        <v/>
      </c>
      <c r="P513">
        <f>$C513*P512</f>
        <v/>
      </c>
      <c r="Q513">
        <f>$C513*Q512</f>
        <v/>
      </c>
      <c r="R513">
        <f>$C513*R512</f>
        <v/>
      </c>
      <c r="S513">
        <f>$C513*S512</f>
        <v/>
      </c>
      <c r="T513">
        <f>$C513*T512</f>
        <v/>
      </c>
      <c r="U513">
        <f>$C513*U512</f>
        <v/>
      </c>
      <c r="V513">
        <f>$C513*V512</f>
        <v/>
      </c>
      <c r="W513">
        <f>$C513*W512</f>
        <v/>
      </c>
      <c r="X513">
        <f>$C513*X512</f>
        <v/>
      </c>
      <c r="Y513">
        <f>$C513*Y512</f>
        <v/>
      </c>
      <c r="Z513">
        <f>$C513*Z512</f>
        <v/>
      </c>
      <c r="AA513">
        <f>$C513*AA512</f>
        <v/>
      </c>
      <c r="AB513">
        <f>$C513*AB512</f>
        <v/>
      </c>
      <c r="AC513">
        <f>$C513*AC512</f>
        <v/>
      </c>
      <c r="AD513">
        <f>$C513*AD512</f>
        <v/>
      </c>
      <c r="AE513">
        <f>$C513*AE512</f>
        <v/>
      </c>
      <c r="AF513">
        <f>$C513*AF512</f>
        <v/>
      </c>
      <c r="AG513">
        <f>$C513*AG512</f>
        <v/>
      </c>
      <c r="AH513">
        <f>$C513*AH512</f>
        <v/>
      </c>
      <c r="AI513">
        <f>$C513*AI512</f>
        <v/>
      </c>
      <c r="AJ513">
        <f>$C513*AJ512</f>
        <v/>
      </c>
      <c r="AK513">
        <f>$C513*AK512</f>
        <v/>
      </c>
      <c r="AL513">
        <f>$C513*AL512</f>
        <v/>
      </c>
      <c r="AM513">
        <f>$C513*AM512</f>
        <v/>
      </c>
      <c r="AN513">
        <f>$C513*AN512</f>
        <v/>
      </c>
      <c r="AO513">
        <f>$C513*AO512</f>
        <v/>
      </c>
      <c r="AP513">
        <f>$C513*AP512</f>
        <v/>
      </c>
      <c r="AQ513">
        <f>$C513*AQ512</f>
        <v/>
      </c>
      <c r="AR513">
        <f>$C513*AR512</f>
        <v/>
      </c>
      <c r="AS513">
        <f>$C513*AS512</f>
        <v/>
      </c>
      <c r="AT513">
        <f>$C513*AT512</f>
        <v/>
      </c>
      <c r="AU513">
        <f>$C513*AU512</f>
        <v/>
      </c>
      <c r="AV513">
        <f>$C513*AV512</f>
        <v/>
      </c>
      <c r="AW513">
        <f>$C513*AW512</f>
        <v/>
      </c>
      <c r="AX513">
        <f>$C513*AX512</f>
        <v/>
      </c>
      <c r="AY513">
        <f>$C513*AY512</f>
        <v/>
      </c>
      <c r="AZ513">
        <f>$C513*AZ512</f>
        <v/>
      </c>
      <c r="BA513">
        <f>$C513*BA512</f>
        <v/>
      </c>
      <c r="BB513">
        <f>$C513*BB512</f>
        <v/>
      </c>
      <c r="BC513">
        <f>$C513*BC512</f>
        <v/>
      </c>
      <c r="BD513">
        <f>$C513*BD512</f>
        <v/>
      </c>
      <c r="BE513">
        <f>$C513*BE512</f>
        <v/>
      </c>
      <c r="BF513">
        <f>$C513*BF512</f>
        <v/>
      </c>
      <c r="BG513">
        <f>$C513*BG512</f>
        <v/>
      </c>
      <c r="BH513">
        <f>$C513*BH512</f>
        <v/>
      </c>
      <c r="BI513">
        <f>$C513*BI512</f>
        <v/>
      </c>
      <c r="BJ513">
        <f>$C513*BJ512</f>
        <v/>
      </c>
      <c r="BK513">
        <f>$C513*BK512</f>
        <v/>
      </c>
      <c r="BL513">
        <f>$C513*BL512</f>
        <v/>
      </c>
      <c r="BM513">
        <f>$C513*BM512</f>
        <v/>
      </c>
      <c r="BN513">
        <f>$C513*BN512</f>
        <v/>
      </c>
      <c r="BO513">
        <f>$C513*BO512</f>
        <v/>
      </c>
      <c r="BP513">
        <f>$C513*BP512</f>
        <v/>
      </c>
      <c r="BQ513">
        <f>$C513*BQ512</f>
        <v/>
      </c>
      <c r="BR513">
        <f>$C513*BR512</f>
        <v/>
      </c>
      <c r="BS513">
        <f>$C513*BS512</f>
        <v/>
      </c>
      <c r="BT513">
        <f>$C513*BT512</f>
        <v/>
      </c>
      <c r="BU513">
        <f>$C513*BU512</f>
        <v/>
      </c>
      <c r="BV513">
        <f>$C513*BV512</f>
        <v/>
      </c>
      <c r="BW513">
        <f>$C513*BW512</f>
        <v/>
      </c>
      <c r="BX513">
        <f>$C513*BX512</f>
        <v/>
      </c>
      <c r="BY513">
        <f>$C513*BY512</f>
        <v/>
      </c>
      <c r="BZ513">
        <f>$C513*BZ512</f>
        <v/>
      </c>
      <c r="CA513">
        <f>$C513*CA512</f>
        <v/>
      </c>
      <c r="CB513">
        <f>$C513*CB512</f>
        <v/>
      </c>
      <c r="CC513">
        <f>$C513*CC512</f>
        <v/>
      </c>
      <c r="CD513">
        <f>$C513*CD512</f>
        <v/>
      </c>
      <c r="CE513">
        <f>$C513*CE512</f>
        <v/>
      </c>
      <c r="CF513">
        <f>$C513*CF512</f>
        <v/>
      </c>
      <c r="CG513">
        <f>$C513*CG512</f>
        <v/>
      </c>
      <c r="CH513">
        <f>$C513*CH512</f>
        <v/>
      </c>
      <c r="CI513">
        <f>$C513*CI512</f>
        <v/>
      </c>
      <c r="CJ513">
        <f>$C513*CJ512</f>
        <v/>
      </c>
      <c r="CK513">
        <f>$C513*CK512</f>
        <v/>
      </c>
      <c r="CL513">
        <f>$C513*CL512</f>
        <v/>
      </c>
      <c r="CM513">
        <f>$C513*CM512</f>
        <v/>
      </c>
      <c r="CN513">
        <f>$C513*CN512</f>
        <v/>
      </c>
      <c r="CO513">
        <f>$C513*CO512</f>
        <v/>
      </c>
      <c r="CP513">
        <f>$C513*CP512</f>
        <v/>
      </c>
      <c r="CQ513">
        <f>$C513*CQ512</f>
        <v/>
      </c>
      <c r="CR513">
        <f>$C513*CR512</f>
        <v/>
      </c>
      <c r="CS513">
        <f>$C513*CS512</f>
        <v/>
      </c>
      <c r="CT513">
        <f>$C513*CT512</f>
        <v/>
      </c>
      <c r="CU513">
        <f>$C513*CU512</f>
        <v/>
      </c>
      <c r="CV513">
        <f>$C513*CV512</f>
        <v/>
      </c>
      <c r="CW513">
        <f>$C513*CW512</f>
        <v/>
      </c>
      <c r="CX513">
        <f>$C513*CX512</f>
        <v/>
      </c>
      <c r="CY513">
        <f>$C513*CY512</f>
        <v/>
      </c>
      <c r="CZ513">
        <f>$C513*CZ512</f>
        <v/>
      </c>
      <c r="DA513">
        <f>$C513*DA512</f>
        <v/>
      </c>
      <c r="DB513">
        <f>$C513*DB512</f>
        <v/>
      </c>
      <c r="DC513">
        <f>$C513*DC512</f>
        <v/>
      </c>
    </row>
    <row r="514">
      <c r="B514" t="inlineStr">
        <is>
          <t>TSP-1449</t>
        </is>
      </c>
      <c r="C514" t="inlineStr">
        <is>
          <t>No. of batches</t>
        </is>
      </c>
      <c r="D514">
        <f>IFERROR(INDEX(PP_Grid[#Data],$DD514,2),0)</f>
        <v/>
      </c>
      <c r="E514">
        <f>IFERROR(INDEX(PP_Grid[#Data],$DD514,3),0)</f>
        <v/>
      </c>
      <c r="F514">
        <f>IFERROR(INDEX(PP_Grid[#Data],$DD514,4),0)</f>
        <v/>
      </c>
      <c r="G514">
        <f>IFERROR(INDEX(PP_Grid[#Data],$DD514,5),0)</f>
        <v/>
      </c>
      <c r="H514">
        <f>IFERROR(INDEX(PP_Grid[#Data],$DD514,6),0)</f>
        <v/>
      </c>
      <c r="I514">
        <f>IFERROR(INDEX(PP_Grid[#Data],$DD514,7),0)</f>
        <v/>
      </c>
      <c r="J514">
        <f>IFERROR(INDEX(PP_Grid[#Data],$DD514,8),0)</f>
        <v/>
      </c>
      <c r="K514">
        <f>IFERROR(INDEX(PP_Grid[#Data],$DD514,9),0)</f>
        <v/>
      </c>
      <c r="L514">
        <f>IFERROR(INDEX(PP_Grid[#Data],$DD514,10),0)</f>
        <v/>
      </c>
      <c r="M514">
        <f>IFERROR(INDEX(PP_Grid[#Data],$DD514,11),0)</f>
        <v/>
      </c>
      <c r="N514">
        <f>IFERROR(INDEX(PP_Grid[#Data],$DD514,12),0)</f>
        <v/>
      </c>
      <c r="O514">
        <f>IFERROR(INDEX(PP_Grid[#Data],$DD514,13),0)</f>
        <v/>
      </c>
      <c r="P514">
        <f>IFERROR(INDEX(PP_Grid[#Data],$DD514,14),0)</f>
        <v/>
      </c>
      <c r="Q514">
        <f>IFERROR(INDEX(PP_Grid[#Data],$DD514,15),0)</f>
        <v/>
      </c>
      <c r="R514">
        <f>IFERROR(INDEX(PP_Grid[#Data],$DD514,16),0)</f>
        <v/>
      </c>
      <c r="S514">
        <f>IFERROR(INDEX(PP_Grid[#Data],$DD514,17),0)</f>
        <v/>
      </c>
      <c r="T514">
        <f>IFERROR(INDEX(PP_Grid[#Data],$DD514,18),0)</f>
        <v/>
      </c>
      <c r="U514">
        <f>IFERROR(INDEX(PP_Grid[#Data],$DD514,19),0)</f>
        <v/>
      </c>
      <c r="V514">
        <f>IFERROR(INDEX(PP_Grid[#Data],$DD514,20),0)</f>
        <v/>
      </c>
      <c r="W514">
        <f>IFERROR(INDEX(PP_Grid[#Data],$DD514,21),0)</f>
        <v/>
      </c>
      <c r="X514">
        <f>IFERROR(INDEX(PP_Grid[#Data],$DD514,22),0)</f>
        <v/>
      </c>
      <c r="Y514">
        <f>IFERROR(INDEX(PP_Grid[#Data],$DD514,23),0)</f>
        <v/>
      </c>
      <c r="Z514">
        <f>IFERROR(INDEX(PP_Grid[#Data],$DD514,24),0)</f>
        <v/>
      </c>
      <c r="AA514">
        <f>IFERROR(INDEX(PP_Grid[#Data],$DD514,25),0)</f>
        <v/>
      </c>
      <c r="AB514">
        <f>IFERROR(INDEX(PP_Grid[#Data],$DD514,26),0)</f>
        <v/>
      </c>
      <c r="AC514">
        <f>IFERROR(INDEX(PP_Grid[#Data],$DD514,27),0)</f>
        <v/>
      </c>
      <c r="AD514">
        <f>IFERROR(INDEX(PP_Grid[#Data],$DD514,28),0)</f>
        <v/>
      </c>
      <c r="AE514">
        <f>IFERROR(INDEX(PP_Grid[#Data],$DD514,29),0)</f>
        <v/>
      </c>
      <c r="AF514">
        <f>IFERROR(INDEX(PP_Grid[#Data],$DD514,30),0)</f>
        <v/>
      </c>
      <c r="AG514">
        <f>IFERROR(INDEX(PP_Grid[#Data],$DD514,31),0)</f>
        <v/>
      </c>
      <c r="AH514">
        <f>IFERROR(INDEX(PP_Grid[#Data],$DD514,32),0)</f>
        <v/>
      </c>
      <c r="AI514">
        <f>IFERROR(INDEX(PP_Grid[#Data],$DD514,33),0)</f>
        <v/>
      </c>
      <c r="AJ514">
        <f>IFERROR(INDEX(PP_Grid[#Data],$DD514,34),0)</f>
        <v/>
      </c>
      <c r="AK514">
        <f>IFERROR(INDEX(PP_Grid[#Data],$DD514,35),0)</f>
        <v/>
      </c>
      <c r="AL514">
        <f>IFERROR(INDEX(PP_Grid[#Data],$DD514,36),0)</f>
        <v/>
      </c>
      <c r="AM514">
        <f>IFERROR(INDEX(PP_Grid[#Data],$DD514,37),0)</f>
        <v/>
      </c>
      <c r="AN514">
        <f>IFERROR(INDEX(PP_Grid[#Data],$DD514,38),0)</f>
        <v/>
      </c>
      <c r="AO514">
        <f>IFERROR(INDEX(PP_Grid[#Data],$DD514,39),0)</f>
        <v/>
      </c>
      <c r="AP514">
        <f>IFERROR(INDEX(PP_Grid[#Data],$DD514,40),0)</f>
        <v/>
      </c>
      <c r="AQ514">
        <f>IFERROR(INDEX(PP_Grid[#Data],$DD514,41),0)</f>
        <v/>
      </c>
      <c r="AR514">
        <f>IFERROR(INDEX(PP_Grid[#Data],$DD514,42),0)</f>
        <v/>
      </c>
      <c r="AS514">
        <f>IFERROR(INDEX(PP_Grid[#Data],$DD514,43),0)</f>
        <v/>
      </c>
      <c r="AT514">
        <f>IFERROR(INDEX(PP_Grid[#Data],$DD514,44),0)</f>
        <v/>
      </c>
      <c r="AU514">
        <f>IFERROR(INDEX(PP_Grid[#Data],$DD514,45),0)</f>
        <v/>
      </c>
      <c r="AV514">
        <f>IFERROR(INDEX(PP_Grid[#Data],$DD514,46),0)</f>
        <v/>
      </c>
      <c r="AW514">
        <f>IFERROR(INDEX(PP_Grid[#Data],$DD514,47),0)</f>
        <v/>
      </c>
      <c r="AX514">
        <f>IFERROR(INDEX(PP_Grid[#Data],$DD514,48),0)</f>
        <v/>
      </c>
      <c r="AY514">
        <f>IFERROR(INDEX(PP_Grid[#Data],$DD514,49),0)</f>
        <v/>
      </c>
      <c r="AZ514">
        <f>IFERROR(INDEX(PP_Grid[#Data],$DD514,50),0)</f>
        <v/>
      </c>
      <c r="BA514">
        <f>IFERROR(INDEX(PP_Grid[#Data],$DD514,51),0)</f>
        <v/>
      </c>
      <c r="BB514">
        <f>IFERROR(INDEX(PP_Grid[#Data],$DD514,52),0)</f>
        <v/>
      </c>
      <c r="BC514">
        <f>IFERROR(INDEX(PP_Grid[#Data],$DD514,53),0)</f>
        <v/>
      </c>
      <c r="BD514">
        <f>IFERROR(INDEX(PP_Grid[#Data],$DD514,54),0)</f>
        <v/>
      </c>
      <c r="BE514">
        <f>IFERROR(INDEX(PP_Grid[#Data],$DD514,55),0)</f>
        <v/>
      </c>
      <c r="BF514">
        <f>IFERROR(INDEX(PP_Grid[#Data],$DD514,56),0)</f>
        <v/>
      </c>
      <c r="BG514">
        <f>IFERROR(INDEX(PP_Grid[#Data],$DD514,57),0)</f>
        <v/>
      </c>
      <c r="BH514">
        <f>IFERROR(INDEX(PP_Grid[#Data],$DD514,58),0)</f>
        <v/>
      </c>
      <c r="BI514">
        <f>IFERROR(INDEX(PP_Grid[#Data],$DD514,59),0)</f>
        <v/>
      </c>
      <c r="BJ514">
        <f>IFERROR(INDEX(PP_Grid[#Data],$DD514,60),0)</f>
        <v/>
      </c>
      <c r="BK514">
        <f>IFERROR(INDEX(PP_Grid[#Data],$DD514,61),0)</f>
        <v/>
      </c>
      <c r="BL514">
        <f>IFERROR(INDEX(PP_Grid[#Data],$DD514,62),0)</f>
        <v/>
      </c>
      <c r="BM514">
        <f>IFERROR(INDEX(PP_Grid[#Data],$DD514,63),0)</f>
        <v/>
      </c>
      <c r="BN514">
        <f>IFERROR(INDEX(PP_Grid[#Data],$DD514,64),0)</f>
        <v/>
      </c>
      <c r="BO514">
        <f>IFERROR(INDEX(PP_Grid[#Data],$DD514,65),0)</f>
        <v/>
      </c>
      <c r="BP514">
        <f>IFERROR(INDEX(PP_Grid[#Data],$DD514,66),0)</f>
        <v/>
      </c>
      <c r="BQ514">
        <f>IFERROR(INDEX(PP_Grid[#Data],$DD514,67),0)</f>
        <v/>
      </c>
      <c r="BR514">
        <f>IFERROR(INDEX(PP_Grid[#Data],$DD514,68),0)</f>
        <v/>
      </c>
      <c r="BS514">
        <f>IFERROR(INDEX(PP_Grid[#Data],$DD514,69),0)</f>
        <v/>
      </c>
      <c r="BT514">
        <f>IFERROR(INDEX(PP_Grid[#Data],$DD514,70),0)</f>
        <v/>
      </c>
      <c r="BU514">
        <f>IFERROR(INDEX(PP_Grid[#Data],$DD514,71),0)</f>
        <v/>
      </c>
      <c r="BV514">
        <f>IFERROR(INDEX(PP_Grid[#Data],$DD514,72),0)</f>
        <v/>
      </c>
      <c r="BW514">
        <f>IFERROR(INDEX(PP_Grid[#Data],$DD514,73),0)</f>
        <v/>
      </c>
      <c r="BX514">
        <f>IFERROR(INDEX(PP_Grid[#Data],$DD514,74),0)</f>
        <v/>
      </c>
      <c r="BY514">
        <f>IFERROR(INDEX(PP_Grid[#Data],$DD514,75),0)</f>
        <v/>
      </c>
      <c r="BZ514">
        <f>IFERROR(INDEX(PP_Grid[#Data],$DD514,76),0)</f>
        <v/>
      </c>
      <c r="CA514">
        <f>IFERROR(INDEX(PP_Grid[#Data],$DD514,77),0)</f>
        <v/>
      </c>
      <c r="CB514">
        <f>IFERROR(INDEX(PP_Grid[#Data],$DD514,78),0)</f>
        <v/>
      </c>
      <c r="CC514">
        <f>IFERROR(INDEX(PP_Grid[#Data],$DD514,79),0)</f>
        <v/>
      </c>
      <c r="CD514">
        <f>IFERROR(INDEX(PP_Grid[#Data],$DD514,80),0)</f>
        <v/>
      </c>
      <c r="CE514">
        <f>IFERROR(INDEX(PP_Grid[#Data],$DD514,81),0)</f>
        <v/>
      </c>
      <c r="CF514">
        <f>IFERROR(INDEX(PP_Grid[#Data],$DD514,82),0)</f>
        <v/>
      </c>
      <c r="CG514">
        <f>IFERROR(INDEX(PP_Grid[#Data],$DD514,83),0)</f>
        <v/>
      </c>
      <c r="CH514">
        <f>IFERROR(INDEX(PP_Grid[#Data],$DD514,84),0)</f>
        <v/>
      </c>
      <c r="CI514">
        <f>IFERROR(INDEX(PP_Grid[#Data],$DD514,85),0)</f>
        <v/>
      </c>
      <c r="CJ514">
        <f>IFERROR(INDEX(PP_Grid[#Data],$DD514,86),0)</f>
        <v/>
      </c>
      <c r="CK514">
        <f>IFERROR(INDEX(PP_Grid[#Data],$DD514,87),0)</f>
        <v/>
      </c>
      <c r="CL514">
        <f>IFERROR(INDEX(PP_Grid[#Data],$DD514,88),0)</f>
        <v/>
      </c>
      <c r="CM514">
        <f>IFERROR(INDEX(PP_Grid[#Data],$DD514,89),0)</f>
        <v/>
      </c>
      <c r="CN514">
        <f>IFERROR(INDEX(PP_Grid[#Data],$DD514,90),0)</f>
        <v/>
      </c>
      <c r="CO514">
        <f>IFERROR(INDEX(PP_Grid[#Data],$DD514,91),0)</f>
        <v/>
      </c>
      <c r="CP514">
        <f>IFERROR(INDEX(PP_Grid[#Data],$DD514,92),0)</f>
        <v/>
      </c>
      <c r="CQ514">
        <f>IFERROR(INDEX(PP_Grid[#Data],$DD514,93),0)</f>
        <v/>
      </c>
      <c r="CR514">
        <f>IFERROR(INDEX(PP_Grid[#Data],$DD514,94),0)</f>
        <v/>
      </c>
      <c r="CS514">
        <f>IFERROR(INDEX(PP_Grid[#Data],$DD514,95),0)</f>
        <v/>
      </c>
      <c r="CT514">
        <f>IFERROR(INDEX(PP_Grid[#Data],$DD514,96),0)</f>
        <v/>
      </c>
      <c r="CU514">
        <f>IFERROR(INDEX(PP_Grid[#Data],$DD514,97),0)</f>
        <v/>
      </c>
      <c r="CV514">
        <f>IFERROR(INDEX(PP_Grid[#Data],$DD514,98),0)</f>
        <v/>
      </c>
      <c r="CW514">
        <f>IFERROR(INDEX(PP_Grid[#Data],$DD514,99),0)</f>
        <v/>
      </c>
      <c r="CX514">
        <f>IFERROR(INDEX(PP_Grid[#Data],$DD514,100),0)</f>
        <v/>
      </c>
      <c r="CY514">
        <f>IFERROR(INDEX(PP_Grid[#Data],$DD514,101),0)</f>
        <v/>
      </c>
      <c r="CZ514">
        <f>IFERROR(INDEX(PP_Grid[#Data],$DD514,102),0)</f>
        <v/>
      </c>
      <c r="DA514">
        <f>IFERROR(INDEX(PP_Grid[#Data],$DD514,103),0)</f>
        <v/>
      </c>
      <c r="DB514">
        <f>IFERROR(INDEX(PP_Grid[#Data],$DD514,104),0)</f>
        <v/>
      </c>
      <c r="DC514">
        <f>IFERROR(INDEX(PP_Grid[#Data],$DD514,105),0)</f>
        <v/>
      </c>
      <c r="DD514" s="7">
        <f>IFERROR(MATCH($B514,PP_Grid[Intermediate],0),99999)</f>
        <v/>
      </c>
    </row>
    <row r="515">
      <c r="B515" t="inlineStr">
        <is>
          <t>使用量(kg)</t>
        </is>
      </c>
      <c r="C515">
        <f>SUMIFS(M_BOM[RM_Qty_Per_Batch],M_BOM[Intermediate],$B514,M_BOM[Part Name],$A507)</f>
        <v/>
      </c>
      <c r="D515">
        <f>$C515*D514</f>
        <v/>
      </c>
      <c r="E515">
        <f>$C515*E514</f>
        <v/>
      </c>
      <c r="F515">
        <f>$C515*F514</f>
        <v/>
      </c>
      <c r="G515">
        <f>$C515*G514</f>
        <v/>
      </c>
      <c r="H515">
        <f>$C515*H514</f>
        <v/>
      </c>
      <c r="I515">
        <f>$C515*I514</f>
        <v/>
      </c>
      <c r="J515">
        <f>$C515*J514</f>
        <v/>
      </c>
      <c r="K515">
        <f>$C515*K514</f>
        <v/>
      </c>
      <c r="L515">
        <f>$C515*L514</f>
        <v/>
      </c>
      <c r="M515">
        <f>$C515*M514</f>
        <v/>
      </c>
      <c r="N515">
        <f>$C515*N514</f>
        <v/>
      </c>
      <c r="O515">
        <f>$C515*O514</f>
        <v/>
      </c>
      <c r="P515">
        <f>$C515*P514</f>
        <v/>
      </c>
      <c r="Q515">
        <f>$C515*Q514</f>
        <v/>
      </c>
      <c r="R515">
        <f>$C515*R514</f>
        <v/>
      </c>
      <c r="S515">
        <f>$C515*S514</f>
        <v/>
      </c>
      <c r="T515">
        <f>$C515*T514</f>
        <v/>
      </c>
      <c r="U515">
        <f>$C515*U514</f>
        <v/>
      </c>
      <c r="V515">
        <f>$C515*V514</f>
        <v/>
      </c>
      <c r="W515">
        <f>$C515*W514</f>
        <v/>
      </c>
      <c r="X515">
        <f>$C515*X514</f>
        <v/>
      </c>
      <c r="Y515">
        <f>$C515*Y514</f>
        <v/>
      </c>
      <c r="Z515">
        <f>$C515*Z514</f>
        <v/>
      </c>
      <c r="AA515">
        <f>$C515*AA514</f>
        <v/>
      </c>
      <c r="AB515">
        <f>$C515*AB514</f>
        <v/>
      </c>
      <c r="AC515">
        <f>$C515*AC514</f>
        <v/>
      </c>
      <c r="AD515">
        <f>$C515*AD514</f>
        <v/>
      </c>
      <c r="AE515">
        <f>$C515*AE514</f>
        <v/>
      </c>
      <c r="AF515">
        <f>$C515*AF514</f>
        <v/>
      </c>
      <c r="AG515">
        <f>$C515*AG514</f>
        <v/>
      </c>
      <c r="AH515">
        <f>$C515*AH514</f>
        <v/>
      </c>
      <c r="AI515">
        <f>$C515*AI514</f>
        <v/>
      </c>
      <c r="AJ515">
        <f>$C515*AJ514</f>
        <v/>
      </c>
      <c r="AK515">
        <f>$C515*AK514</f>
        <v/>
      </c>
      <c r="AL515">
        <f>$C515*AL514</f>
        <v/>
      </c>
      <c r="AM515">
        <f>$C515*AM514</f>
        <v/>
      </c>
      <c r="AN515">
        <f>$C515*AN514</f>
        <v/>
      </c>
      <c r="AO515">
        <f>$C515*AO514</f>
        <v/>
      </c>
      <c r="AP515">
        <f>$C515*AP514</f>
        <v/>
      </c>
      <c r="AQ515">
        <f>$C515*AQ514</f>
        <v/>
      </c>
      <c r="AR515">
        <f>$C515*AR514</f>
        <v/>
      </c>
      <c r="AS515">
        <f>$C515*AS514</f>
        <v/>
      </c>
      <c r="AT515">
        <f>$C515*AT514</f>
        <v/>
      </c>
      <c r="AU515">
        <f>$C515*AU514</f>
        <v/>
      </c>
      <c r="AV515">
        <f>$C515*AV514</f>
        <v/>
      </c>
      <c r="AW515">
        <f>$C515*AW514</f>
        <v/>
      </c>
      <c r="AX515">
        <f>$C515*AX514</f>
        <v/>
      </c>
      <c r="AY515">
        <f>$C515*AY514</f>
        <v/>
      </c>
      <c r="AZ515">
        <f>$C515*AZ514</f>
        <v/>
      </c>
      <c r="BA515">
        <f>$C515*BA514</f>
        <v/>
      </c>
      <c r="BB515">
        <f>$C515*BB514</f>
        <v/>
      </c>
      <c r="BC515">
        <f>$C515*BC514</f>
        <v/>
      </c>
      <c r="BD515">
        <f>$C515*BD514</f>
        <v/>
      </c>
      <c r="BE515">
        <f>$C515*BE514</f>
        <v/>
      </c>
      <c r="BF515">
        <f>$C515*BF514</f>
        <v/>
      </c>
      <c r="BG515">
        <f>$C515*BG514</f>
        <v/>
      </c>
      <c r="BH515">
        <f>$C515*BH514</f>
        <v/>
      </c>
      <c r="BI515">
        <f>$C515*BI514</f>
        <v/>
      </c>
      <c r="BJ515">
        <f>$C515*BJ514</f>
        <v/>
      </c>
      <c r="BK515">
        <f>$C515*BK514</f>
        <v/>
      </c>
      <c r="BL515">
        <f>$C515*BL514</f>
        <v/>
      </c>
      <c r="BM515">
        <f>$C515*BM514</f>
        <v/>
      </c>
      <c r="BN515">
        <f>$C515*BN514</f>
        <v/>
      </c>
      <c r="BO515">
        <f>$C515*BO514</f>
        <v/>
      </c>
      <c r="BP515">
        <f>$C515*BP514</f>
        <v/>
      </c>
      <c r="BQ515">
        <f>$C515*BQ514</f>
        <v/>
      </c>
      <c r="BR515">
        <f>$C515*BR514</f>
        <v/>
      </c>
      <c r="BS515">
        <f>$C515*BS514</f>
        <v/>
      </c>
      <c r="BT515">
        <f>$C515*BT514</f>
        <v/>
      </c>
      <c r="BU515">
        <f>$C515*BU514</f>
        <v/>
      </c>
      <c r="BV515">
        <f>$C515*BV514</f>
        <v/>
      </c>
      <c r="BW515">
        <f>$C515*BW514</f>
        <v/>
      </c>
      <c r="BX515">
        <f>$C515*BX514</f>
        <v/>
      </c>
      <c r="BY515">
        <f>$C515*BY514</f>
        <v/>
      </c>
      <c r="BZ515">
        <f>$C515*BZ514</f>
        <v/>
      </c>
      <c r="CA515">
        <f>$C515*CA514</f>
        <v/>
      </c>
      <c r="CB515">
        <f>$C515*CB514</f>
        <v/>
      </c>
      <c r="CC515">
        <f>$C515*CC514</f>
        <v/>
      </c>
      <c r="CD515">
        <f>$C515*CD514</f>
        <v/>
      </c>
      <c r="CE515">
        <f>$C515*CE514</f>
        <v/>
      </c>
      <c r="CF515">
        <f>$C515*CF514</f>
        <v/>
      </c>
      <c r="CG515">
        <f>$C515*CG514</f>
        <v/>
      </c>
      <c r="CH515">
        <f>$C515*CH514</f>
        <v/>
      </c>
      <c r="CI515">
        <f>$C515*CI514</f>
        <v/>
      </c>
      <c r="CJ515">
        <f>$C515*CJ514</f>
        <v/>
      </c>
      <c r="CK515">
        <f>$C515*CK514</f>
        <v/>
      </c>
      <c r="CL515">
        <f>$C515*CL514</f>
        <v/>
      </c>
      <c r="CM515">
        <f>$C515*CM514</f>
        <v/>
      </c>
      <c r="CN515">
        <f>$C515*CN514</f>
        <v/>
      </c>
      <c r="CO515">
        <f>$C515*CO514</f>
        <v/>
      </c>
      <c r="CP515">
        <f>$C515*CP514</f>
        <v/>
      </c>
      <c r="CQ515">
        <f>$C515*CQ514</f>
        <v/>
      </c>
      <c r="CR515">
        <f>$C515*CR514</f>
        <v/>
      </c>
      <c r="CS515">
        <f>$C515*CS514</f>
        <v/>
      </c>
      <c r="CT515">
        <f>$C515*CT514</f>
        <v/>
      </c>
      <c r="CU515">
        <f>$C515*CU514</f>
        <v/>
      </c>
      <c r="CV515">
        <f>$C515*CV514</f>
        <v/>
      </c>
      <c r="CW515">
        <f>$C515*CW514</f>
        <v/>
      </c>
      <c r="CX515">
        <f>$C515*CX514</f>
        <v/>
      </c>
      <c r="CY515">
        <f>$C515*CY514</f>
        <v/>
      </c>
      <c r="CZ515">
        <f>$C515*CZ514</f>
        <v/>
      </c>
      <c r="DA515">
        <f>$C515*DA514</f>
        <v/>
      </c>
      <c r="DB515">
        <f>$C515*DB514</f>
        <v/>
      </c>
      <c r="DC515">
        <f>$C515*DC514</f>
        <v/>
      </c>
    </row>
    <row r="516">
      <c r="B516" t="inlineStr">
        <is>
          <t>VSP-567</t>
        </is>
      </c>
      <c r="C516" t="inlineStr">
        <is>
          <t>No. of batches</t>
        </is>
      </c>
      <c r="D516">
        <f>IFERROR(INDEX(PP_Grid[#Data],$DD516,2),0)</f>
        <v/>
      </c>
      <c r="E516">
        <f>IFERROR(INDEX(PP_Grid[#Data],$DD516,3),0)</f>
        <v/>
      </c>
      <c r="F516">
        <f>IFERROR(INDEX(PP_Grid[#Data],$DD516,4),0)</f>
        <v/>
      </c>
      <c r="G516">
        <f>IFERROR(INDEX(PP_Grid[#Data],$DD516,5),0)</f>
        <v/>
      </c>
      <c r="H516">
        <f>IFERROR(INDEX(PP_Grid[#Data],$DD516,6),0)</f>
        <v/>
      </c>
      <c r="I516">
        <f>IFERROR(INDEX(PP_Grid[#Data],$DD516,7),0)</f>
        <v/>
      </c>
      <c r="J516">
        <f>IFERROR(INDEX(PP_Grid[#Data],$DD516,8),0)</f>
        <v/>
      </c>
      <c r="K516">
        <f>IFERROR(INDEX(PP_Grid[#Data],$DD516,9),0)</f>
        <v/>
      </c>
      <c r="L516">
        <f>IFERROR(INDEX(PP_Grid[#Data],$DD516,10),0)</f>
        <v/>
      </c>
      <c r="M516">
        <f>IFERROR(INDEX(PP_Grid[#Data],$DD516,11),0)</f>
        <v/>
      </c>
      <c r="N516">
        <f>IFERROR(INDEX(PP_Grid[#Data],$DD516,12),0)</f>
        <v/>
      </c>
      <c r="O516">
        <f>IFERROR(INDEX(PP_Grid[#Data],$DD516,13),0)</f>
        <v/>
      </c>
      <c r="P516">
        <f>IFERROR(INDEX(PP_Grid[#Data],$DD516,14),0)</f>
        <v/>
      </c>
      <c r="Q516">
        <f>IFERROR(INDEX(PP_Grid[#Data],$DD516,15),0)</f>
        <v/>
      </c>
      <c r="R516">
        <f>IFERROR(INDEX(PP_Grid[#Data],$DD516,16),0)</f>
        <v/>
      </c>
      <c r="S516">
        <f>IFERROR(INDEX(PP_Grid[#Data],$DD516,17),0)</f>
        <v/>
      </c>
      <c r="T516">
        <f>IFERROR(INDEX(PP_Grid[#Data],$DD516,18),0)</f>
        <v/>
      </c>
      <c r="U516">
        <f>IFERROR(INDEX(PP_Grid[#Data],$DD516,19),0)</f>
        <v/>
      </c>
      <c r="V516">
        <f>IFERROR(INDEX(PP_Grid[#Data],$DD516,20),0)</f>
        <v/>
      </c>
      <c r="W516">
        <f>IFERROR(INDEX(PP_Grid[#Data],$DD516,21),0)</f>
        <v/>
      </c>
      <c r="X516">
        <f>IFERROR(INDEX(PP_Grid[#Data],$DD516,22),0)</f>
        <v/>
      </c>
      <c r="Y516">
        <f>IFERROR(INDEX(PP_Grid[#Data],$DD516,23),0)</f>
        <v/>
      </c>
      <c r="Z516">
        <f>IFERROR(INDEX(PP_Grid[#Data],$DD516,24),0)</f>
        <v/>
      </c>
      <c r="AA516">
        <f>IFERROR(INDEX(PP_Grid[#Data],$DD516,25),0)</f>
        <v/>
      </c>
      <c r="AB516">
        <f>IFERROR(INDEX(PP_Grid[#Data],$DD516,26),0)</f>
        <v/>
      </c>
      <c r="AC516">
        <f>IFERROR(INDEX(PP_Grid[#Data],$DD516,27),0)</f>
        <v/>
      </c>
      <c r="AD516">
        <f>IFERROR(INDEX(PP_Grid[#Data],$DD516,28),0)</f>
        <v/>
      </c>
      <c r="AE516">
        <f>IFERROR(INDEX(PP_Grid[#Data],$DD516,29),0)</f>
        <v/>
      </c>
      <c r="AF516">
        <f>IFERROR(INDEX(PP_Grid[#Data],$DD516,30),0)</f>
        <v/>
      </c>
      <c r="AG516">
        <f>IFERROR(INDEX(PP_Grid[#Data],$DD516,31),0)</f>
        <v/>
      </c>
      <c r="AH516">
        <f>IFERROR(INDEX(PP_Grid[#Data],$DD516,32),0)</f>
        <v/>
      </c>
      <c r="AI516">
        <f>IFERROR(INDEX(PP_Grid[#Data],$DD516,33),0)</f>
        <v/>
      </c>
      <c r="AJ516">
        <f>IFERROR(INDEX(PP_Grid[#Data],$DD516,34),0)</f>
        <v/>
      </c>
      <c r="AK516">
        <f>IFERROR(INDEX(PP_Grid[#Data],$DD516,35),0)</f>
        <v/>
      </c>
      <c r="AL516">
        <f>IFERROR(INDEX(PP_Grid[#Data],$DD516,36),0)</f>
        <v/>
      </c>
      <c r="AM516">
        <f>IFERROR(INDEX(PP_Grid[#Data],$DD516,37),0)</f>
        <v/>
      </c>
      <c r="AN516">
        <f>IFERROR(INDEX(PP_Grid[#Data],$DD516,38),0)</f>
        <v/>
      </c>
      <c r="AO516">
        <f>IFERROR(INDEX(PP_Grid[#Data],$DD516,39),0)</f>
        <v/>
      </c>
      <c r="AP516">
        <f>IFERROR(INDEX(PP_Grid[#Data],$DD516,40),0)</f>
        <v/>
      </c>
      <c r="AQ516">
        <f>IFERROR(INDEX(PP_Grid[#Data],$DD516,41),0)</f>
        <v/>
      </c>
      <c r="AR516">
        <f>IFERROR(INDEX(PP_Grid[#Data],$DD516,42),0)</f>
        <v/>
      </c>
      <c r="AS516">
        <f>IFERROR(INDEX(PP_Grid[#Data],$DD516,43),0)</f>
        <v/>
      </c>
      <c r="AT516">
        <f>IFERROR(INDEX(PP_Grid[#Data],$DD516,44),0)</f>
        <v/>
      </c>
      <c r="AU516">
        <f>IFERROR(INDEX(PP_Grid[#Data],$DD516,45),0)</f>
        <v/>
      </c>
      <c r="AV516">
        <f>IFERROR(INDEX(PP_Grid[#Data],$DD516,46),0)</f>
        <v/>
      </c>
      <c r="AW516">
        <f>IFERROR(INDEX(PP_Grid[#Data],$DD516,47),0)</f>
        <v/>
      </c>
      <c r="AX516">
        <f>IFERROR(INDEX(PP_Grid[#Data],$DD516,48),0)</f>
        <v/>
      </c>
      <c r="AY516">
        <f>IFERROR(INDEX(PP_Grid[#Data],$DD516,49),0)</f>
        <v/>
      </c>
      <c r="AZ516">
        <f>IFERROR(INDEX(PP_Grid[#Data],$DD516,50),0)</f>
        <v/>
      </c>
      <c r="BA516">
        <f>IFERROR(INDEX(PP_Grid[#Data],$DD516,51),0)</f>
        <v/>
      </c>
      <c r="BB516">
        <f>IFERROR(INDEX(PP_Grid[#Data],$DD516,52),0)</f>
        <v/>
      </c>
      <c r="BC516">
        <f>IFERROR(INDEX(PP_Grid[#Data],$DD516,53),0)</f>
        <v/>
      </c>
      <c r="BD516">
        <f>IFERROR(INDEX(PP_Grid[#Data],$DD516,54),0)</f>
        <v/>
      </c>
      <c r="BE516">
        <f>IFERROR(INDEX(PP_Grid[#Data],$DD516,55),0)</f>
        <v/>
      </c>
      <c r="BF516">
        <f>IFERROR(INDEX(PP_Grid[#Data],$DD516,56),0)</f>
        <v/>
      </c>
      <c r="BG516">
        <f>IFERROR(INDEX(PP_Grid[#Data],$DD516,57),0)</f>
        <v/>
      </c>
      <c r="BH516">
        <f>IFERROR(INDEX(PP_Grid[#Data],$DD516,58),0)</f>
        <v/>
      </c>
      <c r="BI516">
        <f>IFERROR(INDEX(PP_Grid[#Data],$DD516,59),0)</f>
        <v/>
      </c>
      <c r="BJ516">
        <f>IFERROR(INDEX(PP_Grid[#Data],$DD516,60),0)</f>
        <v/>
      </c>
      <c r="BK516">
        <f>IFERROR(INDEX(PP_Grid[#Data],$DD516,61),0)</f>
        <v/>
      </c>
      <c r="BL516">
        <f>IFERROR(INDEX(PP_Grid[#Data],$DD516,62),0)</f>
        <v/>
      </c>
      <c r="BM516">
        <f>IFERROR(INDEX(PP_Grid[#Data],$DD516,63),0)</f>
        <v/>
      </c>
      <c r="BN516">
        <f>IFERROR(INDEX(PP_Grid[#Data],$DD516,64),0)</f>
        <v/>
      </c>
      <c r="BO516">
        <f>IFERROR(INDEX(PP_Grid[#Data],$DD516,65),0)</f>
        <v/>
      </c>
      <c r="BP516">
        <f>IFERROR(INDEX(PP_Grid[#Data],$DD516,66),0)</f>
        <v/>
      </c>
      <c r="BQ516">
        <f>IFERROR(INDEX(PP_Grid[#Data],$DD516,67),0)</f>
        <v/>
      </c>
      <c r="BR516">
        <f>IFERROR(INDEX(PP_Grid[#Data],$DD516,68),0)</f>
        <v/>
      </c>
      <c r="BS516">
        <f>IFERROR(INDEX(PP_Grid[#Data],$DD516,69),0)</f>
        <v/>
      </c>
      <c r="BT516">
        <f>IFERROR(INDEX(PP_Grid[#Data],$DD516,70),0)</f>
        <v/>
      </c>
      <c r="BU516">
        <f>IFERROR(INDEX(PP_Grid[#Data],$DD516,71),0)</f>
        <v/>
      </c>
      <c r="BV516">
        <f>IFERROR(INDEX(PP_Grid[#Data],$DD516,72),0)</f>
        <v/>
      </c>
      <c r="BW516">
        <f>IFERROR(INDEX(PP_Grid[#Data],$DD516,73),0)</f>
        <v/>
      </c>
      <c r="BX516">
        <f>IFERROR(INDEX(PP_Grid[#Data],$DD516,74),0)</f>
        <v/>
      </c>
      <c r="BY516">
        <f>IFERROR(INDEX(PP_Grid[#Data],$DD516,75),0)</f>
        <v/>
      </c>
      <c r="BZ516">
        <f>IFERROR(INDEX(PP_Grid[#Data],$DD516,76),0)</f>
        <v/>
      </c>
      <c r="CA516">
        <f>IFERROR(INDEX(PP_Grid[#Data],$DD516,77),0)</f>
        <v/>
      </c>
      <c r="CB516">
        <f>IFERROR(INDEX(PP_Grid[#Data],$DD516,78),0)</f>
        <v/>
      </c>
      <c r="CC516">
        <f>IFERROR(INDEX(PP_Grid[#Data],$DD516,79),0)</f>
        <v/>
      </c>
      <c r="CD516">
        <f>IFERROR(INDEX(PP_Grid[#Data],$DD516,80),0)</f>
        <v/>
      </c>
      <c r="CE516">
        <f>IFERROR(INDEX(PP_Grid[#Data],$DD516,81),0)</f>
        <v/>
      </c>
      <c r="CF516">
        <f>IFERROR(INDEX(PP_Grid[#Data],$DD516,82),0)</f>
        <v/>
      </c>
      <c r="CG516">
        <f>IFERROR(INDEX(PP_Grid[#Data],$DD516,83),0)</f>
        <v/>
      </c>
      <c r="CH516">
        <f>IFERROR(INDEX(PP_Grid[#Data],$DD516,84),0)</f>
        <v/>
      </c>
      <c r="CI516">
        <f>IFERROR(INDEX(PP_Grid[#Data],$DD516,85),0)</f>
        <v/>
      </c>
      <c r="CJ516">
        <f>IFERROR(INDEX(PP_Grid[#Data],$DD516,86),0)</f>
        <v/>
      </c>
      <c r="CK516">
        <f>IFERROR(INDEX(PP_Grid[#Data],$DD516,87),0)</f>
        <v/>
      </c>
      <c r="CL516">
        <f>IFERROR(INDEX(PP_Grid[#Data],$DD516,88),0)</f>
        <v/>
      </c>
      <c r="CM516">
        <f>IFERROR(INDEX(PP_Grid[#Data],$DD516,89),0)</f>
        <v/>
      </c>
      <c r="CN516">
        <f>IFERROR(INDEX(PP_Grid[#Data],$DD516,90),0)</f>
        <v/>
      </c>
      <c r="CO516">
        <f>IFERROR(INDEX(PP_Grid[#Data],$DD516,91),0)</f>
        <v/>
      </c>
      <c r="CP516">
        <f>IFERROR(INDEX(PP_Grid[#Data],$DD516,92),0)</f>
        <v/>
      </c>
      <c r="CQ516">
        <f>IFERROR(INDEX(PP_Grid[#Data],$DD516,93),0)</f>
        <v/>
      </c>
      <c r="CR516">
        <f>IFERROR(INDEX(PP_Grid[#Data],$DD516,94),0)</f>
        <v/>
      </c>
      <c r="CS516">
        <f>IFERROR(INDEX(PP_Grid[#Data],$DD516,95),0)</f>
        <v/>
      </c>
      <c r="CT516">
        <f>IFERROR(INDEX(PP_Grid[#Data],$DD516,96),0)</f>
        <v/>
      </c>
      <c r="CU516">
        <f>IFERROR(INDEX(PP_Grid[#Data],$DD516,97),0)</f>
        <v/>
      </c>
      <c r="CV516">
        <f>IFERROR(INDEX(PP_Grid[#Data],$DD516,98),0)</f>
        <v/>
      </c>
      <c r="CW516">
        <f>IFERROR(INDEX(PP_Grid[#Data],$DD516,99),0)</f>
        <v/>
      </c>
      <c r="CX516">
        <f>IFERROR(INDEX(PP_Grid[#Data],$DD516,100),0)</f>
        <v/>
      </c>
      <c r="CY516">
        <f>IFERROR(INDEX(PP_Grid[#Data],$DD516,101),0)</f>
        <v/>
      </c>
      <c r="CZ516">
        <f>IFERROR(INDEX(PP_Grid[#Data],$DD516,102),0)</f>
        <v/>
      </c>
      <c r="DA516">
        <f>IFERROR(INDEX(PP_Grid[#Data],$DD516,103),0)</f>
        <v/>
      </c>
      <c r="DB516">
        <f>IFERROR(INDEX(PP_Grid[#Data],$DD516,104),0)</f>
        <v/>
      </c>
      <c r="DC516">
        <f>IFERROR(INDEX(PP_Grid[#Data],$DD516,105),0)</f>
        <v/>
      </c>
      <c r="DD516" s="7">
        <f>IFERROR(MATCH($B516,PP_Grid[Intermediate],0),99999)</f>
        <v/>
      </c>
    </row>
    <row r="517">
      <c r="B517" t="inlineStr">
        <is>
          <t>使用量(kg)</t>
        </is>
      </c>
      <c r="C517">
        <f>SUMIFS(M_BOM[RM_Qty_Per_Batch],M_BOM[Intermediate],$B516,M_BOM[Part Name],$A507)</f>
        <v/>
      </c>
      <c r="D517">
        <f>$C517*D516</f>
        <v/>
      </c>
      <c r="E517">
        <f>$C517*E516</f>
        <v/>
      </c>
      <c r="F517">
        <f>$C517*F516</f>
        <v/>
      </c>
      <c r="G517">
        <f>$C517*G516</f>
        <v/>
      </c>
      <c r="H517">
        <f>$C517*H516</f>
        <v/>
      </c>
      <c r="I517">
        <f>$C517*I516</f>
        <v/>
      </c>
      <c r="J517">
        <f>$C517*J516</f>
        <v/>
      </c>
      <c r="K517">
        <f>$C517*K516</f>
        <v/>
      </c>
      <c r="L517">
        <f>$C517*L516</f>
        <v/>
      </c>
      <c r="M517">
        <f>$C517*M516</f>
        <v/>
      </c>
      <c r="N517">
        <f>$C517*N516</f>
        <v/>
      </c>
      <c r="O517">
        <f>$C517*O516</f>
        <v/>
      </c>
      <c r="P517">
        <f>$C517*P516</f>
        <v/>
      </c>
      <c r="Q517">
        <f>$C517*Q516</f>
        <v/>
      </c>
      <c r="R517">
        <f>$C517*R516</f>
        <v/>
      </c>
      <c r="S517">
        <f>$C517*S516</f>
        <v/>
      </c>
      <c r="T517">
        <f>$C517*T516</f>
        <v/>
      </c>
      <c r="U517">
        <f>$C517*U516</f>
        <v/>
      </c>
      <c r="V517">
        <f>$C517*V516</f>
        <v/>
      </c>
      <c r="W517">
        <f>$C517*W516</f>
        <v/>
      </c>
      <c r="X517">
        <f>$C517*X516</f>
        <v/>
      </c>
      <c r="Y517">
        <f>$C517*Y516</f>
        <v/>
      </c>
      <c r="Z517">
        <f>$C517*Z516</f>
        <v/>
      </c>
      <c r="AA517">
        <f>$C517*AA516</f>
        <v/>
      </c>
      <c r="AB517">
        <f>$C517*AB516</f>
        <v/>
      </c>
      <c r="AC517">
        <f>$C517*AC516</f>
        <v/>
      </c>
      <c r="AD517">
        <f>$C517*AD516</f>
        <v/>
      </c>
      <c r="AE517">
        <f>$C517*AE516</f>
        <v/>
      </c>
      <c r="AF517">
        <f>$C517*AF516</f>
        <v/>
      </c>
      <c r="AG517">
        <f>$C517*AG516</f>
        <v/>
      </c>
      <c r="AH517">
        <f>$C517*AH516</f>
        <v/>
      </c>
      <c r="AI517">
        <f>$C517*AI516</f>
        <v/>
      </c>
      <c r="AJ517">
        <f>$C517*AJ516</f>
        <v/>
      </c>
      <c r="AK517">
        <f>$C517*AK516</f>
        <v/>
      </c>
      <c r="AL517">
        <f>$C517*AL516</f>
        <v/>
      </c>
      <c r="AM517">
        <f>$C517*AM516</f>
        <v/>
      </c>
      <c r="AN517">
        <f>$C517*AN516</f>
        <v/>
      </c>
      <c r="AO517">
        <f>$C517*AO516</f>
        <v/>
      </c>
      <c r="AP517">
        <f>$C517*AP516</f>
        <v/>
      </c>
      <c r="AQ517">
        <f>$C517*AQ516</f>
        <v/>
      </c>
      <c r="AR517">
        <f>$C517*AR516</f>
        <v/>
      </c>
      <c r="AS517">
        <f>$C517*AS516</f>
        <v/>
      </c>
      <c r="AT517">
        <f>$C517*AT516</f>
        <v/>
      </c>
      <c r="AU517">
        <f>$C517*AU516</f>
        <v/>
      </c>
      <c r="AV517">
        <f>$C517*AV516</f>
        <v/>
      </c>
      <c r="AW517">
        <f>$C517*AW516</f>
        <v/>
      </c>
      <c r="AX517">
        <f>$C517*AX516</f>
        <v/>
      </c>
      <c r="AY517">
        <f>$C517*AY516</f>
        <v/>
      </c>
      <c r="AZ517">
        <f>$C517*AZ516</f>
        <v/>
      </c>
      <c r="BA517">
        <f>$C517*BA516</f>
        <v/>
      </c>
      <c r="BB517">
        <f>$C517*BB516</f>
        <v/>
      </c>
      <c r="BC517">
        <f>$C517*BC516</f>
        <v/>
      </c>
      <c r="BD517">
        <f>$C517*BD516</f>
        <v/>
      </c>
      <c r="BE517">
        <f>$C517*BE516</f>
        <v/>
      </c>
      <c r="BF517">
        <f>$C517*BF516</f>
        <v/>
      </c>
      <c r="BG517">
        <f>$C517*BG516</f>
        <v/>
      </c>
      <c r="BH517">
        <f>$C517*BH516</f>
        <v/>
      </c>
      <c r="BI517">
        <f>$C517*BI516</f>
        <v/>
      </c>
      <c r="BJ517">
        <f>$C517*BJ516</f>
        <v/>
      </c>
      <c r="BK517">
        <f>$C517*BK516</f>
        <v/>
      </c>
      <c r="BL517">
        <f>$C517*BL516</f>
        <v/>
      </c>
      <c r="BM517">
        <f>$C517*BM516</f>
        <v/>
      </c>
      <c r="BN517">
        <f>$C517*BN516</f>
        <v/>
      </c>
      <c r="BO517">
        <f>$C517*BO516</f>
        <v/>
      </c>
      <c r="BP517">
        <f>$C517*BP516</f>
        <v/>
      </c>
      <c r="BQ517">
        <f>$C517*BQ516</f>
        <v/>
      </c>
      <c r="BR517">
        <f>$C517*BR516</f>
        <v/>
      </c>
      <c r="BS517">
        <f>$C517*BS516</f>
        <v/>
      </c>
      <c r="BT517">
        <f>$C517*BT516</f>
        <v/>
      </c>
      <c r="BU517">
        <f>$C517*BU516</f>
        <v/>
      </c>
      <c r="BV517">
        <f>$C517*BV516</f>
        <v/>
      </c>
      <c r="BW517">
        <f>$C517*BW516</f>
        <v/>
      </c>
      <c r="BX517">
        <f>$C517*BX516</f>
        <v/>
      </c>
      <c r="BY517">
        <f>$C517*BY516</f>
        <v/>
      </c>
      <c r="BZ517">
        <f>$C517*BZ516</f>
        <v/>
      </c>
      <c r="CA517">
        <f>$C517*CA516</f>
        <v/>
      </c>
      <c r="CB517">
        <f>$C517*CB516</f>
        <v/>
      </c>
      <c r="CC517">
        <f>$C517*CC516</f>
        <v/>
      </c>
      <c r="CD517">
        <f>$C517*CD516</f>
        <v/>
      </c>
      <c r="CE517">
        <f>$C517*CE516</f>
        <v/>
      </c>
      <c r="CF517">
        <f>$C517*CF516</f>
        <v/>
      </c>
      <c r="CG517">
        <f>$C517*CG516</f>
        <v/>
      </c>
      <c r="CH517">
        <f>$C517*CH516</f>
        <v/>
      </c>
      <c r="CI517">
        <f>$C517*CI516</f>
        <v/>
      </c>
      <c r="CJ517">
        <f>$C517*CJ516</f>
        <v/>
      </c>
      <c r="CK517">
        <f>$C517*CK516</f>
        <v/>
      </c>
      <c r="CL517">
        <f>$C517*CL516</f>
        <v/>
      </c>
      <c r="CM517">
        <f>$C517*CM516</f>
        <v/>
      </c>
      <c r="CN517">
        <f>$C517*CN516</f>
        <v/>
      </c>
      <c r="CO517">
        <f>$C517*CO516</f>
        <v/>
      </c>
      <c r="CP517">
        <f>$C517*CP516</f>
        <v/>
      </c>
      <c r="CQ517">
        <f>$C517*CQ516</f>
        <v/>
      </c>
      <c r="CR517">
        <f>$C517*CR516</f>
        <v/>
      </c>
      <c r="CS517">
        <f>$C517*CS516</f>
        <v/>
      </c>
      <c r="CT517">
        <f>$C517*CT516</f>
        <v/>
      </c>
      <c r="CU517">
        <f>$C517*CU516</f>
        <v/>
      </c>
      <c r="CV517">
        <f>$C517*CV516</f>
        <v/>
      </c>
      <c r="CW517">
        <f>$C517*CW516</f>
        <v/>
      </c>
      <c r="CX517">
        <f>$C517*CX516</f>
        <v/>
      </c>
      <c r="CY517">
        <f>$C517*CY516</f>
        <v/>
      </c>
      <c r="CZ517">
        <f>$C517*CZ516</f>
        <v/>
      </c>
      <c r="DA517">
        <f>$C517*DA516</f>
        <v/>
      </c>
      <c r="DB517">
        <f>$C517*DB516</f>
        <v/>
      </c>
      <c r="DC517">
        <f>$C517*DC516</f>
        <v/>
      </c>
    </row>
    <row r="518">
      <c r="B518" t="inlineStr">
        <is>
          <t>VSP-600</t>
        </is>
      </c>
      <c r="C518" t="inlineStr">
        <is>
          <t>No. of batches</t>
        </is>
      </c>
      <c r="D518">
        <f>IFERROR(INDEX(PP_Grid[#Data],$DD518,2),0)</f>
        <v/>
      </c>
      <c r="E518">
        <f>IFERROR(INDEX(PP_Grid[#Data],$DD518,3),0)</f>
        <v/>
      </c>
      <c r="F518">
        <f>IFERROR(INDEX(PP_Grid[#Data],$DD518,4),0)</f>
        <v/>
      </c>
      <c r="G518">
        <f>IFERROR(INDEX(PP_Grid[#Data],$DD518,5),0)</f>
        <v/>
      </c>
      <c r="H518">
        <f>IFERROR(INDEX(PP_Grid[#Data],$DD518,6),0)</f>
        <v/>
      </c>
      <c r="I518">
        <f>IFERROR(INDEX(PP_Grid[#Data],$DD518,7),0)</f>
        <v/>
      </c>
      <c r="J518">
        <f>IFERROR(INDEX(PP_Grid[#Data],$DD518,8),0)</f>
        <v/>
      </c>
      <c r="K518">
        <f>IFERROR(INDEX(PP_Grid[#Data],$DD518,9),0)</f>
        <v/>
      </c>
      <c r="L518">
        <f>IFERROR(INDEX(PP_Grid[#Data],$DD518,10),0)</f>
        <v/>
      </c>
      <c r="M518">
        <f>IFERROR(INDEX(PP_Grid[#Data],$DD518,11),0)</f>
        <v/>
      </c>
      <c r="N518">
        <f>IFERROR(INDEX(PP_Grid[#Data],$DD518,12),0)</f>
        <v/>
      </c>
      <c r="O518">
        <f>IFERROR(INDEX(PP_Grid[#Data],$DD518,13),0)</f>
        <v/>
      </c>
      <c r="P518">
        <f>IFERROR(INDEX(PP_Grid[#Data],$DD518,14),0)</f>
        <v/>
      </c>
      <c r="Q518">
        <f>IFERROR(INDEX(PP_Grid[#Data],$DD518,15),0)</f>
        <v/>
      </c>
      <c r="R518">
        <f>IFERROR(INDEX(PP_Grid[#Data],$DD518,16),0)</f>
        <v/>
      </c>
      <c r="S518">
        <f>IFERROR(INDEX(PP_Grid[#Data],$DD518,17),0)</f>
        <v/>
      </c>
      <c r="T518">
        <f>IFERROR(INDEX(PP_Grid[#Data],$DD518,18),0)</f>
        <v/>
      </c>
      <c r="U518">
        <f>IFERROR(INDEX(PP_Grid[#Data],$DD518,19),0)</f>
        <v/>
      </c>
      <c r="V518">
        <f>IFERROR(INDEX(PP_Grid[#Data],$DD518,20),0)</f>
        <v/>
      </c>
      <c r="W518">
        <f>IFERROR(INDEX(PP_Grid[#Data],$DD518,21),0)</f>
        <v/>
      </c>
      <c r="X518">
        <f>IFERROR(INDEX(PP_Grid[#Data],$DD518,22),0)</f>
        <v/>
      </c>
      <c r="Y518">
        <f>IFERROR(INDEX(PP_Grid[#Data],$DD518,23),0)</f>
        <v/>
      </c>
      <c r="Z518">
        <f>IFERROR(INDEX(PP_Grid[#Data],$DD518,24),0)</f>
        <v/>
      </c>
      <c r="AA518">
        <f>IFERROR(INDEX(PP_Grid[#Data],$DD518,25),0)</f>
        <v/>
      </c>
      <c r="AB518">
        <f>IFERROR(INDEX(PP_Grid[#Data],$DD518,26),0)</f>
        <v/>
      </c>
      <c r="AC518">
        <f>IFERROR(INDEX(PP_Grid[#Data],$DD518,27),0)</f>
        <v/>
      </c>
      <c r="AD518">
        <f>IFERROR(INDEX(PP_Grid[#Data],$DD518,28),0)</f>
        <v/>
      </c>
      <c r="AE518">
        <f>IFERROR(INDEX(PP_Grid[#Data],$DD518,29),0)</f>
        <v/>
      </c>
      <c r="AF518">
        <f>IFERROR(INDEX(PP_Grid[#Data],$DD518,30),0)</f>
        <v/>
      </c>
      <c r="AG518">
        <f>IFERROR(INDEX(PP_Grid[#Data],$DD518,31),0)</f>
        <v/>
      </c>
      <c r="AH518">
        <f>IFERROR(INDEX(PP_Grid[#Data],$DD518,32),0)</f>
        <v/>
      </c>
      <c r="AI518">
        <f>IFERROR(INDEX(PP_Grid[#Data],$DD518,33),0)</f>
        <v/>
      </c>
      <c r="AJ518">
        <f>IFERROR(INDEX(PP_Grid[#Data],$DD518,34),0)</f>
        <v/>
      </c>
      <c r="AK518">
        <f>IFERROR(INDEX(PP_Grid[#Data],$DD518,35),0)</f>
        <v/>
      </c>
      <c r="AL518">
        <f>IFERROR(INDEX(PP_Grid[#Data],$DD518,36),0)</f>
        <v/>
      </c>
      <c r="AM518">
        <f>IFERROR(INDEX(PP_Grid[#Data],$DD518,37),0)</f>
        <v/>
      </c>
      <c r="AN518">
        <f>IFERROR(INDEX(PP_Grid[#Data],$DD518,38),0)</f>
        <v/>
      </c>
      <c r="AO518">
        <f>IFERROR(INDEX(PP_Grid[#Data],$DD518,39),0)</f>
        <v/>
      </c>
      <c r="AP518">
        <f>IFERROR(INDEX(PP_Grid[#Data],$DD518,40),0)</f>
        <v/>
      </c>
      <c r="AQ518">
        <f>IFERROR(INDEX(PP_Grid[#Data],$DD518,41),0)</f>
        <v/>
      </c>
      <c r="AR518">
        <f>IFERROR(INDEX(PP_Grid[#Data],$DD518,42),0)</f>
        <v/>
      </c>
      <c r="AS518">
        <f>IFERROR(INDEX(PP_Grid[#Data],$DD518,43),0)</f>
        <v/>
      </c>
      <c r="AT518">
        <f>IFERROR(INDEX(PP_Grid[#Data],$DD518,44),0)</f>
        <v/>
      </c>
      <c r="AU518">
        <f>IFERROR(INDEX(PP_Grid[#Data],$DD518,45),0)</f>
        <v/>
      </c>
      <c r="AV518">
        <f>IFERROR(INDEX(PP_Grid[#Data],$DD518,46),0)</f>
        <v/>
      </c>
      <c r="AW518">
        <f>IFERROR(INDEX(PP_Grid[#Data],$DD518,47),0)</f>
        <v/>
      </c>
      <c r="AX518">
        <f>IFERROR(INDEX(PP_Grid[#Data],$DD518,48),0)</f>
        <v/>
      </c>
      <c r="AY518">
        <f>IFERROR(INDEX(PP_Grid[#Data],$DD518,49),0)</f>
        <v/>
      </c>
      <c r="AZ518">
        <f>IFERROR(INDEX(PP_Grid[#Data],$DD518,50),0)</f>
        <v/>
      </c>
      <c r="BA518">
        <f>IFERROR(INDEX(PP_Grid[#Data],$DD518,51),0)</f>
        <v/>
      </c>
      <c r="BB518">
        <f>IFERROR(INDEX(PP_Grid[#Data],$DD518,52),0)</f>
        <v/>
      </c>
      <c r="BC518">
        <f>IFERROR(INDEX(PP_Grid[#Data],$DD518,53),0)</f>
        <v/>
      </c>
      <c r="BD518">
        <f>IFERROR(INDEX(PP_Grid[#Data],$DD518,54),0)</f>
        <v/>
      </c>
      <c r="BE518">
        <f>IFERROR(INDEX(PP_Grid[#Data],$DD518,55),0)</f>
        <v/>
      </c>
      <c r="BF518">
        <f>IFERROR(INDEX(PP_Grid[#Data],$DD518,56),0)</f>
        <v/>
      </c>
      <c r="BG518">
        <f>IFERROR(INDEX(PP_Grid[#Data],$DD518,57),0)</f>
        <v/>
      </c>
      <c r="BH518">
        <f>IFERROR(INDEX(PP_Grid[#Data],$DD518,58),0)</f>
        <v/>
      </c>
      <c r="BI518">
        <f>IFERROR(INDEX(PP_Grid[#Data],$DD518,59),0)</f>
        <v/>
      </c>
      <c r="BJ518">
        <f>IFERROR(INDEX(PP_Grid[#Data],$DD518,60),0)</f>
        <v/>
      </c>
      <c r="BK518">
        <f>IFERROR(INDEX(PP_Grid[#Data],$DD518,61),0)</f>
        <v/>
      </c>
      <c r="BL518">
        <f>IFERROR(INDEX(PP_Grid[#Data],$DD518,62),0)</f>
        <v/>
      </c>
      <c r="BM518">
        <f>IFERROR(INDEX(PP_Grid[#Data],$DD518,63),0)</f>
        <v/>
      </c>
      <c r="BN518">
        <f>IFERROR(INDEX(PP_Grid[#Data],$DD518,64),0)</f>
        <v/>
      </c>
      <c r="BO518">
        <f>IFERROR(INDEX(PP_Grid[#Data],$DD518,65),0)</f>
        <v/>
      </c>
      <c r="BP518">
        <f>IFERROR(INDEX(PP_Grid[#Data],$DD518,66),0)</f>
        <v/>
      </c>
      <c r="BQ518">
        <f>IFERROR(INDEX(PP_Grid[#Data],$DD518,67),0)</f>
        <v/>
      </c>
      <c r="BR518">
        <f>IFERROR(INDEX(PP_Grid[#Data],$DD518,68),0)</f>
        <v/>
      </c>
      <c r="BS518">
        <f>IFERROR(INDEX(PP_Grid[#Data],$DD518,69),0)</f>
        <v/>
      </c>
      <c r="BT518">
        <f>IFERROR(INDEX(PP_Grid[#Data],$DD518,70),0)</f>
        <v/>
      </c>
      <c r="BU518">
        <f>IFERROR(INDEX(PP_Grid[#Data],$DD518,71),0)</f>
        <v/>
      </c>
      <c r="BV518">
        <f>IFERROR(INDEX(PP_Grid[#Data],$DD518,72),0)</f>
        <v/>
      </c>
      <c r="BW518">
        <f>IFERROR(INDEX(PP_Grid[#Data],$DD518,73),0)</f>
        <v/>
      </c>
      <c r="BX518">
        <f>IFERROR(INDEX(PP_Grid[#Data],$DD518,74),0)</f>
        <v/>
      </c>
      <c r="BY518">
        <f>IFERROR(INDEX(PP_Grid[#Data],$DD518,75),0)</f>
        <v/>
      </c>
      <c r="BZ518">
        <f>IFERROR(INDEX(PP_Grid[#Data],$DD518,76),0)</f>
        <v/>
      </c>
      <c r="CA518">
        <f>IFERROR(INDEX(PP_Grid[#Data],$DD518,77),0)</f>
        <v/>
      </c>
      <c r="CB518">
        <f>IFERROR(INDEX(PP_Grid[#Data],$DD518,78),0)</f>
        <v/>
      </c>
      <c r="CC518">
        <f>IFERROR(INDEX(PP_Grid[#Data],$DD518,79),0)</f>
        <v/>
      </c>
      <c r="CD518">
        <f>IFERROR(INDEX(PP_Grid[#Data],$DD518,80),0)</f>
        <v/>
      </c>
      <c r="CE518">
        <f>IFERROR(INDEX(PP_Grid[#Data],$DD518,81),0)</f>
        <v/>
      </c>
      <c r="CF518">
        <f>IFERROR(INDEX(PP_Grid[#Data],$DD518,82),0)</f>
        <v/>
      </c>
      <c r="CG518">
        <f>IFERROR(INDEX(PP_Grid[#Data],$DD518,83),0)</f>
        <v/>
      </c>
      <c r="CH518">
        <f>IFERROR(INDEX(PP_Grid[#Data],$DD518,84),0)</f>
        <v/>
      </c>
      <c r="CI518">
        <f>IFERROR(INDEX(PP_Grid[#Data],$DD518,85),0)</f>
        <v/>
      </c>
      <c r="CJ518">
        <f>IFERROR(INDEX(PP_Grid[#Data],$DD518,86),0)</f>
        <v/>
      </c>
      <c r="CK518">
        <f>IFERROR(INDEX(PP_Grid[#Data],$DD518,87),0)</f>
        <v/>
      </c>
      <c r="CL518">
        <f>IFERROR(INDEX(PP_Grid[#Data],$DD518,88),0)</f>
        <v/>
      </c>
      <c r="CM518">
        <f>IFERROR(INDEX(PP_Grid[#Data],$DD518,89),0)</f>
        <v/>
      </c>
      <c r="CN518">
        <f>IFERROR(INDEX(PP_Grid[#Data],$DD518,90),0)</f>
        <v/>
      </c>
      <c r="CO518">
        <f>IFERROR(INDEX(PP_Grid[#Data],$DD518,91),0)</f>
        <v/>
      </c>
      <c r="CP518">
        <f>IFERROR(INDEX(PP_Grid[#Data],$DD518,92),0)</f>
        <v/>
      </c>
      <c r="CQ518">
        <f>IFERROR(INDEX(PP_Grid[#Data],$DD518,93),0)</f>
        <v/>
      </c>
      <c r="CR518">
        <f>IFERROR(INDEX(PP_Grid[#Data],$DD518,94),0)</f>
        <v/>
      </c>
      <c r="CS518">
        <f>IFERROR(INDEX(PP_Grid[#Data],$DD518,95),0)</f>
        <v/>
      </c>
      <c r="CT518">
        <f>IFERROR(INDEX(PP_Grid[#Data],$DD518,96),0)</f>
        <v/>
      </c>
      <c r="CU518">
        <f>IFERROR(INDEX(PP_Grid[#Data],$DD518,97),0)</f>
        <v/>
      </c>
      <c r="CV518">
        <f>IFERROR(INDEX(PP_Grid[#Data],$DD518,98),0)</f>
        <v/>
      </c>
      <c r="CW518">
        <f>IFERROR(INDEX(PP_Grid[#Data],$DD518,99),0)</f>
        <v/>
      </c>
      <c r="CX518">
        <f>IFERROR(INDEX(PP_Grid[#Data],$DD518,100),0)</f>
        <v/>
      </c>
      <c r="CY518">
        <f>IFERROR(INDEX(PP_Grid[#Data],$DD518,101),0)</f>
        <v/>
      </c>
      <c r="CZ518">
        <f>IFERROR(INDEX(PP_Grid[#Data],$DD518,102),0)</f>
        <v/>
      </c>
      <c r="DA518">
        <f>IFERROR(INDEX(PP_Grid[#Data],$DD518,103),0)</f>
        <v/>
      </c>
      <c r="DB518">
        <f>IFERROR(INDEX(PP_Grid[#Data],$DD518,104),0)</f>
        <v/>
      </c>
      <c r="DC518">
        <f>IFERROR(INDEX(PP_Grid[#Data],$DD518,105),0)</f>
        <v/>
      </c>
      <c r="DD518" s="7">
        <f>IFERROR(MATCH($B518,PP_Grid[Intermediate],0),99999)</f>
        <v/>
      </c>
    </row>
    <row r="519">
      <c r="B519" t="inlineStr">
        <is>
          <t>使用量(kg)</t>
        </is>
      </c>
      <c r="C519">
        <f>SUMIFS(M_BOM[RM_Qty_Per_Batch],M_BOM[Intermediate],$B518,M_BOM[Part Name],$A507)</f>
        <v/>
      </c>
      <c r="D519">
        <f>$C519*D518</f>
        <v/>
      </c>
      <c r="E519">
        <f>$C519*E518</f>
        <v/>
      </c>
      <c r="F519">
        <f>$C519*F518</f>
        <v/>
      </c>
      <c r="G519">
        <f>$C519*G518</f>
        <v/>
      </c>
      <c r="H519">
        <f>$C519*H518</f>
        <v/>
      </c>
      <c r="I519">
        <f>$C519*I518</f>
        <v/>
      </c>
      <c r="J519">
        <f>$C519*J518</f>
        <v/>
      </c>
      <c r="K519">
        <f>$C519*K518</f>
        <v/>
      </c>
      <c r="L519">
        <f>$C519*L518</f>
        <v/>
      </c>
      <c r="M519">
        <f>$C519*M518</f>
        <v/>
      </c>
      <c r="N519">
        <f>$C519*N518</f>
        <v/>
      </c>
      <c r="O519">
        <f>$C519*O518</f>
        <v/>
      </c>
      <c r="P519">
        <f>$C519*P518</f>
        <v/>
      </c>
      <c r="Q519">
        <f>$C519*Q518</f>
        <v/>
      </c>
      <c r="R519">
        <f>$C519*R518</f>
        <v/>
      </c>
      <c r="S519">
        <f>$C519*S518</f>
        <v/>
      </c>
      <c r="T519">
        <f>$C519*T518</f>
        <v/>
      </c>
      <c r="U519">
        <f>$C519*U518</f>
        <v/>
      </c>
      <c r="V519">
        <f>$C519*V518</f>
        <v/>
      </c>
      <c r="W519">
        <f>$C519*W518</f>
        <v/>
      </c>
      <c r="X519">
        <f>$C519*X518</f>
        <v/>
      </c>
      <c r="Y519">
        <f>$C519*Y518</f>
        <v/>
      </c>
      <c r="Z519">
        <f>$C519*Z518</f>
        <v/>
      </c>
      <c r="AA519">
        <f>$C519*AA518</f>
        <v/>
      </c>
      <c r="AB519">
        <f>$C519*AB518</f>
        <v/>
      </c>
      <c r="AC519">
        <f>$C519*AC518</f>
        <v/>
      </c>
      <c r="AD519">
        <f>$C519*AD518</f>
        <v/>
      </c>
      <c r="AE519">
        <f>$C519*AE518</f>
        <v/>
      </c>
      <c r="AF519">
        <f>$C519*AF518</f>
        <v/>
      </c>
      <c r="AG519">
        <f>$C519*AG518</f>
        <v/>
      </c>
      <c r="AH519">
        <f>$C519*AH518</f>
        <v/>
      </c>
      <c r="AI519">
        <f>$C519*AI518</f>
        <v/>
      </c>
      <c r="AJ519">
        <f>$C519*AJ518</f>
        <v/>
      </c>
      <c r="AK519">
        <f>$C519*AK518</f>
        <v/>
      </c>
      <c r="AL519">
        <f>$C519*AL518</f>
        <v/>
      </c>
      <c r="AM519">
        <f>$C519*AM518</f>
        <v/>
      </c>
      <c r="AN519">
        <f>$C519*AN518</f>
        <v/>
      </c>
      <c r="AO519">
        <f>$C519*AO518</f>
        <v/>
      </c>
      <c r="AP519">
        <f>$C519*AP518</f>
        <v/>
      </c>
      <c r="AQ519">
        <f>$C519*AQ518</f>
        <v/>
      </c>
      <c r="AR519">
        <f>$C519*AR518</f>
        <v/>
      </c>
      <c r="AS519">
        <f>$C519*AS518</f>
        <v/>
      </c>
      <c r="AT519">
        <f>$C519*AT518</f>
        <v/>
      </c>
      <c r="AU519">
        <f>$C519*AU518</f>
        <v/>
      </c>
      <c r="AV519">
        <f>$C519*AV518</f>
        <v/>
      </c>
      <c r="AW519">
        <f>$C519*AW518</f>
        <v/>
      </c>
      <c r="AX519">
        <f>$C519*AX518</f>
        <v/>
      </c>
      <c r="AY519">
        <f>$C519*AY518</f>
        <v/>
      </c>
      <c r="AZ519">
        <f>$C519*AZ518</f>
        <v/>
      </c>
      <c r="BA519">
        <f>$C519*BA518</f>
        <v/>
      </c>
      <c r="BB519">
        <f>$C519*BB518</f>
        <v/>
      </c>
      <c r="BC519">
        <f>$C519*BC518</f>
        <v/>
      </c>
      <c r="BD519">
        <f>$C519*BD518</f>
        <v/>
      </c>
      <c r="BE519">
        <f>$C519*BE518</f>
        <v/>
      </c>
      <c r="BF519">
        <f>$C519*BF518</f>
        <v/>
      </c>
      <c r="BG519">
        <f>$C519*BG518</f>
        <v/>
      </c>
      <c r="BH519">
        <f>$C519*BH518</f>
        <v/>
      </c>
      <c r="BI519">
        <f>$C519*BI518</f>
        <v/>
      </c>
      <c r="BJ519">
        <f>$C519*BJ518</f>
        <v/>
      </c>
      <c r="BK519">
        <f>$C519*BK518</f>
        <v/>
      </c>
      <c r="BL519">
        <f>$C519*BL518</f>
        <v/>
      </c>
      <c r="BM519">
        <f>$C519*BM518</f>
        <v/>
      </c>
      <c r="BN519">
        <f>$C519*BN518</f>
        <v/>
      </c>
      <c r="BO519">
        <f>$C519*BO518</f>
        <v/>
      </c>
      <c r="BP519">
        <f>$C519*BP518</f>
        <v/>
      </c>
      <c r="BQ519">
        <f>$C519*BQ518</f>
        <v/>
      </c>
      <c r="BR519">
        <f>$C519*BR518</f>
        <v/>
      </c>
      <c r="BS519">
        <f>$C519*BS518</f>
        <v/>
      </c>
      <c r="BT519">
        <f>$C519*BT518</f>
        <v/>
      </c>
      <c r="BU519">
        <f>$C519*BU518</f>
        <v/>
      </c>
      <c r="BV519">
        <f>$C519*BV518</f>
        <v/>
      </c>
      <c r="BW519">
        <f>$C519*BW518</f>
        <v/>
      </c>
      <c r="BX519">
        <f>$C519*BX518</f>
        <v/>
      </c>
      <c r="BY519">
        <f>$C519*BY518</f>
        <v/>
      </c>
      <c r="BZ519">
        <f>$C519*BZ518</f>
        <v/>
      </c>
      <c r="CA519">
        <f>$C519*CA518</f>
        <v/>
      </c>
      <c r="CB519">
        <f>$C519*CB518</f>
        <v/>
      </c>
      <c r="CC519">
        <f>$C519*CC518</f>
        <v/>
      </c>
      <c r="CD519">
        <f>$C519*CD518</f>
        <v/>
      </c>
      <c r="CE519">
        <f>$C519*CE518</f>
        <v/>
      </c>
      <c r="CF519">
        <f>$C519*CF518</f>
        <v/>
      </c>
      <c r="CG519">
        <f>$C519*CG518</f>
        <v/>
      </c>
      <c r="CH519">
        <f>$C519*CH518</f>
        <v/>
      </c>
      <c r="CI519">
        <f>$C519*CI518</f>
        <v/>
      </c>
      <c r="CJ519">
        <f>$C519*CJ518</f>
        <v/>
      </c>
      <c r="CK519">
        <f>$C519*CK518</f>
        <v/>
      </c>
      <c r="CL519">
        <f>$C519*CL518</f>
        <v/>
      </c>
      <c r="CM519">
        <f>$C519*CM518</f>
        <v/>
      </c>
      <c r="CN519">
        <f>$C519*CN518</f>
        <v/>
      </c>
      <c r="CO519">
        <f>$C519*CO518</f>
        <v/>
      </c>
      <c r="CP519">
        <f>$C519*CP518</f>
        <v/>
      </c>
      <c r="CQ519">
        <f>$C519*CQ518</f>
        <v/>
      </c>
      <c r="CR519">
        <f>$C519*CR518</f>
        <v/>
      </c>
      <c r="CS519">
        <f>$C519*CS518</f>
        <v/>
      </c>
      <c r="CT519">
        <f>$C519*CT518</f>
        <v/>
      </c>
      <c r="CU519">
        <f>$C519*CU518</f>
        <v/>
      </c>
      <c r="CV519">
        <f>$C519*CV518</f>
        <v/>
      </c>
      <c r="CW519">
        <f>$C519*CW518</f>
        <v/>
      </c>
      <c r="CX519">
        <f>$C519*CX518</f>
        <v/>
      </c>
      <c r="CY519">
        <f>$C519*CY518</f>
        <v/>
      </c>
      <c r="CZ519">
        <f>$C519*CZ518</f>
        <v/>
      </c>
      <c r="DA519">
        <f>$C519*DA518</f>
        <v/>
      </c>
      <c r="DB519">
        <f>$C519*DB518</f>
        <v/>
      </c>
      <c r="DC519">
        <f>$C519*DC518</f>
        <v/>
      </c>
    </row>
    <row r="520">
      <c r="B520" t="inlineStr">
        <is>
          <t>VSP-601</t>
        </is>
      </c>
      <c r="C520" t="inlineStr">
        <is>
          <t>No. of batches</t>
        </is>
      </c>
      <c r="D520">
        <f>IFERROR(INDEX(PP_Grid[#Data],$DD520,2),0)</f>
        <v/>
      </c>
      <c r="E520">
        <f>IFERROR(INDEX(PP_Grid[#Data],$DD520,3),0)</f>
        <v/>
      </c>
      <c r="F520">
        <f>IFERROR(INDEX(PP_Grid[#Data],$DD520,4),0)</f>
        <v/>
      </c>
      <c r="G520">
        <f>IFERROR(INDEX(PP_Grid[#Data],$DD520,5),0)</f>
        <v/>
      </c>
      <c r="H520">
        <f>IFERROR(INDEX(PP_Grid[#Data],$DD520,6),0)</f>
        <v/>
      </c>
      <c r="I520">
        <f>IFERROR(INDEX(PP_Grid[#Data],$DD520,7),0)</f>
        <v/>
      </c>
      <c r="J520">
        <f>IFERROR(INDEX(PP_Grid[#Data],$DD520,8),0)</f>
        <v/>
      </c>
      <c r="K520">
        <f>IFERROR(INDEX(PP_Grid[#Data],$DD520,9),0)</f>
        <v/>
      </c>
      <c r="L520">
        <f>IFERROR(INDEX(PP_Grid[#Data],$DD520,10),0)</f>
        <v/>
      </c>
      <c r="M520">
        <f>IFERROR(INDEX(PP_Grid[#Data],$DD520,11),0)</f>
        <v/>
      </c>
      <c r="N520">
        <f>IFERROR(INDEX(PP_Grid[#Data],$DD520,12),0)</f>
        <v/>
      </c>
      <c r="O520">
        <f>IFERROR(INDEX(PP_Grid[#Data],$DD520,13),0)</f>
        <v/>
      </c>
      <c r="P520">
        <f>IFERROR(INDEX(PP_Grid[#Data],$DD520,14),0)</f>
        <v/>
      </c>
      <c r="Q520">
        <f>IFERROR(INDEX(PP_Grid[#Data],$DD520,15),0)</f>
        <v/>
      </c>
      <c r="R520">
        <f>IFERROR(INDEX(PP_Grid[#Data],$DD520,16),0)</f>
        <v/>
      </c>
      <c r="S520">
        <f>IFERROR(INDEX(PP_Grid[#Data],$DD520,17),0)</f>
        <v/>
      </c>
      <c r="T520">
        <f>IFERROR(INDEX(PP_Grid[#Data],$DD520,18),0)</f>
        <v/>
      </c>
      <c r="U520">
        <f>IFERROR(INDEX(PP_Grid[#Data],$DD520,19),0)</f>
        <v/>
      </c>
      <c r="V520">
        <f>IFERROR(INDEX(PP_Grid[#Data],$DD520,20),0)</f>
        <v/>
      </c>
      <c r="W520">
        <f>IFERROR(INDEX(PP_Grid[#Data],$DD520,21),0)</f>
        <v/>
      </c>
      <c r="X520">
        <f>IFERROR(INDEX(PP_Grid[#Data],$DD520,22),0)</f>
        <v/>
      </c>
      <c r="Y520">
        <f>IFERROR(INDEX(PP_Grid[#Data],$DD520,23),0)</f>
        <v/>
      </c>
      <c r="Z520">
        <f>IFERROR(INDEX(PP_Grid[#Data],$DD520,24),0)</f>
        <v/>
      </c>
      <c r="AA520">
        <f>IFERROR(INDEX(PP_Grid[#Data],$DD520,25),0)</f>
        <v/>
      </c>
      <c r="AB520">
        <f>IFERROR(INDEX(PP_Grid[#Data],$DD520,26),0)</f>
        <v/>
      </c>
      <c r="AC520">
        <f>IFERROR(INDEX(PP_Grid[#Data],$DD520,27),0)</f>
        <v/>
      </c>
      <c r="AD520">
        <f>IFERROR(INDEX(PP_Grid[#Data],$DD520,28),0)</f>
        <v/>
      </c>
      <c r="AE520">
        <f>IFERROR(INDEX(PP_Grid[#Data],$DD520,29),0)</f>
        <v/>
      </c>
      <c r="AF520">
        <f>IFERROR(INDEX(PP_Grid[#Data],$DD520,30),0)</f>
        <v/>
      </c>
      <c r="AG520">
        <f>IFERROR(INDEX(PP_Grid[#Data],$DD520,31),0)</f>
        <v/>
      </c>
      <c r="AH520">
        <f>IFERROR(INDEX(PP_Grid[#Data],$DD520,32),0)</f>
        <v/>
      </c>
      <c r="AI520">
        <f>IFERROR(INDEX(PP_Grid[#Data],$DD520,33),0)</f>
        <v/>
      </c>
      <c r="AJ520">
        <f>IFERROR(INDEX(PP_Grid[#Data],$DD520,34),0)</f>
        <v/>
      </c>
      <c r="AK520">
        <f>IFERROR(INDEX(PP_Grid[#Data],$DD520,35),0)</f>
        <v/>
      </c>
      <c r="AL520">
        <f>IFERROR(INDEX(PP_Grid[#Data],$DD520,36),0)</f>
        <v/>
      </c>
      <c r="AM520">
        <f>IFERROR(INDEX(PP_Grid[#Data],$DD520,37),0)</f>
        <v/>
      </c>
      <c r="AN520">
        <f>IFERROR(INDEX(PP_Grid[#Data],$DD520,38),0)</f>
        <v/>
      </c>
      <c r="AO520">
        <f>IFERROR(INDEX(PP_Grid[#Data],$DD520,39),0)</f>
        <v/>
      </c>
      <c r="AP520">
        <f>IFERROR(INDEX(PP_Grid[#Data],$DD520,40),0)</f>
        <v/>
      </c>
      <c r="AQ520">
        <f>IFERROR(INDEX(PP_Grid[#Data],$DD520,41),0)</f>
        <v/>
      </c>
      <c r="AR520">
        <f>IFERROR(INDEX(PP_Grid[#Data],$DD520,42),0)</f>
        <v/>
      </c>
      <c r="AS520">
        <f>IFERROR(INDEX(PP_Grid[#Data],$DD520,43),0)</f>
        <v/>
      </c>
      <c r="AT520">
        <f>IFERROR(INDEX(PP_Grid[#Data],$DD520,44),0)</f>
        <v/>
      </c>
      <c r="AU520">
        <f>IFERROR(INDEX(PP_Grid[#Data],$DD520,45),0)</f>
        <v/>
      </c>
      <c r="AV520">
        <f>IFERROR(INDEX(PP_Grid[#Data],$DD520,46),0)</f>
        <v/>
      </c>
      <c r="AW520">
        <f>IFERROR(INDEX(PP_Grid[#Data],$DD520,47),0)</f>
        <v/>
      </c>
      <c r="AX520">
        <f>IFERROR(INDEX(PP_Grid[#Data],$DD520,48),0)</f>
        <v/>
      </c>
      <c r="AY520">
        <f>IFERROR(INDEX(PP_Grid[#Data],$DD520,49),0)</f>
        <v/>
      </c>
      <c r="AZ520">
        <f>IFERROR(INDEX(PP_Grid[#Data],$DD520,50),0)</f>
        <v/>
      </c>
      <c r="BA520">
        <f>IFERROR(INDEX(PP_Grid[#Data],$DD520,51),0)</f>
        <v/>
      </c>
      <c r="BB520">
        <f>IFERROR(INDEX(PP_Grid[#Data],$DD520,52),0)</f>
        <v/>
      </c>
      <c r="BC520">
        <f>IFERROR(INDEX(PP_Grid[#Data],$DD520,53),0)</f>
        <v/>
      </c>
      <c r="BD520">
        <f>IFERROR(INDEX(PP_Grid[#Data],$DD520,54),0)</f>
        <v/>
      </c>
      <c r="BE520">
        <f>IFERROR(INDEX(PP_Grid[#Data],$DD520,55),0)</f>
        <v/>
      </c>
      <c r="BF520">
        <f>IFERROR(INDEX(PP_Grid[#Data],$DD520,56),0)</f>
        <v/>
      </c>
      <c r="BG520">
        <f>IFERROR(INDEX(PP_Grid[#Data],$DD520,57),0)</f>
        <v/>
      </c>
      <c r="BH520">
        <f>IFERROR(INDEX(PP_Grid[#Data],$DD520,58),0)</f>
        <v/>
      </c>
      <c r="BI520">
        <f>IFERROR(INDEX(PP_Grid[#Data],$DD520,59),0)</f>
        <v/>
      </c>
      <c r="BJ520">
        <f>IFERROR(INDEX(PP_Grid[#Data],$DD520,60),0)</f>
        <v/>
      </c>
      <c r="BK520">
        <f>IFERROR(INDEX(PP_Grid[#Data],$DD520,61),0)</f>
        <v/>
      </c>
      <c r="BL520">
        <f>IFERROR(INDEX(PP_Grid[#Data],$DD520,62),0)</f>
        <v/>
      </c>
      <c r="BM520">
        <f>IFERROR(INDEX(PP_Grid[#Data],$DD520,63),0)</f>
        <v/>
      </c>
      <c r="BN520">
        <f>IFERROR(INDEX(PP_Grid[#Data],$DD520,64),0)</f>
        <v/>
      </c>
      <c r="BO520">
        <f>IFERROR(INDEX(PP_Grid[#Data],$DD520,65),0)</f>
        <v/>
      </c>
      <c r="BP520">
        <f>IFERROR(INDEX(PP_Grid[#Data],$DD520,66),0)</f>
        <v/>
      </c>
      <c r="BQ520">
        <f>IFERROR(INDEX(PP_Grid[#Data],$DD520,67),0)</f>
        <v/>
      </c>
      <c r="BR520">
        <f>IFERROR(INDEX(PP_Grid[#Data],$DD520,68),0)</f>
        <v/>
      </c>
      <c r="BS520">
        <f>IFERROR(INDEX(PP_Grid[#Data],$DD520,69),0)</f>
        <v/>
      </c>
      <c r="BT520">
        <f>IFERROR(INDEX(PP_Grid[#Data],$DD520,70),0)</f>
        <v/>
      </c>
      <c r="BU520">
        <f>IFERROR(INDEX(PP_Grid[#Data],$DD520,71),0)</f>
        <v/>
      </c>
      <c r="BV520">
        <f>IFERROR(INDEX(PP_Grid[#Data],$DD520,72),0)</f>
        <v/>
      </c>
      <c r="BW520">
        <f>IFERROR(INDEX(PP_Grid[#Data],$DD520,73),0)</f>
        <v/>
      </c>
      <c r="BX520">
        <f>IFERROR(INDEX(PP_Grid[#Data],$DD520,74),0)</f>
        <v/>
      </c>
      <c r="BY520">
        <f>IFERROR(INDEX(PP_Grid[#Data],$DD520,75),0)</f>
        <v/>
      </c>
      <c r="BZ520">
        <f>IFERROR(INDEX(PP_Grid[#Data],$DD520,76),0)</f>
        <v/>
      </c>
      <c r="CA520">
        <f>IFERROR(INDEX(PP_Grid[#Data],$DD520,77),0)</f>
        <v/>
      </c>
      <c r="CB520">
        <f>IFERROR(INDEX(PP_Grid[#Data],$DD520,78),0)</f>
        <v/>
      </c>
      <c r="CC520">
        <f>IFERROR(INDEX(PP_Grid[#Data],$DD520,79),0)</f>
        <v/>
      </c>
      <c r="CD520">
        <f>IFERROR(INDEX(PP_Grid[#Data],$DD520,80),0)</f>
        <v/>
      </c>
      <c r="CE520">
        <f>IFERROR(INDEX(PP_Grid[#Data],$DD520,81),0)</f>
        <v/>
      </c>
      <c r="CF520">
        <f>IFERROR(INDEX(PP_Grid[#Data],$DD520,82),0)</f>
        <v/>
      </c>
      <c r="CG520">
        <f>IFERROR(INDEX(PP_Grid[#Data],$DD520,83),0)</f>
        <v/>
      </c>
      <c r="CH520">
        <f>IFERROR(INDEX(PP_Grid[#Data],$DD520,84),0)</f>
        <v/>
      </c>
      <c r="CI520">
        <f>IFERROR(INDEX(PP_Grid[#Data],$DD520,85),0)</f>
        <v/>
      </c>
      <c r="CJ520">
        <f>IFERROR(INDEX(PP_Grid[#Data],$DD520,86),0)</f>
        <v/>
      </c>
      <c r="CK520">
        <f>IFERROR(INDEX(PP_Grid[#Data],$DD520,87),0)</f>
        <v/>
      </c>
      <c r="CL520">
        <f>IFERROR(INDEX(PP_Grid[#Data],$DD520,88),0)</f>
        <v/>
      </c>
      <c r="CM520">
        <f>IFERROR(INDEX(PP_Grid[#Data],$DD520,89),0)</f>
        <v/>
      </c>
      <c r="CN520">
        <f>IFERROR(INDEX(PP_Grid[#Data],$DD520,90),0)</f>
        <v/>
      </c>
      <c r="CO520">
        <f>IFERROR(INDEX(PP_Grid[#Data],$DD520,91),0)</f>
        <v/>
      </c>
      <c r="CP520">
        <f>IFERROR(INDEX(PP_Grid[#Data],$DD520,92),0)</f>
        <v/>
      </c>
      <c r="CQ520">
        <f>IFERROR(INDEX(PP_Grid[#Data],$DD520,93),0)</f>
        <v/>
      </c>
      <c r="CR520">
        <f>IFERROR(INDEX(PP_Grid[#Data],$DD520,94),0)</f>
        <v/>
      </c>
      <c r="CS520">
        <f>IFERROR(INDEX(PP_Grid[#Data],$DD520,95),0)</f>
        <v/>
      </c>
      <c r="CT520">
        <f>IFERROR(INDEX(PP_Grid[#Data],$DD520,96),0)</f>
        <v/>
      </c>
      <c r="CU520">
        <f>IFERROR(INDEX(PP_Grid[#Data],$DD520,97),0)</f>
        <v/>
      </c>
      <c r="CV520">
        <f>IFERROR(INDEX(PP_Grid[#Data],$DD520,98),0)</f>
        <v/>
      </c>
      <c r="CW520">
        <f>IFERROR(INDEX(PP_Grid[#Data],$DD520,99),0)</f>
        <v/>
      </c>
      <c r="CX520">
        <f>IFERROR(INDEX(PP_Grid[#Data],$DD520,100),0)</f>
        <v/>
      </c>
      <c r="CY520">
        <f>IFERROR(INDEX(PP_Grid[#Data],$DD520,101),0)</f>
        <v/>
      </c>
      <c r="CZ520">
        <f>IFERROR(INDEX(PP_Grid[#Data],$DD520,102),0)</f>
        <v/>
      </c>
      <c r="DA520">
        <f>IFERROR(INDEX(PP_Grid[#Data],$DD520,103),0)</f>
        <v/>
      </c>
      <c r="DB520">
        <f>IFERROR(INDEX(PP_Grid[#Data],$DD520,104),0)</f>
        <v/>
      </c>
      <c r="DC520">
        <f>IFERROR(INDEX(PP_Grid[#Data],$DD520,105),0)</f>
        <v/>
      </c>
      <c r="DD520" s="7">
        <f>IFERROR(MATCH($B520,PP_Grid[Intermediate],0),99999)</f>
        <v/>
      </c>
    </row>
    <row r="521">
      <c r="B521" t="inlineStr">
        <is>
          <t>使用量(kg)</t>
        </is>
      </c>
      <c r="C521">
        <f>SUMIFS(M_BOM[RM_Qty_Per_Batch],M_BOM[Intermediate],$B520,M_BOM[Part Name],$A507)</f>
        <v/>
      </c>
      <c r="D521">
        <f>$C521*D520</f>
        <v/>
      </c>
      <c r="E521">
        <f>$C521*E520</f>
        <v/>
      </c>
      <c r="F521">
        <f>$C521*F520</f>
        <v/>
      </c>
      <c r="G521">
        <f>$C521*G520</f>
        <v/>
      </c>
      <c r="H521">
        <f>$C521*H520</f>
        <v/>
      </c>
      <c r="I521">
        <f>$C521*I520</f>
        <v/>
      </c>
      <c r="J521">
        <f>$C521*J520</f>
        <v/>
      </c>
      <c r="K521">
        <f>$C521*K520</f>
        <v/>
      </c>
      <c r="L521">
        <f>$C521*L520</f>
        <v/>
      </c>
      <c r="M521">
        <f>$C521*M520</f>
        <v/>
      </c>
      <c r="N521">
        <f>$C521*N520</f>
        <v/>
      </c>
      <c r="O521">
        <f>$C521*O520</f>
        <v/>
      </c>
      <c r="P521">
        <f>$C521*P520</f>
        <v/>
      </c>
      <c r="Q521">
        <f>$C521*Q520</f>
        <v/>
      </c>
      <c r="R521">
        <f>$C521*R520</f>
        <v/>
      </c>
      <c r="S521">
        <f>$C521*S520</f>
        <v/>
      </c>
      <c r="T521">
        <f>$C521*T520</f>
        <v/>
      </c>
      <c r="U521">
        <f>$C521*U520</f>
        <v/>
      </c>
      <c r="V521">
        <f>$C521*V520</f>
        <v/>
      </c>
      <c r="W521">
        <f>$C521*W520</f>
        <v/>
      </c>
      <c r="X521">
        <f>$C521*X520</f>
        <v/>
      </c>
      <c r="Y521">
        <f>$C521*Y520</f>
        <v/>
      </c>
      <c r="Z521">
        <f>$C521*Z520</f>
        <v/>
      </c>
      <c r="AA521">
        <f>$C521*AA520</f>
        <v/>
      </c>
      <c r="AB521">
        <f>$C521*AB520</f>
        <v/>
      </c>
      <c r="AC521">
        <f>$C521*AC520</f>
        <v/>
      </c>
      <c r="AD521">
        <f>$C521*AD520</f>
        <v/>
      </c>
      <c r="AE521">
        <f>$C521*AE520</f>
        <v/>
      </c>
      <c r="AF521">
        <f>$C521*AF520</f>
        <v/>
      </c>
      <c r="AG521">
        <f>$C521*AG520</f>
        <v/>
      </c>
      <c r="AH521">
        <f>$C521*AH520</f>
        <v/>
      </c>
      <c r="AI521">
        <f>$C521*AI520</f>
        <v/>
      </c>
      <c r="AJ521">
        <f>$C521*AJ520</f>
        <v/>
      </c>
      <c r="AK521">
        <f>$C521*AK520</f>
        <v/>
      </c>
      <c r="AL521">
        <f>$C521*AL520</f>
        <v/>
      </c>
      <c r="AM521">
        <f>$C521*AM520</f>
        <v/>
      </c>
      <c r="AN521">
        <f>$C521*AN520</f>
        <v/>
      </c>
      <c r="AO521">
        <f>$C521*AO520</f>
        <v/>
      </c>
      <c r="AP521">
        <f>$C521*AP520</f>
        <v/>
      </c>
      <c r="AQ521">
        <f>$C521*AQ520</f>
        <v/>
      </c>
      <c r="AR521">
        <f>$C521*AR520</f>
        <v/>
      </c>
      <c r="AS521">
        <f>$C521*AS520</f>
        <v/>
      </c>
      <c r="AT521">
        <f>$C521*AT520</f>
        <v/>
      </c>
      <c r="AU521">
        <f>$C521*AU520</f>
        <v/>
      </c>
      <c r="AV521">
        <f>$C521*AV520</f>
        <v/>
      </c>
      <c r="AW521">
        <f>$C521*AW520</f>
        <v/>
      </c>
      <c r="AX521">
        <f>$C521*AX520</f>
        <v/>
      </c>
      <c r="AY521">
        <f>$C521*AY520</f>
        <v/>
      </c>
      <c r="AZ521">
        <f>$C521*AZ520</f>
        <v/>
      </c>
      <c r="BA521">
        <f>$C521*BA520</f>
        <v/>
      </c>
      <c r="BB521">
        <f>$C521*BB520</f>
        <v/>
      </c>
      <c r="BC521">
        <f>$C521*BC520</f>
        <v/>
      </c>
      <c r="BD521">
        <f>$C521*BD520</f>
        <v/>
      </c>
      <c r="BE521">
        <f>$C521*BE520</f>
        <v/>
      </c>
      <c r="BF521">
        <f>$C521*BF520</f>
        <v/>
      </c>
      <c r="BG521">
        <f>$C521*BG520</f>
        <v/>
      </c>
      <c r="BH521">
        <f>$C521*BH520</f>
        <v/>
      </c>
      <c r="BI521">
        <f>$C521*BI520</f>
        <v/>
      </c>
      <c r="BJ521">
        <f>$C521*BJ520</f>
        <v/>
      </c>
      <c r="BK521">
        <f>$C521*BK520</f>
        <v/>
      </c>
      <c r="BL521">
        <f>$C521*BL520</f>
        <v/>
      </c>
      <c r="BM521">
        <f>$C521*BM520</f>
        <v/>
      </c>
      <c r="BN521">
        <f>$C521*BN520</f>
        <v/>
      </c>
      <c r="BO521">
        <f>$C521*BO520</f>
        <v/>
      </c>
      <c r="BP521">
        <f>$C521*BP520</f>
        <v/>
      </c>
      <c r="BQ521">
        <f>$C521*BQ520</f>
        <v/>
      </c>
      <c r="BR521">
        <f>$C521*BR520</f>
        <v/>
      </c>
      <c r="BS521">
        <f>$C521*BS520</f>
        <v/>
      </c>
      <c r="BT521">
        <f>$C521*BT520</f>
        <v/>
      </c>
      <c r="BU521">
        <f>$C521*BU520</f>
        <v/>
      </c>
      <c r="BV521">
        <f>$C521*BV520</f>
        <v/>
      </c>
      <c r="BW521">
        <f>$C521*BW520</f>
        <v/>
      </c>
      <c r="BX521">
        <f>$C521*BX520</f>
        <v/>
      </c>
      <c r="BY521">
        <f>$C521*BY520</f>
        <v/>
      </c>
      <c r="BZ521">
        <f>$C521*BZ520</f>
        <v/>
      </c>
      <c r="CA521">
        <f>$C521*CA520</f>
        <v/>
      </c>
      <c r="CB521">
        <f>$C521*CB520</f>
        <v/>
      </c>
      <c r="CC521">
        <f>$C521*CC520</f>
        <v/>
      </c>
      <c r="CD521">
        <f>$C521*CD520</f>
        <v/>
      </c>
      <c r="CE521">
        <f>$C521*CE520</f>
        <v/>
      </c>
      <c r="CF521">
        <f>$C521*CF520</f>
        <v/>
      </c>
      <c r="CG521">
        <f>$C521*CG520</f>
        <v/>
      </c>
      <c r="CH521">
        <f>$C521*CH520</f>
        <v/>
      </c>
      <c r="CI521">
        <f>$C521*CI520</f>
        <v/>
      </c>
      <c r="CJ521">
        <f>$C521*CJ520</f>
        <v/>
      </c>
      <c r="CK521">
        <f>$C521*CK520</f>
        <v/>
      </c>
      <c r="CL521">
        <f>$C521*CL520</f>
        <v/>
      </c>
      <c r="CM521">
        <f>$C521*CM520</f>
        <v/>
      </c>
      <c r="CN521">
        <f>$C521*CN520</f>
        <v/>
      </c>
      <c r="CO521">
        <f>$C521*CO520</f>
        <v/>
      </c>
      <c r="CP521">
        <f>$C521*CP520</f>
        <v/>
      </c>
      <c r="CQ521">
        <f>$C521*CQ520</f>
        <v/>
      </c>
      <c r="CR521">
        <f>$C521*CR520</f>
        <v/>
      </c>
      <c r="CS521">
        <f>$C521*CS520</f>
        <v/>
      </c>
      <c r="CT521">
        <f>$C521*CT520</f>
        <v/>
      </c>
      <c r="CU521">
        <f>$C521*CU520</f>
        <v/>
      </c>
      <c r="CV521">
        <f>$C521*CV520</f>
        <v/>
      </c>
      <c r="CW521">
        <f>$C521*CW520</f>
        <v/>
      </c>
      <c r="CX521">
        <f>$C521*CX520</f>
        <v/>
      </c>
      <c r="CY521">
        <f>$C521*CY520</f>
        <v/>
      </c>
      <c r="CZ521">
        <f>$C521*CZ520</f>
        <v/>
      </c>
      <c r="DA521">
        <f>$C521*DA520</f>
        <v/>
      </c>
      <c r="DB521">
        <f>$C521*DB520</f>
        <v/>
      </c>
      <c r="DC521">
        <f>$C521*DC520</f>
        <v/>
      </c>
    </row>
    <row r="522">
      <c r="B522" t="inlineStr">
        <is>
          <t>VSP-603</t>
        </is>
      </c>
      <c r="C522" t="inlineStr">
        <is>
          <t>No. of batches</t>
        </is>
      </c>
      <c r="D522">
        <f>IFERROR(INDEX(PP_Grid[#Data],$DD522,2),0)</f>
        <v/>
      </c>
      <c r="E522">
        <f>IFERROR(INDEX(PP_Grid[#Data],$DD522,3),0)</f>
        <v/>
      </c>
      <c r="F522">
        <f>IFERROR(INDEX(PP_Grid[#Data],$DD522,4),0)</f>
        <v/>
      </c>
      <c r="G522">
        <f>IFERROR(INDEX(PP_Grid[#Data],$DD522,5),0)</f>
        <v/>
      </c>
      <c r="H522">
        <f>IFERROR(INDEX(PP_Grid[#Data],$DD522,6),0)</f>
        <v/>
      </c>
      <c r="I522">
        <f>IFERROR(INDEX(PP_Grid[#Data],$DD522,7),0)</f>
        <v/>
      </c>
      <c r="J522">
        <f>IFERROR(INDEX(PP_Grid[#Data],$DD522,8),0)</f>
        <v/>
      </c>
      <c r="K522">
        <f>IFERROR(INDEX(PP_Grid[#Data],$DD522,9),0)</f>
        <v/>
      </c>
      <c r="L522">
        <f>IFERROR(INDEX(PP_Grid[#Data],$DD522,10),0)</f>
        <v/>
      </c>
      <c r="M522">
        <f>IFERROR(INDEX(PP_Grid[#Data],$DD522,11),0)</f>
        <v/>
      </c>
      <c r="N522">
        <f>IFERROR(INDEX(PP_Grid[#Data],$DD522,12),0)</f>
        <v/>
      </c>
      <c r="O522">
        <f>IFERROR(INDEX(PP_Grid[#Data],$DD522,13),0)</f>
        <v/>
      </c>
      <c r="P522">
        <f>IFERROR(INDEX(PP_Grid[#Data],$DD522,14),0)</f>
        <v/>
      </c>
      <c r="Q522">
        <f>IFERROR(INDEX(PP_Grid[#Data],$DD522,15),0)</f>
        <v/>
      </c>
      <c r="R522">
        <f>IFERROR(INDEX(PP_Grid[#Data],$DD522,16),0)</f>
        <v/>
      </c>
      <c r="S522">
        <f>IFERROR(INDEX(PP_Grid[#Data],$DD522,17),0)</f>
        <v/>
      </c>
      <c r="T522">
        <f>IFERROR(INDEX(PP_Grid[#Data],$DD522,18),0)</f>
        <v/>
      </c>
      <c r="U522">
        <f>IFERROR(INDEX(PP_Grid[#Data],$DD522,19),0)</f>
        <v/>
      </c>
      <c r="V522">
        <f>IFERROR(INDEX(PP_Grid[#Data],$DD522,20),0)</f>
        <v/>
      </c>
      <c r="W522">
        <f>IFERROR(INDEX(PP_Grid[#Data],$DD522,21),0)</f>
        <v/>
      </c>
      <c r="X522">
        <f>IFERROR(INDEX(PP_Grid[#Data],$DD522,22),0)</f>
        <v/>
      </c>
      <c r="Y522">
        <f>IFERROR(INDEX(PP_Grid[#Data],$DD522,23),0)</f>
        <v/>
      </c>
      <c r="Z522">
        <f>IFERROR(INDEX(PP_Grid[#Data],$DD522,24),0)</f>
        <v/>
      </c>
      <c r="AA522">
        <f>IFERROR(INDEX(PP_Grid[#Data],$DD522,25),0)</f>
        <v/>
      </c>
      <c r="AB522">
        <f>IFERROR(INDEX(PP_Grid[#Data],$DD522,26),0)</f>
        <v/>
      </c>
      <c r="AC522">
        <f>IFERROR(INDEX(PP_Grid[#Data],$DD522,27),0)</f>
        <v/>
      </c>
      <c r="AD522">
        <f>IFERROR(INDEX(PP_Grid[#Data],$DD522,28),0)</f>
        <v/>
      </c>
      <c r="AE522">
        <f>IFERROR(INDEX(PP_Grid[#Data],$DD522,29),0)</f>
        <v/>
      </c>
      <c r="AF522">
        <f>IFERROR(INDEX(PP_Grid[#Data],$DD522,30),0)</f>
        <v/>
      </c>
      <c r="AG522">
        <f>IFERROR(INDEX(PP_Grid[#Data],$DD522,31),0)</f>
        <v/>
      </c>
      <c r="AH522">
        <f>IFERROR(INDEX(PP_Grid[#Data],$DD522,32),0)</f>
        <v/>
      </c>
      <c r="AI522">
        <f>IFERROR(INDEX(PP_Grid[#Data],$DD522,33),0)</f>
        <v/>
      </c>
      <c r="AJ522">
        <f>IFERROR(INDEX(PP_Grid[#Data],$DD522,34),0)</f>
        <v/>
      </c>
      <c r="AK522">
        <f>IFERROR(INDEX(PP_Grid[#Data],$DD522,35),0)</f>
        <v/>
      </c>
      <c r="AL522">
        <f>IFERROR(INDEX(PP_Grid[#Data],$DD522,36),0)</f>
        <v/>
      </c>
      <c r="AM522">
        <f>IFERROR(INDEX(PP_Grid[#Data],$DD522,37),0)</f>
        <v/>
      </c>
      <c r="AN522">
        <f>IFERROR(INDEX(PP_Grid[#Data],$DD522,38),0)</f>
        <v/>
      </c>
      <c r="AO522">
        <f>IFERROR(INDEX(PP_Grid[#Data],$DD522,39),0)</f>
        <v/>
      </c>
      <c r="AP522">
        <f>IFERROR(INDEX(PP_Grid[#Data],$DD522,40),0)</f>
        <v/>
      </c>
      <c r="AQ522">
        <f>IFERROR(INDEX(PP_Grid[#Data],$DD522,41),0)</f>
        <v/>
      </c>
      <c r="AR522">
        <f>IFERROR(INDEX(PP_Grid[#Data],$DD522,42),0)</f>
        <v/>
      </c>
      <c r="AS522">
        <f>IFERROR(INDEX(PP_Grid[#Data],$DD522,43),0)</f>
        <v/>
      </c>
      <c r="AT522">
        <f>IFERROR(INDEX(PP_Grid[#Data],$DD522,44),0)</f>
        <v/>
      </c>
      <c r="AU522">
        <f>IFERROR(INDEX(PP_Grid[#Data],$DD522,45),0)</f>
        <v/>
      </c>
      <c r="AV522">
        <f>IFERROR(INDEX(PP_Grid[#Data],$DD522,46),0)</f>
        <v/>
      </c>
      <c r="AW522">
        <f>IFERROR(INDEX(PP_Grid[#Data],$DD522,47),0)</f>
        <v/>
      </c>
      <c r="AX522">
        <f>IFERROR(INDEX(PP_Grid[#Data],$DD522,48),0)</f>
        <v/>
      </c>
      <c r="AY522">
        <f>IFERROR(INDEX(PP_Grid[#Data],$DD522,49),0)</f>
        <v/>
      </c>
      <c r="AZ522">
        <f>IFERROR(INDEX(PP_Grid[#Data],$DD522,50),0)</f>
        <v/>
      </c>
      <c r="BA522">
        <f>IFERROR(INDEX(PP_Grid[#Data],$DD522,51),0)</f>
        <v/>
      </c>
      <c r="BB522">
        <f>IFERROR(INDEX(PP_Grid[#Data],$DD522,52),0)</f>
        <v/>
      </c>
      <c r="BC522">
        <f>IFERROR(INDEX(PP_Grid[#Data],$DD522,53),0)</f>
        <v/>
      </c>
      <c r="BD522">
        <f>IFERROR(INDEX(PP_Grid[#Data],$DD522,54),0)</f>
        <v/>
      </c>
      <c r="BE522">
        <f>IFERROR(INDEX(PP_Grid[#Data],$DD522,55),0)</f>
        <v/>
      </c>
      <c r="BF522">
        <f>IFERROR(INDEX(PP_Grid[#Data],$DD522,56),0)</f>
        <v/>
      </c>
      <c r="BG522">
        <f>IFERROR(INDEX(PP_Grid[#Data],$DD522,57),0)</f>
        <v/>
      </c>
      <c r="BH522">
        <f>IFERROR(INDEX(PP_Grid[#Data],$DD522,58),0)</f>
        <v/>
      </c>
      <c r="BI522">
        <f>IFERROR(INDEX(PP_Grid[#Data],$DD522,59),0)</f>
        <v/>
      </c>
      <c r="BJ522">
        <f>IFERROR(INDEX(PP_Grid[#Data],$DD522,60),0)</f>
        <v/>
      </c>
      <c r="BK522">
        <f>IFERROR(INDEX(PP_Grid[#Data],$DD522,61),0)</f>
        <v/>
      </c>
      <c r="BL522">
        <f>IFERROR(INDEX(PP_Grid[#Data],$DD522,62),0)</f>
        <v/>
      </c>
      <c r="BM522">
        <f>IFERROR(INDEX(PP_Grid[#Data],$DD522,63),0)</f>
        <v/>
      </c>
      <c r="BN522">
        <f>IFERROR(INDEX(PP_Grid[#Data],$DD522,64),0)</f>
        <v/>
      </c>
      <c r="BO522">
        <f>IFERROR(INDEX(PP_Grid[#Data],$DD522,65),0)</f>
        <v/>
      </c>
      <c r="BP522">
        <f>IFERROR(INDEX(PP_Grid[#Data],$DD522,66),0)</f>
        <v/>
      </c>
      <c r="BQ522">
        <f>IFERROR(INDEX(PP_Grid[#Data],$DD522,67),0)</f>
        <v/>
      </c>
      <c r="BR522">
        <f>IFERROR(INDEX(PP_Grid[#Data],$DD522,68),0)</f>
        <v/>
      </c>
      <c r="BS522">
        <f>IFERROR(INDEX(PP_Grid[#Data],$DD522,69),0)</f>
        <v/>
      </c>
      <c r="BT522">
        <f>IFERROR(INDEX(PP_Grid[#Data],$DD522,70),0)</f>
        <v/>
      </c>
      <c r="BU522">
        <f>IFERROR(INDEX(PP_Grid[#Data],$DD522,71),0)</f>
        <v/>
      </c>
      <c r="BV522">
        <f>IFERROR(INDEX(PP_Grid[#Data],$DD522,72),0)</f>
        <v/>
      </c>
      <c r="BW522">
        <f>IFERROR(INDEX(PP_Grid[#Data],$DD522,73),0)</f>
        <v/>
      </c>
      <c r="BX522">
        <f>IFERROR(INDEX(PP_Grid[#Data],$DD522,74),0)</f>
        <v/>
      </c>
      <c r="BY522">
        <f>IFERROR(INDEX(PP_Grid[#Data],$DD522,75),0)</f>
        <v/>
      </c>
      <c r="BZ522">
        <f>IFERROR(INDEX(PP_Grid[#Data],$DD522,76),0)</f>
        <v/>
      </c>
      <c r="CA522">
        <f>IFERROR(INDEX(PP_Grid[#Data],$DD522,77),0)</f>
        <v/>
      </c>
      <c r="CB522">
        <f>IFERROR(INDEX(PP_Grid[#Data],$DD522,78),0)</f>
        <v/>
      </c>
      <c r="CC522">
        <f>IFERROR(INDEX(PP_Grid[#Data],$DD522,79),0)</f>
        <v/>
      </c>
      <c r="CD522">
        <f>IFERROR(INDEX(PP_Grid[#Data],$DD522,80),0)</f>
        <v/>
      </c>
      <c r="CE522">
        <f>IFERROR(INDEX(PP_Grid[#Data],$DD522,81),0)</f>
        <v/>
      </c>
      <c r="CF522">
        <f>IFERROR(INDEX(PP_Grid[#Data],$DD522,82),0)</f>
        <v/>
      </c>
      <c r="CG522">
        <f>IFERROR(INDEX(PP_Grid[#Data],$DD522,83),0)</f>
        <v/>
      </c>
      <c r="CH522">
        <f>IFERROR(INDEX(PP_Grid[#Data],$DD522,84),0)</f>
        <v/>
      </c>
      <c r="CI522">
        <f>IFERROR(INDEX(PP_Grid[#Data],$DD522,85),0)</f>
        <v/>
      </c>
      <c r="CJ522">
        <f>IFERROR(INDEX(PP_Grid[#Data],$DD522,86),0)</f>
        <v/>
      </c>
      <c r="CK522">
        <f>IFERROR(INDEX(PP_Grid[#Data],$DD522,87),0)</f>
        <v/>
      </c>
      <c r="CL522">
        <f>IFERROR(INDEX(PP_Grid[#Data],$DD522,88),0)</f>
        <v/>
      </c>
      <c r="CM522">
        <f>IFERROR(INDEX(PP_Grid[#Data],$DD522,89),0)</f>
        <v/>
      </c>
      <c r="CN522">
        <f>IFERROR(INDEX(PP_Grid[#Data],$DD522,90),0)</f>
        <v/>
      </c>
      <c r="CO522">
        <f>IFERROR(INDEX(PP_Grid[#Data],$DD522,91),0)</f>
        <v/>
      </c>
      <c r="CP522">
        <f>IFERROR(INDEX(PP_Grid[#Data],$DD522,92),0)</f>
        <v/>
      </c>
      <c r="CQ522">
        <f>IFERROR(INDEX(PP_Grid[#Data],$DD522,93),0)</f>
        <v/>
      </c>
      <c r="CR522">
        <f>IFERROR(INDEX(PP_Grid[#Data],$DD522,94),0)</f>
        <v/>
      </c>
      <c r="CS522">
        <f>IFERROR(INDEX(PP_Grid[#Data],$DD522,95),0)</f>
        <v/>
      </c>
      <c r="CT522">
        <f>IFERROR(INDEX(PP_Grid[#Data],$DD522,96),0)</f>
        <v/>
      </c>
      <c r="CU522">
        <f>IFERROR(INDEX(PP_Grid[#Data],$DD522,97),0)</f>
        <v/>
      </c>
      <c r="CV522">
        <f>IFERROR(INDEX(PP_Grid[#Data],$DD522,98),0)</f>
        <v/>
      </c>
      <c r="CW522">
        <f>IFERROR(INDEX(PP_Grid[#Data],$DD522,99),0)</f>
        <v/>
      </c>
      <c r="CX522">
        <f>IFERROR(INDEX(PP_Grid[#Data],$DD522,100),0)</f>
        <v/>
      </c>
      <c r="CY522">
        <f>IFERROR(INDEX(PP_Grid[#Data],$DD522,101),0)</f>
        <v/>
      </c>
      <c r="CZ522">
        <f>IFERROR(INDEX(PP_Grid[#Data],$DD522,102),0)</f>
        <v/>
      </c>
      <c r="DA522">
        <f>IFERROR(INDEX(PP_Grid[#Data],$DD522,103),0)</f>
        <v/>
      </c>
      <c r="DB522">
        <f>IFERROR(INDEX(PP_Grid[#Data],$DD522,104),0)</f>
        <v/>
      </c>
      <c r="DC522">
        <f>IFERROR(INDEX(PP_Grid[#Data],$DD522,105),0)</f>
        <v/>
      </c>
      <c r="DD522" s="7">
        <f>IFERROR(MATCH($B522,PP_Grid[Intermediate],0),99999)</f>
        <v/>
      </c>
    </row>
    <row r="523">
      <c r="B523" t="inlineStr">
        <is>
          <t>使用量(kg)</t>
        </is>
      </c>
      <c r="C523">
        <f>SUMIFS(M_BOM[RM_Qty_Per_Batch],M_BOM[Intermediate],$B522,M_BOM[Part Name],$A507)</f>
        <v/>
      </c>
      <c r="D523">
        <f>$C523*D522</f>
        <v/>
      </c>
      <c r="E523">
        <f>$C523*E522</f>
        <v/>
      </c>
      <c r="F523">
        <f>$C523*F522</f>
        <v/>
      </c>
      <c r="G523">
        <f>$C523*G522</f>
        <v/>
      </c>
      <c r="H523">
        <f>$C523*H522</f>
        <v/>
      </c>
      <c r="I523">
        <f>$C523*I522</f>
        <v/>
      </c>
      <c r="J523">
        <f>$C523*J522</f>
        <v/>
      </c>
      <c r="K523">
        <f>$C523*K522</f>
        <v/>
      </c>
      <c r="L523">
        <f>$C523*L522</f>
        <v/>
      </c>
      <c r="M523">
        <f>$C523*M522</f>
        <v/>
      </c>
      <c r="N523">
        <f>$C523*N522</f>
        <v/>
      </c>
      <c r="O523">
        <f>$C523*O522</f>
        <v/>
      </c>
      <c r="P523">
        <f>$C523*P522</f>
        <v/>
      </c>
      <c r="Q523">
        <f>$C523*Q522</f>
        <v/>
      </c>
      <c r="R523">
        <f>$C523*R522</f>
        <v/>
      </c>
      <c r="S523">
        <f>$C523*S522</f>
        <v/>
      </c>
      <c r="T523">
        <f>$C523*T522</f>
        <v/>
      </c>
      <c r="U523">
        <f>$C523*U522</f>
        <v/>
      </c>
      <c r="V523">
        <f>$C523*V522</f>
        <v/>
      </c>
      <c r="W523">
        <f>$C523*W522</f>
        <v/>
      </c>
      <c r="X523">
        <f>$C523*X522</f>
        <v/>
      </c>
      <c r="Y523">
        <f>$C523*Y522</f>
        <v/>
      </c>
      <c r="Z523">
        <f>$C523*Z522</f>
        <v/>
      </c>
      <c r="AA523">
        <f>$C523*AA522</f>
        <v/>
      </c>
      <c r="AB523">
        <f>$C523*AB522</f>
        <v/>
      </c>
      <c r="AC523">
        <f>$C523*AC522</f>
        <v/>
      </c>
      <c r="AD523">
        <f>$C523*AD522</f>
        <v/>
      </c>
      <c r="AE523">
        <f>$C523*AE522</f>
        <v/>
      </c>
      <c r="AF523">
        <f>$C523*AF522</f>
        <v/>
      </c>
      <c r="AG523">
        <f>$C523*AG522</f>
        <v/>
      </c>
      <c r="AH523">
        <f>$C523*AH522</f>
        <v/>
      </c>
      <c r="AI523">
        <f>$C523*AI522</f>
        <v/>
      </c>
      <c r="AJ523">
        <f>$C523*AJ522</f>
        <v/>
      </c>
      <c r="AK523">
        <f>$C523*AK522</f>
        <v/>
      </c>
      <c r="AL523">
        <f>$C523*AL522</f>
        <v/>
      </c>
      <c r="AM523">
        <f>$C523*AM522</f>
        <v/>
      </c>
      <c r="AN523">
        <f>$C523*AN522</f>
        <v/>
      </c>
      <c r="AO523">
        <f>$C523*AO522</f>
        <v/>
      </c>
      <c r="AP523">
        <f>$C523*AP522</f>
        <v/>
      </c>
      <c r="AQ523">
        <f>$C523*AQ522</f>
        <v/>
      </c>
      <c r="AR523">
        <f>$C523*AR522</f>
        <v/>
      </c>
      <c r="AS523">
        <f>$C523*AS522</f>
        <v/>
      </c>
      <c r="AT523">
        <f>$C523*AT522</f>
        <v/>
      </c>
      <c r="AU523">
        <f>$C523*AU522</f>
        <v/>
      </c>
      <c r="AV523">
        <f>$C523*AV522</f>
        <v/>
      </c>
      <c r="AW523">
        <f>$C523*AW522</f>
        <v/>
      </c>
      <c r="AX523">
        <f>$C523*AX522</f>
        <v/>
      </c>
      <c r="AY523">
        <f>$C523*AY522</f>
        <v/>
      </c>
      <c r="AZ523">
        <f>$C523*AZ522</f>
        <v/>
      </c>
      <c r="BA523">
        <f>$C523*BA522</f>
        <v/>
      </c>
      <c r="BB523">
        <f>$C523*BB522</f>
        <v/>
      </c>
      <c r="BC523">
        <f>$C523*BC522</f>
        <v/>
      </c>
      <c r="BD523">
        <f>$C523*BD522</f>
        <v/>
      </c>
      <c r="BE523">
        <f>$C523*BE522</f>
        <v/>
      </c>
      <c r="BF523">
        <f>$C523*BF522</f>
        <v/>
      </c>
      <c r="BG523">
        <f>$C523*BG522</f>
        <v/>
      </c>
      <c r="BH523">
        <f>$C523*BH522</f>
        <v/>
      </c>
      <c r="BI523">
        <f>$C523*BI522</f>
        <v/>
      </c>
      <c r="BJ523">
        <f>$C523*BJ522</f>
        <v/>
      </c>
      <c r="BK523">
        <f>$C523*BK522</f>
        <v/>
      </c>
      <c r="BL523">
        <f>$C523*BL522</f>
        <v/>
      </c>
      <c r="BM523">
        <f>$C523*BM522</f>
        <v/>
      </c>
      <c r="BN523">
        <f>$C523*BN522</f>
        <v/>
      </c>
      <c r="BO523">
        <f>$C523*BO522</f>
        <v/>
      </c>
      <c r="BP523">
        <f>$C523*BP522</f>
        <v/>
      </c>
      <c r="BQ523">
        <f>$C523*BQ522</f>
        <v/>
      </c>
      <c r="BR523">
        <f>$C523*BR522</f>
        <v/>
      </c>
      <c r="BS523">
        <f>$C523*BS522</f>
        <v/>
      </c>
      <c r="BT523">
        <f>$C523*BT522</f>
        <v/>
      </c>
      <c r="BU523">
        <f>$C523*BU522</f>
        <v/>
      </c>
      <c r="BV523">
        <f>$C523*BV522</f>
        <v/>
      </c>
      <c r="BW523">
        <f>$C523*BW522</f>
        <v/>
      </c>
      <c r="BX523">
        <f>$C523*BX522</f>
        <v/>
      </c>
      <c r="BY523">
        <f>$C523*BY522</f>
        <v/>
      </c>
      <c r="BZ523">
        <f>$C523*BZ522</f>
        <v/>
      </c>
      <c r="CA523">
        <f>$C523*CA522</f>
        <v/>
      </c>
      <c r="CB523">
        <f>$C523*CB522</f>
        <v/>
      </c>
      <c r="CC523">
        <f>$C523*CC522</f>
        <v/>
      </c>
      <c r="CD523">
        <f>$C523*CD522</f>
        <v/>
      </c>
      <c r="CE523">
        <f>$C523*CE522</f>
        <v/>
      </c>
      <c r="CF523">
        <f>$C523*CF522</f>
        <v/>
      </c>
      <c r="CG523">
        <f>$C523*CG522</f>
        <v/>
      </c>
      <c r="CH523">
        <f>$C523*CH522</f>
        <v/>
      </c>
      <c r="CI523">
        <f>$C523*CI522</f>
        <v/>
      </c>
      <c r="CJ523">
        <f>$C523*CJ522</f>
        <v/>
      </c>
      <c r="CK523">
        <f>$C523*CK522</f>
        <v/>
      </c>
      <c r="CL523">
        <f>$C523*CL522</f>
        <v/>
      </c>
      <c r="CM523">
        <f>$C523*CM522</f>
        <v/>
      </c>
      <c r="CN523">
        <f>$C523*CN522</f>
        <v/>
      </c>
      <c r="CO523">
        <f>$C523*CO522</f>
        <v/>
      </c>
      <c r="CP523">
        <f>$C523*CP522</f>
        <v/>
      </c>
      <c r="CQ523">
        <f>$C523*CQ522</f>
        <v/>
      </c>
      <c r="CR523">
        <f>$C523*CR522</f>
        <v/>
      </c>
      <c r="CS523">
        <f>$C523*CS522</f>
        <v/>
      </c>
      <c r="CT523">
        <f>$C523*CT522</f>
        <v/>
      </c>
      <c r="CU523">
        <f>$C523*CU522</f>
        <v/>
      </c>
      <c r="CV523">
        <f>$C523*CV522</f>
        <v/>
      </c>
      <c r="CW523">
        <f>$C523*CW522</f>
        <v/>
      </c>
      <c r="CX523">
        <f>$C523*CX522</f>
        <v/>
      </c>
      <c r="CY523">
        <f>$C523*CY522</f>
        <v/>
      </c>
      <c r="CZ523">
        <f>$C523*CZ522</f>
        <v/>
      </c>
      <c r="DA523">
        <f>$C523*DA522</f>
        <v/>
      </c>
      <c r="DB523">
        <f>$C523*DB522</f>
        <v/>
      </c>
      <c r="DC523">
        <f>$C523*DC522</f>
        <v/>
      </c>
    </row>
    <row r="524">
      <c r="B524" t="inlineStr">
        <is>
          <t>VSP-604</t>
        </is>
      </c>
      <c r="C524" t="inlineStr">
        <is>
          <t>No. of batches</t>
        </is>
      </c>
      <c r="D524">
        <f>IFERROR(INDEX(PP_Grid[#Data],$DD524,2),0)</f>
        <v/>
      </c>
      <c r="E524">
        <f>IFERROR(INDEX(PP_Grid[#Data],$DD524,3),0)</f>
        <v/>
      </c>
      <c r="F524">
        <f>IFERROR(INDEX(PP_Grid[#Data],$DD524,4),0)</f>
        <v/>
      </c>
      <c r="G524">
        <f>IFERROR(INDEX(PP_Grid[#Data],$DD524,5),0)</f>
        <v/>
      </c>
      <c r="H524">
        <f>IFERROR(INDEX(PP_Grid[#Data],$DD524,6),0)</f>
        <v/>
      </c>
      <c r="I524">
        <f>IFERROR(INDEX(PP_Grid[#Data],$DD524,7),0)</f>
        <v/>
      </c>
      <c r="J524">
        <f>IFERROR(INDEX(PP_Grid[#Data],$DD524,8),0)</f>
        <v/>
      </c>
      <c r="K524">
        <f>IFERROR(INDEX(PP_Grid[#Data],$DD524,9),0)</f>
        <v/>
      </c>
      <c r="L524">
        <f>IFERROR(INDEX(PP_Grid[#Data],$DD524,10),0)</f>
        <v/>
      </c>
      <c r="M524">
        <f>IFERROR(INDEX(PP_Grid[#Data],$DD524,11),0)</f>
        <v/>
      </c>
      <c r="N524">
        <f>IFERROR(INDEX(PP_Grid[#Data],$DD524,12),0)</f>
        <v/>
      </c>
      <c r="O524">
        <f>IFERROR(INDEX(PP_Grid[#Data],$DD524,13),0)</f>
        <v/>
      </c>
      <c r="P524">
        <f>IFERROR(INDEX(PP_Grid[#Data],$DD524,14),0)</f>
        <v/>
      </c>
      <c r="Q524">
        <f>IFERROR(INDEX(PP_Grid[#Data],$DD524,15),0)</f>
        <v/>
      </c>
      <c r="R524">
        <f>IFERROR(INDEX(PP_Grid[#Data],$DD524,16),0)</f>
        <v/>
      </c>
      <c r="S524">
        <f>IFERROR(INDEX(PP_Grid[#Data],$DD524,17),0)</f>
        <v/>
      </c>
      <c r="T524">
        <f>IFERROR(INDEX(PP_Grid[#Data],$DD524,18),0)</f>
        <v/>
      </c>
      <c r="U524">
        <f>IFERROR(INDEX(PP_Grid[#Data],$DD524,19),0)</f>
        <v/>
      </c>
      <c r="V524">
        <f>IFERROR(INDEX(PP_Grid[#Data],$DD524,20),0)</f>
        <v/>
      </c>
      <c r="W524">
        <f>IFERROR(INDEX(PP_Grid[#Data],$DD524,21),0)</f>
        <v/>
      </c>
      <c r="X524">
        <f>IFERROR(INDEX(PP_Grid[#Data],$DD524,22),0)</f>
        <v/>
      </c>
      <c r="Y524">
        <f>IFERROR(INDEX(PP_Grid[#Data],$DD524,23),0)</f>
        <v/>
      </c>
      <c r="Z524">
        <f>IFERROR(INDEX(PP_Grid[#Data],$DD524,24),0)</f>
        <v/>
      </c>
      <c r="AA524">
        <f>IFERROR(INDEX(PP_Grid[#Data],$DD524,25),0)</f>
        <v/>
      </c>
      <c r="AB524">
        <f>IFERROR(INDEX(PP_Grid[#Data],$DD524,26),0)</f>
        <v/>
      </c>
      <c r="AC524">
        <f>IFERROR(INDEX(PP_Grid[#Data],$DD524,27),0)</f>
        <v/>
      </c>
      <c r="AD524">
        <f>IFERROR(INDEX(PP_Grid[#Data],$DD524,28),0)</f>
        <v/>
      </c>
      <c r="AE524">
        <f>IFERROR(INDEX(PP_Grid[#Data],$DD524,29),0)</f>
        <v/>
      </c>
      <c r="AF524">
        <f>IFERROR(INDEX(PP_Grid[#Data],$DD524,30),0)</f>
        <v/>
      </c>
      <c r="AG524">
        <f>IFERROR(INDEX(PP_Grid[#Data],$DD524,31),0)</f>
        <v/>
      </c>
      <c r="AH524">
        <f>IFERROR(INDEX(PP_Grid[#Data],$DD524,32),0)</f>
        <v/>
      </c>
      <c r="AI524">
        <f>IFERROR(INDEX(PP_Grid[#Data],$DD524,33),0)</f>
        <v/>
      </c>
      <c r="AJ524">
        <f>IFERROR(INDEX(PP_Grid[#Data],$DD524,34),0)</f>
        <v/>
      </c>
      <c r="AK524">
        <f>IFERROR(INDEX(PP_Grid[#Data],$DD524,35),0)</f>
        <v/>
      </c>
      <c r="AL524">
        <f>IFERROR(INDEX(PP_Grid[#Data],$DD524,36),0)</f>
        <v/>
      </c>
      <c r="AM524">
        <f>IFERROR(INDEX(PP_Grid[#Data],$DD524,37),0)</f>
        <v/>
      </c>
      <c r="AN524">
        <f>IFERROR(INDEX(PP_Grid[#Data],$DD524,38),0)</f>
        <v/>
      </c>
      <c r="AO524">
        <f>IFERROR(INDEX(PP_Grid[#Data],$DD524,39),0)</f>
        <v/>
      </c>
      <c r="AP524">
        <f>IFERROR(INDEX(PP_Grid[#Data],$DD524,40),0)</f>
        <v/>
      </c>
      <c r="AQ524">
        <f>IFERROR(INDEX(PP_Grid[#Data],$DD524,41),0)</f>
        <v/>
      </c>
      <c r="AR524">
        <f>IFERROR(INDEX(PP_Grid[#Data],$DD524,42),0)</f>
        <v/>
      </c>
      <c r="AS524">
        <f>IFERROR(INDEX(PP_Grid[#Data],$DD524,43),0)</f>
        <v/>
      </c>
      <c r="AT524">
        <f>IFERROR(INDEX(PP_Grid[#Data],$DD524,44),0)</f>
        <v/>
      </c>
      <c r="AU524">
        <f>IFERROR(INDEX(PP_Grid[#Data],$DD524,45),0)</f>
        <v/>
      </c>
      <c r="AV524">
        <f>IFERROR(INDEX(PP_Grid[#Data],$DD524,46),0)</f>
        <v/>
      </c>
      <c r="AW524">
        <f>IFERROR(INDEX(PP_Grid[#Data],$DD524,47),0)</f>
        <v/>
      </c>
      <c r="AX524">
        <f>IFERROR(INDEX(PP_Grid[#Data],$DD524,48),0)</f>
        <v/>
      </c>
      <c r="AY524">
        <f>IFERROR(INDEX(PP_Grid[#Data],$DD524,49),0)</f>
        <v/>
      </c>
      <c r="AZ524">
        <f>IFERROR(INDEX(PP_Grid[#Data],$DD524,50),0)</f>
        <v/>
      </c>
      <c r="BA524">
        <f>IFERROR(INDEX(PP_Grid[#Data],$DD524,51),0)</f>
        <v/>
      </c>
      <c r="BB524">
        <f>IFERROR(INDEX(PP_Grid[#Data],$DD524,52),0)</f>
        <v/>
      </c>
      <c r="BC524">
        <f>IFERROR(INDEX(PP_Grid[#Data],$DD524,53),0)</f>
        <v/>
      </c>
      <c r="BD524">
        <f>IFERROR(INDEX(PP_Grid[#Data],$DD524,54),0)</f>
        <v/>
      </c>
      <c r="BE524">
        <f>IFERROR(INDEX(PP_Grid[#Data],$DD524,55),0)</f>
        <v/>
      </c>
      <c r="BF524">
        <f>IFERROR(INDEX(PP_Grid[#Data],$DD524,56),0)</f>
        <v/>
      </c>
      <c r="BG524">
        <f>IFERROR(INDEX(PP_Grid[#Data],$DD524,57),0)</f>
        <v/>
      </c>
      <c r="BH524">
        <f>IFERROR(INDEX(PP_Grid[#Data],$DD524,58),0)</f>
        <v/>
      </c>
      <c r="BI524">
        <f>IFERROR(INDEX(PP_Grid[#Data],$DD524,59),0)</f>
        <v/>
      </c>
      <c r="BJ524">
        <f>IFERROR(INDEX(PP_Grid[#Data],$DD524,60),0)</f>
        <v/>
      </c>
      <c r="BK524">
        <f>IFERROR(INDEX(PP_Grid[#Data],$DD524,61),0)</f>
        <v/>
      </c>
      <c r="BL524">
        <f>IFERROR(INDEX(PP_Grid[#Data],$DD524,62),0)</f>
        <v/>
      </c>
      <c r="BM524">
        <f>IFERROR(INDEX(PP_Grid[#Data],$DD524,63),0)</f>
        <v/>
      </c>
      <c r="BN524">
        <f>IFERROR(INDEX(PP_Grid[#Data],$DD524,64),0)</f>
        <v/>
      </c>
      <c r="BO524">
        <f>IFERROR(INDEX(PP_Grid[#Data],$DD524,65),0)</f>
        <v/>
      </c>
      <c r="BP524">
        <f>IFERROR(INDEX(PP_Grid[#Data],$DD524,66),0)</f>
        <v/>
      </c>
      <c r="BQ524">
        <f>IFERROR(INDEX(PP_Grid[#Data],$DD524,67),0)</f>
        <v/>
      </c>
      <c r="BR524">
        <f>IFERROR(INDEX(PP_Grid[#Data],$DD524,68),0)</f>
        <v/>
      </c>
      <c r="BS524">
        <f>IFERROR(INDEX(PP_Grid[#Data],$DD524,69),0)</f>
        <v/>
      </c>
      <c r="BT524">
        <f>IFERROR(INDEX(PP_Grid[#Data],$DD524,70),0)</f>
        <v/>
      </c>
      <c r="BU524">
        <f>IFERROR(INDEX(PP_Grid[#Data],$DD524,71),0)</f>
        <v/>
      </c>
      <c r="BV524">
        <f>IFERROR(INDEX(PP_Grid[#Data],$DD524,72),0)</f>
        <v/>
      </c>
      <c r="BW524">
        <f>IFERROR(INDEX(PP_Grid[#Data],$DD524,73),0)</f>
        <v/>
      </c>
      <c r="BX524">
        <f>IFERROR(INDEX(PP_Grid[#Data],$DD524,74),0)</f>
        <v/>
      </c>
      <c r="BY524">
        <f>IFERROR(INDEX(PP_Grid[#Data],$DD524,75),0)</f>
        <v/>
      </c>
      <c r="BZ524">
        <f>IFERROR(INDEX(PP_Grid[#Data],$DD524,76),0)</f>
        <v/>
      </c>
      <c r="CA524">
        <f>IFERROR(INDEX(PP_Grid[#Data],$DD524,77),0)</f>
        <v/>
      </c>
      <c r="CB524">
        <f>IFERROR(INDEX(PP_Grid[#Data],$DD524,78),0)</f>
        <v/>
      </c>
      <c r="CC524">
        <f>IFERROR(INDEX(PP_Grid[#Data],$DD524,79),0)</f>
        <v/>
      </c>
      <c r="CD524">
        <f>IFERROR(INDEX(PP_Grid[#Data],$DD524,80),0)</f>
        <v/>
      </c>
      <c r="CE524">
        <f>IFERROR(INDEX(PP_Grid[#Data],$DD524,81),0)</f>
        <v/>
      </c>
      <c r="CF524">
        <f>IFERROR(INDEX(PP_Grid[#Data],$DD524,82),0)</f>
        <v/>
      </c>
      <c r="CG524">
        <f>IFERROR(INDEX(PP_Grid[#Data],$DD524,83),0)</f>
        <v/>
      </c>
      <c r="CH524">
        <f>IFERROR(INDEX(PP_Grid[#Data],$DD524,84),0)</f>
        <v/>
      </c>
      <c r="CI524">
        <f>IFERROR(INDEX(PP_Grid[#Data],$DD524,85),0)</f>
        <v/>
      </c>
      <c r="CJ524">
        <f>IFERROR(INDEX(PP_Grid[#Data],$DD524,86),0)</f>
        <v/>
      </c>
      <c r="CK524">
        <f>IFERROR(INDEX(PP_Grid[#Data],$DD524,87),0)</f>
        <v/>
      </c>
      <c r="CL524">
        <f>IFERROR(INDEX(PP_Grid[#Data],$DD524,88),0)</f>
        <v/>
      </c>
      <c r="CM524">
        <f>IFERROR(INDEX(PP_Grid[#Data],$DD524,89),0)</f>
        <v/>
      </c>
      <c r="CN524">
        <f>IFERROR(INDEX(PP_Grid[#Data],$DD524,90),0)</f>
        <v/>
      </c>
      <c r="CO524">
        <f>IFERROR(INDEX(PP_Grid[#Data],$DD524,91),0)</f>
        <v/>
      </c>
      <c r="CP524">
        <f>IFERROR(INDEX(PP_Grid[#Data],$DD524,92),0)</f>
        <v/>
      </c>
      <c r="CQ524">
        <f>IFERROR(INDEX(PP_Grid[#Data],$DD524,93),0)</f>
        <v/>
      </c>
      <c r="CR524">
        <f>IFERROR(INDEX(PP_Grid[#Data],$DD524,94),0)</f>
        <v/>
      </c>
      <c r="CS524">
        <f>IFERROR(INDEX(PP_Grid[#Data],$DD524,95),0)</f>
        <v/>
      </c>
      <c r="CT524">
        <f>IFERROR(INDEX(PP_Grid[#Data],$DD524,96),0)</f>
        <v/>
      </c>
      <c r="CU524">
        <f>IFERROR(INDEX(PP_Grid[#Data],$DD524,97),0)</f>
        <v/>
      </c>
      <c r="CV524">
        <f>IFERROR(INDEX(PP_Grid[#Data],$DD524,98),0)</f>
        <v/>
      </c>
      <c r="CW524">
        <f>IFERROR(INDEX(PP_Grid[#Data],$DD524,99),0)</f>
        <v/>
      </c>
      <c r="CX524">
        <f>IFERROR(INDEX(PP_Grid[#Data],$DD524,100),0)</f>
        <v/>
      </c>
      <c r="CY524">
        <f>IFERROR(INDEX(PP_Grid[#Data],$DD524,101),0)</f>
        <v/>
      </c>
      <c r="CZ524">
        <f>IFERROR(INDEX(PP_Grid[#Data],$DD524,102),0)</f>
        <v/>
      </c>
      <c r="DA524">
        <f>IFERROR(INDEX(PP_Grid[#Data],$DD524,103),0)</f>
        <v/>
      </c>
      <c r="DB524">
        <f>IFERROR(INDEX(PP_Grid[#Data],$DD524,104),0)</f>
        <v/>
      </c>
      <c r="DC524">
        <f>IFERROR(INDEX(PP_Grid[#Data],$DD524,105),0)</f>
        <v/>
      </c>
      <c r="DD524" s="7">
        <f>IFERROR(MATCH($B524,PP_Grid[Intermediate],0),99999)</f>
        <v/>
      </c>
    </row>
    <row r="525">
      <c r="B525" t="inlineStr">
        <is>
          <t>使用量(kg)</t>
        </is>
      </c>
      <c r="C525">
        <f>SUMIFS(M_BOM[RM_Qty_Per_Batch],M_BOM[Intermediate],$B524,M_BOM[Part Name],$A507)</f>
        <v/>
      </c>
      <c r="D525">
        <f>$C525*D524</f>
        <v/>
      </c>
      <c r="E525">
        <f>$C525*E524</f>
        <v/>
      </c>
      <c r="F525">
        <f>$C525*F524</f>
        <v/>
      </c>
      <c r="G525">
        <f>$C525*G524</f>
        <v/>
      </c>
      <c r="H525">
        <f>$C525*H524</f>
        <v/>
      </c>
      <c r="I525">
        <f>$C525*I524</f>
        <v/>
      </c>
      <c r="J525">
        <f>$C525*J524</f>
        <v/>
      </c>
      <c r="K525">
        <f>$C525*K524</f>
        <v/>
      </c>
      <c r="L525">
        <f>$C525*L524</f>
        <v/>
      </c>
      <c r="M525">
        <f>$C525*M524</f>
        <v/>
      </c>
      <c r="N525">
        <f>$C525*N524</f>
        <v/>
      </c>
      <c r="O525">
        <f>$C525*O524</f>
        <v/>
      </c>
      <c r="P525">
        <f>$C525*P524</f>
        <v/>
      </c>
      <c r="Q525">
        <f>$C525*Q524</f>
        <v/>
      </c>
      <c r="R525">
        <f>$C525*R524</f>
        <v/>
      </c>
      <c r="S525">
        <f>$C525*S524</f>
        <v/>
      </c>
      <c r="T525">
        <f>$C525*T524</f>
        <v/>
      </c>
      <c r="U525">
        <f>$C525*U524</f>
        <v/>
      </c>
      <c r="V525">
        <f>$C525*V524</f>
        <v/>
      </c>
      <c r="W525">
        <f>$C525*W524</f>
        <v/>
      </c>
      <c r="X525">
        <f>$C525*X524</f>
        <v/>
      </c>
      <c r="Y525">
        <f>$C525*Y524</f>
        <v/>
      </c>
      <c r="Z525">
        <f>$C525*Z524</f>
        <v/>
      </c>
      <c r="AA525">
        <f>$C525*AA524</f>
        <v/>
      </c>
      <c r="AB525">
        <f>$C525*AB524</f>
        <v/>
      </c>
      <c r="AC525">
        <f>$C525*AC524</f>
        <v/>
      </c>
      <c r="AD525">
        <f>$C525*AD524</f>
        <v/>
      </c>
      <c r="AE525">
        <f>$C525*AE524</f>
        <v/>
      </c>
      <c r="AF525">
        <f>$C525*AF524</f>
        <v/>
      </c>
      <c r="AG525">
        <f>$C525*AG524</f>
        <v/>
      </c>
      <c r="AH525">
        <f>$C525*AH524</f>
        <v/>
      </c>
      <c r="AI525">
        <f>$C525*AI524</f>
        <v/>
      </c>
      <c r="AJ525">
        <f>$C525*AJ524</f>
        <v/>
      </c>
      <c r="AK525">
        <f>$C525*AK524</f>
        <v/>
      </c>
      <c r="AL525">
        <f>$C525*AL524</f>
        <v/>
      </c>
      <c r="AM525">
        <f>$C525*AM524</f>
        <v/>
      </c>
      <c r="AN525">
        <f>$C525*AN524</f>
        <v/>
      </c>
      <c r="AO525">
        <f>$C525*AO524</f>
        <v/>
      </c>
      <c r="AP525">
        <f>$C525*AP524</f>
        <v/>
      </c>
      <c r="AQ525">
        <f>$C525*AQ524</f>
        <v/>
      </c>
      <c r="AR525">
        <f>$C525*AR524</f>
        <v/>
      </c>
      <c r="AS525">
        <f>$C525*AS524</f>
        <v/>
      </c>
      <c r="AT525">
        <f>$C525*AT524</f>
        <v/>
      </c>
      <c r="AU525">
        <f>$C525*AU524</f>
        <v/>
      </c>
      <c r="AV525">
        <f>$C525*AV524</f>
        <v/>
      </c>
      <c r="AW525">
        <f>$C525*AW524</f>
        <v/>
      </c>
      <c r="AX525">
        <f>$C525*AX524</f>
        <v/>
      </c>
      <c r="AY525">
        <f>$C525*AY524</f>
        <v/>
      </c>
      <c r="AZ525">
        <f>$C525*AZ524</f>
        <v/>
      </c>
      <c r="BA525">
        <f>$C525*BA524</f>
        <v/>
      </c>
      <c r="BB525">
        <f>$C525*BB524</f>
        <v/>
      </c>
      <c r="BC525">
        <f>$C525*BC524</f>
        <v/>
      </c>
      <c r="BD525">
        <f>$C525*BD524</f>
        <v/>
      </c>
      <c r="BE525">
        <f>$C525*BE524</f>
        <v/>
      </c>
      <c r="BF525">
        <f>$C525*BF524</f>
        <v/>
      </c>
      <c r="BG525">
        <f>$C525*BG524</f>
        <v/>
      </c>
      <c r="BH525">
        <f>$C525*BH524</f>
        <v/>
      </c>
      <c r="BI525">
        <f>$C525*BI524</f>
        <v/>
      </c>
      <c r="BJ525">
        <f>$C525*BJ524</f>
        <v/>
      </c>
      <c r="BK525">
        <f>$C525*BK524</f>
        <v/>
      </c>
      <c r="BL525">
        <f>$C525*BL524</f>
        <v/>
      </c>
      <c r="BM525">
        <f>$C525*BM524</f>
        <v/>
      </c>
      <c r="BN525">
        <f>$C525*BN524</f>
        <v/>
      </c>
      <c r="BO525">
        <f>$C525*BO524</f>
        <v/>
      </c>
      <c r="BP525">
        <f>$C525*BP524</f>
        <v/>
      </c>
      <c r="BQ525">
        <f>$C525*BQ524</f>
        <v/>
      </c>
      <c r="BR525">
        <f>$C525*BR524</f>
        <v/>
      </c>
      <c r="BS525">
        <f>$C525*BS524</f>
        <v/>
      </c>
      <c r="BT525">
        <f>$C525*BT524</f>
        <v/>
      </c>
      <c r="BU525">
        <f>$C525*BU524</f>
        <v/>
      </c>
      <c r="BV525">
        <f>$C525*BV524</f>
        <v/>
      </c>
      <c r="BW525">
        <f>$C525*BW524</f>
        <v/>
      </c>
      <c r="BX525">
        <f>$C525*BX524</f>
        <v/>
      </c>
      <c r="BY525">
        <f>$C525*BY524</f>
        <v/>
      </c>
      <c r="BZ525">
        <f>$C525*BZ524</f>
        <v/>
      </c>
      <c r="CA525">
        <f>$C525*CA524</f>
        <v/>
      </c>
      <c r="CB525">
        <f>$C525*CB524</f>
        <v/>
      </c>
      <c r="CC525">
        <f>$C525*CC524</f>
        <v/>
      </c>
      <c r="CD525">
        <f>$C525*CD524</f>
        <v/>
      </c>
      <c r="CE525">
        <f>$C525*CE524</f>
        <v/>
      </c>
      <c r="CF525">
        <f>$C525*CF524</f>
        <v/>
      </c>
      <c r="CG525">
        <f>$C525*CG524</f>
        <v/>
      </c>
      <c r="CH525">
        <f>$C525*CH524</f>
        <v/>
      </c>
      <c r="CI525">
        <f>$C525*CI524</f>
        <v/>
      </c>
      <c r="CJ525">
        <f>$C525*CJ524</f>
        <v/>
      </c>
      <c r="CK525">
        <f>$C525*CK524</f>
        <v/>
      </c>
      <c r="CL525">
        <f>$C525*CL524</f>
        <v/>
      </c>
      <c r="CM525">
        <f>$C525*CM524</f>
        <v/>
      </c>
      <c r="CN525">
        <f>$C525*CN524</f>
        <v/>
      </c>
      <c r="CO525">
        <f>$C525*CO524</f>
        <v/>
      </c>
      <c r="CP525">
        <f>$C525*CP524</f>
        <v/>
      </c>
      <c r="CQ525">
        <f>$C525*CQ524</f>
        <v/>
      </c>
      <c r="CR525">
        <f>$C525*CR524</f>
        <v/>
      </c>
      <c r="CS525">
        <f>$C525*CS524</f>
        <v/>
      </c>
      <c r="CT525">
        <f>$C525*CT524</f>
        <v/>
      </c>
      <c r="CU525">
        <f>$C525*CU524</f>
        <v/>
      </c>
      <c r="CV525">
        <f>$C525*CV524</f>
        <v/>
      </c>
      <c r="CW525">
        <f>$C525*CW524</f>
        <v/>
      </c>
      <c r="CX525">
        <f>$C525*CX524</f>
        <v/>
      </c>
      <c r="CY525">
        <f>$C525*CY524</f>
        <v/>
      </c>
      <c r="CZ525">
        <f>$C525*CZ524</f>
        <v/>
      </c>
      <c r="DA525">
        <f>$C525*DA524</f>
        <v/>
      </c>
      <c r="DB525">
        <f>$C525*DB524</f>
        <v/>
      </c>
      <c r="DC525">
        <f>$C525*DC524</f>
        <v/>
      </c>
    </row>
    <row r="526">
      <c r="B526" t="inlineStr">
        <is>
          <t>VSP-606</t>
        </is>
      </c>
      <c r="C526" t="inlineStr">
        <is>
          <t>No. of batches</t>
        </is>
      </c>
      <c r="D526">
        <f>IFERROR(INDEX(PP_Grid[#Data],$DD526,2),0)</f>
        <v/>
      </c>
      <c r="E526">
        <f>IFERROR(INDEX(PP_Grid[#Data],$DD526,3),0)</f>
        <v/>
      </c>
      <c r="F526">
        <f>IFERROR(INDEX(PP_Grid[#Data],$DD526,4),0)</f>
        <v/>
      </c>
      <c r="G526">
        <f>IFERROR(INDEX(PP_Grid[#Data],$DD526,5),0)</f>
        <v/>
      </c>
      <c r="H526">
        <f>IFERROR(INDEX(PP_Grid[#Data],$DD526,6),0)</f>
        <v/>
      </c>
      <c r="I526">
        <f>IFERROR(INDEX(PP_Grid[#Data],$DD526,7),0)</f>
        <v/>
      </c>
      <c r="J526">
        <f>IFERROR(INDEX(PP_Grid[#Data],$DD526,8),0)</f>
        <v/>
      </c>
      <c r="K526">
        <f>IFERROR(INDEX(PP_Grid[#Data],$DD526,9),0)</f>
        <v/>
      </c>
      <c r="L526">
        <f>IFERROR(INDEX(PP_Grid[#Data],$DD526,10),0)</f>
        <v/>
      </c>
      <c r="M526">
        <f>IFERROR(INDEX(PP_Grid[#Data],$DD526,11),0)</f>
        <v/>
      </c>
      <c r="N526">
        <f>IFERROR(INDEX(PP_Grid[#Data],$DD526,12),0)</f>
        <v/>
      </c>
      <c r="O526">
        <f>IFERROR(INDEX(PP_Grid[#Data],$DD526,13),0)</f>
        <v/>
      </c>
      <c r="P526">
        <f>IFERROR(INDEX(PP_Grid[#Data],$DD526,14),0)</f>
        <v/>
      </c>
      <c r="Q526">
        <f>IFERROR(INDEX(PP_Grid[#Data],$DD526,15),0)</f>
        <v/>
      </c>
      <c r="R526">
        <f>IFERROR(INDEX(PP_Grid[#Data],$DD526,16),0)</f>
        <v/>
      </c>
      <c r="S526">
        <f>IFERROR(INDEX(PP_Grid[#Data],$DD526,17),0)</f>
        <v/>
      </c>
      <c r="T526">
        <f>IFERROR(INDEX(PP_Grid[#Data],$DD526,18),0)</f>
        <v/>
      </c>
      <c r="U526">
        <f>IFERROR(INDEX(PP_Grid[#Data],$DD526,19),0)</f>
        <v/>
      </c>
      <c r="V526">
        <f>IFERROR(INDEX(PP_Grid[#Data],$DD526,20),0)</f>
        <v/>
      </c>
      <c r="W526">
        <f>IFERROR(INDEX(PP_Grid[#Data],$DD526,21),0)</f>
        <v/>
      </c>
      <c r="X526">
        <f>IFERROR(INDEX(PP_Grid[#Data],$DD526,22),0)</f>
        <v/>
      </c>
      <c r="Y526">
        <f>IFERROR(INDEX(PP_Grid[#Data],$DD526,23),0)</f>
        <v/>
      </c>
      <c r="Z526">
        <f>IFERROR(INDEX(PP_Grid[#Data],$DD526,24),0)</f>
        <v/>
      </c>
      <c r="AA526">
        <f>IFERROR(INDEX(PP_Grid[#Data],$DD526,25),0)</f>
        <v/>
      </c>
      <c r="AB526">
        <f>IFERROR(INDEX(PP_Grid[#Data],$DD526,26),0)</f>
        <v/>
      </c>
      <c r="AC526">
        <f>IFERROR(INDEX(PP_Grid[#Data],$DD526,27),0)</f>
        <v/>
      </c>
      <c r="AD526">
        <f>IFERROR(INDEX(PP_Grid[#Data],$DD526,28),0)</f>
        <v/>
      </c>
      <c r="AE526">
        <f>IFERROR(INDEX(PP_Grid[#Data],$DD526,29),0)</f>
        <v/>
      </c>
      <c r="AF526">
        <f>IFERROR(INDEX(PP_Grid[#Data],$DD526,30),0)</f>
        <v/>
      </c>
      <c r="AG526">
        <f>IFERROR(INDEX(PP_Grid[#Data],$DD526,31),0)</f>
        <v/>
      </c>
      <c r="AH526">
        <f>IFERROR(INDEX(PP_Grid[#Data],$DD526,32),0)</f>
        <v/>
      </c>
      <c r="AI526">
        <f>IFERROR(INDEX(PP_Grid[#Data],$DD526,33),0)</f>
        <v/>
      </c>
      <c r="AJ526">
        <f>IFERROR(INDEX(PP_Grid[#Data],$DD526,34),0)</f>
        <v/>
      </c>
      <c r="AK526">
        <f>IFERROR(INDEX(PP_Grid[#Data],$DD526,35),0)</f>
        <v/>
      </c>
      <c r="AL526">
        <f>IFERROR(INDEX(PP_Grid[#Data],$DD526,36),0)</f>
        <v/>
      </c>
      <c r="AM526">
        <f>IFERROR(INDEX(PP_Grid[#Data],$DD526,37),0)</f>
        <v/>
      </c>
      <c r="AN526">
        <f>IFERROR(INDEX(PP_Grid[#Data],$DD526,38),0)</f>
        <v/>
      </c>
      <c r="AO526">
        <f>IFERROR(INDEX(PP_Grid[#Data],$DD526,39),0)</f>
        <v/>
      </c>
      <c r="AP526">
        <f>IFERROR(INDEX(PP_Grid[#Data],$DD526,40),0)</f>
        <v/>
      </c>
      <c r="AQ526">
        <f>IFERROR(INDEX(PP_Grid[#Data],$DD526,41),0)</f>
        <v/>
      </c>
      <c r="AR526">
        <f>IFERROR(INDEX(PP_Grid[#Data],$DD526,42),0)</f>
        <v/>
      </c>
      <c r="AS526">
        <f>IFERROR(INDEX(PP_Grid[#Data],$DD526,43),0)</f>
        <v/>
      </c>
      <c r="AT526">
        <f>IFERROR(INDEX(PP_Grid[#Data],$DD526,44),0)</f>
        <v/>
      </c>
      <c r="AU526">
        <f>IFERROR(INDEX(PP_Grid[#Data],$DD526,45),0)</f>
        <v/>
      </c>
      <c r="AV526">
        <f>IFERROR(INDEX(PP_Grid[#Data],$DD526,46),0)</f>
        <v/>
      </c>
      <c r="AW526">
        <f>IFERROR(INDEX(PP_Grid[#Data],$DD526,47),0)</f>
        <v/>
      </c>
      <c r="AX526">
        <f>IFERROR(INDEX(PP_Grid[#Data],$DD526,48),0)</f>
        <v/>
      </c>
      <c r="AY526">
        <f>IFERROR(INDEX(PP_Grid[#Data],$DD526,49),0)</f>
        <v/>
      </c>
      <c r="AZ526">
        <f>IFERROR(INDEX(PP_Grid[#Data],$DD526,50),0)</f>
        <v/>
      </c>
      <c r="BA526">
        <f>IFERROR(INDEX(PP_Grid[#Data],$DD526,51),0)</f>
        <v/>
      </c>
      <c r="BB526">
        <f>IFERROR(INDEX(PP_Grid[#Data],$DD526,52),0)</f>
        <v/>
      </c>
      <c r="BC526">
        <f>IFERROR(INDEX(PP_Grid[#Data],$DD526,53),0)</f>
        <v/>
      </c>
      <c r="BD526">
        <f>IFERROR(INDEX(PP_Grid[#Data],$DD526,54),0)</f>
        <v/>
      </c>
      <c r="BE526">
        <f>IFERROR(INDEX(PP_Grid[#Data],$DD526,55),0)</f>
        <v/>
      </c>
      <c r="BF526">
        <f>IFERROR(INDEX(PP_Grid[#Data],$DD526,56),0)</f>
        <v/>
      </c>
      <c r="BG526">
        <f>IFERROR(INDEX(PP_Grid[#Data],$DD526,57),0)</f>
        <v/>
      </c>
      <c r="BH526">
        <f>IFERROR(INDEX(PP_Grid[#Data],$DD526,58),0)</f>
        <v/>
      </c>
      <c r="BI526">
        <f>IFERROR(INDEX(PP_Grid[#Data],$DD526,59),0)</f>
        <v/>
      </c>
      <c r="BJ526">
        <f>IFERROR(INDEX(PP_Grid[#Data],$DD526,60),0)</f>
        <v/>
      </c>
      <c r="BK526">
        <f>IFERROR(INDEX(PP_Grid[#Data],$DD526,61),0)</f>
        <v/>
      </c>
      <c r="BL526">
        <f>IFERROR(INDEX(PP_Grid[#Data],$DD526,62),0)</f>
        <v/>
      </c>
      <c r="BM526">
        <f>IFERROR(INDEX(PP_Grid[#Data],$DD526,63),0)</f>
        <v/>
      </c>
      <c r="BN526">
        <f>IFERROR(INDEX(PP_Grid[#Data],$DD526,64),0)</f>
        <v/>
      </c>
      <c r="BO526">
        <f>IFERROR(INDEX(PP_Grid[#Data],$DD526,65),0)</f>
        <v/>
      </c>
      <c r="BP526">
        <f>IFERROR(INDEX(PP_Grid[#Data],$DD526,66),0)</f>
        <v/>
      </c>
      <c r="BQ526">
        <f>IFERROR(INDEX(PP_Grid[#Data],$DD526,67),0)</f>
        <v/>
      </c>
      <c r="BR526">
        <f>IFERROR(INDEX(PP_Grid[#Data],$DD526,68),0)</f>
        <v/>
      </c>
      <c r="BS526">
        <f>IFERROR(INDEX(PP_Grid[#Data],$DD526,69),0)</f>
        <v/>
      </c>
      <c r="BT526">
        <f>IFERROR(INDEX(PP_Grid[#Data],$DD526,70),0)</f>
        <v/>
      </c>
      <c r="BU526">
        <f>IFERROR(INDEX(PP_Grid[#Data],$DD526,71),0)</f>
        <v/>
      </c>
      <c r="BV526">
        <f>IFERROR(INDEX(PP_Grid[#Data],$DD526,72),0)</f>
        <v/>
      </c>
      <c r="BW526">
        <f>IFERROR(INDEX(PP_Grid[#Data],$DD526,73),0)</f>
        <v/>
      </c>
      <c r="BX526">
        <f>IFERROR(INDEX(PP_Grid[#Data],$DD526,74),0)</f>
        <v/>
      </c>
      <c r="BY526">
        <f>IFERROR(INDEX(PP_Grid[#Data],$DD526,75),0)</f>
        <v/>
      </c>
      <c r="BZ526">
        <f>IFERROR(INDEX(PP_Grid[#Data],$DD526,76),0)</f>
        <v/>
      </c>
      <c r="CA526">
        <f>IFERROR(INDEX(PP_Grid[#Data],$DD526,77),0)</f>
        <v/>
      </c>
      <c r="CB526">
        <f>IFERROR(INDEX(PP_Grid[#Data],$DD526,78),0)</f>
        <v/>
      </c>
      <c r="CC526">
        <f>IFERROR(INDEX(PP_Grid[#Data],$DD526,79),0)</f>
        <v/>
      </c>
      <c r="CD526">
        <f>IFERROR(INDEX(PP_Grid[#Data],$DD526,80),0)</f>
        <v/>
      </c>
      <c r="CE526">
        <f>IFERROR(INDEX(PP_Grid[#Data],$DD526,81),0)</f>
        <v/>
      </c>
      <c r="CF526">
        <f>IFERROR(INDEX(PP_Grid[#Data],$DD526,82),0)</f>
        <v/>
      </c>
      <c r="CG526">
        <f>IFERROR(INDEX(PP_Grid[#Data],$DD526,83),0)</f>
        <v/>
      </c>
      <c r="CH526">
        <f>IFERROR(INDEX(PP_Grid[#Data],$DD526,84),0)</f>
        <v/>
      </c>
      <c r="CI526">
        <f>IFERROR(INDEX(PP_Grid[#Data],$DD526,85),0)</f>
        <v/>
      </c>
      <c r="CJ526">
        <f>IFERROR(INDEX(PP_Grid[#Data],$DD526,86),0)</f>
        <v/>
      </c>
      <c r="CK526">
        <f>IFERROR(INDEX(PP_Grid[#Data],$DD526,87),0)</f>
        <v/>
      </c>
      <c r="CL526">
        <f>IFERROR(INDEX(PP_Grid[#Data],$DD526,88),0)</f>
        <v/>
      </c>
      <c r="CM526">
        <f>IFERROR(INDEX(PP_Grid[#Data],$DD526,89),0)</f>
        <v/>
      </c>
      <c r="CN526">
        <f>IFERROR(INDEX(PP_Grid[#Data],$DD526,90),0)</f>
        <v/>
      </c>
      <c r="CO526">
        <f>IFERROR(INDEX(PP_Grid[#Data],$DD526,91),0)</f>
        <v/>
      </c>
      <c r="CP526">
        <f>IFERROR(INDEX(PP_Grid[#Data],$DD526,92),0)</f>
        <v/>
      </c>
      <c r="CQ526">
        <f>IFERROR(INDEX(PP_Grid[#Data],$DD526,93),0)</f>
        <v/>
      </c>
      <c r="CR526">
        <f>IFERROR(INDEX(PP_Grid[#Data],$DD526,94),0)</f>
        <v/>
      </c>
      <c r="CS526">
        <f>IFERROR(INDEX(PP_Grid[#Data],$DD526,95),0)</f>
        <v/>
      </c>
      <c r="CT526">
        <f>IFERROR(INDEX(PP_Grid[#Data],$DD526,96),0)</f>
        <v/>
      </c>
      <c r="CU526">
        <f>IFERROR(INDEX(PP_Grid[#Data],$DD526,97),0)</f>
        <v/>
      </c>
      <c r="CV526">
        <f>IFERROR(INDEX(PP_Grid[#Data],$DD526,98),0)</f>
        <v/>
      </c>
      <c r="CW526">
        <f>IFERROR(INDEX(PP_Grid[#Data],$DD526,99),0)</f>
        <v/>
      </c>
      <c r="CX526">
        <f>IFERROR(INDEX(PP_Grid[#Data],$DD526,100),0)</f>
        <v/>
      </c>
      <c r="CY526">
        <f>IFERROR(INDEX(PP_Grid[#Data],$DD526,101),0)</f>
        <v/>
      </c>
      <c r="CZ526">
        <f>IFERROR(INDEX(PP_Grid[#Data],$DD526,102),0)</f>
        <v/>
      </c>
      <c r="DA526">
        <f>IFERROR(INDEX(PP_Grid[#Data],$DD526,103),0)</f>
        <v/>
      </c>
      <c r="DB526">
        <f>IFERROR(INDEX(PP_Grid[#Data],$DD526,104),0)</f>
        <v/>
      </c>
      <c r="DC526">
        <f>IFERROR(INDEX(PP_Grid[#Data],$DD526,105),0)</f>
        <v/>
      </c>
      <c r="DD526" s="7">
        <f>IFERROR(MATCH($B526,PP_Grid[Intermediate],0),99999)</f>
        <v/>
      </c>
    </row>
    <row r="527">
      <c r="B527" t="inlineStr">
        <is>
          <t>使用量(kg)</t>
        </is>
      </c>
      <c r="C527">
        <f>SUMIFS(M_BOM[RM_Qty_Per_Batch],M_BOM[Intermediate],$B526,M_BOM[Part Name],$A507)</f>
        <v/>
      </c>
      <c r="D527">
        <f>$C527*D526</f>
        <v/>
      </c>
      <c r="E527">
        <f>$C527*E526</f>
        <v/>
      </c>
      <c r="F527">
        <f>$C527*F526</f>
        <v/>
      </c>
      <c r="G527">
        <f>$C527*G526</f>
        <v/>
      </c>
      <c r="H527">
        <f>$C527*H526</f>
        <v/>
      </c>
      <c r="I527">
        <f>$C527*I526</f>
        <v/>
      </c>
      <c r="J527">
        <f>$C527*J526</f>
        <v/>
      </c>
      <c r="K527">
        <f>$C527*K526</f>
        <v/>
      </c>
      <c r="L527">
        <f>$C527*L526</f>
        <v/>
      </c>
      <c r="M527">
        <f>$C527*M526</f>
        <v/>
      </c>
      <c r="N527">
        <f>$C527*N526</f>
        <v/>
      </c>
      <c r="O527">
        <f>$C527*O526</f>
        <v/>
      </c>
      <c r="P527">
        <f>$C527*P526</f>
        <v/>
      </c>
      <c r="Q527">
        <f>$C527*Q526</f>
        <v/>
      </c>
      <c r="R527">
        <f>$C527*R526</f>
        <v/>
      </c>
      <c r="S527">
        <f>$C527*S526</f>
        <v/>
      </c>
      <c r="T527">
        <f>$C527*T526</f>
        <v/>
      </c>
      <c r="U527">
        <f>$C527*U526</f>
        <v/>
      </c>
      <c r="V527">
        <f>$C527*V526</f>
        <v/>
      </c>
      <c r="W527">
        <f>$C527*W526</f>
        <v/>
      </c>
      <c r="X527">
        <f>$C527*X526</f>
        <v/>
      </c>
      <c r="Y527">
        <f>$C527*Y526</f>
        <v/>
      </c>
      <c r="Z527">
        <f>$C527*Z526</f>
        <v/>
      </c>
      <c r="AA527">
        <f>$C527*AA526</f>
        <v/>
      </c>
      <c r="AB527">
        <f>$C527*AB526</f>
        <v/>
      </c>
      <c r="AC527">
        <f>$C527*AC526</f>
        <v/>
      </c>
      <c r="AD527">
        <f>$C527*AD526</f>
        <v/>
      </c>
      <c r="AE527">
        <f>$C527*AE526</f>
        <v/>
      </c>
      <c r="AF527">
        <f>$C527*AF526</f>
        <v/>
      </c>
      <c r="AG527">
        <f>$C527*AG526</f>
        <v/>
      </c>
      <c r="AH527">
        <f>$C527*AH526</f>
        <v/>
      </c>
      <c r="AI527">
        <f>$C527*AI526</f>
        <v/>
      </c>
      <c r="AJ527">
        <f>$C527*AJ526</f>
        <v/>
      </c>
      <c r="AK527">
        <f>$C527*AK526</f>
        <v/>
      </c>
      <c r="AL527">
        <f>$C527*AL526</f>
        <v/>
      </c>
      <c r="AM527">
        <f>$C527*AM526</f>
        <v/>
      </c>
      <c r="AN527">
        <f>$C527*AN526</f>
        <v/>
      </c>
      <c r="AO527">
        <f>$C527*AO526</f>
        <v/>
      </c>
      <c r="AP527">
        <f>$C527*AP526</f>
        <v/>
      </c>
      <c r="AQ527">
        <f>$C527*AQ526</f>
        <v/>
      </c>
      <c r="AR527">
        <f>$C527*AR526</f>
        <v/>
      </c>
      <c r="AS527">
        <f>$C527*AS526</f>
        <v/>
      </c>
      <c r="AT527">
        <f>$C527*AT526</f>
        <v/>
      </c>
      <c r="AU527">
        <f>$C527*AU526</f>
        <v/>
      </c>
      <c r="AV527">
        <f>$C527*AV526</f>
        <v/>
      </c>
      <c r="AW527">
        <f>$C527*AW526</f>
        <v/>
      </c>
      <c r="AX527">
        <f>$C527*AX526</f>
        <v/>
      </c>
      <c r="AY527">
        <f>$C527*AY526</f>
        <v/>
      </c>
      <c r="AZ527">
        <f>$C527*AZ526</f>
        <v/>
      </c>
      <c r="BA527">
        <f>$C527*BA526</f>
        <v/>
      </c>
      <c r="BB527">
        <f>$C527*BB526</f>
        <v/>
      </c>
      <c r="BC527">
        <f>$C527*BC526</f>
        <v/>
      </c>
      <c r="BD527">
        <f>$C527*BD526</f>
        <v/>
      </c>
      <c r="BE527">
        <f>$C527*BE526</f>
        <v/>
      </c>
      <c r="BF527">
        <f>$C527*BF526</f>
        <v/>
      </c>
      <c r="BG527">
        <f>$C527*BG526</f>
        <v/>
      </c>
      <c r="BH527">
        <f>$C527*BH526</f>
        <v/>
      </c>
      <c r="BI527">
        <f>$C527*BI526</f>
        <v/>
      </c>
      <c r="BJ527">
        <f>$C527*BJ526</f>
        <v/>
      </c>
      <c r="BK527">
        <f>$C527*BK526</f>
        <v/>
      </c>
      <c r="BL527">
        <f>$C527*BL526</f>
        <v/>
      </c>
      <c r="BM527">
        <f>$C527*BM526</f>
        <v/>
      </c>
      <c r="BN527">
        <f>$C527*BN526</f>
        <v/>
      </c>
      <c r="BO527">
        <f>$C527*BO526</f>
        <v/>
      </c>
      <c r="BP527">
        <f>$C527*BP526</f>
        <v/>
      </c>
      <c r="BQ527">
        <f>$C527*BQ526</f>
        <v/>
      </c>
      <c r="BR527">
        <f>$C527*BR526</f>
        <v/>
      </c>
      <c r="BS527">
        <f>$C527*BS526</f>
        <v/>
      </c>
      <c r="BT527">
        <f>$C527*BT526</f>
        <v/>
      </c>
      <c r="BU527">
        <f>$C527*BU526</f>
        <v/>
      </c>
      <c r="BV527">
        <f>$C527*BV526</f>
        <v/>
      </c>
      <c r="BW527">
        <f>$C527*BW526</f>
        <v/>
      </c>
      <c r="BX527">
        <f>$C527*BX526</f>
        <v/>
      </c>
      <c r="BY527">
        <f>$C527*BY526</f>
        <v/>
      </c>
      <c r="BZ527">
        <f>$C527*BZ526</f>
        <v/>
      </c>
      <c r="CA527">
        <f>$C527*CA526</f>
        <v/>
      </c>
      <c r="CB527">
        <f>$C527*CB526</f>
        <v/>
      </c>
      <c r="CC527">
        <f>$C527*CC526</f>
        <v/>
      </c>
      <c r="CD527">
        <f>$C527*CD526</f>
        <v/>
      </c>
      <c r="CE527">
        <f>$C527*CE526</f>
        <v/>
      </c>
      <c r="CF527">
        <f>$C527*CF526</f>
        <v/>
      </c>
      <c r="CG527">
        <f>$C527*CG526</f>
        <v/>
      </c>
      <c r="CH527">
        <f>$C527*CH526</f>
        <v/>
      </c>
      <c r="CI527">
        <f>$C527*CI526</f>
        <v/>
      </c>
      <c r="CJ527">
        <f>$C527*CJ526</f>
        <v/>
      </c>
      <c r="CK527">
        <f>$C527*CK526</f>
        <v/>
      </c>
      <c r="CL527">
        <f>$C527*CL526</f>
        <v/>
      </c>
      <c r="CM527">
        <f>$C527*CM526</f>
        <v/>
      </c>
      <c r="CN527">
        <f>$C527*CN526</f>
        <v/>
      </c>
      <c r="CO527">
        <f>$C527*CO526</f>
        <v/>
      </c>
      <c r="CP527">
        <f>$C527*CP526</f>
        <v/>
      </c>
      <c r="CQ527">
        <f>$C527*CQ526</f>
        <v/>
      </c>
      <c r="CR527">
        <f>$C527*CR526</f>
        <v/>
      </c>
      <c r="CS527">
        <f>$C527*CS526</f>
        <v/>
      </c>
      <c r="CT527">
        <f>$C527*CT526</f>
        <v/>
      </c>
      <c r="CU527">
        <f>$C527*CU526</f>
        <v/>
      </c>
      <c r="CV527">
        <f>$C527*CV526</f>
        <v/>
      </c>
      <c r="CW527">
        <f>$C527*CW526</f>
        <v/>
      </c>
      <c r="CX527">
        <f>$C527*CX526</f>
        <v/>
      </c>
      <c r="CY527">
        <f>$C527*CY526</f>
        <v/>
      </c>
      <c r="CZ527">
        <f>$C527*CZ526</f>
        <v/>
      </c>
      <c r="DA527">
        <f>$C527*DA526</f>
        <v/>
      </c>
      <c r="DB527">
        <f>$C527*DB526</f>
        <v/>
      </c>
      <c r="DC527">
        <f>$C527*DC526</f>
        <v/>
      </c>
    </row>
    <row r="528">
      <c r="B528" t="inlineStr">
        <is>
          <t>VSP-607</t>
        </is>
      </c>
      <c r="C528" t="inlineStr">
        <is>
          <t>No. of batches</t>
        </is>
      </c>
      <c r="D528">
        <f>IFERROR(INDEX(PP_Grid[#Data],$DD528,2),0)</f>
        <v/>
      </c>
      <c r="E528">
        <f>IFERROR(INDEX(PP_Grid[#Data],$DD528,3),0)</f>
        <v/>
      </c>
      <c r="F528">
        <f>IFERROR(INDEX(PP_Grid[#Data],$DD528,4),0)</f>
        <v/>
      </c>
      <c r="G528">
        <f>IFERROR(INDEX(PP_Grid[#Data],$DD528,5),0)</f>
        <v/>
      </c>
      <c r="H528">
        <f>IFERROR(INDEX(PP_Grid[#Data],$DD528,6),0)</f>
        <v/>
      </c>
      <c r="I528">
        <f>IFERROR(INDEX(PP_Grid[#Data],$DD528,7),0)</f>
        <v/>
      </c>
      <c r="J528">
        <f>IFERROR(INDEX(PP_Grid[#Data],$DD528,8),0)</f>
        <v/>
      </c>
      <c r="K528">
        <f>IFERROR(INDEX(PP_Grid[#Data],$DD528,9),0)</f>
        <v/>
      </c>
      <c r="L528">
        <f>IFERROR(INDEX(PP_Grid[#Data],$DD528,10),0)</f>
        <v/>
      </c>
      <c r="M528">
        <f>IFERROR(INDEX(PP_Grid[#Data],$DD528,11),0)</f>
        <v/>
      </c>
      <c r="N528">
        <f>IFERROR(INDEX(PP_Grid[#Data],$DD528,12),0)</f>
        <v/>
      </c>
      <c r="O528">
        <f>IFERROR(INDEX(PP_Grid[#Data],$DD528,13),0)</f>
        <v/>
      </c>
      <c r="P528">
        <f>IFERROR(INDEX(PP_Grid[#Data],$DD528,14),0)</f>
        <v/>
      </c>
      <c r="Q528">
        <f>IFERROR(INDEX(PP_Grid[#Data],$DD528,15),0)</f>
        <v/>
      </c>
      <c r="R528">
        <f>IFERROR(INDEX(PP_Grid[#Data],$DD528,16),0)</f>
        <v/>
      </c>
      <c r="S528">
        <f>IFERROR(INDEX(PP_Grid[#Data],$DD528,17),0)</f>
        <v/>
      </c>
      <c r="T528">
        <f>IFERROR(INDEX(PP_Grid[#Data],$DD528,18),0)</f>
        <v/>
      </c>
      <c r="U528">
        <f>IFERROR(INDEX(PP_Grid[#Data],$DD528,19),0)</f>
        <v/>
      </c>
      <c r="V528">
        <f>IFERROR(INDEX(PP_Grid[#Data],$DD528,20),0)</f>
        <v/>
      </c>
      <c r="W528">
        <f>IFERROR(INDEX(PP_Grid[#Data],$DD528,21),0)</f>
        <v/>
      </c>
      <c r="X528">
        <f>IFERROR(INDEX(PP_Grid[#Data],$DD528,22),0)</f>
        <v/>
      </c>
      <c r="Y528">
        <f>IFERROR(INDEX(PP_Grid[#Data],$DD528,23),0)</f>
        <v/>
      </c>
      <c r="Z528">
        <f>IFERROR(INDEX(PP_Grid[#Data],$DD528,24),0)</f>
        <v/>
      </c>
      <c r="AA528">
        <f>IFERROR(INDEX(PP_Grid[#Data],$DD528,25),0)</f>
        <v/>
      </c>
      <c r="AB528">
        <f>IFERROR(INDEX(PP_Grid[#Data],$DD528,26),0)</f>
        <v/>
      </c>
      <c r="AC528">
        <f>IFERROR(INDEX(PP_Grid[#Data],$DD528,27),0)</f>
        <v/>
      </c>
      <c r="AD528">
        <f>IFERROR(INDEX(PP_Grid[#Data],$DD528,28),0)</f>
        <v/>
      </c>
      <c r="AE528">
        <f>IFERROR(INDEX(PP_Grid[#Data],$DD528,29),0)</f>
        <v/>
      </c>
      <c r="AF528">
        <f>IFERROR(INDEX(PP_Grid[#Data],$DD528,30),0)</f>
        <v/>
      </c>
      <c r="AG528">
        <f>IFERROR(INDEX(PP_Grid[#Data],$DD528,31),0)</f>
        <v/>
      </c>
      <c r="AH528">
        <f>IFERROR(INDEX(PP_Grid[#Data],$DD528,32),0)</f>
        <v/>
      </c>
      <c r="AI528">
        <f>IFERROR(INDEX(PP_Grid[#Data],$DD528,33),0)</f>
        <v/>
      </c>
      <c r="AJ528">
        <f>IFERROR(INDEX(PP_Grid[#Data],$DD528,34),0)</f>
        <v/>
      </c>
      <c r="AK528">
        <f>IFERROR(INDEX(PP_Grid[#Data],$DD528,35),0)</f>
        <v/>
      </c>
      <c r="AL528">
        <f>IFERROR(INDEX(PP_Grid[#Data],$DD528,36),0)</f>
        <v/>
      </c>
      <c r="AM528">
        <f>IFERROR(INDEX(PP_Grid[#Data],$DD528,37),0)</f>
        <v/>
      </c>
      <c r="AN528">
        <f>IFERROR(INDEX(PP_Grid[#Data],$DD528,38),0)</f>
        <v/>
      </c>
      <c r="AO528">
        <f>IFERROR(INDEX(PP_Grid[#Data],$DD528,39),0)</f>
        <v/>
      </c>
      <c r="AP528">
        <f>IFERROR(INDEX(PP_Grid[#Data],$DD528,40),0)</f>
        <v/>
      </c>
      <c r="AQ528">
        <f>IFERROR(INDEX(PP_Grid[#Data],$DD528,41),0)</f>
        <v/>
      </c>
      <c r="AR528">
        <f>IFERROR(INDEX(PP_Grid[#Data],$DD528,42),0)</f>
        <v/>
      </c>
      <c r="AS528">
        <f>IFERROR(INDEX(PP_Grid[#Data],$DD528,43),0)</f>
        <v/>
      </c>
      <c r="AT528">
        <f>IFERROR(INDEX(PP_Grid[#Data],$DD528,44),0)</f>
        <v/>
      </c>
      <c r="AU528">
        <f>IFERROR(INDEX(PP_Grid[#Data],$DD528,45),0)</f>
        <v/>
      </c>
      <c r="AV528">
        <f>IFERROR(INDEX(PP_Grid[#Data],$DD528,46),0)</f>
        <v/>
      </c>
      <c r="AW528">
        <f>IFERROR(INDEX(PP_Grid[#Data],$DD528,47),0)</f>
        <v/>
      </c>
      <c r="AX528">
        <f>IFERROR(INDEX(PP_Grid[#Data],$DD528,48),0)</f>
        <v/>
      </c>
      <c r="AY528">
        <f>IFERROR(INDEX(PP_Grid[#Data],$DD528,49),0)</f>
        <v/>
      </c>
      <c r="AZ528">
        <f>IFERROR(INDEX(PP_Grid[#Data],$DD528,50),0)</f>
        <v/>
      </c>
      <c r="BA528">
        <f>IFERROR(INDEX(PP_Grid[#Data],$DD528,51),0)</f>
        <v/>
      </c>
      <c r="BB528">
        <f>IFERROR(INDEX(PP_Grid[#Data],$DD528,52),0)</f>
        <v/>
      </c>
      <c r="BC528">
        <f>IFERROR(INDEX(PP_Grid[#Data],$DD528,53),0)</f>
        <v/>
      </c>
      <c r="BD528">
        <f>IFERROR(INDEX(PP_Grid[#Data],$DD528,54),0)</f>
        <v/>
      </c>
      <c r="BE528">
        <f>IFERROR(INDEX(PP_Grid[#Data],$DD528,55),0)</f>
        <v/>
      </c>
      <c r="BF528">
        <f>IFERROR(INDEX(PP_Grid[#Data],$DD528,56),0)</f>
        <v/>
      </c>
      <c r="BG528">
        <f>IFERROR(INDEX(PP_Grid[#Data],$DD528,57),0)</f>
        <v/>
      </c>
      <c r="BH528">
        <f>IFERROR(INDEX(PP_Grid[#Data],$DD528,58),0)</f>
        <v/>
      </c>
      <c r="BI528">
        <f>IFERROR(INDEX(PP_Grid[#Data],$DD528,59),0)</f>
        <v/>
      </c>
      <c r="BJ528">
        <f>IFERROR(INDEX(PP_Grid[#Data],$DD528,60),0)</f>
        <v/>
      </c>
      <c r="BK528">
        <f>IFERROR(INDEX(PP_Grid[#Data],$DD528,61),0)</f>
        <v/>
      </c>
      <c r="BL528">
        <f>IFERROR(INDEX(PP_Grid[#Data],$DD528,62),0)</f>
        <v/>
      </c>
      <c r="BM528">
        <f>IFERROR(INDEX(PP_Grid[#Data],$DD528,63),0)</f>
        <v/>
      </c>
      <c r="BN528">
        <f>IFERROR(INDEX(PP_Grid[#Data],$DD528,64),0)</f>
        <v/>
      </c>
      <c r="BO528">
        <f>IFERROR(INDEX(PP_Grid[#Data],$DD528,65),0)</f>
        <v/>
      </c>
      <c r="BP528">
        <f>IFERROR(INDEX(PP_Grid[#Data],$DD528,66),0)</f>
        <v/>
      </c>
      <c r="BQ528">
        <f>IFERROR(INDEX(PP_Grid[#Data],$DD528,67),0)</f>
        <v/>
      </c>
      <c r="BR528">
        <f>IFERROR(INDEX(PP_Grid[#Data],$DD528,68),0)</f>
        <v/>
      </c>
      <c r="BS528">
        <f>IFERROR(INDEX(PP_Grid[#Data],$DD528,69),0)</f>
        <v/>
      </c>
      <c r="BT528">
        <f>IFERROR(INDEX(PP_Grid[#Data],$DD528,70),0)</f>
        <v/>
      </c>
      <c r="BU528">
        <f>IFERROR(INDEX(PP_Grid[#Data],$DD528,71),0)</f>
        <v/>
      </c>
      <c r="BV528">
        <f>IFERROR(INDEX(PP_Grid[#Data],$DD528,72),0)</f>
        <v/>
      </c>
      <c r="BW528">
        <f>IFERROR(INDEX(PP_Grid[#Data],$DD528,73),0)</f>
        <v/>
      </c>
      <c r="BX528">
        <f>IFERROR(INDEX(PP_Grid[#Data],$DD528,74),0)</f>
        <v/>
      </c>
      <c r="BY528">
        <f>IFERROR(INDEX(PP_Grid[#Data],$DD528,75),0)</f>
        <v/>
      </c>
      <c r="BZ528">
        <f>IFERROR(INDEX(PP_Grid[#Data],$DD528,76),0)</f>
        <v/>
      </c>
      <c r="CA528">
        <f>IFERROR(INDEX(PP_Grid[#Data],$DD528,77),0)</f>
        <v/>
      </c>
      <c r="CB528">
        <f>IFERROR(INDEX(PP_Grid[#Data],$DD528,78),0)</f>
        <v/>
      </c>
      <c r="CC528">
        <f>IFERROR(INDEX(PP_Grid[#Data],$DD528,79),0)</f>
        <v/>
      </c>
      <c r="CD528">
        <f>IFERROR(INDEX(PP_Grid[#Data],$DD528,80),0)</f>
        <v/>
      </c>
      <c r="CE528">
        <f>IFERROR(INDEX(PP_Grid[#Data],$DD528,81),0)</f>
        <v/>
      </c>
      <c r="CF528">
        <f>IFERROR(INDEX(PP_Grid[#Data],$DD528,82),0)</f>
        <v/>
      </c>
      <c r="CG528">
        <f>IFERROR(INDEX(PP_Grid[#Data],$DD528,83),0)</f>
        <v/>
      </c>
      <c r="CH528">
        <f>IFERROR(INDEX(PP_Grid[#Data],$DD528,84),0)</f>
        <v/>
      </c>
      <c r="CI528">
        <f>IFERROR(INDEX(PP_Grid[#Data],$DD528,85),0)</f>
        <v/>
      </c>
      <c r="CJ528">
        <f>IFERROR(INDEX(PP_Grid[#Data],$DD528,86),0)</f>
        <v/>
      </c>
      <c r="CK528">
        <f>IFERROR(INDEX(PP_Grid[#Data],$DD528,87),0)</f>
        <v/>
      </c>
      <c r="CL528">
        <f>IFERROR(INDEX(PP_Grid[#Data],$DD528,88),0)</f>
        <v/>
      </c>
      <c r="CM528">
        <f>IFERROR(INDEX(PP_Grid[#Data],$DD528,89),0)</f>
        <v/>
      </c>
      <c r="CN528">
        <f>IFERROR(INDEX(PP_Grid[#Data],$DD528,90),0)</f>
        <v/>
      </c>
      <c r="CO528">
        <f>IFERROR(INDEX(PP_Grid[#Data],$DD528,91),0)</f>
        <v/>
      </c>
      <c r="CP528">
        <f>IFERROR(INDEX(PP_Grid[#Data],$DD528,92),0)</f>
        <v/>
      </c>
      <c r="CQ528">
        <f>IFERROR(INDEX(PP_Grid[#Data],$DD528,93),0)</f>
        <v/>
      </c>
      <c r="CR528">
        <f>IFERROR(INDEX(PP_Grid[#Data],$DD528,94),0)</f>
        <v/>
      </c>
      <c r="CS528">
        <f>IFERROR(INDEX(PP_Grid[#Data],$DD528,95),0)</f>
        <v/>
      </c>
      <c r="CT528">
        <f>IFERROR(INDEX(PP_Grid[#Data],$DD528,96),0)</f>
        <v/>
      </c>
      <c r="CU528">
        <f>IFERROR(INDEX(PP_Grid[#Data],$DD528,97),0)</f>
        <v/>
      </c>
      <c r="CV528">
        <f>IFERROR(INDEX(PP_Grid[#Data],$DD528,98),0)</f>
        <v/>
      </c>
      <c r="CW528">
        <f>IFERROR(INDEX(PP_Grid[#Data],$DD528,99),0)</f>
        <v/>
      </c>
      <c r="CX528">
        <f>IFERROR(INDEX(PP_Grid[#Data],$DD528,100),0)</f>
        <v/>
      </c>
      <c r="CY528">
        <f>IFERROR(INDEX(PP_Grid[#Data],$DD528,101),0)</f>
        <v/>
      </c>
      <c r="CZ528">
        <f>IFERROR(INDEX(PP_Grid[#Data],$DD528,102),0)</f>
        <v/>
      </c>
      <c r="DA528">
        <f>IFERROR(INDEX(PP_Grid[#Data],$DD528,103),0)</f>
        <v/>
      </c>
      <c r="DB528">
        <f>IFERROR(INDEX(PP_Grid[#Data],$DD528,104),0)</f>
        <v/>
      </c>
      <c r="DC528">
        <f>IFERROR(INDEX(PP_Grid[#Data],$DD528,105),0)</f>
        <v/>
      </c>
      <c r="DD528" s="7">
        <f>IFERROR(MATCH($B528,PP_Grid[Intermediate],0),99999)</f>
        <v/>
      </c>
    </row>
    <row r="529">
      <c r="B529" t="inlineStr">
        <is>
          <t>使用量(kg)</t>
        </is>
      </c>
      <c r="C529">
        <f>SUMIFS(M_BOM[RM_Qty_Per_Batch],M_BOM[Intermediate],$B528,M_BOM[Part Name],$A507)</f>
        <v/>
      </c>
      <c r="D529">
        <f>$C529*D528</f>
        <v/>
      </c>
      <c r="E529">
        <f>$C529*E528</f>
        <v/>
      </c>
      <c r="F529">
        <f>$C529*F528</f>
        <v/>
      </c>
      <c r="G529">
        <f>$C529*G528</f>
        <v/>
      </c>
      <c r="H529">
        <f>$C529*H528</f>
        <v/>
      </c>
      <c r="I529">
        <f>$C529*I528</f>
        <v/>
      </c>
      <c r="J529">
        <f>$C529*J528</f>
        <v/>
      </c>
      <c r="K529">
        <f>$C529*K528</f>
        <v/>
      </c>
      <c r="L529">
        <f>$C529*L528</f>
        <v/>
      </c>
      <c r="M529">
        <f>$C529*M528</f>
        <v/>
      </c>
      <c r="N529">
        <f>$C529*N528</f>
        <v/>
      </c>
      <c r="O529">
        <f>$C529*O528</f>
        <v/>
      </c>
      <c r="P529">
        <f>$C529*P528</f>
        <v/>
      </c>
      <c r="Q529">
        <f>$C529*Q528</f>
        <v/>
      </c>
      <c r="R529">
        <f>$C529*R528</f>
        <v/>
      </c>
      <c r="S529">
        <f>$C529*S528</f>
        <v/>
      </c>
      <c r="T529">
        <f>$C529*T528</f>
        <v/>
      </c>
      <c r="U529">
        <f>$C529*U528</f>
        <v/>
      </c>
      <c r="V529">
        <f>$C529*V528</f>
        <v/>
      </c>
      <c r="W529">
        <f>$C529*W528</f>
        <v/>
      </c>
      <c r="X529">
        <f>$C529*X528</f>
        <v/>
      </c>
      <c r="Y529">
        <f>$C529*Y528</f>
        <v/>
      </c>
      <c r="Z529">
        <f>$C529*Z528</f>
        <v/>
      </c>
      <c r="AA529">
        <f>$C529*AA528</f>
        <v/>
      </c>
      <c r="AB529">
        <f>$C529*AB528</f>
        <v/>
      </c>
      <c r="AC529">
        <f>$C529*AC528</f>
        <v/>
      </c>
      <c r="AD529">
        <f>$C529*AD528</f>
        <v/>
      </c>
      <c r="AE529">
        <f>$C529*AE528</f>
        <v/>
      </c>
      <c r="AF529">
        <f>$C529*AF528</f>
        <v/>
      </c>
      <c r="AG529">
        <f>$C529*AG528</f>
        <v/>
      </c>
      <c r="AH529">
        <f>$C529*AH528</f>
        <v/>
      </c>
      <c r="AI529">
        <f>$C529*AI528</f>
        <v/>
      </c>
      <c r="AJ529">
        <f>$C529*AJ528</f>
        <v/>
      </c>
      <c r="AK529">
        <f>$C529*AK528</f>
        <v/>
      </c>
      <c r="AL529">
        <f>$C529*AL528</f>
        <v/>
      </c>
      <c r="AM529">
        <f>$C529*AM528</f>
        <v/>
      </c>
      <c r="AN529">
        <f>$C529*AN528</f>
        <v/>
      </c>
      <c r="AO529">
        <f>$C529*AO528</f>
        <v/>
      </c>
      <c r="AP529">
        <f>$C529*AP528</f>
        <v/>
      </c>
      <c r="AQ529">
        <f>$C529*AQ528</f>
        <v/>
      </c>
      <c r="AR529">
        <f>$C529*AR528</f>
        <v/>
      </c>
      <c r="AS529">
        <f>$C529*AS528</f>
        <v/>
      </c>
      <c r="AT529">
        <f>$C529*AT528</f>
        <v/>
      </c>
      <c r="AU529">
        <f>$C529*AU528</f>
        <v/>
      </c>
      <c r="AV529">
        <f>$C529*AV528</f>
        <v/>
      </c>
      <c r="AW529">
        <f>$C529*AW528</f>
        <v/>
      </c>
      <c r="AX529">
        <f>$C529*AX528</f>
        <v/>
      </c>
      <c r="AY529">
        <f>$C529*AY528</f>
        <v/>
      </c>
      <c r="AZ529">
        <f>$C529*AZ528</f>
        <v/>
      </c>
      <c r="BA529">
        <f>$C529*BA528</f>
        <v/>
      </c>
      <c r="BB529">
        <f>$C529*BB528</f>
        <v/>
      </c>
      <c r="BC529">
        <f>$C529*BC528</f>
        <v/>
      </c>
      <c r="BD529">
        <f>$C529*BD528</f>
        <v/>
      </c>
      <c r="BE529">
        <f>$C529*BE528</f>
        <v/>
      </c>
      <c r="BF529">
        <f>$C529*BF528</f>
        <v/>
      </c>
      <c r="BG529">
        <f>$C529*BG528</f>
        <v/>
      </c>
      <c r="BH529">
        <f>$C529*BH528</f>
        <v/>
      </c>
      <c r="BI529">
        <f>$C529*BI528</f>
        <v/>
      </c>
      <c r="BJ529">
        <f>$C529*BJ528</f>
        <v/>
      </c>
      <c r="BK529">
        <f>$C529*BK528</f>
        <v/>
      </c>
      <c r="BL529">
        <f>$C529*BL528</f>
        <v/>
      </c>
      <c r="BM529">
        <f>$C529*BM528</f>
        <v/>
      </c>
      <c r="BN529">
        <f>$C529*BN528</f>
        <v/>
      </c>
      <c r="BO529">
        <f>$C529*BO528</f>
        <v/>
      </c>
      <c r="BP529">
        <f>$C529*BP528</f>
        <v/>
      </c>
      <c r="BQ529">
        <f>$C529*BQ528</f>
        <v/>
      </c>
      <c r="BR529">
        <f>$C529*BR528</f>
        <v/>
      </c>
      <c r="BS529">
        <f>$C529*BS528</f>
        <v/>
      </c>
      <c r="BT529">
        <f>$C529*BT528</f>
        <v/>
      </c>
      <c r="BU529">
        <f>$C529*BU528</f>
        <v/>
      </c>
      <c r="BV529">
        <f>$C529*BV528</f>
        <v/>
      </c>
      <c r="BW529">
        <f>$C529*BW528</f>
        <v/>
      </c>
      <c r="BX529">
        <f>$C529*BX528</f>
        <v/>
      </c>
      <c r="BY529">
        <f>$C529*BY528</f>
        <v/>
      </c>
      <c r="BZ529">
        <f>$C529*BZ528</f>
        <v/>
      </c>
      <c r="CA529">
        <f>$C529*CA528</f>
        <v/>
      </c>
      <c r="CB529">
        <f>$C529*CB528</f>
        <v/>
      </c>
      <c r="CC529">
        <f>$C529*CC528</f>
        <v/>
      </c>
      <c r="CD529">
        <f>$C529*CD528</f>
        <v/>
      </c>
      <c r="CE529">
        <f>$C529*CE528</f>
        <v/>
      </c>
      <c r="CF529">
        <f>$C529*CF528</f>
        <v/>
      </c>
      <c r="CG529">
        <f>$C529*CG528</f>
        <v/>
      </c>
      <c r="CH529">
        <f>$C529*CH528</f>
        <v/>
      </c>
      <c r="CI529">
        <f>$C529*CI528</f>
        <v/>
      </c>
      <c r="CJ529">
        <f>$C529*CJ528</f>
        <v/>
      </c>
      <c r="CK529">
        <f>$C529*CK528</f>
        <v/>
      </c>
      <c r="CL529">
        <f>$C529*CL528</f>
        <v/>
      </c>
      <c r="CM529">
        <f>$C529*CM528</f>
        <v/>
      </c>
      <c r="CN529">
        <f>$C529*CN528</f>
        <v/>
      </c>
      <c r="CO529">
        <f>$C529*CO528</f>
        <v/>
      </c>
      <c r="CP529">
        <f>$C529*CP528</f>
        <v/>
      </c>
      <c r="CQ529">
        <f>$C529*CQ528</f>
        <v/>
      </c>
      <c r="CR529">
        <f>$C529*CR528</f>
        <v/>
      </c>
      <c r="CS529">
        <f>$C529*CS528</f>
        <v/>
      </c>
      <c r="CT529">
        <f>$C529*CT528</f>
        <v/>
      </c>
      <c r="CU529">
        <f>$C529*CU528</f>
        <v/>
      </c>
      <c r="CV529">
        <f>$C529*CV528</f>
        <v/>
      </c>
      <c r="CW529">
        <f>$C529*CW528</f>
        <v/>
      </c>
      <c r="CX529">
        <f>$C529*CX528</f>
        <v/>
      </c>
      <c r="CY529">
        <f>$C529*CY528</f>
        <v/>
      </c>
      <c r="CZ529">
        <f>$C529*CZ528</f>
        <v/>
      </c>
      <c r="DA529">
        <f>$C529*DA528</f>
        <v/>
      </c>
      <c r="DB529">
        <f>$C529*DB528</f>
        <v/>
      </c>
      <c r="DC529">
        <f>$C529*DC528</f>
        <v/>
      </c>
    </row>
    <row r="530">
      <c r="B530" t="inlineStr">
        <is>
          <t>VSP-738</t>
        </is>
      </c>
      <c r="C530" t="inlineStr">
        <is>
          <t>No. of batches</t>
        </is>
      </c>
      <c r="D530">
        <f>IFERROR(INDEX(PP_Grid[#Data],$DD530,2),0)</f>
        <v/>
      </c>
      <c r="E530">
        <f>IFERROR(INDEX(PP_Grid[#Data],$DD530,3),0)</f>
        <v/>
      </c>
      <c r="F530">
        <f>IFERROR(INDEX(PP_Grid[#Data],$DD530,4),0)</f>
        <v/>
      </c>
      <c r="G530">
        <f>IFERROR(INDEX(PP_Grid[#Data],$DD530,5),0)</f>
        <v/>
      </c>
      <c r="H530">
        <f>IFERROR(INDEX(PP_Grid[#Data],$DD530,6),0)</f>
        <v/>
      </c>
      <c r="I530">
        <f>IFERROR(INDEX(PP_Grid[#Data],$DD530,7),0)</f>
        <v/>
      </c>
      <c r="J530">
        <f>IFERROR(INDEX(PP_Grid[#Data],$DD530,8),0)</f>
        <v/>
      </c>
      <c r="K530">
        <f>IFERROR(INDEX(PP_Grid[#Data],$DD530,9),0)</f>
        <v/>
      </c>
      <c r="L530">
        <f>IFERROR(INDEX(PP_Grid[#Data],$DD530,10),0)</f>
        <v/>
      </c>
      <c r="M530">
        <f>IFERROR(INDEX(PP_Grid[#Data],$DD530,11),0)</f>
        <v/>
      </c>
      <c r="N530">
        <f>IFERROR(INDEX(PP_Grid[#Data],$DD530,12),0)</f>
        <v/>
      </c>
      <c r="O530">
        <f>IFERROR(INDEX(PP_Grid[#Data],$DD530,13),0)</f>
        <v/>
      </c>
      <c r="P530">
        <f>IFERROR(INDEX(PP_Grid[#Data],$DD530,14),0)</f>
        <v/>
      </c>
      <c r="Q530">
        <f>IFERROR(INDEX(PP_Grid[#Data],$DD530,15),0)</f>
        <v/>
      </c>
      <c r="R530">
        <f>IFERROR(INDEX(PP_Grid[#Data],$DD530,16),0)</f>
        <v/>
      </c>
      <c r="S530">
        <f>IFERROR(INDEX(PP_Grid[#Data],$DD530,17),0)</f>
        <v/>
      </c>
      <c r="T530">
        <f>IFERROR(INDEX(PP_Grid[#Data],$DD530,18),0)</f>
        <v/>
      </c>
      <c r="U530">
        <f>IFERROR(INDEX(PP_Grid[#Data],$DD530,19),0)</f>
        <v/>
      </c>
      <c r="V530">
        <f>IFERROR(INDEX(PP_Grid[#Data],$DD530,20),0)</f>
        <v/>
      </c>
      <c r="W530">
        <f>IFERROR(INDEX(PP_Grid[#Data],$DD530,21),0)</f>
        <v/>
      </c>
      <c r="X530">
        <f>IFERROR(INDEX(PP_Grid[#Data],$DD530,22),0)</f>
        <v/>
      </c>
      <c r="Y530">
        <f>IFERROR(INDEX(PP_Grid[#Data],$DD530,23),0)</f>
        <v/>
      </c>
      <c r="Z530">
        <f>IFERROR(INDEX(PP_Grid[#Data],$DD530,24),0)</f>
        <v/>
      </c>
      <c r="AA530">
        <f>IFERROR(INDEX(PP_Grid[#Data],$DD530,25),0)</f>
        <v/>
      </c>
      <c r="AB530">
        <f>IFERROR(INDEX(PP_Grid[#Data],$DD530,26),0)</f>
        <v/>
      </c>
      <c r="AC530">
        <f>IFERROR(INDEX(PP_Grid[#Data],$DD530,27),0)</f>
        <v/>
      </c>
      <c r="AD530">
        <f>IFERROR(INDEX(PP_Grid[#Data],$DD530,28),0)</f>
        <v/>
      </c>
      <c r="AE530">
        <f>IFERROR(INDEX(PP_Grid[#Data],$DD530,29),0)</f>
        <v/>
      </c>
      <c r="AF530">
        <f>IFERROR(INDEX(PP_Grid[#Data],$DD530,30),0)</f>
        <v/>
      </c>
      <c r="AG530">
        <f>IFERROR(INDEX(PP_Grid[#Data],$DD530,31),0)</f>
        <v/>
      </c>
      <c r="AH530">
        <f>IFERROR(INDEX(PP_Grid[#Data],$DD530,32),0)</f>
        <v/>
      </c>
      <c r="AI530">
        <f>IFERROR(INDEX(PP_Grid[#Data],$DD530,33),0)</f>
        <v/>
      </c>
      <c r="AJ530">
        <f>IFERROR(INDEX(PP_Grid[#Data],$DD530,34),0)</f>
        <v/>
      </c>
      <c r="AK530">
        <f>IFERROR(INDEX(PP_Grid[#Data],$DD530,35),0)</f>
        <v/>
      </c>
      <c r="AL530">
        <f>IFERROR(INDEX(PP_Grid[#Data],$DD530,36),0)</f>
        <v/>
      </c>
      <c r="AM530">
        <f>IFERROR(INDEX(PP_Grid[#Data],$DD530,37),0)</f>
        <v/>
      </c>
      <c r="AN530">
        <f>IFERROR(INDEX(PP_Grid[#Data],$DD530,38),0)</f>
        <v/>
      </c>
      <c r="AO530">
        <f>IFERROR(INDEX(PP_Grid[#Data],$DD530,39),0)</f>
        <v/>
      </c>
      <c r="AP530">
        <f>IFERROR(INDEX(PP_Grid[#Data],$DD530,40),0)</f>
        <v/>
      </c>
      <c r="AQ530">
        <f>IFERROR(INDEX(PP_Grid[#Data],$DD530,41),0)</f>
        <v/>
      </c>
      <c r="AR530">
        <f>IFERROR(INDEX(PP_Grid[#Data],$DD530,42),0)</f>
        <v/>
      </c>
      <c r="AS530">
        <f>IFERROR(INDEX(PP_Grid[#Data],$DD530,43),0)</f>
        <v/>
      </c>
      <c r="AT530">
        <f>IFERROR(INDEX(PP_Grid[#Data],$DD530,44),0)</f>
        <v/>
      </c>
      <c r="AU530">
        <f>IFERROR(INDEX(PP_Grid[#Data],$DD530,45),0)</f>
        <v/>
      </c>
      <c r="AV530">
        <f>IFERROR(INDEX(PP_Grid[#Data],$DD530,46),0)</f>
        <v/>
      </c>
      <c r="AW530">
        <f>IFERROR(INDEX(PP_Grid[#Data],$DD530,47),0)</f>
        <v/>
      </c>
      <c r="AX530">
        <f>IFERROR(INDEX(PP_Grid[#Data],$DD530,48),0)</f>
        <v/>
      </c>
      <c r="AY530">
        <f>IFERROR(INDEX(PP_Grid[#Data],$DD530,49),0)</f>
        <v/>
      </c>
      <c r="AZ530">
        <f>IFERROR(INDEX(PP_Grid[#Data],$DD530,50),0)</f>
        <v/>
      </c>
      <c r="BA530">
        <f>IFERROR(INDEX(PP_Grid[#Data],$DD530,51),0)</f>
        <v/>
      </c>
      <c r="BB530">
        <f>IFERROR(INDEX(PP_Grid[#Data],$DD530,52),0)</f>
        <v/>
      </c>
      <c r="BC530">
        <f>IFERROR(INDEX(PP_Grid[#Data],$DD530,53),0)</f>
        <v/>
      </c>
      <c r="BD530">
        <f>IFERROR(INDEX(PP_Grid[#Data],$DD530,54),0)</f>
        <v/>
      </c>
      <c r="BE530">
        <f>IFERROR(INDEX(PP_Grid[#Data],$DD530,55),0)</f>
        <v/>
      </c>
      <c r="BF530">
        <f>IFERROR(INDEX(PP_Grid[#Data],$DD530,56),0)</f>
        <v/>
      </c>
      <c r="BG530">
        <f>IFERROR(INDEX(PP_Grid[#Data],$DD530,57),0)</f>
        <v/>
      </c>
      <c r="BH530">
        <f>IFERROR(INDEX(PP_Grid[#Data],$DD530,58),0)</f>
        <v/>
      </c>
      <c r="BI530">
        <f>IFERROR(INDEX(PP_Grid[#Data],$DD530,59),0)</f>
        <v/>
      </c>
      <c r="BJ530">
        <f>IFERROR(INDEX(PP_Grid[#Data],$DD530,60),0)</f>
        <v/>
      </c>
      <c r="BK530">
        <f>IFERROR(INDEX(PP_Grid[#Data],$DD530,61),0)</f>
        <v/>
      </c>
      <c r="BL530">
        <f>IFERROR(INDEX(PP_Grid[#Data],$DD530,62),0)</f>
        <v/>
      </c>
      <c r="BM530">
        <f>IFERROR(INDEX(PP_Grid[#Data],$DD530,63),0)</f>
        <v/>
      </c>
      <c r="BN530">
        <f>IFERROR(INDEX(PP_Grid[#Data],$DD530,64),0)</f>
        <v/>
      </c>
      <c r="BO530">
        <f>IFERROR(INDEX(PP_Grid[#Data],$DD530,65),0)</f>
        <v/>
      </c>
      <c r="BP530">
        <f>IFERROR(INDEX(PP_Grid[#Data],$DD530,66),0)</f>
        <v/>
      </c>
      <c r="BQ530">
        <f>IFERROR(INDEX(PP_Grid[#Data],$DD530,67),0)</f>
        <v/>
      </c>
      <c r="BR530">
        <f>IFERROR(INDEX(PP_Grid[#Data],$DD530,68),0)</f>
        <v/>
      </c>
      <c r="BS530">
        <f>IFERROR(INDEX(PP_Grid[#Data],$DD530,69),0)</f>
        <v/>
      </c>
      <c r="BT530">
        <f>IFERROR(INDEX(PP_Grid[#Data],$DD530,70),0)</f>
        <v/>
      </c>
      <c r="BU530">
        <f>IFERROR(INDEX(PP_Grid[#Data],$DD530,71),0)</f>
        <v/>
      </c>
      <c r="BV530">
        <f>IFERROR(INDEX(PP_Grid[#Data],$DD530,72),0)</f>
        <v/>
      </c>
      <c r="BW530">
        <f>IFERROR(INDEX(PP_Grid[#Data],$DD530,73),0)</f>
        <v/>
      </c>
      <c r="BX530">
        <f>IFERROR(INDEX(PP_Grid[#Data],$DD530,74),0)</f>
        <v/>
      </c>
      <c r="BY530">
        <f>IFERROR(INDEX(PP_Grid[#Data],$DD530,75),0)</f>
        <v/>
      </c>
      <c r="BZ530">
        <f>IFERROR(INDEX(PP_Grid[#Data],$DD530,76),0)</f>
        <v/>
      </c>
      <c r="CA530">
        <f>IFERROR(INDEX(PP_Grid[#Data],$DD530,77),0)</f>
        <v/>
      </c>
      <c r="CB530">
        <f>IFERROR(INDEX(PP_Grid[#Data],$DD530,78),0)</f>
        <v/>
      </c>
      <c r="CC530">
        <f>IFERROR(INDEX(PP_Grid[#Data],$DD530,79),0)</f>
        <v/>
      </c>
      <c r="CD530">
        <f>IFERROR(INDEX(PP_Grid[#Data],$DD530,80),0)</f>
        <v/>
      </c>
      <c r="CE530">
        <f>IFERROR(INDEX(PP_Grid[#Data],$DD530,81),0)</f>
        <v/>
      </c>
      <c r="CF530">
        <f>IFERROR(INDEX(PP_Grid[#Data],$DD530,82),0)</f>
        <v/>
      </c>
      <c r="CG530">
        <f>IFERROR(INDEX(PP_Grid[#Data],$DD530,83),0)</f>
        <v/>
      </c>
      <c r="CH530">
        <f>IFERROR(INDEX(PP_Grid[#Data],$DD530,84),0)</f>
        <v/>
      </c>
      <c r="CI530">
        <f>IFERROR(INDEX(PP_Grid[#Data],$DD530,85),0)</f>
        <v/>
      </c>
      <c r="CJ530">
        <f>IFERROR(INDEX(PP_Grid[#Data],$DD530,86),0)</f>
        <v/>
      </c>
      <c r="CK530">
        <f>IFERROR(INDEX(PP_Grid[#Data],$DD530,87),0)</f>
        <v/>
      </c>
      <c r="CL530">
        <f>IFERROR(INDEX(PP_Grid[#Data],$DD530,88),0)</f>
        <v/>
      </c>
      <c r="CM530">
        <f>IFERROR(INDEX(PP_Grid[#Data],$DD530,89),0)</f>
        <v/>
      </c>
      <c r="CN530">
        <f>IFERROR(INDEX(PP_Grid[#Data],$DD530,90),0)</f>
        <v/>
      </c>
      <c r="CO530">
        <f>IFERROR(INDEX(PP_Grid[#Data],$DD530,91),0)</f>
        <v/>
      </c>
      <c r="CP530">
        <f>IFERROR(INDEX(PP_Grid[#Data],$DD530,92),0)</f>
        <v/>
      </c>
      <c r="CQ530">
        <f>IFERROR(INDEX(PP_Grid[#Data],$DD530,93),0)</f>
        <v/>
      </c>
      <c r="CR530">
        <f>IFERROR(INDEX(PP_Grid[#Data],$DD530,94),0)</f>
        <v/>
      </c>
      <c r="CS530">
        <f>IFERROR(INDEX(PP_Grid[#Data],$DD530,95),0)</f>
        <v/>
      </c>
      <c r="CT530">
        <f>IFERROR(INDEX(PP_Grid[#Data],$DD530,96),0)</f>
        <v/>
      </c>
      <c r="CU530">
        <f>IFERROR(INDEX(PP_Grid[#Data],$DD530,97),0)</f>
        <v/>
      </c>
      <c r="CV530">
        <f>IFERROR(INDEX(PP_Grid[#Data],$DD530,98),0)</f>
        <v/>
      </c>
      <c r="CW530">
        <f>IFERROR(INDEX(PP_Grid[#Data],$DD530,99),0)</f>
        <v/>
      </c>
      <c r="CX530">
        <f>IFERROR(INDEX(PP_Grid[#Data],$DD530,100),0)</f>
        <v/>
      </c>
      <c r="CY530">
        <f>IFERROR(INDEX(PP_Grid[#Data],$DD530,101),0)</f>
        <v/>
      </c>
      <c r="CZ530">
        <f>IFERROR(INDEX(PP_Grid[#Data],$DD530,102),0)</f>
        <v/>
      </c>
      <c r="DA530">
        <f>IFERROR(INDEX(PP_Grid[#Data],$DD530,103),0)</f>
        <v/>
      </c>
      <c r="DB530">
        <f>IFERROR(INDEX(PP_Grid[#Data],$DD530,104),0)</f>
        <v/>
      </c>
      <c r="DC530">
        <f>IFERROR(INDEX(PP_Grid[#Data],$DD530,105),0)</f>
        <v/>
      </c>
      <c r="DD530" s="7">
        <f>IFERROR(MATCH($B530,PP_Grid[Intermediate],0),99999)</f>
        <v/>
      </c>
    </row>
    <row r="531">
      <c r="B531" t="inlineStr">
        <is>
          <t>使用量(kg)</t>
        </is>
      </c>
      <c r="C531">
        <f>SUMIFS(M_BOM[RM_Qty_Per_Batch],M_BOM[Intermediate],$B530,M_BOM[Part Name],$A507)</f>
        <v/>
      </c>
      <c r="D531">
        <f>$C531*D530</f>
        <v/>
      </c>
      <c r="E531">
        <f>$C531*E530</f>
        <v/>
      </c>
      <c r="F531">
        <f>$C531*F530</f>
        <v/>
      </c>
      <c r="G531">
        <f>$C531*G530</f>
        <v/>
      </c>
      <c r="H531">
        <f>$C531*H530</f>
        <v/>
      </c>
      <c r="I531">
        <f>$C531*I530</f>
        <v/>
      </c>
      <c r="J531">
        <f>$C531*J530</f>
        <v/>
      </c>
      <c r="K531">
        <f>$C531*K530</f>
        <v/>
      </c>
      <c r="L531">
        <f>$C531*L530</f>
        <v/>
      </c>
      <c r="M531">
        <f>$C531*M530</f>
        <v/>
      </c>
      <c r="N531">
        <f>$C531*N530</f>
        <v/>
      </c>
      <c r="O531">
        <f>$C531*O530</f>
        <v/>
      </c>
      <c r="P531">
        <f>$C531*P530</f>
        <v/>
      </c>
      <c r="Q531">
        <f>$C531*Q530</f>
        <v/>
      </c>
      <c r="R531">
        <f>$C531*R530</f>
        <v/>
      </c>
      <c r="S531">
        <f>$C531*S530</f>
        <v/>
      </c>
      <c r="T531">
        <f>$C531*T530</f>
        <v/>
      </c>
      <c r="U531">
        <f>$C531*U530</f>
        <v/>
      </c>
      <c r="V531">
        <f>$C531*V530</f>
        <v/>
      </c>
      <c r="W531">
        <f>$C531*W530</f>
        <v/>
      </c>
      <c r="X531">
        <f>$C531*X530</f>
        <v/>
      </c>
      <c r="Y531">
        <f>$C531*Y530</f>
        <v/>
      </c>
      <c r="Z531">
        <f>$C531*Z530</f>
        <v/>
      </c>
      <c r="AA531">
        <f>$C531*AA530</f>
        <v/>
      </c>
      <c r="AB531">
        <f>$C531*AB530</f>
        <v/>
      </c>
      <c r="AC531">
        <f>$C531*AC530</f>
        <v/>
      </c>
      <c r="AD531">
        <f>$C531*AD530</f>
        <v/>
      </c>
      <c r="AE531">
        <f>$C531*AE530</f>
        <v/>
      </c>
      <c r="AF531">
        <f>$C531*AF530</f>
        <v/>
      </c>
      <c r="AG531">
        <f>$C531*AG530</f>
        <v/>
      </c>
      <c r="AH531">
        <f>$C531*AH530</f>
        <v/>
      </c>
      <c r="AI531">
        <f>$C531*AI530</f>
        <v/>
      </c>
      <c r="AJ531">
        <f>$C531*AJ530</f>
        <v/>
      </c>
      <c r="AK531">
        <f>$C531*AK530</f>
        <v/>
      </c>
      <c r="AL531">
        <f>$C531*AL530</f>
        <v/>
      </c>
      <c r="AM531">
        <f>$C531*AM530</f>
        <v/>
      </c>
      <c r="AN531">
        <f>$C531*AN530</f>
        <v/>
      </c>
      <c r="AO531">
        <f>$C531*AO530</f>
        <v/>
      </c>
      <c r="AP531">
        <f>$C531*AP530</f>
        <v/>
      </c>
      <c r="AQ531">
        <f>$C531*AQ530</f>
        <v/>
      </c>
      <c r="AR531">
        <f>$C531*AR530</f>
        <v/>
      </c>
      <c r="AS531">
        <f>$C531*AS530</f>
        <v/>
      </c>
      <c r="AT531">
        <f>$C531*AT530</f>
        <v/>
      </c>
      <c r="AU531">
        <f>$C531*AU530</f>
        <v/>
      </c>
      <c r="AV531">
        <f>$C531*AV530</f>
        <v/>
      </c>
      <c r="AW531">
        <f>$C531*AW530</f>
        <v/>
      </c>
      <c r="AX531">
        <f>$C531*AX530</f>
        <v/>
      </c>
      <c r="AY531">
        <f>$C531*AY530</f>
        <v/>
      </c>
      <c r="AZ531">
        <f>$C531*AZ530</f>
        <v/>
      </c>
      <c r="BA531">
        <f>$C531*BA530</f>
        <v/>
      </c>
      <c r="BB531">
        <f>$C531*BB530</f>
        <v/>
      </c>
      <c r="BC531">
        <f>$C531*BC530</f>
        <v/>
      </c>
      <c r="BD531">
        <f>$C531*BD530</f>
        <v/>
      </c>
      <c r="BE531">
        <f>$C531*BE530</f>
        <v/>
      </c>
      <c r="BF531">
        <f>$C531*BF530</f>
        <v/>
      </c>
      <c r="BG531">
        <f>$C531*BG530</f>
        <v/>
      </c>
      <c r="BH531">
        <f>$C531*BH530</f>
        <v/>
      </c>
      <c r="BI531">
        <f>$C531*BI530</f>
        <v/>
      </c>
      <c r="BJ531">
        <f>$C531*BJ530</f>
        <v/>
      </c>
      <c r="BK531">
        <f>$C531*BK530</f>
        <v/>
      </c>
      <c r="BL531">
        <f>$C531*BL530</f>
        <v/>
      </c>
      <c r="BM531">
        <f>$C531*BM530</f>
        <v/>
      </c>
      <c r="BN531">
        <f>$C531*BN530</f>
        <v/>
      </c>
      <c r="BO531">
        <f>$C531*BO530</f>
        <v/>
      </c>
      <c r="BP531">
        <f>$C531*BP530</f>
        <v/>
      </c>
      <c r="BQ531">
        <f>$C531*BQ530</f>
        <v/>
      </c>
      <c r="BR531">
        <f>$C531*BR530</f>
        <v/>
      </c>
      <c r="BS531">
        <f>$C531*BS530</f>
        <v/>
      </c>
      <c r="BT531">
        <f>$C531*BT530</f>
        <v/>
      </c>
      <c r="BU531">
        <f>$C531*BU530</f>
        <v/>
      </c>
      <c r="BV531">
        <f>$C531*BV530</f>
        <v/>
      </c>
      <c r="BW531">
        <f>$C531*BW530</f>
        <v/>
      </c>
      <c r="BX531">
        <f>$C531*BX530</f>
        <v/>
      </c>
      <c r="BY531">
        <f>$C531*BY530</f>
        <v/>
      </c>
      <c r="BZ531">
        <f>$C531*BZ530</f>
        <v/>
      </c>
      <c r="CA531">
        <f>$C531*CA530</f>
        <v/>
      </c>
      <c r="CB531">
        <f>$C531*CB530</f>
        <v/>
      </c>
      <c r="CC531">
        <f>$C531*CC530</f>
        <v/>
      </c>
      <c r="CD531">
        <f>$C531*CD530</f>
        <v/>
      </c>
      <c r="CE531">
        <f>$C531*CE530</f>
        <v/>
      </c>
      <c r="CF531">
        <f>$C531*CF530</f>
        <v/>
      </c>
      <c r="CG531">
        <f>$C531*CG530</f>
        <v/>
      </c>
      <c r="CH531">
        <f>$C531*CH530</f>
        <v/>
      </c>
      <c r="CI531">
        <f>$C531*CI530</f>
        <v/>
      </c>
      <c r="CJ531">
        <f>$C531*CJ530</f>
        <v/>
      </c>
      <c r="CK531">
        <f>$C531*CK530</f>
        <v/>
      </c>
      <c r="CL531">
        <f>$C531*CL530</f>
        <v/>
      </c>
      <c r="CM531">
        <f>$C531*CM530</f>
        <v/>
      </c>
      <c r="CN531">
        <f>$C531*CN530</f>
        <v/>
      </c>
      <c r="CO531">
        <f>$C531*CO530</f>
        <v/>
      </c>
      <c r="CP531">
        <f>$C531*CP530</f>
        <v/>
      </c>
      <c r="CQ531">
        <f>$C531*CQ530</f>
        <v/>
      </c>
      <c r="CR531">
        <f>$C531*CR530</f>
        <v/>
      </c>
      <c r="CS531">
        <f>$C531*CS530</f>
        <v/>
      </c>
      <c r="CT531">
        <f>$C531*CT530</f>
        <v/>
      </c>
      <c r="CU531">
        <f>$C531*CU530</f>
        <v/>
      </c>
      <c r="CV531">
        <f>$C531*CV530</f>
        <v/>
      </c>
      <c r="CW531">
        <f>$C531*CW530</f>
        <v/>
      </c>
      <c r="CX531">
        <f>$C531*CX530</f>
        <v/>
      </c>
      <c r="CY531">
        <f>$C531*CY530</f>
        <v/>
      </c>
      <c r="CZ531">
        <f>$C531*CZ530</f>
        <v/>
      </c>
      <c r="DA531">
        <f>$C531*DA530</f>
        <v/>
      </c>
      <c r="DB531">
        <f>$C531*DB530</f>
        <v/>
      </c>
      <c r="DC531">
        <f>$C531*DC530</f>
        <v/>
      </c>
    </row>
    <row r="532">
      <c r="B532" t="inlineStr">
        <is>
          <t>VSP-739</t>
        </is>
      </c>
      <c r="C532" t="inlineStr">
        <is>
          <t>No. of batches</t>
        </is>
      </c>
      <c r="D532">
        <f>IFERROR(INDEX(PP_Grid[#Data],$DD532,2),0)</f>
        <v/>
      </c>
      <c r="E532">
        <f>IFERROR(INDEX(PP_Grid[#Data],$DD532,3),0)</f>
        <v/>
      </c>
      <c r="F532">
        <f>IFERROR(INDEX(PP_Grid[#Data],$DD532,4),0)</f>
        <v/>
      </c>
      <c r="G532">
        <f>IFERROR(INDEX(PP_Grid[#Data],$DD532,5),0)</f>
        <v/>
      </c>
      <c r="H532">
        <f>IFERROR(INDEX(PP_Grid[#Data],$DD532,6),0)</f>
        <v/>
      </c>
      <c r="I532">
        <f>IFERROR(INDEX(PP_Grid[#Data],$DD532,7),0)</f>
        <v/>
      </c>
      <c r="J532">
        <f>IFERROR(INDEX(PP_Grid[#Data],$DD532,8),0)</f>
        <v/>
      </c>
      <c r="K532">
        <f>IFERROR(INDEX(PP_Grid[#Data],$DD532,9),0)</f>
        <v/>
      </c>
      <c r="L532">
        <f>IFERROR(INDEX(PP_Grid[#Data],$DD532,10),0)</f>
        <v/>
      </c>
      <c r="M532">
        <f>IFERROR(INDEX(PP_Grid[#Data],$DD532,11),0)</f>
        <v/>
      </c>
      <c r="N532">
        <f>IFERROR(INDEX(PP_Grid[#Data],$DD532,12),0)</f>
        <v/>
      </c>
      <c r="O532">
        <f>IFERROR(INDEX(PP_Grid[#Data],$DD532,13),0)</f>
        <v/>
      </c>
      <c r="P532">
        <f>IFERROR(INDEX(PP_Grid[#Data],$DD532,14),0)</f>
        <v/>
      </c>
      <c r="Q532">
        <f>IFERROR(INDEX(PP_Grid[#Data],$DD532,15),0)</f>
        <v/>
      </c>
      <c r="R532">
        <f>IFERROR(INDEX(PP_Grid[#Data],$DD532,16),0)</f>
        <v/>
      </c>
      <c r="S532">
        <f>IFERROR(INDEX(PP_Grid[#Data],$DD532,17),0)</f>
        <v/>
      </c>
      <c r="T532">
        <f>IFERROR(INDEX(PP_Grid[#Data],$DD532,18),0)</f>
        <v/>
      </c>
      <c r="U532">
        <f>IFERROR(INDEX(PP_Grid[#Data],$DD532,19),0)</f>
        <v/>
      </c>
      <c r="V532">
        <f>IFERROR(INDEX(PP_Grid[#Data],$DD532,20),0)</f>
        <v/>
      </c>
      <c r="W532">
        <f>IFERROR(INDEX(PP_Grid[#Data],$DD532,21),0)</f>
        <v/>
      </c>
      <c r="X532">
        <f>IFERROR(INDEX(PP_Grid[#Data],$DD532,22),0)</f>
        <v/>
      </c>
      <c r="Y532">
        <f>IFERROR(INDEX(PP_Grid[#Data],$DD532,23),0)</f>
        <v/>
      </c>
      <c r="Z532">
        <f>IFERROR(INDEX(PP_Grid[#Data],$DD532,24),0)</f>
        <v/>
      </c>
      <c r="AA532">
        <f>IFERROR(INDEX(PP_Grid[#Data],$DD532,25),0)</f>
        <v/>
      </c>
      <c r="AB532">
        <f>IFERROR(INDEX(PP_Grid[#Data],$DD532,26),0)</f>
        <v/>
      </c>
      <c r="AC532">
        <f>IFERROR(INDEX(PP_Grid[#Data],$DD532,27),0)</f>
        <v/>
      </c>
      <c r="AD532">
        <f>IFERROR(INDEX(PP_Grid[#Data],$DD532,28),0)</f>
        <v/>
      </c>
      <c r="AE532">
        <f>IFERROR(INDEX(PP_Grid[#Data],$DD532,29),0)</f>
        <v/>
      </c>
      <c r="AF532">
        <f>IFERROR(INDEX(PP_Grid[#Data],$DD532,30),0)</f>
        <v/>
      </c>
      <c r="AG532">
        <f>IFERROR(INDEX(PP_Grid[#Data],$DD532,31),0)</f>
        <v/>
      </c>
      <c r="AH532">
        <f>IFERROR(INDEX(PP_Grid[#Data],$DD532,32),0)</f>
        <v/>
      </c>
      <c r="AI532">
        <f>IFERROR(INDEX(PP_Grid[#Data],$DD532,33),0)</f>
        <v/>
      </c>
      <c r="AJ532">
        <f>IFERROR(INDEX(PP_Grid[#Data],$DD532,34),0)</f>
        <v/>
      </c>
      <c r="AK532">
        <f>IFERROR(INDEX(PP_Grid[#Data],$DD532,35),0)</f>
        <v/>
      </c>
      <c r="AL532">
        <f>IFERROR(INDEX(PP_Grid[#Data],$DD532,36),0)</f>
        <v/>
      </c>
      <c r="AM532">
        <f>IFERROR(INDEX(PP_Grid[#Data],$DD532,37),0)</f>
        <v/>
      </c>
      <c r="AN532">
        <f>IFERROR(INDEX(PP_Grid[#Data],$DD532,38),0)</f>
        <v/>
      </c>
      <c r="AO532">
        <f>IFERROR(INDEX(PP_Grid[#Data],$DD532,39),0)</f>
        <v/>
      </c>
      <c r="AP532">
        <f>IFERROR(INDEX(PP_Grid[#Data],$DD532,40),0)</f>
        <v/>
      </c>
      <c r="AQ532">
        <f>IFERROR(INDEX(PP_Grid[#Data],$DD532,41),0)</f>
        <v/>
      </c>
      <c r="AR532">
        <f>IFERROR(INDEX(PP_Grid[#Data],$DD532,42),0)</f>
        <v/>
      </c>
      <c r="AS532">
        <f>IFERROR(INDEX(PP_Grid[#Data],$DD532,43),0)</f>
        <v/>
      </c>
      <c r="AT532">
        <f>IFERROR(INDEX(PP_Grid[#Data],$DD532,44),0)</f>
        <v/>
      </c>
      <c r="AU532">
        <f>IFERROR(INDEX(PP_Grid[#Data],$DD532,45),0)</f>
        <v/>
      </c>
      <c r="AV532">
        <f>IFERROR(INDEX(PP_Grid[#Data],$DD532,46),0)</f>
        <v/>
      </c>
      <c r="AW532">
        <f>IFERROR(INDEX(PP_Grid[#Data],$DD532,47),0)</f>
        <v/>
      </c>
      <c r="AX532">
        <f>IFERROR(INDEX(PP_Grid[#Data],$DD532,48),0)</f>
        <v/>
      </c>
      <c r="AY532">
        <f>IFERROR(INDEX(PP_Grid[#Data],$DD532,49),0)</f>
        <v/>
      </c>
      <c r="AZ532">
        <f>IFERROR(INDEX(PP_Grid[#Data],$DD532,50),0)</f>
        <v/>
      </c>
      <c r="BA532">
        <f>IFERROR(INDEX(PP_Grid[#Data],$DD532,51),0)</f>
        <v/>
      </c>
      <c r="BB532">
        <f>IFERROR(INDEX(PP_Grid[#Data],$DD532,52),0)</f>
        <v/>
      </c>
      <c r="BC532">
        <f>IFERROR(INDEX(PP_Grid[#Data],$DD532,53),0)</f>
        <v/>
      </c>
      <c r="BD532">
        <f>IFERROR(INDEX(PP_Grid[#Data],$DD532,54),0)</f>
        <v/>
      </c>
      <c r="BE532">
        <f>IFERROR(INDEX(PP_Grid[#Data],$DD532,55),0)</f>
        <v/>
      </c>
      <c r="BF532">
        <f>IFERROR(INDEX(PP_Grid[#Data],$DD532,56),0)</f>
        <v/>
      </c>
      <c r="BG532">
        <f>IFERROR(INDEX(PP_Grid[#Data],$DD532,57),0)</f>
        <v/>
      </c>
      <c r="BH532">
        <f>IFERROR(INDEX(PP_Grid[#Data],$DD532,58),0)</f>
        <v/>
      </c>
      <c r="BI532">
        <f>IFERROR(INDEX(PP_Grid[#Data],$DD532,59),0)</f>
        <v/>
      </c>
      <c r="BJ532">
        <f>IFERROR(INDEX(PP_Grid[#Data],$DD532,60),0)</f>
        <v/>
      </c>
      <c r="BK532">
        <f>IFERROR(INDEX(PP_Grid[#Data],$DD532,61),0)</f>
        <v/>
      </c>
      <c r="BL532">
        <f>IFERROR(INDEX(PP_Grid[#Data],$DD532,62),0)</f>
        <v/>
      </c>
      <c r="BM532">
        <f>IFERROR(INDEX(PP_Grid[#Data],$DD532,63),0)</f>
        <v/>
      </c>
      <c r="BN532">
        <f>IFERROR(INDEX(PP_Grid[#Data],$DD532,64),0)</f>
        <v/>
      </c>
      <c r="BO532">
        <f>IFERROR(INDEX(PP_Grid[#Data],$DD532,65),0)</f>
        <v/>
      </c>
      <c r="BP532">
        <f>IFERROR(INDEX(PP_Grid[#Data],$DD532,66),0)</f>
        <v/>
      </c>
      <c r="BQ532">
        <f>IFERROR(INDEX(PP_Grid[#Data],$DD532,67),0)</f>
        <v/>
      </c>
      <c r="BR532">
        <f>IFERROR(INDEX(PP_Grid[#Data],$DD532,68),0)</f>
        <v/>
      </c>
      <c r="BS532">
        <f>IFERROR(INDEX(PP_Grid[#Data],$DD532,69),0)</f>
        <v/>
      </c>
      <c r="BT532">
        <f>IFERROR(INDEX(PP_Grid[#Data],$DD532,70),0)</f>
        <v/>
      </c>
      <c r="BU532">
        <f>IFERROR(INDEX(PP_Grid[#Data],$DD532,71),0)</f>
        <v/>
      </c>
      <c r="BV532">
        <f>IFERROR(INDEX(PP_Grid[#Data],$DD532,72),0)</f>
        <v/>
      </c>
      <c r="BW532">
        <f>IFERROR(INDEX(PP_Grid[#Data],$DD532,73),0)</f>
        <v/>
      </c>
      <c r="BX532">
        <f>IFERROR(INDEX(PP_Grid[#Data],$DD532,74),0)</f>
        <v/>
      </c>
      <c r="BY532">
        <f>IFERROR(INDEX(PP_Grid[#Data],$DD532,75),0)</f>
        <v/>
      </c>
      <c r="BZ532">
        <f>IFERROR(INDEX(PP_Grid[#Data],$DD532,76),0)</f>
        <v/>
      </c>
      <c r="CA532">
        <f>IFERROR(INDEX(PP_Grid[#Data],$DD532,77),0)</f>
        <v/>
      </c>
      <c r="CB532">
        <f>IFERROR(INDEX(PP_Grid[#Data],$DD532,78),0)</f>
        <v/>
      </c>
      <c r="CC532">
        <f>IFERROR(INDEX(PP_Grid[#Data],$DD532,79),0)</f>
        <v/>
      </c>
      <c r="CD532">
        <f>IFERROR(INDEX(PP_Grid[#Data],$DD532,80),0)</f>
        <v/>
      </c>
      <c r="CE532">
        <f>IFERROR(INDEX(PP_Grid[#Data],$DD532,81),0)</f>
        <v/>
      </c>
      <c r="CF532">
        <f>IFERROR(INDEX(PP_Grid[#Data],$DD532,82),0)</f>
        <v/>
      </c>
      <c r="CG532">
        <f>IFERROR(INDEX(PP_Grid[#Data],$DD532,83),0)</f>
        <v/>
      </c>
      <c r="CH532">
        <f>IFERROR(INDEX(PP_Grid[#Data],$DD532,84),0)</f>
        <v/>
      </c>
      <c r="CI532">
        <f>IFERROR(INDEX(PP_Grid[#Data],$DD532,85),0)</f>
        <v/>
      </c>
      <c r="CJ532">
        <f>IFERROR(INDEX(PP_Grid[#Data],$DD532,86),0)</f>
        <v/>
      </c>
      <c r="CK532">
        <f>IFERROR(INDEX(PP_Grid[#Data],$DD532,87),0)</f>
        <v/>
      </c>
      <c r="CL532">
        <f>IFERROR(INDEX(PP_Grid[#Data],$DD532,88),0)</f>
        <v/>
      </c>
      <c r="CM532">
        <f>IFERROR(INDEX(PP_Grid[#Data],$DD532,89),0)</f>
        <v/>
      </c>
      <c r="CN532">
        <f>IFERROR(INDEX(PP_Grid[#Data],$DD532,90),0)</f>
        <v/>
      </c>
      <c r="CO532">
        <f>IFERROR(INDEX(PP_Grid[#Data],$DD532,91),0)</f>
        <v/>
      </c>
      <c r="CP532">
        <f>IFERROR(INDEX(PP_Grid[#Data],$DD532,92),0)</f>
        <v/>
      </c>
      <c r="CQ532">
        <f>IFERROR(INDEX(PP_Grid[#Data],$DD532,93),0)</f>
        <v/>
      </c>
      <c r="CR532">
        <f>IFERROR(INDEX(PP_Grid[#Data],$DD532,94),0)</f>
        <v/>
      </c>
      <c r="CS532">
        <f>IFERROR(INDEX(PP_Grid[#Data],$DD532,95),0)</f>
        <v/>
      </c>
      <c r="CT532">
        <f>IFERROR(INDEX(PP_Grid[#Data],$DD532,96),0)</f>
        <v/>
      </c>
      <c r="CU532">
        <f>IFERROR(INDEX(PP_Grid[#Data],$DD532,97),0)</f>
        <v/>
      </c>
      <c r="CV532">
        <f>IFERROR(INDEX(PP_Grid[#Data],$DD532,98),0)</f>
        <v/>
      </c>
      <c r="CW532">
        <f>IFERROR(INDEX(PP_Grid[#Data],$DD532,99),0)</f>
        <v/>
      </c>
      <c r="CX532">
        <f>IFERROR(INDEX(PP_Grid[#Data],$DD532,100),0)</f>
        <v/>
      </c>
      <c r="CY532">
        <f>IFERROR(INDEX(PP_Grid[#Data],$DD532,101),0)</f>
        <v/>
      </c>
      <c r="CZ532">
        <f>IFERROR(INDEX(PP_Grid[#Data],$DD532,102),0)</f>
        <v/>
      </c>
      <c r="DA532">
        <f>IFERROR(INDEX(PP_Grid[#Data],$DD532,103),0)</f>
        <v/>
      </c>
      <c r="DB532">
        <f>IFERROR(INDEX(PP_Grid[#Data],$DD532,104),0)</f>
        <v/>
      </c>
      <c r="DC532">
        <f>IFERROR(INDEX(PP_Grid[#Data],$DD532,105),0)</f>
        <v/>
      </c>
      <c r="DD532" s="7">
        <f>IFERROR(MATCH($B532,PP_Grid[Intermediate],0),99999)</f>
        <v/>
      </c>
    </row>
    <row r="533">
      <c r="B533" t="inlineStr">
        <is>
          <t>使用量(kg)</t>
        </is>
      </c>
      <c r="C533">
        <f>SUMIFS(M_BOM[RM_Qty_Per_Batch],M_BOM[Intermediate],$B532,M_BOM[Part Name],$A507)</f>
        <v/>
      </c>
      <c r="D533">
        <f>$C533*D532</f>
        <v/>
      </c>
      <c r="E533">
        <f>$C533*E532</f>
        <v/>
      </c>
      <c r="F533">
        <f>$C533*F532</f>
        <v/>
      </c>
      <c r="G533">
        <f>$C533*G532</f>
        <v/>
      </c>
      <c r="H533">
        <f>$C533*H532</f>
        <v/>
      </c>
      <c r="I533">
        <f>$C533*I532</f>
        <v/>
      </c>
      <c r="J533">
        <f>$C533*J532</f>
        <v/>
      </c>
      <c r="K533">
        <f>$C533*K532</f>
        <v/>
      </c>
      <c r="L533">
        <f>$C533*L532</f>
        <v/>
      </c>
      <c r="M533">
        <f>$C533*M532</f>
        <v/>
      </c>
      <c r="N533">
        <f>$C533*N532</f>
        <v/>
      </c>
      <c r="O533">
        <f>$C533*O532</f>
        <v/>
      </c>
      <c r="P533">
        <f>$C533*P532</f>
        <v/>
      </c>
      <c r="Q533">
        <f>$C533*Q532</f>
        <v/>
      </c>
      <c r="R533">
        <f>$C533*R532</f>
        <v/>
      </c>
      <c r="S533">
        <f>$C533*S532</f>
        <v/>
      </c>
      <c r="T533">
        <f>$C533*T532</f>
        <v/>
      </c>
      <c r="U533">
        <f>$C533*U532</f>
        <v/>
      </c>
      <c r="V533">
        <f>$C533*V532</f>
        <v/>
      </c>
      <c r="W533">
        <f>$C533*W532</f>
        <v/>
      </c>
      <c r="X533">
        <f>$C533*X532</f>
        <v/>
      </c>
      <c r="Y533">
        <f>$C533*Y532</f>
        <v/>
      </c>
      <c r="Z533">
        <f>$C533*Z532</f>
        <v/>
      </c>
      <c r="AA533">
        <f>$C533*AA532</f>
        <v/>
      </c>
      <c r="AB533">
        <f>$C533*AB532</f>
        <v/>
      </c>
      <c r="AC533">
        <f>$C533*AC532</f>
        <v/>
      </c>
      <c r="AD533">
        <f>$C533*AD532</f>
        <v/>
      </c>
      <c r="AE533">
        <f>$C533*AE532</f>
        <v/>
      </c>
      <c r="AF533">
        <f>$C533*AF532</f>
        <v/>
      </c>
      <c r="AG533">
        <f>$C533*AG532</f>
        <v/>
      </c>
      <c r="AH533">
        <f>$C533*AH532</f>
        <v/>
      </c>
      <c r="AI533">
        <f>$C533*AI532</f>
        <v/>
      </c>
      <c r="AJ533">
        <f>$C533*AJ532</f>
        <v/>
      </c>
      <c r="AK533">
        <f>$C533*AK532</f>
        <v/>
      </c>
      <c r="AL533">
        <f>$C533*AL532</f>
        <v/>
      </c>
      <c r="AM533">
        <f>$C533*AM532</f>
        <v/>
      </c>
      <c r="AN533">
        <f>$C533*AN532</f>
        <v/>
      </c>
      <c r="AO533">
        <f>$C533*AO532</f>
        <v/>
      </c>
      <c r="AP533">
        <f>$C533*AP532</f>
        <v/>
      </c>
      <c r="AQ533">
        <f>$C533*AQ532</f>
        <v/>
      </c>
      <c r="AR533">
        <f>$C533*AR532</f>
        <v/>
      </c>
      <c r="AS533">
        <f>$C533*AS532</f>
        <v/>
      </c>
      <c r="AT533">
        <f>$C533*AT532</f>
        <v/>
      </c>
      <c r="AU533">
        <f>$C533*AU532</f>
        <v/>
      </c>
      <c r="AV533">
        <f>$C533*AV532</f>
        <v/>
      </c>
      <c r="AW533">
        <f>$C533*AW532</f>
        <v/>
      </c>
      <c r="AX533">
        <f>$C533*AX532</f>
        <v/>
      </c>
      <c r="AY533">
        <f>$C533*AY532</f>
        <v/>
      </c>
      <c r="AZ533">
        <f>$C533*AZ532</f>
        <v/>
      </c>
      <c r="BA533">
        <f>$C533*BA532</f>
        <v/>
      </c>
      <c r="BB533">
        <f>$C533*BB532</f>
        <v/>
      </c>
      <c r="BC533">
        <f>$C533*BC532</f>
        <v/>
      </c>
      <c r="BD533">
        <f>$C533*BD532</f>
        <v/>
      </c>
      <c r="BE533">
        <f>$C533*BE532</f>
        <v/>
      </c>
      <c r="BF533">
        <f>$C533*BF532</f>
        <v/>
      </c>
      <c r="BG533">
        <f>$C533*BG532</f>
        <v/>
      </c>
      <c r="BH533">
        <f>$C533*BH532</f>
        <v/>
      </c>
      <c r="BI533">
        <f>$C533*BI532</f>
        <v/>
      </c>
      <c r="BJ533">
        <f>$C533*BJ532</f>
        <v/>
      </c>
      <c r="BK533">
        <f>$C533*BK532</f>
        <v/>
      </c>
      <c r="BL533">
        <f>$C533*BL532</f>
        <v/>
      </c>
      <c r="BM533">
        <f>$C533*BM532</f>
        <v/>
      </c>
      <c r="BN533">
        <f>$C533*BN532</f>
        <v/>
      </c>
      <c r="BO533">
        <f>$C533*BO532</f>
        <v/>
      </c>
      <c r="BP533">
        <f>$C533*BP532</f>
        <v/>
      </c>
      <c r="BQ533">
        <f>$C533*BQ532</f>
        <v/>
      </c>
      <c r="BR533">
        <f>$C533*BR532</f>
        <v/>
      </c>
      <c r="BS533">
        <f>$C533*BS532</f>
        <v/>
      </c>
      <c r="BT533">
        <f>$C533*BT532</f>
        <v/>
      </c>
      <c r="BU533">
        <f>$C533*BU532</f>
        <v/>
      </c>
      <c r="BV533">
        <f>$C533*BV532</f>
        <v/>
      </c>
      <c r="BW533">
        <f>$C533*BW532</f>
        <v/>
      </c>
      <c r="BX533">
        <f>$C533*BX532</f>
        <v/>
      </c>
      <c r="BY533">
        <f>$C533*BY532</f>
        <v/>
      </c>
      <c r="BZ533">
        <f>$C533*BZ532</f>
        <v/>
      </c>
      <c r="CA533">
        <f>$C533*CA532</f>
        <v/>
      </c>
      <c r="CB533">
        <f>$C533*CB532</f>
        <v/>
      </c>
      <c r="CC533">
        <f>$C533*CC532</f>
        <v/>
      </c>
      <c r="CD533">
        <f>$C533*CD532</f>
        <v/>
      </c>
      <c r="CE533">
        <f>$C533*CE532</f>
        <v/>
      </c>
      <c r="CF533">
        <f>$C533*CF532</f>
        <v/>
      </c>
      <c r="CG533">
        <f>$C533*CG532</f>
        <v/>
      </c>
      <c r="CH533">
        <f>$C533*CH532</f>
        <v/>
      </c>
      <c r="CI533">
        <f>$C533*CI532</f>
        <v/>
      </c>
      <c r="CJ533">
        <f>$C533*CJ532</f>
        <v/>
      </c>
      <c r="CK533">
        <f>$C533*CK532</f>
        <v/>
      </c>
      <c r="CL533">
        <f>$C533*CL532</f>
        <v/>
      </c>
      <c r="CM533">
        <f>$C533*CM532</f>
        <v/>
      </c>
      <c r="CN533">
        <f>$C533*CN532</f>
        <v/>
      </c>
      <c r="CO533">
        <f>$C533*CO532</f>
        <v/>
      </c>
      <c r="CP533">
        <f>$C533*CP532</f>
        <v/>
      </c>
      <c r="CQ533">
        <f>$C533*CQ532</f>
        <v/>
      </c>
      <c r="CR533">
        <f>$C533*CR532</f>
        <v/>
      </c>
      <c r="CS533">
        <f>$C533*CS532</f>
        <v/>
      </c>
      <c r="CT533">
        <f>$C533*CT532</f>
        <v/>
      </c>
      <c r="CU533">
        <f>$C533*CU532</f>
        <v/>
      </c>
      <c r="CV533">
        <f>$C533*CV532</f>
        <v/>
      </c>
      <c r="CW533">
        <f>$C533*CW532</f>
        <v/>
      </c>
      <c r="CX533">
        <f>$C533*CX532</f>
        <v/>
      </c>
      <c r="CY533">
        <f>$C533*CY532</f>
        <v/>
      </c>
      <c r="CZ533">
        <f>$C533*CZ532</f>
        <v/>
      </c>
      <c r="DA533">
        <f>$C533*DA532</f>
        <v/>
      </c>
      <c r="DB533">
        <f>$C533*DB532</f>
        <v/>
      </c>
      <c r="DC533">
        <f>$C533*DC532</f>
        <v/>
      </c>
    </row>
    <row r="534">
      <c r="B534" t="inlineStr">
        <is>
          <t>VSP-820</t>
        </is>
      </c>
      <c r="C534" t="inlineStr">
        <is>
          <t>No. of batches</t>
        </is>
      </c>
      <c r="D534">
        <f>IFERROR(INDEX(PP_Grid[#Data],$DD534,2),0)</f>
        <v/>
      </c>
      <c r="E534">
        <f>IFERROR(INDEX(PP_Grid[#Data],$DD534,3),0)</f>
        <v/>
      </c>
      <c r="F534">
        <f>IFERROR(INDEX(PP_Grid[#Data],$DD534,4),0)</f>
        <v/>
      </c>
      <c r="G534">
        <f>IFERROR(INDEX(PP_Grid[#Data],$DD534,5),0)</f>
        <v/>
      </c>
      <c r="H534">
        <f>IFERROR(INDEX(PP_Grid[#Data],$DD534,6),0)</f>
        <v/>
      </c>
      <c r="I534">
        <f>IFERROR(INDEX(PP_Grid[#Data],$DD534,7),0)</f>
        <v/>
      </c>
      <c r="J534">
        <f>IFERROR(INDEX(PP_Grid[#Data],$DD534,8),0)</f>
        <v/>
      </c>
      <c r="K534">
        <f>IFERROR(INDEX(PP_Grid[#Data],$DD534,9),0)</f>
        <v/>
      </c>
      <c r="L534">
        <f>IFERROR(INDEX(PP_Grid[#Data],$DD534,10),0)</f>
        <v/>
      </c>
      <c r="M534">
        <f>IFERROR(INDEX(PP_Grid[#Data],$DD534,11),0)</f>
        <v/>
      </c>
      <c r="N534">
        <f>IFERROR(INDEX(PP_Grid[#Data],$DD534,12),0)</f>
        <v/>
      </c>
      <c r="O534">
        <f>IFERROR(INDEX(PP_Grid[#Data],$DD534,13),0)</f>
        <v/>
      </c>
      <c r="P534">
        <f>IFERROR(INDEX(PP_Grid[#Data],$DD534,14),0)</f>
        <v/>
      </c>
      <c r="Q534">
        <f>IFERROR(INDEX(PP_Grid[#Data],$DD534,15),0)</f>
        <v/>
      </c>
      <c r="R534">
        <f>IFERROR(INDEX(PP_Grid[#Data],$DD534,16),0)</f>
        <v/>
      </c>
      <c r="S534">
        <f>IFERROR(INDEX(PP_Grid[#Data],$DD534,17),0)</f>
        <v/>
      </c>
      <c r="T534">
        <f>IFERROR(INDEX(PP_Grid[#Data],$DD534,18),0)</f>
        <v/>
      </c>
      <c r="U534">
        <f>IFERROR(INDEX(PP_Grid[#Data],$DD534,19),0)</f>
        <v/>
      </c>
      <c r="V534">
        <f>IFERROR(INDEX(PP_Grid[#Data],$DD534,20),0)</f>
        <v/>
      </c>
      <c r="W534">
        <f>IFERROR(INDEX(PP_Grid[#Data],$DD534,21),0)</f>
        <v/>
      </c>
      <c r="X534">
        <f>IFERROR(INDEX(PP_Grid[#Data],$DD534,22),0)</f>
        <v/>
      </c>
      <c r="Y534">
        <f>IFERROR(INDEX(PP_Grid[#Data],$DD534,23),0)</f>
        <v/>
      </c>
      <c r="Z534">
        <f>IFERROR(INDEX(PP_Grid[#Data],$DD534,24),0)</f>
        <v/>
      </c>
      <c r="AA534">
        <f>IFERROR(INDEX(PP_Grid[#Data],$DD534,25),0)</f>
        <v/>
      </c>
      <c r="AB534">
        <f>IFERROR(INDEX(PP_Grid[#Data],$DD534,26),0)</f>
        <v/>
      </c>
      <c r="AC534">
        <f>IFERROR(INDEX(PP_Grid[#Data],$DD534,27),0)</f>
        <v/>
      </c>
      <c r="AD534">
        <f>IFERROR(INDEX(PP_Grid[#Data],$DD534,28),0)</f>
        <v/>
      </c>
      <c r="AE534">
        <f>IFERROR(INDEX(PP_Grid[#Data],$DD534,29),0)</f>
        <v/>
      </c>
      <c r="AF534">
        <f>IFERROR(INDEX(PP_Grid[#Data],$DD534,30),0)</f>
        <v/>
      </c>
      <c r="AG534">
        <f>IFERROR(INDEX(PP_Grid[#Data],$DD534,31),0)</f>
        <v/>
      </c>
      <c r="AH534">
        <f>IFERROR(INDEX(PP_Grid[#Data],$DD534,32),0)</f>
        <v/>
      </c>
      <c r="AI534">
        <f>IFERROR(INDEX(PP_Grid[#Data],$DD534,33),0)</f>
        <v/>
      </c>
      <c r="AJ534">
        <f>IFERROR(INDEX(PP_Grid[#Data],$DD534,34),0)</f>
        <v/>
      </c>
      <c r="AK534">
        <f>IFERROR(INDEX(PP_Grid[#Data],$DD534,35),0)</f>
        <v/>
      </c>
      <c r="AL534">
        <f>IFERROR(INDEX(PP_Grid[#Data],$DD534,36),0)</f>
        <v/>
      </c>
      <c r="AM534">
        <f>IFERROR(INDEX(PP_Grid[#Data],$DD534,37),0)</f>
        <v/>
      </c>
      <c r="AN534">
        <f>IFERROR(INDEX(PP_Grid[#Data],$DD534,38),0)</f>
        <v/>
      </c>
      <c r="AO534">
        <f>IFERROR(INDEX(PP_Grid[#Data],$DD534,39),0)</f>
        <v/>
      </c>
      <c r="AP534">
        <f>IFERROR(INDEX(PP_Grid[#Data],$DD534,40),0)</f>
        <v/>
      </c>
      <c r="AQ534">
        <f>IFERROR(INDEX(PP_Grid[#Data],$DD534,41),0)</f>
        <v/>
      </c>
      <c r="AR534">
        <f>IFERROR(INDEX(PP_Grid[#Data],$DD534,42),0)</f>
        <v/>
      </c>
      <c r="AS534">
        <f>IFERROR(INDEX(PP_Grid[#Data],$DD534,43),0)</f>
        <v/>
      </c>
      <c r="AT534">
        <f>IFERROR(INDEX(PP_Grid[#Data],$DD534,44),0)</f>
        <v/>
      </c>
      <c r="AU534">
        <f>IFERROR(INDEX(PP_Grid[#Data],$DD534,45),0)</f>
        <v/>
      </c>
      <c r="AV534">
        <f>IFERROR(INDEX(PP_Grid[#Data],$DD534,46),0)</f>
        <v/>
      </c>
      <c r="AW534">
        <f>IFERROR(INDEX(PP_Grid[#Data],$DD534,47),0)</f>
        <v/>
      </c>
      <c r="AX534">
        <f>IFERROR(INDEX(PP_Grid[#Data],$DD534,48),0)</f>
        <v/>
      </c>
      <c r="AY534">
        <f>IFERROR(INDEX(PP_Grid[#Data],$DD534,49),0)</f>
        <v/>
      </c>
      <c r="AZ534">
        <f>IFERROR(INDEX(PP_Grid[#Data],$DD534,50),0)</f>
        <v/>
      </c>
      <c r="BA534">
        <f>IFERROR(INDEX(PP_Grid[#Data],$DD534,51),0)</f>
        <v/>
      </c>
      <c r="BB534">
        <f>IFERROR(INDEX(PP_Grid[#Data],$DD534,52),0)</f>
        <v/>
      </c>
      <c r="BC534">
        <f>IFERROR(INDEX(PP_Grid[#Data],$DD534,53),0)</f>
        <v/>
      </c>
      <c r="BD534">
        <f>IFERROR(INDEX(PP_Grid[#Data],$DD534,54),0)</f>
        <v/>
      </c>
      <c r="BE534">
        <f>IFERROR(INDEX(PP_Grid[#Data],$DD534,55),0)</f>
        <v/>
      </c>
      <c r="BF534">
        <f>IFERROR(INDEX(PP_Grid[#Data],$DD534,56),0)</f>
        <v/>
      </c>
      <c r="BG534">
        <f>IFERROR(INDEX(PP_Grid[#Data],$DD534,57),0)</f>
        <v/>
      </c>
      <c r="BH534">
        <f>IFERROR(INDEX(PP_Grid[#Data],$DD534,58),0)</f>
        <v/>
      </c>
      <c r="BI534">
        <f>IFERROR(INDEX(PP_Grid[#Data],$DD534,59),0)</f>
        <v/>
      </c>
      <c r="BJ534">
        <f>IFERROR(INDEX(PP_Grid[#Data],$DD534,60),0)</f>
        <v/>
      </c>
      <c r="BK534">
        <f>IFERROR(INDEX(PP_Grid[#Data],$DD534,61),0)</f>
        <v/>
      </c>
      <c r="BL534">
        <f>IFERROR(INDEX(PP_Grid[#Data],$DD534,62),0)</f>
        <v/>
      </c>
      <c r="BM534">
        <f>IFERROR(INDEX(PP_Grid[#Data],$DD534,63),0)</f>
        <v/>
      </c>
      <c r="BN534">
        <f>IFERROR(INDEX(PP_Grid[#Data],$DD534,64),0)</f>
        <v/>
      </c>
      <c r="BO534">
        <f>IFERROR(INDEX(PP_Grid[#Data],$DD534,65),0)</f>
        <v/>
      </c>
      <c r="BP534">
        <f>IFERROR(INDEX(PP_Grid[#Data],$DD534,66),0)</f>
        <v/>
      </c>
      <c r="BQ534">
        <f>IFERROR(INDEX(PP_Grid[#Data],$DD534,67),0)</f>
        <v/>
      </c>
      <c r="BR534">
        <f>IFERROR(INDEX(PP_Grid[#Data],$DD534,68),0)</f>
        <v/>
      </c>
      <c r="BS534">
        <f>IFERROR(INDEX(PP_Grid[#Data],$DD534,69),0)</f>
        <v/>
      </c>
      <c r="BT534">
        <f>IFERROR(INDEX(PP_Grid[#Data],$DD534,70),0)</f>
        <v/>
      </c>
      <c r="BU534">
        <f>IFERROR(INDEX(PP_Grid[#Data],$DD534,71),0)</f>
        <v/>
      </c>
      <c r="BV534">
        <f>IFERROR(INDEX(PP_Grid[#Data],$DD534,72),0)</f>
        <v/>
      </c>
      <c r="BW534">
        <f>IFERROR(INDEX(PP_Grid[#Data],$DD534,73),0)</f>
        <v/>
      </c>
      <c r="BX534">
        <f>IFERROR(INDEX(PP_Grid[#Data],$DD534,74),0)</f>
        <v/>
      </c>
      <c r="BY534">
        <f>IFERROR(INDEX(PP_Grid[#Data],$DD534,75),0)</f>
        <v/>
      </c>
      <c r="BZ534">
        <f>IFERROR(INDEX(PP_Grid[#Data],$DD534,76),0)</f>
        <v/>
      </c>
      <c r="CA534">
        <f>IFERROR(INDEX(PP_Grid[#Data],$DD534,77),0)</f>
        <v/>
      </c>
      <c r="CB534">
        <f>IFERROR(INDEX(PP_Grid[#Data],$DD534,78),0)</f>
        <v/>
      </c>
      <c r="CC534">
        <f>IFERROR(INDEX(PP_Grid[#Data],$DD534,79),0)</f>
        <v/>
      </c>
      <c r="CD534">
        <f>IFERROR(INDEX(PP_Grid[#Data],$DD534,80),0)</f>
        <v/>
      </c>
      <c r="CE534">
        <f>IFERROR(INDEX(PP_Grid[#Data],$DD534,81),0)</f>
        <v/>
      </c>
      <c r="CF534">
        <f>IFERROR(INDEX(PP_Grid[#Data],$DD534,82),0)</f>
        <v/>
      </c>
      <c r="CG534">
        <f>IFERROR(INDEX(PP_Grid[#Data],$DD534,83),0)</f>
        <v/>
      </c>
      <c r="CH534">
        <f>IFERROR(INDEX(PP_Grid[#Data],$DD534,84),0)</f>
        <v/>
      </c>
      <c r="CI534">
        <f>IFERROR(INDEX(PP_Grid[#Data],$DD534,85),0)</f>
        <v/>
      </c>
      <c r="CJ534">
        <f>IFERROR(INDEX(PP_Grid[#Data],$DD534,86),0)</f>
        <v/>
      </c>
      <c r="CK534">
        <f>IFERROR(INDEX(PP_Grid[#Data],$DD534,87),0)</f>
        <v/>
      </c>
      <c r="CL534">
        <f>IFERROR(INDEX(PP_Grid[#Data],$DD534,88),0)</f>
        <v/>
      </c>
      <c r="CM534">
        <f>IFERROR(INDEX(PP_Grid[#Data],$DD534,89),0)</f>
        <v/>
      </c>
      <c r="CN534">
        <f>IFERROR(INDEX(PP_Grid[#Data],$DD534,90),0)</f>
        <v/>
      </c>
      <c r="CO534">
        <f>IFERROR(INDEX(PP_Grid[#Data],$DD534,91),0)</f>
        <v/>
      </c>
      <c r="CP534">
        <f>IFERROR(INDEX(PP_Grid[#Data],$DD534,92),0)</f>
        <v/>
      </c>
      <c r="CQ534">
        <f>IFERROR(INDEX(PP_Grid[#Data],$DD534,93),0)</f>
        <v/>
      </c>
      <c r="CR534">
        <f>IFERROR(INDEX(PP_Grid[#Data],$DD534,94),0)</f>
        <v/>
      </c>
      <c r="CS534">
        <f>IFERROR(INDEX(PP_Grid[#Data],$DD534,95),0)</f>
        <v/>
      </c>
      <c r="CT534">
        <f>IFERROR(INDEX(PP_Grid[#Data],$DD534,96),0)</f>
        <v/>
      </c>
      <c r="CU534">
        <f>IFERROR(INDEX(PP_Grid[#Data],$DD534,97),0)</f>
        <v/>
      </c>
      <c r="CV534">
        <f>IFERROR(INDEX(PP_Grid[#Data],$DD534,98),0)</f>
        <v/>
      </c>
      <c r="CW534">
        <f>IFERROR(INDEX(PP_Grid[#Data],$DD534,99),0)</f>
        <v/>
      </c>
      <c r="CX534">
        <f>IFERROR(INDEX(PP_Grid[#Data],$DD534,100),0)</f>
        <v/>
      </c>
      <c r="CY534">
        <f>IFERROR(INDEX(PP_Grid[#Data],$DD534,101),0)</f>
        <v/>
      </c>
      <c r="CZ534">
        <f>IFERROR(INDEX(PP_Grid[#Data],$DD534,102),0)</f>
        <v/>
      </c>
      <c r="DA534">
        <f>IFERROR(INDEX(PP_Grid[#Data],$DD534,103),0)</f>
        <v/>
      </c>
      <c r="DB534">
        <f>IFERROR(INDEX(PP_Grid[#Data],$DD534,104),0)</f>
        <v/>
      </c>
      <c r="DC534">
        <f>IFERROR(INDEX(PP_Grid[#Data],$DD534,105),0)</f>
        <v/>
      </c>
      <c r="DD534" s="7">
        <f>IFERROR(MATCH($B534,PP_Grid[Intermediate],0),99999)</f>
        <v/>
      </c>
    </row>
    <row r="535">
      <c r="B535" t="inlineStr">
        <is>
          <t>使用量(kg)</t>
        </is>
      </c>
      <c r="C535">
        <f>SUMIFS(M_BOM[RM_Qty_Per_Batch],M_BOM[Intermediate],$B534,M_BOM[Part Name],$A507)</f>
        <v/>
      </c>
      <c r="D535">
        <f>$C535*D534</f>
        <v/>
      </c>
      <c r="E535">
        <f>$C535*E534</f>
        <v/>
      </c>
      <c r="F535">
        <f>$C535*F534</f>
        <v/>
      </c>
      <c r="G535">
        <f>$C535*G534</f>
        <v/>
      </c>
      <c r="H535">
        <f>$C535*H534</f>
        <v/>
      </c>
      <c r="I535">
        <f>$C535*I534</f>
        <v/>
      </c>
      <c r="J535">
        <f>$C535*J534</f>
        <v/>
      </c>
      <c r="K535">
        <f>$C535*K534</f>
        <v/>
      </c>
      <c r="L535">
        <f>$C535*L534</f>
        <v/>
      </c>
      <c r="M535">
        <f>$C535*M534</f>
        <v/>
      </c>
      <c r="N535">
        <f>$C535*N534</f>
        <v/>
      </c>
      <c r="O535">
        <f>$C535*O534</f>
        <v/>
      </c>
      <c r="P535">
        <f>$C535*P534</f>
        <v/>
      </c>
      <c r="Q535">
        <f>$C535*Q534</f>
        <v/>
      </c>
      <c r="R535">
        <f>$C535*R534</f>
        <v/>
      </c>
      <c r="S535">
        <f>$C535*S534</f>
        <v/>
      </c>
      <c r="T535">
        <f>$C535*T534</f>
        <v/>
      </c>
      <c r="U535">
        <f>$C535*U534</f>
        <v/>
      </c>
      <c r="V535">
        <f>$C535*V534</f>
        <v/>
      </c>
      <c r="W535">
        <f>$C535*W534</f>
        <v/>
      </c>
      <c r="X535">
        <f>$C535*X534</f>
        <v/>
      </c>
      <c r="Y535">
        <f>$C535*Y534</f>
        <v/>
      </c>
      <c r="Z535">
        <f>$C535*Z534</f>
        <v/>
      </c>
      <c r="AA535">
        <f>$C535*AA534</f>
        <v/>
      </c>
      <c r="AB535">
        <f>$C535*AB534</f>
        <v/>
      </c>
      <c r="AC535">
        <f>$C535*AC534</f>
        <v/>
      </c>
      <c r="AD535">
        <f>$C535*AD534</f>
        <v/>
      </c>
      <c r="AE535">
        <f>$C535*AE534</f>
        <v/>
      </c>
      <c r="AF535">
        <f>$C535*AF534</f>
        <v/>
      </c>
      <c r="AG535">
        <f>$C535*AG534</f>
        <v/>
      </c>
      <c r="AH535">
        <f>$C535*AH534</f>
        <v/>
      </c>
      <c r="AI535">
        <f>$C535*AI534</f>
        <v/>
      </c>
      <c r="AJ535">
        <f>$C535*AJ534</f>
        <v/>
      </c>
      <c r="AK535">
        <f>$C535*AK534</f>
        <v/>
      </c>
      <c r="AL535">
        <f>$C535*AL534</f>
        <v/>
      </c>
      <c r="AM535">
        <f>$C535*AM534</f>
        <v/>
      </c>
      <c r="AN535">
        <f>$C535*AN534</f>
        <v/>
      </c>
      <c r="AO535">
        <f>$C535*AO534</f>
        <v/>
      </c>
      <c r="AP535">
        <f>$C535*AP534</f>
        <v/>
      </c>
      <c r="AQ535">
        <f>$C535*AQ534</f>
        <v/>
      </c>
      <c r="AR535">
        <f>$C535*AR534</f>
        <v/>
      </c>
      <c r="AS535">
        <f>$C535*AS534</f>
        <v/>
      </c>
      <c r="AT535">
        <f>$C535*AT534</f>
        <v/>
      </c>
      <c r="AU535">
        <f>$C535*AU534</f>
        <v/>
      </c>
      <c r="AV535">
        <f>$C535*AV534</f>
        <v/>
      </c>
      <c r="AW535">
        <f>$C535*AW534</f>
        <v/>
      </c>
      <c r="AX535">
        <f>$C535*AX534</f>
        <v/>
      </c>
      <c r="AY535">
        <f>$C535*AY534</f>
        <v/>
      </c>
      <c r="AZ535">
        <f>$C535*AZ534</f>
        <v/>
      </c>
      <c r="BA535">
        <f>$C535*BA534</f>
        <v/>
      </c>
      <c r="BB535">
        <f>$C535*BB534</f>
        <v/>
      </c>
      <c r="BC535">
        <f>$C535*BC534</f>
        <v/>
      </c>
      <c r="BD535">
        <f>$C535*BD534</f>
        <v/>
      </c>
      <c r="BE535">
        <f>$C535*BE534</f>
        <v/>
      </c>
      <c r="BF535">
        <f>$C535*BF534</f>
        <v/>
      </c>
      <c r="BG535">
        <f>$C535*BG534</f>
        <v/>
      </c>
      <c r="BH535">
        <f>$C535*BH534</f>
        <v/>
      </c>
      <c r="BI535">
        <f>$C535*BI534</f>
        <v/>
      </c>
      <c r="BJ535">
        <f>$C535*BJ534</f>
        <v/>
      </c>
      <c r="BK535">
        <f>$C535*BK534</f>
        <v/>
      </c>
      <c r="BL535">
        <f>$C535*BL534</f>
        <v/>
      </c>
      <c r="BM535">
        <f>$C535*BM534</f>
        <v/>
      </c>
      <c r="BN535">
        <f>$C535*BN534</f>
        <v/>
      </c>
      <c r="BO535">
        <f>$C535*BO534</f>
        <v/>
      </c>
      <c r="BP535">
        <f>$C535*BP534</f>
        <v/>
      </c>
      <c r="BQ535">
        <f>$C535*BQ534</f>
        <v/>
      </c>
      <c r="BR535">
        <f>$C535*BR534</f>
        <v/>
      </c>
      <c r="BS535">
        <f>$C535*BS534</f>
        <v/>
      </c>
      <c r="BT535">
        <f>$C535*BT534</f>
        <v/>
      </c>
      <c r="BU535">
        <f>$C535*BU534</f>
        <v/>
      </c>
      <c r="BV535">
        <f>$C535*BV534</f>
        <v/>
      </c>
      <c r="BW535">
        <f>$C535*BW534</f>
        <v/>
      </c>
      <c r="BX535">
        <f>$C535*BX534</f>
        <v/>
      </c>
      <c r="BY535">
        <f>$C535*BY534</f>
        <v/>
      </c>
      <c r="BZ535">
        <f>$C535*BZ534</f>
        <v/>
      </c>
      <c r="CA535">
        <f>$C535*CA534</f>
        <v/>
      </c>
      <c r="CB535">
        <f>$C535*CB534</f>
        <v/>
      </c>
      <c r="CC535">
        <f>$C535*CC534</f>
        <v/>
      </c>
      <c r="CD535">
        <f>$C535*CD534</f>
        <v/>
      </c>
      <c r="CE535">
        <f>$C535*CE534</f>
        <v/>
      </c>
      <c r="CF535">
        <f>$C535*CF534</f>
        <v/>
      </c>
      <c r="CG535">
        <f>$C535*CG534</f>
        <v/>
      </c>
      <c r="CH535">
        <f>$C535*CH534</f>
        <v/>
      </c>
      <c r="CI535">
        <f>$C535*CI534</f>
        <v/>
      </c>
      <c r="CJ535">
        <f>$C535*CJ534</f>
        <v/>
      </c>
      <c r="CK535">
        <f>$C535*CK534</f>
        <v/>
      </c>
      <c r="CL535">
        <f>$C535*CL534</f>
        <v/>
      </c>
      <c r="CM535">
        <f>$C535*CM534</f>
        <v/>
      </c>
      <c r="CN535">
        <f>$C535*CN534</f>
        <v/>
      </c>
      <c r="CO535">
        <f>$C535*CO534</f>
        <v/>
      </c>
      <c r="CP535">
        <f>$C535*CP534</f>
        <v/>
      </c>
      <c r="CQ535">
        <f>$C535*CQ534</f>
        <v/>
      </c>
      <c r="CR535">
        <f>$C535*CR534</f>
        <v/>
      </c>
      <c r="CS535">
        <f>$C535*CS534</f>
        <v/>
      </c>
      <c r="CT535">
        <f>$C535*CT534</f>
        <v/>
      </c>
      <c r="CU535">
        <f>$C535*CU534</f>
        <v/>
      </c>
      <c r="CV535">
        <f>$C535*CV534</f>
        <v/>
      </c>
      <c r="CW535">
        <f>$C535*CW534</f>
        <v/>
      </c>
      <c r="CX535">
        <f>$C535*CX534</f>
        <v/>
      </c>
      <c r="CY535">
        <f>$C535*CY534</f>
        <v/>
      </c>
      <c r="CZ535">
        <f>$C535*CZ534</f>
        <v/>
      </c>
      <c r="DA535">
        <f>$C535*DA534</f>
        <v/>
      </c>
      <c r="DB535">
        <f>$C535*DB534</f>
        <v/>
      </c>
      <c r="DC535">
        <f>$C535*DC534</f>
        <v/>
      </c>
    </row>
    <row r="536">
      <c r="B536" t="inlineStr">
        <is>
          <t>VSP-869</t>
        </is>
      </c>
      <c r="C536" t="inlineStr">
        <is>
          <t>No. of batches</t>
        </is>
      </c>
      <c r="D536">
        <f>IFERROR(INDEX(PP_Grid[#Data],$DD536,2),0)</f>
        <v/>
      </c>
      <c r="E536">
        <f>IFERROR(INDEX(PP_Grid[#Data],$DD536,3),0)</f>
        <v/>
      </c>
      <c r="F536">
        <f>IFERROR(INDEX(PP_Grid[#Data],$DD536,4),0)</f>
        <v/>
      </c>
      <c r="G536">
        <f>IFERROR(INDEX(PP_Grid[#Data],$DD536,5),0)</f>
        <v/>
      </c>
      <c r="H536">
        <f>IFERROR(INDEX(PP_Grid[#Data],$DD536,6),0)</f>
        <v/>
      </c>
      <c r="I536">
        <f>IFERROR(INDEX(PP_Grid[#Data],$DD536,7),0)</f>
        <v/>
      </c>
      <c r="J536">
        <f>IFERROR(INDEX(PP_Grid[#Data],$DD536,8),0)</f>
        <v/>
      </c>
      <c r="K536">
        <f>IFERROR(INDEX(PP_Grid[#Data],$DD536,9),0)</f>
        <v/>
      </c>
      <c r="L536">
        <f>IFERROR(INDEX(PP_Grid[#Data],$DD536,10),0)</f>
        <v/>
      </c>
      <c r="M536">
        <f>IFERROR(INDEX(PP_Grid[#Data],$DD536,11),0)</f>
        <v/>
      </c>
      <c r="N536">
        <f>IFERROR(INDEX(PP_Grid[#Data],$DD536,12),0)</f>
        <v/>
      </c>
      <c r="O536">
        <f>IFERROR(INDEX(PP_Grid[#Data],$DD536,13),0)</f>
        <v/>
      </c>
      <c r="P536">
        <f>IFERROR(INDEX(PP_Grid[#Data],$DD536,14),0)</f>
        <v/>
      </c>
      <c r="Q536">
        <f>IFERROR(INDEX(PP_Grid[#Data],$DD536,15),0)</f>
        <v/>
      </c>
      <c r="R536">
        <f>IFERROR(INDEX(PP_Grid[#Data],$DD536,16),0)</f>
        <v/>
      </c>
      <c r="S536">
        <f>IFERROR(INDEX(PP_Grid[#Data],$DD536,17),0)</f>
        <v/>
      </c>
      <c r="T536">
        <f>IFERROR(INDEX(PP_Grid[#Data],$DD536,18),0)</f>
        <v/>
      </c>
      <c r="U536">
        <f>IFERROR(INDEX(PP_Grid[#Data],$DD536,19),0)</f>
        <v/>
      </c>
      <c r="V536">
        <f>IFERROR(INDEX(PP_Grid[#Data],$DD536,20),0)</f>
        <v/>
      </c>
      <c r="W536">
        <f>IFERROR(INDEX(PP_Grid[#Data],$DD536,21),0)</f>
        <v/>
      </c>
      <c r="X536">
        <f>IFERROR(INDEX(PP_Grid[#Data],$DD536,22),0)</f>
        <v/>
      </c>
      <c r="Y536">
        <f>IFERROR(INDEX(PP_Grid[#Data],$DD536,23),0)</f>
        <v/>
      </c>
      <c r="Z536">
        <f>IFERROR(INDEX(PP_Grid[#Data],$DD536,24),0)</f>
        <v/>
      </c>
      <c r="AA536">
        <f>IFERROR(INDEX(PP_Grid[#Data],$DD536,25),0)</f>
        <v/>
      </c>
      <c r="AB536">
        <f>IFERROR(INDEX(PP_Grid[#Data],$DD536,26),0)</f>
        <v/>
      </c>
      <c r="AC536">
        <f>IFERROR(INDEX(PP_Grid[#Data],$DD536,27),0)</f>
        <v/>
      </c>
      <c r="AD536">
        <f>IFERROR(INDEX(PP_Grid[#Data],$DD536,28),0)</f>
        <v/>
      </c>
      <c r="AE536">
        <f>IFERROR(INDEX(PP_Grid[#Data],$DD536,29),0)</f>
        <v/>
      </c>
      <c r="AF536">
        <f>IFERROR(INDEX(PP_Grid[#Data],$DD536,30),0)</f>
        <v/>
      </c>
      <c r="AG536">
        <f>IFERROR(INDEX(PP_Grid[#Data],$DD536,31),0)</f>
        <v/>
      </c>
      <c r="AH536">
        <f>IFERROR(INDEX(PP_Grid[#Data],$DD536,32),0)</f>
        <v/>
      </c>
      <c r="AI536">
        <f>IFERROR(INDEX(PP_Grid[#Data],$DD536,33),0)</f>
        <v/>
      </c>
      <c r="AJ536">
        <f>IFERROR(INDEX(PP_Grid[#Data],$DD536,34),0)</f>
        <v/>
      </c>
      <c r="AK536">
        <f>IFERROR(INDEX(PP_Grid[#Data],$DD536,35),0)</f>
        <v/>
      </c>
      <c r="AL536">
        <f>IFERROR(INDEX(PP_Grid[#Data],$DD536,36),0)</f>
        <v/>
      </c>
      <c r="AM536">
        <f>IFERROR(INDEX(PP_Grid[#Data],$DD536,37),0)</f>
        <v/>
      </c>
      <c r="AN536">
        <f>IFERROR(INDEX(PP_Grid[#Data],$DD536,38),0)</f>
        <v/>
      </c>
      <c r="AO536">
        <f>IFERROR(INDEX(PP_Grid[#Data],$DD536,39),0)</f>
        <v/>
      </c>
      <c r="AP536">
        <f>IFERROR(INDEX(PP_Grid[#Data],$DD536,40),0)</f>
        <v/>
      </c>
      <c r="AQ536">
        <f>IFERROR(INDEX(PP_Grid[#Data],$DD536,41),0)</f>
        <v/>
      </c>
      <c r="AR536">
        <f>IFERROR(INDEX(PP_Grid[#Data],$DD536,42),0)</f>
        <v/>
      </c>
      <c r="AS536">
        <f>IFERROR(INDEX(PP_Grid[#Data],$DD536,43),0)</f>
        <v/>
      </c>
      <c r="AT536">
        <f>IFERROR(INDEX(PP_Grid[#Data],$DD536,44),0)</f>
        <v/>
      </c>
      <c r="AU536">
        <f>IFERROR(INDEX(PP_Grid[#Data],$DD536,45),0)</f>
        <v/>
      </c>
      <c r="AV536">
        <f>IFERROR(INDEX(PP_Grid[#Data],$DD536,46),0)</f>
        <v/>
      </c>
      <c r="AW536">
        <f>IFERROR(INDEX(PP_Grid[#Data],$DD536,47),0)</f>
        <v/>
      </c>
      <c r="AX536">
        <f>IFERROR(INDEX(PP_Grid[#Data],$DD536,48),0)</f>
        <v/>
      </c>
      <c r="AY536">
        <f>IFERROR(INDEX(PP_Grid[#Data],$DD536,49),0)</f>
        <v/>
      </c>
      <c r="AZ536">
        <f>IFERROR(INDEX(PP_Grid[#Data],$DD536,50),0)</f>
        <v/>
      </c>
      <c r="BA536">
        <f>IFERROR(INDEX(PP_Grid[#Data],$DD536,51),0)</f>
        <v/>
      </c>
      <c r="BB536">
        <f>IFERROR(INDEX(PP_Grid[#Data],$DD536,52),0)</f>
        <v/>
      </c>
      <c r="BC536">
        <f>IFERROR(INDEX(PP_Grid[#Data],$DD536,53),0)</f>
        <v/>
      </c>
      <c r="BD536">
        <f>IFERROR(INDEX(PP_Grid[#Data],$DD536,54),0)</f>
        <v/>
      </c>
      <c r="BE536">
        <f>IFERROR(INDEX(PP_Grid[#Data],$DD536,55),0)</f>
        <v/>
      </c>
      <c r="BF536">
        <f>IFERROR(INDEX(PP_Grid[#Data],$DD536,56),0)</f>
        <v/>
      </c>
      <c r="BG536">
        <f>IFERROR(INDEX(PP_Grid[#Data],$DD536,57),0)</f>
        <v/>
      </c>
      <c r="BH536">
        <f>IFERROR(INDEX(PP_Grid[#Data],$DD536,58),0)</f>
        <v/>
      </c>
      <c r="BI536">
        <f>IFERROR(INDEX(PP_Grid[#Data],$DD536,59),0)</f>
        <v/>
      </c>
      <c r="BJ536">
        <f>IFERROR(INDEX(PP_Grid[#Data],$DD536,60),0)</f>
        <v/>
      </c>
      <c r="BK536">
        <f>IFERROR(INDEX(PP_Grid[#Data],$DD536,61),0)</f>
        <v/>
      </c>
      <c r="BL536">
        <f>IFERROR(INDEX(PP_Grid[#Data],$DD536,62),0)</f>
        <v/>
      </c>
      <c r="BM536">
        <f>IFERROR(INDEX(PP_Grid[#Data],$DD536,63),0)</f>
        <v/>
      </c>
      <c r="BN536">
        <f>IFERROR(INDEX(PP_Grid[#Data],$DD536,64),0)</f>
        <v/>
      </c>
      <c r="BO536">
        <f>IFERROR(INDEX(PP_Grid[#Data],$DD536,65),0)</f>
        <v/>
      </c>
      <c r="BP536">
        <f>IFERROR(INDEX(PP_Grid[#Data],$DD536,66),0)</f>
        <v/>
      </c>
      <c r="BQ536">
        <f>IFERROR(INDEX(PP_Grid[#Data],$DD536,67),0)</f>
        <v/>
      </c>
      <c r="BR536">
        <f>IFERROR(INDEX(PP_Grid[#Data],$DD536,68),0)</f>
        <v/>
      </c>
      <c r="BS536">
        <f>IFERROR(INDEX(PP_Grid[#Data],$DD536,69),0)</f>
        <v/>
      </c>
      <c r="BT536">
        <f>IFERROR(INDEX(PP_Grid[#Data],$DD536,70),0)</f>
        <v/>
      </c>
      <c r="BU536">
        <f>IFERROR(INDEX(PP_Grid[#Data],$DD536,71),0)</f>
        <v/>
      </c>
      <c r="BV536">
        <f>IFERROR(INDEX(PP_Grid[#Data],$DD536,72),0)</f>
        <v/>
      </c>
      <c r="BW536">
        <f>IFERROR(INDEX(PP_Grid[#Data],$DD536,73),0)</f>
        <v/>
      </c>
      <c r="BX536">
        <f>IFERROR(INDEX(PP_Grid[#Data],$DD536,74),0)</f>
        <v/>
      </c>
      <c r="BY536">
        <f>IFERROR(INDEX(PP_Grid[#Data],$DD536,75),0)</f>
        <v/>
      </c>
      <c r="BZ536">
        <f>IFERROR(INDEX(PP_Grid[#Data],$DD536,76),0)</f>
        <v/>
      </c>
      <c r="CA536">
        <f>IFERROR(INDEX(PP_Grid[#Data],$DD536,77),0)</f>
        <v/>
      </c>
      <c r="CB536">
        <f>IFERROR(INDEX(PP_Grid[#Data],$DD536,78),0)</f>
        <v/>
      </c>
      <c r="CC536">
        <f>IFERROR(INDEX(PP_Grid[#Data],$DD536,79),0)</f>
        <v/>
      </c>
      <c r="CD536">
        <f>IFERROR(INDEX(PP_Grid[#Data],$DD536,80),0)</f>
        <v/>
      </c>
      <c r="CE536">
        <f>IFERROR(INDEX(PP_Grid[#Data],$DD536,81),0)</f>
        <v/>
      </c>
      <c r="CF536">
        <f>IFERROR(INDEX(PP_Grid[#Data],$DD536,82),0)</f>
        <v/>
      </c>
      <c r="CG536">
        <f>IFERROR(INDEX(PP_Grid[#Data],$DD536,83),0)</f>
        <v/>
      </c>
      <c r="CH536">
        <f>IFERROR(INDEX(PP_Grid[#Data],$DD536,84),0)</f>
        <v/>
      </c>
      <c r="CI536">
        <f>IFERROR(INDEX(PP_Grid[#Data],$DD536,85),0)</f>
        <v/>
      </c>
      <c r="CJ536">
        <f>IFERROR(INDEX(PP_Grid[#Data],$DD536,86),0)</f>
        <v/>
      </c>
      <c r="CK536">
        <f>IFERROR(INDEX(PP_Grid[#Data],$DD536,87),0)</f>
        <v/>
      </c>
      <c r="CL536">
        <f>IFERROR(INDEX(PP_Grid[#Data],$DD536,88),0)</f>
        <v/>
      </c>
      <c r="CM536">
        <f>IFERROR(INDEX(PP_Grid[#Data],$DD536,89),0)</f>
        <v/>
      </c>
      <c r="CN536">
        <f>IFERROR(INDEX(PP_Grid[#Data],$DD536,90),0)</f>
        <v/>
      </c>
      <c r="CO536">
        <f>IFERROR(INDEX(PP_Grid[#Data],$DD536,91),0)</f>
        <v/>
      </c>
      <c r="CP536">
        <f>IFERROR(INDEX(PP_Grid[#Data],$DD536,92),0)</f>
        <v/>
      </c>
      <c r="CQ536">
        <f>IFERROR(INDEX(PP_Grid[#Data],$DD536,93),0)</f>
        <v/>
      </c>
      <c r="CR536">
        <f>IFERROR(INDEX(PP_Grid[#Data],$DD536,94),0)</f>
        <v/>
      </c>
      <c r="CS536">
        <f>IFERROR(INDEX(PP_Grid[#Data],$DD536,95),0)</f>
        <v/>
      </c>
      <c r="CT536">
        <f>IFERROR(INDEX(PP_Grid[#Data],$DD536,96),0)</f>
        <v/>
      </c>
      <c r="CU536">
        <f>IFERROR(INDEX(PP_Grid[#Data],$DD536,97),0)</f>
        <v/>
      </c>
      <c r="CV536">
        <f>IFERROR(INDEX(PP_Grid[#Data],$DD536,98),0)</f>
        <v/>
      </c>
      <c r="CW536">
        <f>IFERROR(INDEX(PP_Grid[#Data],$DD536,99),0)</f>
        <v/>
      </c>
      <c r="CX536">
        <f>IFERROR(INDEX(PP_Grid[#Data],$DD536,100),0)</f>
        <v/>
      </c>
      <c r="CY536">
        <f>IFERROR(INDEX(PP_Grid[#Data],$DD536,101),0)</f>
        <v/>
      </c>
      <c r="CZ536">
        <f>IFERROR(INDEX(PP_Grid[#Data],$DD536,102),0)</f>
        <v/>
      </c>
      <c r="DA536">
        <f>IFERROR(INDEX(PP_Grid[#Data],$DD536,103),0)</f>
        <v/>
      </c>
      <c r="DB536">
        <f>IFERROR(INDEX(PP_Grid[#Data],$DD536,104),0)</f>
        <v/>
      </c>
      <c r="DC536">
        <f>IFERROR(INDEX(PP_Grid[#Data],$DD536,105),0)</f>
        <v/>
      </c>
      <c r="DD536" s="7">
        <f>IFERROR(MATCH($B536,PP_Grid[Intermediate],0),99999)</f>
        <v/>
      </c>
    </row>
    <row r="537">
      <c r="B537" t="inlineStr">
        <is>
          <t>使用量(kg)</t>
        </is>
      </c>
      <c r="C537">
        <f>SUMIFS(M_BOM[RM_Qty_Per_Batch],M_BOM[Intermediate],$B536,M_BOM[Part Name],$A507)</f>
        <v/>
      </c>
      <c r="D537">
        <f>$C537*D536</f>
        <v/>
      </c>
      <c r="E537">
        <f>$C537*E536</f>
        <v/>
      </c>
      <c r="F537">
        <f>$C537*F536</f>
        <v/>
      </c>
      <c r="G537">
        <f>$C537*G536</f>
        <v/>
      </c>
      <c r="H537">
        <f>$C537*H536</f>
        <v/>
      </c>
      <c r="I537">
        <f>$C537*I536</f>
        <v/>
      </c>
      <c r="J537">
        <f>$C537*J536</f>
        <v/>
      </c>
      <c r="K537">
        <f>$C537*K536</f>
        <v/>
      </c>
      <c r="L537">
        <f>$C537*L536</f>
        <v/>
      </c>
      <c r="M537">
        <f>$C537*M536</f>
        <v/>
      </c>
      <c r="N537">
        <f>$C537*N536</f>
        <v/>
      </c>
      <c r="O537">
        <f>$C537*O536</f>
        <v/>
      </c>
      <c r="P537">
        <f>$C537*P536</f>
        <v/>
      </c>
      <c r="Q537">
        <f>$C537*Q536</f>
        <v/>
      </c>
      <c r="R537">
        <f>$C537*R536</f>
        <v/>
      </c>
      <c r="S537">
        <f>$C537*S536</f>
        <v/>
      </c>
      <c r="T537">
        <f>$C537*T536</f>
        <v/>
      </c>
      <c r="U537">
        <f>$C537*U536</f>
        <v/>
      </c>
      <c r="V537">
        <f>$C537*V536</f>
        <v/>
      </c>
      <c r="W537">
        <f>$C537*W536</f>
        <v/>
      </c>
      <c r="X537">
        <f>$C537*X536</f>
        <v/>
      </c>
      <c r="Y537">
        <f>$C537*Y536</f>
        <v/>
      </c>
      <c r="Z537">
        <f>$C537*Z536</f>
        <v/>
      </c>
      <c r="AA537">
        <f>$C537*AA536</f>
        <v/>
      </c>
      <c r="AB537">
        <f>$C537*AB536</f>
        <v/>
      </c>
      <c r="AC537">
        <f>$C537*AC536</f>
        <v/>
      </c>
      <c r="AD537">
        <f>$C537*AD536</f>
        <v/>
      </c>
      <c r="AE537">
        <f>$C537*AE536</f>
        <v/>
      </c>
      <c r="AF537">
        <f>$C537*AF536</f>
        <v/>
      </c>
      <c r="AG537">
        <f>$C537*AG536</f>
        <v/>
      </c>
      <c r="AH537">
        <f>$C537*AH536</f>
        <v/>
      </c>
      <c r="AI537">
        <f>$C537*AI536</f>
        <v/>
      </c>
      <c r="AJ537">
        <f>$C537*AJ536</f>
        <v/>
      </c>
      <c r="AK537">
        <f>$C537*AK536</f>
        <v/>
      </c>
      <c r="AL537">
        <f>$C537*AL536</f>
        <v/>
      </c>
      <c r="AM537">
        <f>$C537*AM536</f>
        <v/>
      </c>
      <c r="AN537">
        <f>$C537*AN536</f>
        <v/>
      </c>
      <c r="AO537">
        <f>$C537*AO536</f>
        <v/>
      </c>
      <c r="AP537">
        <f>$C537*AP536</f>
        <v/>
      </c>
      <c r="AQ537">
        <f>$C537*AQ536</f>
        <v/>
      </c>
      <c r="AR537">
        <f>$C537*AR536</f>
        <v/>
      </c>
      <c r="AS537">
        <f>$C537*AS536</f>
        <v/>
      </c>
      <c r="AT537">
        <f>$C537*AT536</f>
        <v/>
      </c>
      <c r="AU537">
        <f>$C537*AU536</f>
        <v/>
      </c>
      <c r="AV537">
        <f>$C537*AV536</f>
        <v/>
      </c>
      <c r="AW537">
        <f>$C537*AW536</f>
        <v/>
      </c>
      <c r="AX537">
        <f>$C537*AX536</f>
        <v/>
      </c>
      <c r="AY537">
        <f>$C537*AY536</f>
        <v/>
      </c>
      <c r="AZ537">
        <f>$C537*AZ536</f>
        <v/>
      </c>
      <c r="BA537">
        <f>$C537*BA536</f>
        <v/>
      </c>
      <c r="BB537">
        <f>$C537*BB536</f>
        <v/>
      </c>
      <c r="BC537">
        <f>$C537*BC536</f>
        <v/>
      </c>
      <c r="BD537">
        <f>$C537*BD536</f>
        <v/>
      </c>
      <c r="BE537">
        <f>$C537*BE536</f>
        <v/>
      </c>
      <c r="BF537">
        <f>$C537*BF536</f>
        <v/>
      </c>
      <c r="BG537">
        <f>$C537*BG536</f>
        <v/>
      </c>
      <c r="BH537">
        <f>$C537*BH536</f>
        <v/>
      </c>
      <c r="BI537">
        <f>$C537*BI536</f>
        <v/>
      </c>
      <c r="BJ537">
        <f>$C537*BJ536</f>
        <v/>
      </c>
      <c r="BK537">
        <f>$C537*BK536</f>
        <v/>
      </c>
      <c r="BL537">
        <f>$C537*BL536</f>
        <v/>
      </c>
      <c r="BM537">
        <f>$C537*BM536</f>
        <v/>
      </c>
      <c r="BN537">
        <f>$C537*BN536</f>
        <v/>
      </c>
      <c r="BO537">
        <f>$C537*BO536</f>
        <v/>
      </c>
      <c r="BP537">
        <f>$C537*BP536</f>
        <v/>
      </c>
      <c r="BQ537">
        <f>$C537*BQ536</f>
        <v/>
      </c>
      <c r="BR537">
        <f>$C537*BR536</f>
        <v/>
      </c>
      <c r="BS537">
        <f>$C537*BS536</f>
        <v/>
      </c>
      <c r="BT537">
        <f>$C537*BT536</f>
        <v/>
      </c>
      <c r="BU537">
        <f>$C537*BU536</f>
        <v/>
      </c>
      <c r="BV537">
        <f>$C537*BV536</f>
        <v/>
      </c>
      <c r="BW537">
        <f>$C537*BW536</f>
        <v/>
      </c>
      <c r="BX537">
        <f>$C537*BX536</f>
        <v/>
      </c>
      <c r="BY537">
        <f>$C537*BY536</f>
        <v/>
      </c>
      <c r="BZ537">
        <f>$C537*BZ536</f>
        <v/>
      </c>
      <c r="CA537">
        <f>$C537*CA536</f>
        <v/>
      </c>
      <c r="CB537">
        <f>$C537*CB536</f>
        <v/>
      </c>
      <c r="CC537">
        <f>$C537*CC536</f>
        <v/>
      </c>
      <c r="CD537">
        <f>$C537*CD536</f>
        <v/>
      </c>
      <c r="CE537">
        <f>$C537*CE536</f>
        <v/>
      </c>
      <c r="CF537">
        <f>$C537*CF536</f>
        <v/>
      </c>
      <c r="CG537">
        <f>$C537*CG536</f>
        <v/>
      </c>
      <c r="CH537">
        <f>$C537*CH536</f>
        <v/>
      </c>
      <c r="CI537">
        <f>$C537*CI536</f>
        <v/>
      </c>
      <c r="CJ537">
        <f>$C537*CJ536</f>
        <v/>
      </c>
      <c r="CK537">
        <f>$C537*CK536</f>
        <v/>
      </c>
      <c r="CL537">
        <f>$C537*CL536</f>
        <v/>
      </c>
      <c r="CM537">
        <f>$C537*CM536</f>
        <v/>
      </c>
      <c r="CN537">
        <f>$C537*CN536</f>
        <v/>
      </c>
      <c r="CO537">
        <f>$C537*CO536</f>
        <v/>
      </c>
      <c r="CP537">
        <f>$C537*CP536</f>
        <v/>
      </c>
      <c r="CQ537">
        <f>$C537*CQ536</f>
        <v/>
      </c>
      <c r="CR537">
        <f>$C537*CR536</f>
        <v/>
      </c>
      <c r="CS537">
        <f>$C537*CS536</f>
        <v/>
      </c>
      <c r="CT537">
        <f>$C537*CT536</f>
        <v/>
      </c>
      <c r="CU537">
        <f>$C537*CU536</f>
        <v/>
      </c>
      <c r="CV537">
        <f>$C537*CV536</f>
        <v/>
      </c>
      <c r="CW537">
        <f>$C537*CW536</f>
        <v/>
      </c>
      <c r="CX537">
        <f>$C537*CX536</f>
        <v/>
      </c>
      <c r="CY537">
        <f>$C537*CY536</f>
        <v/>
      </c>
      <c r="CZ537">
        <f>$C537*CZ536</f>
        <v/>
      </c>
      <c r="DA537">
        <f>$C537*DA536</f>
        <v/>
      </c>
      <c r="DB537">
        <f>$C537*DB536</f>
        <v/>
      </c>
      <c r="DC537">
        <f>$C537*DC536</f>
        <v/>
      </c>
    </row>
    <row r="538">
      <c r="B538" t="inlineStr">
        <is>
          <t>VSP-989</t>
        </is>
      </c>
      <c r="C538" t="inlineStr">
        <is>
          <t>No. of batches</t>
        </is>
      </c>
      <c r="D538">
        <f>IFERROR(INDEX(PP_Grid[#Data],$DD538,2),0)</f>
        <v/>
      </c>
      <c r="E538">
        <f>IFERROR(INDEX(PP_Grid[#Data],$DD538,3),0)</f>
        <v/>
      </c>
      <c r="F538">
        <f>IFERROR(INDEX(PP_Grid[#Data],$DD538,4),0)</f>
        <v/>
      </c>
      <c r="G538">
        <f>IFERROR(INDEX(PP_Grid[#Data],$DD538,5),0)</f>
        <v/>
      </c>
      <c r="H538">
        <f>IFERROR(INDEX(PP_Grid[#Data],$DD538,6),0)</f>
        <v/>
      </c>
      <c r="I538">
        <f>IFERROR(INDEX(PP_Grid[#Data],$DD538,7),0)</f>
        <v/>
      </c>
      <c r="J538">
        <f>IFERROR(INDEX(PP_Grid[#Data],$DD538,8),0)</f>
        <v/>
      </c>
      <c r="K538">
        <f>IFERROR(INDEX(PP_Grid[#Data],$DD538,9),0)</f>
        <v/>
      </c>
      <c r="L538">
        <f>IFERROR(INDEX(PP_Grid[#Data],$DD538,10),0)</f>
        <v/>
      </c>
      <c r="M538">
        <f>IFERROR(INDEX(PP_Grid[#Data],$DD538,11),0)</f>
        <v/>
      </c>
      <c r="N538">
        <f>IFERROR(INDEX(PP_Grid[#Data],$DD538,12),0)</f>
        <v/>
      </c>
      <c r="O538">
        <f>IFERROR(INDEX(PP_Grid[#Data],$DD538,13),0)</f>
        <v/>
      </c>
      <c r="P538">
        <f>IFERROR(INDEX(PP_Grid[#Data],$DD538,14),0)</f>
        <v/>
      </c>
      <c r="Q538">
        <f>IFERROR(INDEX(PP_Grid[#Data],$DD538,15),0)</f>
        <v/>
      </c>
      <c r="R538">
        <f>IFERROR(INDEX(PP_Grid[#Data],$DD538,16),0)</f>
        <v/>
      </c>
      <c r="S538">
        <f>IFERROR(INDEX(PP_Grid[#Data],$DD538,17),0)</f>
        <v/>
      </c>
      <c r="T538">
        <f>IFERROR(INDEX(PP_Grid[#Data],$DD538,18),0)</f>
        <v/>
      </c>
      <c r="U538">
        <f>IFERROR(INDEX(PP_Grid[#Data],$DD538,19),0)</f>
        <v/>
      </c>
      <c r="V538">
        <f>IFERROR(INDEX(PP_Grid[#Data],$DD538,20),0)</f>
        <v/>
      </c>
      <c r="W538">
        <f>IFERROR(INDEX(PP_Grid[#Data],$DD538,21),0)</f>
        <v/>
      </c>
      <c r="X538">
        <f>IFERROR(INDEX(PP_Grid[#Data],$DD538,22),0)</f>
        <v/>
      </c>
      <c r="Y538">
        <f>IFERROR(INDEX(PP_Grid[#Data],$DD538,23),0)</f>
        <v/>
      </c>
      <c r="Z538">
        <f>IFERROR(INDEX(PP_Grid[#Data],$DD538,24),0)</f>
        <v/>
      </c>
      <c r="AA538">
        <f>IFERROR(INDEX(PP_Grid[#Data],$DD538,25),0)</f>
        <v/>
      </c>
      <c r="AB538">
        <f>IFERROR(INDEX(PP_Grid[#Data],$DD538,26),0)</f>
        <v/>
      </c>
      <c r="AC538">
        <f>IFERROR(INDEX(PP_Grid[#Data],$DD538,27),0)</f>
        <v/>
      </c>
      <c r="AD538">
        <f>IFERROR(INDEX(PP_Grid[#Data],$DD538,28),0)</f>
        <v/>
      </c>
      <c r="AE538">
        <f>IFERROR(INDEX(PP_Grid[#Data],$DD538,29),0)</f>
        <v/>
      </c>
      <c r="AF538">
        <f>IFERROR(INDEX(PP_Grid[#Data],$DD538,30),0)</f>
        <v/>
      </c>
      <c r="AG538">
        <f>IFERROR(INDEX(PP_Grid[#Data],$DD538,31),0)</f>
        <v/>
      </c>
      <c r="AH538">
        <f>IFERROR(INDEX(PP_Grid[#Data],$DD538,32),0)</f>
        <v/>
      </c>
      <c r="AI538">
        <f>IFERROR(INDEX(PP_Grid[#Data],$DD538,33),0)</f>
        <v/>
      </c>
      <c r="AJ538">
        <f>IFERROR(INDEX(PP_Grid[#Data],$DD538,34),0)</f>
        <v/>
      </c>
      <c r="AK538">
        <f>IFERROR(INDEX(PP_Grid[#Data],$DD538,35),0)</f>
        <v/>
      </c>
      <c r="AL538">
        <f>IFERROR(INDEX(PP_Grid[#Data],$DD538,36),0)</f>
        <v/>
      </c>
      <c r="AM538">
        <f>IFERROR(INDEX(PP_Grid[#Data],$DD538,37),0)</f>
        <v/>
      </c>
      <c r="AN538">
        <f>IFERROR(INDEX(PP_Grid[#Data],$DD538,38),0)</f>
        <v/>
      </c>
      <c r="AO538">
        <f>IFERROR(INDEX(PP_Grid[#Data],$DD538,39),0)</f>
        <v/>
      </c>
      <c r="AP538">
        <f>IFERROR(INDEX(PP_Grid[#Data],$DD538,40),0)</f>
        <v/>
      </c>
      <c r="AQ538">
        <f>IFERROR(INDEX(PP_Grid[#Data],$DD538,41),0)</f>
        <v/>
      </c>
      <c r="AR538">
        <f>IFERROR(INDEX(PP_Grid[#Data],$DD538,42),0)</f>
        <v/>
      </c>
      <c r="AS538">
        <f>IFERROR(INDEX(PP_Grid[#Data],$DD538,43),0)</f>
        <v/>
      </c>
      <c r="AT538">
        <f>IFERROR(INDEX(PP_Grid[#Data],$DD538,44),0)</f>
        <v/>
      </c>
      <c r="AU538">
        <f>IFERROR(INDEX(PP_Grid[#Data],$DD538,45),0)</f>
        <v/>
      </c>
      <c r="AV538">
        <f>IFERROR(INDEX(PP_Grid[#Data],$DD538,46),0)</f>
        <v/>
      </c>
      <c r="AW538">
        <f>IFERROR(INDEX(PP_Grid[#Data],$DD538,47),0)</f>
        <v/>
      </c>
      <c r="AX538">
        <f>IFERROR(INDEX(PP_Grid[#Data],$DD538,48),0)</f>
        <v/>
      </c>
      <c r="AY538">
        <f>IFERROR(INDEX(PP_Grid[#Data],$DD538,49),0)</f>
        <v/>
      </c>
      <c r="AZ538">
        <f>IFERROR(INDEX(PP_Grid[#Data],$DD538,50),0)</f>
        <v/>
      </c>
      <c r="BA538">
        <f>IFERROR(INDEX(PP_Grid[#Data],$DD538,51),0)</f>
        <v/>
      </c>
      <c r="BB538">
        <f>IFERROR(INDEX(PP_Grid[#Data],$DD538,52),0)</f>
        <v/>
      </c>
      <c r="BC538">
        <f>IFERROR(INDEX(PP_Grid[#Data],$DD538,53),0)</f>
        <v/>
      </c>
      <c r="BD538">
        <f>IFERROR(INDEX(PP_Grid[#Data],$DD538,54),0)</f>
        <v/>
      </c>
      <c r="BE538">
        <f>IFERROR(INDEX(PP_Grid[#Data],$DD538,55),0)</f>
        <v/>
      </c>
      <c r="BF538">
        <f>IFERROR(INDEX(PP_Grid[#Data],$DD538,56),0)</f>
        <v/>
      </c>
      <c r="BG538">
        <f>IFERROR(INDEX(PP_Grid[#Data],$DD538,57),0)</f>
        <v/>
      </c>
      <c r="BH538">
        <f>IFERROR(INDEX(PP_Grid[#Data],$DD538,58),0)</f>
        <v/>
      </c>
      <c r="BI538">
        <f>IFERROR(INDEX(PP_Grid[#Data],$DD538,59),0)</f>
        <v/>
      </c>
      <c r="BJ538">
        <f>IFERROR(INDEX(PP_Grid[#Data],$DD538,60),0)</f>
        <v/>
      </c>
      <c r="BK538">
        <f>IFERROR(INDEX(PP_Grid[#Data],$DD538,61),0)</f>
        <v/>
      </c>
      <c r="BL538">
        <f>IFERROR(INDEX(PP_Grid[#Data],$DD538,62),0)</f>
        <v/>
      </c>
      <c r="BM538">
        <f>IFERROR(INDEX(PP_Grid[#Data],$DD538,63),0)</f>
        <v/>
      </c>
      <c r="BN538">
        <f>IFERROR(INDEX(PP_Grid[#Data],$DD538,64),0)</f>
        <v/>
      </c>
      <c r="BO538">
        <f>IFERROR(INDEX(PP_Grid[#Data],$DD538,65),0)</f>
        <v/>
      </c>
      <c r="BP538">
        <f>IFERROR(INDEX(PP_Grid[#Data],$DD538,66),0)</f>
        <v/>
      </c>
      <c r="BQ538">
        <f>IFERROR(INDEX(PP_Grid[#Data],$DD538,67),0)</f>
        <v/>
      </c>
      <c r="BR538">
        <f>IFERROR(INDEX(PP_Grid[#Data],$DD538,68),0)</f>
        <v/>
      </c>
      <c r="BS538">
        <f>IFERROR(INDEX(PP_Grid[#Data],$DD538,69),0)</f>
        <v/>
      </c>
      <c r="BT538">
        <f>IFERROR(INDEX(PP_Grid[#Data],$DD538,70),0)</f>
        <v/>
      </c>
      <c r="BU538">
        <f>IFERROR(INDEX(PP_Grid[#Data],$DD538,71),0)</f>
        <v/>
      </c>
      <c r="BV538">
        <f>IFERROR(INDEX(PP_Grid[#Data],$DD538,72),0)</f>
        <v/>
      </c>
      <c r="BW538">
        <f>IFERROR(INDEX(PP_Grid[#Data],$DD538,73),0)</f>
        <v/>
      </c>
      <c r="BX538">
        <f>IFERROR(INDEX(PP_Grid[#Data],$DD538,74),0)</f>
        <v/>
      </c>
      <c r="BY538">
        <f>IFERROR(INDEX(PP_Grid[#Data],$DD538,75),0)</f>
        <v/>
      </c>
      <c r="BZ538">
        <f>IFERROR(INDEX(PP_Grid[#Data],$DD538,76),0)</f>
        <v/>
      </c>
      <c r="CA538">
        <f>IFERROR(INDEX(PP_Grid[#Data],$DD538,77),0)</f>
        <v/>
      </c>
      <c r="CB538">
        <f>IFERROR(INDEX(PP_Grid[#Data],$DD538,78),0)</f>
        <v/>
      </c>
      <c r="CC538">
        <f>IFERROR(INDEX(PP_Grid[#Data],$DD538,79),0)</f>
        <v/>
      </c>
      <c r="CD538">
        <f>IFERROR(INDEX(PP_Grid[#Data],$DD538,80),0)</f>
        <v/>
      </c>
      <c r="CE538">
        <f>IFERROR(INDEX(PP_Grid[#Data],$DD538,81),0)</f>
        <v/>
      </c>
      <c r="CF538">
        <f>IFERROR(INDEX(PP_Grid[#Data],$DD538,82),0)</f>
        <v/>
      </c>
      <c r="CG538">
        <f>IFERROR(INDEX(PP_Grid[#Data],$DD538,83),0)</f>
        <v/>
      </c>
      <c r="CH538">
        <f>IFERROR(INDEX(PP_Grid[#Data],$DD538,84),0)</f>
        <v/>
      </c>
      <c r="CI538">
        <f>IFERROR(INDEX(PP_Grid[#Data],$DD538,85),0)</f>
        <v/>
      </c>
      <c r="CJ538">
        <f>IFERROR(INDEX(PP_Grid[#Data],$DD538,86),0)</f>
        <v/>
      </c>
      <c r="CK538">
        <f>IFERROR(INDEX(PP_Grid[#Data],$DD538,87),0)</f>
        <v/>
      </c>
      <c r="CL538">
        <f>IFERROR(INDEX(PP_Grid[#Data],$DD538,88),0)</f>
        <v/>
      </c>
      <c r="CM538">
        <f>IFERROR(INDEX(PP_Grid[#Data],$DD538,89),0)</f>
        <v/>
      </c>
      <c r="CN538">
        <f>IFERROR(INDEX(PP_Grid[#Data],$DD538,90),0)</f>
        <v/>
      </c>
      <c r="CO538">
        <f>IFERROR(INDEX(PP_Grid[#Data],$DD538,91),0)</f>
        <v/>
      </c>
      <c r="CP538">
        <f>IFERROR(INDEX(PP_Grid[#Data],$DD538,92),0)</f>
        <v/>
      </c>
      <c r="CQ538">
        <f>IFERROR(INDEX(PP_Grid[#Data],$DD538,93),0)</f>
        <v/>
      </c>
      <c r="CR538">
        <f>IFERROR(INDEX(PP_Grid[#Data],$DD538,94),0)</f>
        <v/>
      </c>
      <c r="CS538">
        <f>IFERROR(INDEX(PP_Grid[#Data],$DD538,95),0)</f>
        <v/>
      </c>
      <c r="CT538">
        <f>IFERROR(INDEX(PP_Grid[#Data],$DD538,96),0)</f>
        <v/>
      </c>
      <c r="CU538">
        <f>IFERROR(INDEX(PP_Grid[#Data],$DD538,97),0)</f>
        <v/>
      </c>
      <c r="CV538">
        <f>IFERROR(INDEX(PP_Grid[#Data],$DD538,98),0)</f>
        <v/>
      </c>
      <c r="CW538">
        <f>IFERROR(INDEX(PP_Grid[#Data],$DD538,99),0)</f>
        <v/>
      </c>
      <c r="CX538">
        <f>IFERROR(INDEX(PP_Grid[#Data],$DD538,100),0)</f>
        <v/>
      </c>
      <c r="CY538">
        <f>IFERROR(INDEX(PP_Grid[#Data],$DD538,101),0)</f>
        <v/>
      </c>
      <c r="CZ538">
        <f>IFERROR(INDEX(PP_Grid[#Data],$DD538,102),0)</f>
        <v/>
      </c>
      <c r="DA538">
        <f>IFERROR(INDEX(PP_Grid[#Data],$DD538,103),0)</f>
        <v/>
      </c>
      <c r="DB538">
        <f>IFERROR(INDEX(PP_Grid[#Data],$DD538,104),0)</f>
        <v/>
      </c>
      <c r="DC538">
        <f>IFERROR(INDEX(PP_Grid[#Data],$DD538,105),0)</f>
        <v/>
      </c>
      <c r="DD538" s="7">
        <f>IFERROR(MATCH($B538,PP_Grid[Intermediate],0),99999)</f>
        <v/>
      </c>
    </row>
    <row r="539">
      <c r="B539" t="inlineStr">
        <is>
          <t>使用量(kg)</t>
        </is>
      </c>
      <c r="C539">
        <f>SUMIFS(M_BOM[RM_Qty_Per_Batch],M_BOM[Intermediate],$B538,M_BOM[Part Name],$A507)</f>
        <v/>
      </c>
      <c r="D539">
        <f>$C539*D538</f>
        <v/>
      </c>
      <c r="E539">
        <f>$C539*E538</f>
        <v/>
      </c>
      <c r="F539">
        <f>$C539*F538</f>
        <v/>
      </c>
      <c r="G539">
        <f>$C539*G538</f>
        <v/>
      </c>
      <c r="H539">
        <f>$C539*H538</f>
        <v/>
      </c>
      <c r="I539">
        <f>$C539*I538</f>
        <v/>
      </c>
      <c r="J539">
        <f>$C539*J538</f>
        <v/>
      </c>
      <c r="K539">
        <f>$C539*K538</f>
        <v/>
      </c>
      <c r="L539">
        <f>$C539*L538</f>
        <v/>
      </c>
      <c r="M539">
        <f>$C539*M538</f>
        <v/>
      </c>
      <c r="N539">
        <f>$C539*N538</f>
        <v/>
      </c>
      <c r="O539">
        <f>$C539*O538</f>
        <v/>
      </c>
      <c r="P539">
        <f>$C539*P538</f>
        <v/>
      </c>
      <c r="Q539">
        <f>$C539*Q538</f>
        <v/>
      </c>
      <c r="R539">
        <f>$C539*R538</f>
        <v/>
      </c>
      <c r="S539">
        <f>$C539*S538</f>
        <v/>
      </c>
      <c r="T539">
        <f>$C539*T538</f>
        <v/>
      </c>
      <c r="U539">
        <f>$C539*U538</f>
        <v/>
      </c>
      <c r="V539">
        <f>$C539*V538</f>
        <v/>
      </c>
      <c r="W539">
        <f>$C539*W538</f>
        <v/>
      </c>
      <c r="X539">
        <f>$C539*X538</f>
        <v/>
      </c>
      <c r="Y539">
        <f>$C539*Y538</f>
        <v/>
      </c>
      <c r="Z539">
        <f>$C539*Z538</f>
        <v/>
      </c>
      <c r="AA539">
        <f>$C539*AA538</f>
        <v/>
      </c>
      <c r="AB539">
        <f>$C539*AB538</f>
        <v/>
      </c>
      <c r="AC539">
        <f>$C539*AC538</f>
        <v/>
      </c>
      <c r="AD539">
        <f>$C539*AD538</f>
        <v/>
      </c>
      <c r="AE539">
        <f>$C539*AE538</f>
        <v/>
      </c>
      <c r="AF539">
        <f>$C539*AF538</f>
        <v/>
      </c>
      <c r="AG539">
        <f>$C539*AG538</f>
        <v/>
      </c>
      <c r="AH539">
        <f>$C539*AH538</f>
        <v/>
      </c>
      <c r="AI539">
        <f>$C539*AI538</f>
        <v/>
      </c>
      <c r="AJ539">
        <f>$C539*AJ538</f>
        <v/>
      </c>
      <c r="AK539">
        <f>$C539*AK538</f>
        <v/>
      </c>
      <c r="AL539">
        <f>$C539*AL538</f>
        <v/>
      </c>
      <c r="AM539">
        <f>$C539*AM538</f>
        <v/>
      </c>
      <c r="AN539">
        <f>$C539*AN538</f>
        <v/>
      </c>
      <c r="AO539">
        <f>$C539*AO538</f>
        <v/>
      </c>
      <c r="AP539">
        <f>$C539*AP538</f>
        <v/>
      </c>
      <c r="AQ539">
        <f>$C539*AQ538</f>
        <v/>
      </c>
      <c r="AR539">
        <f>$C539*AR538</f>
        <v/>
      </c>
      <c r="AS539">
        <f>$C539*AS538</f>
        <v/>
      </c>
      <c r="AT539">
        <f>$C539*AT538</f>
        <v/>
      </c>
      <c r="AU539">
        <f>$C539*AU538</f>
        <v/>
      </c>
      <c r="AV539">
        <f>$C539*AV538</f>
        <v/>
      </c>
      <c r="AW539">
        <f>$C539*AW538</f>
        <v/>
      </c>
      <c r="AX539">
        <f>$C539*AX538</f>
        <v/>
      </c>
      <c r="AY539">
        <f>$C539*AY538</f>
        <v/>
      </c>
      <c r="AZ539">
        <f>$C539*AZ538</f>
        <v/>
      </c>
      <c r="BA539">
        <f>$C539*BA538</f>
        <v/>
      </c>
      <c r="BB539">
        <f>$C539*BB538</f>
        <v/>
      </c>
      <c r="BC539">
        <f>$C539*BC538</f>
        <v/>
      </c>
      <c r="BD539">
        <f>$C539*BD538</f>
        <v/>
      </c>
      <c r="BE539">
        <f>$C539*BE538</f>
        <v/>
      </c>
      <c r="BF539">
        <f>$C539*BF538</f>
        <v/>
      </c>
      <c r="BG539">
        <f>$C539*BG538</f>
        <v/>
      </c>
      <c r="BH539">
        <f>$C539*BH538</f>
        <v/>
      </c>
      <c r="BI539">
        <f>$C539*BI538</f>
        <v/>
      </c>
      <c r="BJ539">
        <f>$C539*BJ538</f>
        <v/>
      </c>
      <c r="BK539">
        <f>$C539*BK538</f>
        <v/>
      </c>
      <c r="BL539">
        <f>$C539*BL538</f>
        <v/>
      </c>
      <c r="BM539">
        <f>$C539*BM538</f>
        <v/>
      </c>
      <c r="BN539">
        <f>$C539*BN538</f>
        <v/>
      </c>
      <c r="BO539">
        <f>$C539*BO538</f>
        <v/>
      </c>
      <c r="BP539">
        <f>$C539*BP538</f>
        <v/>
      </c>
      <c r="BQ539">
        <f>$C539*BQ538</f>
        <v/>
      </c>
      <c r="BR539">
        <f>$C539*BR538</f>
        <v/>
      </c>
      <c r="BS539">
        <f>$C539*BS538</f>
        <v/>
      </c>
      <c r="BT539">
        <f>$C539*BT538</f>
        <v/>
      </c>
      <c r="BU539">
        <f>$C539*BU538</f>
        <v/>
      </c>
      <c r="BV539">
        <f>$C539*BV538</f>
        <v/>
      </c>
      <c r="BW539">
        <f>$C539*BW538</f>
        <v/>
      </c>
      <c r="BX539">
        <f>$C539*BX538</f>
        <v/>
      </c>
      <c r="BY539">
        <f>$C539*BY538</f>
        <v/>
      </c>
      <c r="BZ539">
        <f>$C539*BZ538</f>
        <v/>
      </c>
      <c r="CA539">
        <f>$C539*CA538</f>
        <v/>
      </c>
      <c r="CB539">
        <f>$C539*CB538</f>
        <v/>
      </c>
      <c r="CC539">
        <f>$C539*CC538</f>
        <v/>
      </c>
      <c r="CD539">
        <f>$C539*CD538</f>
        <v/>
      </c>
      <c r="CE539">
        <f>$C539*CE538</f>
        <v/>
      </c>
      <c r="CF539">
        <f>$C539*CF538</f>
        <v/>
      </c>
      <c r="CG539">
        <f>$C539*CG538</f>
        <v/>
      </c>
      <c r="CH539">
        <f>$C539*CH538</f>
        <v/>
      </c>
      <c r="CI539">
        <f>$C539*CI538</f>
        <v/>
      </c>
      <c r="CJ539">
        <f>$C539*CJ538</f>
        <v/>
      </c>
      <c r="CK539">
        <f>$C539*CK538</f>
        <v/>
      </c>
      <c r="CL539">
        <f>$C539*CL538</f>
        <v/>
      </c>
      <c r="CM539">
        <f>$C539*CM538</f>
        <v/>
      </c>
      <c r="CN539">
        <f>$C539*CN538</f>
        <v/>
      </c>
      <c r="CO539">
        <f>$C539*CO538</f>
        <v/>
      </c>
      <c r="CP539">
        <f>$C539*CP538</f>
        <v/>
      </c>
      <c r="CQ539">
        <f>$C539*CQ538</f>
        <v/>
      </c>
      <c r="CR539">
        <f>$C539*CR538</f>
        <v/>
      </c>
      <c r="CS539">
        <f>$C539*CS538</f>
        <v/>
      </c>
      <c r="CT539">
        <f>$C539*CT538</f>
        <v/>
      </c>
      <c r="CU539">
        <f>$C539*CU538</f>
        <v/>
      </c>
      <c r="CV539">
        <f>$C539*CV538</f>
        <v/>
      </c>
      <c r="CW539">
        <f>$C539*CW538</f>
        <v/>
      </c>
      <c r="CX539">
        <f>$C539*CX538</f>
        <v/>
      </c>
      <c r="CY539">
        <f>$C539*CY538</f>
        <v/>
      </c>
      <c r="CZ539">
        <f>$C539*CZ538</f>
        <v/>
      </c>
      <c r="DA539">
        <f>$C539*DA538</f>
        <v/>
      </c>
      <c r="DB539">
        <f>$C539*DB538</f>
        <v/>
      </c>
      <c r="DC539">
        <f>$C539*DC538</f>
        <v/>
      </c>
    </row>
    <row r="540">
      <c r="B540" t="inlineStr">
        <is>
          <t>VSZ-745</t>
        </is>
      </c>
      <c r="C540" t="inlineStr">
        <is>
          <t>No. of batches</t>
        </is>
      </c>
      <c r="D540">
        <f>IFERROR(INDEX(PP_Grid[#Data],$DD540,2),0)</f>
        <v/>
      </c>
      <c r="E540">
        <f>IFERROR(INDEX(PP_Grid[#Data],$DD540,3),0)</f>
        <v/>
      </c>
      <c r="F540">
        <f>IFERROR(INDEX(PP_Grid[#Data],$DD540,4),0)</f>
        <v/>
      </c>
      <c r="G540">
        <f>IFERROR(INDEX(PP_Grid[#Data],$DD540,5),0)</f>
        <v/>
      </c>
      <c r="H540">
        <f>IFERROR(INDEX(PP_Grid[#Data],$DD540,6),0)</f>
        <v/>
      </c>
      <c r="I540">
        <f>IFERROR(INDEX(PP_Grid[#Data],$DD540,7),0)</f>
        <v/>
      </c>
      <c r="J540">
        <f>IFERROR(INDEX(PP_Grid[#Data],$DD540,8),0)</f>
        <v/>
      </c>
      <c r="K540">
        <f>IFERROR(INDEX(PP_Grid[#Data],$DD540,9),0)</f>
        <v/>
      </c>
      <c r="L540">
        <f>IFERROR(INDEX(PP_Grid[#Data],$DD540,10),0)</f>
        <v/>
      </c>
      <c r="M540">
        <f>IFERROR(INDEX(PP_Grid[#Data],$DD540,11),0)</f>
        <v/>
      </c>
      <c r="N540">
        <f>IFERROR(INDEX(PP_Grid[#Data],$DD540,12),0)</f>
        <v/>
      </c>
      <c r="O540">
        <f>IFERROR(INDEX(PP_Grid[#Data],$DD540,13),0)</f>
        <v/>
      </c>
      <c r="P540">
        <f>IFERROR(INDEX(PP_Grid[#Data],$DD540,14),0)</f>
        <v/>
      </c>
      <c r="Q540">
        <f>IFERROR(INDEX(PP_Grid[#Data],$DD540,15),0)</f>
        <v/>
      </c>
      <c r="R540">
        <f>IFERROR(INDEX(PP_Grid[#Data],$DD540,16),0)</f>
        <v/>
      </c>
      <c r="S540">
        <f>IFERROR(INDEX(PP_Grid[#Data],$DD540,17),0)</f>
        <v/>
      </c>
      <c r="T540">
        <f>IFERROR(INDEX(PP_Grid[#Data],$DD540,18),0)</f>
        <v/>
      </c>
      <c r="U540">
        <f>IFERROR(INDEX(PP_Grid[#Data],$DD540,19),0)</f>
        <v/>
      </c>
      <c r="V540">
        <f>IFERROR(INDEX(PP_Grid[#Data],$DD540,20),0)</f>
        <v/>
      </c>
      <c r="W540">
        <f>IFERROR(INDEX(PP_Grid[#Data],$DD540,21),0)</f>
        <v/>
      </c>
      <c r="X540">
        <f>IFERROR(INDEX(PP_Grid[#Data],$DD540,22),0)</f>
        <v/>
      </c>
      <c r="Y540">
        <f>IFERROR(INDEX(PP_Grid[#Data],$DD540,23),0)</f>
        <v/>
      </c>
      <c r="Z540">
        <f>IFERROR(INDEX(PP_Grid[#Data],$DD540,24),0)</f>
        <v/>
      </c>
      <c r="AA540">
        <f>IFERROR(INDEX(PP_Grid[#Data],$DD540,25),0)</f>
        <v/>
      </c>
      <c r="AB540">
        <f>IFERROR(INDEX(PP_Grid[#Data],$DD540,26),0)</f>
        <v/>
      </c>
      <c r="AC540">
        <f>IFERROR(INDEX(PP_Grid[#Data],$DD540,27),0)</f>
        <v/>
      </c>
      <c r="AD540">
        <f>IFERROR(INDEX(PP_Grid[#Data],$DD540,28),0)</f>
        <v/>
      </c>
      <c r="AE540">
        <f>IFERROR(INDEX(PP_Grid[#Data],$DD540,29),0)</f>
        <v/>
      </c>
      <c r="AF540">
        <f>IFERROR(INDEX(PP_Grid[#Data],$DD540,30),0)</f>
        <v/>
      </c>
      <c r="AG540">
        <f>IFERROR(INDEX(PP_Grid[#Data],$DD540,31),0)</f>
        <v/>
      </c>
      <c r="AH540">
        <f>IFERROR(INDEX(PP_Grid[#Data],$DD540,32),0)</f>
        <v/>
      </c>
      <c r="AI540">
        <f>IFERROR(INDEX(PP_Grid[#Data],$DD540,33),0)</f>
        <v/>
      </c>
      <c r="AJ540">
        <f>IFERROR(INDEX(PP_Grid[#Data],$DD540,34),0)</f>
        <v/>
      </c>
      <c r="AK540">
        <f>IFERROR(INDEX(PP_Grid[#Data],$DD540,35),0)</f>
        <v/>
      </c>
      <c r="AL540">
        <f>IFERROR(INDEX(PP_Grid[#Data],$DD540,36),0)</f>
        <v/>
      </c>
      <c r="AM540">
        <f>IFERROR(INDEX(PP_Grid[#Data],$DD540,37),0)</f>
        <v/>
      </c>
      <c r="AN540">
        <f>IFERROR(INDEX(PP_Grid[#Data],$DD540,38),0)</f>
        <v/>
      </c>
      <c r="AO540">
        <f>IFERROR(INDEX(PP_Grid[#Data],$DD540,39),0)</f>
        <v/>
      </c>
      <c r="AP540">
        <f>IFERROR(INDEX(PP_Grid[#Data],$DD540,40),0)</f>
        <v/>
      </c>
      <c r="AQ540">
        <f>IFERROR(INDEX(PP_Grid[#Data],$DD540,41),0)</f>
        <v/>
      </c>
      <c r="AR540">
        <f>IFERROR(INDEX(PP_Grid[#Data],$DD540,42),0)</f>
        <v/>
      </c>
      <c r="AS540">
        <f>IFERROR(INDEX(PP_Grid[#Data],$DD540,43),0)</f>
        <v/>
      </c>
      <c r="AT540">
        <f>IFERROR(INDEX(PP_Grid[#Data],$DD540,44),0)</f>
        <v/>
      </c>
      <c r="AU540">
        <f>IFERROR(INDEX(PP_Grid[#Data],$DD540,45),0)</f>
        <v/>
      </c>
      <c r="AV540">
        <f>IFERROR(INDEX(PP_Grid[#Data],$DD540,46),0)</f>
        <v/>
      </c>
      <c r="AW540">
        <f>IFERROR(INDEX(PP_Grid[#Data],$DD540,47),0)</f>
        <v/>
      </c>
      <c r="AX540">
        <f>IFERROR(INDEX(PP_Grid[#Data],$DD540,48),0)</f>
        <v/>
      </c>
      <c r="AY540">
        <f>IFERROR(INDEX(PP_Grid[#Data],$DD540,49),0)</f>
        <v/>
      </c>
      <c r="AZ540">
        <f>IFERROR(INDEX(PP_Grid[#Data],$DD540,50),0)</f>
        <v/>
      </c>
      <c r="BA540">
        <f>IFERROR(INDEX(PP_Grid[#Data],$DD540,51),0)</f>
        <v/>
      </c>
      <c r="BB540">
        <f>IFERROR(INDEX(PP_Grid[#Data],$DD540,52),0)</f>
        <v/>
      </c>
      <c r="BC540">
        <f>IFERROR(INDEX(PP_Grid[#Data],$DD540,53),0)</f>
        <v/>
      </c>
      <c r="BD540">
        <f>IFERROR(INDEX(PP_Grid[#Data],$DD540,54),0)</f>
        <v/>
      </c>
      <c r="BE540">
        <f>IFERROR(INDEX(PP_Grid[#Data],$DD540,55),0)</f>
        <v/>
      </c>
      <c r="BF540">
        <f>IFERROR(INDEX(PP_Grid[#Data],$DD540,56),0)</f>
        <v/>
      </c>
      <c r="BG540">
        <f>IFERROR(INDEX(PP_Grid[#Data],$DD540,57),0)</f>
        <v/>
      </c>
      <c r="BH540">
        <f>IFERROR(INDEX(PP_Grid[#Data],$DD540,58),0)</f>
        <v/>
      </c>
      <c r="BI540">
        <f>IFERROR(INDEX(PP_Grid[#Data],$DD540,59),0)</f>
        <v/>
      </c>
      <c r="BJ540">
        <f>IFERROR(INDEX(PP_Grid[#Data],$DD540,60),0)</f>
        <v/>
      </c>
      <c r="BK540">
        <f>IFERROR(INDEX(PP_Grid[#Data],$DD540,61),0)</f>
        <v/>
      </c>
      <c r="BL540">
        <f>IFERROR(INDEX(PP_Grid[#Data],$DD540,62),0)</f>
        <v/>
      </c>
      <c r="BM540">
        <f>IFERROR(INDEX(PP_Grid[#Data],$DD540,63),0)</f>
        <v/>
      </c>
      <c r="BN540">
        <f>IFERROR(INDEX(PP_Grid[#Data],$DD540,64),0)</f>
        <v/>
      </c>
      <c r="BO540">
        <f>IFERROR(INDEX(PP_Grid[#Data],$DD540,65),0)</f>
        <v/>
      </c>
      <c r="BP540">
        <f>IFERROR(INDEX(PP_Grid[#Data],$DD540,66),0)</f>
        <v/>
      </c>
      <c r="BQ540">
        <f>IFERROR(INDEX(PP_Grid[#Data],$DD540,67),0)</f>
        <v/>
      </c>
      <c r="BR540">
        <f>IFERROR(INDEX(PP_Grid[#Data],$DD540,68),0)</f>
        <v/>
      </c>
      <c r="BS540">
        <f>IFERROR(INDEX(PP_Grid[#Data],$DD540,69),0)</f>
        <v/>
      </c>
      <c r="BT540">
        <f>IFERROR(INDEX(PP_Grid[#Data],$DD540,70),0)</f>
        <v/>
      </c>
      <c r="BU540">
        <f>IFERROR(INDEX(PP_Grid[#Data],$DD540,71),0)</f>
        <v/>
      </c>
      <c r="BV540">
        <f>IFERROR(INDEX(PP_Grid[#Data],$DD540,72),0)</f>
        <v/>
      </c>
      <c r="BW540">
        <f>IFERROR(INDEX(PP_Grid[#Data],$DD540,73),0)</f>
        <v/>
      </c>
      <c r="BX540">
        <f>IFERROR(INDEX(PP_Grid[#Data],$DD540,74),0)</f>
        <v/>
      </c>
      <c r="BY540">
        <f>IFERROR(INDEX(PP_Grid[#Data],$DD540,75),0)</f>
        <v/>
      </c>
      <c r="BZ540">
        <f>IFERROR(INDEX(PP_Grid[#Data],$DD540,76),0)</f>
        <v/>
      </c>
      <c r="CA540">
        <f>IFERROR(INDEX(PP_Grid[#Data],$DD540,77),0)</f>
        <v/>
      </c>
      <c r="CB540">
        <f>IFERROR(INDEX(PP_Grid[#Data],$DD540,78),0)</f>
        <v/>
      </c>
      <c r="CC540">
        <f>IFERROR(INDEX(PP_Grid[#Data],$DD540,79),0)</f>
        <v/>
      </c>
      <c r="CD540">
        <f>IFERROR(INDEX(PP_Grid[#Data],$DD540,80),0)</f>
        <v/>
      </c>
      <c r="CE540">
        <f>IFERROR(INDEX(PP_Grid[#Data],$DD540,81),0)</f>
        <v/>
      </c>
      <c r="CF540">
        <f>IFERROR(INDEX(PP_Grid[#Data],$DD540,82),0)</f>
        <v/>
      </c>
      <c r="CG540">
        <f>IFERROR(INDEX(PP_Grid[#Data],$DD540,83),0)</f>
        <v/>
      </c>
      <c r="CH540">
        <f>IFERROR(INDEX(PP_Grid[#Data],$DD540,84),0)</f>
        <v/>
      </c>
      <c r="CI540">
        <f>IFERROR(INDEX(PP_Grid[#Data],$DD540,85),0)</f>
        <v/>
      </c>
      <c r="CJ540">
        <f>IFERROR(INDEX(PP_Grid[#Data],$DD540,86),0)</f>
        <v/>
      </c>
      <c r="CK540">
        <f>IFERROR(INDEX(PP_Grid[#Data],$DD540,87),0)</f>
        <v/>
      </c>
      <c r="CL540">
        <f>IFERROR(INDEX(PP_Grid[#Data],$DD540,88),0)</f>
        <v/>
      </c>
      <c r="CM540">
        <f>IFERROR(INDEX(PP_Grid[#Data],$DD540,89),0)</f>
        <v/>
      </c>
      <c r="CN540">
        <f>IFERROR(INDEX(PP_Grid[#Data],$DD540,90),0)</f>
        <v/>
      </c>
      <c r="CO540">
        <f>IFERROR(INDEX(PP_Grid[#Data],$DD540,91),0)</f>
        <v/>
      </c>
      <c r="CP540">
        <f>IFERROR(INDEX(PP_Grid[#Data],$DD540,92),0)</f>
        <v/>
      </c>
      <c r="CQ540">
        <f>IFERROR(INDEX(PP_Grid[#Data],$DD540,93),0)</f>
        <v/>
      </c>
      <c r="CR540">
        <f>IFERROR(INDEX(PP_Grid[#Data],$DD540,94),0)</f>
        <v/>
      </c>
      <c r="CS540">
        <f>IFERROR(INDEX(PP_Grid[#Data],$DD540,95),0)</f>
        <v/>
      </c>
      <c r="CT540">
        <f>IFERROR(INDEX(PP_Grid[#Data],$DD540,96),0)</f>
        <v/>
      </c>
      <c r="CU540">
        <f>IFERROR(INDEX(PP_Grid[#Data],$DD540,97),0)</f>
        <v/>
      </c>
      <c r="CV540">
        <f>IFERROR(INDEX(PP_Grid[#Data],$DD540,98),0)</f>
        <v/>
      </c>
      <c r="CW540">
        <f>IFERROR(INDEX(PP_Grid[#Data],$DD540,99),0)</f>
        <v/>
      </c>
      <c r="CX540">
        <f>IFERROR(INDEX(PP_Grid[#Data],$DD540,100),0)</f>
        <v/>
      </c>
      <c r="CY540">
        <f>IFERROR(INDEX(PP_Grid[#Data],$DD540,101),0)</f>
        <v/>
      </c>
      <c r="CZ540">
        <f>IFERROR(INDEX(PP_Grid[#Data],$DD540,102),0)</f>
        <v/>
      </c>
      <c r="DA540">
        <f>IFERROR(INDEX(PP_Grid[#Data],$DD540,103),0)</f>
        <v/>
      </c>
      <c r="DB540">
        <f>IFERROR(INDEX(PP_Grid[#Data],$DD540,104),0)</f>
        <v/>
      </c>
      <c r="DC540">
        <f>IFERROR(INDEX(PP_Grid[#Data],$DD540,105),0)</f>
        <v/>
      </c>
      <c r="DD540" s="7">
        <f>IFERROR(MATCH($B540,PP_Grid[Intermediate],0),99999)</f>
        <v/>
      </c>
    </row>
    <row r="541">
      <c r="B541" t="inlineStr">
        <is>
          <t>使用量(kg)</t>
        </is>
      </c>
      <c r="C541">
        <f>SUMIFS(M_BOM[RM_Qty_Per_Batch],M_BOM[Intermediate],$B540,M_BOM[Part Name],$A507)</f>
        <v/>
      </c>
      <c r="D541">
        <f>$C541*D540</f>
        <v/>
      </c>
      <c r="E541">
        <f>$C541*E540</f>
        <v/>
      </c>
      <c r="F541">
        <f>$C541*F540</f>
        <v/>
      </c>
      <c r="G541">
        <f>$C541*G540</f>
        <v/>
      </c>
      <c r="H541">
        <f>$C541*H540</f>
        <v/>
      </c>
      <c r="I541">
        <f>$C541*I540</f>
        <v/>
      </c>
      <c r="J541">
        <f>$C541*J540</f>
        <v/>
      </c>
      <c r="K541">
        <f>$C541*K540</f>
        <v/>
      </c>
      <c r="L541">
        <f>$C541*L540</f>
        <v/>
      </c>
      <c r="M541">
        <f>$C541*M540</f>
        <v/>
      </c>
      <c r="N541">
        <f>$C541*N540</f>
        <v/>
      </c>
      <c r="O541">
        <f>$C541*O540</f>
        <v/>
      </c>
      <c r="P541">
        <f>$C541*P540</f>
        <v/>
      </c>
      <c r="Q541">
        <f>$C541*Q540</f>
        <v/>
      </c>
      <c r="R541">
        <f>$C541*R540</f>
        <v/>
      </c>
      <c r="S541">
        <f>$C541*S540</f>
        <v/>
      </c>
      <c r="T541">
        <f>$C541*T540</f>
        <v/>
      </c>
      <c r="U541">
        <f>$C541*U540</f>
        <v/>
      </c>
      <c r="V541">
        <f>$C541*V540</f>
        <v/>
      </c>
      <c r="W541">
        <f>$C541*W540</f>
        <v/>
      </c>
      <c r="X541">
        <f>$C541*X540</f>
        <v/>
      </c>
      <c r="Y541">
        <f>$C541*Y540</f>
        <v/>
      </c>
      <c r="Z541">
        <f>$C541*Z540</f>
        <v/>
      </c>
      <c r="AA541">
        <f>$C541*AA540</f>
        <v/>
      </c>
      <c r="AB541">
        <f>$C541*AB540</f>
        <v/>
      </c>
      <c r="AC541">
        <f>$C541*AC540</f>
        <v/>
      </c>
      <c r="AD541">
        <f>$C541*AD540</f>
        <v/>
      </c>
      <c r="AE541">
        <f>$C541*AE540</f>
        <v/>
      </c>
      <c r="AF541">
        <f>$C541*AF540</f>
        <v/>
      </c>
      <c r="AG541">
        <f>$C541*AG540</f>
        <v/>
      </c>
      <c r="AH541">
        <f>$C541*AH540</f>
        <v/>
      </c>
      <c r="AI541">
        <f>$C541*AI540</f>
        <v/>
      </c>
      <c r="AJ541">
        <f>$C541*AJ540</f>
        <v/>
      </c>
      <c r="AK541">
        <f>$C541*AK540</f>
        <v/>
      </c>
      <c r="AL541">
        <f>$C541*AL540</f>
        <v/>
      </c>
      <c r="AM541">
        <f>$C541*AM540</f>
        <v/>
      </c>
      <c r="AN541">
        <f>$C541*AN540</f>
        <v/>
      </c>
      <c r="AO541">
        <f>$C541*AO540</f>
        <v/>
      </c>
      <c r="AP541">
        <f>$C541*AP540</f>
        <v/>
      </c>
      <c r="AQ541">
        <f>$C541*AQ540</f>
        <v/>
      </c>
      <c r="AR541">
        <f>$C541*AR540</f>
        <v/>
      </c>
      <c r="AS541">
        <f>$C541*AS540</f>
        <v/>
      </c>
      <c r="AT541">
        <f>$C541*AT540</f>
        <v/>
      </c>
      <c r="AU541">
        <f>$C541*AU540</f>
        <v/>
      </c>
      <c r="AV541">
        <f>$C541*AV540</f>
        <v/>
      </c>
      <c r="AW541">
        <f>$C541*AW540</f>
        <v/>
      </c>
      <c r="AX541">
        <f>$C541*AX540</f>
        <v/>
      </c>
      <c r="AY541">
        <f>$C541*AY540</f>
        <v/>
      </c>
      <c r="AZ541">
        <f>$C541*AZ540</f>
        <v/>
      </c>
      <c r="BA541">
        <f>$C541*BA540</f>
        <v/>
      </c>
      <c r="BB541">
        <f>$C541*BB540</f>
        <v/>
      </c>
      <c r="BC541">
        <f>$C541*BC540</f>
        <v/>
      </c>
      <c r="BD541">
        <f>$C541*BD540</f>
        <v/>
      </c>
      <c r="BE541">
        <f>$C541*BE540</f>
        <v/>
      </c>
      <c r="BF541">
        <f>$C541*BF540</f>
        <v/>
      </c>
      <c r="BG541">
        <f>$C541*BG540</f>
        <v/>
      </c>
      <c r="BH541">
        <f>$C541*BH540</f>
        <v/>
      </c>
      <c r="BI541">
        <f>$C541*BI540</f>
        <v/>
      </c>
      <c r="BJ541">
        <f>$C541*BJ540</f>
        <v/>
      </c>
      <c r="BK541">
        <f>$C541*BK540</f>
        <v/>
      </c>
      <c r="BL541">
        <f>$C541*BL540</f>
        <v/>
      </c>
      <c r="BM541">
        <f>$C541*BM540</f>
        <v/>
      </c>
      <c r="BN541">
        <f>$C541*BN540</f>
        <v/>
      </c>
      <c r="BO541">
        <f>$C541*BO540</f>
        <v/>
      </c>
      <c r="BP541">
        <f>$C541*BP540</f>
        <v/>
      </c>
      <c r="BQ541">
        <f>$C541*BQ540</f>
        <v/>
      </c>
      <c r="BR541">
        <f>$C541*BR540</f>
        <v/>
      </c>
      <c r="BS541">
        <f>$C541*BS540</f>
        <v/>
      </c>
      <c r="BT541">
        <f>$C541*BT540</f>
        <v/>
      </c>
      <c r="BU541">
        <f>$C541*BU540</f>
        <v/>
      </c>
      <c r="BV541">
        <f>$C541*BV540</f>
        <v/>
      </c>
      <c r="BW541">
        <f>$C541*BW540</f>
        <v/>
      </c>
      <c r="BX541">
        <f>$C541*BX540</f>
        <v/>
      </c>
      <c r="BY541">
        <f>$C541*BY540</f>
        <v/>
      </c>
      <c r="BZ541">
        <f>$C541*BZ540</f>
        <v/>
      </c>
      <c r="CA541">
        <f>$C541*CA540</f>
        <v/>
      </c>
      <c r="CB541">
        <f>$C541*CB540</f>
        <v/>
      </c>
      <c r="CC541">
        <f>$C541*CC540</f>
        <v/>
      </c>
      <c r="CD541">
        <f>$C541*CD540</f>
        <v/>
      </c>
      <c r="CE541">
        <f>$C541*CE540</f>
        <v/>
      </c>
      <c r="CF541">
        <f>$C541*CF540</f>
        <v/>
      </c>
      <c r="CG541">
        <f>$C541*CG540</f>
        <v/>
      </c>
      <c r="CH541">
        <f>$C541*CH540</f>
        <v/>
      </c>
      <c r="CI541">
        <f>$C541*CI540</f>
        <v/>
      </c>
      <c r="CJ541">
        <f>$C541*CJ540</f>
        <v/>
      </c>
      <c r="CK541">
        <f>$C541*CK540</f>
        <v/>
      </c>
      <c r="CL541">
        <f>$C541*CL540</f>
        <v/>
      </c>
      <c r="CM541">
        <f>$C541*CM540</f>
        <v/>
      </c>
      <c r="CN541">
        <f>$C541*CN540</f>
        <v/>
      </c>
      <c r="CO541">
        <f>$C541*CO540</f>
        <v/>
      </c>
      <c r="CP541">
        <f>$C541*CP540</f>
        <v/>
      </c>
      <c r="CQ541">
        <f>$C541*CQ540</f>
        <v/>
      </c>
      <c r="CR541">
        <f>$C541*CR540</f>
        <v/>
      </c>
      <c r="CS541">
        <f>$C541*CS540</f>
        <v/>
      </c>
      <c r="CT541">
        <f>$C541*CT540</f>
        <v/>
      </c>
      <c r="CU541">
        <f>$C541*CU540</f>
        <v/>
      </c>
      <c r="CV541">
        <f>$C541*CV540</f>
        <v/>
      </c>
      <c r="CW541">
        <f>$C541*CW540</f>
        <v/>
      </c>
      <c r="CX541">
        <f>$C541*CX540</f>
        <v/>
      </c>
      <c r="CY541">
        <f>$C541*CY540</f>
        <v/>
      </c>
      <c r="CZ541">
        <f>$C541*CZ540</f>
        <v/>
      </c>
      <c r="DA541">
        <f>$C541*DA540</f>
        <v/>
      </c>
      <c r="DB541">
        <f>$C541*DB540</f>
        <v/>
      </c>
      <c r="DC541">
        <f>$C541*DC540</f>
        <v/>
      </c>
    </row>
    <row r="542">
      <c r="B542" t="inlineStr">
        <is>
          <t>TSP-1388</t>
        </is>
      </c>
      <c r="C542" t="inlineStr">
        <is>
          <t>No. of batches</t>
        </is>
      </c>
      <c r="D542">
        <f>IFERROR(INDEX(PP_Grid[#Data],$DD542,2),0)</f>
        <v/>
      </c>
      <c r="E542">
        <f>IFERROR(INDEX(PP_Grid[#Data],$DD542,3),0)</f>
        <v/>
      </c>
      <c r="F542">
        <f>IFERROR(INDEX(PP_Grid[#Data],$DD542,4),0)</f>
        <v/>
      </c>
      <c r="G542">
        <f>IFERROR(INDEX(PP_Grid[#Data],$DD542,5),0)</f>
        <v/>
      </c>
      <c r="H542">
        <f>IFERROR(INDEX(PP_Grid[#Data],$DD542,6),0)</f>
        <v/>
      </c>
      <c r="I542">
        <f>IFERROR(INDEX(PP_Grid[#Data],$DD542,7),0)</f>
        <v/>
      </c>
      <c r="J542">
        <f>IFERROR(INDEX(PP_Grid[#Data],$DD542,8),0)</f>
        <v/>
      </c>
      <c r="K542">
        <f>IFERROR(INDEX(PP_Grid[#Data],$DD542,9),0)</f>
        <v/>
      </c>
      <c r="L542">
        <f>IFERROR(INDEX(PP_Grid[#Data],$DD542,10),0)</f>
        <v/>
      </c>
      <c r="M542">
        <f>IFERROR(INDEX(PP_Grid[#Data],$DD542,11),0)</f>
        <v/>
      </c>
      <c r="N542">
        <f>IFERROR(INDEX(PP_Grid[#Data],$DD542,12),0)</f>
        <v/>
      </c>
      <c r="O542">
        <f>IFERROR(INDEX(PP_Grid[#Data],$DD542,13),0)</f>
        <v/>
      </c>
      <c r="P542">
        <f>IFERROR(INDEX(PP_Grid[#Data],$DD542,14),0)</f>
        <v/>
      </c>
      <c r="Q542">
        <f>IFERROR(INDEX(PP_Grid[#Data],$DD542,15),0)</f>
        <v/>
      </c>
      <c r="R542">
        <f>IFERROR(INDEX(PP_Grid[#Data],$DD542,16),0)</f>
        <v/>
      </c>
      <c r="S542">
        <f>IFERROR(INDEX(PP_Grid[#Data],$DD542,17),0)</f>
        <v/>
      </c>
      <c r="T542">
        <f>IFERROR(INDEX(PP_Grid[#Data],$DD542,18),0)</f>
        <v/>
      </c>
      <c r="U542">
        <f>IFERROR(INDEX(PP_Grid[#Data],$DD542,19),0)</f>
        <v/>
      </c>
      <c r="V542">
        <f>IFERROR(INDEX(PP_Grid[#Data],$DD542,20),0)</f>
        <v/>
      </c>
      <c r="W542">
        <f>IFERROR(INDEX(PP_Grid[#Data],$DD542,21),0)</f>
        <v/>
      </c>
      <c r="X542">
        <f>IFERROR(INDEX(PP_Grid[#Data],$DD542,22),0)</f>
        <v/>
      </c>
      <c r="Y542">
        <f>IFERROR(INDEX(PP_Grid[#Data],$DD542,23),0)</f>
        <v/>
      </c>
      <c r="Z542">
        <f>IFERROR(INDEX(PP_Grid[#Data],$DD542,24),0)</f>
        <v/>
      </c>
      <c r="AA542">
        <f>IFERROR(INDEX(PP_Grid[#Data],$DD542,25),0)</f>
        <v/>
      </c>
      <c r="AB542">
        <f>IFERROR(INDEX(PP_Grid[#Data],$DD542,26),0)</f>
        <v/>
      </c>
      <c r="AC542">
        <f>IFERROR(INDEX(PP_Grid[#Data],$DD542,27),0)</f>
        <v/>
      </c>
      <c r="AD542">
        <f>IFERROR(INDEX(PP_Grid[#Data],$DD542,28),0)</f>
        <v/>
      </c>
      <c r="AE542">
        <f>IFERROR(INDEX(PP_Grid[#Data],$DD542,29),0)</f>
        <v/>
      </c>
      <c r="AF542">
        <f>IFERROR(INDEX(PP_Grid[#Data],$DD542,30),0)</f>
        <v/>
      </c>
      <c r="AG542">
        <f>IFERROR(INDEX(PP_Grid[#Data],$DD542,31),0)</f>
        <v/>
      </c>
      <c r="AH542">
        <f>IFERROR(INDEX(PP_Grid[#Data],$DD542,32),0)</f>
        <v/>
      </c>
      <c r="AI542">
        <f>IFERROR(INDEX(PP_Grid[#Data],$DD542,33),0)</f>
        <v/>
      </c>
      <c r="AJ542">
        <f>IFERROR(INDEX(PP_Grid[#Data],$DD542,34),0)</f>
        <v/>
      </c>
      <c r="AK542">
        <f>IFERROR(INDEX(PP_Grid[#Data],$DD542,35),0)</f>
        <v/>
      </c>
      <c r="AL542">
        <f>IFERROR(INDEX(PP_Grid[#Data],$DD542,36),0)</f>
        <v/>
      </c>
      <c r="AM542">
        <f>IFERROR(INDEX(PP_Grid[#Data],$DD542,37),0)</f>
        <v/>
      </c>
      <c r="AN542">
        <f>IFERROR(INDEX(PP_Grid[#Data],$DD542,38),0)</f>
        <v/>
      </c>
      <c r="AO542">
        <f>IFERROR(INDEX(PP_Grid[#Data],$DD542,39),0)</f>
        <v/>
      </c>
      <c r="AP542">
        <f>IFERROR(INDEX(PP_Grid[#Data],$DD542,40),0)</f>
        <v/>
      </c>
      <c r="AQ542">
        <f>IFERROR(INDEX(PP_Grid[#Data],$DD542,41),0)</f>
        <v/>
      </c>
      <c r="AR542">
        <f>IFERROR(INDEX(PP_Grid[#Data],$DD542,42),0)</f>
        <v/>
      </c>
      <c r="AS542">
        <f>IFERROR(INDEX(PP_Grid[#Data],$DD542,43),0)</f>
        <v/>
      </c>
      <c r="AT542">
        <f>IFERROR(INDEX(PP_Grid[#Data],$DD542,44),0)</f>
        <v/>
      </c>
      <c r="AU542">
        <f>IFERROR(INDEX(PP_Grid[#Data],$DD542,45),0)</f>
        <v/>
      </c>
      <c r="AV542">
        <f>IFERROR(INDEX(PP_Grid[#Data],$DD542,46),0)</f>
        <v/>
      </c>
      <c r="AW542">
        <f>IFERROR(INDEX(PP_Grid[#Data],$DD542,47),0)</f>
        <v/>
      </c>
      <c r="AX542">
        <f>IFERROR(INDEX(PP_Grid[#Data],$DD542,48),0)</f>
        <v/>
      </c>
      <c r="AY542">
        <f>IFERROR(INDEX(PP_Grid[#Data],$DD542,49),0)</f>
        <v/>
      </c>
      <c r="AZ542">
        <f>IFERROR(INDEX(PP_Grid[#Data],$DD542,50),0)</f>
        <v/>
      </c>
      <c r="BA542">
        <f>IFERROR(INDEX(PP_Grid[#Data],$DD542,51),0)</f>
        <v/>
      </c>
      <c r="BB542">
        <f>IFERROR(INDEX(PP_Grid[#Data],$DD542,52),0)</f>
        <v/>
      </c>
      <c r="BC542">
        <f>IFERROR(INDEX(PP_Grid[#Data],$DD542,53),0)</f>
        <v/>
      </c>
      <c r="BD542">
        <f>IFERROR(INDEX(PP_Grid[#Data],$DD542,54),0)</f>
        <v/>
      </c>
      <c r="BE542">
        <f>IFERROR(INDEX(PP_Grid[#Data],$DD542,55),0)</f>
        <v/>
      </c>
      <c r="BF542">
        <f>IFERROR(INDEX(PP_Grid[#Data],$DD542,56),0)</f>
        <v/>
      </c>
      <c r="BG542">
        <f>IFERROR(INDEX(PP_Grid[#Data],$DD542,57),0)</f>
        <v/>
      </c>
      <c r="BH542">
        <f>IFERROR(INDEX(PP_Grid[#Data],$DD542,58),0)</f>
        <v/>
      </c>
      <c r="BI542">
        <f>IFERROR(INDEX(PP_Grid[#Data],$DD542,59),0)</f>
        <v/>
      </c>
      <c r="BJ542">
        <f>IFERROR(INDEX(PP_Grid[#Data],$DD542,60),0)</f>
        <v/>
      </c>
      <c r="BK542">
        <f>IFERROR(INDEX(PP_Grid[#Data],$DD542,61),0)</f>
        <v/>
      </c>
      <c r="BL542">
        <f>IFERROR(INDEX(PP_Grid[#Data],$DD542,62),0)</f>
        <v/>
      </c>
      <c r="BM542">
        <f>IFERROR(INDEX(PP_Grid[#Data],$DD542,63),0)</f>
        <v/>
      </c>
      <c r="BN542">
        <f>IFERROR(INDEX(PP_Grid[#Data],$DD542,64),0)</f>
        <v/>
      </c>
      <c r="BO542">
        <f>IFERROR(INDEX(PP_Grid[#Data],$DD542,65),0)</f>
        <v/>
      </c>
      <c r="BP542">
        <f>IFERROR(INDEX(PP_Grid[#Data],$DD542,66),0)</f>
        <v/>
      </c>
      <c r="BQ542">
        <f>IFERROR(INDEX(PP_Grid[#Data],$DD542,67),0)</f>
        <v/>
      </c>
      <c r="BR542">
        <f>IFERROR(INDEX(PP_Grid[#Data],$DD542,68),0)</f>
        <v/>
      </c>
      <c r="BS542">
        <f>IFERROR(INDEX(PP_Grid[#Data],$DD542,69),0)</f>
        <v/>
      </c>
      <c r="BT542">
        <f>IFERROR(INDEX(PP_Grid[#Data],$DD542,70),0)</f>
        <v/>
      </c>
      <c r="BU542">
        <f>IFERROR(INDEX(PP_Grid[#Data],$DD542,71),0)</f>
        <v/>
      </c>
      <c r="BV542">
        <f>IFERROR(INDEX(PP_Grid[#Data],$DD542,72),0)</f>
        <v/>
      </c>
      <c r="BW542">
        <f>IFERROR(INDEX(PP_Grid[#Data],$DD542,73),0)</f>
        <v/>
      </c>
      <c r="BX542">
        <f>IFERROR(INDEX(PP_Grid[#Data],$DD542,74),0)</f>
        <v/>
      </c>
      <c r="BY542">
        <f>IFERROR(INDEX(PP_Grid[#Data],$DD542,75),0)</f>
        <v/>
      </c>
      <c r="BZ542">
        <f>IFERROR(INDEX(PP_Grid[#Data],$DD542,76),0)</f>
        <v/>
      </c>
      <c r="CA542">
        <f>IFERROR(INDEX(PP_Grid[#Data],$DD542,77),0)</f>
        <v/>
      </c>
      <c r="CB542">
        <f>IFERROR(INDEX(PP_Grid[#Data],$DD542,78),0)</f>
        <v/>
      </c>
      <c r="CC542">
        <f>IFERROR(INDEX(PP_Grid[#Data],$DD542,79),0)</f>
        <v/>
      </c>
      <c r="CD542">
        <f>IFERROR(INDEX(PP_Grid[#Data],$DD542,80),0)</f>
        <v/>
      </c>
      <c r="CE542">
        <f>IFERROR(INDEX(PP_Grid[#Data],$DD542,81),0)</f>
        <v/>
      </c>
      <c r="CF542">
        <f>IFERROR(INDEX(PP_Grid[#Data],$DD542,82),0)</f>
        <v/>
      </c>
      <c r="CG542">
        <f>IFERROR(INDEX(PP_Grid[#Data],$DD542,83),0)</f>
        <v/>
      </c>
      <c r="CH542">
        <f>IFERROR(INDEX(PP_Grid[#Data],$DD542,84),0)</f>
        <v/>
      </c>
      <c r="CI542">
        <f>IFERROR(INDEX(PP_Grid[#Data],$DD542,85),0)</f>
        <v/>
      </c>
      <c r="CJ542">
        <f>IFERROR(INDEX(PP_Grid[#Data],$DD542,86),0)</f>
        <v/>
      </c>
      <c r="CK542">
        <f>IFERROR(INDEX(PP_Grid[#Data],$DD542,87),0)</f>
        <v/>
      </c>
      <c r="CL542">
        <f>IFERROR(INDEX(PP_Grid[#Data],$DD542,88),0)</f>
        <v/>
      </c>
      <c r="CM542">
        <f>IFERROR(INDEX(PP_Grid[#Data],$DD542,89),0)</f>
        <v/>
      </c>
      <c r="CN542">
        <f>IFERROR(INDEX(PP_Grid[#Data],$DD542,90),0)</f>
        <v/>
      </c>
      <c r="CO542">
        <f>IFERROR(INDEX(PP_Grid[#Data],$DD542,91),0)</f>
        <v/>
      </c>
      <c r="CP542">
        <f>IFERROR(INDEX(PP_Grid[#Data],$DD542,92),0)</f>
        <v/>
      </c>
      <c r="CQ542">
        <f>IFERROR(INDEX(PP_Grid[#Data],$DD542,93),0)</f>
        <v/>
      </c>
      <c r="CR542">
        <f>IFERROR(INDEX(PP_Grid[#Data],$DD542,94),0)</f>
        <v/>
      </c>
      <c r="CS542">
        <f>IFERROR(INDEX(PP_Grid[#Data],$DD542,95),0)</f>
        <v/>
      </c>
      <c r="CT542">
        <f>IFERROR(INDEX(PP_Grid[#Data],$DD542,96),0)</f>
        <v/>
      </c>
      <c r="CU542">
        <f>IFERROR(INDEX(PP_Grid[#Data],$DD542,97),0)</f>
        <v/>
      </c>
      <c r="CV542">
        <f>IFERROR(INDEX(PP_Grid[#Data],$DD542,98),0)</f>
        <v/>
      </c>
      <c r="CW542">
        <f>IFERROR(INDEX(PP_Grid[#Data],$DD542,99),0)</f>
        <v/>
      </c>
      <c r="CX542">
        <f>IFERROR(INDEX(PP_Grid[#Data],$DD542,100),0)</f>
        <v/>
      </c>
      <c r="CY542">
        <f>IFERROR(INDEX(PP_Grid[#Data],$DD542,101),0)</f>
        <v/>
      </c>
      <c r="CZ542">
        <f>IFERROR(INDEX(PP_Grid[#Data],$DD542,102),0)</f>
        <v/>
      </c>
      <c r="DA542">
        <f>IFERROR(INDEX(PP_Grid[#Data],$DD542,103),0)</f>
        <v/>
      </c>
      <c r="DB542">
        <f>IFERROR(INDEX(PP_Grid[#Data],$DD542,104),0)</f>
        <v/>
      </c>
      <c r="DC542">
        <f>IFERROR(INDEX(PP_Grid[#Data],$DD542,105),0)</f>
        <v/>
      </c>
      <c r="DD542" s="7">
        <f>IFERROR(MATCH($B542,PP_Grid[Intermediate],0),99999)</f>
        <v/>
      </c>
    </row>
    <row r="543">
      <c r="B543" t="inlineStr">
        <is>
          <t>使用量(kg)</t>
        </is>
      </c>
      <c r="C543">
        <f>SUMIFS(M_BOM[RM_Qty_Per_Batch],M_BOM[Intermediate],$B542,M_BOM[Part Name],$A507)</f>
        <v/>
      </c>
      <c r="D543">
        <f>$C543*D542</f>
        <v/>
      </c>
      <c r="E543">
        <f>$C543*E542</f>
        <v/>
      </c>
      <c r="F543">
        <f>$C543*F542</f>
        <v/>
      </c>
      <c r="G543">
        <f>$C543*G542</f>
        <v/>
      </c>
      <c r="H543">
        <f>$C543*H542</f>
        <v/>
      </c>
      <c r="I543">
        <f>$C543*I542</f>
        <v/>
      </c>
      <c r="J543">
        <f>$C543*J542</f>
        <v/>
      </c>
      <c r="K543">
        <f>$C543*K542</f>
        <v/>
      </c>
      <c r="L543">
        <f>$C543*L542</f>
        <v/>
      </c>
      <c r="M543">
        <f>$C543*M542</f>
        <v/>
      </c>
      <c r="N543">
        <f>$C543*N542</f>
        <v/>
      </c>
      <c r="O543">
        <f>$C543*O542</f>
        <v/>
      </c>
      <c r="P543">
        <f>$C543*P542</f>
        <v/>
      </c>
      <c r="Q543">
        <f>$C543*Q542</f>
        <v/>
      </c>
      <c r="R543">
        <f>$C543*R542</f>
        <v/>
      </c>
      <c r="S543">
        <f>$C543*S542</f>
        <v/>
      </c>
      <c r="T543">
        <f>$C543*T542</f>
        <v/>
      </c>
      <c r="U543">
        <f>$C543*U542</f>
        <v/>
      </c>
      <c r="V543">
        <f>$C543*V542</f>
        <v/>
      </c>
      <c r="W543">
        <f>$C543*W542</f>
        <v/>
      </c>
      <c r="X543">
        <f>$C543*X542</f>
        <v/>
      </c>
      <c r="Y543">
        <f>$C543*Y542</f>
        <v/>
      </c>
      <c r="Z543">
        <f>$C543*Z542</f>
        <v/>
      </c>
      <c r="AA543">
        <f>$C543*AA542</f>
        <v/>
      </c>
      <c r="AB543">
        <f>$C543*AB542</f>
        <v/>
      </c>
      <c r="AC543">
        <f>$C543*AC542</f>
        <v/>
      </c>
      <c r="AD543">
        <f>$C543*AD542</f>
        <v/>
      </c>
      <c r="AE543">
        <f>$C543*AE542</f>
        <v/>
      </c>
      <c r="AF543">
        <f>$C543*AF542</f>
        <v/>
      </c>
      <c r="AG543">
        <f>$C543*AG542</f>
        <v/>
      </c>
      <c r="AH543">
        <f>$C543*AH542</f>
        <v/>
      </c>
      <c r="AI543">
        <f>$C543*AI542</f>
        <v/>
      </c>
      <c r="AJ543">
        <f>$C543*AJ542</f>
        <v/>
      </c>
      <c r="AK543">
        <f>$C543*AK542</f>
        <v/>
      </c>
      <c r="AL543">
        <f>$C543*AL542</f>
        <v/>
      </c>
      <c r="AM543">
        <f>$C543*AM542</f>
        <v/>
      </c>
      <c r="AN543">
        <f>$C543*AN542</f>
        <v/>
      </c>
      <c r="AO543">
        <f>$C543*AO542</f>
        <v/>
      </c>
      <c r="AP543">
        <f>$C543*AP542</f>
        <v/>
      </c>
      <c r="AQ543">
        <f>$C543*AQ542</f>
        <v/>
      </c>
      <c r="AR543">
        <f>$C543*AR542</f>
        <v/>
      </c>
      <c r="AS543">
        <f>$C543*AS542</f>
        <v/>
      </c>
      <c r="AT543">
        <f>$C543*AT542</f>
        <v/>
      </c>
      <c r="AU543">
        <f>$C543*AU542</f>
        <v/>
      </c>
      <c r="AV543">
        <f>$C543*AV542</f>
        <v/>
      </c>
      <c r="AW543">
        <f>$C543*AW542</f>
        <v/>
      </c>
      <c r="AX543">
        <f>$C543*AX542</f>
        <v/>
      </c>
      <c r="AY543">
        <f>$C543*AY542</f>
        <v/>
      </c>
      <c r="AZ543">
        <f>$C543*AZ542</f>
        <v/>
      </c>
      <c r="BA543">
        <f>$C543*BA542</f>
        <v/>
      </c>
      <c r="BB543">
        <f>$C543*BB542</f>
        <v/>
      </c>
      <c r="BC543">
        <f>$C543*BC542</f>
        <v/>
      </c>
      <c r="BD543">
        <f>$C543*BD542</f>
        <v/>
      </c>
      <c r="BE543">
        <f>$C543*BE542</f>
        <v/>
      </c>
      <c r="BF543">
        <f>$C543*BF542</f>
        <v/>
      </c>
      <c r="BG543">
        <f>$C543*BG542</f>
        <v/>
      </c>
      <c r="BH543">
        <f>$C543*BH542</f>
        <v/>
      </c>
      <c r="BI543">
        <f>$C543*BI542</f>
        <v/>
      </c>
      <c r="BJ543">
        <f>$C543*BJ542</f>
        <v/>
      </c>
      <c r="BK543">
        <f>$C543*BK542</f>
        <v/>
      </c>
      <c r="BL543">
        <f>$C543*BL542</f>
        <v/>
      </c>
      <c r="BM543">
        <f>$C543*BM542</f>
        <v/>
      </c>
      <c r="BN543">
        <f>$C543*BN542</f>
        <v/>
      </c>
      <c r="BO543">
        <f>$C543*BO542</f>
        <v/>
      </c>
      <c r="BP543">
        <f>$C543*BP542</f>
        <v/>
      </c>
      <c r="BQ543">
        <f>$C543*BQ542</f>
        <v/>
      </c>
      <c r="BR543">
        <f>$C543*BR542</f>
        <v/>
      </c>
      <c r="BS543">
        <f>$C543*BS542</f>
        <v/>
      </c>
      <c r="BT543">
        <f>$C543*BT542</f>
        <v/>
      </c>
      <c r="BU543">
        <f>$C543*BU542</f>
        <v/>
      </c>
      <c r="BV543">
        <f>$C543*BV542</f>
        <v/>
      </c>
      <c r="BW543">
        <f>$C543*BW542</f>
        <v/>
      </c>
      <c r="BX543">
        <f>$C543*BX542</f>
        <v/>
      </c>
      <c r="BY543">
        <f>$C543*BY542</f>
        <v/>
      </c>
      <c r="BZ543">
        <f>$C543*BZ542</f>
        <v/>
      </c>
      <c r="CA543">
        <f>$C543*CA542</f>
        <v/>
      </c>
      <c r="CB543">
        <f>$C543*CB542</f>
        <v/>
      </c>
      <c r="CC543">
        <f>$C543*CC542</f>
        <v/>
      </c>
      <c r="CD543">
        <f>$C543*CD542</f>
        <v/>
      </c>
      <c r="CE543">
        <f>$C543*CE542</f>
        <v/>
      </c>
      <c r="CF543">
        <f>$C543*CF542</f>
        <v/>
      </c>
      <c r="CG543">
        <f>$C543*CG542</f>
        <v/>
      </c>
      <c r="CH543">
        <f>$C543*CH542</f>
        <v/>
      </c>
      <c r="CI543">
        <f>$C543*CI542</f>
        <v/>
      </c>
      <c r="CJ543">
        <f>$C543*CJ542</f>
        <v/>
      </c>
      <c r="CK543">
        <f>$C543*CK542</f>
        <v/>
      </c>
      <c r="CL543">
        <f>$C543*CL542</f>
        <v/>
      </c>
      <c r="CM543">
        <f>$C543*CM542</f>
        <v/>
      </c>
      <c r="CN543">
        <f>$C543*CN542</f>
        <v/>
      </c>
      <c r="CO543">
        <f>$C543*CO542</f>
        <v/>
      </c>
      <c r="CP543">
        <f>$C543*CP542</f>
        <v/>
      </c>
      <c r="CQ543">
        <f>$C543*CQ542</f>
        <v/>
      </c>
      <c r="CR543">
        <f>$C543*CR542</f>
        <v/>
      </c>
      <c r="CS543">
        <f>$C543*CS542</f>
        <v/>
      </c>
      <c r="CT543">
        <f>$C543*CT542</f>
        <v/>
      </c>
      <c r="CU543">
        <f>$C543*CU542</f>
        <v/>
      </c>
      <c r="CV543">
        <f>$C543*CV542</f>
        <v/>
      </c>
      <c r="CW543">
        <f>$C543*CW542</f>
        <v/>
      </c>
      <c r="CX543">
        <f>$C543*CX542</f>
        <v/>
      </c>
      <c r="CY543">
        <f>$C543*CY542</f>
        <v/>
      </c>
      <c r="CZ543">
        <f>$C543*CZ542</f>
        <v/>
      </c>
      <c r="DA543">
        <f>$C543*DA542</f>
        <v/>
      </c>
      <c r="DB543">
        <f>$C543*DB542</f>
        <v/>
      </c>
      <c r="DC543">
        <f>$C543*DC542</f>
        <v/>
      </c>
    </row>
    <row r="544">
      <c r="B544" t="inlineStr">
        <is>
          <t>TSP-924</t>
        </is>
      </c>
      <c r="C544" t="inlineStr">
        <is>
          <t>No. of batches</t>
        </is>
      </c>
      <c r="D544">
        <f>IFERROR(INDEX(PP_Grid[#Data],$DD544,2),0)</f>
        <v/>
      </c>
      <c r="E544">
        <f>IFERROR(INDEX(PP_Grid[#Data],$DD544,3),0)</f>
        <v/>
      </c>
      <c r="F544">
        <f>IFERROR(INDEX(PP_Grid[#Data],$DD544,4),0)</f>
        <v/>
      </c>
      <c r="G544">
        <f>IFERROR(INDEX(PP_Grid[#Data],$DD544,5),0)</f>
        <v/>
      </c>
      <c r="H544">
        <f>IFERROR(INDEX(PP_Grid[#Data],$DD544,6),0)</f>
        <v/>
      </c>
      <c r="I544">
        <f>IFERROR(INDEX(PP_Grid[#Data],$DD544,7),0)</f>
        <v/>
      </c>
      <c r="J544">
        <f>IFERROR(INDEX(PP_Grid[#Data],$DD544,8),0)</f>
        <v/>
      </c>
      <c r="K544">
        <f>IFERROR(INDEX(PP_Grid[#Data],$DD544,9),0)</f>
        <v/>
      </c>
      <c r="L544">
        <f>IFERROR(INDEX(PP_Grid[#Data],$DD544,10),0)</f>
        <v/>
      </c>
      <c r="M544">
        <f>IFERROR(INDEX(PP_Grid[#Data],$DD544,11),0)</f>
        <v/>
      </c>
      <c r="N544">
        <f>IFERROR(INDEX(PP_Grid[#Data],$DD544,12),0)</f>
        <v/>
      </c>
      <c r="O544">
        <f>IFERROR(INDEX(PP_Grid[#Data],$DD544,13),0)</f>
        <v/>
      </c>
      <c r="P544">
        <f>IFERROR(INDEX(PP_Grid[#Data],$DD544,14),0)</f>
        <v/>
      </c>
      <c r="Q544">
        <f>IFERROR(INDEX(PP_Grid[#Data],$DD544,15),0)</f>
        <v/>
      </c>
      <c r="R544">
        <f>IFERROR(INDEX(PP_Grid[#Data],$DD544,16),0)</f>
        <v/>
      </c>
      <c r="S544">
        <f>IFERROR(INDEX(PP_Grid[#Data],$DD544,17),0)</f>
        <v/>
      </c>
      <c r="T544">
        <f>IFERROR(INDEX(PP_Grid[#Data],$DD544,18),0)</f>
        <v/>
      </c>
      <c r="U544">
        <f>IFERROR(INDEX(PP_Grid[#Data],$DD544,19),0)</f>
        <v/>
      </c>
      <c r="V544">
        <f>IFERROR(INDEX(PP_Grid[#Data],$DD544,20),0)</f>
        <v/>
      </c>
      <c r="W544">
        <f>IFERROR(INDEX(PP_Grid[#Data],$DD544,21),0)</f>
        <v/>
      </c>
      <c r="X544">
        <f>IFERROR(INDEX(PP_Grid[#Data],$DD544,22),0)</f>
        <v/>
      </c>
      <c r="Y544">
        <f>IFERROR(INDEX(PP_Grid[#Data],$DD544,23),0)</f>
        <v/>
      </c>
      <c r="Z544">
        <f>IFERROR(INDEX(PP_Grid[#Data],$DD544,24),0)</f>
        <v/>
      </c>
      <c r="AA544">
        <f>IFERROR(INDEX(PP_Grid[#Data],$DD544,25),0)</f>
        <v/>
      </c>
      <c r="AB544">
        <f>IFERROR(INDEX(PP_Grid[#Data],$DD544,26),0)</f>
        <v/>
      </c>
      <c r="AC544">
        <f>IFERROR(INDEX(PP_Grid[#Data],$DD544,27),0)</f>
        <v/>
      </c>
      <c r="AD544">
        <f>IFERROR(INDEX(PP_Grid[#Data],$DD544,28),0)</f>
        <v/>
      </c>
      <c r="AE544">
        <f>IFERROR(INDEX(PP_Grid[#Data],$DD544,29),0)</f>
        <v/>
      </c>
      <c r="AF544">
        <f>IFERROR(INDEX(PP_Grid[#Data],$DD544,30),0)</f>
        <v/>
      </c>
      <c r="AG544">
        <f>IFERROR(INDEX(PP_Grid[#Data],$DD544,31),0)</f>
        <v/>
      </c>
      <c r="AH544">
        <f>IFERROR(INDEX(PP_Grid[#Data],$DD544,32),0)</f>
        <v/>
      </c>
      <c r="AI544">
        <f>IFERROR(INDEX(PP_Grid[#Data],$DD544,33),0)</f>
        <v/>
      </c>
      <c r="AJ544">
        <f>IFERROR(INDEX(PP_Grid[#Data],$DD544,34),0)</f>
        <v/>
      </c>
      <c r="AK544">
        <f>IFERROR(INDEX(PP_Grid[#Data],$DD544,35),0)</f>
        <v/>
      </c>
      <c r="AL544">
        <f>IFERROR(INDEX(PP_Grid[#Data],$DD544,36),0)</f>
        <v/>
      </c>
      <c r="AM544">
        <f>IFERROR(INDEX(PP_Grid[#Data],$DD544,37),0)</f>
        <v/>
      </c>
      <c r="AN544">
        <f>IFERROR(INDEX(PP_Grid[#Data],$DD544,38),0)</f>
        <v/>
      </c>
      <c r="AO544">
        <f>IFERROR(INDEX(PP_Grid[#Data],$DD544,39),0)</f>
        <v/>
      </c>
      <c r="AP544">
        <f>IFERROR(INDEX(PP_Grid[#Data],$DD544,40),0)</f>
        <v/>
      </c>
      <c r="AQ544">
        <f>IFERROR(INDEX(PP_Grid[#Data],$DD544,41),0)</f>
        <v/>
      </c>
      <c r="AR544">
        <f>IFERROR(INDEX(PP_Grid[#Data],$DD544,42),0)</f>
        <v/>
      </c>
      <c r="AS544">
        <f>IFERROR(INDEX(PP_Grid[#Data],$DD544,43),0)</f>
        <v/>
      </c>
      <c r="AT544">
        <f>IFERROR(INDEX(PP_Grid[#Data],$DD544,44),0)</f>
        <v/>
      </c>
      <c r="AU544">
        <f>IFERROR(INDEX(PP_Grid[#Data],$DD544,45),0)</f>
        <v/>
      </c>
      <c r="AV544">
        <f>IFERROR(INDEX(PP_Grid[#Data],$DD544,46),0)</f>
        <v/>
      </c>
      <c r="AW544">
        <f>IFERROR(INDEX(PP_Grid[#Data],$DD544,47),0)</f>
        <v/>
      </c>
      <c r="AX544">
        <f>IFERROR(INDEX(PP_Grid[#Data],$DD544,48),0)</f>
        <v/>
      </c>
      <c r="AY544">
        <f>IFERROR(INDEX(PP_Grid[#Data],$DD544,49),0)</f>
        <v/>
      </c>
      <c r="AZ544">
        <f>IFERROR(INDEX(PP_Grid[#Data],$DD544,50),0)</f>
        <v/>
      </c>
      <c r="BA544">
        <f>IFERROR(INDEX(PP_Grid[#Data],$DD544,51),0)</f>
        <v/>
      </c>
      <c r="BB544">
        <f>IFERROR(INDEX(PP_Grid[#Data],$DD544,52),0)</f>
        <v/>
      </c>
      <c r="BC544">
        <f>IFERROR(INDEX(PP_Grid[#Data],$DD544,53),0)</f>
        <v/>
      </c>
      <c r="BD544">
        <f>IFERROR(INDEX(PP_Grid[#Data],$DD544,54),0)</f>
        <v/>
      </c>
      <c r="BE544">
        <f>IFERROR(INDEX(PP_Grid[#Data],$DD544,55),0)</f>
        <v/>
      </c>
      <c r="BF544">
        <f>IFERROR(INDEX(PP_Grid[#Data],$DD544,56),0)</f>
        <v/>
      </c>
      <c r="BG544">
        <f>IFERROR(INDEX(PP_Grid[#Data],$DD544,57),0)</f>
        <v/>
      </c>
      <c r="BH544">
        <f>IFERROR(INDEX(PP_Grid[#Data],$DD544,58),0)</f>
        <v/>
      </c>
      <c r="BI544">
        <f>IFERROR(INDEX(PP_Grid[#Data],$DD544,59),0)</f>
        <v/>
      </c>
      <c r="BJ544">
        <f>IFERROR(INDEX(PP_Grid[#Data],$DD544,60),0)</f>
        <v/>
      </c>
      <c r="BK544">
        <f>IFERROR(INDEX(PP_Grid[#Data],$DD544,61),0)</f>
        <v/>
      </c>
      <c r="BL544">
        <f>IFERROR(INDEX(PP_Grid[#Data],$DD544,62),0)</f>
        <v/>
      </c>
      <c r="BM544">
        <f>IFERROR(INDEX(PP_Grid[#Data],$DD544,63),0)</f>
        <v/>
      </c>
      <c r="BN544">
        <f>IFERROR(INDEX(PP_Grid[#Data],$DD544,64),0)</f>
        <v/>
      </c>
      <c r="BO544">
        <f>IFERROR(INDEX(PP_Grid[#Data],$DD544,65),0)</f>
        <v/>
      </c>
      <c r="BP544">
        <f>IFERROR(INDEX(PP_Grid[#Data],$DD544,66),0)</f>
        <v/>
      </c>
      <c r="BQ544">
        <f>IFERROR(INDEX(PP_Grid[#Data],$DD544,67),0)</f>
        <v/>
      </c>
      <c r="BR544">
        <f>IFERROR(INDEX(PP_Grid[#Data],$DD544,68),0)</f>
        <v/>
      </c>
      <c r="BS544">
        <f>IFERROR(INDEX(PP_Grid[#Data],$DD544,69),0)</f>
        <v/>
      </c>
      <c r="BT544">
        <f>IFERROR(INDEX(PP_Grid[#Data],$DD544,70),0)</f>
        <v/>
      </c>
      <c r="BU544">
        <f>IFERROR(INDEX(PP_Grid[#Data],$DD544,71),0)</f>
        <v/>
      </c>
      <c r="BV544">
        <f>IFERROR(INDEX(PP_Grid[#Data],$DD544,72),0)</f>
        <v/>
      </c>
      <c r="BW544">
        <f>IFERROR(INDEX(PP_Grid[#Data],$DD544,73),0)</f>
        <v/>
      </c>
      <c r="BX544">
        <f>IFERROR(INDEX(PP_Grid[#Data],$DD544,74),0)</f>
        <v/>
      </c>
      <c r="BY544">
        <f>IFERROR(INDEX(PP_Grid[#Data],$DD544,75),0)</f>
        <v/>
      </c>
      <c r="BZ544">
        <f>IFERROR(INDEX(PP_Grid[#Data],$DD544,76),0)</f>
        <v/>
      </c>
      <c r="CA544">
        <f>IFERROR(INDEX(PP_Grid[#Data],$DD544,77),0)</f>
        <v/>
      </c>
      <c r="CB544">
        <f>IFERROR(INDEX(PP_Grid[#Data],$DD544,78),0)</f>
        <v/>
      </c>
      <c r="CC544">
        <f>IFERROR(INDEX(PP_Grid[#Data],$DD544,79),0)</f>
        <v/>
      </c>
      <c r="CD544">
        <f>IFERROR(INDEX(PP_Grid[#Data],$DD544,80),0)</f>
        <v/>
      </c>
      <c r="CE544">
        <f>IFERROR(INDEX(PP_Grid[#Data],$DD544,81),0)</f>
        <v/>
      </c>
      <c r="CF544">
        <f>IFERROR(INDEX(PP_Grid[#Data],$DD544,82),0)</f>
        <v/>
      </c>
      <c r="CG544">
        <f>IFERROR(INDEX(PP_Grid[#Data],$DD544,83),0)</f>
        <v/>
      </c>
      <c r="CH544">
        <f>IFERROR(INDEX(PP_Grid[#Data],$DD544,84),0)</f>
        <v/>
      </c>
      <c r="CI544">
        <f>IFERROR(INDEX(PP_Grid[#Data],$DD544,85),0)</f>
        <v/>
      </c>
      <c r="CJ544">
        <f>IFERROR(INDEX(PP_Grid[#Data],$DD544,86),0)</f>
        <v/>
      </c>
      <c r="CK544">
        <f>IFERROR(INDEX(PP_Grid[#Data],$DD544,87),0)</f>
        <v/>
      </c>
      <c r="CL544">
        <f>IFERROR(INDEX(PP_Grid[#Data],$DD544,88),0)</f>
        <v/>
      </c>
      <c r="CM544">
        <f>IFERROR(INDEX(PP_Grid[#Data],$DD544,89),0)</f>
        <v/>
      </c>
      <c r="CN544">
        <f>IFERROR(INDEX(PP_Grid[#Data],$DD544,90),0)</f>
        <v/>
      </c>
      <c r="CO544">
        <f>IFERROR(INDEX(PP_Grid[#Data],$DD544,91),0)</f>
        <v/>
      </c>
      <c r="CP544">
        <f>IFERROR(INDEX(PP_Grid[#Data],$DD544,92),0)</f>
        <v/>
      </c>
      <c r="CQ544">
        <f>IFERROR(INDEX(PP_Grid[#Data],$DD544,93),0)</f>
        <v/>
      </c>
      <c r="CR544">
        <f>IFERROR(INDEX(PP_Grid[#Data],$DD544,94),0)</f>
        <v/>
      </c>
      <c r="CS544">
        <f>IFERROR(INDEX(PP_Grid[#Data],$DD544,95),0)</f>
        <v/>
      </c>
      <c r="CT544">
        <f>IFERROR(INDEX(PP_Grid[#Data],$DD544,96),0)</f>
        <v/>
      </c>
      <c r="CU544">
        <f>IFERROR(INDEX(PP_Grid[#Data],$DD544,97),0)</f>
        <v/>
      </c>
      <c r="CV544">
        <f>IFERROR(INDEX(PP_Grid[#Data],$DD544,98),0)</f>
        <v/>
      </c>
      <c r="CW544">
        <f>IFERROR(INDEX(PP_Grid[#Data],$DD544,99),0)</f>
        <v/>
      </c>
      <c r="CX544">
        <f>IFERROR(INDEX(PP_Grid[#Data],$DD544,100),0)</f>
        <v/>
      </c>
      <c r="CY544">
        <f>IFERROR(INDEX(PP_Grid[#Data],$DD544,101),0)</f>
        <v/>
      </c>
      <c r="CZ544">
        <f>IFERROR(INDEX(PP_Grid[#Data],$DD544,102),0)</f>
        <v/>
      </c>
      <c r="DA544">
        <f>IFERROR(INDEX(PP_Grid[#Data],$DD544,103),0)</f>
        <v/>
      </c>
      <c r="DB544">
        <f>IFERROR(INDEX(PP_Grid[#Data],$DD544,104),0)</f>
        <v/>
      </c>
      <c r="DC544">
        <f>IFERROR(INDEX(PP_Grid[#Data],$DD544,105),0)</f>
        <v/>
      </c>
      <c r="DD544" s="7">
        <f>IFERROR(MATCH($B544,PP_Grid[Intermediate],0),99999)</f>
        <v/>
      </c>
    </row>
    <row r="545">
      <c r="B545" t="inlineStr">
        <is>
          <t>使用量(kg)</t>
        </is>
      </c>
      <c r="C545">
        <f>SUMIFS(M_BOM[RM_Qty_Per_Batch],M_BOM[Intermediate],$B544,M_BOM[Part Name],$A507)</f>
        <v/>
      </c>
      <c r="D545">
        <f>$C545*D544</f>
        <v/>
      </c>
      <c r="E545">
        <f>$C545*E544</f>
        <v/>
      </c>
      <c r="F545">
        <f>$C545*F544</f>
        <v/>
      </c>
      <c r="G545">
        <f>$C545*G544</f>
        <v/>
      </c>
      <c r="H545">
        <f>$C545*H544</f>
        <v/>
      </c>
      <c r="I545">
        <f>$C545*I544</f>
        <v/>
      </c>
      <c r="J545">
        <f>$C545*J544</f>
        <v/>
      </c>
      <c r="K545">
        <f>$C545*K544</f>
        <v/>
      </c>
      <c r="L545">
        <f>$C545*L544</f>
        <v/>
      </c>
      <c r="M545">
        <f>$C545*M544</f>
        <v/>
      </c>
      <c r="N545">
        <f>$C545*N544</f>
        <v/>
      </c>
      <c r="O545">
        <f>$C545*O544</f>
        <v/>
      </c>
      <c r="P545">
        <f>$C545*P544</f>
        <v/>
      </c>
      <c r="Q545">
        <f>$C545*Q544</f>
        <v/>
      </c>
      <c r="R545">
        <f>$C545*R544</f>
        <v/>
      </c>
      <c r="S545">
        <f>$C545*S544</f>
        <v/>
      </c>
      <c r="T545">
        <f>$C545*T544</f>
        <v/>
      </c>
      <c r="U545">
        <f>$C545*U544</f>
        <v/>
      </c>
      <c r="V545">
        <f>$C545*V544</f>
        <v/>
      </c>
      <c r="W545">
        <f>$C545*W544</f>
        <v/>
      </c>
      <c r="X545">
        <f>$C545*X544</f>
        <v/>
      </c>
      <c r="Y545">
        <f>$C545*Y544</f>
        <v/>
      </c>
      <c r="Z545">
        <f>$C545*Z544</f>
        <v/>
      </c>
      <c r="AA545">
        <f>$C545*AA544</f>
        <v/>
      </c>
      <c r="AB545">
        <f>$C545*AB544</f>
        <v/>
      </c>
      <c r="AC545">
        <f>$C545*AC544</f>
        <v/>
      </c>
      <c r="AD545">
        <f>$C545*AD544</f>
        <v/>
      </c>
      <c r="AE545">
        <f>$C545*AE544</f>
        <v/>
      </c>
      <c r="AF545">
        <f>$C545*AF544</f>
        <v/>
      </c>
      <c r="AG545">
        <f>$C545*AG544</f>
        <v/>
      </c>
      <c r="AH545">
        <f>$C545*AH544</f>
        <v/>
      </c>
      <c r="AI545">
        <f>$C545*AI544</f>
        <v/>
      </c>
      <c r="AJ545">
        <f>$C545*AJ544</f>
        <v/>
      </c>
      <c r="AK545">
        <f>$C545*AK544</f>
        <v/>
      </c>
      <c r="AL545">
        <f>$C545*AL544</f>
        <v/>
      </c>
      <c r="AM545">
        <f>$C545*AM544</f>
        <v/>
      </c>
      <c r="AN545">
        <f>$C545*AN544</f>
        <v/>
      </c>
      <c r="AO545">
        <f>$C545*AO544</f>
        <v/>
      </c>
      <c r="AP545">
        <f>$C545*AP544</f>
        <v/>
      </c>
      <c r="AQ545">
        <f>$C545*AQ544</f>
        <v/>
      </c>
      <c r="AR545">
        <f>$C545*AR544</f>
        <v/>
      </c>
      <c r="AS545">
        <f>$C545*AS544</f>
        <v/>
      </c>
      <c r="AT545">
        <f>$C545*AT544</f>
        <v/>
      </c>
      <c r="AU545">
        <f>$C545*AU544</f>
        <v/>
      </c>
      <c r="AV545">
        <f>$C545*AV544</f>
        <v/>
      </c>
      <c r="AW545">
        <f>$C545*AW544</f>
        <v/>
      </c>
      <c r="AX545">
        <f>$C545*AX544</f>
        <v/>
      </c>
      <c r="AY545">
        <f>$C545*AY544</f>
        <v/>
      </c>
      <c r="AZ545">
        <f>$C545*AZ544</f>
        <v/>
      </c>
      <c r="BA545">
        <f>$C545*BA544</f>
        <v/>
      </c>
      <c r="BB545">
        <f>$C545*BB544</f>
        <v/>
      </c>
      <c r="BC545">
        <f>$C545*BC544</f>
        <v/>
      </c>
      <c r="BD545">
        <f>$C545*BD544</f>
        <v/>
      </c>
      <c r="BE545">
        <f>$C545*BE544</f>
        <v/>
      </c>
      <c r="BF545">
        <f>$C545*BF544</f>
        <v/>
      </c>
      <c r="BG545">
        <f>$C545*BG544</f>
        <v/>
      </c>
      <c r="BH545">
        <f>$C545*BH544</f>
        <v/>
      </c>
      <c r="BI545">
        <f>$C545*BI544</f>
        <v/>
      </c>
      <c r="BJ545">
        <f>$C545*BJ544</f>
        <v/>
      </c>
      <c r="BK545">
        <f>$C545*BK544</f>
        <v/>
      </c>
      <c r="BL545">
        <f>$C545*BL544</f>
        <v/>
      </c>
      <c r="BM545">
        <f>$C545*BM544</f>
        <v/>
      </c>
      <c r="BN545">
        <f>$C545*BN544</f>
        <v/>
      </c>
      <c r="BO545">
        <f>$C545*BO544</f>
        <v/>
      </c>
      <c r="BP545">
        <f>$C545*BP544</f>
        <v/>
      </c>
      <c r="BQ545">
        <f>$C545*BQ544</f>
        <v/>
      </c>
      <c r="BR545">
        <f>$C545*BR544</f>
        <v/>
      </c>
      <c r="BS545">
        <f>$C545*BS544</f>
        <v/>
      </c>
      <c r="BT545">
        <f>$C545*BT544</f>
        <v/>
      </c>
      <c r="BU545">
        <f>$C545*BU544</f>
        <v/>
      </c>
      <c r="BV545">
        <f>$C545*BV544</f>
        <v/>
      </c>
      <c r="BW545">
        <f>$C545*BW544</f>
        <v/>
      </c>
      <c r="BX545">
        <f>$C545*BX544</f>
        <v/>
      </c>
      <c r="BY545">
        <f>$C545*BY544</f>
        <v/>
      </c>
      <c r="BZ545">
        <f>$C545*BZ544</f>
        <v/>
      </c>
      <c r="CA545">
        <f>$C545*CA544</f>
        <v/>
      </c>
      <c r="CB545">
        <f>$C545*CB544</f>
        <v/>
      </c>
      <c r="CC545">
        <f>$C545*CC544</f>
        <v/>
      </c>
      <c r="CD545">
        <f>$C545*CD544</f>
        <v/>
      </c>
      <c r="CE545">
        <f>$C545*CE544</f>
        <v/>
      </c>
      <c r="CF545">
        <f>$C545*CF544</f>
        <v/>
      </c>
      <c r="CG545">
        <f>$C545*CG544</f>
        <v/>
      </c>
      <c r="CH545">
        <f>$C545*CH544</f>
        <v/>
      </c>
      <c r="CI545">
        <f>$C545*CI544</f>
        <v/>
      </c>
      <c r="CJ545">
        <f>$C545*CJ544</f>
        <v/>
      </c>
      <c r="CK545">
        <f>$C545*CK544</f>
        <v/>
      </c>
      <c r="CL545">
        <f>$C545*CL544</f>
        <v/>
      </c>
      <c r="CM545">
        <f>$C545*CM544</f>
        <v/>
      </c>
      <c r="CN545">
        <f>$C545*CN544</f>
        <v/>
      </c>
      <c r="CO545">
        <f>$C545*CO544</f>
        <v/>
      </c>
      <c r="CP545">
        <f>$C545*CP544</f>
        <v/>
      </c>
      <c r="CQ545">
        <f>$C545*CQ544</f>
        <v/>
      </c>
      <c r="CR545">
        <f>$C545*CR544</f>
        <v/>
      </c>
      <c r="CS545">
        <f>$C545*CS544</f>
        <v/>
      </c>
      <c r="CT545">
        <f>$C545*CT544</f>
        <v/>
      </c>
      <c r="CU545">
        <f>$C545*CU544</f>
        <v/>
      </c>
      <c r="CV545">
        <f>$C545*CV544</f>
        <v/>
      </c>
      <c r="CW545">
        <f>$C545*CW544</f>
        <v/>
      </c>
      <c r="CX545">
        <f>$C545*CX544</f>
        <v/>
      </c>
      <c r="CY545">
        <f>$C545*CY544</f>
        <v/>
      </c>
      <c r="CZ545">
        <f>$C545*CZ544</f>
        <v/>
      </c>
      <c r="DA545">
        <f>$C545*DA544</f>
        <v/>
      </c>
      <c r="DB545">
        <f>$C545*DB544</f>
        <v/>
      </c>
      <c r="DC545">
        <f>$C545*DC544</f>
        <v/>
      </c>
    </row>
    <row r="546">
      <c r="B546" t="inlineStr">
        <is>
          <t>TSP-925</t>
        </is>
      </c>
      <c r="C546" t="inlineStr">
        <is>
          <t>No. of batches</t>
        </is>
      </c>
      <c r="D546">
        <f>IFERROR(INDEX(PP_Grid[#Data],$DD546,2),0)</f>
        <v/>
      </c>
      <c r="E546">
        <f>IFERROR(INDEX(PP_Grid[#Data],$DD546,3),0)</f>
        <v/>
      </c>
      <c r="F546">
        <f>IFERROR(INDEX(PP_Grid[#Data],$DD546,4),0)</f>
        <v/>
      </c>
      <c r="G546">
        <f>IFERROR(INDEX(PP_Grid[#Data],$DD546,5),0)</f>
        <v/>
      </c>
      <c r="H546">
        <f>IFERROR(INDEX(PP_Grid[#Data],$DD546,6),0)</f>
        <v/>
      </c>
      <c r="I546">
        <f>IFERROR(INDEX(PP_Grid[#Data],$DD546,7),0)</f>
        <v/>
      </c>
      <c r="J546">
        <f>IFERROR(INDEX(PP_Grid[#Data],$DD546,8),0)</f>
        <v/>
      </c>
      <c r="K546">
        <f>IFERROR(INDEX(PP_Grid[#Data],$DD546,9),0)</f>
        <v/>
      </c>
      <c r="L546">
        <f>IFERROR(INDEX(PP_Grid[#Data],$DD546,10),0)</f>
        <v/>
      </c>
      <c r="M546">
        <f>IFERROR(INDEX(PP_Grid[#Data],$DD546,11),0)</f>
        <v/>
      </c>
      <c r="N546">
        <f>IFERROR(INDEX(PP_Grid[#Data],$DD546,12),0)</f>
        <v/>
      </c>
      <c r="O546">
        <f>IFERROR(INDEX(PP_Grid[#Data],$DD546,13),0)</f>
        <v/>
      </c>
      <c r="P546">
        <f>IFERROR(INDEX(PP_Grid[#Data],$DD546,14),0)</f>
        <v/>
      </c>
      <c r="Q546">
        <f>IFERROR(INDEX(PP_Grid[#Data],$DD546,15),0)</f>
        <v/>
      </c>
      <c r="R546">
        <f>IFERROR(INDEX(PP_Grid[#Data],$DD546,16),0)</f>
        <v/>
      </c>
      <c r="S546">
        <f>IFERROR(INDEX(PP_Grid[#Data],$DD546,17),0)</f>
        <v/>
      </c>
      <c r="T546">
        <f>IFERROR(INDEX(PP_Grid[#Data],$DD546,18),0)</f>
        <v/>
      </c>
      <c r="U546">
        <f>IFERROR(INDEX(PP_Grid[#Data],$DD546,19),0)</f>
        <v/>
      </c>
      <c r="V546">
        <f>IFERROR(INDEX(PP_Grid[#Data],$DD546,20),0)</f>
        <v/>
      </c>
      <c r="W546">
        <f>IFERROR(INDEX(PP_Grid[#Data],$DD546,21),0)</f>
        <v/>
      </c>
      <c r="X546">
        <f>IFERROR(INDEX(PP_Grid[#Data],$DD546,22),0)</f>
        <v/>
      </c>
      <c r="Y546">
        <f>IFERROR(INDEX(PP_Grid[#Data],$DD546,23),0)</f>
        <v/>
      </c>
      <c r="Z546">
        <f>IFERROR(INDEX(PP_Grid[#Data],$DD546,24),0)</f>
        <v/>
      </c>
      <c r="AA546">
        <f>IFERROR(INDEX(PP_Grid[#Data],$DD546,25),0)</f>
        <v/>
      </c>
      <c r="AB546">
        <f>IFERROR(INDEX(PP_Grid[#Data],$DD546,26),0)</f>
        <v/>
      </c>
      <c r="AC546">
        <f>IFERROR(INDEX(PP_Grid[#Data],$DD546,27),0)</f>
        <v/>
      </c>
      <c r="AD546">
        <f>IFERROR(INDEX(PP_Grid[#Data],$DD546,28),0)</f>
        <v/>
      </c>
      <c r="AE546">
        <f>IFERROR(INDEX(PP_Grid[#Data],$DD546,29),0)</f>
        <v/>
      </c>
      <c r="AF546">
        <f>IFERROR(INDEX(PP_Grid[#Data],$DD546,30),0)</f>
        <v/>
      </c>
      <c r="AG546">
        <f>IFERROR(INDEX(PP_Grid[#Data],$DD546,31),0)</f>
        <v/>
      </c>
      <c r="AH546">
        <f>IFERROR(INDEX(PP_Grid[#Data],$DD546,32),0)</f>
        <v/>
      </c>
      <c r="AI546">
        <f>IFERROR(INDEX(PP_Grid[#Data],$DD546,33),0)</f>
        <v/>
      </c>
      <c r="AJ546">
        <f>IFERROR(INDEX(PP_Grid[#Data],$DD546,34),0)</f>
        <v/>
      </c>
      <c r="AK546">
        <f>IFERROR(INDEX(PP_Grid[#Data],$DD546,35),0)</f>
        <v/>
      </c>
      <c r="AL546">
        <f>IFERROR(INDEX(PP_Grid[#Data],$DD546,36),0)</f>
        <v/>
      </c>
      <c r="AM546">
        <f>IFERROR(INDEX(PP_Grid[#Data],$DD546,37),0)</f>
        <v/>
      </c>
      <c r="AN546">
        <f>IFERROR(INDEX(PP_Grid[#Data],$DD546,38),0)</f>
        <v/>
      </c>
      <c r="AO546">
        <f>IFERROR(INDEX(PP_Grid[#Data],$DD546,39),0)</f>
        <v/>
      </c>
      <c r="AP546">
        <f>IFERROR(INDEX(PP_Grid[#Data],$DD546,40),0)</f>
        <v/>
      </c>
      <c r="AQ546">
        <f>IFERROR(INDEX(PP_Grid[#Data],$DD546,41),0)</f>
        <v/>
      </c>
      <c r="AR546">
        <f>IFERROR(INDEX(PP_Grid[#Data],$DD546,42),0)</f>
        <v/>
      </c>
      <c r="AS546">
        <f>IFERROR(INDEX(PP_Grid[#Data],$DD546,43),0)</f>
        <v/>
      </c>
      <c r="AT546">
        <f>IFERROR(INDEX(PP_Grid[#Data],$DD546,44),0)</f>
        <v/>
      </c>
      <c r="AU546">
        <f>IFERROR(INDEX(PP_Grid[#Data],$DD546,45),0)</f>
        <v/>
      </c>
      <c r="AV546">
        <f>IFERROR(INDEX(PP_Grid[#Data],$DD546,46),0)</f>
        <v/>
      </c>
      <c r="AW546">
        <f>IFERROR(INDEX(PP_Grid[#Data],$DD546,47),0)</f>
        <v/>
      </c>
      <c r="AX546">
        <f>IFERROR(INDEX(PP_Grid[#Data],$DD546,48),0)</f>
        <v/>
      </c>
      <c r="AY546">
        <f>IFERROR(INDEX(PP_Grid[#Data],$DD546,49),0)</f>
        <v/>
      </c>
      <c r="AZ546">
        <f>IFERROR(INDEX(PP_Grid[#Data],$DD546,50),0)</f>
        <v/>
      </c>
      <c r="BA546">
        <f>IFERROR(INDEX(PP_Grid[#Data],$DD546,51),0)</f>
        <v/>
      </c>
      <c r="BB546">
        <f>IFERROR(INDEX(PP_Grid[#Data],$DD546,52),0)</f>
        <v/>
      </c>
      <c r="BC546">
        <f>IFERROR(INDEX(PP_Grid[#Data],$DD546,53),0)</f>
        <v/>
      </c>
      <c r="BD546">
        <f>IFERROR(INDEX(PP_Grid[#Data],$DD546,54),0)</f>
        <v/>
      </c>
      <c r="BE546">
        <f>IFERROR(INDEX(PP_Grid[#Data],$DD546,55),0)</f>
        <v/>
      </c>
      <c r="BF546">
        <f>IFERROR(INDEX(PP_Grid[#Data],$DD546,56),0)</f>
        <v/>
      </c>
      <c r="BG546">
        <f>IFERROR(INDEX(PP_Grid[#Data],$DD546,57),0)</f>
        <v/>
      </c>
      <c r="BH546">
        <f>IFERROR(INDEX(PP_Grid[#Data],$DD546,58),0)</f>
        <v/>
      </c>
      <c r="BI546">
        <f>IFERROR(INDEX(PP_Grid[#Data],$DD546,59),0)</f>
        <v/>
      </c>
      <c r="BJ546">
        <f>IFERROR(INDEX(PP_Grid[#Data],$DD546,60),0)</f>
        <v/>
      </c>
      <c r="BK546">
        <f>IFERROR(INDEX(PP_Grid[#Data],$DD546,61),0)</f>
        <v/>
      </c>
      <c r="BL546">
        <f>IFERROR(INDEX(PP_Grid[#Data],$DD546,62),0)</f>
        <v/>
      </c>
      <c r="BM546">
        <f>IFERROR(INDEX(PP_Grid[#Data],$DD546,63),0)</f>
        <v/>
      </c>
      <c r="BN546">
        <f>IFERROR(INDEX(PP_Grid[#Data],$DD546,64),0)</f>
        <v/>
      </c>
      <c r="BO546">
        <f>IFERROR(INDEX(PP_Grid[#Data],$DD546,65),0)</f>
        <v/>
      </c>
      <c r="BP546">
        <f>IFERROR(INDEX(PP_Grid[#Data],$DD546,66),0)</f>
        <v/>
      </c>
      <c r="BQ546">
        <f>IFERROR(INDEX(PP_Grid[#Data],$DD546,67),0)</f>
        <v/>
      </c>
      <c r="BR546">
        <f>IFERROR(INDEX(PP_Grid[#Data],$DD546,68),0)</f>
        <v/>
      </c>
      <c r="BS546">
        <f>IFERROR(INDEX(PP_Grid[#Data],$DD546,69),0)</f>
        <v/>
      </c>
      <c r="BT546">
        <f>IFERROR(INDEX(PP_Grid[#Data],$DD546,70),0)</f>
        <v/>
      </c>
      <c r="BU546">
        <f>IFERROR(INDEX(PP_Grid[#Data],$DD546,71),0)</f>
        <v/>
      </c>
      <c r="BV546">
        <f>IFERROR(INDEX(PP_Grid[#Data],$DD546,72),0)</f>
        <v/>
      </c>
      <c r="BW546">
        <f>IFERROR(INDEX(PP_Grid[#Data],$DD546,73),0)</f>
        <v/>
      </c>
      <c r="BX546">
        <f>IFERROR(INDEX(PP_Grid[#Data],$DD546,74),0)</f>
        <v/>
      </c>
      <c r="BY546">
        <f>IFERROR(INDEX(PP_Grid[#Data],$DD546,75),0)</f>
        <v/>
      </c>
      <c r="BZ546">
        <f>IFERROR(INDEX(PP_Grid[#Data],$DD546,76),0)</f>
        <v/>
      </c>
      <c r="CA546">
        <f>IFERROR(INDEX(PP_Grid[#Data],$DD546,77),0)</f>
        <v/>
      </c>
      <c r="CB546">
        <f>IFERROR(INDEX(PP_Grid[#Data],$DD546,78),0)</f>
        <v/>
      </c>
      <c r="CC546">
        <f>IFERROR(INDEX(PP_Grid[#Data],$DD546,79),0)</f>
        <v/>
      </c>
      <c r="CD546">
        <f>IFERROR(INDEX(PP_Grid[#Data],$DD546,80),0)</f>
        <v/>
      </c>
      <c r="CE546">
        <f>IFERROR(INDEX(PP_Grid[#Data],$DD546,81),0)</f>
        <v/>
      </c>
      <c r="CF546">
        <f>IFERROR(INDEX(PP_Grid[#Data],$DD546,82),0)</f>
        <v/>
      </c>
      <c r="CG546">
        <f>IFERROR(INDEX(PP_Grid[#Data],$DD546,83),0)</f>
        <v/>
      </c>
      <c r="CH546">
        <f>IFERROR(INDEX(PP_Grid[#Data],$DD546,84),0)</f>
        <v/>
      </c>
      <c r="CI546">
        <f>IFERROR(INDEX(PP_Grid[#Data],$DD546,85),0)</f>
        <v/>
      </c>
      <c r="CJ546">
        <f>IFERROR(INDEX(PP_Grid[#Data],$DD546,86),0)</f>
        <v/>
      </c>
      <c r="CK546">
        <f>IFERROR(INDEX(PP_Grid[#Data],$DD546,87),0)</f>
        <v/>
      </c>
      <c r="CL546">
        <f>IFERROR(INDEX(PP_Grid[#Data],$DD546,88),0)</f>
        <v/>
      </c>
      <c r="CM546">
        <f>IFERROR(INDEX(PP_Grid[#Data],$DD546,89),0)</f>
        <v/>
      </c>
      <c r="CN546">
        <f>IFERROR(INDEX(PP_Grid[#Data],$DD546,90),0)</f>
        <v/>
      </c>
      <c r="CO546">
        <f>IFERROR(INDEX(PP_Grid[#Data],$DD546,91),0)</f>
        <v/>
      </c>
      <c r="CP546">
        <f>IFERROR(INDEX(PP_Grid[#Data],$DD546,92),0)</f>
        <v/>
      </c>
      <c r="CQ546">
        <f>IFERROR(INDEX(PP_Grid[#Data],$DD546,93),0)</f>
        <v/>
      </c>
      <c r="CR546">
        <f>IFERROR(INDEX(PP_Grid[#Data],$DD546,94),0)</f>
        <v/>
      </c>
      <c r="CS546">
        <f>IFERROR(INDEX(PP_Grid[#Data],$DD546,95),0)</f>
        <v/>
      </c>
      <c r="CT546">
        <f>IFERROR(INDEX(PP_Grid[#Data],$DD546,96),0)</f>
        <v/>
      </c>
      <c r="CU546">
        <f>IFERROR(INDEX(PP_Grid[#Data],$DD546,97),0)</f>
        <v/>
      </c>
      <c r="CV546">
        <f>IFERROR(INDEX(PP_Grid[#Data],$DD546,98),0)</f>
        <v/>
      </c>
      <c r="CW546">
        <f>IFERROR(INDEX(PP_Grid[#Data],$DD546,99),0)</f>
        <v/>
      </c>
      <c r="CX546">
        <f>IFERROR(INDEX(PP_Grid[#Data],$DD546,100),0)</f>
        <v/>
      </c>
      <c r="CY546">
        <f>IFERROR(INDEX(PP_Grid[#Data],$DD546,101),0)</f>
        <v/>
      </c>
      <c r="CZ546">
        <f>IFERROR(INDEX(PP_Grid[#Data],$DD546,102),0)</f>
        <v/>
      </c>
      <c r="DA546">
        <f>IFERROR(INDEX(PP_Grid[#Data],$DD546,103),0)</f>
        <v/>
      </c>
      <c r="DB546">
        <f>IFERROR(INDEX(PP_Grid[#Data],$DD546,104),0)</f>
        <v/>
      </c>
      <c r="DC546">
        <f>IFERROR(INDEX(PP_Grid[#Data],$DD546,105),0)</f>
        <v/>
      </c>
      <c r="DD546" s="7">
        <f>IFERROR(MATCH($B546,PP_Grid[Intermediate],0),99999)</f>
        <v/>
      </c>
    </row>
    <row r="547">
      <c r="B547" t="inlineStr">
        <is>
          <t>使用量(kg)</t>
        </is>
      </c>
      <c r="C547">
        <f>SUMIFS(M_BOM[RM_Qty_Per_Batch],M_BOM[Intermediate],$B546,M_BOM[Part Name],$A507)</f>
        <v/>
      </c>
      <c r="D547">
        <f>$C547*D546</f>
        <v/>
      </c>
      <c r="E547">
        <f>$C547*E546</f>
        <v/>
      </c>
      <c r="F547">
        <f>$C547*F546</f>
        <v/>
      </c>
      <c r="G547">
        <f>$C547*G546</f>
        <v/>
      </c>
      <c r="H547">
        <f>$C547*H546</f>
        <v/>
      </c>
      <c r="I547">
        <f>$C547*I546</f>
        <v/>
      </c>
      <c r="J547">
        <f>$C547*J546</f>
        <v/>
      </c>
      <c r="K547">
        <f>$C547*K546</f>
        <v/>
      </c>
      <c r="L547">
        <f>$C547*L546</f>
        <v/>
      </c>
      <c r="M547">
        <f>$C547*M546</f>
        <v/>
      </c>
      <c r="N547">
        <f>$C547*N546</f>
        <v/>
      </c>
      <c r="O547">
        <f>$C547*O546</f>
        <v/>
      </c>
      <c r="P547">
        <f>$C547*P546</f>
        <v/>
      </c>
      <c r="Q547">
        <f>$C547*Q546</f>
        <v/>
      </c>
      <c r="R547">
        <f>$C547*R546</f>
        <v/>
      </c>
      <c r="S547">
        <f>$C547*S546</f>
        <v/>
      </c>
      <c r="T547">
        <f>$C547*T546</f>
        <v/>
      </c>
      <c r="U547">
        <f>$C547*U546</f>
        <v/>
      </c>
      <c r="V547">
        <f>$C547*V546</f>
        <v/>
      </c>
      <c r="W547">
        <f>$C547*W546</f>
        <v/>
      </c>
      <c r="X547">
        <f>$C547*X546</f>
        <v/>
      </c>
      <c r="Y547">
        <f>$C547*Y546</f>
        <v/>
      </c>
      <c r="Z547">
        <f>$C547*Z546</f>
        <v/>
      </c>
      <c r="AA547">
        <f>$C547*AA546</f>
        <v/>
      </c>
      <c r="AB547">
        <f>$C547*AB546</f>
        <v/>
      </c>
      <c r="AC547">
        <f>$C547*AC546</f>
        <v/>
      </c>
      <c r="AD547">
        <f>$C547*AD546</f>
        <v/>
      </c>
      <c r="AE547">
        <f>$C547*AE546</f>
        <v/>
      </c>
      <c r="AF547">
        <f>$C547*AF546</f>
        <v/>
      </c>
      <c r="AG547">
        <f>$C547*AG546</f>
        <v/>
      </c>
      <c r="AH547">
        <f>$C547*AH546</f>
        <v/>
      </c>
      <c r="AI547">
        <f>$C547*AI546</f>
        <v/>
      </c>
      <c r="AJ547">
        <f>$C547*AJ546</f>
        <v/>
      </c>
      <c r="AK547">
        <f>$C547*AK546</f>
        <v/>
      </c>
      <c r="AL547">
        <f>$C547*AL546</f>
        <v/>
      </c>
      <c r="AM547">
        <f>$C547*AM546</f>
        <v/>
      </c>
      <c r="AN547">
        <f>$C547*AN546</f>
        <v/>
      </c>
      <c r="AO547">
        <f>$C547*AO546</f>
        <v/>
      </c>
      <c r="AP547">
        <f>$C547*AP546</f>
        <v/>
      </c>
      <c r="AQ547">
        <f>$C547*AQ546</f>
        <v/>
      </c>
      <c r="AR547">
        <f>$C547*AR546</f>
        <v/>
      </c>
      <c r="AS547">
        <f>$C547*AS546</f>
        <v/>
      </c>
      <c r="AT547">
        <f>$C547*AT546</f>
        <v/>
      </c>
      <c r="AU547">
        <f>$C547*AU546</f>
        <v/>
      </c>
      <c r="AV547">
        <f>$C547*AV546</f>
        <v/>
      </c>
      <c r="AW547">
        <f>$C547*AW546</f>
        <v/>
      </c>
      <c r="AX547">
        <f>$C547*AX546</f>
        <v/>
      </c>
      <c r="AY547">
        <f>$C547*AY546</f>
        <v/>
      </c>
      <c r="AZ547">
        <f>$C547*AZ546</f>
        <v/>
      </c>
      <c r="BA547">
        <f>$C547*BA546</f>
        <v/>
      </c>
      <c r="BB547">
        <f>$C547*BB546</f>
        <v/>
      </c>
      <c r="BC547">
        <f>$C547*BC546</f>
        <v/>
      </c>
      <c r="BD547">
        <f>$C547*BD546</f>
        <v/>
      </c>
      <c r="BE547">
        <f>$C547*BE546</f>
        <v/>
      </c>
      <c r="BF547">
        <f>$C547*BF546</f>
        <v/>
      </c>
      <c r="BG547">
        <f>$C547*BG546</f>
        <v/>
      </c>
      <c r="BH547">
        <f>$C547*BH546</f>
        <v/>
      </c>
      <c r="BI547">
        <f>$C547*BI546</f>
        <v/>
      </c>
      <c r="BJ547">
        <f>$C547*BJ546</f>
        <v/>
      </c>
      <c r="BK547">
        <f>$C547*BK546</f>
        <v/>
      </c>
      <c r="BL547">
        <f>$C547*BL546</f>
        <v/>
      </c>
      <c r="BM547">
        <f>$C547*BM546</f>
        <v/>
      </c>
      <c r="BN547">
        <f>$C547*BN546</f>
        <v/>
      </c>
      <c r="BO547">
        <f>$C547*BO546</f>
        <v/>
      </c>
      <c r="BP547">
        <f>$C547*BP546</f>
        <v/>
      </c>
      <c r="BQ547">
        <f>$C547*BQ546</f>
        <v/>
      </c>
      <c r="BR547">
        <f>$C547*BR546</f>
        <v/>
      </c>
      <c r="BS547">
        <f>$C547*BS546</f>
        <v/>
      </c>
      <c r="BT547">
        <f>$C547*BT546</f>
        <v/>
      </c>
      <c r="BU547">
        <f>$C547*BU546</f>
        <v/>
      </c>
      <c r="BV547">
        <f>$C547*BV546</f>
        <v/>
      </c>
      <c r="BW547">
        <f>$C547*BW546</f>
        <v/>
      </c>
      <c r="BX547">
        <f>$C547*BX546</f>
        <v/>
      </c>
      <c r="BY547">
        <f>$C547*BY546</f>
        <v/>
      </c>
      <c r="BZ547">
        <f>$C547*BZ546</f>
        <v/>
      </c>
      <c r="CA547">
        <f>$C547*CA546</f>
        <v/>
      </c>
      <c r="CB547">
        <f>$C547*CB546</f>
        <v/>
      </c>
      <c r="CC547">
        <f>$C547*CC546</f>
        <v/>
      </c>
      <c r="CD547">
        <f>$C547*CD546</f>
        <v/>
      </c>
      <c r="CE547">
        <f>$C547*CE546</f>
        <v/>
      </c>
      <c r="CF547">
        <f>$C547*CF546</f>
        <v/>
      </c>
      <c r="CG547">
        <f>$C547*CG546</f>
        <v/>
      </c>
      <c r="CH547">
        <f>$C547*CH546</f>
        <v/>
      </c>
      <c r="CI547">
        <f>$C547*CI546</f>
        <v/>
      </c>
      <c r="CJ547">
        <f>$C547*CJ546</f>
        <v/>
      </c>
      <c r="CK547">
        <f>$C547*CK546</f>
        <v/>
      </c>
      <c r="CL547">
        <f>$C547*CL546</f>
        <v/>
      </c>
      <c r="CM547">
        <f>$C547*CM546</f>
        <v/>
      </c>
      <c r="CN547">
        <f>$C547*CN546</f>
        <v/>
      </c>
      <c r="CO547">
        <f>$C547*CO546</f>
        <v/>
      </c>
      <c r="CP547">
        <f>$C547*CP546</f>
        <v/>
      </c>
      <c r="CQ547">
        <f>$C547*CQ546</f>
        <v/>
      </c>
      <c r="CR547">
        <f>$C547*CR546</f>
        <v/>
      </c>
      <c r="CS547">
        <f>$C547*CS546</f>
        <v/>
      </c>
      <c r="CT547">
        <f>$C547*CT546</f>
        <v/>
      </c>
      <c r="CU547">
        <f>$C547*CU546</f>
        <v/>
      </c>
      <c r="CV547">
        <f>$C547*CV546</f>
        <v/>
      </c>
      <c r="CW547">
        <f>$C547*CW546</f>
        <v/>
      </c>
      <c r="CX547">
        <f>$C547*CX546</f>
        <v/>
      </c>
      <c r="CY547">
        <f>$C547*CY546</f>
        <v/>
      </c>
      <c r="CZ547">
        <f>$C547*CZ546</f>
        <v/>
      </c>
      <c r="DA547">
        <f>$C547*DA546</f>
        <v/>
      </c>
      <c r="DB547">
        <f>$C547*DB546</f>
        <v/>
      </c>
      <c r="DC547">
        <f>$C547*DC546</f>
        <v/>
      </c>
    </row>
    <row r="548">
      <c r="B548" s="4" t="inlineStr">
        <is>
          <t>合計使用量(kg)/週</t>
        </is>
      </c>
      <c r="D548">
        <f>'Grid_Requirement'!B19</f>
        <v/>
      </c>
      <c r="E548">
        <f>'Grid_Requirement'!C19</f>
        <v/>
      </c>
      <c r="F548">
        <f>'Grid_Requirement'!D19</f>
        <v/>
      </c>
      <c r="G548">
        <f>'Grid_Requirement'!E19</f>
        <v/>
      </c>
      <c r="H548">
        <f>'Grid_Requirement'!F19</f>
        <v/>
      </c>
      <c r="I548">
        <f>'Grid_Requirement'!G19</f>
        <v/>
      </c>
      <c r="J548">
        <f>'Grid_Requirement'!H19</f>
        <v/>
      </c>
      <c r="K548">
        <f>'Grid_Requirement'!I19</f>
        <v/>
      </c>
      <c r="L548">
        <f>'Grid_Requirement'!J19</f>
        <v/>
      </c>
      <c r="M548">
        <f>'Grid_Requirement'!K19</f>
        <v/>
      </c>
      <c r="N548">
        <f>'Grid_Requirement'!L19</f>
        <v/>
      </c>
      <c r="O548">
        <f>'Grid_Requirement'!M19</f>
        <v/>
      </c>
      <c r="P548">
        <f>'Grid_Requirement'!N19</f>
        <v/>
      </c>
      <c r="Q548">
        <f>'Grid_Requirement'!O19</f>
        <v/>
      </c>
      <c r="R548">
        <f>'Grid_Requirement'!P19</f>
        <v/>
      </c>
      <c r="S548">
        <f>'Grid_Requirement'!Q19</f>
        <v/>
      </c>
      <c r="T548">
        <f>'Grid_Requirement'!R19</f>
        <v/>
      </c>
      <c r="U548">
        <f>'Grid_Requirement'!S19</f>
        <v/>
      </c>
      <c r="V548">
        <f>'Grid_Requirement'!T19</f>
        <v/>
      </c>
      <c r="W548">
        <f>'Grid_Requirement'!U19</f>
        <v/>
      </c>
      <c r="X548">
        <f>'Grid_Requirement'!V19</f>
        <v/>
      </c>
      <c r="Y548">
        <f>'Grid_Requirement'!W19</f>
        <v/>
      </c>
      <c r="Z548">
        <f>'Grid_Requirement'!X19</f>
        <v/>
      </c>
      <c r="AA548">
        <f>'Grid_Requirement'!Y19</f>
        <v/>
      </c>
      <c r="AB548">
        <f>'Grid_Requirement'!Z19</f>
        <v/>
      </c>
      <c r="AC548">
        <f>'Grid_Requirement'!AA19</f>
        <v/>
      </c>
      <c r="AD548">
        <f>'Grid_Requirement'!AB19</f>
        <v/>
      </c>
      <c r="AE548">
        <f>'Grid_Requirement'!AC19</f>
        <v/>
      </c>
      <c r="AF548">
        <f>'Grid_Requirement'!AD19</f>
        <v/>
      </c>
      <c r="AG548">
        <f>'Grid_Requirement'!AE19</f>
        <v/>
      </c>
      <c r="AH548">
        <f>'Grid_Requirement'!AF19</f>
        <v/>
      </c>
      <c r="AI548">
        <f>'Grid_Requirement'!AG19</f>
        <v/>
      </c>
      <c r="AJ548">
        <f>'Grid_Requirement'!AH19</f>
        <v/>
      </c>
      <c r="AK548">
        <f>'Grid_Requirement'!AI19</f>
        <v/>
      </c>
      <c r="AL548">
        <f>'Grid_Requirement'!AJ19</f>
        <v/>
      </c>
      <c r="AM548">
        <f>'Grid_Requirement'!AK19</f>
        <v/>
      </c>
      <c r="AN548">
        <f>'Grid_Requirement'!AL19</f>
        <v/>
      </c>
      <c r="AO548">
        <f>'Grid_Requirement'!AM19</f>
        <v/>
      </c>
      <c r="AP548">
        <f>'Grid_Requirement'!AN19</f>
        <v/>
      </c>
      <c r="AQ548">
        <f>'Grid_Requirement'!AO19</f>
        <v/>
      </c>
      <c r="AR548">
        <f>'Grid_Requirement'!AP19</f>
        <v/>
      </c>
      <c r="AS548">
        <f>'Grid_Requirement'!AQ19</f>
        <v/>
      </c>
      <c r="AT548">
        <f>'Grid_Requirement'!AR19</f>
        <v/>
      </c>
      <c r="AU548">
        <f>'Grid_Requirement'!AS19</f>
        <v/>
      </c>
      <c r="AV548">
        <f>'Grid_Requirement'!AT19</f>
        <v/>
      </c>
      <c r="AW548">
        <f>'Grid_Requirement'!AU19</f>
        <v/>
      </c>
      <c r="AX548">
        <f>'Grid_Requirement'!AV19</f>
        <v/>
      </c>
      <c r="AY548">
        <f>'Grid_Requirement'!AW19</f>
        <v/>
      </c>
      <c r="AZ548">
        <f>'Grid_Requirement'!AX19</f>
        <v/>
      </c>
      <c r="BA548">
        <f>'Grid_Requirement'!AY19</f>
        <v/>
      </c>
      <c r="BB548">
        <f>'Grid_Requirement'!AZ19</f>
        <v/>
      </c>
      <c r="BC548">
        <f>'Grid_Requirement'!BA19</f>
        <v/>
      </c>
      <c r="BD548">
        <f>'Grid_Requirement'!BB19</f>
        <v/>
      </c>
      <c r="BE548">
        <f>'Grid_Requirement'!BC19</f>
        <v/>
      </c>
      <c r="BF548">
        <f>'Grid_Requirement'!BD19</f>
        <v/>
      </c>
      <c r="BG548">
        <f>'Grid_Requirement'!BE19</f>
        <v/>
      </c>
      <c r="BH548">
        <f>'Grid_Requirement'!BF19</f>
        <v/>
      </c>
      <c r="BI548">
        <f>'Grid_Requirement'!BG19</f>
        <v/>
      </c>
      <c r="BJ548">
        <f>'Grid_Requirement'!BH19</f>
        <v/>
      </c>
      <c r="BK548">
        <f>'Grid_Requirement'!BI19</f>
        <v/>
      </c>
      <c r="BL548">
        <f>'Grid_Requirement'!BJ19</f>
        <v/>
      </c>
      <c r="BM548">
        <f>'Grid_Requirement'!BK19</f>
        <v/>
      </c>
      <c r="BN548">
        <f>'Grid_Requirement'!BL19</f>
        <v/>
      </c>
      <c r="BO548">
        <f>'Grid_Requirement'!BM19</f>
        <v/>
      </c>
      <c r="BP548">
        <f>'Grid_Requirement'!BN19</f>
        <v/>
      </c>
      <c r="BQ548">
        <f>'Grid_Requirement'!BO19</f>
        <v/>
      </c>
      <c r="BR548">
        <f>'Grid_Requirement'!BP19</f>
        <v/>
      </c>
      <c r="BS548">
        <f>'Grid_Requirement'!BQ19</f>
        <v/>
      </c>
      <c r="BT548">
        <f>'Grid_Requirement'!BR19</f>
        <v/>
      </c>
      <c r="BU548">
        <f>'Grid_Requirement'!BS19</f>
        <v/>
      </c>
      <c r="BV548">
        <f>'Grid_Requirement'!BT19</f>
        <v/>
      </c>
      <c r="BW548">
        <f>'Grid_Requirement'!BU19</f>
        <v/>
      </c>
      <c r="BX548">
        <f>'Grid_Requirement'!BV19</f>
        <v/>
      </c>
      <c r="BY548">
        <f>'Grid_Requirement'!BW19</f>
        <v/>
      </c>
      <c r="BZ548">
        <f>'Grid_Requirement'!BX19</f>
        <v/>
      </c>
      <c r="CA548">
        <f>'Grid_Requirement'!BY19</f>
        <v/>
      </c>
      <c r="CB548">
        <f>'Grid_Requirement'!BZ19</f>
        <v/>
      </c>
      <c r="CC548">
        <f>'Grid_Requirement'!CA19</f>
        <v/>
      </c>
      <c r="CD548">
        <f>'Grid_Requirement'!CB19</f>
        <v/>
      </c>
      <c r="CE548">
        <f>'Grid_Requirement'!CC19</f>
        <v/>
      </c>
      <c r="CF548">
        <f>'Grid_Requirement'!CD19</f>
        <v/>
      </c>
      <c r="CG548">
        <f>'Grid_Requirement'!CE19</f>
        <v/>
      </c>
      <c r="CH548">
        <f>'Grid_Requirement'!CF19</f>
        <v/>
      </c>
      <c r="CI548">
        <f>'Grid_Requirement'!CG19</f>
        <v/>
      </c>
      <c r="CJ548">
        <f>'Grid_Requirement'!CH19</f>
        <v/>
      </c>
      <c r="CK548">
        <f>'Grid_Requirement'!CI19</f>
        <v/>
      </c>
      <c r="CL548">
        <f>'Grid_Requirement'!CJ19</f>
        <v/>
      </c>
      <c r="CM548">
        <f>'Grid_Requirement'!CK19</f>
        <v/>
      </c>
      <c r="CN548">
        <f>'Grid_Requirement'!CL19</f>
        <v/>
      </c>
      <c r="CO548">
        <f>'Grid_Requirement'!CM19</f>
        <v/>
      </c>
      <c r="CP548">
        <f>'Grid_Requirement'!CN19</f>
        <v/>
      </c>
      <c r="CQ548">
        <f>'Grid_Requirement'!CO19</f>
        <v/>
      </c>
      <c r="CR548">
        <f>'Grid_Requirement'!CP19</f>
        <v/>
      </c>
      <c r="CS548">
        <f>'Grid_Requirement'!CQ19</f>
        <v/>
      </c>
      <c r="CT548">
        <f>'Grid_Requirement'!CR19</f>
        <v/>
      </c>
      <c r="CU548">
        <f>'Grid_Requirement'!CS19</f>
        <v/>
      </c>
      <c r="CV548">
        <f>'Grid_Requirement'!CT19</f>
        <v/>
      </c>
      <c r="CW548">
        <f>'Grid_Requirement'!CU19</f>
        <v/>
      </c>
      <c r="CX548">
        <f>'Grid_Requirement'!CV19</f>
        <v/>
      </c>
      <c r="CY548">
        <f>'Grid_Requirement'!CW19</f>
        <v/>
      </c>
      <c r="CZ548">
        <f>'Grid_Requirement'!CX19</f>
        <v/>
      </c>
      <c r="DA548">
        <f>'Grid_Requirement'!CY19</f>
        <v/>
      </c>
      <c r="DB548">
        <f>'Grid_Requirement'!CZ19</f>
        <v/>
      </c>
      <c r="DC548">
        <f>'Grid_Requirement'!DA19</f>
        <v/>
      </c>
    </row>
    <row r="549">
      <c r="B549" t="inlineStr">
        <is>
          <t>TTAF在庫(実績,kg)</t>
        </is>
      </c>
      <c r="D549">
        <f>'T_TTAFStock'!B23</f>
        <v/>
      </c>
      <c r="E549">
        <f>'T_TTAFStock'!C23</f>
        <v/>
      </c>
      <c r="F549">
        <f>'T_TTAFStock'!D23</f>
        <v/>
      </c>
      <c r="G549">
        <f>'T_TTAFStock'!E23</f>
        <v/>
      </c>
      <c r="H549">
        <f>'T_TTAFStock'!F23</f>
        <v/>
      </c>
      <c r="I549">
        <f>'T_TTAFStock'!G23</f>
        <v/>
      </c>
      <c r="J549">
        <f>'T_TTAFStock'!H23</f>
        <v/>
      </c>
      <c r="K549">
        <f>'T_TTAFStock'!I23</f>
        <v/>
      </c>
      <c r="L549">
        <f>'T_TTAFStock'!J23</f>
        <v/>
      </c>
      <c r="M549">
        <f>'T_TTAFStock'!K23</f>
        <v/>
      </c>
      <c r="N549">
        <f>'T_TTAFStock'!L23</f>
        <v/>
      </c>
      <c r="O549">
        <f>'T_TTAFStock'!M23</f>
        <v/>
      </c>
      <c r="P549">
        <f>'T_TTAFStock'!N23</f>
        <v/>
      </c>
      <c r="Q549">
        <f>'T_TTAFStock'!O23</f>
        <v/>
      </c>
      <c r="R549">
        <f>'T_TTAFStock'!P23</f>
        <v/>
      </c>
      <c r="S549">
        <f>'T_TTAFStock'!Q23</f>
        <v/>
      </c>
      <c r="T549">
        <f>'T_TTAFStock'!R23</f>
        <v/>
      </c>
      <c r="U549">
        <f>'T_TTAFStock'!S23</f>
        <v/>
      </c>
      <c r="V549">
        <f>'T_TTAFStock'!T23</f>
        <v/>
      </c>
      <c r="W549">
        <f>'T_TTAFStock'!U23</f>
        <v/>
      </c>
      <c r="X549">
        <f>'T_TTAFStock'!V23</f>
        <v/>
      </c>
      <c r="Y549">
        <f>'T_TTAFStock'!W23</f>
        <v/>
      </c>
      <c r="Z549">
        <f>'T_TTAFStock'!X23</f>
        <v/>
      </c>
      <c r="AA549">
        <f>'T_TTAFStock'!Y23</f>
        <v/>
      </c>
      <c r="AB549">
        <f>'T_TTAFStock'!Z23</f>
        <v/>
      </c>
      <c r="AC549">
        <f>'T_TTAFStock'!AA23</f>
        <v/>
      </c>
      <c r="AD549">
        <f>'T_TTAFStock'!AB23</f>
        <v/>
      </c>
      <c r="AE549">
        <f>'T_TTAFStock'!AC23</f>
        <v/>
      </c>
      <c r="AF549">
        <f>'T_TTAFStock'!AD23</f>
        <v/>
      </c>
      <c r="AG549">
        <f>'T_TTAFStock'!AE23</f>
        <v/>
      </c>
      <c r="AH549">
        <f>'T_TTAFStock'!AF23</f>
        <v/>
      </c>
      <c r="AI549">
        <f>'T_TTAFStock'!AG23</f>
        <v/>
      </c>
      <c r="AJ549">
        <f>'T_TTAFStock'!AH23</f>
        <v/>
      </c>
      <c r="AK549">
        <f>'T_TTAFStock'!AI23</f>
        <v/>
      </c>
      <c r="AL549">
        <f>'T_TTAFStock'!AJ23</f>
        <v/>
      </c>
      <c r="AM549">
        <f>'T_TTAFStock'!AK23</f>
        <v/>
      </c>
      <c r="AN549">
        <f>'T_TTAFStock'!AL23</f>
        <v/>
      </c>
      <c r="AO549">
        <f>'T_TTAFStock'!AM23</f>
        <v/>
      </c>
      <c r="AP549">
        <f>'T_TTAFStock'!AN23</f>
        <v/>
      </c>
      <c r="AQ549">
        <f>'T_TTAFStock'!AO23</f>
        <v/>
      </c>
      <c r="AR549">
        <f>'T_TTAFStock'!AP23</f>
        <v/>
      </c>
      <c r="AS549">
        <f>'T_TTAFStock'!AQ23</f>
        <v/>
      </c>
      <c r="AT549">
        <f>'T_TTAFStock'!AR23</f>
        <v/>
      </c>
      <c r="AU549">
        <f>'T_TTAFStock'!AS23</f>
        <v/>
      </c>
      <c r="AV549">
        <f>'T_TTAFStock'!AT23</f>
        <v/>
      </c>
      <c r="AW549">
        <f>'T_TTAFStock'!AU23</f>
        <v/>
      </c>
      <c r="AX549">
        <f>'T_TTAFStock'!AV23</f>
        <v/>
      </c>
      <c r="AY549">
        <f>'T_TTAFStock'!AW23</f>
        <v/>
      </c>
      <c r="AZ549">
        <f>'T_TTAFStock'!AX23</f>
        <v/>
      </c>
      <c r="BA549">
        <f>'T_TTAFStock'!AY23</f>
        <v/>
      </c>
      <c r="BB549">
        <f>'T_TTAFStock'!AZ23</f>
        <v/>
      </c>
      <c r="BC549">
        <f>'T_TTAFStock'!BA23</f>
        <v/>
      </c>
      <c r="BD549">
        <f>'T_TTAFStock'!BB23</f>
        <v/>
      </c>
      <c r="BE549">
        <f>'T_TTAFStock'!BC23</f>
        <v/>
      </c>
      <c r="BF549">
        <f>'T_TTAFStock'!BD23</f>
        <v/>
      </c>
      <c r="BG549">
        <f>'T_TTAFStock'!BE23</f>
        <v/>
      </c>
      <c r="BH549">
        <f>'T_TTAFStock'!BF23</f>
        <v/>
      </c>
      <c r="BI549">
        <f>'T_TTAFStock'!BG23</f>
        <v/>
      </c>
      <c r="BJ549">
        <f>'T_TTAFStock'!BH23</f>
        <v/>
      </c>
      <c r="BK549">
        <f>'T_TTAFStock'!BI23</f>
        <v/>
      </c>
      <c r="BL549">
        <f>'T_TTAFStock'!BJ23</f>
        <v/>
      </c>
      <c r="BM549">
        <f>'T_TTAFStock'!BK23</f>
        <v/>
      </c>
      <c r="BN549">
        <f>'T_TTAFStock'!BL23</f>
        <v/>
      </c>
      <c r="BO549">
        <f>'T_TTAFStock'!BM23</f>
        <v/>
      </c>
      <c r="BP549">
        <f>'T_TTAFStock'!BN23</f>
        <v/>
      </c>
      <c r="BQ549">
        <f>'T_TTAFStock'!BO23</f>
        <v/>
      </c>
      <c r="BR549">
        <f>'T_TTAFStock'!BP23</f>
        <v/>
      </c>
      <c r="BS549">
        <f>'T_TTAFStock'!BQ23</f>
        <v/>
      </c>
      <c r="BT549">
        <f>'T_TTAFStock'!BR23</f>
        <v/>
      </c>
      <c r="BU549">
        <f>'T_TTAFStock'!BS23</f>
        <v/>
      </c>
      <c r="BV549">
        <f>'T_TTAFStock'!BT23</f>
        <v/>
      </c>
      <c r="BW549">
        <f>'T_TTAFStock'!BU23</f>
        <v/>
      </c>
      <c r="BX549">
        <f>'T_TTAFStock'!BV23</f>
        <v/>
      </c>
      <c r="BY549">
        <f>'T_TTAFStock'!BW23</f>
        <v/>
      </c>
      <c r="BZ549">
        <f>'T_TTAFStock'!BX23</f>
        <v/>
      </c>
      <c r="CA549">
        <f>'T_TTAFStock'!BY23</f>
        <v/>
      </c>
      <c r="CB549">
        <f>'T_TTAFStock'!BZ23</f>
        <v/>
      </c>
      <c r="CC549">
        <f>'T_TTAFStock'!CA23</f>
        <v/>
      </c>
      <c r="CD549">
        <f>'T_TTAFStock'!CB23</f>
        <v/>
      </c>
      <c r="CE549">
        <f>'T_TTAFStock'!CC23</f>
        <v/>
      </c>
      <c r="CF549">
        <f>'T_TTAFStock'!CD23</f>
        <v/>
      </c>
      <c r="CG549">
        <f>'T_TTAFStock'!CE23</f>
        <v/>
      </c>
      <c r="CH549">
        <f>'T_TTAFStock'!CF23</f>
        <v/>
      </c>
      <c r="CI549">
        <f>'T_TTAFStock'!CG23</f>
        <v/>
      </c>
      <c r="CJ549">
        <f>'T_TTAFStock'!CH23</f>
        <v/>
      </c>
      <c r="CK549">
        <f>'T_TTAFStock'!CI23</f>
        <v/>
      </c>
      <c r="CL549">
        <f>'T_TTAFStock'!CJ23</f>
        <v/>
      </c>
      <c r="CM549">
        <f>'T_TTAFStock'!CK23</f>
        <v/>
      </c>
      <c r="CN549">
        <f>'T_TTAFStock'!CL23</f>
        <v/>
      </c>
      <c r="CO549">
        <f>'T_TTAFStock'!CM23</f>
        <v/>
      </c>
      <c r="CP549">
        <f>'T_TTAFStock'!CN23</f>
        <v/>
      </c>
      <c r="CQ549">
        <f>'T_TTAFStock'!CO23</f>
        <v/>
      </c>
      <c r="CR549">
        <f>'T_TTAFStock'!CP23</f>
        <v/>
      </c>
      <c r="CS549">
        <f>'T_TTAFStock'!CQ23</f>
        <v/>
      </c>
      <c r="CT549">
        <f>'T_TTAFStock'!CR23</f>
        <v/>
      </c>
      <c r="CU549">
        <f>'T_TTAFStock'!CS23</f>
        <v/>
      </c>
      <c r="CV549">
        <f>'T_TTAFStock'!CT23</f>
        <v/>
      </c>
      <c r="CW549">
        <f>'T_TTAFStock'!CU23</f>
        <v/>
      </c>
      <c r="CX549">
        <f>'T_TTAFStock'!CV23</f>
        <v/>
      </c>
      <c r="CY549">
        <f>'T_TTAFStock'!CW23</f>
        <v/>
      </c>
      <c r="CZ549">
        <f>'T_TTAFStock'!CX23</f>
        <v/>
      </c>
      <c r="DA549">
        <f>'T_TTAFStock'!CY23</f>
        <v/>
      </c>
      <c r="DB549">
        <f>'T_TTAFStock'!CZ23</f>
        <v/>
      </c>
      <c r="DC549">
        <f>'T_TTAFStock'!DA23</f>
        <v/>
      </c>
    </row>
    <row r="550">
      <c r="B550" t="inlineStr">
        <is>
          <t>自社在庫(実績,kg)</t>
        </is>
      </c>
      <c r="D550">
        <f>'T_SelfStock'!B23</f>
        <v/>
      </c>
      <c r="E550">
        <f>'T_SelfStock'!C23</f>
        <v/>
      </c>
      <c r="F550">
        <f>'T_SelfStock'!D23</f>
        <v/>
      </c>
      <c r="G550">
        <f>'T_SelfStock'!E23</f>
        <v/>
      </c>
      <c r="H550">
        <f>'T_SelfStock'!F23</f>
        <v/>
      </c>
      <c r="I550">
        <f>'T_SelfStock'!G23</f>
        <v/>
      </c>
      <c r="J550">
        <f>'T_SelfStock'!H23</f>
        <v/>
      </c>
      <c r="K550">
        <f>'T_SelfStock'!I23</f>
        <v/>
      </c>
      <c r="L550">
        <f>'T_SelfStock'!J23</f>
        <v/>
      </c>
      <c r="M550">
        <f>'T_SelfStock'!K23</f>
        <v/>
      </c>
      <c r="N550">
        <f>'T_SelfStock'!L23</f>
        <v/>
      </c>
      <c r="O550">
        <f>'T_SelfStock'!M23</f>
        <v/>
      </c>
      <c r="P550">
        <f>'T_SelfStock'!N23</f>
        <v/>
      </c>
      <c r="Q550">
        <f>'T_SelfStock'!O23</f>
        <v/>
      </c>
      <c r="R550">
        <f>'T_SelfStock'!P23</f>
        <v/>
      </c>
      <c r="S550">
        <f>'T_SelfStock'!Q23</f>
        <v/>
      </c>
      <c r="T550">
        <f>'T_SelfStock'!R23</f>
        <v/>
      </c>
      <c r="U550">
        <f>'T_SelfStock'!S23</f>
        <v/>
      </c>
      <c r="V550">
        <f>'T_SelfStock'!T23</f>
        <v/>
      </c>
      <c r="W550">
        <f>'T_SelfStock'!U23</f>
        <v/>
      </c>
      <c r="X550">
        <f>'T_SelfStock'!V23</f>
        <v/>
      </c>
      <c r="Y550">
        <f>'T_SelfStock'!W23</f>
        <v/>
      </c>
      <c r="Z550">
        <f>'T_SelfStock'!X23</f>
        <v/>
      </c>
      <c r="AA550">
        <f>'T_SelfStock'!Y23</f>
        <v/>
      </c>
      <c r="AB550">
        <f>'T_SelfStock'!Z23</f>
        <v/>
      </c>
      <c r="AC550">
        <f>'T_SelfStock'!AA23</f>
        <v/>
      </c>
      <c r="AD550">
        <f>'T_SelfStock'!AB23</f>
        <v/>
      </c>
      <c r="AE550">
        <f>'T_SelfStock'!AC23</f>
        <v/>
      </c>
      <c r="AF550">
        <f>'T_SelfStock'!AD23</f>
        <v/>
      </c>
      <c r="AG550">
        <f>'T_SelfStock'!AE23</f>
        <v/>
      </c>
      <c r="AH550">
        <f>'T_SelfStock'!AF23</f>
        <v/>
      </c>
      <c r="AI550">
        <f>'T_SelfStock'!AG23</f>
        <v/>
      </c>
      <c r="AJ550">
        <f>'T_SelfStock'!AH23</f>
        <v/>
      </c>
      <c r="AK550">
        <f>'T_SelfStock'!AI23</f>
        <v/>
      </c>
      <c r="AL550">
        <f>'T_SelfStock'!AJ23</f>
        <v/>
      </c>
      <c r="AM550">
        <f>'T_SelfStock'!AK23</f>
        <v/>
      </c>
      <c r="AN550">
        <f>'T_SelfStock'!AL23</f>
        <v/>
      </c>
      <c r="AO550">
        <f>'T_SelfStock'!AM23</f>
        <v/>
      </c>
      <c r="AP550">
        <f>'T_SelfStock'!AN23</f>
        <v/>
      </c>
      <c r="AQ550">
        <f>'T_SelfStock'!AO23</f>
        <v/>
      </c>
      <c r="AR550">
        <f>'T_SelfStock'!AP23</f>
        <v/>
      </c>
      <c r="AS550">
        <f>'T_SelfStock'!AQ23</f>
        <v/>
      </c>
      <c r="AT550">
        <f>'T_SelfStock'!AR23</f>
        <v/>
      </c>
      <c r="AU550">
        <f>'T_SelfStock'!AS23</f>
        <v/>
      </c>
      <c r="AV550">
        <f>'T_SelfStock'!AT23</f>
        <v/>
      </c>
      <c r="AW550">
        <f>'T_SelfStock'!AU23</f>
        <v/>
      </c>
      <c r="AX550">
        <f>'T_SelfStock'!AV23</f>
        <v/>
      </c>
      <c r="AY550">
        <f>'T_SelfStock'!AW23</f>
        <v/>
      </c>
      <c r="AZ550">
        <f>'T_SelfStock'!AX23</f>
        <v/>
      </c>
      <c r="BA550">
        <f>'T_SelfStock'!AY23</f>
        <v/>
      </c>
      <c r="BB550">
        <f>'T_SelfStock'!AZ23</f>
        <v/>
      </c>
      <c r="BC550">
        <f>'T_SelfStock'!BA23</f>
        <v/>
      </c>
      <c r="BD550">
        <f>'T_SelfStock'!BB23</f>
        <v/>
      </c>
      <c r="BE550">
        <f>'T_SelfStock'!BC23</f>
        <v/>
      </c>
      <c r="BF550">
        <f>'T_SelfStock'!BD23</f>
        <v/>
      </c>
      <c r="BG550">
        <f>'T_SelfStock'!BE23</f>
        <v/>
      </c>
      <c r="BH550">
        <f>'T_SelfStock'!BF23</f>
        <v/>
      </c>
      <c r="BI550">
        <f>'T_SelfStock'!BG23</f>
        <v/>
      </c>
      <c r="BJ550">
        <f>'T_SelfStock'!BH23</f>
        <v/>
      </c>
      <c r="BK550">
        <f>'T_SelfStock'!BI23</f>
        <v/>
      </c>
      <c r="BL550">
        <f>'T_SelfStock'!BJ23</f>
        <v/>
      </c>
      <c r="BM550">
        <f>'T_SelfStock'!BK23</f>
        <v/>
      </c>
      <c r="BN550">
        <f>'T_SelfStock'!BL23</f>
        <v/>
      </c>
      <c r="BO550">
        <f>'T_SelfStock'!BM23</f>
        <v/>
      </c>
      <c r="BP550">
        <f>'T_SelfStock'!BN23</f>
        <v/>
      </c>
      <c r="BQ550">
        <f>'T_SelfStock'!BO23</f>
        <v/>
      </c>
      <c r="BR550">
        <f>'T_SelfStock'!BP23</f>
        <v/>
      </c>
      <c r="BS550">
        <f>'T_SelfStock'!BQ23</f>
        <v/>
      </c>
      <c r="BT550">
        <f>'T_SelfStock'!BR23</f>
        <v/>
      </c>
      <c r="BU550">
        <f>'T_SelfStock'!BS23</f>
        <v/>
      </c>
      <c r="BV550">
        <f>'T_SelfStock'!BT23</f>
        <v/>
      </c>
      <c r="BW550">
        <f>'T_SelfStock'!BU23</f>
        <v/>
      </c>
      <c r="BX550">
        <f>'T_SelfStock'!BV23</f>
        <v/>
      </c>
      <c r="BY550">
        <f>'T_SelfStock'!BW23</f>
        <v/>
      </c>
      <c r="BZ550">
        <f>'T_SelfStock'!BX23</f>
        <v/>
      </c>
      <c r="CA550">
        <f>'T_SelfStock'!BY23</f>
        <v/>
      </c>
      <c r="CB550">
        <f>'T_SelfStock'!BZ23</f>
        <v/>
      </c>
      <c r="CC550">
        <f>'T_SelfStock'!CA23</f>
        <v/>
      </c>
      <c r="CD550">
        <f>'T_SelfStock'!CB23</f>
        <v/>
      </c>
      <c r="CE550">
        <f>'T_SelfStock'!CC23</f>
        <v/>
      </c>
      <c r="CF550">
        <f>'T_SelfStock'!CD23</f>
        <v/>
      </c>
      <c r="CG550">
        <f>'T_SelfStock'!CE23</f>
        <v/>
      </c>
      <c r="CH550">
        <f>'T_SelfStock'!CF23</f>
        <v/>
      </c>
      <c r="CI550">
        <f>'T_SelfStock'!CG23</f>
        <v/>
      </c>
      <c r="CJ550">
        <f>'T_SelfStock'!CH23</f>
        <v/>
      </c>
      <c r="CK550">
        <f>'T_SelfStock'!CI23</f>
        <v/>
      </c>
      <c r="CL550">
        <f>'T_SelfStock'!CJ23</f>
        <v/>
      </c>
      <c r="CM550">
        <f>'T_SelfStock'!CK23</f>
        <v/>
      </c>
      <c r="CN550">
        <f>'T_SelfStock'!CL23</f>
        <v/>
      </c>
      <c r="CO550">
        <f>'T_SelfStock'!CM23</f>
        <v/>
      </c>
      <c r="CP550">
        <f>'T_SelfStock'!CN23</f>
        <v/>
      </c>
      <c r="CQ550">
        <f>'T_SelfStock'!CO23</f>
        <v/>
      </c>
      <c r="CR550">
        <f>'T_SelfStock'!CP23</f>
        <v/>
      </c>
      <c r="CS550">
        <f>'T_SelfStock'!CQ23</f>
        <v/>
      </c>
      <c r="CT550">
        <f>'T_SelfStock'!CR23</f>
        <v/>
      </c>
      <c r="CU550">
        <f>'T_SelfStock'!CS23</f>
        <v/>
      </c>
      <c r="CV550">
        <f>'T_SelfStock'!CT23</f>
        <v/>
      </c>
      <c r="CW550">
        <f>'T_SelfStock'!CU23</f>
        <v/>
      </c>
      <c r="CX550">
        <f>'T_SelfStock'!CV23</f>
        <v/>
      </c>
      <c r="CY550">
        <f>'T_SelfStock'!CW23</f>
        <v/>
      </c>
      <c r="CZ550">
        <f>'T_SelfStock'!CX23</f>
        <v/>
      </c>
      <c r="DA550">
        <f>'T_SelfStock'!CY23</f>
        <v/>
      </c>
      <c r="DB550">
        <f>'T_SelfStock'!CZ23</f>
        <v/>
      </c>
      <c r="DC550">
        <f>'T_SelfStock'!DA23</f>
        <v/>
      </c>
    </row>
    <row r="551">
      <c r="B551" t="inlineStr">
        <is>
          <t>Order(発注予定,kg)</t>
        </is>
      </c>
      <c r="D551">
        <f>IF(SUMIFS(T_PlannedOrders[EffectiveQty],T_PlannedOrders[Part Name],$A507,T_PlannedOrders[WeekIndex],1)=0,"",SUMIFS(T_PlannedOrders[EffectiveQty],T_PlannedOrders[Part Name],$A507,T_PlannedOrders[WeekIndex],1)&amp;" ("&amp;TEXT(SUMPRODUCT(MAX((T_PlannedOrders[Part Name]=$A507)*(T_PlannedOrders[WeekIndex]=1)*(T_PlannedOrders[EffectiveQty]&gt;0)*T_PlannedOrders[Order_Month])),"m月")&amp;"発注)")</f>
        <v/>
      </c>
      <c r="E551">
        <f>IF(SUMIFS(T_PlannedOrders[EffectiveQty],T_PlannedOrders[Part Name],$A507,T_PlannedOrders[WeekIndex],2)=0,"",SUMIFS(T_PlannedOrders[EffectiveQty],T_PlannedOrders[Part Name],$A507,T_PlannedOrders[WeekIndex],2)&amp;" ("&amp;TEXT(SUMPRODUCT(MAX((T_PlannedOrders[Part Name]=$A507)*(T_PlannedOrders[WeekIndex]=2)*(T_PlannedOrders[EffectiveQty]&gt;0)*T_PlannedOrders[Order_Month])),"m月")&amp;"発注)")</f>
        <v/>
      </c>
      <c r="F551">
        <f>IF(SUMIFS(T_PlannedOrders[EffectiveQty],T_PlannedOrders[Part Name],$A507,T_PlannedOrders[WeekIndex],3)=0,"",SUMIFS(T_PlannedOrders[EffectiveQty],T_PlannedOrders[Part Name],$A507,T_PlannedOrders[WeekIndex],3)&amp;" ("&amp;TEXT(SUMPRODUCT(MAX((T_PlannedOrders[Part Name]=$A507)*(T_PlannedOrders[WeekIndex]=3)*(T_PlannedOrders[EffectiveQty]&gt;0)*T_PlannedOrders[Order_Month])),"m月")&amp;"発注)")</f>
        <v/>
      </c>
      <c r="G551">
        <f>IF(SUMIFS(T_PlannedOrders[EffectiveQty],T_PlannedOrders[Part Name],$A507,T_PlannedOrders[WeekIndex],4)=0,"",SUMIFS(T_PlannedOrders[EffectiveQty],T_PlannedOrders[Part Name],$A507,T_PlannedOrders[WeekIndex],4)&amp;" ("&amp;TEXT(SUMPRODUCT(MAX((T_PlannedOrders[Part Name]=$A507)*(T_PlannedOrders[WeekIndex]=4)*(T_PlannedOrders[EffectiveQty]&gt;0)*T_PlannedOrders[Order_Month])),"m月")&amp;"発注)")</f>
        <v/>
      </c>
      <c r="H551">
        <f>IF(SUMIFS(T_PlannedOrders[EffectiveQty],T_PlannedOrders[Part Name],$A507,T_PlannedOrders[WeekIndex],5)=0,"",SUMIFS(T_PlannedOrders[EffectiveQty],T_PlannedOrders[Part Name],$A507,T_PlannedOrders[WeekIndex],5)&amp;" ("&amp;TEXT(SUMPRODUCT(MAX((T_PlannedOrders[Part Name]=$A507)*(T_PlannedOrders[WeekIndex]=5)*(T_PlannedOrders[EffectiveQty]&gt;0)*T_PlannedOrders[Order_Month])),"m月")&amp;"発注)")</f>
        <v/>
      </c>
      <c r="I551">
        <f>IF(SUMIFS(T_PlannedOrders[EffectiveQty],T_PlannedOrders[Part Name],$A507,T_PlannedOrders[WeekIndex],6)=0,"",SUMIFS(T_PlannedOrders[EffectiveQty],T_PlannedOrders[Part Name],$A507,T_PlannedOrders[WeekIndex],6)&amp;" ("&amp;TEXT(SUMPRODUCT(MAX((T_PlannedOrders[Part Name]=$A507)*(T_PlannedOrders[WeekIndex]=6)*(T_PlannedOrders[EffectiveQty]&gt;0)*T_PlannedOrders[Order_Month])),"m月")&amp;"発注)")</f>
        <v/>
      </c>
      <c r="J551">
        <f>IF(SUMIFS(T_PlannedOrders[EffectiveQty],T_PlannedOrders[Part Name],$A507,T_PlannedOrders[WeekIndex],7)=0,"",SUMIFS(T_PlannedOrders[EffectiveQty],T_PlannedOrders[Part Name],$A507,T_PlannedOrders[WeekIndex],7)&amp;" ("&amp;TEXT(SUMPRODUCT(MAX((T_PlannedOrders[Part Name]=$A507)*(T_PlannedOrders[WeekIndex]=7)*(T_PlannedOrders[EffectiveQty]&gt;0)*T_PlannedOrders[Order_Month])),"m月")&amp;"発注)")</f>
        <v/>
      </c>
      <c r="K551">
        <f>IF(SUMIFS(T_PlannedOrders[EffectiveQty],T_PlannedOrders[Part Name],$A507,T_PlannedOrders[WeekIndex],8)=0,"",SUMIFS(T_PlannedOrders[EffectiveQty],T_PlannedOrders[Part Name],$A507,T_PlannedOrders[WeekIndex],8)&amp;" ("&amp;TEXT(SUMPRODUCT(MAX((T_PlannedOrders[Part Name]=$A507)*(T_PlannedOrders[WeekIndex]=8)*(T_PlannedOrders[EffectiveQty]&gt;0)*T_PlannedOrders[Order_Month])),"m月")&amp;"発注)")</f>
        <v/>
      </c>
      <c r="L551">
        <f>IF(SUMIFS(T_PlannedOrders[EffectiveQty],T_PlannedOrders[Part Name],$A507,T_PlannedOrders[WeekIndex],9)=0,"",SUMIFS(T_PlannedOrders[EffectiveQty],T_PlannedOrders[Part Name],$A507,T_PlannedOrders[WeekIndex],9)&amp;" ("&amp;TEXT(SUMPRODUCT(MAX((T_PlannedOrders[Part Name]=$A507)*(T_PlannedOrders[WeekIndex]=9)*(T_PlannedOrders[EffectiveQty]&gt;0)*T_PlannedOrders[Order_Month])),"m月")&amp;"発注)")</f>
        <v/>
      </c>
      <c r="M551">
        <f>IF(SUMIFS(T_PlannedOrders[EffectiveQty],T_PlannedOrders[Part Name],$A507,T_PlannedOrders[WeekIndex],10)=0,"",SUMIFS(T_PlannedOrders[EffectiveQty],T_PlannedOrders[Part Name],$A507,T_PlannedOrders[WeekIndex],10)&amp;" ("&amp;TEXT(SUMPRODUCT(MAX((T_PlannedOrders[Part Name]=$A507)*(T_PlannedOrders[WeekIndex]=10)*(T_PlannedOrders[EffectiveQty]&gt;0)*T_PlannedOrders[Order_Month])),"m月")&amp;"発注)")</f>
        <v/>
      </c>
      <c r="N551">
        <f>IF(SUMIFS(T_PlannedOrders[EffectiveQty],T_PlannedOrders[Part Name],$A507,T_PlannedOrders[WeekIndex],11)=0,"",SUMIFS(T_PlannedOrders[EffectiveQty],T_PlannedOrders[Part Name],$A507,T_PlannedOrders[WeekIndex],11)&amp;" ("&amp;TEXT(SUMPRODUCT(MAX((T_PlannedOrders[Part Name]=$A507)*(T_PlannedOrders[WeekIndex]=11)*(T_PlannedOrders[EffectiveQty]&gt;0)*T_PlannedOrders[Order_Month])),"m月")&amp;"発注)")</f>
        <v/>
      </c>
      <c r="O551">
        <f>IF(SUMIFS(T_PlannedOrders[EffectiveQty],T_PlannedOrders[Part Name],$A507,T_PlannedOrders[WeekIndex],12)=0,"",SUMIFS(T_PlannedOrders[EffectiveQty],T_PlannedOrders[Part Name],$A507,T_PlannedOrders[WeekIndex],12)&amp;" ("&amp;TEXT(SUMPRODUCT(MAX((T_PlannedOrders[Part Name]=$A507)*(T_PlannedOrders[WeekIndex]=12)*(T_PlannedOrders[EffectiveQty]&gt;0)*T_PlannedOrders[Order_Month])),"m月")&amp;"発注)")</f>
        <v/>
      </c>
      <c r="P551">
        <f>IF(SUMIFS(T_PlannedOrders[EffectiveQty],T_PlannedOrders[Part Name],$A507,T_PlannedOrders[WeekIndex],13)=0,"",SUMIFS(T_PlannedOrders[EffectiveQty],T_PlannedOrders[Part Name],$A507,T_PlannedOrders[WeekIndex],13)&amp;" ("&amp;TEXT(SUMPRODUCT(MAX((T_PlannedOrders[Part Name]=$A507)*(T_PlannedOrders[WeekIndex]=13)*(T_PlannedOrders[EffectiveQty]&gt;0)*T_PlannedOrders[Order_Month])),"m月")&amp;"発注)")</f>
        <v/>
      </c>
      <c r="Q551">
        <f>IF(SUMIFS(T_PlannedOrders[EffectiveQty],T_PlannedOrders[Part Name],$A507,T_PlannedOrders[WeekIndex],14)=0,"",SUMIFS(T_PlannedOrders[EffectiveQty],T_PlannedOrders[Part Name],$A507,T_PlannedOrders[WeekIndex],14)&amp;" ("&amp;TEXT(SUMPRODUCT(MAX((T_PlannedOrders[Part Name]=$A507)*(T_PlannedOrders[WeekIndex]=14)*(T_PlannedOrders[EffectiveQty]&gt;0)*T_PlannedOrders[Order_Month])),"m月")&amp;"発注)")</f>
        <v/>
      </c>
      <c r="R551">
        <f>IF(SUMIFS(T_PlannedOrders[EffectiveQty],T_PlannedOrders[Part Name],$A507,T_PlannedOrders[WeekIndex],15)=0,"",SUMIFS(T_PlannedOrders[EffectiveQty],T_PlannedOrders[Part Name],$A507,T_PlannedOrders[WeekIndex],15)&amp;" ("&amp;TEXT(SUMPRODUCT(MAX((T_PlannedOrders[Part Name]=$A507)*(T_PlannedOrders[WeekIndex]=15)*(T_PlannedOrders[EffectiveQty]&gt;0)*T_PlannedOrders[Order_Month])),"m月")&amp;"発注)")</f>
        <v/>
      </c>
      <c r="S551">
        <f>IF(SUMIFS(T_PlannedOrders[EffectiveQty],T_PlannedOrders[Part Name],$A507,T_PlannedOrders[WeekIndex],16)=0,"",SUMIFS(T_PlannedOrders[EffectiveQty],T_PlannedOrders[Part Name],$A507,T_PlannedOrders[WeekIndex],16)&amp;" ("&amp;TEXT(SUMPRODUCT(MAX((T_PlannedOrders[Part Name]=$A507)*(T_PlannedOrders[WeekIndex]=16)*(T_PlannedOrders[EffectiveQty]&gt;0)*T_PlannedOrders[Order_Month])),"m月")&amp;"発注)")</f>
        <v/>
      </c>
      <c r="T551">
        <f>IF(SUMIFS(T_PlannedOrders[EffectiveQty],T_PlannedOrders[Part Name],$A507,T_PlannedOrders[WeekIndex],17)=0,"",SUMIFS(T_PlannedOrders[EffectiveQty],T_PlannedOrders[Part Name],$A507,T_PlannedOrders[WeekIndex],17)&amp;" ("&amp;TEXT(SUMPRODUCT(MAX((T_PlannedOrders[Part Name]=$A507)*(T_PlannedOrders[WeekIndex]=17)*(T_PlannedOrders[EffectiveQty]&gt;0)*T_PlannedOrders[Order_Month])),"m月")&amp;"発注)")</f>
        <v/>
      </c>
      <c r="U551">
        <f>IF(SUMIFS(T_PlannedOrders[EffectiveQty],T_PlannedOrders[Part Name],$A507,T_PlannedOrders[WeekIndex],18)=0,"",SUMIFS(T_PlannedOrders[EffectiveQty],T_PlannedOrders[Part Name],$A507,T_PlannedOrders[WeekIndex],18)&amp;" ("&amp;TEXT(SUMPRODUCT(MAX((T_PlannedOrders[Part Name]=$A507)*(T_PlannedOrders[WeekIndex]=18)*(T_PlannedOrders[EffectiveQty]&gt;0)*T_PlannedOrders[Order_Month])),"m月")&amp;"発注)")</f>
        <v/>
      </c>
      <c r="V551">
        <f>IF(SUMIFS(T_PlannedOrders[EffectiveQty],T_PlannedOrders[Part Name],$A507,T_PlannedOrders[WeekIndex],19)=0,"",SUMIFS(T_PlannedOrders[EffectiveQty],T_PlannedOrders[Part Name],$A507,T_PlannedOrders[WeekIndex],19)&amp;" ("&amp;TEXT(SUMPRODUCT(MAX((T_PlannedOrders[Part Name]=$A507)*(T_PlannedOrders[WeekIndex]=19)*(T_PlannedOrders[EffectiveQty]&gt;0)*T_PlannedOrders[Order_Month])),"m月")&amp;"発注)")</f>
        <v/>
      </c>
      <c r="W551">
        <f>IF(SUMIFS(T_PlannedOrders[EffectiveQty],T_PlannedOrders[Part Name],$A507,T_PlannedOrders[WeekIndex],20)=0,"",SUMIFS(T_PlannedOrders[EffectiveQty],T_PlannedOrders[Part Name],$A507,T_PlannedOrders[WeekIndex],20)&amp;" ("&amp;TEXT(SUMPRODUCT(MAX((T_PlannedOrders[Part Name]=$A507)*(T_PlannedOrders[WeekIndex]=20)*(T_PlannedOrders[EffectiveQty]&gt;0)*T_PlannedOrders[Order_Month])),"m月")&amp;"発注)")</f>
        <v/>
      </c>
      <c r="X551">
        <f>IF(SUMIFS(T_PlannedOrders[EffectiveQty],T_PlannedOrders[Part Name],$A507,T_PlannedOrders[WeekIndex],21)=0,"",SUMIFS(T_PlannedOrders[EffectiveQty],T_PlannedOrders[Part Name],$A507,T_PlannedOrders[WeekIndex],21)&amp;" ("&amp;TEXT(SUMPRODUCT(MAX((T_PlannedOrders[Part Name]=$A507)*(T_PlannedOrders[WeekIndex]=21)*(T_PlannedOrders[EffectiveQty]&gt;0)*T_PlannedOrders[Order_Month])),"m月")&amp;"発注)")</f>
        <v/>
      </c>
      <c r="Y551">
        <f>IF(SUMIFS(T_PlannedOrders[EffectiveQty],T_PlannedOrders[Part Name],$A507,T_PlannedOrders[WeekIndex],22)=0,"",SUMIFS(T_PlannedOrders[EffectiveQty],T_PlannedOrders[Part Name],$A507,T_PlannedOrders[WeekIndex],22)&amp;" ("&amp;TEXT(SUMPRODUCT(MAX((T_PlannedOrders[Part Name]=$A507)*(T_PlannedOrders[WeekIndex]=22)*(T_PlannedOrders[EffectiveQty]&gt;0)*T_PlannedOrders[Order_Month])),"m月")&amp;"発注)")</f>
        <v/>
      </c>
      <c r="Z551">
        <f>IF(SUMIFS(T_PlannedOrders[EffectiveQty],T_PlannedOrders[Part Name],$A507,T_PlannedOrders[WeekIndex],23)=0,"",SUMIFS(T_PlannedOrders[EffectiveQty],T_PlannedOrders[Part Name],$A507,T_PlannedOrders[WeekIndex],23)&amp;" ("&amp;TEXT(SUMPRODUCT(MAX((T_PlannedOrders[Part Name]=$A507)*(T_PlannedOrders[WeekIndex]=23)*(T_PlannedOrders[EffectiveQty]&gt;0)*T_PlannedOrders[Order_Month])),"m月")&amp;"発注)")</f>
        <v/>
      </c>
      <c r="AA551">
        <f>IF(SUMIFS(T_PlannedOrders[EffectiveQty],T_PlannedOrders[Part Name],$A507,T_PlannedOrders[WeekIndex],24)=0,"",SUMIFS(T_PlannedOrders[EffectiveQty],T_PlannedOrders[Part Name],$A507,T_PlannedOrders[WeekIndex],24)&amp;" ("&amp;TEXT(SUMPRODUCT(MAX((T_PlannedOrders[Part Name]=$A507)*(T_PlannedOrders[WeekIndex]=24)*(T_PlannedOrders[EffectiveQty]&gt;0)*T_PlannedOrders[Order_Month])),"m月")&amp;"発注)")</f>
        <v/>
      </c>
      <c r="AB551">
        <f>IF(SUMIFS(T_PlannedOrders[EffectiveQty],T_PlannedOrders[Part Name],$A507,T_PlannedOrders[WeekIndex],25)=0,"",SUMIFS(T_PlannedOrders[EffectiveQty],T_PlannedOrders[Part Name],$A507,T_PlannedOrders[WeekIndex],25)&amp;" ("&amp;TEXT(SUMPRODUCT(MAX((T_PlannedOrders[Part Name]=$A507)*(T_PlannedOrders[WeekIndex]=25)*(T_PlannedOrders[EffectiveQty]&gt;0)*T_PlannedOrders[Order_Month])),"m月")&amp;"発注)")</f>
        <v/>
      </c>
      <c r="AC551">
        <f>IF(SUMIFS(T_PlannedOrders[EffectiveQty],T_PlannedOrders[Part Name],$A507,T_PlannedOrders[WeekIndex],26)=0,"",SUMIFS(T_PlannedOrders[EffectiveQty],T_PlannedOrders[Part Name],$A507,T_PlannedOrders[WeekIndex],26)&amp;" ("&amp;TEXT(SUMPRODUCT(MAX((T_PlannedOrders[Part Name]=$A507)*(T_PlannedOrders[WeekIndex]=26)*(T_PlannedOrders[EffectiveQty]&gt;0)*T_PlannedOrders[Order_Month])),"m月")&amp;"発注)")</f>
        <v/>
      </c>
      <c r="AD551">
        <f>IF(SUMIFS(T_PlannedOrders[EffectiveQty],T_PlannedOrders[Part Name],$A507,T_PlannedOrders[WeekIndex],27)=0,"",SUMIFS(T_PlannedOrders[EffectiveQty],T_PlannedOrders[Part Name],$A507,T_PlannedOrders[WeekIndex],27)&amp;" ("&amp;TEXT(SUMPRODUCT(MAX((T_PlannedOrders[Part Name]=$A507)*(T_PlannedOrders[WeekIndex]=27)*(T_PlannedOrders[EffectiveQty]&gt;0)*T_PlannedOrders[Order_Month])),"m月")&amp;"発注)")</f>
        <v/>
      </c>
      <c r="AE551">
        <f>IF(SUMIFS(T_PlannedOrders[EffectiveQty],T_PlannedOrders[Part Name],$A507,T_PlannedOrders[WeekIndex],28)=0,"",SUMIFS(T_PlannedOrders[EffectiveQty],T_PlannedOrders[Part Name],$A507,T_PlannedOrders[WeekIndex],28)&amp;" ("&amp;TEXT(SUMPRODUCT(MAX((T_PlannedOrders[Part Name]=$A507)*(T_PlannedOrders[WeekIndex]=28)*(T_PlannedOrders[EffectiveQty]&gt;0)*T_PlannedOrders[Order_Month])),"m月")&amp;"発注)")</f>
        <v/>
      </c>
      <c r="AF551">
        <f>IF(SUMIFS(T_PlannedOrders[EffectiveQty],T_PlannedOrders[Part Name],$A507,T_PlannedOrders[WeekIndex],29)=0,"",SUMIFS(T_PlannedOrders[EffectiveQty],T_PlannedOrders[Part Name],$A507,T_PlannedOrders[WeekIndex],29)&amp;" ("&amp;TEXT(SUMPRODUCT(MAX((T_PlannedOrders[Part Name]=$A507)*(T_PlannedOrders[WeekIndex]=29)*(T_PlannedOrders[EffectiveQty]&gt;0)*T_PlannedOrders[Order_Month])),"m月")&amp;"発注)")</f>
        <v/>
      </c>
      <c r="AG551">
        <f>IF(SUMIFS(T_PlannedOrders[EffectiveQty],T_PlannedOrders[Part Name],$A507,T_PlannedOrders[WeekIndex],30)=0,"",SUMIFS(T_PlannedOrders[EffectiveQty],T_PlannedOrders[Part Name],$A507,T_PlannedOrders[WeekIndex],30)&amp;" ("&amp;TEXT(SUMPRODUCT(MAX((T_PlannedOrders[Part Name]=$A507)*(T_PlannedOrders[WeekIndex]=30)*(T_PlannedOrders[EffectiveQty]&gt;0)*T_PlannedOrders[Order_Month])),"m月")&amp;"発注)")</f>
        <v/>
      </c>
      <c r="AH551">
        <f>IF(SUMIFS(T_PlannedOrders[EffectiveQty],T_PlannedOrders[Part Name],$A507,T_PlannedOrders[WeekIndex],31)=0,"",SUMIFS(T_PlannedOrders[EffectiveQty],T_PlannedOrders[Part Name],$A507,T_PlannedOrders[WeekIndex],31)&amp;" ("&amp;TEXT(SUMPRODUCT(MAX((T_PlannedOrders[Part Name]=$A507)*(T_PlannedOrders[WeekIndex]=31)*(T_PlannedOrders[EffectiveQty]&gt;0)*T_PlannedOrders[Order_Month])),"m月")&amp;"発注)")</f>
        <v/>
      </c>
      <c r="AI551">
        <f>IF(SUMIFS(T_PlannedOrders[EffectiveQty],T_PlannedOrders[Part Name],$A507,T_PlannedOrders[WeekIndex],32)=0,"",SUMIFS(T_PlannedOrders[EffectiveQty],T_PlannedOrders[Part Name],$A507,T_PlannedOrders[WeekIndex],32)&amp;" ("&amp;TEXT(SUMPRODUCT(MAX((T_PlannedOrders[Part Name]=$A507)*(T_PlannedOrders[WeekIndex]=32)*(T_PlannedOrders[EffectiveQty]&gt;0)*T_PlannedOrders[Order_Month])),"m月")&amp;"発注)")</f>
        <v/>
      </c>
      <c r="AJ551">
        <f>IF(SUMIFS(T_PlannedOrders[EffectiveQty],T_PlannedOrders[Part Name],$A507,T_PlannedOrders[WeekIndex],33)=0,"",SUMIFS(T_PlannedOrders[EffectiveQty],T_PlannedOrders[Part Name],$A507,T_PlannedOrders[WeekIndex],33)&amp;" ("&amp;TEXT(SUMPRODUCT(MAX((T_PlannedOrders[Part Name]=$A507)*(T_PlannedOrders[WeekIndex]=33)*(T_PlannedOrders[EffectiveQty]&gt;0)*T_PlannedOrders[Order_Month])),"m月")&amp;"発注)")</f>
        <v/>
      </c>
      <c r="AK551">
        <f>IF(SUMIFS(T_PlannedOrders[EffectiveQty],T_PlannedOrders[Part Name],$A507,T_PlannedOrders[WeekIndex],34)=0,"",SUMIFS(T_PlannedOrders[EffectiveQty],T_PlannedOrders[Part Name],$A507,T_PlannedOrders[WeekIndex],34)&amp;" ("&amp;TEXT(SUMPRODUCT(MAX((T_PlannedOrders[Part Name]=$A507)*(T_PlannedOrders[WeekIndex]=34)*(T_PlannedOrders[EffectiveQty]&gt;0)*T_PlannedOrders[Order_Month])),"m月")&amp;"発注)")</f>
        <v/>
      </c>
      <c r="AL551">
        <f>IF(SUMIFS(T_PlannedOrders[EffectiveQty],T_PlannedOrders[Part Name],$A507,T_PlannedOrders[WeekIndex],35)=0,"",SUMIFS(T_PlannedOrders[EffectiveQty],T_PlannedOrders[Part Name],$A507,T_PlannedOrders[WeekIndex],35)&amp;" ("&amp;TEXT(SUMPRODUCT(MAX((T_PlannedOrders[Part Name]=$A507)*(T_PlannedOrders[WeekIndex]=35)*(T_PlannedOrders[EffectiveQty]&gt;0)*T_PlannedOrders[Order_Month])),"m月")&amp;"発注)")</f>
        <v/>
      </c>
      <c r="AM551">
        <f>IF(SUMIFS(T_PlannedOrders[EffectiveQty],T_PlannedOrders[Part Name],$A507,T_PlannedOrders[WeekIndex],36)=0,"",SUMIFS(T_PlannedOrders[EffectiveQty],T_PlannedOrders[Part Name],$A507,T_PlannedOrders[WeekIndex],36)&amp;" ("&amp;TEXT(SUMPRODUCT(MAX((T_PlannedOrders[Part Name]=$A507)*(T_PlannedOrders[WeekIndex]=36)*(T_PlannedOrders[EffectiveQty]&gt;0)*T_PlannedOrders[Order_Month])),"m月")&amp;"発注)")</f>
        <v/>
      </c>
      <c r="AN551">
        <f>IF(SUMIFS(T_PlannedOrders[EffectiveQty],T_PlannedOrders[Part Name],$A507,T_PlannedOrders[WeekIndex],37)=0,"",SUMIFS(T_PlannedOrders[EffectiveQty],T_PlannedOrders[Part Name],$A507,T_PlannedOrders[WeekIndex],37)&amp;" ("&amp;TEXT(SUMPRODUCT(MAX((T_PlannedOrders[Part Name]=$A507)*(T_PlannedOrders[WeekIndex]=37)*(T_PlannedOrders[EffectiveQty]&gt;0)*T_PlannedOrders[Order_Month])),"m月")&amp;"発注)")</f>
        <v/>
      </c>
      <c r="AO551">
        <f>IF(SUMIFS(T_PlannedOrders[EffectiveQty],T_PlannedOrders[Part Name],$A507,T_PlannedOrders[WeekIndex],38)=0,"",SUMIFS(T_PlannedOrders[EffectiveQty],T_PlannedOrders[Part Name],$A507,T_PlannedOrders[WeekIndex],38)&amp;" ("&amp;TEXT(SUMPRODUCT(MAX((T_PlannedOrders[Part Name]=$A507)*(T_PlannedOrders[WeekIndex]=38)*(T_PlannedOrders[EffectiveQty]&gt;0)*T_PlannedOrders[Order_Month])),"m月")&amp;"発注)")</f>
        <v/>
      </c>
      <c r="AP551">
        <f>IF(SUMIFS(T_PlannedOrders[EffectiveQty],T_PlannedOrders[Part Name],$A507,T_PlannedOrders[WeekIndex],39)=0,"",SUMIFS(T_PlannedOrders[EffectiveQty],T_PlannedOrders[Part Name],$A507,T_PlannedOrders[WeekIndex],39)&amp;" ("&amp;TEXT(SUMPRODUCT(MAX((T_PlannedOrders[Part Name]=$A507)*(T_PlannedOrders[WeekIndex]=39)*(T_PlannedOrders[EffectiveQty]&gt;0)*T_PlannedOrders[Order_Month])),"m月")&amp;"発注)")</f>
        <v/>
      </c>
      <c r="AQ551">
        <f>IF(SUMIFS(T_PlannedOrders[EffectiveQty],T_PlannedOrders[Part Name],$A507,T_PlannedOrders[WeekIndex],40)=0,"",SUMIFS(T_PlannedOrders[EffectiveQty],T_PlannedOrders[Part Name],$A507,T_PlannedOrders[WeekIndex],40)&amp;" ("&amp;TEXT(SUMPRODUCT(MAX((T_PlannedOrders[Part Name]=$A507)*(T_PlannedOrders[WeekIndex]=40)*(T_PlannedOrders[EffectiveQty]&gt;0)*T_PlannedOrders[Order_Month])),"m月")&amp;"発注)")</f>
        <v/>
      </c>
      <c r="AR551">
        <f>IF(SUMIFS(T_PlannedOrders[EffectiveQty],T_PlannedOrders[Part Name],$A507,T_PlannedOrders[WeekIndex],41)=0,"",SUMIFS(T_PlannedOrders[EffectiveQty],T_PlannedOrders[Part Name],$A507,T_PlannedOrders[WeekIndex],41)&amp;" ("&amp;TEXT(SUMPRODUCT(MAX((T_PlannedOrders[Part Name]=$A507)*(T_PlannedOrders[WeekIndex]=41)*(T_PlannedOrders[EffectiveQty]&gt;0)*T_PlannedOrders[Order_Month])),"m月")&amp;"発注)")</f>
        <v/>
      </c>
      <c r="AS551">
        <f>IF(SUMIFS(T_PlannedOrders[EffectiveQty],T_PlannedOrders[Part Name],$A507,T_PlannedOrders[WeekIndex],42)=0,"",SUMIFS(T_PlannedOrders[EffectiveQty],T_PlannedOrders[Part Name],$A507,T_PlannedOrders[WeekIndex],42)&amp;" ("&amp;TEXT(SUMPRODUCT(MAX((T_PlannedOrders[Part Name]=$A507)*(T_PlannedOrders[WeekIndex]=42)*(T_PlannedOrders[EffectiveQty]&gt;0)*T_PlannedOrders[Order_Month])),"m月")&amp;"発注)")</f>
        <v/>
      </c>
      <c r="AT551">
        <f>IF(SUMIFS(T_PlannedOrders[EffectiveQty],T_PlannedOrders[Part Name],$A507,T_PlannedOrders[WeekIndex],43)=0,"",SUMIFS(T_PlannedOrders[EffectiveQty],T_PlannedOrders[Part Name],$A507,T_PlannedOrders[WeekIndex],43)&amp;" ("&amp;TEXT(SUMPRODUCT(MAX((T_PlannedOrders[Part Name]=$A507)*(T_PlannedOrders[WeekIndex]=43)*(T_PlannedOrders[EffectiveQty]&gt;0)*T_PlannedOrders[Order_Month])),"m月")&amp;"発注)")</f>
        <v/>
      </c>
      <c r="AU551">
        <f>IF(SUMIFS(T_PlannedOrders[EffectiveQty],T_PlannedOrders[Part Name],$A507,T_PlannedOrders[WeekIndex],44)=0,"",SUMIFS(T_PlannedOrders[EffectiveQty],T_PlannedOrders[Part Name],$A507,T_PlannedOrders[WeekIndex],44)&amp;" ("&amp;TEXT(SUMPRODUCT(MAX((T_PlannedOrders[Part Name]=$A507)*(T_PlannedOrders[WeekIndex]=44)*(T_PlannedOrders[EffectiveQty]&gt;0)*T_PlannedOrders[Order_Month])),"m月")&amp;"発注)")</f>
        <v/>
      </c>
      <c r="AV551">
        <f>IF(SUMIFS(T_PlannedOrders[EffectiveQty],T_PlannedOrders[Part Name],$A507,T_PlannedOrders[WeekIndex],45)=0,"",SUMIFS(T_PlannedOrders[EffectiveQty],T_PlannedOrders[Part Name],$A507,T_PlannedOrders[WeekIndex],45)&amp;" ("&amp;TEXT(SUMPRODUCT(MAX((T_PlannedOrders[Part Name]=$A507)*(T_PlannedOrders[WeekIndex]=45)*(T_PlannedOrders[EffectiveQty]&gt;0)*T_PlannedOrders[Order_Month])),"m月")&amp;"発注)")</f>
        <v/>
      </c>
      <c r="AW551">
        <f>IF(SUMIFS(T_PlannedOrders[EffectiveQty],T_PlannedOrders[Part Name],$A507,T_PlannedOrders[WeekIndex],46)=0,"",SUMIFS(T_PlannedOrders[EffectiveQty],T_PlannedOrders[Part Name],$A507,T_PlannedOrders[WeekIndex],46)&amp;" ("&amp;TEXT(SUMPRODUCT(MAX((T_PlannedOrders[Part Name]=$A507)*(T_PlannedOrders[WeekIndex]=46)*(T_PlannedOrders[EffectiveQty]&gt;0)*T_PlannedOrders[Order_Month])),"m月")&amp;"発注)")</f>
        <v/>
      </c>
      <c r="AX551">
        <f>IF(SUMIFS(T_PlannedOrders[EffectiveQty],T_PlannedOrders[Part Name],$A507,T_PlannedOrders[WeekIndex],47)=0,"",SUMIFS(T_PlannedOrders[EffectiveQty],T_PlannedOrders[Part Name],$A507,T_PlannedOrders[WeekIndex],47)&amp;" ("&amp;TEXT(SUMPRODUCT(MAX((T_PlannedOrders[Part Name]=$A507)*(T_PlannedOrders[WeekIndex]=47)*(T_PlannedOrders[EffectiveQty]&gt;0)*T_PlannedOrders[Order_Month])),"m月")&amp;"発注)")</f>
        <v/>
      </c>
      <c r="AY551">
        <f>IF(SUMIFS(T_PlannedOrders[EffectiveQty],T_PlannedOrders[Part Name],$A507,T_PlannedOrders[WeekIndex],48)=0,"",SUMIFS(T_PlannedOrders[EffectiveQty],T_PlannedOrders[Part Name],$A507,T_PlannedOrders[WeekIndex],48)&amp;" ("&amp;TEXT(SUMPRODUCT(MAX((T_PlannedOrders[Part Name]=$A507)*(T_PlannedOrders[WeekIndex]=48)*(T_PlannedOrders[EffectiveQty]&gt;0)*T_PlannedOrders[Order_Month])),"m月")&amp;"発注)")</f>
        <v/>
      </c>
      <c r="AZ551">
        <f>IF(SUMIFS(T_PlannedOrders[EffectiveQty],T_PlannedOrders[Part Name],$A507,T_PlannedOrders[WeekIndex],49)=0,"",SUMIFS(T_PlannedOrders[EffectiveQty],T_PlannedOrders[Part Name],$A507,T_PlannedOrders[WeekIndex],49)&amp;" ("&amp;TEXT(SUMPRODUCT(MAX((T_PlannedOrders[Part Name]=$A507)*(T_PlannedOrders[WeekIndex]=49)*(T_PlannedOrders[EffectiveQty]&gt;0)*T_PlannedOrders[Order_Month])),"m月")&amp;"発注)")</f>
        <v/>
      </c>
      <c r="BA551">
        <f>IF(SUMIFS(T_PlannedOrders[EffectiveQty],T_PlannedOrders[Part Name],$A507,T_PlannedOrders[WeekIndex],50)=0,"",SUMIFS(T_PlannedOrders[EffectiveQty],T_PlannedOrders[Part Name],$A507,T_PlannedOrders[WeekIndex],50)&amp;" ("&amp;TEXT(SUMPRODUCT(MAX((T_PlannedOrders[Part Name]=$A507)*(T_PlannedOrders[WeekIndex]=50)*(T_PlannedOrders[EffectiveQty]&gt;0)*T_PlannedOrders[Order_Month])),"m月")&amp;"発注)")</f>
        <v/>
      </c>
      <c r="BB551">
        <f>IF(SUMIFS(T_PlannedOrders[EffectiveQty],T_PlannedOrders[Part Name],$A507,T_PlannedOrders[WeekIndex],51)=0,"",SUMIFS(T_PlannedOrders[EffectiveQty],T_PlannedOrders[Part Name],$A507,T_PlannedOrders[WeekIndex],51)&amp;" ("&amp;TEXT(SUMPRODUCT(MAX((T_PlannedOrders[Part Name]=$A507)*(T_PlannedOrders[WeekIndex]=51)*(T_PlannedOrders[EffectiveQty]&gt;0)*T_PlannedOrders[Order_Month])),"m月")&amp;"発注)")</f>
        <v/>
      </c>
      <c r="BC551">
        <f>IF(SUMIFS(T_PlannedOrders[EffectiveQty],T_PlannedOrders[Part Name],$A507,T_PlannedOrders[WeekIndex],52)=0,"",SUMIFS(T_PlannedOrders[EffectiveQty],T_PlannedOrders[Part Name],$A507,T_PlannedOrders[WeekIndex],52)&amp;" ("&amp;TEXT(SUMPRODUCT(MAX((T_PlannedOrders[Part Name]=$A507)*(T_PlannedOrders[WeekIndex]=52)*(T_PlannedOrders[EffectiveQty]&gt;0)*T_PlannedOrders[Order_Month])),"m月")&amp;"発注)")</f>
        <v/>
      </c>
      <c r="BD551">
        <f>IF(SUMIFS(T_PlannedOrders[EffectiveQty],T_PlannedOrders[Part Name],$A507,T_PlannedOrders[WeekIndex],53)=0,"",SUMIFS(T_PlannedOrders[EffectiveQty],T_PlannedOrders[Part Name],$A507,T_PlannedOrders[WeekIndex],53)&amp;" ("&amp;TEXT(SUMPRODUCT(MAX((T_PlannedOrders[Part Name]=$A507)*(T_PlannedOrders[WeekIndex]=53)*(T_PlannedOrders[EffectiveQty]&gt;0)*T_PlannedOrders[Order_Month])),"m月")&amp;"発注)")</f>
        <v/>
      </c>
      <c r="BE551">
        <f>IF(SUMIFS(T_PlannedOrders[EffectiveQty],T_PlannedOrders[Part Name],$A507,T_PlannedOrders[WeekIndex],54)=0,"",SUMIFS(T_PlannedOrders[EffectiveQty],T_PlannedOrders[Part Name],$A507,T_PlannedOrders[WeekIndex],54)&amp;" ("&amp;TEXT(SUMPRODUCT(MAX((T_PlannedOrders[Part Name]=$A507)*(T_PlannedOrders[WeekIndex]=54)*(T_PlannedOrders[EffectiveQty]&gt;0)*T_PlannedOrders[Order_Month])),"m月")&amp;"発注)")</f>
        <v/>
      </c>
      <c r="BF551">
        <f>IF(SUMIFS(T_PlannedOrders[EffectiveQty],T_PlannedOrders[Part Name],$A507,T_PlannedOrders[WeekIndex],55)=0,"",SUMIFS(T_PlannedOrders[EffectiveQty],T_PlannedOrders[Part Name],$A507,T_PlannedOrders[WeekIndex],55)&amp;" ("&amp;TEXT(SUMPRODUCT(MAX((T_PlannedOrders[Part Name]=$A507)*(T_PlannedOrders[WeekIndex]=55)*(T_PlannedOrders[EffectiveQty]&gt;0)*T_PlannedOrders[Order_Month])),"m月")&amp;"発注)")</f>
        <v/>
      </c>
      <c r="BG551">
        <f>IF(SUMIFS(T_PlannedOrders[EffectiveQty],T_PlannedOrders[Part Name],$A507,T_PlannedOrders[WeekIndex],56)=0,"",SUMIFS(T_PlannedOrders[EffectiveQty],T_PlannedOrders[Part Name],$A507,T_PlannedOrders[WeekIndex],56)&amp;" ("&amp;TEXT(SUMPRODUCT(MAX((T_PlannedOrders[Part Name]=$A507)*(T_PlannedOrders[WeekIndex]=56)*(T_PlannedOrders[EffectiveQty]&gt;0)*T_PlannedOrders[Order_Month])),"m月")&amp;"発注)")</f>
        <v/>
      </c>
      <c r="BH551">
        <f>IF(SUMIFS(T_PlannedOrders[EffectiveQty],T_PlannedOrders[Part Name],$A507,T_PlannedOrders[WeekIndex],57)=0,"",SUMIFS(T_PlannedOrders[EffectiveQty],T_PlannedOrders[Part Name],$A507,T_PlannedOrders[WeekIndex],57)&amp;" ("&amp;TEXT(SUMPRODUCT(MAX((T_PlannedOrders[Part Name]=$A507)*(T_PlannedOrders[WeekIndex]=57)*(T_PlannedOrders[EffectiveQty]&gt;0)*T_PlannedOrders[Order_Month])),"m月")&amp;"発注)")</f>
        <v/>
      </c>
      <c r="BI551">
        <f>IF(SUMIFS(T_PlannedOrders[EffectiveQty],T_PlannedOrders[Part Name],$A507,T_PlannedOrders[WeekIndex],58)=0,"",SUMIFS(T_PlannedOrders[EffectiveQty],T_PlannedOrders[Part Name],$A507,T_PlannedOrders[WeekIndex],58)&amp;" ("&amp;TEXT(SUMPRODUCT(MAX((T_PlannedOrders[Part Name]=$A507)*(T_PlannedOrders[WeekIndex]=58)*(T_PlannedOrders[EffectiveQty]&gt;0)*T_PlannedOrders[Order_Month])),"m月")&amp;"発注)")</f>
        <v/>
      </c>
      <c r="BJ551">
        <f>IF(SUMIFS(T_PlannedOrders[EffectiveQty],T_PlannedOrders[Part Name],$A507,T_PlannedOrders[WeekIndex],59)=0,"",SUMIFS(T_PlannedOrders[EffectiveQty],T_PlannedOrders[Part Name],$A507,T_PlannedOrders[WeekIndex],59)&amp;" ("&amp;TEXT(SUMPRODUCT(MAX((T_PlannedOrders[Part Name]=$A507)*(T_PlannedOrders[WeekIndex]=59)*(T_PlannedOrders[EffectiveQty]&gt;0)*T_PlannedOrders[Order_Month])),"m月")&amp;"発注)")</f>
        <v/>
      </c>
      <c r="BK551">
        <f>IF(SUMIFS(T_PlannedOrders[EffectiveQty],T_PlannedOrders[Part Name],$A507,T_PlannedOrders[WeekIndex],60)=0,"",SUMIFS(T_PlannedOrders[EffectiveQty],T_PlannedOrders[Part Name],$A507,T_PlannedOrders[WeekIndex],60)&amp;" ("&amp;TEXT(SUMPRODUCT(MAX((T_PlannedOrders[Part Name]=$A507)*(T_PlannedOrders[WeekIndex]=60)*(T_PlannedOrders[EffectiveQty]&gt;0)*T_PlannedOrders[Order_Month])),"m月")&amp;"発注)")</f>
        <v/>
      </c>
      <c r="BL551">
        <f>IF(SUMIFS(T_PlannedOrders[EffectiveQty],T_PlannedOrders[Part Name],$A507,T_PlannedOrders[WeekIndex],61)=0,"",SUMIFS(T_PlannedOrders[EffectiveQty],T_PlannedOrders[Part Name],$A507,T_PlannedOrders[WeekIndex],61)&amp;" ("&amp;TEXT(SUMPRODUCT(MAX((T_PlannedOrders[Part Name]=$A507)*(T_PlannedOrders[WeekIndex]=61)*(T_PlannedOrders[EffectiveQty]&gt;0)*T_PlannedOrders[Order_Month])),"m月")&amp;"発注)")</f>
        <v/>
      </c>
      <c r="BM551">
        <f>IF(SUMIFS(T_PlannedOrders[EffectiveQty],T_PlannedOrders[Part Name],$A507,T_PlannedOrders[WeekIndex],62)=0,"",SUMIFS(T_PlannedOrders[EffectiveQty],T_PlannedOrders[Part Name],$A507,T_PlannedOrders[WeekIndex],62)&amp;" ("&amp;TEXT(SUMPRODUCT(MAX((T_PlannedOrders[Part Name]=$A507)*(T_PlannedOrders[WeekIndex]=62)*(T_PlannedOrders[EffectiveQty]&gt;0)*T_PlannedOrders[Order_Month])),"m月")&amp;"発注)")</f>
        <v/>
      </c>
      <c r="BN551">
        <f>IF(SUMIFS(T_PlannedOrders[EffectiveQty],T_PlannedOrders[Part Name],$A507,T_PlannedOrders[WeekIndex],63)=0,"",SUMIFS(T_PlannedOrders[EffectiveQty],T_PlannedOrders[Part Name],$A507,T_PlannedOrders[WeekIndex],63)&amp;" ("&amp;TEXT(SUMPRODUCT(MAX((T_PlannedOrders[Part Name]=$A507)*(T_PlannedOrders[WeekIndex]=63)*(T_PlannedOrders[EffectiveQty]&gt;0)*T_PlannedOrders[Order_Month])),"m月")&amp;"発注)")</f>
        <v/>
      </c>
      <c r="BO551">
        <f>IF(SUMIFS(T_PlannedOrders[EffectiveQty],T_PlannedOrders[Part Name],$A507,T_PlannedOrders[WeekIndex],64)=0,"",SUMIFS(T_PlannedOrders[EffectiveQty],T_PlannedOrders[Part Name],$A507,T_PlannedOrders[WeekIndex],64)&amp;" ("&amp;TEXT(SUMPRODUCT(MAX((T_PlannedOrders[Part Name]=$A507)*(T_PlannedOrders[WeekIndex]=64)*(T_PlannedOrders[EffectiveQty]&gt;0)*T_PlannedOrders[Order_Month])),"m月")&amp;"発注)")</f>
        <v/>
      </c>
      <c r="BP551">
        <f>IF(SUMIFS(T_PlannedOrders[EffectiveQty],T_PlannedOrders[Part Name],$A507,T_PlannedOrders[WeekIndex],65)=0,"",SUMIFS(T_PlannedOrders[EffectiveQty],T_PlannedOrders[Part Name],$A507,T_PlannedOrders[WeekIndex],65)&amp;" ("&amp;TEXT(SUMPRODUCT(MAX((T_PlannedOrders[Part Name]=$A507)*(T_PlannedOrders[WeekIndex]=65)*(T_PlannedOrders[EffectiveQty]&gt;0)*T_PlannedOrders[Order_Month])),"m月")&amp;"発注)")</f>
        <v/>
      </c>
      <c r="BQ551">
        <f>IF(SUMIFS(T_PlannedOrders[EffectiveQty],T_PlannedOrders[Part Name],$A507,T_PlannedOrders[WeekIndex],66)=0,"",SUMIFS(T_PlannedOrders[EffectiveQty],T_PlannedOrders[Part Name],$A507,T_PlannedOrders[WeekIndex],66)&amp;" ("&amp;TEXT(SUMPRODUCT(MAX((T_PlannedOrders[Part Name]=$A507)*(T_PlannedOrders[WeekIndex]=66)*(T_PlannedOrders[EffectiveQty]&gt;0)*T_PlannedOrders[Order_Month])),"m月")&amp;"発注)")</f>
        <v/>
      </c>
      <c r="BR551">
        <f>IF(SUMIFS(T_PlannedOrders[EffectiveQty],T_PlannedOrders[Part Name],$A507,T_PlannedOrders[WeekIndex],67)=0,"",SUMIFS(T_PlannedOrders[EffectiveQty],T_PlannedOrders[Part Name],$A507,T_PlannedOrders[WeekIndex],67)&amp;" ("&amp;TEXT(SUMPRODUCT(MAX((T_PlannedOrders[Part Name]=$A507)*(T_PlannedOrders[WeekIndex]=67)*(T_PlannedOrders[EffectiveQty]&gt;0)*T_PlannedOrders[Order_Month])),"m月")&amp;"発注)")</f>
        <v/>
      </c>
      <c r="BS551">
        <f>IF(SUMIFS(T_PlannedOrders[EffectiveQty],T_PlannedOrders[Part Name],$A507,T_PlannedOrders[WeekIndex],68)=0,"",SUMIFS(T_PlannedOrders[EffectiveQty],T_PlannedOrders[Part Name],$A507,T_PlannedOrders[WeekIndex],68)&amp;" ("&amp;TEXT(SUMPRODUCT(MAX((T_PlannedOrders[Part Name]=$A507)*(T_PlannedOrders[WeekIndex]=68)*(T_PlannedOrders[EffectiveQty]&gt;0)*T_PlannedOrders[Order_Month])),"m月")&amp;"発注)")</f>
        <v/>
      </c>
      <c r="BT551">
        <f>IF(SUMIFS(T_PlannedOrders[EffectiveQty],T_PlannedOrders[Part Name],$A507,T_PlannedOrders[WeekIndex],69)=0,"",SUMIFS(T_PlannedOrders[EffectiveQty],T_PlannedOrders[Part Name],$A507,T_PlannedOrders[WeekIndex],69)&amp;" ("&amp;TEXT(SUMPRODUCT(MAX((T_PlannedOrders[Part Name]=$A507)*(T_PlannedOrders[WeekIndex]=69)*(T_PlannedOrders[EffectiveQty]&gt;0)*T_PlannedOrders[Order_Month])),"m月")&amp;"発注)")</f>
        <v/>
      </c>
      <c r="BU551">
        <f>IF(SUMIFS(T_PlannedOrders[EffectiveQty],T_PlannedOrders[Part Name],$A507,T_PlannedOrders[WeekIndex],70)=0,"",SUMIFS(T_PlannedOrders[EffectiveQty],T_PlannedOrders[Part Name],$A507,T_PlannedOrders[WeekIndex],70)&amp;" ("&amp;TEXT(SUMPRODUCT(MAX((T_PlannedOrders[Part Name]=$A507)*(T_PlannedOrders[WeekIndex]=70)*(T_PlannedOrders[EffectiveQty]&gt;0)*T_PlannedOrders[Order_Month])),"m月")&amp;"発注)")</f>
        <v/>
      </c>
      <c r="BV551">
        <f>IF(SUMIFS(T_PlannedOrders[EffectiveQty],T_PlannedOrders[Part Name],$A507,T_PlannedOrders[WeekIndex],71)=0,"",SUMIFS(T_PlannedOrders[EffectiveQty],T_PlannedOrders[Part Name],$A507,T_PlannedOrders[WeekIndex],71)&amp;" ("&amp;TEXT(SUMPRODUCT(MAX((T_PlannedOrders[Part Name]=$A507)*(T_PlannedOrders[WeekIndex]=71)*(T_PlannedOrders[EffectiveQty]&gt;0)*T_PlannedOrders[Order_Month])),"m月")&amp;"発注)")</f>
        <v/>
      </c>
      <c r="BW551">
        <f>IF(SUMIFS(T_PlannedOrders[EffectiveQty],T_PlannedOrders[Part Name],$A507,T_PlannedOrders[WeekIndex],72)=0,"",SUMIFS(T_PlannedOrders[EffectiveQty],T_PlannedOrders[Part Name],$A507,T_PlannedOrders[WeekIndex],72)&amp;" ("&amp;TEXT(SUMPRODUCT(MAX((T_PlannedOrders[Part Name]=$A507)*(T_PlannedOrders[WeekIndex]=72)*(T_PlannedOrders[EffectiveQty]&gt;0)*T_PlannedOrders[Order_Month])),"m月")&amp;"発注)")</f>
        <v/>
      </c>
      <c r="BX551">
        <f>IF(SUMIFS(T_PlannedOrders[EffectiveQty],T_PlannedOrders[Part Name],$A507,T_PlannedOrders[WeekIndex],73)=0,"",SUMIFS(T_PlannedOrders[EffectiveQty],T_PlannedOrders[Part Name],$A507,T_PlannedOrders[WeekIndex],73)&amp;" ("&amp;TEXT(SUMPRODUCT(MAX((T_PlannedOrders[Part Name]=$A507)*(T_PlannedOrders[WeekIndex]=73)*(T_PlannedOrders[EffectiveQty]&gt;0)*T_PlannedOrders[Order_Month])),"m月")&amp;"発注)")</f>
        <v/>
      </c>
      <c r="BY551">
        <f>IF(SUMIFS(T_PlannedOrders[EffectiveQty],T_PlannedOrders[Part Name],$A507,T_PlannedOrders[WeekIndex],74)=0,"",SUMIFS(T_PlannedOrders[EffectiveQty],T_PlannedOrders[Part Name],$A507,T_PlannedOrders[WeekIndex],74)&amp;" ("&amp;TEXT(SUMPRODUCT(MAX((T_PlannedOrders[Part Name]=$A507)*(T_PlannedOrders[WeekIndex]=74)*(T_PlannedOrders[EffectiveQty]&gt;0)*T_PlannedOrders[Order_Month])),"m月")&amp;"発注)")</f>
        <v/>
      </c>
      <c r="BZ551">
        <f>IF(SUMIFS(T_PlannedOrders[EffectiveQty],T_PlannedOrders[Part Name],$A507,T_PlannedOrders[WeekIndex],75)=0,"",SUMIFS(T_PlannedOrders[EffectiveQty],T_PlannedOrders[Part Name],$A507,T_PlannedOrders[WeekIndex],75)&amp;" ("&amp;TEXT(SUMPRODUCT(MAX((T_PlannedOrders[Part Name]=$A507)*(T_PlannedOrders[WeekIndex]=75)*(T_PlannedOrders[EffectiveQty]&gt;0)*T_PlannedOrders[Order_Month])),"m月")&amp;"発注)")</f>
        <v/>
      </c>
      <c r="CA551">
        <f>IF(SUMIFS(T_PlannedOrders[EffectiveQty],T_PlannedOrders[Part Name],$A507,T_PlannedOrders[WeekIndex],76)=0,"",SUMIFS(T_PlannedOrders[EffectiveQty],T_PlannedOrders[Part Name],$A507,T_PlannedOrders[WeekIndex],76)&amp;" ("&amp;TEXT(SUMPRODUCT(MAX((T_PlannedOrders[Part Name]=$A507)*(T_PlannedOrders[WeekIndex]=76)*(T_PlannedOrders[EffectiveQty]&gt;0)*T_PlannedOrders[Order_Month])),"m月")&amp;"発注)")</f>
        <v/>
      </c>
      <c r="CB551">
        <f>IF(SUMIFS(T_PlannedOrders[EffectiveQty],T_PlannedOrders[Part Name],$A507,T_PlannedOrders[WeekIndex],77)=0,"",SUMIFS(T_PlannedOrders[EffectiveQty],T_PlannedOrders[Part Name],$A507,T_PlannedOrders[WeekIndex],77)&amp;" ("&amp;TEXT(SUMPRODUCT(MAX((T_PlannedOrders[Part Name]=$A507)*(T_PlannedOrders[WeekIndex]=77)*(T_PlannedOrders[EffectiveQty]&gt;0)*T_PlannedOrders[Order_Month])),"m月")&amp;"発注)")</f>
        <v/>
      </c>
      <c r="CC551">
        <f>IF(SUMIFS(T_PlannedOrders[EffectiveQty],T_PlannedOrders[Part Name],$A507,T_PlannedOrders[WeekIndex],78)=0,"",SUMIFS(T_PlannedOrders[EffectiveQty],T_PlannedOrders[Part Name],$A507,T_PlannedOrders[WeekIndex],78)&amp;" ("&amp;TEXT(SUMPRODUCT(MAX((T_PlannedOrders[Part Name]=$A507)*(T_PlannedOrders[WeekIndex]=78)*(T_PlannedOrders[EffectiveQty]&gt;0)*T_PlannedOrders[Order_Month])),"m月")&amp;"発注)")</f>
        <v/>
      </c>
      <c r="CD551">
        <f>IF(SUMIFS(T_PlannedOrders[EffectiveQty],T_PlannedOrders[Part Name],$A507,T_PlannedOrders[WeekIndex],79)=0,"",SUMIFS(T_PlannedOrders[EffectiveQty],T_PlannedOrders[Part Name],$A507,T_PlannedOrders[WeekIndex],79)&amp;" ("&amp;TEXT(SUMPRODUCT(MAX((T_PlannedOrders[Part Name]=$A507)*(T_PlannedOrders[WeekIndex]=79)*(T_PlannedOrders[EffectiveQty]&gt;0)*T_PlannedOrders[Order_Month])),"m月")&amp;"発注)")</f>
        <v/>
      </c>
      <c r="CE551">
        <f>IF(SUMIFS(T_PlannedOrders[EffectiveQty],T_PlannedOrders[Part Name],$A507,T_PlannedOrders[WeekIndex],80)=0,"",SUMIFS(T_PlannedOrders[EffectiveQty],T_PlannedOrders[Part Name],$A507,T_PlannedOrders[WeekIndex],80)&amp;" ("&amp;TEXT(SUMPRODUCT(MAX((T_PlannedOrders[Part Name]=$A507)*(T_PlannedOrders[WeekIndex]=80)*(T_PlannedOrders[EffectiveQty]&gt;0)*T_PlannedOrders[Order_Month])),"m月")&amp;"発注)")</f>
        <v/>
      </c>
      <c r="CF551">
        <f>IF(SUMIFS(T_PlannedOrders[EffectiveQty],T_PlannedOrders[Part Name],$A507,T_PlannedOrders[WeekIndex],81)=0,"",SUMIFS(T_PlannedOrders[EffectiveQty],T_PlannedOrders[Part Name],$A507,T_PlannedOrders[WeekIndex],81)&amp;" ("&amp;TEXT(SUMPRODUCT(MAX((T_PlannedOrders[Part Name]=$A507)*(T_PlannedOrders[WeekIndex]=81)*(T_PlannedOrders[EffectiveQty]&gt;0)*T_PlannedOrders[Order_Month])),"m月")&amp;"発注)")</f>
        <v/>
      </c>
      <c r="CG551">
        <f>IF(SUMIFS(T_PlannedOrders[EffectiveQty],T_PlannedOrders[Part Name],$A507,T_PlannedOrders[WeekIndex],82)=0,"",SUMIFS(T_PlannedOrders[EffectiveQty],T_PlannedOrders[Part Name],$A507,T_PlannedOrders[WeekIndex],82)&amp;" ("&amp;TEXT(SUMPRODUCT(MAX((T_PlannedOrders[Part Name]=$A507)*(T_PlannedOrders[WeekIndex]=82)*(T_PlannedOrders[EffectiveQty]&gt;0)*T_PlannedOrders[Order_Month])),"m月")&amp;"発注)")</f>
        <v/>
      </c>
      <c r="CH551">
        <f>IF(SUMIFS(T_PlannedOrders[EffectiveQty],T_PlannedOrders[Part Name],$A507,T_PlannedOrders[WeekIndex],83)=0,"",SUMIFS(T_PlannedOrders[EffectiveQty],T_PlannedOrders[Part Name],$A507,T_PlannedOrders[WeekIndex],83)&amp;" ("&amp;TEXT(SUMPRODUCT(MAX((T_PlannedOrders[Part Name]=$A507)*(T_PlannedOrders[WeekIndex]=83)*(T_PlannedOrders[EffectiveQty]&gt;0)*T_PlannedOrders[Order_Month])),"m月")&amp;"発注)")</f>
        <v/>
      </c>
      <c r="CI551">
        <f>IF(SUMIFS(T_PlannedOrders[EffectiveQty],T_PlannedOrders[Part Name],$A507,T_PlannedOrders[WeekIndex],84)=0,"",SUMIFS(T_PlannedOrders[EffectiveQty],T_PlannedOrders[Part Name],$A507,T_PlannedOrders[WeekIndex],84)&amp;" ("&amp;TEXT(SUMPRODUCT(MAX((T_PlannedOrders[Part Name]=$A507)*(T_PlannedOrders[WeekIndex]=84)*(T_PlannedOrders[EffectiveQty]&gt;0)*T_PlannedOrders[Order_Month])),"m月")&amp;"発注)")</f>
        <v/>
      </c>
      <c r="CJ551">
        <f>IF(SUMIFS(T_PlannedOrders[EffectiveQty],T_PlannedOrders[Part Name],$A507,T_PlannedOrders[WeekIndex],85)=0,"",SUMIFS(T_PlannedOrders[EffectiveQty],T_PlannedOrders[Part Name],$A507,T_PlannedOrders[WeekIndex],85)&amp;" ("&amp;TEXT(SUMPRODUCT(MAX((T_PlannedOrders[Part Name]=$A507)*(T_PlannedOrders[WeekIndex]=85)*(T_PlannedOrders[EffectiveQty]&gt;0)*T_PlannedOrders[Order_Month])),"m月")&amp;"発注)")</f>
        <v/>
      </c>
      <c r="CK551">
        <f>IF(SUMIFS(T_PlannedOrders[EffectiveQty],T_PlannedOrders[Part Name],$A507,T_PlannedOrders[WeekIndex],86)=0,"",SUMIFS(T_PlannedOrders[EffectiveQty],T_PlannedOrders[Part Name],$A507,T_PlannedOrders[WeekIndex],86)&amp;" ("&amp;TEXT(SUMPRODUCT(MAX((T_PlannedOrders[Part Name]=$A507)*(T_PlannedOrders[WeekIndex]=86)*(T_PlannedOrders[EffectiveQty]&gt;0)*T_PlannedOrders[Order_Month])),"m月")&amp;"発注)")</f>
        <v/>
      </c>
      <c r="CL551">
        <f>IF(SUMIFS(T_PlannedOrders[EffectiveQty],T_PlannedOrders[Part Name],$A507,T_PlannedOrders[WeekIndex],87)=0,"",SUMIFS(T_PlannedOrders[EffectiveQty],T_PlannedOrders[Part Name],$A507,T_PlannedOrders[WeekIndex],87)&amp;" ("&amp;TEXT(SUMPRODUCT(MAX((T_PlannedOrders[Part Name]=$A507)*(T_PlannedOrders[WeekIndex]=87)*(T_PlannedOrders[EffectiveQty]&gt;0)*T_PlannedOrders[Order_Month])),"m月")&amp;"発注)")</f>
        <v/>
      </c>
      <c r="CM551">
        <f>IF(SUMIFS(T_PlannedOrders[EffectiveQty],T_PlannedOrders[Part Name],$A507,T_PlannedOrders[WeekIndex],88)=0,"",SUMIFS(T_PlannedOrders[EffectiveQty],T_PlannedOrders[Part Name],$A507,T_PlannedOrders[WeekIndex],88)&amp;" ("&amp;TEXT(SUMPRODUCT(MAX((T_PlannedOrders[Part Name]=$A507)*(T_PlannedOrders[WeekIndex]=88)*(T_PlannedOrders[EffectiveQty]&gt;0)*T_PlannedOrders[Order_Month])),"m月")&amp;"発注)")</f>
        <v/>
      </c>
      <c r="CN551">
        <f>IF(SUMIFS(T_PlannedOrders[EffectiveQty],T_PlannedOrders[Part Name],$A507,T_PlannedOrders[WeekIndex],89)=0,"",SUMIFS(T_PlannedOrders[EffectiveQty],T_PlannedOrders[Part Name],$A507,T_PlannedOrders[WeekIndex],89)&amp;" ("&amp;TEXT(SUMPRODUCT(MAX((T_PlannedOrders[Part Name]=$A507)*(T_PlannedOrders[WeekIndex]=89)*(T_PlannedOrders[EffectiveQty]&gt;0)*T_PlannedOrders[Order_Month])),"m月")&amp;"発注)")</f>
        <v/>
      </c>
      <c r="CO551">
        <f>IF(SUMIFS(T_PlannedOrders[EffectiveQty],T_PlannedOrders[Part Name],$A507,T_PlannedOrders[WeekIndex],90)=0,"",SUMIFS(T_PlannedOrders[EffectiveQty],T_PlannedOrders[Part Name],$A507,T_PlannedOrders[WeekIndex],90)&amp;" ("&amp;TEXT(SUMPRODUCT(MAX((T_PlannedOrders[Part Name]=$A507)*(T_PlannedOrders[WeekIndex]=90)*(T_PlannedOrders[EffectiveQty]&gt;0)*T_PlannedOrders[Order_Month])),"m月")&amp;"発注)")</f>
        <v/>
      </c>
      <c r="CP551">
        <f>IF(SUMIFS(T_PlannedOrders[EffectiveQty],T_PlannedOrders[Part Name],$A507,T_PlannedOrders[WeekIndex],91)=0,"",SUMIFS(T_PlannedOrders[EffectiveQty],T_PlannedOrders[Part Name],$A507,T_PlannedOrders[WeekIndex],91)&amp;" ("&amp;TEXT(SUMPRODUCT(MAX((T_PlannedOrders[Part Name]=$A507)*(T_PlannedOrders[WeekIndex]=91)*(T_PlannedOrders[EffectiveQty]&gt;0)*T_PlannedOrders[Order_Month])),"m月")&amp;"発注)")</f>
        <v/>
      </c>
      <c r="CQ551">
        <f>IF(SUMIFS(T_PlannedOrders[EffectiveQty],T_PlannedOrders[Part Name],$A507,T_PlannedOrders[WeekIndex],92)=0,"",SUMIFS(T_PlannedOrders[EffectiveQty],T_PlannedOrders[Part Name],$A507,T_PlannedOrders[WeekIndex],92)&amp;" ("&amp;TEXT(SUMPRODUCT(MAX((T_PlannedOrders[Part Name]=$A507)*(T_PlannedOrders[WeekIndex]=92)*(T_PlannedOrders[EffectiveQty]&gt;0)*T_PlannedOrders[Order_Month])),"m月")&amp;"発注)")</f>
        <v/>
      </c>
      <c r="CR551">
        <f>IF(SUMIFS(T_PlannedOrders[EffectiveQty],T_PlannedOrders[Part Name],$A507,T_PlannedOrders[WeekIndex],93)=0,"",SUMIFS(T_PlannedOrders[EffectiveQty],T_PlannedOrders[Part Name],$A507,T_PlannedOrders[WeekIndex],93)&amp;" ("&amp;TEXT(SUMPRODUCT(MAX((T_PlannedOrders[Part Name]=$A507)*(T_PlannedOrders[WeekIndex]=93)*(T_PlannedOrders[EffectiveQty]&gt;0)*T_PlannedOrders[Order_Month])),"m月")&amp;"発注)")</f>
        <v/>
      </c>
      <c r="CS551">
        <f>IF(SUMIFS(T_PlannedOrders[EffectiveQty],T_PlannedOrders[Part Name],$A507,T_PlannedOrders[WeekIndex],94)=0,"",SUMIFS(T_PlannedOrders[EffectiveQty],T_PlannedOrders[Part Name],$A507,T_PlannedOrders[WeekIndex],94)&amp;" ("&amp;TEXT(SUMPRODUCT(MAX((T_PlannedOrders[Part Name]=$A507)*(T_PlannedOrders[WeekIndex]=94)*(T_PlannedOrders[EffectiveQty]&gt;0)*T_PlannedOrders[Order_Month])),"m月")&amp;"発注)")</f>
        <v/>
      </c>
      <c r="CT551">
        <f>IF(SUMIFS(T_PlannedOrders[EffectiveQty],T_PlannedOrders[Part Name],$A507,T_PlannedOrders[WeekIndex],95)=0,"",SUMIFS(T_PlannedOrders[EffectiveQty],T_PlannedOrders[Part Name],$A507,T_PlannedOrders[WeekIndex],95)&amp;" ("&amp;TEXT(SUMPRODUCT(MAX((T_PlannedOrders[Part Name]=$A507)*(T_PlannedOrders[WeekIndex]=95)*(T_PlannedOrders[EffectiveQty]&gt;0)*T_PlannedOrders[Order_Month])),"m月")&amp;"発注)")</f>
        <v/>
      </c>
      <c r="CU551">
        <f>IF(SUMIFS(T_PlannedOrders[EffectiveQty],T_PlannedOrders[Part Name],$A507,T_PlannedOrders[WeekIndex],96)=0,"",SUMIFS(T_PlannedOrders[EffectiveQty],T_PlannedOrders[Part Name],$A507,T_PlannedOrders[WeekIndex],96)&amp;" ("&amp;TEXT(SUMPRODUCT(MAX((T_PlannedOrders[Part Name]=$A507)*(T_PlannedOrders[WeekIndex]=96)*(T_PlannedOrders[EffectiveQty]&gt;0)*T_PlannedOrders[Order_Month])),"m月")&amp;"発注)")</f>
        <v/>
      </c>
      <c r="CV551">
        <f>IF(SUMIFS(T_PlannedOrders[EffectiveQty],T_PlannedOrders[Part Name],$A507,T_PlannedOrders[WeekIndex],97)=0,"",SUMIFS(T_PlannedOrders[EffectiveQty],T_PlannedOrders[Part Name],$A507,T_PlannedOrders[WeekIndex],97)&amp;" ("&amp;TEXT(SUMPRODUCT(MAX((T_PlannedOrders[Part Name]=$A507)*(T_PlannedOrders[WeekIndex]=97)*(T_PlannedOrders[EffectiveQty]&gt;0)*T_PlannedOrders[Order_Month])),"m月")&amp;"発注)")</f>
        <v/>
      </c>
      <c r="CW551">
        <f>IF(SUMIFS(T_PlannedOrders[EffectiveQty],T_PlannedOrders[Part Name],$A507,T_PlannedOrders[WeekIndex],98)=0,"",SUMIFS(T_PlannedOrders[EffectiveQty],T_PlannedOrders[Part Name],$A507,T_PlannedOrders[WeekIndex],98)&amp;" ("&amp;TEXT(SUMPRODUCT(MAX((T_PlannedOrders[Part Name]=$A507)*(T_PlannedOrders[WeekIndex]=98)*(T_PlannedOrders[EffectiveQty]&gt;0)*T_PlannedOrders[Order_Month])),"m月")&amp;"発注)")</f>
        <v/>
      </c>
      <c r="CX551">
        <f>IF(SUMIFS(T_PlannedOrders[EffectiveQty],T_PlannedOrders[Part Name],$A507,T_PlannedOrders[WeekIndex],99)=0,"",SUMIFS(T_PlannedOrders[EffectiveQty],T_PlannedOrders[Part Name],$A507,T_PlannedOrders[WeekIndex],99)&amp;" ("&amp;TEXT(SUMPRODUCT(MAX((T_PlannedOrders[Part Name]=$A507)*(T_PlannedOrders[WeekIndex]=99)*(T_PlannedOrders[EffectiveQty]&gt;0)*T_PlannedOrders[Order_Month])),"m月")&amp;"発注)")</f>
        <v/>
      </c>
      <c r="CY551">
        <f>IF(SUMIFS(T_PlannedOrders[EffectiveQty],T_PlannedOrders[Part Name],$A507,T_PlannedOrders[WeekIndex],100)=0,"",SUMIFS(T_PlannedOrders[EffectiveQty],T_PlannedOrders[Part Name],$A507,T_PlannedOrders[WeekIndex],100)&amp;" ("&amp;TEXT(SUMPRODUCT(MAX((T_PlannedOrders[Part Name]=$A507)*(T_PlannedOrders[WeekIndex]=100)*(T_PlannedOrders[EffectiveQty]&gt;0)*T_PlannedOrders[Order_Month])),"m月")&amp;"発注)")</f>
        <v/>
      </c>
      <c r="CZ551">
        <f>IF(SUMIFS(T_PlannedOrders[EffectiveQty],T_PlannedOrders[Part Name],$A507,T_PlannedOrders[WeekIndex],101)=0,"",SUMIFS(T_PlannedOrders[EffectiveQty],T_PlannedOrders[Part Name],$A507,T_PlannedOrders[WeekIndex],101)&amp;" ("&amp;TEXT(SUMPRODUCT(MAX((T_PlannedOrders[Part Name]=$A507)*(T_PlannedOrders[WeekIndex]=101)*(T_PlannedOrders[EffectiveQty]&gt;0)*T_PlannedOrders[Order_Month])),"m月")&amp;"発注)")</f>
        <v/>
      </c>
      <c r="DA551">
        <f>IF(SUMIFS(T_PlannedOrders[EffectiveQty],T_PlannedOrders[Part Name],$A507,T_PlannedOrders[WeekIndex],102)=0,"",SUMIFS(T_PlannedOrders[EffectiveQty],T_PlannedOrders[Part Name],$A507,T_PlannedOrders[WeekIndex],102)&amp;" ("&amp;TEXT(SUMPRODUCT(MAX((T_PlannedOrders[Part Name]=$A507)*(T_PlannedOrders[WeekIndex]=102)*(T_PlannedOrders[EffectiveQty]&gt;0)*T_PlannedOrders[Order_Month])),"m月")&amp;"発注)")</f>
        <v/>
      </c>
      <c r="DB551">
        <f>IF(SUMIFS(T_PlannedOrders[EffectiveQty],T_PlannedOrders[Part Name],$A507,T_PlannedOrders[WeekIndex],103)=0,"",SUMIFS(T_PlannedOrders[EffectiveQty],T_PlannedOrders[Part Name],$A507,T_PlannedOrders[WeekIndex],103)&amp;" ("&amp;TEXT(SUMPRODUCT(MAX((T_PlannedOrders[Part Name]=$A507)*(T_PlannedOrders[WeekIndex]=103)*(T_PlannedOrders[EffectiveQty]&gt;0)*T_PlannedOrders[Order_Month])),"m月")&amp;"発注)")</f>
        <v/>
      </c>
      <c r="DC551">
        <f>IF(SUMIFS(T_PlannedOrders[EffectiveQty],T_PlannedOrders[Part Name],$A507,T_PlannedOrders[WeekIndex],104)=0,"",SUMIFS(T_PlannedOrders[EffectiveQty],T_PlannedOrders[Part Name],$A507,T_PlannedOrders[WeekIndex],104)&amp;" ("&amp;TEXT(SUMPRODUCT(MAX((T_PlannedOrders[Part Name]=$A507)*(T_PlannedOrders[WeekIndex]=104)*(T_PlannedOrders[EffectiveQty]&gt;0)*T_PlannedOrders[Order_Month])),"m月")&amp;"発注)")</f>
        <v/>
      </c>
    </row>
    <row r="552">
      <c r="B552" s="4" t="inlineStr">
        <is>
          <t>合計在庫(週末時点,kg)</t>
        </is>
      </c>
      <c r="D552">
        <f>'Grid_Stock'!B19</f>
        <v/>
      </c>
      <c r="E552">
        <f>'Grid_Stock'!C19</f>
        <v/>
      </c>
      <c r="F552">
        <f>'Grid_Stock'!D19</f>
        <v/>
      </c>
      <c r="G552">
        <f>'Grid_Stock'!E19</f>
        <v/>
      </c>
      <c r="H552">
        <f>'Grid_Stock'!F19</f>
        <v/>
      </c>
      <c r="I552">
        <f>'Grid_Stock'!G19</f>
        <v/>
      </c>
      <c r="J552">
        <f>'Grid_Stock'!H19</f>
        <v/>
      </c>
      <c r="K552">
        <f>'Grid_Stock'!I19</f>
        <v/>
      </c>
      <c r="L552">
        <f>'Grid_Stock'!J19</f>
        <v/>
      </c>
      <c r="M552">
        <f>'Grid_Stock'!K19</f>
        <v/>
      </c>
      <c r="N552">
        <f>'Grid_Stock'!L19</f>
        <v/>
      </c>
      <c r="O552">
        <f>'Grid_Stock'!M19</f>
        <v/>
      </c>
      <c r="P552">
        <f>'Grid_Stock'!N19</f>
        <v/>
      </c>
      <c r="Q552">
        <f>'Grid_Stock'!O19</f>
        <v/>
      </c>
      <c r="R552">
        <f>'Grid_Stock'!P19</f>
        <v/>
      </c>
      <c r="S552">
        <f>'Grid_Stock'!Q19</f>
        <v/>
      </c>
      <c r="T552">
        <f>'Grid_Stock'!R19</f>
        <v/>
      </c>
      <c r="U552">
        <f>'Grid_Stock'!S19</f>
        <v/>
      </c>
      <c r="V552">
        <f>'Grid_Stock'!T19</f>
        <v/>
      </c>
      <c r="W552">
        <f>'Grid_Stock'!U19</f>
        <v/>
      </c>
      <c r="X552">
        <f>'Grid_Stock'!V19</f>
        <v/>
      </c>
      <c r="Y552">
        <f>'Grid_Stock'!W19</f>
        <v/>
      </c>
      <c r="Z552">
        <f>'Grid_Stock'!X19</f>
        <v/>
      </c>
      <c r="AA552">
        <f>'Grid_Stock'!Y19</f>
        <v/>
      </c>
      <c r="AB552">
        <f>'Grid_Stock'!Z19</f>
        <v/>
      </c>
      <c r="AC552">
        <f>'Grid_Stock'!AA19</f>
        <v/>
      </c>
      <c r="AD552">
        <f>'Grid_Stock'!AB19</f>
        <v/>
      </c>
      <c r="AE552">
        <f>'Grid_Stock'!AC19</f>
        <v/>
      </c>
      <c r="AF552">
        <f>'Grid_Stock'!AD19</f>
        <v/>
      </c>
      <c r="AG552">
        <f>'Grid_Stock'!AE19</f>
        <v/>
      </c>
      <c r="AH552">
        <f>'Grid_Stock'!AF19</f>
        <v/>
      </c>
      <c r="AI552">
        <f>'Grid_Stock'!AG19</f>
        <v/>
      </c>
      <c r="AJ552">
        <f>'Grid_Stock'!AH19</f>
        <v/>
      </c>
      <c r="AK552">
        <f>'Grid_Stock'!AI19</f>
        <v/>
      </c>
      <c r="AL552">
        <f>'Grid_Stock'!AJ19</f>
        <v/>
      </c>
      <c r="AM552">
        <f>'Grid_Stock'!AK19</f>
        <v/>
      </c>
      <c r="AN552">
        <f>'Grid_Stock'!AL19</f>
        <v/>
      </c>
      <c r="AO552">
        <f>'Grid_Stock'!AM19</f>
        <v/>
      </c>
      <c r="AP552">
        <f>'Grid_Stock'!AN19</f>
        <v/>
      </c>
      <c r="AQ552">
        <f>'Grid_Stock'!AO19</f>
        <v/>
      </c>
      <c r="AR552">
        <f>'Grid_Stock'!AP19</f>
        <v/>
      </c>
      <c r="AS552">
        <f>'Grid_Stock'!AQ19</f>
        <v/>
      </c>
      <c r="AT552">
        <f>'Grid_Stock'!AR19</f>
        <v/>
      </c>
      <c r="AU552">
        <f>'Grid_Stock'!AS19</f>
        <v/>
      </c>
      <c r="AV552">
        <f>'Grid_Stock'!AT19</f>
        <v/>
      </c>
      <c r="AW552">
        <f>'Grid_Stock'!AU19</f>
        <v/>
      </c>
      <c r="AX552">
        <f>'Grid_Stock'!AV19</f>
        <v/>
      </c>
      <c r="AY552">
        <f>'Grid_Stock'!AW19</f>
        <v/>
      </c>
      <c r="AZ552">
        <f>'Grid_Stock'!AX19</f>
        <v/>
      </c>
      <c r="BA552">
        <f>'Grid_Stock'!AY19</f>
        <v/>
      </c>
      <c r="BB552">
        <f>'Grid_Stock'!AZ19</f>
        <v/>
      </c>
      <c r="BC552">
        <f>'Grid_Stock'!BA19</f>
        <v/>
      </c>
      <c r="BD552">
        <f>'Grid_Stock'!BB19</f>
        <v/>
      </c>
      <c r="BE552">
        <f>'Grid_Stock'!BC19</f>
        <v/>
      </c>
      <c r="BF552">
        <f>'Grid_Stock'!BD19</f>
        <v/>
      </c>
      <c r="BG552">
        <f>'Grid_Stock'!BE19</f>
        <v/>
      </c>
      <c r="BH552">
        <f>'Grid_Stock'!BF19</f>
        <v/>
      </c>
      <c r="BI552">
        <f>'Grid_Stock'!BG19</f>
        <v/>
      </c>
      <c r="BJ552">
        <f>'Grid_Stock'!BH19</f>
        <v/>
      </c>
      <c r="BK552">
        <f>'Grid_Stock'!BI19</f>
        <v/>
      </c>
      <c r="BL552">
        <f>'Grid_Stock'!BJ19</f>
        <v/>
      </c>
      <c r="BM552">
        <f>'Grid_Stock'!BK19</f>
        <v/>
      </c>
      <c r="BN552">
        <f>'Grid_Stock'!BL19</f>
        <v/>
      </c>
      <c r="BO552">
        <f>'Grid_Stock'!BM19</f>
        <v/>
      </c>
      <c r="BP552">
        <f>'Grid_Stock'!BN19</f>
        <v/>
      </c>
      <c r="BQ552">
        <f>'Grid_Stock'!BO19</f>
        <v/>
      </c>
      <c r="BR552">
        <f>'Grid_Stock'!BP19</f>
        <v/>
      </c>
      <c r="BS552">
        <f>'Grid_Stock'!BQ19</f>
        <v/>
      </c>
      <c r="BT552">
        <f>'Grid_Stock'!BR19</f>
        <v/>
      </c>
      <c r="BU552">
        <f>'Grid_Stock'!BS19</f>
        <v/>
      </c>
      <c r="BV552">
        <f>'Grid_Stock'!BT19</f>
        <v/>
      </c>
      <c r="BW552">
        <f>'Grid_Stock'!BU19</f>
        <v/>
      </c>
      <c r="BX552">
        <f>'Grid_Stock'!BV19</f>
        <v/>
      </c>
      <c r="BY552">
        <f>'Grid_Stock'!BW19</f>
        <v/>
      </c>
      <c r="BZ552">
        <f>'Grid_Stock'!BX19</f>
        <v/>
      </c>
      <c r="CA552">
        <f>'Grid_Stock'!BY19</f>
        <v/>
      </c>
      <c r="CB552">
        <f>'Grid_Stock'!BZ19</f>
        <v/>
      </c>
      <c r="CC552">
        <f>'Grid_Stock'!CA19</f>
        <v/>
      </c>
      <c r="CD552">
        <f>'Grid_Stock'!CB19</f>
        <v/>
      </c>
      <c r="CE552">
        <f>'Grid_Stock'!CC19</f>
        <v/>
      </c>
      <c r="CF552">
        <f>'Grid_Stock'!CD19</f>
        <v/>
      </c>
      <c r="CG552">
        <f>'Grid_Stock'!CE19</f>
        <v/>
      </c>
      <c r="CH552">
        <f>'Grid_Stock'!CF19</f>
        <v/>
      </c>
      <c r="CI552">
        <f>'Grid_Stock'!CG19</f>
        <v/>
      </c>
      <c r="CJ552">
        <f>'Grid_Stock'!CH19</f>
        <v/>
      </c>
      <c r="CK552">
        <f>'Grid_Stock'!CI19</f>
        <v/>
      </c>
      <c r="CL552">
        <f>'Grid_Stock'!CJ19</f>
        <v/>
      </c>
      <c r="CM552">
        <f>'Grid_Stock'!CK19</f>
        <v/>
      </c>
      <c r="CN552">
        <f>'Grid_Stock'!CL19</f>
        <v/>
      </c>
      <c r="CO552">
        <f>'Grid_Stock'!CM19</f>
        <v/>
      </c>
      <c r="CP552">
        <f>'Grid_Stock'!CN19</f>
        <v/>
      </c>
      <c r="CQ552">
        <f>'Grid_Stock'!CO19</f>
        <v/>
      </c>
      <c r="CR552">
        <f>'Grid_Stock'!CP19</f>
        <v/>
      </c>
      <c r="CS552">
        <f>'Grid_Stock'!CQ19</f>
        <v/>
      </c>
      <c r="CT552">
        <f>'Grid_Stock'!CR19</f>
        <v/>
      </c>
      <c r="CU552">
        <f>'Grid_Stock'!CS19</f>
        <v/>
      </c>
      <c r="CV552">
        <f>'Grid_Stock'!CT19</f>
        <v/>
      </c>
      <c r="CW552">
        <f>'Grid_Stock'!CU19</f>
        <v/>
      </c>
      <c r="CX552">
        <f>'Grid_Stock'!CV19</f>
        <v/>
      </c>
      <c r="CY552">
        <f>'Grid_Stock'!CW19</f>
        <v/>
      </c>
      <c r="CZ552">
        <f>'Grid_Stock'!CX19</f>
        <v/>
      </c>
      <c r="DA552">
        <f>'Grid_Stock'!CY19</f>
        <v/>
      </c>
      <c r="DB552">
        <f>'Grid_Stock'!CZ19</f>
        <v/>
      </c>
      <c r="DC552">
        <f>'Grid_Stock'!DA19</f>
        <v/>
      </c>
    </row>
    <row r="553">
      <c r="B553" s="16" t="inlineStr">
        <is>
          <t>（発注の目安はDashboardの基準在庫[下限/上限]と色分けを参照）</t>
        </is>
      </c>
    </row>
    <row r="555">
      <c r="A555" s="14" t="inlineStr">
        <is>
          <t>CHEM-1510</t>
        </is>
      </c>
      <c r="B555" s="14" t="inlineStr">
        <is>
          <t>BA-070</t>
        </is>
      </c>
      <c r="C555" s="15" t="n"/>
      <c r="D555" s="14" t="n"/>
      <c r="E555" s="14" t="n"/>
      <c r="F555" s="14" t="n"/>
      <c r="G555" s="14" t="n"/>
      <c r="H555" s="14" t="n"/>
      <c r="I555" s="14" t="n"/>
      <c r="J555" s="14" t="n"/>
      <c r="K555" s="14" t="n"/>
      <c r="L555" s="14" t="n"/>
      <c r="M555" s="14" t="n"/>
      <c r="N555" s="14" t="n"/>
      <c r="O555" s="14" t="n"/>
      <c r="P555" s="14" t="n"/>
      <c r="Q555" s="14" t="n"/>
      <c r="R555" s="14" t="n"/>
      <c r="S555" s="14" t="n"/>
      <c r="T555" s="14" t="n"/>
      <c r="U555" s="14" t="n"/>
      <c r="V555" s="14" t="n"/>
      <c r="W555" s="14" t="n"/>
      <c r="X555" s="14" t="n"/>
      <c r="Y555" s="14" t="n"/>
      <c r="Z555" s="14" t="n"/>
      <c r="AA555" s="14" t="n"/>
      <c r="AB555" s="14" t="n"/>
      <c r="AC555" s="14" t="n"/>
      <c r="AD555" s="14" t="n"/>
      <c r="AE555" s="14" t="n"/>
      <c r="AF555" s="14" t="n"/>
      <c r="AG555" s="14" t="n"/>
      <c r="AH555" s="14" t="n"/>
      <c r="AI555" s="14" t="n"/>
      <c r="AJ555" s="14" t="n"/>
      <c r="AK555" s="14" t="n"/>
      <c r="AL555" s="14" t="n"/>
      <c r="AM555" s="14" t="n"/>
      <c r="AN555" s="14" t="n"/>
      <c r="AO555" s="14" t="n"/>
      <c r="AP555" s="14" t="n"/>
      <c r="AQ555" s="14" t="n"/>
      <c r="AR555" s="14" t="n"/>
      <c r="AS555" s="14" t="n"/>
      <c r="AT555" s="14" t="n"/>
      <c r="AU555" s="14" t="n"/>
      <c r="AV555" s="14" t="n"/>
      <c r="AW555" s="14" t="n"/>
      <c r="AX555" s="14" t="n"/>
      <c r="AY555" s="14" t="n"/>
      <c r="AZ555" s="14" t="n"/>
      <c r="BA555" s="14" t="n"/>
      <c r="BB555" s="14" t="n"/>
      <c r="BC555" s="14" t="n"/>
      <c r="BD555" s="14" t="n"/>
      <c r="BE555" s="14" t="n"/>
      <c r="BF555" s="14" t="n"/>
      <c r="BG555" s="14" t="n"/>
      <c r="BH555" s="14" t="n"/>
      <c r="BI555" s="14" t="n"/>
      <c r="BJ555" s="14" t="n"/>
      <c r="BK555" s="14" t="n"/>
      <c r="BL555" s="14" t="n"/>
      <c r="BM555" s="14" t="n"/>
      <c r="BN555" s="14" t="n"/>
      <c r="BO555" s="14" t="n"/>
      <c r="BP555" s="14" t="n"/>
      <c r="BQ555" s="14" t="n"/>
      <c r="BR555" s="14" t="n"/>
      <c r="BS555" s="14" t="n"/>
      <c r="BT555" s="14" t="n"/>
      <c r="BU555" s="14" t="n"/>
      <c r="BV555" s="14" t="n"/>
      <c r="BW555" s="14" t="n"/>
      <c r="BX555" s="14" t="n"/>
      <c r="BY555" s="14" t="n"/>
      <c r="BZ555" s="14" t="n"/>
      <c r="CA555" s="14" t="n"/>
      <c r="CB555" s="14" t="n"/>
      <c r="CC555" s="14" t="n"/>
      <c r="CD555" s="14" t="n"/>
      <c r="CE555" s="14" t="n"/>
      <c r="CF555" s="14" t="n"/>
      <c r="CG555" s="14" t="n"/>
      <c r="CH555" s="14" t="n"/>
      <c r="CI555" s="14" t="n"/>
      <c r="CJ555" s="14" t="n"/>
      <c r="CK555" s="14" t="n"/>
      <c r="CL555" s="14" t="n"/>
      <c r="CM555" s="14" t="n"/>
      <c r="CN555" s="14" t="n"/>
      <c r="CO555" s="14" t="n"/>
      <c r="CP555" s="14" t="n"/>
      <c r="CQ555" s="14" t="n"/>
      <c r="CR555" s="14" t="n"/>
      <c r="CS555" s="14" t="n"/>
      <c r="CT555" s="14" t="n"/>
      <c r="CU555" s="14" t="n"/>
      <c r="CV555" s="14" t="n"/>
      <c r="CW555" s="14" t="n"/>
      <c r="CX555" s="14" t="n"/>
      <c r="CY555" s="14" t="n"/>
      <c r="CZ555" s="14" t="n"/>
      <c r="DA555" s="14" t="n"/>
      <c r="DB555" s="14" t="n"/>
      <c r="DC555" s="14" t="n"/>
    </row>
    <row r="556">
      <c r="B556" t="inlineStr">
        <is>
          <t>TSP-219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Name],$A555)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TSP-360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Name],$A555)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TSP-367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Name],$A555)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TSP-544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Name],$A555)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TSP-710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Name],$A555)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TSZ-616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Name],$A555)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VSP-739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Name],$A555)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VSP-820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Name],$A555)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VSP-869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Name],$A555)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t="inlineStr">
        <is>
          <t>VSP-989</t>
        </is>
      </c>
      <c r="C574" t="inlineStr">
        <is>
          <t>No. of batches</t>
        </is>
      </c>
      <c r="D574">
        <f>IFERROR(INDEX(PP_Grid[#Data],$DD574,2),0)</f>
        <v/>
      </c>
      <c r="E574">
        <f>IFERROR(INDEX(PP_Grid[#Data],$DD574,3),0)</f>
        <v/>
      </c>
      <c r="F574">
        <f>IFERROR(INDEX(PP_Grid[#Data],$DD574,4),0)</f>
        <v/>
      </c>
      <c r="G574">
        <f>IFERROR(INDEX(PP_Grid[#Data],$DD574,5),0)</f>
        <v/>
      </c>
      <c r="H574">
        <f>IFERROR(INDEX(PP_Grid[#Data],$DD574,6),0)</f>
        <v/>
      </c>
      <c r="I574">
        <f>IFERROR(INDEX(PP_Grid[#Data],$DD574,7),0)</f>
        <v/>
      </c>
      <c r="J574">
        <f>IFERROR(INDEX(PP_Grid[#Data],$DD574,8),0)</f>
        <v/>
      </c>
      <c r="K574">
        <f>IFERROR(INDEX(PP_Grid[#Data],$DD574,9),0)</f>
        <v/>
      </c>
      <c r="L574">
        <f>IFERROR(INDEX(PP_Grid[#Data],$DD574,10),0)</f>
        <v/>
      </c>
      <c r="M574">
        <f>IFERROR(INDEX(PP_Grid[#Data],$DD574,11),0)</f>
        <v/>
      </c>
      <c r="N574">
        <f>IFERROR(INDEX(PP_Grid[#Data],$DD574,12),0)</f>
        <v/>
      </c>
      <c r="O574">
        <f>IFERROR(INDEX(PP_Grid[#Data],$DD574,13),0)</f>
        <v/>
      </c>
      <c r="P574">
        <f>IFERROR(INDEX(PP_Grid[#Data],$DD574,14),0)</f>
        <v/>
      </c>
      <c r="Q574">
        <f>IFERROR(INDEX(PP_Grid[#Data],$DD574,15),0)</f>
        <v/>
      </c>
      <c r="R574">
        <f>IFERROR(INDEX(PP_Grid[#Data],$DD574,16),0)</f>
        <v/>
      </c>
      <c r="S574">
        <f>IFERROR(INDEX(PP_Grid[#Data],$DD574,17),0)</f>
        <v/>
      </c>
      <c r="T574">
        <f>IFERROR(INDEX(PP_Grid[#Data],$DD574,18),0)</f>
        <v/>
      </c>
      <c r="U574">
        <f>IFERROR(INDEX(PP_Grid[#Data],$DD574,19),0)</f>
        <v/>
      </c>
      <c r="V574">
        <f>IFERROR(INDEX(PP_Grid[#Data],$DD574,20),0)</f>
        <v/>
      </c>
      <c r="W574">
        <f>IFERROR(INDEX(PP_Grid[#Data],$DD574,21),0)</f>
        <v/>
      </c>
      <c r="X574">
        <f>IFERROR(INDEX(PP_Grid[#Data],$DD574,22),0)</f>
        <v/>
      </c>
      <c r="Y574">
        <f>IFERROR(INDEX(PP_Grid[#Data],$DD574,23),0)</f>
        <v/>
      </c>
      <c r="Z574">
        <f>IFERROR(INDEX(PP_Grid[#Data],$DD574,24),0)</f>
        <v/>
      </c>
      <c r="AA574">
        <f>IFERROR(INDEX(PP_Grid[#Data],$DD574,25),0)</f>
        <v/>
      </c>
      <c r="AB574">
        <f>IFERROR(INDEX(PP_Grid[#Data],$DD574,26),0)</f>
        <v/>
      </c>
      <c r="AC574">
        <f>IFERROR(INDEX(PP_Grid[#Data],$DD574,27),0)</f>
        <v/>
      </c>
      <c r="AD574">
        <f>IFERROR(INDEX(PP_Grid[#Data],$DD574,28),0)</f>
        <v/>
      </c>
      <c r="AE574">
        <f>IFERROR(INDEX(PP_Grid[#Data],$DD574,29),0)</f>
        <v/>
      </c>
      <c r="AF574">
        <f>IFERROR(INDEX(PP_Grid[#Data],$DD574,30),0)</f>
        <v/>
      </c>
      <c r="AG574">
        <f>IFERROR(INDEX(PP_Grid[#Data],$DD574,31),0)</f>
        <v/>
      </c>
      <c r="AH574">
        <f>IFERROR(INDEX(PP_Grid[#Data],$DD574,32),0)</f>
        <v/>
      </c>
      <c r="AI574">
        <f>IFERROR(INDEX(PP_Grid[#Data],$DD574,33),0)</f>
        <v/>
      </c>
      <c r="AJ574">
        <f>IFERROR(INDEX(PP_Grid[#Data],$DD574,34),0)</f>
        <v/>
      </c>
      <c r="AK574">
        <f>IFERROR(INDEX(PP_Grid[#Data],$DD574,35),0)</f>
        <v/>
      </c>
      <c r="AL574">
        <f>IFERROR(INDEX(PP_Grid[#Data],$DD574,36),0)</f>
        <v/>
      </c>
      <c r="AM574">
        <f>IFERROR(INDEX(PP_Grid[#Data],$DD574,37),0)</f>
        <v/>
      </c>
      <c r="AN574">
        <f>IFERROR(INDEX(PP_Grid[#Data],$DD574,38),0)</f>
        <v/>
      </c>
      <c r="AO574">
        <f>IFERROR(INDEX(PP_Grid[#Data],$DD574,39),0)</f>
        <v/>
      </c>
      <c r="AP574">
        <f>IFERROR(INDEX(PP_Grid[#Data],$DD574,40),0)</f>
        <v/>
      </c>
      <c r="AQ574">
        <f>IFERROR(INDEX(PP_Grid[#Data],$DD574,41),0)</f>
        <v/>
      </c>
      <c r="AR574">
        <f>IFERROR(INDEX(PP_Grid[#Data],$DD574,42),0)</f>
        <v/>
      </c>
      <c r="AS574">
        <f>IFERROR(INDEX(PP_Grid[#Data],$DD574,43),0)</f>
        <v/>
      </c>
      <c r="AT574">
        <f>IFERROR(INDEX(PP_Grid[#Data],$DD574,44),0)</f>
        <v/>
      </c>
      <c r="AU574">
        <f>IFERROR(INDEX(PP_Grid[#Data],$DD574,45),0)</f>
        <v/>
      </c>
      <c r="AV574">
        <f>IFERROR(INDEX(PP_Grid[#Data],$DD574,46),0)</f>
        <v/>
      </c>
      <c r="AW574">
        <f>IFERROR(INDEX(PP_Grid[#Data],$DD574,47),0)</f>
        <v/>
      </c>
      <c r="AX574">
        <f>IFERROR(INDEX(PP_Grid[#Data],$DD574,48),0)</f>
        <v/>
      </c>
      <c r="AY574">
        <f>IFERROR(INDEX(PP_Grid[#Data],$DD574,49),0)</f>
        <v/>
      </c>
      <c r="AZ574">
        <f>IFERROR(INDEX(PP_Grid[#Data],$DD574,50),0)</f>
        <v/>
      </c>
      <c r="BA574">
        <f>IFERROR(INDEX(PP_Grid[#Data],$DD574,51),0)</f>
        <v/>
      </c>
      <c r="BB574">
        <f>IFERROR(INDEX(PP_Grid[#Data],$DD574,52),0)</f>
        <v/>
      </c>
      <c r="BC574">
        <f>IFERROR(INDEX(PP_Grid[#Data],$DD574,53),0)</f>
        <v/>
      </c>
      <c r="BD574">
        <f>IFERROR(INDEX(PP_Grid[#Data],$DD574,54),0)</f>
        <v/>
      </c>
      <c r="BE574">
        <f>IFERROR(INDEX(PP_Grid[#Data],$DD574,55),0)</f>
        <v/>
      </c>
      <c r="BF574">
        <f>IFERROR(INDEX(PP_Grid[#Data],$DD574,56),0)</f>
        <v/>
      </c>
      <c r="BG574">
        <f>IFERROR(INDEX(PP_Grid[#Data],$DD574,57),0)</f>
        <v/>
      </c>
      <c r="BH574">
        <f>IFERROR(INDEX(PP_Grid[#Data],$DD574,58),0)</f>
        <v/>
      </c>
      <c r="BI574">
        <f>IFERROR(INDEX(PP_Grid[#Data],$DD574,59),0)</f>
        <v/>
      </c>
      <c r="BJ574">
        <f>IFERROR(INDEX(PP_Grid[#Data],$DD574,60),0)</f>
        <v/>
      </c>
      <c r="BK574">
        <f>IFERROR(INDEX(PP_Grid[#Data],$DD574,61),0)</f>
        <v/>
      </c>
      <c r="BL574">
        <f>IFERROR(INDEX(PP_Grid[#Data],$DD574,62),0)</f>
        <v/>
      </c>
      <c r="BM574">
        <f>IFERROR(INDEX(PP_Grid[#Data],$DD574,63),0)</f>
        <v/>
      </c>
      <c r="BN574">
        <f>IFERROR(INDEX(PP_Grid[#Data],$DD574,64),0)</f>
        <v/>
      </c>
      <c r="BO574">
        <f>IFERROR(INDEX(PP_Grid[#Data],$DD574,65),0)</f>
        <v/>
      </c>
      <c r="BP574">
        <f>IFERROR(INDEX(PP_Grid[#Data],$DD574,66),0)</f>
        <v/>
      </c>
      <c r="BQ574">
        <f>IFERROR(INDEX(PP_Grid[#Data],$DD574,67),0)</f>
        <v/>
      </c>
      <c r="BR574">
        <f>IFERROR(INDEX(PP_Grid[#Data],$DD574,68),0)</f>
        <v/>
      </c>
      <c r="BS574">
        <f>IFERROR(INDEX(PP_Grid[#Data],$DD574,69),0)</f>
        <v/>
      </c>
      <c r="BT574">
        <f>IFERROR(INDEX(PP_Grid[#Data],$DD574,70),0)</f>
        <v/>
      </c>
      <c r="BU574">
        <f>IFERROR(INDEX(PP_Grid[#Data],$DD574,71),0)</f>
        <v/>
      </c>
      <c r="BV574">
        <f>IFERROR(INDEX(PP_Grid[#Data],$DD574,72),0)</f>
        <v/>
      </c>
      <c r="BW574">
        <f>IFERROR(INDEX(PP_Grid[#Data],$DD574,73),0)</f>
        <v/>
      </c>
      <c r="BX574">
        <f>IFERROR(INDEX(PP_Grid[#Data],$DD574,74),0)</f>
        <v/>
      </c>
      <c r="BY574">
        <f>IFERROR(INDEX(PP_Grid[#Data],$DD574,75),0)</f>
        <v/>
      </c>
      <c r="BZ574">
        <f>IFERROR(INDEX(PP_Grid[#Data],$DD574,76),0)</f>
        <v/>
      </c>
      <c r="CA574">
        <f>IFERROR(INDEX(PP_Grid[#Data],$DD574,77),0)</f>
        <v/>
      </c>
      <c r="CB574">
        <f>IFERROR(INDEX(PP_Grid[#Data],$DD574,78),0)</f>
        <v/>
      </c>
      <c r="CC574">
        <f>IFERROR(INDEX(PP_Grid[#Data],$DD574,79),0)</f>
        <v/>
      </c>
      <c r="CD574">
        <f>IFERROR(INDEX(PP_Grid[#Data],$DD574,80),0)</f>
        <v/>
      </c>
      <c r="CE574">
        <f>IFERROR(INDEX(PP_Grid[#Data],$DD574,81),0)</f>
        <v/>
      </c>
      <c r="CF574">
        <f>IFERROR(INDEX(PP_Grid[#Data],$DD574,82),0)</f>
        <v/>
      </c>
      <c r="CG574">
        <f>IFERROR(INDEX(PP_Grid[#Data],$DD574,83),0)</f>
        <v/>
      </c>
      <c r="CH574">
        <f>IFERROR(INDEX(PP_Grid[#Data],$DD574,84),0)</f>
        <v/>
      </c>
      <c r="CI574">
        <f>IFERROR(INDEX(PP_Grid[#Data],$DD574,85),0)</f>
        <v/>
      </c>
      <c r="CJ574">
        <f>IFERROR(INDEX(PP_Grid[#Data],$DD574,86),0)</f>
        <v/>
      </c>
      <c r="CK574">
        <f>IFERROR(INDEX(PP_Grid[#Data],$DD574,87),0)</f>
        <v/>
      </c>
      <c r="CL574">
        <f>IFERROR(INDEX(PP_Grid[#Data],$DD574,88),0)</f>
        <v/>
      </c>
      <c r="CM574">
        <f>IFERROR(INDEX(PP_Grid[#Data],$DD574,89),0)</f>
        <v/>
      </c>
      <c r="CN574">
        <f>IFERROR(INDEX(PP_Grid[#Data],$DD574,90),0)</f>
        <v/>
      </c>
      <c r="CO574">
        <f>IFERROR(INDEX(PP_Grid[#Data],$DD574,91),0)</f>
        <v/>
      </c>
      <c r="CP574">
        <f>IFERROR(INDEX(PP_Grid[#Data],$DD574,92),0)</f>
        <v/>
      </c>
      <c r="CQ574">
        <f>IFERROR(INDEX(PP_Grid[#Data],$DD574,93),0)</f>
        <v/>
      </c>
      <c r="CR574">
        <f>IFERROR(INDEX(PP_Grid[#Data],$DD574,94),0)</f>
        <v/>
      </c>
      <c r="CS574">
        <f>IFERROR(INDEX(PP_Grid[#Data],$DD574,95),0)</f>
        <v/>
      </c>
      <c r="CT574">
        <f>IFERROR(INDEX(PP_Grid[#Data],$DD574,96),0)</f>
        <v/>
      </c>
      <c r="CU574">
        <f>IFERROR(INDEX(PP_Grid[#Data],$DD574,97),0)</f>
        <v/>
      </c>
      <c r="CV574">
        <f>IFERROR(INDEX(PP_Grid[#Data],$DD574,98),0)</f>
        <v/>
      </c>
      <c r="CW574">
        <f>IFERROR(INDEX(PP_Grid[#Data],$DD574,99),0)</f>
        <v/>
      </c>
      <c r="CX574">
        <f>IFERROR(INDEX(PP_Grid[#Data],$DD574,100),0)</f>
        <v/>
      </c>
      <c r="CY574">
        <f>IFERROR(INDEX(PP_Grid[#Data],$DD574,101),0)</f>
        <v/>
      </c>
      <c r="CZ574">
        <f>IFERROR(INDEX(PP_Grid[#Data],$DD574,102),0)</f>
        <v/>
      </c>
      <c r="DA574">
        <f>IFERROR(INDEX(PP_Grid[#Data],$DD574,103),0)</f>
        <v/>
      </c>
      <c r="DB574">
        <f>IFERROR(INDEX(PP_Grid[#Data],$DD574,104),0)</f>
        <v/>
      </c>
      <c r="DC574">
        <f>IFERROR(INDEX(PP_Grid[#Data],$DD574,105),0)</f>
        <v/>
      </c>
      <c r="DD574" s="7">
        <f>IFERROR(MATCH($B574,PP_Grid[Intermediate],0),99999)</f>
        <v/>
      </c>
    </row>
    <row r="575">
      <c r="B575" t="inlineStr">
        <is>
          <t>使用量(kg)</t>
        </is>
      </c>
      <c r="C575">
        <f>SUMIFS(M_BOM[RM_Qty_Per_Batch],M_BOM[Intermediate],$B574,M_BOM[Part Name],$A555)</f>
        <v/>
      </c>
      <c r="D575">
        <f>$C575*D574</f>
        <v/>
      </c>
      <c r="E575">
        <f>$C575*E574</f>
        <v/>
      </c>
      <c r="F575">
        <f>$C575*F574</f>
        <v/>
      </c>
      <c r="G575">
        <f>$C575*G574</f>
        <v/>
      </c>
      <c r="H575">
        <f>$C575*H574</f>
        <v/>
      </c>
      <c r="I575">
        <f>$C575*I574</f>
        <v/>
      </c>
      <c r="J575">
        <f>$C575*J574</f>
        <v/>
      </c>
      <c r="K575">
        <f>$C575*K574</f>
        <v/>
      </c>
      <c r="L575">
        <f>$C575*L574</f>
        <v/>
      </c>
      <c r="M575">
        <f>$C575*M574</f>
        <v/>
      </c>
      <c r="N575">
        <f>$C575*N574</f>
        <v/>
      </c>
      <c r="O575">
        <f>$C575*O574</f>
        <v/>
      </c>
      <c r="P575">
        <f>$C575*P574</f>
        <v/>
      </c>
      <c r="Q575">
        <f>$C575*Q574</f>
        <v/>
      </c>
      <c r="R575">
        <f>$C575*R574</f>
        <v/>
      </c>
      <c r="S575">
        <f>$C575*S574</f>
        <v/>
      </c>
      <c r="T575">
        <f>$C575*T574</f>
        <v/>
      </c>
      <c r="U575">
        <f>$C575*U574</f>
        <v/>
      </c>
      <c r="V575">
        <f>$C575*V574</f>
        <v/>
      </c>
      <c r="W575">
        <f>$C575*W574</f>
        <v/>
      </c>
      <c r="X575">
        <f>$C575*X574</f>
        <v/>
      </c>
      <c r="Y575">
        <f>$C575*Y574</f>
        <v/>
      </c>
      <c r="Z575">
        <f>$C575*Z574</f>
        <v/>
      </c>
      <c r="AA575">
        <f>$C575*AA574</f>
        <v/>
      </c>
      <c r="AB575">
        <f>$C575*AB574</f>
        <v/>
      </c>
      <c r="AC575">
        <f>$C575*AC574</f>
        <v/>
      </c>
      <c r="AD575">
        <f>$C575*AD574</f>
        <v/>
      </c>
      <c r="AE575">
        <f>$C575*AE574</f>
        <v/>
      </c>
      <c r="AF575">
        <f>$C575*AF574</f>
        <v/>
      </c>
      <c r="AG575">
        <f>$C575*AG574</f>
        <v/>
      </c>
      <c r="AH575">
        <f>$C575*AH574</f>
        <v/>
      </c>
      <c r="AI575">
        <f>$C575*AI574</f>
        <v/>
      </c>
      <c r="AJ575">
        <f>$C575*AJ574</f>
        <v/>
      </c>
      <c r="AK575">
        <f>$C575*AK574</f>
        <v/>
      </c>
      <c r="AL575">
        <f>$C575*AL574</f>
        <v/>
      </c>
      <c r="AM575">
        <f>$C575*AM574</f>
        <v/>
      </c>
      <c r="AN575">
        <f>$C575*AN574</f>
        <v/>
      </c>
      <c r="AO575">
        <f>$C575*AO574</f>
        <v/>
      </c>
      <c r="AP575">
        <f>$C575*AP574</f>
        <v/>
      </c>
      <c r="AQ575">
        <f>$C575*AQ574</f>
        <v/>
      </c>
      <c r="AR575">
        <f>$C575*AR574</f>
        <v/>
      </c>
      <c r="AS575">
        <f>$C575*AS574</f>
        <v/>
      </c>
      <c r="AT575">
        <f>$C575*AT574</f>
        <v/>
      </c>
      <c r="AU575">
        <f>$C575*AU574</f>
        <v/>
      </c>
      <c r="AV575">
        <f>$C575*AV574</f>
        <v/>
      </c>
      <c r="AW575">
        <f>$C575*AW574</f>
        <v/>
      </c>
      <c r="AX575">
        <f>$C575*AX574</f>
        <v/>
      </c>
      <c r="AY575">
        <f>$C575*AY574</f>
        <v/>
      </c>
      <c r="AZ575">
        <f>$C575*AZ574</f>
        <v/>
      </c>
      <c r="BA575">
        <f>$C575*BA574</f>
        <v/>
      </c>
      <c r="BB575">
        <f>$C575*BB574</f>
        <v/>
      </c>
      <c r="BC575">
        <f>$C575*BC574</f>
        <v/>
      </c>
      <c r="BD575">
        <f>$C575*BD574</f>
        <v/>
      </c>
      <c r="BE575">
        <f>$C575*BE574</f>
        <v/>
      </c>
      <c r="BF575">
        <f>$C575*BF574</f>
        <v/>
      </c>
      <c r="BG575">
        <f>$C575*BG574</f>
        <v/>
      </c>
      <c r="BH575">
        <f>$C575*BH574</f>
        <v/>
      </c>
      <c r="BI575">
        <f>$C575*BI574</f>
        <v/>
      </c>
      <c r="BJ575">
        <f>$C575*BJ574</f>
        <v/>
      </c>
      <c r="BK575">
        <f>$C575*BK574</f>
        <v/>
      </c>
      <c r="BL575">
        <f>$C575*BL574</f>
        <v/>
      </c>
      <c r="BM575">
        <f>$C575*BM574</f>
        <v/>
      </c>
      <c r="BN575">
        <f>$C575*BN574</f>
        <v/>
      </c>
      <c r="BO575">
        <f>$C575*BO574</f>
        <v/>
      </c>
      <c r="BP575">
        <f>$C575*BP574</f>
        <v/>
      </c>
      <c r="BQ575">
        <f>$C575*BQ574</f>
        <v/>
      </c>
      <c r="BR575">
        <f>$C575*BR574</f>
        <v/>
      </c>
      <c r="BS575">
        <f>$C575*BS574</f>
        <v/>
      </c>
      <c r="BT575">
        <f>$C575*BT574</f>
        <v/>
      </c>
      <c r="BU575">
        <f>$C575*BU574</f>
        <v/>
      </c>
      <c r="BV575">
        <f>$C575*BV574</f>
        <v/>
      </c>
      <c r="BW575">
        <f>$C575*BW574</f>
        <v/>
      </c>
      <c r="BX575">
        <f>$C575*BX574</f>
        <v/>
      </c>
      <c r="BY575">
        <f>$C575*BY574</f>
        <v/>
      </c>
      <c r="BZ575">
        <f>$C575*BZ574</f>
        <v/>
      </c>
      <c r="CA575">
        <f>$C575*CA574</f>
        <v/>
      </c>
      <c r="CB575">
        <f>$C575*CB574</f>
        <v/>
      </c>
      <c r="CC575">
        <f>$C575*CC574</f>
        <v/>
      </c>
      <c r="CD575">
        <f>$C575*CD574</f>
        <v/>
      </c>
      <c r="CE575">
        <f>$C575*CE574</f>
        <v/>
      </c>
      <c r="CF575">
        <f>$C575*CF574</f>
        <v/>
      </c>
      <c r="CG575">
        <f>$C575*CG574</f>
        <v/>
      </c>
      <c r="CH575">
        <f>$C575*CH574</f>
        <v/>
      </c>
      <c r="CI575">
        <f>$C575*CI574</f>
        <v/>
      </c>
      <c r="CJ575">
        <f>$C575*CJ574</f>
        <v/>
      </c>
      <c r="CK575">
        <f>$C575*CK574</f>
        <v/>
      </c>
      <c r="CL575">
        <f>$C575*CL574</f>
        <v/>
      </c>
      <c r="CM575">
        <f>$C575*CM574</f>
        <v/>
      </c>
      <c r="CN575">
        <f>$C575*CN574</f>
        <v/>
      </c>
      <c r="CO575">
        <f>$C575*CO574</f>
        <v/>
      </c>
      <c r="CP575">
        <f>$C575*CP574</f>
        <v/>
      </c>
      <c r="CQ575">
        <f>$C575*CQ574</f>
        <v/>
      </c>
      <c r="CR575">
        <f>$C575*CR574</f>
        <v/>
      </c>
      <c r="CS575">
        <f>$C575*CS574</f>
        <v/>
      </c>
      <c r="CT575">
        <f>$C575*CT574</f>
        <v/>
      </c>
      <c r="CU575">
        <f>$C575*CU574</f>
        <v/>
      </c>
      <c r="CV575">
        <f>$C575*CV574</f>
        <v/>
      </c>
      <c r="CW575">
        <f>$C575*CW574</f>
        <v/>
      </c>
      <c r="CX575">
        <f>$C575*CX574</f>
        <v/>
      </c>
      <c r="CY575">
        <f>$C575*CY574</f>
        <v/>
      </c>
      <c r="CZ575">
        <f>$C575*CZ574</f>
        <v/>
      </c>
      <c r="DA575">
        <f>$C575*DA574</f>
        <v/>
      </c>
      <c r="DB575">
        <f>$C575*DB574</f>
        <v/>
      </c>
      <c r="DC575">
        <f>$C575*DC574</f>
        <v/>
      </c>
    </row>
    <row r="576">
      <c r="B576" t="inlineStr">
        <is>
          <t>TSP-1388</t>
        </is>
      </c>
      <c r="C576" t="inlineStr">
        <is>
          <t>No. of batches</t>
        </is>
      </c>
      <c r="D576">
        <f>IFERROR(INDEX(PP_Grid[#Data],$DD576,2),0)</f>
        <v/>
      </c>
      <c r="E576">
        <f>IFERROR(INDEX(PP_Grid[#Data],$DD576,3),0)</f>
        <v/>
      </c>
      <c r="F576">
        <f>IFERROR(INDEX(PP_Grid[#Data],$DD576,4),0)</f>
        <v/>
      </c>
      <c r="G576">
        <f>IFERROR(INDEX(PP_Grid[#Data],$DD576,5),0)</f>
        <v/>
      </c>
      <c r="H576">
        <f>IFERROR(INDEX(PP_Grid[#Data],$DD576,6),0)</f>
        <v/>
      </c>
      <c r="I576">
        <f>IFERROR(INDEX(PP_Grid[#Data],$DD576,7),0)</f>
        <v/>
      </c>
      <c r="J576">
        <f>IFERROR(INDEX(PP_Grid[#Data],$DD576,8),0)</f>
        <v/>
      </c>
      <c r="K576">
        <f>IFERROR(INDEX(PP_Grid[#Data],$DD576,9),0)</f>
        <v/>
      </c>
      <c r="L576">
        <f>IFERROR(INDEX(PP_Grid[#Data],$DD576,10),0)</f>
        <v/>
      </c>
      <c r="M576">
        <f>IFERROR(INDEX(PP_Grid[#Data],$DD576,11),0)</f>
        <v/>
      </c>
      <c r="N576">
        <f>IFERROR(INDEX(PP_Grid[#Data],$DD576,12),0)</f>
        <v/>
      </c>
      <c r="O576">
        <f>IFERROR(INDEX(PP_Grid[#Data],$DD576,13),0)</f>
        <v/>
      </c>
      <c r="P576">
        <f>IFERROR(INDEX(PP_Grid[#Data],$DD576,14),0)</f>
        <v/>
      </c>
      <c r="Q576">
        <f>IFERROR(INDEX(PP_Grid[#Data],$DD576,15),0)</f>
        <v/>
      </c>
      <c r="R576">
        <f>IFERROR(INDEX(PP_Grid[#Data],$DD576,16),0)</f>
        <v/>
      </c>
      <c r="S576">
        <f>IFERROR(INDEX(PP_Grid[#Data],$DD576,17),0)</f>
        <v/>
      </c>
      <c r="T576">
        <f>IFERROR(INDEX(PP_Grid[#Data],$DD576,18),0)</f>
        <v/>
      </c>
      <c r="U576">
        <f>IFERROR(INDEX(PP_Grid[#Data],$DD576,19),0)</f>
        <v/>
      </c>
      <c r="V576">
        <f>IFERROR(INDEX(PP_Grid[#Data],$DD576,20),0)</f>
        <v/>
      </c>
      <c r="W576">
        <f>IFERROR(INDEX(PP_Grid[#Data],$DD576,21),0)</f>
        <v/>
      </c>
      <c r="X576">
        <f>IFERROR(INDEX(PP_Grid[#Data],$DD576,22),0)</f>
        <v/>
      </c>
      <c r="Y576">
        <f>IFERROR(INDEX(PP_Grid[#Data],$DD576,23),0)</f>
        <v/>
      </c>
      <c r="Z576">
        <f>IFERROR(INDEX(PP_Grid[#Data],$DD576,24),0)</f>
        <v/>
      </c>
      <c r="AA576">
        <f>IFERROR(INDEX(PP_Grid[#Data],$DD576,25),0)</f>
        <v/>
      </c>
      <c r="AB576">
        <f>IFERROR(INDEX(PP_Grid[#Data],$DD576,26),0)</f>
        <v/>
      </c>
      <c r="AC576">
        <f>IFERROR(INDEX(PP_Grid[#Data],$DD576,27),0)</f>
        <v/>
      </c>
      <c r="AD576">
        <f>IFERROR(INDEX(PP_Grid[#Data],$DD576,28),0)</f>
        <v/>
      </c>
      <c r="AE576">
        <f>IFERROR(INDEX(PP_Grid[#Data],$DD576,29),0)</f>
        <v/>
      </c>
      <c r="AF576">
        <f>IFERROR(INDEX(PP_Grid[#Data],$DD576,30),0)</f>
        <v/>
      </c>
      <c r="AG576">
        <f>IFERROR(INDEX(PP_Grid[#Data],$DD576,31),0)</f>
        <v/>
      </c>
      <c r="AH576">
        <f>IFERROR(INDEX(PP_Grid[#Data],$DD576,32),0)</f>
        <v/>
      </c>
      <c r="AI576">
        <f>IFERROR(INDEX(PP_Grid[#Data],$DD576,33),0)</f>
        <v/>
      </c>
      <c r="AJ576">
        <f>IFERROR(INDEX(PP_Grid[#Data],$DD576,34),0)</f>
        <v/>
      </c>
      <c r="AK576">
        <f>IFERROR(INDEX(PP_Grid[#Data],$DD576,35),0)</f>
        <v/>
      </c>
      <c r="AL576">
        <f>IFERROR(INDEX(PP_Grid[#Data],$DD576,36),0)</f>
        <v/>
      </c>
      <c r="AM576">
        <f>IFERROR(INDEX(PP_Grid[#Data],$DD576,37),0)</f>
        <v/>
      </c>
      <c r="AN576">
        <f>IFERROR(INDEX(PP_Grid[#Data],$DD576,38),0)</f>
        <v/>
      </c>
      <c r="AO576">
        <f>IFERROR(INDEX(PP_Grid[#Data],$DD576,39),0)</f>
        <v/>
      </c>
      <c r="AP576">
        <f>IFERROR(INDEX(PP_Grid[#Data],$DD576,40),0)</f>
        <v/>
      </c>
      <c r="AQ576">
        <f>IFERROR(INDEX(PP_Grid[#Data],$DD576,41),0)</f>
        <v/>
      </c>
      <c r="AR576">
        <f>IFERROR(INDEX(PP_Grid[#Data],$DD576,42),0)</f>
        <v/>
      </c>
      <c r="AS576">
        <f>IFERROR(INDEX(PP_Grid[#Data],$DD576,43),0)</f>
        <v/>
      </c>
      <c r="AT576">
        <f>IFERROR(INDEX(PP_Grid[#Data],$DD576,44),0)</f>
        <v/>
      </c>
      <c r="AU576">
        <f>IFERROR(INDEX(PP_Grid[#Data],$DD576,45),0)</f>
        <v/>
      </c>
      <c r="AV576">
        <f>IFERROR(INDEX(PP_Grid[#Data],$DD576,46),0)</f>
        <v/>
      </c>
      <c r="AW576">
        <f>IFERROR(INDEX(PP_Grid[#Data],$DD576,47),0)</f>
        <v/>
      </c>
      <c r="AX576">
        <f>IFERROR(INDEX(PP_Grid[#Data],$DD576,48),0)</f>
        <v/>
      </c>
      <c r="AY576">
        <f>IFERROR(INDEX(PP_Grid[#Data],$DD576,49),0)</f>
        <v/>
      </c>
      <c r="AZ576">
        <f>IFERROR(INDEX(PP_Grid[#Data],$DD576,50),0)</f>
        <v/>
      </c>
      <c r="BA576">
        <f>IFERROR(INDEX(PP_Grid[#Data],$DD576,51),0)</f>
        <v/>
      </c>
      <c r="BB576">
        <f>IFERROR(INDEX(PP_Grid[#Data],$DD576,52),0)</f>
        <v/>
      </c>
      <c r="BC576">
        <f>IFERROR(INDEX(PP_Grid[#Data],$DD576,53),0)</f>
        <v/>
      </c>
      <c r="BD576">
        <f>IFERROR(INDEX(PP_Grid[#Data],$DD576,54),0)</f>
        <v/>
      </c>
      <c r="BE576">
        <f>IFERROR(INDEX(PP_Grid[#Data],$DD576,55),0)</f>
        <v/>
      </c>
      <c r="BF576">
        <f>IFERROR(INDEX(PP_Grid[#Data],$DD576,56),0)</f>
        <v/>
      </c>
      <c r="BG576">
        <f>IFERROR(INDEX(PP_Grid[#Data],$DD576,57),0)</f>
        <v/>
      </c>
      <c r="BH576">
        <f>IFERROR(INDEX(PP_Grid[#Data],$DD576,58),0)</f>
        <v/>
      </c>
      <c r="BI576">
        <f>IFERROR(INDEX(PP_Grid[#Data],$DD576,59),0)</f>
        <v/>
      </c>
      <c r="BJ576">
        <f>IFERROR(INDEX(PP_Grid[#Data],$DD576,60),0)</f>
        <v/>
      </c>
      <c r="BK576">
        <f>IFERROR(INDEX(PP_Grid[#Data],$DD576,61),0)</f>
        <v/>
      </c>
      <c r="BL576">
        <f>IFERROR(INDEX(PP_Grid[#Data],$DD576,62),0)</f>
        <v/>
      </c>
      <c r="BM576">
        <f>IFERROR(INDEX(PP_Grid[#Data],$DD576,63),0)</f>
        <v/>
      </c>
      <c r="BN576">
        <f>IFERROR(INDEX(PP_Grid[#Data],$DD576,64),0)</f>
        <v/>
      </c>
      <c r="BO576">
        <f>IFERROR(INDEX(PP_Grid[#Data],$DD576,65),0)</f>
        <v/>
      </c>
      <c r="BP576">
        <f>IFERROR(INDEX(PP_Grid[#Data],$DD576,66),0)</f>
        <v/>
      </c>
      <c r="BQ576">
        <f>IFERROR(INDEX(PP_Grid[#Data],$DD576,67),0)</f>
        <v/>
      </c>
      <c r="BR576">
        <f>IFERROR(INDEX(PP_Grid[#Data],$DD576,68),0)</f>
        <v/>
      </c>
      <c r="BS576">
        <f>IFERROR(INDEX(PP_Grid[#Data],$DD576,69),0)</f>
        <v/>
      </c>
      <c r="BT576">
        <f>IFERROR(INDEX(PP_Grid[#Data],$DD576,70),0)</f>
        <v/>
      </c>
      <c r="BU576">
        <f>IFERROR(INDEX(PP_Grid[#Data],$DD576,71),0)</f>
        <v/>
      </c>
      <c r="BV576">
        <f>IFERROR(INDEX(PP_Grid[#Data],$DD576,72),0)</f>
        <v/>
      </c>
      <c r="BW576">
        <f>IFERROR(INDEX(PP_Grid[#Data],$DD576,73),0)</f>
        <v/>
      </c>
      <c r="BX576">
        <f>IFERROR(INDEX(PP_Grid[#Data],$DD576,74),0)</f>
        <v/>
      </c>
      <c r="BY576">
        <f>IFERROR(INDEX(PP_Grid[#Data],$DD576,75),0)</f>
        <v/>
      </c>
      <c r="BZ576">
        <f>IFERROR(INDEX(PP_Grid[#Data],$DD576,76),0)</f>
        <v/>
      </c>
      <c r="CA576">
        <f>IFERROR(INDEX(PP_Grid[#Data],$DD576,77),0)</f>
        <v/>
      </c>
      <c r="CB576">
        <f>IFERROR(INDEX(PP_Grid[#Data],$DD576,78),0)</f>
        <v/>
      </c>
      <c r="CC576">
        <f>IFERROR(INDEX(PP_Grid[#Data],$DD576,79),0)</f>
        <v/>
      </c>
      <c r="CD576">
        <f>IFERROR(INDEX(PP_Grid[#Data],$DD576,80),0)</f>
        <v/>
      </c>
      <c r="CE576">
        <f>IFERROR(INDEX(PP_Grid[#Data],$DD576,81),0)</f>
        <v/>
      </c>
      <c r="CF576">
        <f>IFERROR(INDEX(PP_Grid[#Data],$DD576,82),0)</f>
        <v/>
      </c>
      <c r="CG576">
        <f>IFERROR(INDEX(PP_Grid[#Data],$DD576,83),0)</f>
        <v/>
      </c>
      <c r="CH576">
        <f>IFERROR(INDEX(PP_Grid[#Data],$DD576,84),0)</f>
        <v/>
      </c>
      <c r="CI576">
        <f>IFERROR(INDEX(PP_Grid[#Data],$DD576,85),0)</f>
        <v/>
      </c>
      <c r="CJ576">
        <f>IFERROR(INDEX(PP_Grid[#Data],$DD576,86),0)</f>
        <v/>
      </c>
      <c r="CK576">
        <f>IFERROR(INDEX(PP_Grid[#Data],$DD576,87),0)</f>
        <v/>
      </c>
      <c r="CL576">
        <f>IFERROR(INDEX(PP_Grid[#Data],$DD576,88),0)</f>
        <v/>
      </c>
      <c r="CM576">
        <f>IFERROR(INDEX(PP_Grid[#Data],$DD576,89),0)</f>
        <v/>
      </c>
      <c r="CN576">
        <f>IFERROR(INDEX(PP_Grid[#Data],$DD576,90),0)</f>
        <v/>
      </c>
      <c r="CO576">
        <f>IFERROR(INDEX(PP_Grid[#Data],$DD576,91),0)</f>
        <v/>
      </c>
      <c r="CP576">
        <f>IFERROR(INDEX(PP_Grid[#Data],$DD576,92),0)</f>
        <v/>
      </c>
      <c r="CQ576">
        <f>IFERROR(INDEX(PP_Grid[#Data],$DD576,93),0)</f>
        <v/>
      </c>
      <c r="CR576">
        <f>IFERROR(INDEX(PP_Grid[#Data],$DD576,94),0)</f>
        <v/>
      </c>
      <c r="CS576">
        <f>IFERROR(INDEX(PP_Grid[#Data],$DD576,95),0)</f>
        <v/>
      </c>
      <c r="CT576">
        <f>IFERROR(INDEX(PP_Grid[#Data],$DD576,96),0)</f>
        <v/>
      </c>
      <c r="CU576">
        <f>IFERROR(INDEX(PP_Grid[#Data],$DD576,97),0)</f>
        <v/>
      </c>
      <c r="CV576">
        <f>IFERROR(INDEX(PP_Grid[#Data],$DD576,98),0)</f>
        <v/>
      </c>
      <c r="CW576">
        <f>IFERROR(INDEX(PP_Grid[#Data],$DD576,99),0)</f>
        <v/>
      </c>
      <c r="CX576">
        <f>IFERROR(INDEX(PP_Grid[#Data],$DD576,100),0)</f>
        <v/>
      </c>
      <c r="CY576">
        <f>IFERROR(INDEX(PP_Grid[#Data],$DD576,101),0)</f>
        <v/>
      </c>
      <c r="CZ576">
        <f>IFERROR(INDEX(PP_Grid[#Data],$DD576,102),0)</f>
        <v/>
      </c>
      <c r="DA576">
        <f>IFERROR(INDEX(PP_Grid[#Data],$DD576,103),0)</f>
        <v/>
      </c>
      <c r="DB576">
        <f>IFERROR(INDEX(PP_Grid[#Data],$DD576,104),0)</f>
        <v/>
      </c>
      <c r="DC576">
        <f>IFERROR(INDEX(PP_Grid[#Data],$DD576,105),0)</f>
        <v/>
      </c>
      <c r="DD576" s="7">
        <f>IFERROR(MATCH($B576,PP_Grid[Intermediate],0),99999)</f>
        <v/>
      </c>
    </row>
    <row r="577">
      <c r="B577" t="inlineStr">
        <is>
          <t>使用量(kg)</t>
        </is>
      </c>
      <c r="C577">
        <f>SUMIFS(M_BOM[RM_Qty_Per_Batch],M_BOM[Intermediate],$B576,M_BOM[Part Name],$A555)</f>
        <v/>
      </c>
      <c r="D577">
        <f>$C577*D576</f>
        <v/>
      </c>
      <c r="E577">
        <f>$C577*E576</f>
        <v/>
      </c>
      <c r="F577">
        <f>$C577*F576</f>
        <v/>
      </c>
      <c r="G577">
        <f>$C577*G576</f>
        <v/>
      </c>
      <c r="H577">
        <f>$C577*H576</f>
        <v/>
      </c>
      <c r="I577">
        <f>$C577*I576</f>
        <v/>
      </c>
      <c r="J577">
        <f>$C577*J576</f>
        <v/>
      </c>
      <c r="K577">
        <f>$C577*K576</f>
        <v/>
      </c>
      <c r="L577">
        <f>$C577*L576</f>
        <v/>
      </c>
      <c r="M577">
        <f>$C577*M576</f>
        <v/>
      </c>
      <c r="N577">
        <f>$C577*N576</f>
        <v/>
      </c>
      <c r="O577">
        <f>$C577*O576</f>
        <v/>
      </c>
      <c r="P577">
        <f>$C577*P576</f>
        <v/>
      </c>
      <c r="Q577">
        <f>$C577*Q576</f>
        <v/>
      </c>
      <c r="R577">
        <f>$C577*R576</f>
        <v/>
      </c>
      <c r="S577">
        <f>$C577*S576</f>
        <v/>
      </c>
      <c r="T577">
        <f>$C577*T576</f>
        <v/>
      </c>
      <c r="U577">
        <f>$C577*U576</f>
        <v/>
      </c>
      <c r="V577">
        <f>$C577*V576</f>
        <v/>
      </c>
      <c r="W577">
        <f>$C577*W576</f>
        <v/>
      </c>
      <c r="X577">
        <f>$C577*X576</f>
        <v/>
      </c>
      <c r="Y577">
        <f>$C577*Y576</f>
        <v/>
      </c>
      <c r="Z577">
        <f>$C577*Z576</f>
        <v/>
      </c>
      <c r="AA577">
        <f>$C577*AA576</f>
        <v/>
      </c>
      <c r="AB577">
        <f>$C577*AB576</f>
        <v/>
      </c>
      <c r="AC577">
        <f>$C577*AC576</f>
        <v/>
      </c>
      <c r="AD577">
        <f>$C577*AD576</f>
        <v/>
      </c>
      <c r="AE577">
        <f>$C577*AE576</f>
        <v/>
      </c>
      <c r="AF577">
        <f>$C577*AF576</f>
        <v/>
      </c>
      <c r="AG577">
        <f>$C577*AG576</f>
        <v/>
      </c>
      <c r="AH577">
        <f>$C577*AH576</f>
        <v/>
      </c>
      <c r="AI577">
        <f>$C577*AI576</f>
        <v/>
      </c>
      <c r="AJ577">
        <f>$C577*AJ576</f>
        <v/>
      </c>
      <c r="AK577">
        <f>$C577*AK576</f>
        <v/>
      </c>
      <c r="AL577">
        <f>$C577*AL576</f>
        <v/>
      </c>
      <c r="AM577">
        <f>$C577*AM576</f>
        <v/>
      </c>
      <c r="AN577">
        <f>$C577*AN576</f>
        <v/>
      </c>
      <c r="AO577">
        <f>$C577*AO576</f>
        <v/>
      </c>
      <c r="AP577">
        <f>$C577*AP576</f>
        <v/>
      </c>
      <c r="AQ577">
        <f>$C577*AQ576</f>
        <v/>
      </c>
      <c r="AR577">
        <f>$C577*AR576</f>
        <v/>
      </c>
      <c r="AS577">
        <f>$C577*AS576</f>
        <v/>
      </c>
      <c r="AT577">
        <f>$C577*AT576</f>
        <v/>
      </c>
      <c r="AU577">
        <f>$C577*AU576</f>
        <v/>
      </c>
      <c r="AV577">
        <f>$C577*AV576</f>
        <v/>
      </c>
      <c r="AW577">
        <f>$C577*AW576</f>
        <v/>
      </c>
      <c r="AX577">
        <f>$C577*AX576</f>
        <v/>
      </c>
      <c r="AY577">
        <f>$C577*AY576</f>
        <v/>
      </c>
      <c r="AZ577">
        <f>$C577*AZ576</f>
        <v/>
      </c>
      <c r="BA577">
        <f>$C577*BA576</f>
        <v/>
      </c>
      <c r="BB577">
        <f>$C577*BB576</f>
        <v/>
      </c>
      <c r="BC577">
        <f>$C577*BC576</f>
        <v/>
      </c>
      <c r="BD577">
        <f>$C577*BD576</f>
        <v/>
      </c>
      <c r="BE577">
        <f>$C577*BE576</f>
        <v/>
      </c>
      <c r="BF577">
        <f>$C577*BF576</f>
        <v/>
      </c>
      <c r="BG577">
        <f>$C577*BG576</f>
        <v/>
      </c>
      <c r="BH577">
        <f>$C577*BH576</f>
        <v/>
      </c>
      <c r="BI577">
        <f>$C577*BI576</f>
        <v/>
      </c>
      <c r="BJ577">
        <f>$C577*BJ576</f>
        <v/>
      </c>
      <c r="BK577">
        <f>$C577*BK576</f>
        <v/>
      </c>
      <c r="BL577">
        <f>$C577*BL576</f>
        <v/>
      </c>
      <c r="BM577">
        <f>$C577*BM576</f>
        <v/>
      </c>
      <c r="BN577">
        <f>$C577*BN576</f>
        <v/>
      </c>
      <c r="BO577">
        <f>$C577*BO576</f>
        <v/>
      </c>
      <c r="BP577">
        <f>$C577*BP576</f>
        <v/>
      </c>
      <c r="BQ577">
        <f>$C577*BQ576</f>
        <v/>
      </c>
      <c r="BR577">
        <f>$C577*BR576</f>
        <v/>
      </c>
      <c r="BS577">
        <f>$C577*BS576</f>
        <v/>
      </c>
      <c r="BT577">
        <f>$C577*BT576</f>
        <v/>
      </c>
      <c r="BU577">
        <f>$C577*BU576</f>
        <v/>
      </c>
      <c r="BV577">
        <f>$C577*BV576</f>
        <v/>
      </c>
      <c r="BW577">
        <f>$C577*BW576</f>
        <v/>
      </c>
      <c r="BX577">
        <f>$C577*BX576</f>
        <v/>
      </c>
      <c r="BY577">
        <f>$C577*BY576</f>
        <v/>
      </c>
      <c r="BZ577">
        <f>$C577*BZ576</f>
        <v/>
      </c>
      <c r="CA577">
        <f>$C577*CA576</f>
        <v/>
      </c>
      <c r="CB577">
        <f>$C577*CB576</f>
        <v/>
      </c>
      <c r="CC577">
        <f>$C577*CC576</f>
        <v/>
      </c>
      <c r="CD577">
        <f>$C577*CD576</f>
        <v/>
      </c>
      <c r="CE577">
        <f>$C577*CE576</f>
        <v/>
      </c>
      <c r="CF577">
        <f>$C577*CF576</f>
        <v/>
      </c>
      <c r="CG577">
        <f>$C577*CG576</f>
        <v/>
      </c>
      <c r="CH577">
        <f>$C577*CH576</f>
        <v/>
      </c>
      <c r="CI577">
        <f>$C577*CI576</f>
        <v/>
      </c>
      <c r="CJ577">
        <f>$C577*CJ576</f>
        <v/>
      </c>
      <c r="CK577">
        <f>$C577*CK576</f>
        <v/>
      </c>
      <c r="CL577">
        <f>$C577*CL576</f>
        <v/>
      </c>
      <c r="CM577">
        <f>$C577*CM576</f>
        <v/>
      </c>
      <c r="CN577">
        <f>$C577*CN576</f>
        <v/>
      </c>
      <c r="CO577">
        <f>$C577*CO576</f>
        <v/>
      </c>
      <c r="CP577">
        <f>$C577*CP576</f>
        <v/>
      </c>
      <c r="CQ577">
        <f>$C577*CQ576</f>
        <v/>
      </c>
      <c r="CR577">
        <f>$C577*CR576</f>
        <v/>
      </c>
      <c r="CS577">
        <f>$C577*CS576</f>
        <v/>
      </c>
      <c r="CT577">
        <f>$C577*CT576</f>
        <v/>
      </c>
      <c r="CU577">
        <f>$C577*CU576</f>
        <v/>
      </c>
      <c r="CV577">
        <f>$C577*CV576</f>
        <v/>
      </c>
      <c r="CW577">
        <f>$C577*CW576</f>
        <v/>
      </c>
      <c r="CX577">
        <f>$C577*CX576</f>
        <v/>
      </c>
      <c r="CY577">
        <f>$C577*CY576</f>
        <v/>
      </c>
      <c r="CZ577">
        <f>$C577*CZ576</f>
        <v/>
      </c>
      <c r="DA577">
        <f>$C577*DA576</f>
        <v/>
      </c>
      <c r="DB577">
        <f>$C577*DB576</f>
        <v/>
      </c>
      <c r="DC577">
        <f>$C577*DC576</f>
        <v/>
      </c>
    </row>
    <row r="578">
      <c r="B578" t="inlineStr">
        <is>
          <t>TSP-924</t>
        </is>
      </c>
      <c r="C578" t="inlineStr">
        <is>
          <t>No. of batches</t>
        </is>
      </c>
      <c r="D578">
        <f>IFERROR(INDEX(PP_Grid[#Data],$DD578,2),0)</f>
        <v/>
      </c>
      <c r="E578">
        <f>IFERROR(INDEX(PP_Grid[#Data],$DD578,3),0)</f>
        <v/>
      </c>
      <c r="F578">
        <f>IFERROR(INDEX(PP_Grid[#Data],$DD578,4),0)</f>
        <v/>
      </c>
      <c r="G578">
        <f>IFERROR(INDEX(PP_Grid[#Data],$DD578,5),0)</f>
        <v/>
      </c>
      <c r="H578">
        <f>IFERROR(INDEX(PP_Grid[#Data],$DD578,6),0)</f>
        <v/>
      </c>
      <c r="I578">
        <f>IFERROR(INDEX(PP_Grid[#Data],$DD578,7),0)</f>
        <v/>
      </c>
      <c r="J578">
        <f>IFERROR(INDEX(PP_Grid[#Data],$DD578,8),0)</f>
        <v/>
      </c>
      <c r="K578">
        <f>IFERROR(INDEX(PP_Grid[#Data],$DD578,9),0)</f>
        <v/>
      </c>
      <c r="L578">
        <f>IFERROR(INDEX(PP_Grid[#Data],$DD578,10),0)</f>
        <v/>
      </c>
      <c r="M578">
        <f>IFERROR(INDEX(PP_Grid[#Data],$DD578,11),0)</f>
        <v/>
      </c>
      <c r="N578">
        <f>IFERROR(INDEX(PP_Grid[#Data],$DD578,12),0)</f>
        <v/>
      </c>
      <c r="O578">
        <f>IFERROR(INDEX(PP_Grid[#Data],$DD578,13),0)</f>
        <v/>
      </c>
      <c r="P578">
        <f>IFERROR(INDEX(PP_Grid[#Data],$DD578,14),0)</f>
        <v/>
      </c>
      <c r="Q578">
        <f>IFERROR(INDEX(PP_Grid[#Data],$DD578,15),0)</f>
        <v/>
      </c>
      <c r="R578">
        <f>IFERROR(INDEX(PP_Grid[#Data],$DD578,16),0)</f>
        <v/>
      </c>
      <c r="S578">
        <f>IFERROR(INDEX(PP_Grid[#Data],$DD578,17),0)</f>
        <v/>
      </c>
      <c r="T578">
        <f>IFERROR(INDEX(PP_Grid[#Data],$DD578,18),0)</f>
        <v/>
      </c>
      <c r="U578">
        <f>IFERROR(INDEX(PP_Grid[#Data],$DD578,19),0)</f>
        <v/>
      </c>
      <c r="V578">
        <f>IFERROR(INDEX(PP_Grid[#Data],$DD578,20),0)</f>
        <v/>
      </c>
      <c r="W578">
        <f>IFERROR(INDEX(PP_Grid[#Data],$DD578,21),0)</f>
        <v/>
      </c>
      <c r="X578">
        <f>IFERROR(INDEX(PP_Grid[#Data],$DD578,22),0)</f>
        <v/>
      </c>
      <c r="Y578">
        <f>IFERROR(INDEX(PP_Grid[#Data],$DD578,23),0)</f>
        <v/>
      </c>
      <c r="Z578">
        <f>IFERROR(INDEX(PP_Grid[#Data],$DD578,24),0)</f>
        <v/>
      </c>
      <c r="AA578">
        <f>IFERROR(INDEX(PP_Grid[#Data],$DD578,25),0)</f>
        <v/>
      </c>
      <c r="AB578">
        <f>IFERROR(INDEX(PP_Grid[#Data],$DD578,26),0)</f>
        <v/>
      </c>
      <c r="AC578">
        <f>IFERROR(INDEX(PP_Grid[#Data],$DD578,27),0)</f>
        <v/>
      </c>
      <c r="AD578">
        <f>IFERROR(INDEX(PP_Grid[#Data],$DD578,28),0)</f>
        <v/>
      </c>
      <c r="AE578">
        <f>IFERROR(INDEX(PP_Grid[#Data],$DD578,29),0)</f>
        <v/>
      </c>
      <c r="AF578">
        <f>IFERROR(INDEX(PP_Grid[#Data],$DD578,30),0)</f>
        <v/>
      </c>
      <c r="AG578">
        <f>IFERROR(INDEX(PP_Grid[#Data],$DD578,31),0)</f>
        <v/>
      </c>
      <c r="AH578">
        <f>IFERROR(INDEX(PP_Grid[#Data],$DD578,32),0)</f>
        <v/>
      </c>
      <c r="AI578">
        <f>IFERROR(INDEX(PP_Grid[#Data],$DD578,33),0)</f>
        <v/>
      </c>
      <c r="AJ578">
        <f>IFERROR(INDEX(PP_Grid[#Data],$DD578,34),0)</f>
        <v/>
      </c>
      <c r="AK578">
        <f>IFERROR(INDEX(PP_Grid[#Data],$DD578,35),0)</f>
        <v/>
      </c>
      <c r="AL578">
        <f>IFERROR(INDEX(PP_Grid[#Data],$DD578,36),0)</f>
        <v/>
      </c>
      <c r="AM578">
        <f>IFERROR(INDEX(PP_Grid[#Data],$DD578,37),0)</f>
        <v/>
      </c>
      <c r="AN578">
        <f>IFERROR(INDEX(PP_Grid[#Data],$DD578,38),0)</f>
        <v/>
      </c>
      <c r="AO578">
        <f>IFERROR(INDEX(PP_Grid[#Data],$DD578,39),0)</f>
        <v/>
      </c>
      <c r="AP578">
        <f>IFERROR(INDEX(PP_Grid[#Data],$DD578,40),0)</f>
        <v/>
      </c>
      <c r="AQ578">
        <f>IFERROR(INDEX(PP_Grid[#Data],$DD578,41),0)</f>
        <v/>
      </c>
      <c r="AR578">
        <f>IFERROR(INDEX(PP_Grid[#Data],$DD578,42),0)</f>
        <v/>
      </c>
      <c r="AS578">
        <f>IFERROR(INDEX(PP_Grid[#Data],$DD578,43),0)</f>
        <v/>
      </c>
      <c r="AT578">
        <f>IFERROR(INDEX(PP_Grid[#Data],$DD578,44),0)</f>
        <v/>
      </c>
      <c r="AU578">
        <f>IFERROR(INDEX(PP_Grid[#Data],$DD578,45),0)</f>
        <v/>
      </c>
      <c r="AV578">
        <f>IFERROR(INDEX(PP_Grid[#Data],$DD578,46),0)</f>
        <v/>
      </c>
      <c r="AW578">
        <f>IFERROR(INDEX(PP_Grid[#Data],$DD578,47),0)</f>
        <v/>
      </c>
      <c r="AX578">
        <f>IFERROR(INDEX(PP_Grid[#Data],$DD578,48),0)</f>
        <v/>
      </c>
      <c r="AY578">
        <f>IFERROR(INDEX(PP_Grid[#Data],$DD578,49),0)</f>
        <v/>
      </c>
      <c r="AZ578">
        <f>IFERROR(INDEX(PP_Grid[#Data],$DD578,50),0)</f>
        <v/>
      </c>
      <c r="BA578">
        <f>IFERROR(INDEX(PP_Grid[#Data],$DD578,51),0)</f>
        <v/>
      </c>
      <c r="BB578">
        <f>IFERROR(INDEX(PP_Grid[#Data],$DD578,52),0)</f>
        <v/>
      </c>
      <c r="BC578">
        <f>IFERROR(INDEX(PP_Grid[#Data],$DD578,53),0)</f>
        <v/>
      </c>
      <c r="BD578">
        <f>IFERROR(INDEX(PP_Grid[#Data],$DD578,54),0)</f>
        <v/>
      </c>
      <c r="BE578">
        <f>IFERROR(INDEX(PP_Grid[#Data],$DD578,55),0)</f>
        <v/>
      </c>
      <c r="BF578">
        <f>IFERROR(INDEX(PP_Grid[#Data],$DD578,56),0)</f>
        <v/>
      </c>
      <c r="BG578">
        <f>IFERROR(INDEX(PP_Grid[#Data],$DD578,57),0)</f>
        <v/>
      </c>
      <c r="BH578">
        <f>IFERROR(INDEX(PP_Grid[#Data],$DD578,58),0)</f>
        <v/>
      </c>
      <c r="BI578">
        <f>IFERROR(INDEX(PP_Grid[#Data],$DD578,59),0)</f>
        <v/>
      </c>
      <c r="BJ578">
        <f>IFERROR(INDEX(PP_Grid[#Data],$DD578,60),0)</f>
        <v/>
      </c>
      <c r="BK578">
        <f>IFERROR(INDEX(PP_Grid[#Data],$DD578,61),0)</f>
        <v/>
      </c>
      <c r="BL578">
        <f>IFERROR(INDEX(PP_Grid[#Data],$DD578,62),0)</f>
        <v/>
      </c>
      <c r="BM578">
        <f>IFERROR(INDEX(PP_Grid[#Data],$DD578,63),0)</f>
        <v/>
      </c>
      <c r="BN578">
        <f>IFERROR(INDEX(PP_Grid[#Data],$DD578,64),0)</f>
        <v/>
      </c>
      <c r="BO578">
        <f>IFERROR(INDEX(PP_Grid[#Data],$DD578,65),0)</f>
        <v/>
      </c>
      <c r="BP578">
        <f>IFERROR(INDEX(PP_Grid[#Data],$DD578,66),0)</f>
        <v/>
      </c>
      <c r="BQ578">
        <f>IFERROR(INDEX(PP_Grid[#Data],$DD578,67),0)</f>
        <v/>
      </c>
      <c r="BR578">
        <f>IFERROR(INDEX(PP_Grid[#Data],$DD578,68),0)</f>
        <v/>
      </c>
      <c r="BS578">
        <f>IFERROR(INDEX(PP_Grid[#Data],$DD578,69),0)</f>
        <v/>
      </c>
      <c r="BT578">
        <f>IFERROR(INDEX(PP_Grid[#Data],$DD578,70),0)</f>
        <v/>
      </c>
      <c r="BU578">
        <f>IFERROR(INDEX(PP_Grid[#Data],$DD578,71),0)</f>
        <v/>
      </c>
      <c r="BV578">
        <f>IFERROR(INDEX(PP_Grid[#Data],$DD578,72),0)</f>
        <v/>
      </c>
      <c r="BW578">
        <f>IFERROR(INDEX(PP_Grid[#Data],$DD578,73),0)</f>
        <v/>
      </c>
      <c r="BX578">
        <f>IFERROR(INDEX(PP_Grid[#Data],$DD578,74),0)</f>
        <v/>
      </c>
      <c r="BY578">
        <f>IFERROR(INDEX(PP_Grid[#Data],$DD578,75),0)</f>
        <v/>
      </c>
      <c r="BZ578">
        <f>IFERROR(INDEX(PP_Grid[#Data],$DD578,76),0)</f>
        <v/>
      </c>
      <c r="CA578">
        <f>IFERROR(INDEX(PP_Grid[#Data],$DD578,77),0)</f>
        <v/>
      </c>
      <c r="CB578">
        <f>IFERROR(INDEX(PP_Grid[#Data],$DD578,78),0)</f>
        <v/>
      </c>
      <c r="CC578">
        <f>IFERROR(INDEX(PP_Grid[#Data],$DD578,79),0)</f>
        <v/>
      </c>
      <c r="CD578">
        <f>IFERROR(INDEX(PP_Grid[#Data],$DD578,80),0)</f>
        <v/>
      </c>
      <c r="CE578">
        <f>IFERROR(INDEX(PP_Grid[#Data],$DD578,81),0)</f>
        <v/>
      </c>
      <c r="CF578">
        <f>IFERROR(INDEX(PP_Grid[#Data],$DD578,82),0)</f>
        <v/>
      </c>
      <c r="CG578">
        <f>IFERROR(INDEX(PP_Grid[#Data],$DD578,83),0)</f>
        <v/>
      </c>
      <c r="CH578">
        <f>IFERROR(INDEX(PP_Grid[#Data],$DD578,84),0)</f>
        <v/>
      </c>
      <c r="CI578">
        <f>IFERROR(INDEX(PP_Grid[#Data],$DD578,85),0)</f>
        <v/>
      </c>
      <c r="CJ578">
        <f>IFERROR(INDEX(PP_Grid[#Data],$DD578,86),0)</f>
        <v/>
      </c>
      <c r="CK578">
        <f>IFERROR(INDEX(PP_Grid[#Data],$DD578,87),0)</f>
        <v/>
      </c>
      <c r="CL578">
        <f>IFERROR(INDEX(PP_Grid[#Data],$DD578,88),0)</f>
        <v/>
      </c>
      <c r="CM578">
        <f>IFERROR(INDEX(PP_Grid[#Data],$DD578,89),0)</f>
        <v/>
      </c>
      <c r="CN578">
        <f>IFERROR(INDEX(PP_Grid[#Data],$DD578,90),0)</f>
        <v/>
      </c>
      <c r="CO578">
        <f>IFERROR(INDEX(PP_Grid[#Data],$DD578,91),0)</f>
        <v/>
      </c>
      <c r="CP578">
        <f>IFERROR(INDEX(PP_Grid[#Data],$DD578,92),0)</f>
        <v/>
      </c>
      <c r="CQ578">
        <f>IFERROR(INDEX(PP_Grid[#Data],$DD578,93),0)</f>
        <v/>
      </c>
      <c r="CR578">
        <f>IFERROR(INDEX(PP_Grid[#Data],$DD578,94),0)</f>
        <v/>
      </c>
      <c r="CS578">
        <f>IFERROR(INDEX(PP_Grid[#Data],$DD578,95),0)</f>
        <v/>
      </c>
      <c r="CT578">
        <f>IFERROR(INDEX(PP_Grid[#Data],$DD578,96),0)</f>
        <v/>
      </c>
      <c r="CU578">
        <f>IFERROR(INDEX(PP_Grid[#Data],$DD578,97),0)</f>
        <v/>
      </c>
      <c r="CV578">
        <f>IFERROR(INDEX(PP_Grid[#Data],$DD578,98),0)</f>
        <v/>
      </c>
      <c r="CW578">
        <f>IFERROR(INDEX(PP_Grid[#Data],$DD578,99),0)</f>
        <v/>
      </c>
      <c r="CX578">
        <f>IFERROR(INDEX(PP_Grid[#Data],$DD578,100),0)</f>
        <v/>
      </c>
      <c r="CY578">
        <f>IFERROR(INDEX(PP_Grid[#Data],$DD578,101),0)</f>
        <v/>
      </c>
      <c r="CZ578">
        <f>IFERROR(INDEX(PP_Grid[#Data],$DD578,102),0)</f>
        <v/>
      </c>
      <c r="DA578">
        <f>IFERROR(INDEX(PP_Grid[#Data],$DD578,103),0)</f>
        <v/>
      </c>
      <c r="DB578">
        <f>IFERROR(INDEX(PP_Grid[#Data],$DD578,104),0)</f>
        <v/>
      </c>
      <c r="DC578">
        <f>IFERROR(INDEX(PP_Grid[#Data],$DD578,105),0)</f>
        <v/>
      </c>
      <c r="DD578" s="7">
        <f>IFERROR(MATCH($B578,PP_Grid[Intermediate],0),99999)</f>
        <v/>
      </c>
    </row>
    <row r="579">
      <c r="B579" t="inlineStr">
        <is>
          <t>使用量(kg)</t>
        </is>
      </c>
      <c r="C579">
        <f>SUMIFS(M_BOM[RM_Qty_Per_Batch],M_BOM[Intermediate],$B578,M_BOM[Part Name],$A555)</f>
        <v/>
      </c>
      <c r="D579">
        <f>$C579*D578</f>
        <v/>
      </c>
      <c r="E579">
        <f>$C579*E578</f>
        <v/>
      </c>
      <c r="F579">
        <f>$C579*F578</f>
        <v/>
      </c>
      <c r="G579">
        <f>$C579*G578</f>
        <v/>
      </c>
      <c r="H579">
        <f>$C579*H578</f>
        <v/>
      </c>
      <c r="I579">
        <f>$C579*I578</f>
        <v/>
      </c>
      <c r="J579">
        <f>$C579*J578</f>
        <v/>
      </c>
      <c r="K579">
        <f>$C579*K578</f>
        <v/>
      </c>
      <c r="L579">
        <f>$C579*L578</f>
        <v/>
      </c>
      <c r="M579">
        <f>$C579*M578</f>
        <v/>
      </c>
      <c r="N579">
        <f>$C579*N578</f>
        <v/>
      </c>
      <c r="O579">
        <f>$C579*O578</f>
        <v/>
      </c>
      <c r="P579">
        <f>$C579*P578</f>
        <v/>
      </c>
      <c r="Q579">
        <f>$C579*Q578</f>
        <v/>
      </c>
      <c r="R579">
        <f>$C579*R578</f>
        <v/>
      </c>
      <c r="S579">
        <f>$C579*S578</f>
        <v/>
      </c>
      <c r="T579">
        <f>$C579*T578</f>
        <v/>
      </c>
      <c r="U579">
        <f>$C579*U578</f>
        <v/>
      </c>
      <c r="V579">
        <f>$C579*V578</f>
        <v/>
      </c>
      <c r="W579">
        <f>$C579*W578</f>
        <v/>
      </c>
      <c r="X579">
        <f>$C579*X578</f>
        <v/>
      </c>
      <c r="Y579">
        <f>$C579*Y578</f>
        <v/>
      </c>
      <c r="Z579">
        <f>$C579*Z578</f>
        <v/>
      </c>
      <c r="AA579">
        <f>$C579*AA578</f>
        <v/>
      </c>
      <c r="AB579">
        <f>$C579*AB578</f>
        <v/>
      </c>
      <c r="AC579">
        <f>$C579*AC578</f>
        <v/>
      </c>
      <c r="AD579">
        <f>$C579*AD578</f>
        <v/>
      </c>
      <c r="AE579">
        <f>$C579*AE578</f>
        <v/>
      </c>
      <c r="AF579">
        <f>$C579*AF578</f>
        <v/>
      </c>
      <c r="AG579">
        <f>$C579*AG578</f>
        <v/>
      </c>
      <c r="AH579">
        <f>$C579*AH578</f>
        <v/>
      </c>
      <c r="AI579">
        <f>$C579*AI578</f>
        <v/>
      </c>
      <c r="AJ579">
        <f>$C579*AJ578</f>
        <v/>
      </c>
      <c r="AK579">
        <f>$C579*AK578</f>
        <v/>
      </c>
      <c r="AL579">
        <f>$C579*AL578</f>
        <v/>
      </c>
      <c r="AM579">
        <f>$C579*AM578</f>
        <v/>
      </c>
      <c r="AN579">
        <f>$C579*AN578</f>
        <v/>
      </c>
      <c r="AO579">
        <f>$C579*AO578</f>
        <v/>
      </c>
      <c r="AP579">
        <f>$C579*AP578</f>
        <v/>
      </c>
      <c r="AQ579">
        <f>$C579*AQ578</f>
        <v/>
      </c>
      <c r="AR579">
        <f>$C579*AR578</f>
        <v/>
      </c>
      <c r="AS579">
        <f>$C579*AS578</f>
        <v/>
      </c>
      <c r="AT579">
        <f>$C579*AT578</f>
        <v/>
      </c>
      <c r="AU579">
        <f>$C579*AU578</f>
        <v/>
      </c>
      <c r="AV579">
        <f>$C579*AV578</f>
        <v/>
      </c>
      <c r="AW579">
        <f>$C579*AW578</f>
        <v/>
      </c>
      <c r="AX579">
        <f>$C579*AX578</f>
        <v/>
      </c>
      <c r="AY579">
        <f>$C579*AY578</f>
        <v/>
      </c>
      <c r="AZ579">
        <f>$C579*AZ578</f>
        <v/>
      </c>
      <c r="BA579">
        <f>$C579*BA578</f>
        <v/>
      </c>
      <c r="BB579">
        <f>$C579*BB578</f>
        <v/>
      </c>
      <c r="BC579">
        <f>$C579*BC578</f>
        <v/>
      </c>
      <c r="BD579">
        <f>$C579*BD578</f>
        <v/>
      </c>
      <c r="BE579">
        <f>$C579*BE578</f>
        <v/>
      </c>
      <c r="BF579">
        <f>$C579*BF578</f>
        <v/>
      </c>
      <c r="BG579">
        <f>$C579*BG578</f>
        <v/>
      </c>
      <c r="BH579">
        <f>$C579*BH578</f>
        <v/>
      </c>
      <c r="BI579">
        <f>$C579*BI578</f>
        <v/>
      </c>
      <c r="BJ579">
        <f>$C579*BJ578</f>
        <v/>
      </c>
      <c r="BK579">
        <f>$C579*BK578</f>
        <v/>
      </c>
      <c r="BL579">
        <f>$C579*BL578</f>
        <v/>
      </c>
      <c r="BM579">
        <f>$C579*BM578</f>
        <v/>
      </c>
      <c r="BN579">
        <f>$C579*BN578</f>
        <v/>
      </c>
      <c r="BO579">
        <f>$C579*BO578</f>
        <v/>
      </c>
      <c r="BP579">
        <f>$C579*BP578</f>
        <v/>
      </c>
      <c r="BQ579">
        <f>$C579*BQ578</f>
        <v/>
      </c>
      <c r="BR579">
        <f>$C579*BR578</f>
        <v/>
      </c>
      <c r="BS579">
        <f>$C579*BS578</f>
        <v/>
      </c>
      <c r="BT579">
        <f>$C579*BT578</f>
        <v/>
      </c>
      <c r="BU579">
        <f>$C579*BU578</f>
        <v/>
      </c>
      <c r="BV579">
        <f>$C579*BV578</f>
        <v/>
      </c>
      <c r="BW579">
        <f>$C579*BW578</f>
        <v/>
      </c>
      <c r="BX579">
        <f>$C579*BX578</f>
        <v/>
      </c>
      <c r="BY579">
        <f>$C579*BY578</f>
        <v/>
      </c>
      <c r="BZ579">
        <f>$C579*BZ578</f>
        <v/>
      </c>
      <c r="CA579">
        <f>$C579*CA578</f>
        <v/>
      </c>
      <c r="CB579">
        <f>$C579*CB578</f>
        <v/>
      </c>
      <c r="CC579">
        <f>$C579*CC578</f>
        <v/>
      </c>
      <c r="CD579">
        <f>$C579*CD578</f>
        <v/>
      </c>
      <c r="CE579">
        <f>$C579*CE578</f>
        <v/>
      </c>
      <c r="CF579">
        <f>$C579*CF578</f>
        <v/>
      </c>
      <c r="CG579">
        <f>$C579*CG578</f>
        <v/>
      </c>
      <c r="CH579">
        <f>$C579*CH578</f>
        <v/>
      </c>
      <c r="CI579">
        <f>$C579*CI578</f>
        <v/>
      </c>
      <c r="CJ579">
        <f>$C579*CJ578</f>
        <v/>
      </c>
      <c r="CK579">
        <f>$C579*CK578</f>
        <v/>
      </c>
      <c r="CL579">
        <f>$C579*CL578</f>
        <v/>
      </c>
      <c r="CM579">
        <f>$C579*CM578</f>
        <v/>
      </c>
      <c r="CN579">
        <f>$C579*CN578</f>
        <v/>
      </c>
      <c r="CO579">
        <f>$C579*CO578</f>
        <v/>
      </c>
      <c r="CP579">
        <f>$C579*CP578</f>
        <v/>
      </c>
      <c r="CQ579">
        <f>$C579*CQ578</f>
        <v/>
      </c>
      <c r="CR579">
        <f>$C579*CR578</f>
        <v/>
      </c>
      <c r="CS579">
        <f>$C579*CS578</f>
        <v/>
      </c>
      <c r="CT579">
        <f>$C579*CT578</f>
        <v/>
      </c>
      <c r="CU579">
        <f>$C579*CU578</f>
        <v/>
      </c>
      <c r="CV579">
        <f>$C579*CV578</f>
        <v/>
      </c>
      <c r="CW579">
        <f>$C579*CW578</f>
        <v/>
      </c>
      <c r="CX579">
        <f>$C579*CX578</f>
        <v/>
      </c>
      <c r="CY579">
        <f>$C579*CY578</f>
        <v/>
      </c>
      <c r="CZ579">
        <f>$C579*CZ578</f>
        <v/>
      </c>
      <c r="DA579">
        <f>$C579*DA578</f>
        <v/>
      </c>
      <c r="DB579">
        <f>$C579*DB578</f>
        <v/>
      </c>
      <c r="DC579">
        <f>$C579*DC578</f>
        <v/>
      </c>
    </row>
    <row r="580">
      <c r="B580" t="inlineStr">
        <is>
          <t>TSP-925</t>
        </is>
      </c>
      <c r="C580" t="inlineStr">
        <is>
          <t>No. of batches</t>
        </is>
      </c>
      <c r="D580">
        <f>IFERROR(INDEX(PP_Grid[#Data],$DD580,2),0)</f>
        <v/>
      </c>
      <c r="E580">
        <f>IFERROR(INDEX(PP_Grid[#Data],$DD580,3),0)</f>
        <v/>
      </c>
      <c r="F580">
        <f>IFERROR(INDEX(PP_Grid[#Data],$DD580,4),0)</f>
        <v/>
      </c>
      <c r="G580">
        <f>IFERROR(INDEX(PP_Grid[#Data],$DD580,5),0)</f>
        <v/>
      </c>
      <c r="H580">
        <f>IFERROR(INDEX(PP_Grid[#Data],$DD580,6),0)</f>
        <v/>
      </c>
      <c r="I580">
        <f>IFERROR(INDEX(PP_Grid[#Data],$DD580,7),0)</f>
        <v/>
      </c>
      <c r="J580">
        <f>IFERROR(INDEX(PP_Grid[#Data],$DD580,8),0)</f>
        <v/>
      </c>
      <c r="K580">
        <f>IFERROR(INDEX(PP_Grid[#Data],$DD580,9),0)</f>
        <v/>
      </c>
      <c r="L580">
        <f>IFERROR(INDEX(PP_Grid[#Data],$DD580,10),0)</f>
        <v/>
      </c>
      <c r="M580">
        <f>IFERROR(INDEX(PP_Grid[#Data],$DD580,11),0)</f>
        <v/>
      </c>
      <c r="N580">
        <f>IFERROR(INDEX(PP_Grid[#Data],$DD580,12),0)</f>
        <v/>
      </c>
      <c r="O580">
        <f>IFERROR(INDEX(PP_Grid[#Data],$DD580,13),0)</f>
        <v/>
      </c>
      <c r="P580">
        <f>IFERROR(INDEX(PP_Grid[#Data],$DD580,14),0)</f>
        <v/>
      </c>
      <c r="Q580">
        <f>IFERROR(INDEX(PP_Grid[#Data],$DD580,15),0)</f>
        <v/>
      </c>
      <c r="R580">
        <f>IFERROR(INDEX(PP_Grid[#Data],$DD580,16),0)</f>
        <v/>
      </c>
      <c r="S580">
        <f>IFERROR(INDEX(PP_Grid[#Data],$DD580,17),0)</f>
        <v/>
      </c>
      <c r="T580">
        <f>IFERROR(INDEX(PP_Grid[#Data],$DD580,18),0)</f>
        <v/>
      </c>
      <c r="U580">
        <f>IFERROR(INDEX(PP_Grid[#Data],$DD580,19),0)</f>
        <v/>
      </c>
      <c r="V580">
        <f>IFERROR(INDEX(PP_Grid[#Data],$DD580,20),0)</f>
        <v/>
      </c>
      <c r="W580">
        <f>IFERROR(INDEX(PP_Grid[#Data],$DD580,21),0)</f>
        <v/>
      </c>
      <c r="X580">
        <f>IFERROR(INDEX(PP_Grid[#Data],$DD580,22),0)</f>
        <v/>
      </c>
      <c r="Y580">
        <f>IFERROR(INDEX(PP_Grid[#Data],$DD580,23),0)</f>
        <v/>
      </c>
      <c r="Z580">
        <f>IFERROR(INDEX(PP_Grid[#Data],$DD580,24),0)</f>
        <v/>
      </c>
      <c r="AA580">
        <f>IFERROR(INDEX(PP_Grid[#Data],$DD580,25),0)</f>
        <v/>
      </c>
      <c r="AB580">
        <f>IFERROR(INDEX(PP_Grid[#Data],$DD580,26),0)</f>
        <v/>
      </c>
      <c r="AC580">
        <f>IFERROR(INDEX(PP_Grid[#Data],$DD580,27),0)</f>
        <v/>
      </c>
      <c r="AD580">
        <f>IFERROR(INDEX(PP_Grid[#Data],$DD580,28),0)</f>
        <v/>
      </c>
      <c r="AE580">
        <f>IFERROR(INDEX(PP_Grid[#Data],$DD580,29),0)</f>
        <v/>
      </c>
      <c r="AF580">
        <f>IFERROR(INDEX(PP_Grid[#Data],$DD580,30),0)</f>
        <v/>
      </c>
      <c r="AG580">
        <f>IFERROR(INDEX(PP_Grid[#Data],$DD580,31),0)</f>
        <v/>
      </c>
      <c r="AH580">
        <f>IFERROR(INDEX(PP_Grid[#Data],$DD580,32),0)</f>
        <v/>
      </c>
      <c r="AI580">
        <f>IFERROR(INDEX(PP_Grid[#Data],$DD580,33),0)</f>
        <v/>
      </c>
      <c r="AJ580">
        <f>IFERROR(INDEX(PP_Grid[#Data],$DD580,34),0)</f>
        <v/>
      </c>
      <c r="AK580">
        <f>IFERROR(INDEX(PP_Grid[#Data],$DD580,35),0)</f>
        <v/>
      </c>
      <c r="AL580">
        <f>IFERROR(INDEX(PP_Grid[#Data],$DD580,36),0)</f>
        <v/>
      </c>
      <c r="AM580">
        <f>IFERROR(INDEX(PP_Grid[#Data],$DD580,37),0)</f>
        <v/>
      </c>
      <c r="AN580">
        <f>IFERROR(INDEX(PP_Grid[#Data],$DD580,38),0)</f>
        <v/>
      </c>
      <c r="AO580">
        <f>IFERROR(INDEX(PP_Grid[#Data],$DD580,39),0)</f>
        <v/>
      </c>
      <c r="AP580">
        <f>IFERROR(INDEX(PP_Grid[#Data],$DD580,40),0)</f>
        <v/>
      </c>
      <c r="AQ580">
        <f>IFERROR(INDEX(PP_Grid[#Data],$DD580,41),0)</f>
        <v/>
      </c>
      <c r="AR580">
        <f>IFERROR(INDEX(PP_Grid[#Data],$DD580,42),0)</f>
        <v/>
      </c>
      <c r="AS580">
        <f>IFERROR(INDEX(PP_Grid[#Data],$DD580,43),0)</f>
        <v/>
      </c>
      <c r="AT580">
        <f>IFERROR(INDEX(PP_Grid[#Data],$DD580,44),0)</f>
        <v/>
      </c>
      <c r="AU580">
        <f>IFERROR(INDEX(PP_Grid[#Data],$DD580,45),0)</f>
        <v/>
      </c>
      <c r="AV580">
        <f>IFERROR(INDEX(PP_Grid[#Data],$DD580,46),0)</f>
        <v/>
      </c>
      <c r="AW580">
        <f>IFERROR(INDEX(PP_Grid[#Data],$DD580,47),0)</f>
        <v/>
      </c>
      <c r="AX580">
        <f>IFERROR(INDEX(PP_Grid[#Data],$DD580,48),0)</f>
        <v/>
      </c>
      <c r="AY580">
        <f>IFERROR(INDEX(PP_Grid[#Data],$DD580,49),0)</f>
        <v/>
      </c>
      <c r="AZ580">
        <f>IFERROR(INDEX(PP_Grid[#Data],$DD580,50),0)</f>
        <v/>
      </c>
      <c r="BA580">
        <f>IFERROR(INDEX(PP_Grid[#Data],$DD580,51),0)</f>
        <v/>
      </c>
      <c r="BB580">
        <f>IFERROR(INDEX(PP_Grid[#Data],$DD580,52),0)</f>
        <v/>
      </c>
      <c r="BC580">
        <f>IFERROR(INDEX(PP_Grid[#Data],$DD580,53),0)</f>
        <v/>
      </c>
      <c r="BD580">
        <f>IFERROR(INDEX(PP_Grid[#Data],$DD580,54),0)</f>
        <v/>
      </c>
      <c r="BE580">
        <f>IFERROR(INDEX(PP_Grid[#Data],$DD580,55),0)</f>
        <v/>
      </c>
      <c r="BF580">
        <f>IFERROR(INDEX(PP_Grid[#Data],$DD580,56),0)</f>
        <v/>
      </c>
      <c r="BG580">
        <f>IFERROR(INDEX(PP_Grid[#Data],$DD580,57),0)</f>
        <v/>
      </c>
      <c r="BH580">
        <f>IFERROR(INDEX(PP_Grid[#Data],$DD580,58),0)</f>
        <v/>
      </c>
      <c r="BI580">
        <f>IFERROR(INDEX(PP_Grid[#Data],$DD580,59),0)</f>
        <v/>
      </c>
      <c r="BJ580">
        <f>IFERROR(INDEX(PP_Grid[#Data],$DD580,60),0)</f>
        <v/>
      </c>
      <c r="BK580">
        <f>IFERROR(INDEX(PP_Grid[#Data],$DD580,61),0)</f>
        <v/>
      </c>
      <c r="BL580">
        <f>IFERROR(INDEX(PP_Grid[#Data],$DD580,62),0)</f>
        <v/>
      </c>
      <c r="BM580">
        <f>IFERROR(INDEX(PP_Grid[#Data],$DD580,63),0)</f>
        <v/>
      </c>
      <c r="BN580">
        <f>IFERROR(INDEX(PP_Grid[#Data],$DD580,64),0)</f>
        <v/>
      </c>
      <c r="BO580">
        <f>IFERROR(INDEX(PP_Grid[#Data],$DD580,65),0)</f>
        <v/>
      </c>
      <c r="BP580">
        <f>IFERROR(INDEX(PP_Grid[#Data],$DD580,66),0)</f>
        <v/>
      </c>
      <c r="BQ580">
        <f>IFERROR(INDEX(PP_Grid[#Data],$DD580,67),0)</f>
        <v/>
      </c>
      <c r="BR580">
        <f>IFERROR(INDEX(PP_Grid[#Data],$DD580,68),0)</f>
        <v/>
      </c>
      <c r="BS580">
        <f>IFERROR(INDEX(PP_Grid[#Data],$DD580,69),0)</f>
        <v/>
      </c>
      <c r="BT580">
        <f>IFERROR(INDEX(PP_Grid[#Data],$DD580,70),0)</f>
        <v/>
      </c>
      <c r="BU580">
        <f>IFERROR(INDEX(PP_Grid[#Data],$DD580,71),0)</f>
        <v/>
      </c>
      <c r="BV580">
        <f>IFERROR(INDEX(PP_Grid[#Data],$DD580,72),0)</f>
        <v/>
      </c>
      <c r="BW580">
        <f>IFERROR(INDEX(PP_Grid[#Data],$DD580,73),0)</f>
        <v/>
      </c>
      <c r="BX580">
        <f>IFERROR(INDEX(PP_Grid[#Data],$DD580,74),0)</f>
        <v/>
      </c>
      <c r="BY580">
        <f>IFERROR(INDEX(PP_Grid[#Data],$DD580,75),0)</f>
        <v/>
      </c>
      <c r="BZ580">
        <f>IFERROR(INDEX(PP_Grid[#Data],$DD580,76),0)</f>
        <v/>
      </c>
      <c r="CA580">
        <f>IFERROR(INDEX(PP_Grid[#Data],$DD580,77),0)</f>
        <v/>
      </c>
      <c r="CB580">
        <f>IFERROR(INDEX(PP_Grid[#Data],$DD580,78),0)</f>
        <v/>
      </c>
      <c r="CC580">
        <f>IFERROR(INDEX(PP_Grid[#Data],$DD580,79),0)</f>
        <v/>
      </c>
      <c r="CD580">
        <f>IFERROR(INDEX(PP_Grid[#Data],$DD580,80),0)</f>
        <v/>
      </c>
      <c r="CE580">
        <f>IFERROR(INDEX(PP_Grid[#Data],$DD580,81),0)</f>
        <v/>
      </c>
      <c r="CF580">
        <f>IFERROR(INDEX(PP_Grid[#Data],$DD580,82),0)</f>
        <v/>
      </c>
      <c r="CG580">
        <f>IFERROR(INDEX(PP_Grid[#Data],$DD580,83),0)</f>
        <v/>
      </c>
      <c r="CH580">
        <f>IFERROR(INDEX(PP_Grid[#Data],$DD580,84),0)</f>
        <v/>
      </c>
      <c r="CI580">
        <f>IFERROR(INDEX(PP_Grid[#Data],$DD580,85),0)</f>
        <v/>
      </c>
      <c r="CJ580">
        <f>IFERROR(INDEX(PP_Grid[#Data],$DD580,86),0)</f>
        <v/>
      </c>
      <c r="CK580">
        <f>IFERROR(INDEX(PP_Grid[#Data],$DD580,87),0)</f>
        <v/>
      </c>
      <c r="CL580">
        <f>IFERROR(INDEX(PP_Grid[#Data],$DD580,88),0)</f>
        <v/>
      </c>
      <c r="CM580">
        <f>IFERROR(INDEX(PP_Grid[#Data],$DD580,89),0)</f>
        <v/>
      </c>
      <c r="CN580">
        <f>IFERROR(INDEX(PP_Grid[#Data],$DD580,90),0)</f>
        <v/>
      </c>
      <c r="CO580">
        <f>IFERROR(INDEX(PP_Grid[#Data],$DD580,91),0)</f>
        <v/>
      </c>
      <c r="CP580">
        <f>IFERROR(INDEX(PP_Grid[#Data],$DD580,92),0)</f>
        <v/>
      </c>
      <c r="CQ580">
        <f>IFERROR(INDEX(PP_Grid[#Data],$DD580,93),0)</f>
        <v/>
      </c>
      <c r="CR580">
        <f>IFERROR(INDEX(PP_Grid[#Data],$DD580,94),0)</f>
        <v/>
      </c>
      <c r="CS580">
        <f>IFERROR(INDEX(PP_Grid[#Data],$DD580,95),0)</f>
        <v/>
      </c>
      <c r="CT580">
        <f>IFERROR(INDEX(PP_Grid[#Data],$DD580,96),0)</f>
        <v/>
      </c>
      <c r="CU580">
        <f>IFERROR(INDEX(PP_Grid[#Data],$DD580,97),0)</f>
        <v/>
      </c>
      <c r="CV580">
        <f>IFERROR(INDEX(PP_Grid[#Data],$DD580,98),0)</f>
        <v/>
      </c>
      <c r="CW580">
        <f>IFERROR(INDEX(PP_Grid[#Data],$DD580,99),0)</f>
        <v/>
      </c>
      <c r="CX580">
        <f>IFERROR(INDEX(PP_Grid[#Data],$DD580,100),0)</f>
        <v/>
      </c>
      <c r="CY580">
        <f>IFERROR(INDEX(PP_Grid[#Data],$DD580,101),0)</f>
        <v/>
      </c>
      <c r="CZ580">
        <f>IFERROR(INDEX(PP_Grid[#Data],$DD580,102),0)</f>
        <v/>
      </c>
      <c r="DA580">
        <f>IFERROR(INDEX(PP_Grid[#Data],$DD580,103),0)</f>
        <v/>
      </c>
      <c r="DB580">
        <f>IFERROR(INDEX(PP_Grid[#Data],$DD580,104),0)</f>
        <v/>
      </c>
      <c r="DC580">
        <f>IFERROR(INDEX(PP_Grid[#Data],$DD580,105),0)</f>
        <v/>
      </c>
      <c r="DD580" s="7">
        <f>IFERROR(MATCH($B580,PP_Grid[Intermediate],0),99999)</f>
        <v/>
      </c>
    </row>
    <row r="581">
      <c r="B581" t="inlineStr">
        <is>
          <t>使用量(kg)</t>
        </is>
      </c>
      <c r="C581">
        <f>SUMIFS(M_BOM[RM_Qty_Per_Batch],M_BOM[Intermediate],$B580,M_BOM[Part Name],$A555)</f>
        <v/>
      </c>
      <c r="D581">
        <f>$C581*D580</f>
        <v/>
      </c>
      <c r="E581">
        <f>$C581*E580</f>
        <v/>
      </c>
      <c r="F581">
        <f>$C581*F580</f>
        <v/>
      </c>
      <c r="G581">
        <f>$C581*G580</f>
        <v/>
      </c>
      <c r="H581">
        <f>$C581*H580</f>
        <v/>
      </c>
      <c r="I581">
        <f>$C581*I580</f>
        <v/>
      </c>
      <c r="J581">
        <f>$C581*J580</f>
        <v/>
      </c>
      <c r="K581">
        <f>$C581*K580</f>
        <v/>
      </c>
      <c r="L581">
        <f>$C581*L580</f>
        <v/>
      </c>
      <c r="M581">
        <f>$C581*M580</f>
        <v/>
      </c>
      <c r="N581">
        <f>$C581*N580</f>
        <v/>
      </c>
      <c r="O581">
        <f>$C581*O580</f>
        <v/>
      </c>
      <c r="P581">
        <f>$C581*P580</f>
        <v/>
      </c>
      <c r="Q581">
        <f>$C581*Q580</f>
        <v/>
      </c>
      <c r="R581">
        <f>$C581*R580</f>
        <v/>
      </c>
      <c r="S581">
        <f>$C581*S580</f>
        <v/>
      </c>
      <c r="T581">
        <f>$C581*T580</f>
        <v/>
      </c>
      <c r="U581">
        <f>$C581*U580</f>
        <v/>
      </c>
      <c r="V581">
        <f>$C581*V580</f>
        <v/>
      </c>
      <c r="W581">
        <f>$C581*W580</f>
        <v/>
      </c>
      <c r="X581">
        <f>$C581*X580</f>
        <v/>
      </c>
      <c r="Y581">
        <f>$C581*Y580</f>
        <v/>
      </c>
      <c r="Z581">
        <f>$C581*Z580</f>
        <v/>
      </c>
      <c r="AA581">
        <f>$C581*AA580</f>
        <v/>
      </c>
      <c r="AB581">
        <f>$C581*AB580</f>
        <v/>
      </c>
      <c r="AC581">
        <f>$C581*AC580</f>
        <v/>
      </c>
      <c r="AD581">
        <f>$C581*AD580</f>
        <v/>
      </c>
      <c r="AE581">
        <f>$C581*AE580</f>
        <v/>
      </c>
      <c r="AF581">
        <f>$C581*AF580</f>
        <v/>
      </c>
      <c r="AG581">
        <f>$C581*AG580</f>
        <v/>
      </c>
      <c r="AH581">
        <f>$C581*AH580</f>
        <v/>
      </c>
      <c r="AI581">
        <f>$C581*AI580</f>
        <v/>
      </c>
      <c r="AJ581">
        <f>$C581*AJ580</f>
        <v/>
      </c>
      <c r="AK581">
        <f>$C581*AK580</f>
        <v/>
      </c>
      <c r="AL581">
        <f>$C581*AL580</f>
        <v/>
      </c>
      <c r="AM581">
        <f>$C581*AM580</f>
        <v/>
      </c>
      <c r="AN581">
        <f>$C581*AN580</f>
        <v/>
      </c>
      <c r="AO581">
        <f>$C581*AO580</f>
        <v/>
      </c>
      <c r="AP581">
        <f>$C581*AP580</f>
        <v/>
      </c>
      <c r="AQ581">
        <f>$C581*AQ580</f>
        <v/>
      </c>
      <c r="AR581">
        <f>$C581*AR580</f>
        <v/>
      </c>
      <c r="AS581">
        <f>$C581*AS580</f>
        <v/>
      </c>
      <c r="AT581">
        <f>$C581*AT580</f>
        <v/>
      </c>
      <c r="AU581">
        <f>$C581*AU580</f>
        <v/>
      </c>
      <c r="AV581">
        <f>$C581*AV580</f>
        <v/>
      </c>
      <c r="AW581">
        <f>$C581*AW580</f>
        <v/>
      </c>
      <c r="AX581">
        <f>$C581*AX580</f>
        <v/>
      </c>
      <c r="AY581">
        <f>$C581*AY580</f>
        <v/>
      </c>
      <c r="AZ581">
        <f>$C581*AZ580</f>
        <v/>
      </c>
      <c r="BA581">
        <f>$C581*BA580</f>
        <v/>
      </c>
      <c r="BB581">
        <f>$C581*BB580</f>
        <v/>
      </c>
      <c r="BC581">
        <f>$C581*BC580</f>
        <v/>
      </c>
      <c r="BD581">
        <f>$C581*BD580</f>
        <v/>
      </c>
      <c r="BE581">
        <f>$C581*BE580</f>
        <v/>
      </c>
      <c r="BF581">
        <f>$C581*BF580</f>
        <v/>
      </c>
      <c r="BG581">
        <f>$C581*BG580</f>
        <v/>
      </c>
      <c r="BH581">
        <f>$C581*BH580</f>
        <v/>
      </c>
      <c r="BI581">
        <f>$C581*BI580</f>
        <v/>
      </c>
      <c r="BJ581">
        <f>$C581*BJ580</f>
        <v/>
      </c>
      <c r="BK581">
        <f>$C581*BK580</f>
        <v/>
      </c>
      <c r="BL581">
        <f>$C581*BL580</f>
        <v/>
      </c>
      <c r="BM581">
        <f>$C581*BM580</f>
        <v/>
      </c>
      <c r="BN581">
        <f>$C581*BN580</f>
        <v/>
      </c>
      <c r="BO581">
        <f>$C581*BO580</f>
        <v/>
      </c>
      <c r="BP581">
        <f>$C581*BP580</f>
        <v/>
      </c>
      <c r="BQ581">
        <f>$C581*BQ580</f>
        <v/>
      </c>
      <c r="BR581">
        <f>$C581*BR580</f>
        <v/>
      </c>
      <c r="BS581">
        <f>$C581*BS580</f>
        <v/>
      </c>
      <c r="BT581">
        <f>$C581*BT580</f>
        <v/>
      </c>
      <c r="BU581">
        <f>$C581*BU580</f>
        <v/>
      </c>
      <c r="BV581">
        <f>$C581*BV580</f>
        <v/>
      </c>
      <c r="BW581">
        <f>$C581*BW580</f>
        <v/>
      </c>
      <c r="BX581">
        <f>$C581*BX580</f>
        <v/>
      </c>
      <c r="BY581">
        <f>$C581*BY580</f>
        <v/>
      </c>
      <c r="BZ581">
        <f>$C581*BZ580</f>
        <v/>
      </c>
      <c r="CA581">
        <f>$C581*CA580</f>
        <v/>
      </c>
      <c r="CB581">
        <f>$C581*CB580</f>
        <v/>
      </c>
      <c r="CC581">
        <f>$C581*CC580</f>
        <v/>
      </c>
      <c r="CD581">
        <f>$C581*CD580</f>
        <v/>
      </c>
      <c r="CE581">
        <f>$C581*CE580</f>
        <v/>
      </c>
      <c r="CF581">
        <f>$C581*CF580</f>
        <v/>
      </c>
      <c r="CG581">
        <f>$C581*CG580</f>
        <v/>
      </c>
      <c r="CH581">
        <f>$C581*CH580</f>
        <v/>
      </c>
      <c r="CI581">
        <f>$C581*CI580</f>
        <v/>
      </c>
      <c r="CJ581">
        <f>$C581*CJ580</f>
        <v/>
      </c>
      <c r="CK581">
        <f>$C581*CK580</f>
        <v/>
      </c>
      <c r="CL581">
        <f>$C581*CL580</f>
        <v/>
      </c>
      <c r="CM581">
        <f>$C581*CM580</f>
        <v/>
      </c>
      <c r="CN581">
        <f>$C581*CN580</f>
        <v/>
      </c>
      <c r="CO581">
        <f>$C581*CO580</f>
        <v/>
      </c>
      <c r="CP581">
        <f>$C581*CP580</f>
        <v/>
      </c>
      <c r="CQ581">
        <f>$C581*CQ580</f>
        <v/>
      </c>
      <c r="CR581">
        <f>$C581*CR580</f>
        <v/>
      </c>
      <c r="CS581">
        <f>$C581*CS580</f>
        <v/>
      </c>
      <c r="CT581">
        <f>$C581*CT580</f>
        <v/>
      </c>
      <c r="CU581">
        <f>$C581*CU580</f>
        <v/>
      </c>
      <c r="CV581">
        <f>$C581*CV580</f>
        <v/>
      </c>
      <c r="CW581">
        <f>$C581*CW580</f>
        <v/>
      </c>
      <c r="CX581">
        <f>$C581*CX580</f>
        <v/>
      </c>
      <c r="CY581">
        <f>$C581*CY580</f>
        <v/>
      </c>
      <c r="CZ581">
        <f>$C581*CZ580</f>
        <v/>
      </c>
      <c r="DA581">
        <f>$C581*DA580</f>
        <v/>
      </c>
      <c r="DB581">
        <f>$C581*DB580</f>
        <v/>
      </c>
      <c r="DC581">
        <f>$C581*DC580</f>
        <v/>
      </c>
    </row>
    <row r="582">
      <c r="B582" s="4" t="inlineStr">
        <is>
          <t>合計使用量(kg)/週</t>
        </is>
      </c>
      <c r="D582">
        <f>'Grid_Requirement'!B35</f>
        <v/>
      </c>
      <c r="E582">
        <f>'Grid_Requirement'!C35</f>
        <v/>
      </c>
      <c r="F582">
        <f>'Grid_Requirement'!D35</f>
        <v/>
      </c>
      <c r="G582">
        <f>'Grid_Requirement'!E35</f>
        <v/>
      </c>
      <c r="H582">
        <f>'Grid_Requirement'!F35</f>
        <v/>
      </c>
      <c r="I582">
        <f>'Grid_Requirement'!G35</f>
        <v/>
      </c>
      <c r="J582">
        <f>'Grid_Requirement'!H35</f>
        <v/>
      </c>
      <c r="K582">
        <f>'Grid_Requirement'!I35</f>
        <v/>
      </c>
      <c r="L582">
        <f>'Grid_Requirement'!J35</f>
        <v/>
      </c>
      <c r="M582">
        <f>'Grid_Requirement'!K35</f>
        <v/>
      </c>
      <c r="N582">
        <f>'Grid_Requirement'!L35</f>
        <v/>
      </c>
      <c r="O582">
        <f>'Grid_Requirement'!M35</f>
        <v/>
      </c>
      <c r="P582">
        <f>'Grid_Requirement'!N35</f>
        <v/>
      </c>
      <c r="Q582">
        <f>'Grid_Requirement'!O35</f>
        <v/>
      </c>
      <c r="R582">
        <f>'Grid_Requirement'!P35</f>
        <v/>
      </c>
      <c r="S582">
        <f>'Grid_Requirement'!Q35</f>
        <v/>
      </c>
      <c r="T582">
        <f>'Grid_Requirement'!R35</f>
        <v/>
      </c>
      <c r="U582">
        <f>'Grid_Requirement'!S35</f>
        <v/>
      </c>
      <c r="V582">
        <f>'Grid_Requirement'!T35</f>
        <v/>
      </c>
      <c r="W582">
        <f>'Grid_Requirement'!U35</f>
        <v/>
      </c>
      <c r="X582">
        <f>'Grid_Requirement'!V35</f>
        <v/>
      </c>
      <c r="Y582">
        <f>'Grid_Requirement'!W35</f>
        <v/>
      </c>
      <c r="Z582">
        <f>'Grid_Requirement'!X35</f>
        <v/>
      </c>
      <c r="AA582">
        <f>'Grid_Requirement'!Y35</f>
        <v/>
      </c>
      <c r="AB582">
        <f>'Grid_Requirement'!Z35</f>
        <v/>
      </c>
      <c r="AC582">
        <f>'Grid_Requirement'!AA35</f>
        <v/>
      </c>
      <c r="AD582">
        <f>'Grid_Requirement'!AB35</f>
        <v/>
      </c>
      <c r="AE582">
        <f>'Grid_Requirement'!AC35</f>
        <v/>
      </c>
      <c r="AF582">
        <f>'Grid_Requirement'!AD35</f>
        <v/>
      </c>
      <c r="AG582">
        <f>'Grid_Requirement'!AE35</f>
        <v/>
      </c>
      <c r="AH582">
        <f>'Grid_Requirement'!AF35</f>
        <v/>
      </c>
      <c r="AI582">
        <f>'Grid_Requirement'!AG35</f>
        <v/>
      </c>
      <c r="AJ582">
        <f>'Grid_Requirement'!AH35</f>
        <v/>
      </c>
      <c r="AK582">
        <f>'Grid_Requirement'!AI35</f>
        <v/>
      </c>
      <c r="AL582">
        <f>'Grid_Requirement'!AJ35</f>
        <v/>
      </c>
      <c r="AM582">
        <f>'Grid_Requirement'!AK35</f>
        <v/>
      </c>
      <c r="AN582">
        <f>'Grid_Requirement'!AL35</f>
        <v/>
      </c>
      <c r="AO582">
        <f>'Grid_Requirement'!AM35</f>
        <v/>
      </c>
      <c r="AP582">
        <f>'Grid_Requirement'!AN35</f>
        <v/>
      </c>
      <c r="AQ582">
        <f>'Grid_Requirement'!AO35</f>
        <v/>
      </c>
      <c r="AR582">
        <f>'Grid_Requirement'!AP35</f>
        <v/>
      </c>
      <c r="AS582">
        <f>'Grid_Requirement'!AQ35</f>
        <v/>
      </c>
      <c r="AT582">
        <f>'Grid_Requirement'!AR35</f>
        <v/>
      </c>
      <c r="AU582">
        <f>'Grid_Requirement'!AS35</f>
        <v/>
      </c>
      <c r="AV582">
        <f>'Grid_Requirement'!AT35</f>
        <v/>
      </c>
      <c r="AW582">
        <f>'Grid_Requirement'!AU35</f>
        <v/>
      </c>
      <c r="AX582">
        <f>'Grid_Requirement'!AV35</f>
        <v/>
      </c>
      <c r="AY582">
        <f>'Grid_Requirement'!AW35</f>
        <v/>
      </c>
      <c r="AZ582">
        <f>'Grid_Requirement'!AX35</f>
        <v/>
      </c>
      <c r="BA582">
        <f>'Grid_Requirement'!AY35</f>
        <v/>
      </c>
      <c r="BB582">
        <f>'Grid_Requirement'!AZ35</f>
        <v/>
      </c>
      <c r="BC582">
        <f>'Grid_Requirement'!BA35</f>
        <v/>
      </c>
      <c r="BD582">
        <f>'Grid_Requirement'!BB35</f>
        <v/>
      </c>
      <c r="BE582">
        <f>'Grid_Requirement'!BC35</f>
        <v/>
      </c>
      <c r="BF582">
        <f>'Grid_Requirement'!BD35</f>
        <v/>
      </c>
      <c r="BG582">
        <f>'Grid_Requirement'!BE35</f>
        <v/>
      </c>
      <c r="BH582">
        <f>'Grid_Requirement'!BF35</f>
        <v/>
      </c>
      <c r="BI582">
        <f>'Grid_Requirement'!BG35</f>
        <v/>
      </c>
      <c r="BJ582">
        <f>'Grid_Requirement'!BH35</f>
        <v/>
      </c>
      <c r="BK582">
        <f>'Grid_Requirement'!BI35</f>
        <v/>
      </c>
      <c r="BL582">
        <f>'Grid_Requirement'!BJ35</f>
        <v/>
      </c>
      <c r="BM582">
        <f>'Grid_Requirement'!BK35</f>
        <v/>
      </c>
      <c r="BN582">
        <f>'Grid_Requirement'!BL35</f>
        <v/>
      </c>
      <c r="BO582">
        <f>'Grid_Requirement'!BM35</f>
        <v/>
      </c>
      <c r="BP582">
        <f>'Grid_Requirement'!BN35</f>
        <v/>
      </c>
      <c r="BQ582">
        <f>'Grid_Requirement'!BO35</f>
        <v/>
      </c>
      <c r="BR582">
        <f>'Grid_Requirement'!BP35</f>
        <v/>
      </c>
      <c r="BS582">
        <f>'Grid_Requirement'!BQ35</f>
        <v/>
      </c>
      <c r="BT582">
        <f>'Grid_Requirement'!BR35</f>
        <v/>
      </c>
      <c r="BU582">
        <f>'Grid_Requirement'!BS35</f>
        <v/>
      </c>
      <c r="BV582">
        <f>'Grid_Requirement'!BT35</f>
        <v/>
      </c>
      <c r="BW582">
        <f>'Grid_Requirement'!BU35</f>
        <v/>
      </c>
      <c r="BX582">
        <f>'Grid_Requirement'!BV35</f>
        <v/>
      </c>
      <c r="BY582">
        <f>'Grid_Requirement'!BW35</f>
        <v/>
      </c>
      <c r="BZ582">
        <f>'Grid_Requirement'!BX35</f>
        <v/>
      </c>
      <c r="CA582">
        <f>'Grid_Requirement'!BY35</f>
        <v/>
      </c>
      <c r="CB582">
        <f>'Grid_Requirement'!BZ35</f>
        <v/>
      </c>
      <c r="CC582">
        <f>'Grid_Requirement'!CA35</f>
        <v/>
      </c>
      <c r="CD582">
        <f>'Grid_Requirement'!CB35</f>
        <v/>
      </c>
      <c r="CE582">
        <f>'Grid_Requirement'!CC35</f>
        <v/>
      </c>
      <c r="CF582">
        <f>'Grid_Requirement'!CD35</f>
        <v/>
      </c>
      <c r="CG582">
        <f>'Grid_Requirement'!CE35</f>
        <v/>
      </c>
      <c r="CH582">
        <f>'Grid_Requirement'!CF35</f>
        <v/>
      </c>
      <c r="CI582">
        <f>'Grid_Requirement'!CG35</f>
        <v/>
      </c>
      <c r="CJ582">
        <f>'Grid_Requirement'!CH35</f>
        <v/>
      </c>
      <c r="CK582">
        <f>'Grid_Requirement'!CI35</f>
        <v/>
      </c>
      <c r="CL582">
        <f>'Grid_Requirement'!CJ35</f>
        <v/>
      </c>
      <c r="CM582">
        <f>'Grid_Requirement'!CK35</f>
        <v/>
      </c>
      <c r="CN582">
        <f>'Grid_Requirement'!CL35</f>
        <v/>
      </c>
      <c r="CO582">
        <f>'Grid_Requirement'!CM35</f>
        <v/>
      </c>
      <c r="CP582">
        <f>'Grid_Requirement'!CN35</f>
        <v/>
      </c>
      <c r="CQ582">
        <f>'Grid_Requirement'!CO35</f>
        <v/>
      </c>
      <c r="CR582">
        <f>'Grid_Requirement'!CP35</f>
        <v/>
      </c>
      <c r="CS582">
        <f>'Grid_Requirement'!CQ35</f>
        <v/>
      </c>
      <c r="CT582">
        <f>'Grid_Requirement'!CR35</f>
        <v/>
      </c>
      <c r="CU582">
        <f>'Grid_Requirement'!CS35</f>
        <v/>
      </c>
      <c r="CV582">
        <f>'Grid_Requirement'!CT35</f>
        <v/>
      </c>
      <c r="CW582">
        <f>'Grid_Requirement'!CU35</f>
        <v/>
      </c>
      <c r="CX582">
        <f>'Grid_Requirement'!CV35</f>
        <v/>
      </c>
      <c r="CY582">
        <f>'Grid_Requirement'!CW35</f>
        <v/>
      </c>
      <c r="CZ582">
        <f>'Grid_Requirement'!CX35</f>
        <v/>
      </c>
      <c r="DA582">
        <f>'Grid_Requirement'!CY35</f>
        <v/>
      </c>
      <c r="DB582">
        <f>'Grid_Requirement'!CZ35</f>
        <v/>
      </c>
      <c r="DC582">
        <f>'Grid_Requirement'!DA35</f>
        <v/>
      </c>
    </row>
    <row r="583">
      <c r="B583" t="inlineStr">
        <is>
          <t>TTAF在庫(実績,kg)</t>
        </is>
      </c>
      <c r="D583">
        <f>'T_TTAFStock'!B39</f>
        <v/>
      </c>
      <c r="E583">
        <f>'T_TTAFStock'!C39</f>
        <v/>
      </c>
      <c r="F583">
        <f>'T_TTAFStock'!D39</f>
        <v/>
      </c>
      <c r="G583">
        <f>'T_TTAFStock'!E39</f>
        <v/>
      </c>
      <c r="H583">
        <f>'T_TTAFStock'!F39</f>
        <v/>
      </c>
      <c r="I583">
        <f>'T_TTAFStock'!G39</f>
        <v/>
      </c>
      <c r="J583">
        <f>'T_TTAFStock'!H39</f>
        <v/>
      </c>
      <c r="K583">
        <f>'T_TTAFStock'!I39</f>
        <v/>
      </c>
      <c r="L583">
        <f>'T_TTAFStock'!J39</f>
        <v/>
      </c>
      <c r="M583">
        <f>'T_TTAFStock'!K39</f>
        <v/>
      </c>
      <c r="N583">
        <f>'T_TTAFStock'!L39</f>
        <v/>
      </c>
      <c r="O583">
        <f>'T_TTAFStock'!M39</f>
        <v/>
      </c>
      <c r="P583">
        <f>'T_TTAFStock'!N39</f>
        <v/>
      </c>
      <c r="Q583">
        <f>'T_TTAFStock'!O39</f>
        <v/>
      </c>
      <c r="R583">
        <f>'T_TTAFStock'!P39</f>
        <v/>
      </c>
      <c r="S583">
        <f>'T_TTAFStock'!Q39</f>
        <v/>
      </c>
      <c r="T583">
        <f>'T_TTAFStock'!R39</f>
        <v/>
      </c>
      <c r="U583">
        <f>'T_TTAFStock'!S39</f>
        <v/>
      </c>
      <c r="V583">
        <f>'T_TTAFStock'!T39</f>
        <v/>
      </c>
      <c r="W583">
        <f>'T_TTAFStock'!U39</f>
        <v/>
      </c>
      <c r="X583">
        <f>'T_TTAFStock'!V39</f>
        <v/>
      </c>
      <c r="Y583">
        <f>'T_TTAFStock'!W39</f>
        <v/>
      </c>
      <c r="Z583">
        <f>'T_TTAFStock'!X39</f>
        <v/>
      </c>
      <c r="AA583">
        <f>'T_TTAFStock'!Y39</f>
        <v/>
      </c>
      <c r="AB583">
        <f>'T_TTAFStock'!Z39</f>
        <v/>
      </c>
      <c r="AC583">
        <f>'T_TTAFStock'!AA39</f>
        <v/>
      </c>
      <c r="AD583">
        <f>'T_TTAFStock'!AB39</f>
        <v/>
      </c>
      <c r="AE583">
        <f>'T_TTAFStock'!AC39</f>
        <v/>
      </c>
      <c r="AF583">
        <f>'T_TTAFStock'!AD39</f>
        <v/>
      </c>
      <c r="AG583">
        <f>'T_TTAFStock'!AE39</f>
        <v/>
      </c>
      <c r="AH583">
        <f>'T_TTAFStock'!AF39</f>
        <v/>
      </c>
      <c r="AI583">
        <f>'T_TTAFStock'!AG39</f>
        <v/>
      </c>
      <c r="AJ583">
        <f>'T_TTAFStock'!AH39</f>
        <v/>
      </c>
      <c r="AK583">
        <f>'T_TTAFStock'!AI39</f>
        <v/>
      </c>
      <c r="AL583">
        <f>'T_TTAFStock'!AJ39</f>
        <v/>
      </c>
      <c r="AM583">
        <f>'T_TTAFStock'!AK39</f>
        <v/>
      </c>
      <c r="AN583">
        <f>'T_TTAFStock'!AL39</f>
        <v/>
      </c>
      <c r="AO583">
        <f>'T_TTAFStock'!AM39</f>
        <v/>
      </c>
      <c r="AP583">
        <f>'T_TTAFStock'!AN39</f>
        <v/>
      </c>
      <c r="AQ583">
        <f>'T_TTAFStock'!AO39</f>
        <v/>
      </c>
      <c r="AR583">
        <f>'T_TTAFStock'!AP39</f>
        <v/>
      </c>
      <c r="AS583">
        <f>'T_TTAFStock'!AQ39</f>
        <v/>
      </c>
      <c r="AT583">
        <f>'T_TTAFStock'!AR39</f>
        <v/>
      </c>
      <c r="AU583">
        <f>'T_TTAFStock'!AS39</f>
        <v/>
      </c>
      <c r="AV583">
        <f>'T_TTAFStock'!AT39</f>
        <v/>
      </c>
      <c r="AW583">
        <f>'T_TTAFStock'!AU39</f>
        <v/>
      </c>
      <c r="AX583">
        <f>'T_TTAFStock'!AV39</f>
        <v/>
      </c>
      <c r="AY583">
        <f>'T_TTAFStock'!AW39</f>
        <v/>
      </c>
      <c r="AZ583">
        <f>'T_TTAFStock'!AX39</f>
        <v/>
      </c>
      <c r="BA583">
        <f>'T_TTAFStock'!AY39</f>
        <v/>
      </c>
      <c r="BB583">
        <f>'T_TTAFStock'!AZ39</f>
        <v/>
      </c>
      <c r="BC583">
        <f>'T_TTAFStock'!BA39</f>
        <v/>
      </c>
      <c r="BD583">
        <f>'T_TTAFStock'!BB39</f>
        <v/>
      </c>
      <c r="BE583">
        <f>'T_TTAFStock'!BC39</f>
        <v/>
      </c>
      <c r="BF583">
        <f>'T_TTAFStock'!BD39</f>
        <v/>
      </c>
      <c r="BG583">
        <f>'T_TTAFStock'!BE39</f>
        <v/>
      </c>
      <c r="BH583">
        <f>'T_TTAFStock'!BF39</f>
        <v/>
      </c>
      <c r="BI583">
        <f>'T_TTAFStock'!BG39</f>
        <v/>
      </c>
      <c r="BJ583">
        <f>'T_TTAFStock'!BH39</f>
        <v/>
      </c>
      <c r="BK583">
        <f>'T_TTAFStock'!BI39</f>
        <v/>
      </c>
      <c r="BL583">
        <f>'T_TTAFStock'!BJ39</f>
        <v/>
      </c>
      <c r="BM583">
        <f>'T_TTAFStock'!BK39</f>
        <v/>
      </c>
      <c r="BN583">
        <f>'T_TTAFStock'!BL39</f>
        <v/>
      </c>
      <c r="BO583">
        <f>'T_TTAFStock'!BM39</f>
        <v/>
      </c>
      <c r="BP583">
        <f>'T_TTAFStock'!BN39</f>
        <v/>
      </c>
      <c r="BQ583">
        <f>'T_TTAFStock'!BO39</f>
        <v/>
      </c>
      <c r="BR583">
        <f>'T_TTAFStock'!BP39</f>
        <v/>
      </c>
      <c r="BS583">
        <f>'T_TTAFStock'!BQ39</f>
        <v/>
      </c>
      <c r="BT583">
        <f>'T_TTAFStock'!BR39</f>
        <v/>
      </c>
      <c r="BU583">
        <f>'T_TTAFStock'!BS39</f>
        <v/>
      </c>
      <c r="BV583">
        <f>'T_TTAFStock'!BT39</f>
        <v/>
      </c>
      <c r="BW583">
        <f>'T_TTAFStock'!BU39</f>
        <v/>
      </c>
      <c r="BX583">
        <f>'T_TTAFStock'!BV39</f>
        <v/>
      </c>
      <c r="BY583">
        <f>'T_TTAFStock'!BW39</f>
        <v/>
      </c>
      <c r="BZ583">
        <f>'T_TTAFStock'!BX39</f>
        <v/>
      </c>
      <c r="CA583">
        <f>'T_TTAFStock'!BY39</f>
        <v/>
      </c>
      <c r="CB583">
        <f>'T_TTAFStock'!BZ39</f>
        <v/>
      </c>
      <c r="CC583">
        <f>'T_TTAFStock'!CA39</f>
        <v/>
      </c>
      <c r="CD583">
        <f>'T_TTAFStock'!CB39</f>
        <v/>
      </c>
      <c r="CE583">
        <f>'T_TTAFStock'!CC39</f>
        <v/>
      </c>
      <c r="CF583">
        <f>'T_TTAFStock'!CD39</f>
        <v/>
      </c>
      <c r="CG583">
        <f>'T_TTAFStock'!CE39</f>
        <v/>
      </c>
      <c r="CH583">
        <f>'T_TTAFStock'!CF39</f>
        <v/>
      </c>
      <c r="CI583">
        <f>'T_TTAFStock'!CG39</f>
        <v/>
      </c>
      <c r="CJ583">
        <f>'T_TTAFStock'!CH39</f>
        <v/>
      </c>
      <c r="CK583">
        <f>'T_TTAFStock'!CI39</f>
        <v/>
      </c>
      <c r="CL583">
        <f>'T_TTAFStock'!CJ39</f>
        <v/>
      </c>
      <c r="CM583">
        <f>'T_TTAFStock'!CK39</f>
        <v/>
      </c>
      <c r="CN583">
        <f>'T_TTAFStock'!CL39</f>
        <v/>
      </c>
      <c r="CO583">
        <f>'T_TTAFStock'!CM39</f>
        <v/>
      </c>
      <c r="CP583">
        <f>'T_TTAFStock'!CN39</f>
        <v/>
      </c>
      <c r="CQ583">
        <f>'T_TTAFStock'!CO39</f>
        <v/>
      </c>
      <c r="CR583">
        <f>'T_TTAFStock'!CP39</f>
        <v/>
      </c>
      <c r="CS583">
        <f>'T_TTAFStock'!CQ39</f>
        <v/>
      </c>
      <c r="CT583">
        <f>'T_TTAFStock'!CR39</f>
        <v/>
      </c>
      <c r="CU583">
        <f>'T_TTAFStock'!CS39</f>
        <v/>
      </c>
      <c r="CV583">
        <f>'T_TTAFStock'!CT39</f>
        <v/>
      </c>
      <c r="CW583">
        <f>'T_TTAFStock'!CU39</f>
        <v/>
      </c>
      <c r="CX583">
        <f>'T_TTAFStock'!CV39</f>
        <v/>
      </c>
      <c r="CY583">
        <f>'T_TTAFStock'!CW39</f>
        <v/>
      </c>
      <c r="CZ583">
        <f>'T_TTAFStock'!CX39</f>
        <v/>
      </c>
      <c r="DA583">
        <f>'T_TTAFStock'!CY39</f>
        <v/>
      </c>
      <c r="DB583">
        <f>'T_TTAFStock'!CZ39</f>
        <v/>
      </c>
      <c r="DC583">
        <f>'T_TTAFStock'!DA39</f>
        <v/>
      </c>
    </row>
    <row r="584">
      <c r="B584" t="inlineStr">
        <is>
          <t>自社在庫(実績,kg)</t>
        </is>
      </c>
      <c r="D584">
        <f>'T_SelfStock'!B39</f>
        <v/>
      </c>
      <c r="E584">
        <f>'T_SelfStock'!C39</f>
        <v/>
      </c>
      <c r="F584">
        <f>'T_SelfStock'!D39</f>
        <v/>
      </c>
      <c r="G584">
        <f>'T_SelfStock'!E39</f>
        <v/>
      </c>
      <c r="H584">
        <f>'T_SelfStock'!F39</f>
        <v/>
      </c>
      <c r="I584">
        <f>'T_SelfStock'!G39</f>
        <v/>
      </c>
      <c r="J584">
        <f>'T_SelfStock'!H39</f>
        <v/>
      </c>
      <c r="K584">
        <f>'T_SelfStock'!I39</f>
        <v/>
      </c>
      <c r="L584">
        <f>'T_SelfStock'!J39</f>
        <v/>
      </c>
      <c r="M584">
        <f>'T_SelfStock'!K39</f>
        <v/>
      </c>
      <c r="N584">
        <f>'T_SelfStock'!L39</f>
        <v/>
      </c>
      <c r="O584">
        <f>'T_SelfStock'!M39</f>
        <v/>
      </c>
      <c r="P584">
        <f>'T_SelfStock'!N39</f>
        <v/>
      </c>
      <c r="Q584">
        <f>'T_SelfStock'!O39</f>
        <v/>
      </c>
      <c r="R584">
        <f>'T_SelfStock'!P39</f>
        <v/>
      </c>
      <c r="S584">
        <f>'T_SelfStock'!Q39</f>
        <v/>
      </c>
      <c r="T584">
        <f>'T_SelfStock'!R39</f>
        <v/>
      </c>
      <c r="U584">
        <f>'T_SelfStock'!S39</f>
        <v/>
      </c>
      <c r="V584">
        <f>'T_SelfStock'!T39</f>
        <v/>
      </c>
      <c r="W584">
        <f>'T_SelfStock'!U39</f>
        <v/>
      </c>
      <c r="X584">
        <f>'T_SelfStock'!V39</f>
        <v/>
      </c>
      <c r="Y584">
        <f>'T_SelfStock'!W39</f>
        <v/>
      </c>
      <c r="Z584">
        <f>'T_SelfStock'!X39</f>
        <v/>
      </c>
      <c r="AA584">
        <f>'T_SelfStock'!Y39</f>
        <v/>
      </c>
      <c r="AB584">
        <f>'T_SelfStock'!Z39</f>
        <v/>
      </c>
      <c r="AC584">
        <f>'T_SelfStock'!AA39</f>
        <v/>
      </c>
      <c r="AD584">
        <f>'T_SelfStock'!AB39</f>
        <v/>
      </c>
      <c r="AE584">
        <f>'T_SelfStock'!AC39</f>
        <v/>
      </c>
      <c r="AF584">
        <f>'T_SelfStock'!AD39</f>
        <v/>
      </c>
      <c r="AG584">
        <f>'T_SelfStock'!AE39</f>
        <v/>
      </c>
      <c r="AH584">
        <f>'T_SelfStock'!AF39</f>
        <v/>
      </c>
      <c r="AI584">
        <f>'T_SelfStock'!AG39</f>
        <v/>
      </c>
      <c r="AJ584">
        <f>'T_SelfStock'!AH39</f>
        <v/>
      </c>
      <c r="AK584">
        <f>'T_SelfStock'!AI39</f>
        <v/>
      </c>
      <c r="AL584">
        <f>'T_SelfStock'!AJ39</f>
        <v/>
      </c>
      <c r="AM584">
        <f>'T_SelfStock'!AK39</f>
        <v/>
      </c>
      <c r="AN584">
        <f>'T_SelfStock'!AL39</f>
        <v/>
      </c>
      <c r="AO584">
        <f>'T_SelfStock'!AM39</f>
        <v/>
      </c>
      <c r="AP584">
        <f>'T_SelfStock'!AN39</f>
        <v/>
      </c>
      <c r="AQ584">
        <f>'T_SelfStock'!AO39</f>
        <v/>
      </c>
      <c r="AR584">
        <f>'T_SelfStock'!AP39</f>
        <v/>
      </c>
      <c r="AS584">
        <f>'T_SelfStock'!AQ39</f>
        <v/>
      </c>
      <c r="AT584">
        <f>'T_SelfStock'!AR39</f>
        <v/>
      </c>
      <c r="AU584">
        <f>'T_SelfStock'!AS39</f>
        <v/>
      </c>
      <c r="AV584">
        <f>'T_SelfStock'!AT39</f>
        <v/>
      </c>
      <c r="AW584">
        <f>'T_SelfStock'!AU39</f>
        <v/>
      </c>
      <c r="AX584">
        <f>'T_SelfStock'!AV39</f>
        <v/>
      </c>
      <c r="AY584">
        <f>'T_SelfStock'!AW39</f>
        <v/>
      </c>
      <c r="AZ584">
        <f>'T_SelfStock'!AX39</f>
        <v/>
      </c>
      <c r="BA584">
        <f>'T_SelfStock'!AY39</f>
        <v/>
      </c>
      <c r="BB584">
        <f>'T_SelfStock'!AZ39</f>
        <v/>
      </c>
      <c r="BC584">
        <f>'T_SelfStock'!BA39</f>
        <v/>
      </c>
      <c r="BD584">
        <f>'T_SelfStock'!BB39</f>
        <v/>
      </c>
      <c r="BE584">
        <f>'T_SelfStock'!BC39</f>
        <v/>
      </c>
      <c r="BF584">
        <f>'T_SelfStock'!BD39</f>
        <v/>
      </c>
      <c r="BG584">
        <f>'T_SelfStock'!BE39</f>
        <v/>
      </c>
      <c r="BH584">
        <f>'T_SelfStock'!BF39</f>
        <v/>
      </c>
      <c r="BI584">
        <f>'T_SelfStock'!BG39</f>
        <v/>
      </c>
      <c r="BJ584">
        <f>'T_SelfStock'!BH39</f>
        <v/>
      </c>
      <c r="BK584">
        <f>'T_SelfStock'!BI39</f>
        <v/>
      </c>
      <c r="BL584">
        <f>'T_SelfStock'!BJ39</f>
        <v/>
      </c>
      <c r="BM584">
        <f>'T_SelfStock'!BK39</f>
        <v/>
      </c>
      <c r="BN584">
        <f>'T_SelfStock'!BL39</f>
        <v/>
      </c>
      <c r="BO584">
        <f>'T_SelfStock'!BM39</f>
        <v/>
      </c>
      <c r="BP584">
        <f>'T_SelfStock'!BN39</f>
        <v/>
      </c>
      <c r="BQ584">
        <f>'T_SelfStock'!BO39</f>
        <v/>
      </c>
      <c r="BR584">
        <f>'T_SelfStock'!BP39</f>
        <v/>
      </c>
      <c r="BS584">
        <f>'T_SelfStock'!BQ39</f>
        <v/>
      </c>
      <c r="BT584">
        <f>'T_SelfStock'!BR39</f>
        <v/>
      </c>
      <c r="BU584">
        <f>'T_SelfStock'!BS39</f>
        <v/>
      </c>
      <c r="BV584">
        <f>'T_SelfStock'!BT39</f>
        <v/>
      </c>
      <c r="BW584">
        <f>'T_SelfStock'!BU39</f>
        <v/>
      </c>
      <c r="BX584">
        <f>'T_SelfStock'!BV39</f>
        <v/>
      </c>
      <c r="BY584">
        <f>'T_SelfStock'!BW39</f>
        <v/>
      </c>
      <c r="BZ584">
        <f>'T_SelfStock'!BX39</f>
        <v/>
      </c>
      <c r="CA584">
        <f>'T_SelfStock'!BY39</f>
        <v/>
      </c>
      <c r="CB584">
        <f>'T_SelfStock'!BZ39</f>
        <v/>
      </c>
      <c r="CC584">
        <f>'T_SelfStock'!CA39</f>
        <v/>
      </c>
      <c r="CD584">
        <f>'T_SelfStock'!CB39</f>
        <v/>
      </c>
      <c r="CE584">
        <f>'T_SelfStock'!CC39</f>
        <v/>
      </c>
      <c r="CF584">
        <f>'T_SelfStock'!CD39</f>
        <v/>
      </c>
      <c r="CG584">
        <f>'T_SelfStock'!CE39</f>
        <v/>
      </c>
      <c r="CH584">
        <f>'T_SelfStock'!CF39</f>
        <v/>
      </c>
      <c r="CI584">
        <f>'T_SelfStock'!CG39</f>
        <v/>
      </c>
      <c r="CJ584">
        <f>'T_SelfStock'!CH39</f>
        <v/>
      </c>
      <c r="CK584">
        <f>'T_SelfStock'!CI39</f>
        <v/>
      </c>
      <c r="CL584">
        <f>'T_SelfStock'!CJ39</f>
        <v/>
      </c>
      <c r="CM584">
        <f>'T_SelfStock'!CK39</f>
        <v/>
      </c>
      <c r="CN584">
        <f>'T_SelfStock'!CL39</f>
        <v/>
      </c>
      <c r="CO584">
        <f>'T_SelfStock'!CM39</f>
        <v/>
      </c>
      <c r="CP584">
        <f>'T_SelfStock'!CN39</f>
        <v/>
      </c>
      <c r="CQ584">
        <f>'T_SelfStock'!CO39</f>
        <v/>
      </c>
      <c r="CR584">
        <f>'T_SelfStock'!CP39</f>
        <v/>
      </c>
      <c r="CS584">
        <f>'T_SelfStock'!CQ39</f>
        <v/>
      </c>
      <c r="CT584">
        <f>'T_SelfStock'!CR39</f>
        <v/>
      </c>
      <c r="CU584">
        <f>'T_SelfStock'!CS39</f>
        <v/>
      </c>
      <c r="CV584">
        <f>'T_SelfStock'!CT39</f>
        <v/>
      </c>
      <c r="CW584">
        <f>'T_SelfStock'!CU39</f>
        <v/>
      </c>
      <c r="CX584">
        <f>'T_SelfStock'!CV39</f>
        <v/>
      </c>
      <c r="CY584">
        <f>'T_SelfStock'!CW39</f>
        <v/>
      </c>
      <c r="CZ584">
        <f>'T_SelfStock'!CX39</f>
        <v/>
      </c>
      <c r="DA584">
        <f>'T_SelfStock'!CY39</f>
        <v/>
      </c>
      <c r="DB584">
        <f>'T_SelfStock'!CZ39</f>
        <v/>
      </c>
      <c r="DC584">
        <f>'T_SelfStock'!DA39</f>
        <v/>
      </c>
    </row>
    <row r="585">
      <c r="B585" t="inlineStr">
        <is>
          <t>Order(発注予定,kg)</t>
        </is>
      </c>
      <c r="D585">
        <f>IF(SUMIFS(T_PlannedOrders[EffectiveQty],T_PlannedOrders[Part Name],$A555,T_PlannedOrders[WeekIndex],1)=0,"",SUMIFS(T_PlannedOrders[EffectiveQty],T_PlannedOrders[Part Name],$A555,T_PlannedOrders[WeekIndex],1)&amp;" ("&amp;TEXT(SUMPRODUCT(MAX((T_PlannedOrders[Part Name]=$A555)*(T_PlannedOrders[WeekIndex]=1)*(T_PlannedOrders[EffectiveQty]&gt;0)*T_PlannedOrders[Order_Month])),"m月")&amp;"発注)")</f>
        <v/>
      </c>
      <c r="E585">
        <f>IF(SUMIFS(T_PlannedOrders[EffectiveQty],T_PlannedOrders[Part Name],$A555,T_PlannedOrders[WeekIndex],2)=0,"",SUMIFS(T_PlannedOrders[EffectiveQty],T_PlannedOrders[Part Name],$A555,T_PlannedOrders[WeekIndex],2)&amp;" ("&amp;TEXT(SUMPRODUCT(MAX((T_PlannedOrders[Part Name]=$A555)*(T_PlannedOrders[WeekIndex]=2)*(T_PlannedOrders[EffectiveQty]&gt;0)*T_PlannedOrders[Order_Month])),"m月")&amp;"発注)")</f>
        <v/>
      </c>
      <c r="F585">
        <f>IF(SUMIFS(T_PlannedOrders[EffectiveQty],T_PlannedOrders[Part Name],$A555,T_PlannedOrders[WeekIndex],3)=0,"",SUMIFS(T_PlannedOrders[EffectiveQty],T_PlannedOrders[Part Name],$A555,T_PlannedOrders[WeekIndex],3)&amp;" ("&amp;TEXT(SUMPRODUCT(MAX((T_PlannedOrders[Part Name]=$A555)*(T_PlannedOrders[WeekIndex]=3)*(T_PlannedOrders[EffectiveQty]&gt;0)*T_PlannedOrders[Order_Month])),"m月")&amp;"発注)")</f>
        <v/>
      </c>
      <c r="G585">
        <f>IF(SUMIFS(T_PlannedOrders[EffectiveQty],T_PlannedOrders[Part Name],$A555,T_PlannedOrders[WeekIndex],4)=0,"",SUMIFS(T_PlannedOrders[EffectiveQty],T_PlannedOrders[Part Name],$A555,T_PlannedOrders[WeekIndex],4)&amp;" ("&amp;TEXT(SUMPRODUCT(MAX((T_PlannedOrders[Part Name]=$A555)*(T_PlannedOrders[WeekIndex]=4)*(T_PlannedOrders[EffectiveQty]&gt;0)*T_PlannedOrders[Order_Month])),"m月")&amp;"発注)")</f>
        <v/>
      </c>
      <c r="H585">
        <f>IF(SUMIFS(T_PlannedOrders[EffectiveQty],T_PlannedOrders[Part Name],$A555,T_PlannedOrders[WeekIndex],5)=0,"",SUMIFS(T_PlannedOrders[EffectiveQty],T_PlannedOrders[Part Name],$A555,T_PlannedOrders[WeekIndex],5)&amp;" ("&amp;TEXT(SUMPRODUCT(MAX((T_PlannedOrders[Part Name]=$A555)*(T_PlannedOrders[WeekIndex]=5)*(T_PlannedOrders[EffectiveQty]&gt;0)*T_PlannedOrders[Order_Month])),"m月")&amp;"発注)")</f>
        <v/>
      </c>
      <c r="I585">
        <f>IF(SUMIFS(T_PlannedOrders[EffectiveQty],T_PlannedOrders[Part Name],$A555,T_PlannedOrders[WeekIndex],6)=0,"",SUMIFS(T_PlannedOrders[EffectiveQty],T_PlannedOrders[Part Name],$A555,T_PlannedOrders[WeekIndex],6)&amp;" ("&amp;TEXT(SUMPRODUCT(MAX((T_PlannedOrders[Part Name]=$A555)*(T_PlannedOrders[WeekIndex]=6)*(T_PlannedOrders[EffectiveQty]&gt;0)*T_PlannedOrders[Order_Month])),"m月")&amp;"発注)")</f>
        <v/>
      </c>
      <c r="J585">
        <f>IF(SUMIFS(T_PlannedOrders[EffectiveQty],T_PlannedOrders[Part Name],$A555,T_PlannedOrders[WeekIndex],7)=0,"",SUMIFS(T_PlannedOrders[EffectiveQty],T_PlannedOrders[Part Name],$A555,T_PlannedOrders[WeekIndex],7)&amp;" ("&amp;TEXT(SUMPRODUCT(MAX((T_PlannedOrders[Part Name]=$A555)*(T_PlannedOrders[WeekIndex]=7)*(T_PlannedOrders[EffectiveQty]&gt;0)*T_PlannedOrders[Order_Month])),"m月")&amp;"発注)")</f>
        <v/>
      </c>
      <c r="K585">
        <f>IF(SUMIFS(T_PlannedOrders[EffectiveQty],T_PlannedOrders[Part Name],$A555,T_PlannedOrders[WeekIndex],8)=0,"",SUMIFS(T_PlannedOrders[EffectiveQty],T_PlannedOrders[Part Name],$A555,T_PlannedOrders[WeekIndex],8)&amp;" ("&amp;TEXT(SUMPRODUCT(MAX((T_PlannedOrders[Part Name]=$A555)*(T_PlannedOrders[WeekIndex]=8)*(T_PlannedOrders[EffectiveQty]&gt;0)*T_PlannedOrders[Order_Month])),"m月")&amp;"発注)")</f>
        <v/>
      </c>
      <c r="L585">
        <f>IF(SUMIFS(T_PlannedOrders[EffectiveQty],T_PlannedOrders[Part Name],$A555,T_PlannedOrders[WeekIndex],9)=0,"",SUMIFS(T_PlannedOrders[EffectiveQty],T_PlannedOrders[Part Name],$A555,T_PlannedOrders[WeekIndex],9)&amp;" ("&amp;TEXT(SUMPRODUCT(MAX((T_PlannedOrders[Part Name]=$A555)*(T_PlannedOrders[WeekIndex]=9)*(T_PlannedOrders[EffectiveQty]&gt;0)*T_PlannedOrders[Order_Month])),"m月")&amp;"発注)")</f>
        <v/>
      </c>
      <c r="M585">
        <f>IF(SUMIFS(T_PlannedOrders[EffectiveQty],T_PlannedOrders[Part Name],$A555,T_PlannedOrders[WeekIndex],10)=0,"",SUMIFS(T_PlannedOrders[EffectiveQty],T_PlannedOrders[Part Name],$A555,T_PlannedOrders[WeekIndex],10)&amp;" ("&amp;TEXT(SUMPRODUCT(MAX((T_PlannedOrders[Part Name]=$A555)*(T_PlannedOrders[WeekIndex]=10)*(T_PlannedOrders[EffectiveQty]&gt;0)*T_PlannedOrders[Order_Month])),"m月")&amp;"発注)")</f>
        <v/>
      </c>
      <c r="N585">
        <f>IF(SUMIFS(T_PlannedOrders[EffectiveQty],T_PlannedOrders[Part Name],$A555,T_PlannedOrders[WeekIndex],11)=0,"",SUMIFS(T_PlannedOrders[EffectiveQty],T_PlannedOrders[Part Name],$A555,T_PlannedOrders[WeekIndex],11)&amp;" ("&amp;TEXT(SUMPRODUCT(MAX((T_PlannedOrders[Part Name]=$A555)*(T_PlannedOrders[WeekIndex]=11)*(T_PlannedOrders[EffectiveQty]&gt;0)*T_PlannedOrders[Order_Month])),"m月")&amp;"発注)")</f>
        <v/>
      </c>
      <c r="O585">
        <f>IF(SUMIFS(T_PlannedOrders[EffectiveQty],T_PlannedOrders[Part Name],$A555,T_PlannedOrders[WeekIndex],12)=0,"",SUMIFS(T_PlannedOrders[EffectiveQty],T_PlannedOrders[Part Name],$A555,T_PlannedOrders[WeekIndex],12)&amp;" ("&amp;TEXT(SUMPRODUCT(MAX((T_PlannedOrders[Part Name]=$A555)*(T_PlannedOrders[WeekIndex]=12)*(T_PlannedOrders[EffectiveQty]&gt;0)*T_PlannedOrders[Order_Month])),"m月")&amp;"発注)")</f>
        <v/>
      </c>
      <c r="P585">
        <f>IF(SUMIFS(T_PlannedOrders[EffectiveQty],T_PlannedOrders[Part Name],$A555,T_PlannedOrders[WeekIndex],13)=0,"",SUMIFS(T_PlannedOrders[EffectiveQty],T_PlannedOrders[Part Name],$A555,T_PlannedOrders[WeekIndex],13)&amp;" ("&amp;TEXT(SUMPRODUCT(MAX((T_PlannedOrders[Part Name]=$A555)*(T_PlannedOrders[WeekIndex]=13)*(T_PlannedOrders[EffectiveQty]&gt;0)*T_PlannedOrders[Order_Month])),"m月")&amp;"発注)")</f>
        <v/>
      </c>
      <c r="Q585">
        <f>IF(SUMIFS(T_PlannedOrders[EffectiveQty],T_PlannedOrders[Part Name],$A555,T_PlannedOrders[WeekIndex],14)=0,"",SUMIFS(T_PlannedOrders[EffectiveQty],T_PlannedOrders[Part Name],$A555,T_PlannedOrders[WeekIndex],14)&amp;" ("&amp;TEXT(SUMPRODUCT(MAX((T_PlannedOrders[Part Name]=$A555)*(T_PlannedOrders[WeekIndex]=14)*(T_PlannedOrders[EffectiveQty]&gt;0)*T_PlannedOrders[Order_Month])),"m月")&amp;"発注)")</f>
        <v/>
      </c>
      <c r="R585">
        <f>IF(SUMIFS(T_PlannedOrders[EffectiveQty],T_PlannedOrders[Part Name],$A555,T_PlannedOrders[WeekIndex],15)=0,"",SUMIFS(T_PlannedOrders[EffectiveQty],T_PlannedOrders[Part Name],$A555,T_PlannedOrders[WeekIndex],15)&amp;" ("&amp;TEXT(SUMPRODUCT(MAX((T_PlannedOrders[Part Name]=$A555)*(T_PlannedOrders[WeekIndex]=15)*(T_PlannedOrders[EffectiveQty]&gt;0)*T_PlannedOrders[Order_Month])),"m月")&amp;"発注)")</f>
        <v/>
      </c>
      <c r="S585">
        <f>IF(SUMIFS(T_PlannedOrders[EffectiveQty],T_PlannedOrders[Part Name],$A555,T_PlannedOrders[WeekIndex],16)=0,"",SUMIFS(T_PlannedOrders[EffectiveQty],T_PlannedOrders[Part Name],$A555,T_PlannedOrders[WeekIndex],16)&amp;" ("&amp;TEXT(SUMPRODUCT(MAX((T_PlannedOrders[Part Name]=$A555)*(T_PlannedOrders[WeekIndex]=16)*(T_PlannedOrders[EffectiveQty]&gt;0)*T_PlannedOrders[Order_Month])),"m月")&amp;"発注)")</f>
        <v/>
      </c>
      <c r="T585">
        <f>IF(SUMIFS(T_PlannedOrders[EffectiveQty],T_PlannedOrders[Part Name],$A555,T_PlannedOrders[WeekIndex],17)=0,"",SUMIFS(T_PlannedOrders[EffectiveQty],T_PlannedOrders[Part Name],$A555,T_PlannedOrders[WeekIndex],17)&amp;" ("&amp;TEXT(SUMPRODUCT(MAX((T_PlannedOrders[Part Name]=$A555)*(T_PlannedOrders[WeekIndex]=17)*(T_PlannedOrders[EffectiveQty]&gt;0)*T_PlannedOrders[Order_Month])),"m月")&amp;"発注)")</f>
        <v/>
      </c>
      <c r="U585">
        <f>IF(SUMIFS(T_PlannedOrders[EffectiveQty],T_PlannedOrders[Part Name],$A555,T_PlannedOrders[WeekIndex],18)=0,"",SUMIFS(T_PlannedOrders[EffectiveQty],T_PlannedOrders[Part Name],$A555,T_PlannedOrders[WeekIndex],18)&amp;" ("&amp;TEXT(SUMPRODUCT(MAX((T_PlannedOrders[Part Name]=$A555)*(T_PlannedOrders[WeekIndex]=18)*(T_PlannedOrders[EffectiveQty]&gt;0)*T_PlannedOrders[Order_Month])),"m月")&amp;"発注)")</f>
        <v/>
      </c>
      <c r="V585">
        <f>IF(SUMIFS(T_PlannedOrders[EffectiveQty],T_PlannedOrders[Part Name],$A555,T_PlannedOrders[WeekIndex],19)=0,"",SUMIFS(T_PlannedOrders[EffectiveQty],T_PlannedOrders[Part Name],$A555,T_PlannedOrders[WeekIndex],19)&amp;" ("&amp;TEXT(SUMPRODUCT(MAX((T_PlannedOrders[Part Name]=$A555)*(T_PlannedOrders[WeekIndex]=19)*(T_PlannedOrders[EffectiveQty]&gt;0)*T_PlannedOrders[Order_Month])),"m月")&amp;"発注)")</f>
        <v/>
      </c>
      <c r="W585">
        <f>IF(SUMIFS(T_PlannedOrders[EffectiveQty],T_PlannedOrders[Part Name],$A555,T_PlannedOrders[WeekIndex],20)=0,"",SUMIFS(T_PlannedOrders[EffectiveQty],T_PlannedOrders[Part Name],$A555,T_PlannedOrders[WeekIndex],20)&amp;" ("&amp;TEXT(SUMPRODUCT(MAX((T_PlannedOrders[Part Name]=$A555)*(T_PlannedOrders[WeekIndex]=20)*(T_PlannedOrders[EffectiveQty]&gt;0)*T_PlannedOrders[Order_Month])),"m月")&amp;"発注)")</f>
        <v/>
      </c>
      <c r="X585">
        <f>IF(SUMIFS(T_PlannedOrders[EffectiveQty],T_PlannedOrders[Part Name],$A555,T_PlannedOrders[WeekIndex],21)=0,"",SUMIFS(T_PlannedOrders[EffectiveQty],T_PlannedOrders[Part Name],$A555,T_PlannedOrders[WeekIndex],21)&amp;" ("&amp;TEXT(SUMPRODUCT(MAX((T_PlannedOrders[Part Name]=$A555)*(T_PlannedOrders[WeekIndex]=21)*(T_PlannedOrders[EffectiveQty]&gt;0)*T_PlannedOrders[Order_Month])),"m月")&amp;"発注)")</f>
        <v/>
      </c>
      <c r="Y585">
        <f>IF(SUMIFS(T_PlannedOrders[EffectiveQty],T_PlannedOrders[Part Name],$A555,T_PlannedOrders[WeekIndex],22)=0,"",SUMIFS(T_PlannedOrders[EffectiveQty],T_PlannedOrders[Part Name],$A555,T_PlannedOrders[WeekIndex],22)&amp;" ("&amp;TEXT(SUMPRODUCT(MAX((T_PlannedOrders[Part Name]=$A555)*(T_PlannedOrders[WeekIndex]=22)*(T_PlannedOrders[EffectiveQty]&gt;0)*T_PlannedOrders[Order_Month])),"m月")&amp;"発注)")</f>
        <v/>
      </c>
      <c r="Z585">
        <f>IF(SUMIFS(T_PlannedOrders[EffectiveQty],T_PlannedOrders[Part Name],$A555,T_PlannedOrders[WeekIndex],23)=0,"",SUMIFS(T_PlannedOrders[EffectiveQty],T_PlannedOrders[Part Name],$A555,T_PlannedOrders[WeekIndex],23)&amp;" ("&amp;TEXT(SUMPRODUCT(MAX((T_PlannedOrders[Part Name]=$A555)*(T_PlannedOrders[WeekIndex]=23)*(T_PlannedOrders[EffectiveQty]&gt;0)*T_PlannedOrders[Order_Month])),"m月")&amp;"発注)")</f>
        <v/>
      </c>
      <c r="AA585">
        <f>IF(SUMIFS(T_PlannedOrders[EffectiveQty],T_PlannedOrders[Part Name],$A555,T_PlannedOrders[WeekIndex],24)=0,"",SUMIFS(T_PlannedOrders[EffectiveQty],T_PlannedOrders[Part Name],$A555,T_PlannedOrders[WeekIndex],24)&amp;" ("&amp;TEXT(SUMPRODUCT(MAX((T_PlannedOrders[Part Name]=$A555)*(T_PlannedOrders[WeekIndex]=24)*(T_PlannedOrders[EffectiveQty]&gt;0)*T_PlannedOrders[Order_Month])),"m月")&amp;"発注)")</f>
        <v/>
      </c>
      <c r="AB585">
        <f>IF(SUMIFS(T_PlannedOrders[EffectiveQty],T_PlannedOrders[Part Name],$A555,T_PlannedOrders[WeekIndex],25)=0,"",SUMIFS(T_PlannedOrders[EffectiveQty],T_PlannedOrders[Part Name],$A555,T_PlannedOrders[WeekIndex],25)&amp;" ("&amp;TEXT(SUMPRODUCT(MAX((T_PlannedOrders[Part Name]=$A555)*(T_PlannedOrders[WeekIndex]=25)*(T_PlannedOrders[EffectiveQty]&gt;0)*T_PlannedOrders[Order_Month])),"m月")&amp;"発注)")</f>
        <v/>
      </c>
      <c r="AC585">
        <f>IF(SUMIFS(T_PlannedOrders[EffectiveQty],T_PlannedOrders[Part Name],$A555,T_PlannedOrders[WeekIndex],26)=0,"",SUMIFS(T_PlannedOrders[EffectiveQty],T_PlannedOrders[Part Name],$A555,T_PlannedOrders[WeekIndex],26)&amp;" ("&amp;TEXT(SUMPRODUCT(MAX((T_PlannedOrders[Part Name]=$A555)*(T_PlannedOrders[WeekIndex]=26)*(T_PlannedOrders[EffectiveQty]&gt;0)*T_PlannedOrders[Order_Month])),"m月")&amp;"発注)")</f>
        <v/>
      </c>
      <c r="AD585">
        <f>IF(SUMIFS(T_PlannedOrders[EffectiveQty],T_PlannedOrders[Part Name],$A555,T_PlannedOrders[WeekIndex],27)=0,"",SUMIFS(T_PlannedOrders[EffectiveQty],T_PlannedOrders[Part Name],$A555,T_PlannedOrders[WeekIndex],27)&amp;" ("&amp;TEXT(SUMPRODUCT(MAX((T_PlannedOrders[Part Name]=$A555)*(T_PlannedOrders[WeekIndex]=27)*(T_PlannedOrders[EffectiveQty]&gt;0)*T_PlannedOrders[Order_Month])),"m月")&amp;"発注)")</f>
        <v/>
      </c>
      <c r="AE585">
        <f>IF(SUMIFS(T_PlannedOrders[EffectiveQty],T_PlannedOrders[Part Name],$A555,T_PlannedOrders[WeekIndex],28)=0,"",SUMIFS(T_PlannedOrders[EffectiveQty],T_PlannedOrders[Part Name],$A555,T_PlannedOrders[WeekIndex],28)&amp;" ("&amp;TEXT(SUMPRODUCT(MAX((T_PlannedOrders[Part Name]=$A555)*(T_PlannedOrders[WeekIndex]=28)*(T_PlannedOrders[EffectiveQty]&gt;0)*T_PlannedOrders[Order_Month])),"m月")&amp;"発注)")</f>
        <v/>
      </c>
      <c r="AF585">
        <f>IF(SUMIFS(T_PlannedOrders[EffectiveQty],T_PlannedOrders[Part Name],$A555,T_PlannedOrders[WeekIndex],29)=0,"",SUMIFS(T_PlannedOrders[EffectiveQty],T_PlannedOrders[Part Name],$A555,T_PlannedOrders[WeekIndex],29)&amp;" ("&amp;TEXT(SUMPRODUCT(MAX((T_PlannedOrders[Part Name]=$A555)*(T_PlannedOrders[WeekIndex]=29)*(T_PlannedOrders[EffectiveQty]&gt;0)*T_PlannedOrders[Order_Month])),"m月")&amp;"発注)")</f>
        <v/>
      </c>
      <c r="AG585">
        <f>IF(SUMIFS(T_PlannedOrders[EffectiveQty],T_PlannedOrders[Part Name],$A555,T_PlannedOrders[WeekIndex],30)=0,"",SUMIFS(T_PlannedOrders[EffectiveQty],T_PlannedOrders[Part Name],$A555,T_PlannedOrders[WeekIndex],30)&amp;" ("&amp;TEXT(SUMPRODUCT(MAX((T_PlannedOrders[Part Name]=$A555)*(T_PlannedOrders[WeekIndex]=30)*(T_PlannedOrders[EffectiveQty]&gt;0)*T_PlannedOrders[Order_Month])),"m月")&amp;"発注)")</f>
        <v/>
      </c>
      <c r="AH585">
        <f>IF(SUMIFS(T_PlannedOrders[EffectiveQty],T_PlannedOrders[Part Name],$A555,T_PlannedOrders[WeekIndex],31)=0,"",SUMIFS(T_PlannedOrders[EffectiveQty],T_PlannedOrders[Part Name],$A555,T_PlannedOrders[WeekIndex],31)&amp;" ("&amp;TEXT(SUMPRODUCT(MAX((T_PlannedOrders[Part Name]=$A555)*(T_PlannedOrders[WeekIndex]=31)*(T_PlannedOrders[EffectiveQty]&gt;0)*T_PlannedOrders[Order_Month])),"m月")&amp;"発注)")</f>
        <v/>
      </c>
      <c r="AI585">
        <f>IF(SUMIFS(T_PlannedOrders[EffectiveQty],T_PlannedOrders[Part Name],$A555,T_PlannedOrders[WeekIndex],32)=0,"",SUMIFS(T_PlannedOrders[EffectiveQty],T_PlannedOrders[Part Name],$A555,T_PlannedOrders[WeekIndex],32)&amp;" ("&amp;TEXT(SUMPRODUCT(MAX((T_PlannedOrders[Part Name]=$A555)*(T_PlannedOrders[WeekIndex]=32)*(T_PlannedOrders[EffectiveQty]&gt;0)*T_PlannedOrders[Order_Month])),"m月")&amp;"発注)")</f>
        <v/>
      </c>
      <c r="AJ585">
        <f>IF(SUMIFS(T_PlannedOrders[EffectiveQty],T_PlannedOrders[Part Name],$A555,T_PlannedOrders[WeekIndex],33)=0,"",SUMIFS(T_PlannedOrders[EffectiveQty],T_PlannedOrders[Part Name],$A555,T_PlannedOrders[WeekIndex],33)&amp;" ("&amp;TEXT(SUMPRODUCT(MAX((T_PlannedOrders[Part Name]=$A555)*(T_PlannedOrders[WeekIndex]=33)*(T_PlannedOrders[EffectiveQty]&gt;0)*T_PlannedOrders[Order_Month])),"m月")&amp;"発注)")</f>
        <v/>
      </c>
      <c r="AK585">
        <f>IF(SUMIFS(T_PlannedOrders[EffectiveQty],T_PlannedOrders[Part Name],$A555,T_PlannedOrders[WeekIndex],34)=0,"",SUMIFS(T_PlannedOrders[EffectiveQty],T_PlannedOrders[Part Name],$A555,T_PlannedOrders[WeekIndex],34)&amp;" ("&amp;TEXT(SUMPRODUCT(MAX((T_PlannedOrders[Part Name]=$A555)*(T_PlannedOrders[WeekIndex]=34)*(T_PlannedOrders[EffectiveQty]&gt;0)*T_PlannedOrders[Order_Month])),"m月")&amp;"発注)")</f>
        <v/>
      </c>
      <c r="AL585">
        <f>IF(SUMIFS(T_PlannedOrders[EffectiveQty],T_PlannedOrders[Part Name],$A555,T_PlannedOrders[WeekIndex],35)=0,"",SUMIFS(T_PlannedOrders[EffectiveQty],T_PlannedOrders[Part Name],$A555,T_PlannedOrders[WeekIndex],35)&amp;" ("&amp;TEXT(SUMPRODUCT(MAX((T_PlannedOrders[Part Name]=$A555)*(T_PlannedOrders[WeekIndex]=35)*(T_PlannedOrders[EffectiveQty]&gt;0)*T_PlannedOrders[Order_Month])),"m月")&amp;"発注)")</f>
        <v/>
      </c>
      <c r="AM585">
        <f>IF(SUMIFS(T_PlannedOrders[EffectiveQty],T_PlannedOrders[Part Name],$A555,T_PlannedOrders[WeekIndex],36)=0,"",SUMIFS(T_PlannedOrders[EffectiveQty],T_PlannedOrders[Part Name],$A555,T_PlannedOrders[WeekIndex],36)&amp;" ("&amp;TEXT(SUMPRODUCT(MAX((T_PlannedOrders[Part Name]=$A555)*(T_PlannedOrders[WeekIndex]=36)*(T_PlannedOrders[EffectiveQty]&gt;0)*T_PlannedOrders[Order_Month])),"m月")&amp;"発注)")</f>
        <v/>
      </c>
      <c r="AN585">
        <f>IF(SUMIFS(T_PlannedOrders[EffectiveQty],T_PlannedOrders[Part Name],$A555,T_PlannedOrders[WeekIndex],37)=0,"",SUMIFS(T_PlannedOrders[EffectiveQty],T_PlannedOrders[Part Name],$A555,T_PlannedOrders[WeekIndex],37)&amp;" ("&amp;TEXT(SUMPRODUCT(MAX((T_PlannedOrders[Part Name]=$A555)*(T_PlannedOrders[WeekIndex]=37)*(T_PlannedOrders[EffectiveQty]&gt;0)*T_PlannedOrders[Order_Month])),"m月")&amp;"発注)")</f>
        <v/>
      </c>
      <c r="AO585">
        <f>IF(SUMIFS(T_PlannedOrders[EffectiveQty],T_PlannedOrders[Part Name],$A555,T_PlannedOrders[WeekIndex],38)=0,"",SUMIFS(T_PlannedOrders[EffectiveQty],T_PlannedOrders[Part Name],$A555,T_PlannedOrders[WeekIndex],38)&amp;" ("&amp;TEXT(SUMPRODUCT(MAX((T_PlannedOrders[Part Name]=$A555)*(T_PlannedOrders[WeekIndex]=38)*(T_PlannedOrders[EffectiveQty]&gt;0)*T_PlannedOrders[Order_Month])),"m月")&amp;"発注)")</f>
        <v/>
      </c>
      <c r="AP585">
        <f>IF(SUMIFS(T_PlannedOrders[EffectiveQty],T_PlannedOrders[Part Name],$A555,T_PlannedOrders[WeekIndex],39)=0,"",SUMIFS(T_PlannedOrders[EffectiveQty],T_PlannedOrders[Part Name],$A555,T_PlannedOrders[WeekIndex],39)&amp;" ("&amp;TEXT(SUMPRODUCT(MAX((T_PlannedOrders[Part Name]=$A555)*(T_PlannedOrders[WeekIndex]=39)*(T_PlannedOrders[EffectiveQty]&gt;0)*T_PlannedOrders[Order_Month])),"m月")&amp;"発注)")</f>
        <v/>
      </c>
      <c r="AQ585">
        <f>IF(SUMIFS(T_PlannedOrders[EffectiveQty],T_PlannedOrders[Part Name],$A555,T_PlannedOrders[WeekIndex],40)=0,"",SUMIFS(T_PlannedOrders[EffectiveQty],T_PlannedOrders[Part Name],$A555,T_PlannedOrders[WeekIndex],40)&amp;" ("&amp;TEXT(SUMPRODUCT(MAX((T_PlannedOrders[Part Name]=$A555)*(T_PlannedOrders[WeekIndex]=40)*(T_PlannedOrders[EffectiveQty]&gt;0)*T_PlannedOrders[Order_Month])),"m月")&amp;"発注)")</f>
        <v/>
      </c>
      <c r="AR585">
        <f>IF(SUMIFS(T_PlannedOrders[EffectiveQty],T_PlannedOrders[Part Name],$A555,T_PlannedOrders[WeekIndex],41)=0,"",SUMIFS(T_PlannedOrders[EffectiveQty],T_PlannedOrders[Part Name],$A555,T_PlannedOrders[WeekIndex],41)&amp;" ("&amp;TEXT(SUMPRODUCT(MAX((T_PlannedOrders[Part Name]=$A555)*(T_PlannedOrders[WeekIndex]=41)*(T_PlannedOrders[EffectiveQty]&gt;0)*T_PlannedOrders[Order_Month])),"m月")&amp;"発注)")</f>
        <v/>
      </c>
      <c r="AS585">
        <f>IF(SUMIFS(T_PlannedOrders[EffectiveQty],T_PlannedOrders[Part Name],$A555,T_PlannedOrders[WeekIndex],42)=0,"",SUMIFS(T_PlannedOrders[EffectiveQty],T_PlannedOrders[Part Name],$A555,T_PlannedOrders[WeekIndex],42)&amp;" ("&amp;TEXT(SUMPRODUCT(MAX((T_PlannedOrders[Part Name]=$A555)*(T_PlannedOrders[WeekIndex]=42)*(T_PlannedOrders[EffectiveQty]&gt;0)*T_PlannedOrders[Order_Month])),"m月")&amp;"発注)")</f>
        <v/>
      </c>
      <c r="AT585">
        <f>IF(SUMIFS(T_PlannedOrders[EffectiveQty],T_PlannedOrders[Part Name],$A555,T_PlannedOrders[WeekIndex],43)=0,"",SUMIFS(T_PlannedOrders[EffectiveQty],T_PlannedOrders[Part Name],$A555,T_PlannedOrders[WeekIndex],43)&amp;" ("&amp;TEXT(SUMPRODUCT(MAX((T_PlannedOrders[Part Name]=$A555)*(T_PlannedOrders[WeekIndex]=43)*(T_PlannedOrders[EffectiveQty]&gt;0)*T_PlannedOrders[Order_Month])),"m月")&amp;"発注)")</f>
        <v/>
      </c>
      <c r="AU585">
        <f>IF(SUMIFS(T_PlannedOrders[EffectiveQty],T_PlannedOrders[Part Name],$A555,T_PlannedOrders[WeekIndex],44)=0,"",SUMIFS(T_PlannedOrders[EffectiveQty],T_PlannedOrders[Part Name],$A555,T_PlannedOrders[WeekIndex],44)&amp;" ("&amp;TEXT(SUMPRODUCT(MAX((T_PlannedOrders[Part Name]=$A555)*(T_PlannedOrders[WeekIndex]=44)*(T_PlannedOrders[EffectiveQty]&gt;0)*T_PlannedOrders[Order_Month])),"m月")&amp;"発注)")</f>
        <v/>
      </c>
      <c r="AV585">
        <f>IF(SUMIFS(T_PlannedOrders[EffectiveQty],T_PlannedOrders[Part Name],$A555,T_PlannedOrders[WeekIndex],45)=0,"",SUMIFS(T_PlannedOrders[EffectiveQty],T_PlannedOrders[Part Name],$A555,T_PlannedOrders[WeekIndex],45)&amp;" ("&amp;TEXT(SUMPRODUCT(MAX((T_PlannedOrders[Part Name]=$A555)*(T_PlannedOrders[WeekIndex]=45)*(T_PlannedOrders[EffectiveQty]&gt;0)*T_PlannedOrders[Order_Month])),"m月")&amp;"発注)")</f>
        <v/>
      </c>
      <c r="AW585">
        <f>IF(SUMIFS(T_PlannedOrders[EffectiveQty],T_PlannedOrders[Part Name],$A555,T_PlannedOrders[WeekIndex],46)=0,"",SUMIFS(T_PlannedOrders[EffectiveQty],T_PlannedOrders[Part Name],$A555,T_PlannedOrders[WeekIndex],46)&amp;" ("&amp;TEXT(SUMPRODUCT(MAX((T_PlannedOrders[Part Name]=$A555)*(T_PlannedOrders[WeekIndex]=46)*(T_PlannedOrders[EffectiveQty]&gt;0)*T_PlannedOrders[Order_Month])),"m月")&amp;"発注)")</f>
        <v/>
      </c>
      <c r="AX585">
        <f>IF(SUMIFS(T_PlannedOrders[EffectiveQty],T_PlannedOrders[Part Name],$A555,T_PlannedOrders[WeekIndex],47)=0,"",SUMIFS(T_PlannedOrders[EffectiveQty],T_PlannedOrders[Part Name],$A555,T_PlannedOrders[WeekIndex],47)&amp;" ("&amp;TEXT(SUMPRODUCT(MAX((T_PlannedOrders[Part Name]=$A555)*(T_PlannedOrders[WeekIndex]=47)*(T_PlannedOrders[EffectiveQty]&gt;0)*T_PlannedOrders[Order_Month])),"m月")&amp;"発注)")</f>
        <v/>
      </c>
      <c r="AY585">
        <f>IF(SUMIFS(T_PlannedOrders[EffectiveQty],T_PlannedOrders[Part Name],$A555,T_PlannedOrders[WeekIndex],48)=0,"",SUMIFS(T_PlannedOrders[EffectiveQty],T_PlannedOrders[Part Name],$A555,T_PlannedOrders[WeekIndex],48)&amp;" ("&amp;TEXT(SUMPRODUCT(MAX((T_PlannedOrders[Part Name]=$A555)*(T_PlannedOrders[WeekIndex]=48)*(T_PlannedOrders[EffectiveQty]&gt;0)*T_PlannedOrders[Order_Month])),"m月")&amp;"発注)")</f>
        <v/>
      </c>
      <c r="AZ585">
        <f>IF(SUMIFS(T_PlannedOrders[EffectiveQty],T_PlannedOrders[Part Name],$A555,T_PlannedOrders[WeekIndex],49)=0,"",SUMIFS(T_PlannedOrders[EffectiveQty],T_PlannedOrders[Part Name],$A555,T_PlannedOrders[WeekIndex],49)&amp;" ("&amp;TEXT(SUMPRODUCT(MAX((T_PlannedOrders[Part Name]=$A555)*(T_PlannedOrders[WeekIndex]=49)*(T_PlannedOrders[EffectiveQty]&gt;0)*T_PlannedOrders[Order_Month])),"m月")&amp;"発注)")</f>
        <v/>
      </c>
      <c r="BA585">
        <f>IF(SUMIFS(T_PlannedOrders[EffectiveQty],T_PlannedOrders[Part Name],$A555,T_PlannedOrders[WeekIndex],50)=0,"",SUMIFS(T_PlannedOrders[EffectiveQty],T_PlannedOrders[Part Name],$A555,T_PlannedOrders[WeekIndex],50)&amp;" ("&amp;TEXT(SUMPRODUCT(MAX((T_PlannedOrders[Part Name]=$A555)*(T_PlannedOrders[WeekIndex]=50)*(T_PlannedOrders[EffectiveQty]&gt;0)*T_PlannedOrders[Order_Month])),"m月")&amp;"発注)")</f>
        <v/>
      </c>
      <c r="BB585">
        <f>IF(SUMIFS(T_PlannedOrders[EffectiveQty],T_PlannedOrders[Part Name],$A555,T_PlannedOrders[WeekIndex],51)=0,"",SUMIFS(T_PlannedOrders[EffectiveQty],T_PlannedOrders[Part Name],$A555,T_PlannedOrders[WeekIndex],51)&amp;" ("&amp;TEXT(SUMPRODUCT(MAX((T_PlannedOrders[Part Name]=$A555)*(T_PlannedOrders[WeekIndex]=51)*(T_PlannedOrders[EffectiveQty]&gt;0)*T_PlannedOrders[Order_Month])),"m月")&amp;"発注)")</f>
        <v/>
      </c>
      <c r="BC585">
        <f>IF(SUMIFS(T_PlannedOrders[EffectiveQty],T_PlannedOrders[Part Name],$A555,T_PlannedOrders[WeekIndex],52)=0,"",SUMIFS(T_PlannedOrders[EffectiveQty],T_PlannedOrders[Part Name],$A555,T_PlannedOrders[WeekIndex],52)&amp;" ("&amp;TEXT(SUMPRODUCT(MAX((T_PlannedOrders[Part Name]=$A555)*(T_PlannedOrders[WeekIndex]=52)*(T_PlannedOrders[EffectiveQty]&gt;0)*T_PlannedOrders[Order_Month])),"m月")&amp;"発注)")</f>
        <v/>
      </c>
      <c r="BD585">
        <f>IF(SUMIFS(T_PlannedOrders[EffectiveQty],T_PlannedOrders[Part Name],$A555,T_PlannedOrders[WeekIndex],53)=0,"",SUMIFS(T_PlannedOrders[EffectiveQty],T_PlannedOrders[Part Name],$A555,T_PlannedOrders[WeekIndex],53)&amp;" ("&amp;TEXT(SUMPRODUCT(MAX((T_PlannedOrders[Part Name]=$A555)*(T_PlannedOrders[WeekIndex]=53)*(T_PlannedOrders[EffectiveQty]&gt;0)*T_PlannedOrders[Order_Month])),"m月")&amp;"発注)")</f>
        <v/>
      </c>
      <c r="BE585">
        <f>IF(SUMIFS(T_PlannedOrders[EffectiveQty],T_PlannedOrders[Part Name],$A555,T_PlannedOrders[WeekIndex],54)=0,"",SUMIFS(T_PlannedOrders[EffectiveQty],T_PlannedOrders[Part Name],$A555,T_PlannedOrders[WeekIndex],54)&amp;" ("&amp;TEXT(SUMPRODUCT(MAX((T_PlannedOrders[Part Name]=$A555)*(T_PlannedOrders[WeekIndex]=54)*(T_PlannedOrders[EffectiveQty]&gt;0)*T_PlannedOrders[Order_Month])),"m月")&amp;"発注)")</f>
        <v/>
      </c>
      <c r="BF585">
        <f>IF(SUMIFS(T_PlannedOrders[EffectiveQty],T_PlannedOrders[Part Name],$A555,T_PlannedOrders[WeekIndex],55)=0,"",SUMIFS(T_PlannedOrders[EffectiveQty],T_PlannedOrders[Part Name],$A555,T_PlannedOrders[WeekIndex],55)&amp;" ("&amp;TEXT(SUMPRODUCT(MAX((T_PlannedOrders[Part Name]=$A555)*(T_PlannedOrders[WeekIndex]=55)*(T_PlannedOrders[EffectiveQty]&gt;0)*T_PlannedOrders[Order_Month])),"m月")&amp;"発注)")</f>
        <v/>
      </c>
      <c r="BG585">
        <f>IF(SUMIFS(T_PlannedOrders[EffectiveQty],T_PlannedOrders[Part Name],$A555,T_PlannedOrders[WeekIndex],56)=0,"",SUMIFS(T_PlannedOrders[EffectiveQty],T_PlannedOrders[Part Name],$A555,T_PlannedOrders[WeekIndex],56)&amp;" ("&amp;TEXT(SUMPRODUCT(MAX((T_PlannedOrders[Part Name]=$A555)*(T_PlannedOrders[WeekIndex]=56)*(T_PlannedOrders[EffectiveQty]&gt;0)*T_PlannedOrders[Order_Month])),"m月")&amp;"発注)")</f>
        <v/>
      </c>
      <c r="BH585">
        <f>IF(SUMIFS(T_PlannedOrders[EffectiveQty],T_PlannedOrders[Part Name],$A555,T_PlannedOrders[WeekIndex],57)=0,"",SUMIFS(T_PlannedOrders[EffectiveQty],T_PlannedOrders[Part Name],$A555,T_PlannedOrders[WeekIndex],57)&amp;" ("&amp;TEXT(SUMPRODUCT(MAX((T_PlannedOrders[Part Name]=$A555)*(T_PlannedOrders[WeekIndex]=57)*(T_PlannedOrders[EffectiveQty]&gt;0)*T_PlannedOrders[Order_Month])),"m月")&amp;"発注)")</f>
        <v/>
      </c>
      <c r="BI585">
        <f>IF(SUMIFS(T_PlannedOrders[EffectiveQty],T_PlannedOrders[Part Name],$A555,T_PlannedOrders[WeekIndex],58)=0,"",SUMIFS(T_PlannedOrders[EffectiveQty],T_PlannedOrders[Part Name],$A555,T_PlannedOrders[WeekIndex],58)&amp;" ("&amp;TEXT(SUMPRODUCT(MAX((T_PlannedOrders[Part Name]=$A555)*(T_PlannedOrders[WeekIndex]=58)*(T_PlannedOrders[EffectiveQty]&gt;0)*T_PlannedOrders[Order_Month])),"m月")&amp;"発注)")</f>
        <v/>
      </c>
      <c r="BJ585">
        <f>IF(SUMIFS(T_PlannedOrders[EffectiveQty],T_PlannedOrders[Part Name],$A555,T_PlannedOrders[WeekIndex],59)=0,"",SUMIFS(T_PlannedOrders[EffectiveQty],T_PlannedOrders[Part Name],$A555,T_PlannedOrders[WeekIndex],59)&amp;" ("&amp;TEXT(SUMPRODUCT(MAX((T_PlannedOrders[Part Name]=$A555)*(T_PlannedOrders[WeekIndex]=59)*(T_PlannedOrders[EffectiveQty]&gt;0)*T_PlannedOrders[Order_Month])),"m月")&amp;"発注)")</f>
        <v/>
      </c>
      <c r="BK585">
        <f>IF(SUMIFS(T_PlannedOrders[EffectiveQty],T_PlannedOrders[Part Name],$A555,T_PlannedOrders[WeekIndex],60)=0,"",SUMIFS(T_PlannedOrders[EffectiveQty],T_PlannedOrders[Part Name],$A555,T_PlannedOrders[WeekIndex],60)&amp;" ("&amp;TEXT(SUMPRODUCT(MAX((T_PlannedOrders[Part Name]=$A555)*(T_PlannedOrders[WeekIndex]=60)*(T_PlannedOrders[EffectiveQty]&gt;0)*T_PlannedOrders[Order_Month])),"m月")&amp;"発注)")</f>
        <v/>
      </c>
      <c r="BL585">
        <f>IF(SUMIFS(T_PlannedOrders[EffectiveQty],T_PlannedOrders[Part Name],$A555,T_PlannedOrders[WeekIndex],61)=0,"",SUMIFS(T_PlannedOrders[EffectiveQty],T_PlannedOrders[Part Name],$A555,T_PlannedOrders[WeekIndex],61)&amp;" ("&amp;TEXT(SUMPRODUCT(MAX((T_PlannedOrders[Part Name]=$A555)*(T_PlannedOrders[WeekIndex]=61)*(T_PlannedOrders[EffectiveQty]&gt;0)*T_PlannedOrders[Order_Month])),"m月")&amp;"発注)")</f>
        <v/>
      </c>
      <c r="BM585">
        <f>IF(SUMIFS(T_PlannedOrders[EffectiveQty],T_PlannedOrders[Part Name],$A555,T_PlannedOrders[WeekIndex],62)=0,"",SUMIFS(T_PlannedOrders[EffectiveQty],T_PlannedOrders[Part Name],$A555,T_PlannedOrders[WeekIndex],62)&amp;" ("&amp;TEXT(SUMPRODUCT(MAX((T_PlannedOrders[Part Name]=$A555)*(T_PlannedOrders[WeekIndex]=62)*(T_PlannedOrders[EffectiveQty]&gt;0)*T_PlannedOrders[Order_Month])),"m月")&amp;"発注)")</f>
        <v/>
      </c>
      <c r="BN585">
        <f>IF(SUMIFS(T_PlannedOrders[EffectiveQty],T_PlannedOrders[Part Name],$A555,T_PlannedOrders[WeekIndex],63)=0,"",SUMIFS(T_PlannedOrders[EffectiveQty],T_PlannedOrders[Part Name],$A555,T_PlannedOrders[WeekIndex],63)&amp;" ("&amp;TEXT(SUMPRODUCT(MAX((T_PlannedOrders[Part Name]=$A555)*(T_PlannedOrders[WeekIndex]=63)*(T_PlannedOrders[EffectiveQty]&gt;0)*T_PlannedOrders[Order_Month])),"m月")&amp;"発注)")</f>
        <v/>
      </c>
      <c r="BO585">
        <f>IF(SUMIFS(T_PlannedOrders[EffectiveQty],T_PlannedOrders[Part Name],$A555,T_PlannedOrders[WeekIndex],64)=0,"",SUMIFS(T_PlannedOrders[EffectiveQty],T_PlannedOrders[Part Name],$A555,T_PlannedOrders[WeekIndex],64)&amp;" ("&amp;TEXT(SUMPRODUCT(MAX((T_PlannedOrders[Part Name]=$A555)*(T_PlannedOrders[WeekIndex]=64)*(T_PlannedOrders[EffectiveQty]&gt;0)*T_PlannedOrders[Order_Month])),"m月")&amp;"発注)")</f>
        <v/>
      </c>
      <c r="BP585">
        <f>IF(SUMIFS(T_PlannedOrders[EffectiveQty],T_PlannedOrders[Part Name],$A555,T_PlannedOrders[WeekIndex],65)=0,"",SUMIFS(T_PlannedOrders[EffectiveQty],T_PlannedOrders[Part Name],$A555,T_PlannedOrders[WeekIndex],65)&amp;" ("&amp;TEXT(SUMPRODUCT(MAX((T_PlannedOrders[Part Name]=$A555)*(T_PlannedOrders[WeekIndex]=65)*(T_PlannedOrders[EffectiveQty]&gt;0)*T_PlannedOrders[Order_Month])),"m月")&amp;"発注)")</f>
        <v/>
      </c>
      <c r="BQ585">
        <f>IF(SUMIFS(T_PlannedOrders[EffectiveQty],T_PlannedOrders[Part Name],$A555,T_PlannedOrders[WeekIndex],66)=0,"",SUMIFS(T_PlannedOrders[EffectiveQty],T_PlannedOrders[Part Name],$A555,T_PlannedOrders[WeekIndex],66)&amp;" ("&amp;TEXT(SUMPRODUCT(MAX((T_PlannedOrders[Part Name]=$A555)*(T_PlannedOrders[WeekIndex]=66)*(T_PlannedOrders[EffectiveQty]&gt;0)*T_PlannedOrders[Order_Month])),"m月")&amp;"発注)")</f>
        <v/>
      </c>
      <c r="BR585">
        <f>IF(SUMIFS(T_PlannedOrders[EffectiveQty],T_PlannedOrders[Part Name],$A555,T_PlannedOrders[WeekIndex],67)=0,"",SUMIFS(T_PlannedOrders[EffectiveQty],T_PlannedOrders[Part Name],$A555,T_PlannedOrders[WeekIndex],67)&amp;" ("&amp;TEXT(SUMPRODUCT(MAX((T_PlannedOrders[Part Name]=$A555)*(T_PlannedOrders[WeekIndex]=67)*(T_PlannedOrders[EffectiveQty]&gt;0)*T_PlannedOrders[Order_Month])),"m月")&amp;"発注)")</f>
        <v/>
      </c>
      <c r="BS585">
        <f>IF(SUMIFS(T_PlannedOrders[EffectiveQty],T_PlannedOrders[Part Name],$A555,T_PlannedOrders[WeekIndex],68)=0,"",SUMIFS(T_PlannedOrders[EffectiveQty],T_PlannedOrders[Part Name],$A555,T_PlannedOrders[WeekIndex],68)&amp;" ("&amp;TEXT(SUMPRODUCT(MAX((T_PlannedOrders[Part Name]=$A555)*(T_PlannedOrders[WeekIndex]=68)*(T_PlannedOrders[EffectiveQty]&gt;0)*T_PlannedOrders[Order_Month])),"m月")&amp;"発注)")</f>
        <v/>
      </c>
      <c r="BT585">
        <f>IF(SUMIFS(T_PlannedOrders[EffectiveQty],T_PlannedOrders[Part Name],$A555,T_PlannedOrders[WeekIndex],69)=0,"",SUMIFS(T_PlannedOrders[EffectiveQty],T_PlannedOrders[Part Name],$A555,T_PlannedOrders[WeekIndex],69)&amp;" ("&amp;TEXT(SUMPRODUCT(MAX((T_PlannedOrders[Part Name]=$A555)*(T_PlannedOrders[WeekIndex]=69)*(T_PlannedOrders[EffectiveQty]&gt;0)*T_PlannedOrders[Order_Month])),"m月")&amp;"発注)")</f>
        <v/>
      </c>
      <c r="BU585">
        <f>IF(SUMIFS(T_PlannedOrders[EffectiveQty],T_PlannedOrders[Part Name],$A555,T_PlannedOrders[WeekIndex],70)=0,"",SUMIFS(T_PlannedOrders[EffectiveQty],T_PlannedOrders[Part Name],$A555,T_PlannedOrders[WeekIndex],70)&amp;" ("&amp;TEXT(SUMPRODUCT(MAX((T_PlannedOrders[Part Name]=$A555)*(T_PlannedOrders[WeekIndex]=70)*(T_PlannedOrders[EffectiveQty]&gt;0)*T_PlannedOrders[Order_Month])),"m月")&amp;"発注)")</f>
        <v/>
      </c>
      <c r="BV585">
        <f>IF(SUMIFS(T_PlannedOrders[EffectiveQty],T_PlannedOrders[Part Name],$A555,T_PlannedOrders[WeekIndex],71)=0,"",SUMIFS(T_PlannedOrders[EffectiveQty],T_PlannedOrders[Part Name],$A555,T_PlannedOrders[WeekIndex],71)&amp;" ("&amp;TEXT(SUMPRODUCT(MAX((T_PlannedOrders[Part Name]=$A555)*(T_PlannedOrders[WeekIndex]=71)*(T_PlannedOrders[EffectiveQty]&gt;0)*T_PlannedOrders[Order_Month])),"m月")&amp;"発注)")</f>
        <v/>
      </c>
      <c r="BW585">
        <f>IF(SUMIFS(T_PlannedOrders[EffectiveQty],T_PlannedOrders[Part Name],$A555,T_PlannedOrders[WeekIndex],72)=0,"",SUMIFS(T_PlannedOrders[EffectiveQty],T_PlannedOrders[Part Name],$A555,T_PlannedOrders[WeekIndex],72)&amp;" ("&amp;TEXT(SUMPRODUCT(MAX((T_PlannedOrders[Part Name]=$A555)*(T_PlannedOrders[WeekIndex]=72)*(T_PlannedOrders[EffectiveQty]&gt;0)*T_PlannedOrders[Order_Month])),"m月")&amp;"発注)")</f>
        <v/>
      </c>
      <c r="BX585">
        <f>IF(SUMIFS(T_PlannedOrders[EffectiveQty],T_PlannedOrders[Part Name],$A555,T_PlannedOrders[WeekIndex],73)=0,"",SUMIFS(T_PlannedOrders[EffectiveQty],T_PlannedOrders[Part Name],$A555,T_PlannedOrders[WeekIndex],73)&amp;" ("&amp;TEXT(SUMPRODUCT(MAX((T_PlannedOrders[Part Name]=$A555)*(T_PlannedOrders[WeekIndex]=73)*(T_PlannedOrders[EffectiveQty]&gt;0)*T_PlannedOrders[Order_Month])),"m月")&amp;"発注)")</f>
        <v/>
      </c>
      <c r="BY585">
        <f>IF(SUMIFS(T_PlannedOrders[EffectiveQty],T_PlannedOrders[Part Name],$A555,T_PlannedOrders[WeekIndex],74)=0,"",SUMIFS(T_PlannedOrders[EffectiveQty],T_PlannedOrders[Part Name],$A555,T_PlannedOrders[WeekIndex],74)&amp;" ("&amp;TEXT(SUMPRODUCT(MAX((T_PlannedOrders[Part Name]=$A555)*(T_PlannedOrders[WeekIndex]=74)*(T_PlannedOrders[EffectiveQty]&gt;0)*T_PlannedOrders[Order_Month])),"m月")&amp;"発注)")</f>
        <v/>
      </c>
      <c r="BZ585">
        <f>IF(SUMIFS(T_PlannedOrders[EffectiveQty],T_PlannedOrders[Part Name],$A555,T_PlannedOrders[WeekIndex],75)=0,"",SUMIFS(T_PlannedOrders[EffectiveQty],T_PlannedOrders[Part Name],$A555,T_PlannedOrders[WeekIndex],75)&amp;" ("&amp;TEXT(SUMPRODUCT(MAX((T_PlannedOrders[Part Name]=$A555)*(T_PlannedOrders[WeekIndex]=75)*(T_PlannedOrders[EffectiveQty]&gt;0)*T_PlannedOrders[Order_Month])),"m月")&amp;"発注)")</f>
        <v/>
      </c>
      <c r="CA585">
        <f>IF(SUMIFS(T_PlannedOrders[EffectiveQty],T_PlannedOrders[Part Name],$A555,T_PlannedOrders[WeekIndex],76)=0,"",SUMIFS(T_PlannedOrders[EffectiveQty],T_PlannedOrders[Part Name],$A555,T_PlannedOrders[WeekIndex],76)&amp;" ("&amp;TEXT(SUMPRODUCT(MAX((T_PlannedOrders[Part Name]=$A555)*(T_PlannedOrders[WeekIndex]=76)*(T_PlannedOrders[EffectiveQty]&gt;0)*T_PlannedOrders[Order_Month])),"m月")&amp;"発注)")</f>
        <v/>
      </c>
      <c r="CB585">
        <f>IF(SUMIFS(T_PlannedOrders[EffectiveQty],T_PlannedOrders[Part Name],$A555,T_PlannedOrders[WeekIndex],77)=0,"",SUMIFS(T_PlannedOrders[EffectiveQty],T_PlannedOrders[Part Name],$A555,T_PlannedOrders[WeekIndex],77)&amp;" ("&amp;TEXT(SUMPRODUCT(MAX((T_PlannedOrders[Part Name]=$A555)*(T_PlannedOrders[WeekIndex]=77)*(T_PlannedOrders[EffectiveQty]&gt;0)*T_PlannedOrders[Order_Month])),"m月")&amp;"発注)")</f>
        <v/>
      </c>
      <c r="CC585">
        <f>IF(SUMIFS(T_PlannedOrders[EffectiveQty],T_PlannedOrders[Part Name],$A555,T_PlannedOrders[WeekIndex],78)=0,"",SUMIFS(T_PlannedOrders[EffectiveQty],T_PlannedOrders[Part Name],$A555,T_PlannedOrders[WeekIndex],78)&amp;" ("&amp;TEXT(SUMPRODUCT(MAX((T_PlannedOrders[Part Name]=$A555)*(T_PlannedOrders[WeekIndex]=78)*(T_PlannedOrders[EffectiveQty]&gt;0)*T_PlannedOrders[Order_Month])),"m月")&amp;"発注)")</f>
        <v/>
      </c>
      <c r="CD585">
        <f>IF(SUMIFS(T_PlannedOrders[EffectiveQty],T_PlannedOrders[Part Name],$A555,T_PlannedOrders[WeekIndex],79)=0,"",SUMIFS(T_PlannedOrders[EffectiveQty],T_PlannedOrders[Part Name],$A555,T_PlannedOrders[WeekIndex],79)&amp;" ("&amp;TEXT(SUMPRODUCT(MAX((T_PlannedOrders[Part Name]=$A555)*(T_PlannedOrders[WeekIndex]=79)*(T_PlannedOrders[EffectiveQty]&gt;0)*T_PlannedOrders[Order_Month])),"m月")&amp;"発注)")</f>
        <v/>
      </c>
      <c r="CE585">
        <f>IF(SUMIFS(T_PlannedOrders[EffectiveQty],T_PlannedOrders[Part Name],$A555,T_PlannedOrders[WeekIndex],80)=0,"",SUMIFS(T_PlannedOrders[EffectiveQty],T_PlannedOrders[Part Name],$A555,T_PlannedOrders[WeekIndex],80)&amp;" ("&amp;TEXT(SUMPRODUCT(MAX((T_PlannedOrders[Part Name]=$A555)*(T_PlannedOrders[WeekIndex]=80)*(T_PlannedOrders[EffectiveQty]&gt;0)*T_PlannedOrders[Order_Month])),"m月")&amp;"発注)")</f>
        <v/>
      </c>
      <c r="CF585">
        <f>IF(SUMIFS(T_PlannedOrders[EffectiveQty],T_PlannedOrders[Part Name],$A555,T_PlannedOrders[WeekIndex],81)=0,"",SUMIFS(T_PlannedOrders[EffectiveQty],T_PlannedOrders[Part Name],$A555,T_PlannedOrders[WeekIndex],81)&amp;" ("&amp;TEXT(SUMPRODUCT(MAX((T_PlannedOrders[Part Name]=$A555)*(T_PlannedOrders[WeekIndex]=81)*(T_PlannedOrders[EffectiveQty]&gt;0)*T_PlannedOrders[Order_Month])),"m月")&amp;"発注)")</f>
        <v/>
      </c>
      <c r="CG585">
        <f>IF(SUMIFS(T_PlannedOrders[EffectiveQty],T_PlannedOrders[Part Name],$A555,T_PlannedOrders[WeekIndex],82)=0,"",SUMIFS(T_PlannedOrders[EffectiveQty],T_PlannedOrders[Part Name],$A555,T_PlannedOrders[WeekIndex],82)&amp;" ("&amp;TEXT(SUMPRODUCT(MAX((T_PlannedOrders[Part Name]=$A555)*(T_PlannedOrders[WeekIndex]=82)*(T_PlannedOrders[EffectiveQty]&gt;0)*T_PlannedOrders[Order_Month])),"m月")&amp;"発注)")</f>
        <v/>
      </c>
      <c r="CH585">
        <f>IF(SUMIFS(T_PlannedOrders[EffectiveQty],T_PlannedOrders[Part Name],$A555,T_PlannedOrders[WeekIndex],83)=0,"",SUMIFS(T_PlannedOrders[EffectiveQty],T_PlannedOrders[Part Name],$A555,T_PlannedOrders[WeekIndex],83)&amp;" ("&amp;TEXT(SUMPRODUCT(MAX((T_PlannedOrders[Part Name]=$A555)*(T_PlannedOrders[WeekIndex]=83)*(T_PlannedOrders[EffectiveQty]&gt;0)*T_PlannedOrders[Order_Month])),"m月")&amp;"発注)")</f>
        <v/>
      </c>
      <c r="CI585">
        <f>IF(SUMIFS(T_PlannedOrders[EffectiveQty],T_PlannedOrders[Part Name],$A555,T_PlannedOrders[WeekIndex],84)=0,"",SUMIFS(T_PlannedOrders[EffectiveQty],T_PlannedOrders[Part Name],$A555,T_PlannedOrders[WeekIndex],84)&amp;" ("&amp;TEXT(SUMPRODUCT(MAX((T_PlannedOrders[Part Name]=$A555)*(T_PlannedOrders[WeekIndex]=84)*(T_PlannedOrders[EffectiveQty]&gt;0)*T_PlannedOrders[Order_Month])),"m月")&amp;"発注)")</f>
        <v/>
      </c>
      <c r="CJ585">
        <f>IF(SUMIFS(T_PlannedOrders[EffectiveQty],T_PlannedOrders[Part Name],$A555,T_PlannedOrders[WeekIndex],85)=0,"",SUMIFS(T_PlannedOrders[EffectiveQty],T_PlannedOrders[Part Name],$A555,T_PlannedOrders[WeekIndex],85)&amp;" ("&amp;TEXT(SUMPRODUCT(MAX((T_PlannedOrders[Part Name]=$A555)*(T_PlannedOrders[WeekIndex]=85)*(T_PlannedOrders[EffectiveQty]&gt;0)*T_PlannedOrders[Order_Month])),"m月")&amp;"発注)")</f>
        <v/>
      </c>
      <c r="CK585">
        <f>IF(SUMIFS(T_PlannedOrders[EffectiveQty],T_PlannedOrders[Part Name],$A555,T_PlannedOrders[WeekIndex],86)=0,"",SUMIFS(T_PlannedOrders[EffectiveQty],T_PlannedOrders[Part Name],$A555,T_PlannedOrders[WeekIndex],86)&amp;" ("&amp;TEXT(SUMPRODUCT(MAX((T_PlannedOrders[Part Name]=$A555)*(T_PlannedOrders[WeekIndex]=86)*(T_PlannedOrders[EffectiveQty]&gt;0)*T_PlannedOrders[Order_Month])),"m月")&amp;"発注)")</f>
        <v/>
      </c>
      <c r="CL585">
        <f>IF(SUMIFS(T_PlannedOrders[EffectiveQty],T_PlannedOrders[Part Name],$A555,T_PlannedOrders[WeekIndex],87)=0,"",SUMIFS(T_PlannedOrders[EffectiveQty],T_PlannedOrders[Part Name],$A555,T_PlannedOrders[WeekIndex],87)&amp;" ("&amp;TEXT(SUMPRODUCT(MAX((T_PlannedOrders[Part Name]=$A555)*(T_PlannedOrders[WeekIndex]=87)*(T_PlannedOrders[EffectiveQty]&gt;0)*T_PlannedOrders[Order_Month])),"m月")&amp;"発注)")</f>
        <v/>
      </c>
      <c r="CM585">
        <f>IF(SUMIFS(T_PlannedOrders[EffectiveQty],T_PlannedOrders[Part Name],$A555,T_PlannedOrders[WeekIndex],88)=0,"",SUMIFS(T_PlannedOrders[EffectiveQty],T_PlannedOrders[Part Name],$A555,T_PlannedOrders[WeekIndex],88)&amp;" ("&amp;TEXT(SUMPRODUCT(MAX((T_PlannedOrders[Part Name]=$A555)*(T_PlannedOrders[WeekIndex]=88)*(T_PlannedOrders[EffectiveQty]&gt;0)*T_PlannedOrders[Order_Month])),"m月")&amp;"発注)")</f>
        <v/>
      </c>
      <c r="CN585">
        <f>IF(SUMIFS(T_PlannedOrders[EffectiveQty],T_PlannedOrders[Part Name],$A555,T_PlannedOrders[WeekIndex],89)=0,"",SUMIFS(T_PlannedOrders[EffectiveQty],T_PlannedOrders[Part Name],$A555,T_PlannedOrders[WeekIndex],89)&amp;" ("&amp;TEXT(SUMPRODUCT(MAX((T_PlannedOrders[Part Name]=$A555)*(T_PlannedOrders[WeekIndex]=89)*(T_PlannedOrders[EffectiveQty]&gt;0)*T_PlannedOrders[Order_Month])),"m月")&amp;"発注)")</f>
        <v/>
      </c>
      <c r="CO585">
        <f>IF(SUMIFS(T_PlannedOrders[EffectiveQty],T_PlannedOrders[Part Name],$A555,T_PlannedOrders[WeekIndex],90)=0,"",SUMIFS(T_PlannedOrders[EffectiveQty],T_PlannedOrders[Part Name],$A555,T_PlannedOrders[WeekIndex],90)&amp;" ("&amp;TEXT(SUMPRODUCT(MAX((T_PlannedOrders[Part Name]=$A555)*(T_PlannedOrders[WeekIndex]=90)*(T_PlannedOrders[EffectiveQty]&gt;0)*T_PlannedOrders[Order_Month])),"m月")&amp;"発注)")</f>
        <v/>
      </c>
      <c r="CP585">
        <f>IF(SUMIFS(T_PlannedOrders[EffectiveQty],T_PlannedOrders[Part Name],$A555,T_PlannedOrders[WeekIndex],91)=0,"",SUMIFS(T_PlannedOrders[EffectiveQty],T_PlannedOrders[Part Name],$A555,T_PlannedOrders[WeekIndex],91)&amp;" ("&amp;TEXT(SUMPRODUCT(MAX((T_PlannedOrders[Part Name]=$A555)*(T_PlannedOrders[WeekIndex]=91)*(T_PlannedOrders[EffectiveQty]&gt;0)*T_PlannedOrders[Order_Month])),"m月")&amp;"発注)")</f>
        <v/>
      </c>
      <c r="CQ585">
        <f>IF(SUMIFS(T_PlannedOrders[EffectiveQty],T_PlannedOrders[Part Name],$A555,T_PlannedOrders[WeekIndex],92)=0,"",SUMIFS(T_PlannedOrders[EffectiveQty],T_PlannedOrders[Part Name],$A555,T_PlannedOrders[WeekIndex],92)&amp;" ("&amp;TEXT(SUMPRODUCT(MAX((T_PlannedOrders[Part Name]=$A555)*(T_PlannedOrders[WeekIndex]=92)*(T_PlannedOrders[EffectiveQty]&gt;0)*T_PlannedOrders[Order_Month])),"m月")&amp;"発注)")</f>
        <v/>
      </c>
      <c r="CR585">
        <f>IF(SUMIFS(T_PlannedOrders[EffectiveQty],T_PlannedOrders[Part Name],$A555,T_PlannedOrders[WeekIndex],93)=0,"",SUMIFS(T_PlannedOrders[EffectiveQty],T_PlannedOrders[Part Name],$A555,T_PlannedOrders[WeekIndex],93)&amp;" ("&amp;TEXT(SUMPRODUCT(MAX((T_PlannedOrders[Part Name]=$A555)*(T_PlannedOrders[WeekIndex]=93)*(T_PlannedOrders[EffectiveQty]&gt;0)*T_PlannedOrders[Order_Month])),"m月")&amp;"発注)")</f>
        <v/>
      </c>
      <c r="CS585">
        <f>IF(SUMIFS(T_PlannedOrders[EffectiveQty],T_PlannedOrders[Part Name],$A555,T_PlannedOrders[WeekIndex],94)=0,"",SUMIFS(T_PlannedOrders[EffectiveQty],T_PlannedOrders[Part Name],$A555,T_PlannedOrders[WeekIndex],94)&amp;" ("&amp;TEXT(SUMPRODUCT(MAX((T_PlannedOrders[Part Name]=$A555)*(T_PlannedOrders[WeekIndex]=94)*(T_PlannedOrders[EffectiveQty]&gt;0)*T_PlannedOrders[Order_Month])),"m月")&amp;"発注)")</f>
        <v/>
      </c>
      <c r="CT585">
        <f>IF(SUMIFS(T_PlannedOrders[EffectiveQty],T_PlannedOrders[Part Name],$A555,T_PlannedOrders[WeekIndex],95)=0,"",SUMIFS(T_PlannedOrders[EffectiveQty],T_PlannedOrders[Part Name],$A555,T_PlannedOrders[WeekIndex],95)&amp;" ("&amp;TEXT(SUMPRODUCT(MAX((T_PlannedOrders[Part Name]=$A555)*(T_PlannedOrders[WeekIndex]=95)*(T_PlannedOrders[EffectiveQty]&gt;0)*T_PlannedOrders[Order_Month])),"m月")&amp;"発注)")</f>
        <v/>
      </c>
      <c r="CU585">
        <f>IF(SUMIFS(T_PlannedOrders[EffectiveQty],T_PlannedOrders[Part Name],$A555,T_PlannedOrders[WeekIndex],96)=0,"",SUMIFS(T_PlannedOrders[EffectiveQty],T_PlannedOrders[Part Name],$A555,T_PlannedOrders[WeekIndex],96)&amp;" ("&amp;TEXT(SUMPRODUCT(MAX((T_PlannedOrders[Part Name]=$A555)*(T_PlannedOrders[WeekIndex]=96)*(T_PlannedOrders[EffectiveQty]&gt;0)*T_PlannedOrders[Order_Month])),"m月")&amp;"発注)")</f>
        <v/>
      </c>
      <c r="CV585">
        <f>IF(SUMIFS(T_PlannedOrders[EffectiveQty],T_PlannedOrders[Part Name],$A555,T_PlannedOrders[WeekIndex],97)=0,"",SUMIFS(T_PlannedOrders[EffectiveQty],T_PlannedOrders[Part Name],$A555,T_PlannedOrders[WeekIndex],97)&amp;" ("&amp;TEXT(SUMPRODUCT(MAX((T_PlannedOrders[Part Name]=$A555)*(T_PlannedOrders[WeekIndex]=97)*(T_PlannedOrders[EffectiveQty]&gt;0)*T_PlannedOrders[Order_Month])),"m月")&amp;"発注)")</f>
        <v/>
      </c>
      <c r="CW585">
        <f>IF(SUMIFS(T_PlannedOrders[EffectiveQty],T_PlannedOrders[Part Name],$A555,T_PlannedOrders[WeekIndex],98)=0,"",SUMIFS(T_PlannedOrders[EffectiveQty],T_PlannedOrders[Part Name],$A555,T_PlannedOrders[WeekIndex],98)&amp;" ("&amp;TEXT(SUMPRODUCT(MAX((T_PlannedOrders[Part Name]=$A555)*(T_PlannedOrders[WeekIndex]=98)*(T_PlannedOrders[EffectiveQty]&gt;0)*T_PlannedOrders[Order_Month])),"m月")&amp;"発注)")</f>
        <v/>
      </c>
      <c r="CX585">
        <f>IF(SUMIFS(T_PlannedOrders[EffectiveQty],T_PlannedOrders[Part Name],$A555,T_PlannedOrders[WeekIndex],99)=0,"",SUMIFS(T_PlannedOrders[EffectiveQty],T_PlannedOrders[Part Name],$A555,T_PlannedOrders[WeekIndex],99)&amp;" ("&amp;TEXT(SUMPRODUCT(MAX((T_PlannedOrders[Part Name]=$A555)*(T_PlannedOrders[WeekIndex]=99)*(T_PlannedOrders[EffectiveQty]&gt;0)*T_PlannedOrders[Order_Month])),"m月")&amp;"発注)")</f>
        <v/>
      </c>
      <c r="CY585">
        <f>IF(SUMIFS(T_PlannedOrders[EffectiveQty],T_PlannedOrders[Part Name],$A555,T_PlannedOrders[WeekIndex],100)=0,"",SUMIFS(T_PlannedOrders[EffectiveQty],T_PlannedOrders[Part Name],$A555,T_PlannedOrders[WeekIndex],100)&amp;" ("&amp;TEXT(SUMPRODUCT(MAX((T_PlannedOrders[Part Name]=$A555)*(T_PlannedOrders[WeekIndex]=100)*(T_PlannedOrders[EffectiveQty]&gt;0)*T_PlannedOrders[Order_Month])),"m月")&amp;"発注)")</f>
        <v/>
      </c>
      <c r="CZ585">
        <f>IF(SUMIFS(T_PlannedOrders[EffectiveQty],T_PlannedOrders[Part Name],$A555,T_PlannedOrders[WeekIndex],101)=0,"",SUMIFS(T_PlannedOrders[EffectiveQty],T_PlannedOrders[Part Name],$A555,T_PlannedOrders[WeekIndex],101)&amp;" ("&amp;TEXT(SUMPRODUCT(MAX((T_PlannedOrders[Part Name]=$A555)*(T_PlannedOrders[WeekIndex]=101)*(T_PlannedOrders[EffectiveQty]&gt;0)*T_PlannedOrders[Order_Month])),"m月")&amp;"発注)")</f>
        <v/>
      </c>
      <c r="DA585">
        <f>IF(SUMIFS(T_PlannedOrders[EffectiveQty],T_PlannedOrders[Part Name],$A555,T_PlannedOrders[WeekIndex],102)=0,"",SUMIFS(T_PlannedOrders[EffectiveQty],T_PlannedOrders[Part Name],$A555,T_PlannedOrders[WeekIndex],102)&amp;" ("&amp;TEXT(SUMPRODUCT(MAX((T_PlannedOrders[Part Name]=$A555)*(T_PlannedOrders[WeekIndex]=102)*(T_PlannedOrders[EffectiveQty]&gt;0)*T_PlannedOrders[Order_Month])),"m月")&amp;"発注)")</f>
        <v/>
      </c>
      <c r="DB585">
        <f>IF(SUMIFS(T_PlannedOrders[EffectiveQty],T_PlannedOrders[Part Name],$A555,T_PlannedOrders[WeekIndex],103)=0,"",SUMIFS(T_PlannedOrders[EffectiveQty],T_PlannedOrders[Part Name],$A555,T_PlannedOrders[WeekIndex],103)&amp;" ("&amp;TEXT(SUMPRODUCT(MAX((T_PlannedOrders[Part Name]=$A555)*(T_PlannedOrders[WeekIndex]=103)*(T_PlannedOrders[EffectiveQty]&gt;0)*T_PlannedOrders[Order_Month])),"m月")&amp;"発注)")</f>
        <v/>
      </c>
      <c r="DC585">
        <f>IF(SUMIFS(T_PlannedOrders[EffectiveQty],T_PlannedOrders[Part Name],$A555,T_PlannedOrders[WeekIndex],104)=0,"",SUMIFS(T_PlannedOrders[EffectiveQty],T_PlannedOrders[Part Name],$A555,T_PlannedOrders[WeekIndex],104)&amp;" ("&amp;TEXT(SUMPRODUCT(MAX((T_PlannedOrders[Part Name]=$A555)*(T_PlannedOrders[WeekIndex]=104)*(T_PlannedOrders[EffectiveQty]&gt;0)*T_PlannedOrders[Order_Month])),"m月")&amp;"発注)")</f>
        <v/>
      </c>
    </row>
    <row r="586">
      <c r="B586" s="4" t="inlineStr">
        <is>
          <t>合計在庫(週末時点,kg)</t>
        </is>
      </c>
      <c r="D586">
        <f>'Grid_Stock'!B35</f>
        <v/>
      </c>
      <c r="E586">
        <f>'Grid_Stock'!C35</f>
        <v/>
      </c>
      <c r="F586">
        <f>'Grid_Stock'!D35</f>
        <v/>
      </c>
      <c r="G586">
        <f>'Grid_Stock'!E35</f>
        <v/>
      </c>
      <c r="H586">
        <f>'Grid_Stock'!F35</f>
        <v/>
      </c>
      <c r="I586">
        <f>'Grid_Stock'!G35</f>
        <v/>
      </c>
      <c r="J586">
        <f>'Grid_Stock'!H35</f>
        <v/>
      </c>
      <c r="K586">
        <f>'Grid_Stock'!I35</f>
        <v/>
      </c>
      <c r="L586">
        <f>'Grid_Stock'!J35</f>
        <v/>
      </c>
      <c r="M586">
        <f>'Grid_Stock'!K35</f>
        <v/>
      </c>
      <c r="N586">
        <f>'Grid_Stock'!L35</f>
        <v/>
      </c>
      <c r="O586">
        <f>'Grid_Stock'!M35</f>
        <v/>
      </c>
      <c r="P586">
        <f>'Grid_Stock'!N35</f>
        <v/>
      </c>
      <c r="Q586">
        <f>'Grid_Stock'!O35</f>
        <v/>
      </c>
      <c r="R586">
        <f>'Grid_Stock'!P35</f>
        <v/>
      </c>
      <c r="S586">
        <f>'Grid_Stock'!Q35</f>
        <v/>
      </c>
      <c r="T586">
        <f>'Grid_Stock'!R35</f>
        <v/>
      </c>
      <c r="U586">
        <f>'Grid_Stock'!S35</f>
        <v/>
      </c>
      <c r="V586">
        <f>'Grid_Stock'!T35</f>
        <v/>
      </c>
      <c r="W586">
        <f>'Grid_Stock'!U35</f>
        <v/>
      </c>
      <c r="X586">
        <f>'Grid_Stock'!V35</f>
        <v/>
      </c>
      <c r="Y586">
        <f>'Grid_Stock'!W35</f>
        <v/>
      </c>
      <c r="Z586">
        <f>'Grid_Stock'!X35</f>
        <v/>
      </c>
      <c r="AA586">
        <f>'Grid_Stock'!Y35</f>
        <v/>
      </c>
      <c r="AB586">
        <f>'Grid_Stock'!Z35</f>
        <v/>
      </c>
      <c r="AC586">
        <f>'Grid_Stock'!AA35</f>
        <v/>
      </c>
      <c r="AD586">
        <f>'Grid_Stock'!AB35</f>
        <v/>
      </c>
      <c r="AE586">
        <f>'Grid_Stock'!AC35</f>
        <v/>
      </c>
      <c r="AF586">
        <f>'Grid_Stock'!AD35</f>
        <v/>
      </c>
      <c r="AG586">
        <f>'Grid_Stock'!AE35</f>
        <v/>
      </c>
      <c r="AH586">
        <f>'Grid_Stock'!AF35</f>
        <v/>
      </c>
      <c r="AI586">
        <f>'Grid_Stock'!AG35</f>
        <v/>
      </c>
      <c r="AJ586">
        <f>'Grid_Stock'!AH35</f>
        <v/>
      </c>
      <c r="AK586">
        <f>'Grid_Stock'!AI35</f>
        <v/>
      </c>
      <c r="AL586">
        <f>'Grid_Stock'!AJ35</f>
        <v/>
      </c>
      <c r="AM586">
        <f>'Grid_Stock'!AK35</f>
        <v/>
      </c>
      <c r="AN586">
        <f>'Grid_Stock'!AL35</f>
        <v/>
      </c>
      <c r="AO586">
        <f>'Grid_Stock'!AM35</f>
        <v/>
      </c>
      <c r="AP586">
        <f>'Grid_Stock'!AN35</f>
        <v/>
      </c>
      <c r="AQ586">
        <f>'Grid_Stock'!AO35</f>
        <v/>
      </c>
      <c r="AR586">
        <f>'Grid_Stock'!AP35</f>
        <v/>
      </c>
      <c r="AS586">
        <f>'Grid_Stock'!AQ35</f>
        <v/>
      </c>
      <c r="AT586">
        <f>'Grid_Stock'!AR35</f>
        <v/>
      </c>
      <c r="AU586">
        <f>'Grid_Stock'!AS35</f>
        <v/>
      </c>
      <c r="AV586">
        <f>'Grid_Stock'!AT35</f>
        <v/>
      </c>
      <c r="AW586">
        <f>'Grid_Stock'!AU35</f>
        <v/>
      </c>
      <c r="AX586">
        <f>'Grid_Stock'!AV35</f>
        <v/>
      </c>
      <c r="AY586">
        <f>'Grid_Stock'!AW35</f>
        <v/>
      </c>
      <c r="AZ586">
        <f>'Grid_Stock'!AX35</f>
        <v/>
      </c>
      <c r="BA586">
        <f>'Grid_Stock'!AY35</f>
        <v/>
      </c>
      <c r="BB586">
        <f>'Grid_Stock'!AZ35</f>
        <v/>
      </c>
      <c r="BC586">
        <f>'Grid_Stock'!BA35</f>
        <v/>
      </c>
      <c r="BD586">
        <f>'Grid_Stock'!BB35</f>
        <v/>
      </c>
      <c r="BE586">
        <f>'Grid_Stock'!BC35</f>
        <v/>
      </c>
      <c r="BF586">
        <f>'Grid_Stock'!BD35</f>
        <v/>
      </c>
      <c r="BG586">
        <f>'Grid_Stock'!BE35</f>
        <v/>
      </c>
      <c r="BH586">
        <f>'Grid_Stock'!BF35</f>
        <v/>
      </c>
      <c r="BI586">
        <f>'Grid_Stock'!BG35</f>
        <v/>
      </c>
      <c r="BJ586">
        <f>'Grid_Stock'!BH35</f>
        <v/>
      </c>
      <c r="BK586">
        <f>'Grid_Stock'!BI35</f>
        <v/>
      </c>
      <c r="BL586">
        <f>'Grid_Stock'!BJ35</f>
        <v/>
      </c>
      <c r="BM586">
        <f>'Grid_Stock'!BK35</f>
        <v/>
      </c>
      <c r="BN586">
        <f>'Grid_Stock'!BL35</f>
        <v/>
      </c>
      <c r="BO586">
        <f>'Grid_Stock'!BM35</f>
        <v/>
      </c>
      <c r="BP586">
        <f>'Grid_Stock'!BN35</f>
        <v/>
      </c>
      <c r="BQ586">
        <f>'Grid_Stock'!BO35</f>
        <v/>
      </c>
      <c r="BR586">
        <f>'Grid_Stock'!BP35</f>
        <v/>
      </c>
      <c r="BS586">
        <f>'Grid_Stock'!BQ35</f>
        <v/>
      </c>
      <c r="BT586">
        <f>'Grid_Stock'!BR35</f>
        <v/>
      </c>
      <c r="BU586">
        <f>'Grid_Stock'!BS35</f>
        <v/>
      </c>
      <c r="BV586">
        <f>'Grid_Stock'!BT35</f>
        <v/>
      </c>
      <c r="BW586">
        <f>'Grid_Stock'!BU35</f>
        <v/>
      </c>
      <c r="BX586">
        <f>'Grid_Stock'!BV35</f>
        <v/>
      </c>
      <c r="BY586">
        <f>'Grid_Stock'!BW35</f>
        <v/>
      </c>
      <c r="BZ586">
        <f>'Grid_Stock'!BX35</f>
        <v/>
      </c>
      <c r="CA586">
        <f>'Grid_Stock'!BY35</f>
        <v/>
      </c>
      <c r="CB586">
        <f>'Grid_Stock'!BZ35</f>
        <v/>
      </c>
      <c r="CC586">
        <f>'Grid_Stock'!CA35</f>
        <v/>
      </c>
      <c r="CD586">
        <f>'Grid_Stock'!CB35</f>
        <v/>
      </c>
      <c r="CE586">
        <f>'Grid_Stock'!CC35</f>
        <v/>
      </c>
      <c r="CF586">
        <f>'Grid_Stock'!CD35</f>
        <v/>
      </c>
      <c r="CG586">
        <f>'Grid_Stock'!CE35</f>
        <v/>
      </c>
      <c r="CH586">
        <f>'Grid_Stock'!CF35</f>
        <v/>
      </c>
      <c r="CI586">
        <f>'Grid_Stock'!CG35</f>
        <v/>
      </c>
      <c r="CJ586">
        <f>'Grid_Stock'!CH35</f>
        <v/>
      </c>
      <c r="CK586">
        <f>'Grid_Stock'!CI35</f>
        <v/>
      </c>
      <c r="CL586">
        <f>'Grid_Stock'!CJ35</f>
        <v/>
      </c>
      <c r="CM586">
        <f>'Grid_Stock'!CK35</f>
        <v/>
      </c>
      <c r="CN586">
        <f>'Grid_Stock'!CL35</f>
        <v/>
      </c>
      <c r="CO586">
        <f>'Grid_Stock'!CM35</f>
        <v/>
      </c>
      <c r="CP586">
        <f>'Grid_Stock'!CN35</f>
        <v/>
      </c>
      <c r="CQ586">
        <f>'Grid_Stock'!CO35</f>
        <v/>
      </c>
      <c r="CR586">
        <f>'Grid_Stock'!CP35</f>
        <v/>
      </c>
      <c r="CS586">
        <f>'Grid_Stock'!CQ35</f>
        <v/>
      </c>
      <c r="CT586">
        <f>'Grid_Stock'!CR35</f>
        <v/>
      </c>
      <c r="CU586">
        <f>'Grid_Stock'!CS35</f>
        <v/>
      </c>
      <c r="CV586">
        <f>'Grid_Stock'!CT35</f>
        <v/>
      </c>
      <c r="CW586">
        <f>'Grid_Stock'!CU35</f>
        <v/>
      </c>
      <c r="CX586">
        <f>'Grid_Stock'!CV35</f>
        <v/>
      </c>
      <c r="CY586">
        <f>'Grid_Stock'!CW35</f>
        <v/>
      </c>
      <c r="CZ586">
        <f>'Grid_Stock'!CX35</f>
        <v/>
      </c>
      <c r="DA586">
        <f>'Grid_Stock'!CY35</f>
        <v/>
      </c>
      <c r="DB586">
        <f>'Grid_Stock'!CZ35</f>
        <v/>
      </c>
      <c r="DC586">
        <f>'Grid_Stock'!DA35</f>
        <v/>
      </c>
    </row>
    <row r="587">
      <c r="B587" s="16" t="inlineStr">
        <is>
          <t>（発注の目安はDashboardの基準在庫[下限/上限]と色分けを参照）</t>
        </is>
      </c>
    </row>
    <row r="589">
      <c r="A589" s="14" t="inlineStr">
        <is>
          <t>0JN</t>
        </is>
      </c>
      <c r="B589" s="14" t="inlineStr">
        <is>
          <t>N30S/10 : 11R-11 (F2090) Poland</t>
        </is>
      </c>
      <c r="C589" s="15" t="n"/>
      <c r="D589" s="14" t="n"/>
      <c r="E589" s="14" t="n"/>
      <c r="F589" s="14" t="n"/>
      <c r="G589" s="14" t="n"/>
      <c r="H589" s="14" t="n"/>
      <c r="I589" s="14" t="n"/>
      <c r="J589" s="14" t="n"/>
      <c r="K589" s="14" t="n"/>
      <c r="L589" s="14" t="n"/>
      <c r="M589" s="14" t="n"/>
      <c r="N589" s="14" t="n"/>
      <c r="O589" s="14" t="n"/>
      <c r="P589" s="14" t="n"/>
      <c r="Q589" s="14" t="n"/>
      <c r="R589" s="14" t="n"/>
      <c r="S589" s="14" t="n"/>
      <c r="T589" s="14" t="n"/>
      <c r="U589" s="14" t="n"/>
      <c r="V589" s="14" t="n"/>
      <c r="W589" s="14" t="n"/>
      <c r="X589" s="14" t="n"/>
      <c r="Y589" s="14" t="n"/>
      <c r="Z589" s="14" t="n"/>
      <c r="AA589" s="14" t="n"/>
      <c r="AB589" s="14" t="n"/>
      <c r="AC589" s="14" t="n"/>
      <c r="AD589" s="14" t="n"/>
      <c r="AE589" s="14" t="n"/>
      <c r="AF589" s="14" t="n"/>
      <c r="AG589" s="14" t="n"/>
      <c r="AH589" s="14" t="n"/>
      <c r="AI589" s="14" t="n"/>
      <c r="AJ589" s="14" t="n"/>
      <c r="AK589" s="14" t="n"/>
      <c r="AL589" s="14" t="n"/>
      <c r="AM589" s="14" t="n"/>
      <c r="AN589" s="14" t="n"/>
      <c r="AO589" s="14" t="n"/>
      <c r="AP589" s="14" t="n"/>
      <c r="AQ589" s="14" t="n"/>
      <c r="AR589" s="14" t="n"/>
      <c r="AS589" s="14" t="n"/>
      <c r="AT589" s="14" t="n"/>
      <c r="AU589" s="14" t="n"/>
      <c r="AV589" s="14" t="n"/>
      <c r="AW589" s="14" t="n"/>
      <c r="AX589" s="14" t="n"/>
      <c r="AY589" s="14" t="n"/>
      <c r="AZ589" s="14" t="n"/>
      <c r="BA589" s="14" t="n"/>
      <c r="BB589" s="14" t="n"/>
      <c r="BC589" s="14" t="n"/>
      <c r="BD589" s="14" t="n"/>
      <c r="BE589" s="14" t="n"/>
      <c r="BF589" s="14" t="n"/>
      <c r="BG589" s="14" t="n"/>
      <c r="BH589" s="14" t="n"/>
      <c r="BI589" s="14" t="n"/>
      <c r="BJ589" s="14" t="n"/>
      <c r="BK589" s="14" t="n"/>
      <c r="BL589" s="14" t="n"/>
      <c r="BM589" s="14" t="n"/>
      <c r="BN589" s="14" t="n"/>
      <c r="BO589" s="14" t="n"/>
      <c r="BP589" s="14" t="n"/>
      <c r="BQ589" s="14" t="n"/>
      <c r="BR589" s="14" t="n"/>
      <c r="BS589" s="14" t="n"/>
      <c r="BT589" s="14" t="n"/>
      <c r="BU589" s="14" t="n"/>
      <c r="BV589" s="14" t="n"/>
      <c r="BW589" s="14" t="n"/>
      <c r="BX589" s="14" t="n"/>
      <c r="BY589" s="14" t="n"/>
      <c r="BZ589" s="14" t="n"/>
      <c r="CA589" s="14" t="n"/>
      <c r="CB589" s="14" t="n"/>
      <c r="CC589" s="14" t="n"/>
      <c r="CD589" s="14" t="n"/>
      <c r="CE589" s="14" t="n"/>
      <c r="CF589" s="14" t="n"/>
      <c r="CG589" s="14" t="n"/>
      <c r="CH589" s="14" t="n"/>
      <c r="CI589" s="14" t="n"/>
      <c r="CJ589" s="14" t="n"/>
      <c r="CK589" s="14" t="n"/>
      <c r="CL589" s="14" t="n"/>
      <c r="CM589" s="14" t="n"/>
      <c r="CN589" s="14" t="n"/>
      <c r="CO589" s="14" t="n"/>
      <c r="CP589" s="14" t="n"/>
      <c r="CQ589" s="14" t="n"/>
      <c r="CR589" s="14" t="n"/>
      <c r="CS589" s="14" t="n"/>
      <c r="CT589" s="14" t="n"/>
      <c r="CU589" s="14" t="n"/>
      <c r="CV589" s="14" t="n"/>
      <c r="CW589" s="14" t="n"/>
      <c r="CX589" s="14" t="n"/>
      <c r="CY589" s="14" t="n"/>
      <c r="CZ589" s="14" t="n"/>
      <c r="DA589" s="14" t="n"/>
      <c r="DB589" s="14" t="n"/>
      <c r="DC589" s="14" t="n"/>
    </row>
    <row r="590">
      <c r="B590" t="inlineStr">
        <is>
          <t>TSP-219</t>
        </is>
      </c>
      <c r="C590" t="inlineStr">
        <is>
          <t>No. of batches</t>
        </is>
      </c>
      <c r="D590">
        <f>IFERROR(INDEX(PP_Grid[#Data],$DD590,2),0)</f>
        <v/>
      </c>
      <c r="E590">
        <f>IFERROR(INDEX(PP_Grid[#Data],$DD590,3),0)</f>
        <v/>
      </c>
      <c r="F590">
        <f>IFERROR(INDEX(PP_Grid[#Data],$DD590,4),0)</f>
        <v/>
      </c>
      <c r="G590">
        <f>IFERROR(INDEX(PP_Grid[#Data],$DD590,5),0)</f>
        <v/>
      </c>
      <c r="H590">
        <f>IFERROR(INDEX(PP_Grid[#Data],$DD590,6),0)</f>
        <v/>
      </c>
      <c r="I590">
        <f>IFERROR(INDEX(PP_Grid[#Data],$DD590,7),0)</f>
        <v/>
      </c>
      <c r="J590">
        <f>IFERROR(INDEX(PP_Grid[#Data],$DD590,8),0)</f>
        <v/>
      </c>
      <c r="K590">
        <f>IFERROR(INDEX(PP_Grid[#Data],$DD590,9),0)</f>
        <v/>
      </c>
      <c r="L590">
        <f>IFERROR(INDEX(PP_Grid[#Data],$DD590,10),0)</f>
        <v/>
      </c>
      <c r="M590">
        <f>IFERROR(INDEX(PP_Grid[#Data],$DD590,11),0)</f>
        <v/>
      </c>
      <c r="N590">
        <f>IFERROR(INDEX(PP_Grid[#Data],$DD590,12),0)</f>
        <v/>
      </c>
      <c r="O590">
        <f>IFERROR(INDEX(PP_Grid[#Data],$DD590,13),0)</f>
        <v/>
      </c>
      <c r="P590">
        <f>IFERROR(INDEX(PP_Grid[#Data],$DD590,14),0)</f>
        <v/>
      </c>
      <c r="Q590">
        <f>IFERROR(INDEX(PP_Grid[#Data],$DD590,15),0)</f>
        <v/>
      </c>
      <c r="R590">
        <f>IFERROR(INDEX(PP_Grid[#Data],$DD590,16),0)</f>
        <v/>
      </c>
      <c r="S590">
        <f>IFERROR(INDEX(PP_Grid[#Data],$DD590,17),0)</f>
        <v/>
      </c>
      <c r="T590">
        <f>IFERROR(INDEX(PP_Grid[#Data],$DD590,18),0)</f>
        <v/>
      </c>
      <c r="U590">
        <f>IFERROR(INDEX(PP_Grid[#Data],$DD590,19),0)</f>
        <v/>
      </c>
      <c r="V590">
        <f>IFERROR(INDEX(PP_Grid[#Data],$DD590,20),0)</f>
        <v/>
      </c>
      <c r="W590">
        <f>IFERROR(INDEX(PP_Grid[#Data],$DD590,21),0)</f>
        <v/>
      </c>
      <c r="X590">
        <f>IFERROR(INDEX(PP_Grid[#Data],$DD590,22),0)</f>
        <v/>
      </c>
      <c r="Y590">
        <f>IFERROR(INDEX(PP_Grid[#Data],$DD590,23),0)</f>
        <v/>
      </c>
      <c r="Z590">
        <f>IFERROR(INDEX(PP_Grid[#Data],$DD590,24),0)</f>
        <v/>
      </c>
      <c r="AA590">
        <f>IFERROR(INDEX(PP_Grid[#Data],$DD590,25),0)</f>
        <v/>
      </c>
      <c r="AB590">
        <f>IFERROR(INDEX(PP_Grid[#Data],$DD590,26),0)</f>
        <v/>
      </c>
      <c r="AC590">
        <f>IFERROR(INDEX(PP_Grid[#Data],$DD590,27),0)</f>
        <v/>
      </c>
      <c r="AD590">
        <f>IFERROR(INDEX(PP_Grid[#Data],$DD590,28),0)</f>
        <v/>
      </c>
      <c r="AE590">
        <f>IFERROR(INDEX(PP_Grid[#Data],$DD590,29),0)</f>
        <v/>
      </c>
      <c r="AF590">
        <f>IFERROR(INDEX(PP_Grid[#Data],$DD590,30),0)</f>
        <v/>
      </c>
      <c r="AG590">
        <f>IFERROR(INDEX(PP_Grid[#Data],$DD590,31),0)</f>
        <v/>
      </c>
      <c r="AH590">
        <f>IFERROR(INDEX(PP_Grid[#Data],$DD590,32),0)</f>
        <v/>
      </c>
      <c r="AI590">
        <f>IFERROR(INDEX(PP_Grid[#Data],$DD590,33),0)</f>
        <v/>
      </c>
      <c r="AJ590">
        <f>IFERROR(INDEX(PP_Grid[#Data],$DD590,34),0)</f>
        <v/>
      </c>
      <c r="AK590">
        <f>IFERROR(INDEX(PP_Grid[#Data],$DD590,35),0)</f>
        <v/>
      </c>
      <c r="AL590">
        <f>IFERROR(INDEX(PP_Grid[#Data],$DD590,36),0)</f>
        <v/>
      </c>
      <c r="AM590">
        <f>IFERROR(INDEX(PP_Grid[#Data],$DD590,37),0)</f>
        <v/>
      </c>
      <c r="AN590">
        <f>IFERROR(INDEX(PP_Grid[#Data],$DD590,38),0)</f>
        <v/>
      </c>
      <c r="AO590">
        <f>IFERROR(INDEX(PP_Grid[#Data],$DD590,39),0)</f>
        <v/>
      </c>
      <c r="AP590">
        <f>IFERROR(INDEX(PP_Grid[#Data],$DD590,40),0)</f>
        <v/>
      </c>
      <c r="AQ590">
        <f>IFERROR(INDEX(PP_Grid[#Data],$DD590,41),0)</f>
        <v/>
      </c>
      <c r="AR590">
        <f>IFERROR(INDEX(PP_Grid[#Data],$DD590,42),0)</f>
        <v/>
      </c>
      <c r="AS590">
        <f>IFERROR(INDEX(PP_Grid[#Data],$DD590,43),0)</f>
        <v/>
      </c>
      <c r="AT590">
        <f>IFERROR(INDEX(PP_Grid[#Data],$DD590,44),0)</f>
        <v/>
      </c>
      <c r="AU590">
        <f>IFERROR(INDEX(PP_Grid[#Data],$DD590,45),0)</f>
        <v/>
      </c>
      <c r="AV590">
        <f>IFERROR(INDEX(PP_Grid[#Data],$DD590,46),0)</f>
        <v/>
      </c>
      <c r="AW590">
        <f>IFERROR(INDEX(PP_Grid[#Data],$DD590,47),0)</f>
        <v/>
      </c>
      <c r="AX590">
        <f>IFERROR(INDEX(PP_Grid[#Data],$DD590,48),0)</f>
        <v/>
      </c>
      <c r="AY590">
        <f>IFERROR(INDEX(PP_Grid[#Data],$DD590,49),0)</f>
        <v/>
      </c>
      <c r="AZ590">
        <f>IFERROR(INDEX(PP_Grid[#Data],$DD590,50),0)</f>
        <v/>
      </c>
      <c r="BA590">
        <f>IFERROR(INDEX(PP_Grid[#Data],$DD590,51),0)</f>
        <v/>
      </c>
      <c r="BB590">
        <f>IFERROR(INDEX(PP_Grid[#Data],$DD590,52),0)</f>
        <v/>
      </c>
      <c r="BC590">
        <f>IFERROR(INDEX(PP_Grid[#Data],$DD590,53),0)</f>
        <v/>
      </c>
      <c r="BD590">
        <f>IFERROR(INDEX(PP_Grid[#Data],$DD590,54),0)</f>
        <v/>
      </c>
      <c r="BE590">
        <f>IFERROR(INDEX(PP_Grid[#Data],$DD590,55),0)</f>
        <v/>
      </c>
      <c r="BF590">
        <f>IFERROR(INDEX(PP_Grid[#Data],$DD590,56),0)</f>
        <v/>
      </c>
      <c r="BG590">
        <f>IFERROR(INDEX(PP_Grid[#Data],$DD590,57),0)</f>
        <v/>
      </c>
      <c r="BH590">
        <f>IFERROR(INDEX(PP_Grid[#Data],$DD590,58),0)</f>
        <v/>
      </c>
      <c r="BI590">
        <f>IFERROR(INDEX(PP_Grid[#Data],$DD590,59),0)</f>
        <v/>
      </c>
      <c r="BJ590">
        <f>IFERROR(INDEX(PP_Grid[#Data],$DD590,60),0)</f>
        <v/>
      </c>
      <c r="BK590">
        <f>IFERROR(INDEX(PP_Grid[#Data],$DD590,61),0)</f>
        <v/>
      </c>
      <c r="BL590">
        <f>IFERROR(INDEX(PP_Grid[#Data],$DD590,62),0)</f>
        <v/>
      </c>
      <c r="BM590">
        <f>IFERROR(INDEX(PP_Grid[#Data],$DD590,63),0)</f>
        <v/>
      </c>
      <c r="BN590">
        <f>IFERROR(INDEX(PP_Grid[#Data],$DD590,64),0)</f>
        <v/>
      </c>
      <c r="BO590">
        <f>IFERROR(INDEX(PP_Grid[#Data],$DD590,65),0)</f>
        <v/>
      </c>
      <c r="BP590">
        <f>IFERROR(INDEX(PP_Grid[#Data],$DD590,66),0)</f>
        <v/>
      </c>
      <c r="BQ590">
        <f>IFERROR(INDEX(PP_Grid[#Data],$DD590,67),0)</f>
        <v/>
      </c>
      <c r="BR590">
        <f>IFERROR(INDEX(PP_Grid[#Data],$DD590,68),0)</f>
        <v/>
      </c>
      <c r="BS590">
        <f>IFERROR(INDEX(PP_Grid[#Data],$DD590,69),0)</f>
        <v/>
      </c>
      <c r="BT590">
        <f>IFERROR(INDEX(PP_Grid[#Data],$DD590,70),0)</f>
        <v/>
      </c>
      <c r="BU590">
        <f>IFERROR(INDEX(PP_Grid[#Data],$DD590,71),0)</f>
        <v/>
      </c>
      <c r="BV590">
        <f>IFERROR(INDEX(PP_Grid[#Data],$DD590,72),0)</f>
        <v/>
      </c>
      <c r="BW590">
        <f>IFERROR(INDEX(PP_Grid[#Data],$DD590,73),0)</f>
        <v/>
      </c>
      <c r="BX590">
        <f>IFERROR(INDEX(PP_Grid[#Data],$DD590,74),0)</f>
        <v/>
      </c>
      <c r="BY590">
        <f>IFERROR(INDEX(PP_Grid[#Data],$DD590,75),0)</f>
        <v/>
      </c>
      <c r="BZ590">
        <f>IFERROR(INDEX(PP_Grid[#Data],$DD590,76),0)</f>
        <v/>
      </c>
      <c r="CA590">
        <f>IFERROR(INDEX(PP_Grid[#Data],$DD590,77),0)</f>
        <v/>
      </c>
      <c r="CB590">
        <f>IFERROR(INDEX(PP_Grid[#Data],$DD590,78),0)</f>
        <v/>
      </c>
      <c r="CC590">
        <f>IFERROR(INDEX(PP_Grid[#Data],$DD590,79),0)</f>
        <v/>
      </c>
      <c r="CD590">
        <f>IFERROR(INDEX(PP_Grid[#Data],$DD590,80),0)</f>
        <v/>
      </c>
      <c r="CE590">
        <f>IFERROR(INDEX(PP_Grid[#Data],$DD590,81),0)</f>
        <v/>
      </c>
      <c r="CF590">
        <f>IFERROR(INDEX(PP_Grid[#Data],$DD590,82),0)</f>
        <v/>
      </c>
      <c r="CG590">
        <f>IFERROR(INDEX(PP_Grid[#Data],$DD590,83),0)</f>
        <v/>
      </c>
      <c r="CH590">
        <f>IFERROR(INDEX(PP_Grid[#Data],$DD590,84),0)</f>
        <v/>
      </c>
      <c r="CI590">
        <f>IFERROR(INDEX(PP_Grid[#Data],$DD590,85),0)</f>
        <v/>
      </c>
      <c r="CJ590">
        <f>IFERROR(INDEX(PP_Grid[#Data],$DD590,86),0)</f>
        <v/>
      </c>
      <c r="CK590">
        <f>IFERROR(INDEX(PP_Grid[#Data],$DD590,87),0)</f>
        <v/>
      </c>
      <c r="CL590">
        <f>IFERROR(INDEX(PP_Grid[#Data],$DD590,88),0)</f>
        <v/>
      </c>
      <c r="CM590">
        <f>IFERROR(INDEX(PP_Grid[#Data],$DD590,89),0)</f>
        <v/>
      </c>
      <c r="CN590">
        <f>IFERROR(INDEX(PP_Grid[#Data],$DD590,90),0)</f>
        <v/>
      </c>
      <c r="CO590">
        <f>IFERROR(INDEX(PP_Grid[#Data],$DD590,91),0)</f>
        <v/>
      </c>
      <c r="CP590">
        <f>IFERROR(INDEX(PP_Grid[#Data],$DD590,92),0)</f>
        <v/>
      </c>
      <c r="CQ590">
        <f>IFERROR(INDEX(PP_Grid[#Data],$DD590,93),0)</f>
        <v/>
      </c>
      <c r="CR590">
        <f>IFERROR(INDEX(PP_Grid[#Data],$DD590,94),0)</f>
        <v/>
      </c>
      <c r="CS590">
        <f>IFERROR(INDEX(PP_Grid[#Data],$DD590,95),0)</f>
        <v/>
      </c>
      <c r="CT590">
        <f>IFERROR(INDEX(PP_Grid[#Data],$DD590,96),0)</f>
        <v/>
      </c>
      <c r="CU590">
        <f>IFERROR(INDEX(PP_Grid[#Data],$DD590,97),0)</f>
        <v/>
      </c>
      <c r="CV590">
        <f>IFERROR(INDEX(PP_Grid[#Data],$DD590,98),0)</f>
        <v/>
      </c>
      <c r="CW590">
        <f>IFERROR(INDEX(PP_Grid[#Data],$DD590,99),0)</f>
        <v/>
      </c>
      <c r="CX590">
        <f>IFERROR(INDEX(PP_Grid[#Data],$DD590,100),0)</f>
        <v/>
      </c>
      <c r="CY590">
        <f>IFERROR(INDEX(PP_Grid[#Data],$DD590,101),0)</f>
        <v/>
      </c>
      <c r="CZ590">
        <f>IFERROR(INDEX(PP_Grid[#Data],$DD590,102),0)</f>
        <v/>
      </c>
      <c r="DA590">
        <f>IFERROR(INDEX(PP_Grid[#Data],$DD590,103),0)</f>
        <v/>
      </c>
      <c r="DB590">
        <f>IFERROR(INDEX(PP_Grid[#Data],$DD590,104),0)</f>
        <v/>
      </c>
      <c r="DC590">
        <f>IFERROR(INDEX(PP_Grid[#Data],$DD590,105),0)</f>
        <v/>
      </c>
      <c r="DD590" s="7">
        <f>IFERROR(MATCH($B590,PP_Grid[Intermediate],0),99999)</f>
        <v/>
      </c>
    </row>
    <row r="591">
      <c r="B591" t="inlineStr">
        <is>
          <t>使用量(kg)</t>
        </is>
      </c>
      <c r="C591">
        <f>SUMIFS(M_BOM[RM_Qty_Per_Batch],M_BOM[Intermediate],$B590,M_BOM[Part Name],$A589)</f>
        <v/>
      </c>
      <c r="D591">
        <f>$C591*D590</f>
        <v/>
      </c>
      <c r="E591">
        <f>$C591*E590</f>
        <v/>
      </c>
      <c r="F591">
        <f>$C591*F590</f>
        <v/>
      </c>
      <c r="G591">
        <f>$C591*G590</f>
        <v/>
      </c>
      <c r="H591">
        <f>$C591*H590</f>
        <v/>
      </c>
      <c r="I591">
        <f>$C591*I590</f>
        <v/>
      </c>
      <c r="J591">
        <f>$C591*J590</f>
        <v/>
      </c>
      <c r="K591">
        <f>$C591*K590</f>
        <v/>
      </c>
      <c r="L591">
        <f>$C591*L590</f>
        <v/>
      </c>
      <c r="M591">
        <f>$C591*M590</f>
        <v/>
      </c>
      <c r="N591">
        <f>$C591*N590</f>
        <v/>
      </c>
      <c r="O591">
        <f>$C591*O590</f>
        <v/>
      </c>
      <c r="P591">
        <f>$C591*P590</f>
        <v/>
      </c>
      <c r="Q591">
        <f>$C591*Q590</f>
        <v/>
      </c>
      <c r="R591">
        <f>$C591*R590</f>
        <v/>
      </c>
      <c r="S591">
        <f>$C591*S590</f>
        <v/>
      </c>
      <c r="T591">
        <f>$C591*T590</f>
        <v/>
      </c>
      <c r="U591">
        <f>$C591*U590</f>
        <v/>
      </c>
      <c r="V591">
        <f>$C591*V590</f>
        <v/>
      </c>
      <c r="W591">
        <f>$C591*W590</f>
        <v/>
      </c>
      <c r="X591">
        <f>$C591*X590</f>
        <v/>
      </c>
      <c r="Y591">
        <f>$C591*Y590</f>
        <v/>
      </c>
      <c r="Z591">
        <f>$C591*Z590</f>
        <v/>
      </c>
      <c r="AA591">
        <f>$C591*AA590</f>
        <v/>
      </c>
      <c r="AB591">
        <f>$C591*AB590</f>
        <v/>
      </c>
      <c r="AC591">
        <f>$C591*AC590</f>
        <v/>
      </c>
      <c r="AD591">
        <f>$C591*AD590</f>
        <v/>
      </c>
      <c r="AE591">
        <f>$C591*AE590</f>
        <v/>
      </c>
      <c r="AF591">
        <f>$C591*AF590</f>
        <v/>
      </c>
      <c r="AG591">
        <f>$C591*AG590</f>
        <v/>
      </c>
      <c r="AH591">
        <f>$C591*AH590</f>
        <v/>
      </c>
      <c r="AI591">
        <f>$C591*AI590</f>
        <v/>
      </c>
      <c r="AJ591">
        <f>$C591*AJ590</f>
        <v/>
      </c>
      <c r="AK591">
        <f>$C591*AK590</f>
        <v/>
      </c>
      <c r="AL591">
        <f>$C591*AL590</f>
        <v/>
      </c>
      <c r="AM591">
        <f>$C591*AM590</f>
        <v/>
      </c>
      <c r="AN591">
        <f>$C591*AN590</f>
        <v/>
      </c>
      <c r="AO591">
        <f>$C591*AO590</f>
        <v/>
      </c>
      <c r="AP591">
        <f>$C591*AP590</f>
        <v/>
      </c>
      <c r="AQ591">
        <f>$C591*AQ590</f>
        <v/>
      </c>
      <c r="AR591">
        <f>$C591*AR590</f>
        <v/>
      </c>
      <c r="AS591">
        <f>$C591*AS590</f>
        <v/>
      </c>
      <c r="AT591">
        <f>$C591*AT590</f>
        <v/>
      </c>
      <c r="AU591">
        <f>$C591*AU590</f>
        <v/>
      </c>
      <c r="AV591">
        <f>$C591*AV590</f>
        <v/>
      </c>
      <c r="AW591">
        <f>$C591*AW590</f>
        <v/>
      </c>
      <c r="AX591">
        <f>$C591*AX590</f>
        <v/>
      </c>
      <c r="AY591">
        <f>$C591*AY590</f>
        <v/>
      </c>
      <c r="AZ591">
        <f>$C591*AZ590</f>
        <v/>
      </c>
      <c r="BA591">
        <f>$C591*BA590</f>
        <v/>
      </c>
      <c r="BB591">
        <f>$C591*BB590</f>
        <v/>
      </c>
      <c r="BC591">
        <f>$C591*BC590</f>
        <v/>
      </c>
      <c r="BD591">
        <f>$C591*BD590</f>
        <v/>
      </c>
      <c r="BE591">
        <f>$C591*BE590</f>
        <v/>
      </c>
      <c r="BF591">
        <f>$C591*BF590</f>
        <v/>
      </c>
      <c r="BG591">
        <f>$C591*BG590</f>
        <v/>
      </c>
      <c r="BH591">
        <f>$C591*BH590</f>
        <v/>
      </c>
      <c r="BI591">
        <f>$C591*BI590</f>
        <v/>
      </c>
      <c r="BJ591">
        <f>$C591*BJ590</f>
        <v/>
      </c>
      <c r="BK591">
        <f>$C591*BK590</f>
        <v/>
      </c>
      <c r="BL591">
        <f>$C591*BL590</f>
        <v/>
      </c>
      <c r="BM591">
        <f>$C591*BM590</f>
        <v/>
      </c>
      <c r="BN591">
        <f>$C591*BN590</f>
        <v/>
      </c>
      <c r="BO591">
        <f>$C591*BO590</f>
        <v/>
      </c>
      <c r="BP591">
        <f>$C591*BP590</f>
        <v/>
      </c>
      <c r="BQ591">
        <f>$C591*BQ590</f>
        <v/>
      </c>
      <c r="BR591">
        <f>$C591*BR590</f>
        <v/>
      </c>
      <c r="BS591">
        <f>$C591*BS590</f>
        <v/>
      </c>
      <c r="BT591">
        <f>$C591*BT590</f>
        <v/>
      </c>
      <c r="BU591">
        <f>$C591*BU590</f>
        <v/>
      </c>
      <c r="BV591">
        <f>$C591*BV590</f>
        <v/>
      </c>
      <c r="BW591">
        <f>$C591*BW590</f>
        <v/>
      </c>
      <c r="BX591">
        <f>$C591*BX590</f>
        <v/>
      </c>
      <c r="BY591">
        <f>$C591*BY590</f>
        <v/>
      </c>
      <c r="BZ591">
        <f>$C591*BZ590</f>
        <v/>
      </c>
      <c r="CA591">
        <f>$C591*CA590</f>
        <v/>
      </c>
      <c r="CB591">
        <f>$C591*CB590</f>
        <v/>
      </c>
      <c r="CC591">
        <f>$C591*CC590</f>
        <v/>
      </c>
      <c r="CD591">
        <f>$C591*CD590</f>
        <v/>
      </c>
      <c r="CE591">
        <f>$C591*CE590</f>
        <v/>
      </c>
      <c r="CF591">
        <f>$C591*CF590</f>
        <v/>
      </c>
      <c r="CG591">
        <f>$C591*CG590</f>
        <v/>
      </c>
      <c r="CH591">
        <f>$C591*CH590</f>
        <v/>
      </c>
      <c r="CI591">
        <f>$C591*CI590</f>
        <v/>
      </c>
      <c r="CJ591">
        <f>$C591*CJ590</f>
        <v/>
      </c>
      <c r="CK591">
        <f>$C591*CK590</f>
        <v/>
      </c>
      <c r="CL591">
        <f>$C591*CL590</f>
        <v/>
      </c>
      <c r="CM591">
        <f>$C591*CM590</f>
        <v/>
      </c>
      <c r="CN591">
        <f>$C591*CN590</f>
        <v/>
      </c>
      <c r="CO591">
        <f>$C591*CO590</f>
        <v/>
      </c>
      <c r="CP591">
        <f>$C591*CP590</f>
        <v/>
      </c>
      <c r="CQ591">
        <f>$C591*CQ590</f>
        <v/>
      </c>
      <c r="CR591">
        <f>$C591*CR590</f>
        <v/>
      </c>
      <c r="CS591">
        <f>$C591*CS590</f>
        <v/>
      </c>
      <c r="CT591">
        <f>$C591*CT590</f>
        <v/>
      </c>
      <c r="CU591">
        <f>$C591*CU590</f>
        <v/>
      </c>
      <c r="CV591">
        <f>$C591*CV590</f>
        <v/>
      </c>
      <c r="CW591">
        <f>$C591*CW590</f>
        <v/>
      </c>
      <c r="CX591">
        <f>$C591*CX590</f>
        <v/>
      </c>
      <c r="CY591">
        <f>$C591*CY590</f>
        <v/>
      </c>
      <c r="CZ591">
        <f>$C591*CZ590</f>
        <v/>
      </c>
      <c r="DA591">
        <f>$C591*DA590</f>
        <v/>
      </c>
      <c r="DB591">
        <f>$C591*DB590</f>
        <v/>
      </c>
      <c r="DC591">
        <f>$C591*DC590</f>
        <v/>
      </c>
    </row>
    <row r="592">
      <c r="B592" t="inlineStr">
        <is>
          <t>TVS-833</t>
        </is>
      </c>
      <c r="C592" t="inlineStr">
        <is>
          <t>No. of batches</t>
        </is>
      </c>
      <c r="D592">
        <f>IFERROR(INDEX(PP_Grid[#Data],$DD592,2),0)</f>
        <v/>
      </c>
      <c r="E592">
        <f>IFERROR(INDEX(PP_Grid[#Data],$DD592,3),0)</f>
        <v/>
      </c>
      <c r="F592">
        <f>IFERROR(INDEX(PP_Grid[#Data],$DD592,4),0)</f>
        <v/>
      </c>
      <c r="G592">
        <f>IFERROR(INDEX(PP_Grid[#Data],$DD592,5),0)</f>
        <v/>
      </c>
      <c r="H592">
        <f>IFERROR(INDEX(PP_Grid[#Data],$DD592,6),0)</f>
        <v/>
      </c>
      <c r="I592">
        <f>IFERROR(INDEX(PP_Grid[#Data],$DD592,7),0)</f>
        <v/>
      </c>
      <c r="J592">
        <f>IFERROR(INDEX(PP_Grid[#Data],$DD592,8),0)</f>
        <v/>
      </c>
      <c r="K592">
        <f>IFERROR(INDEX(PP_Grid[#Data],$DD592,9),0)</f>
        <v/>
      </c>
      <c r="L592">
        <f>IFERROR(INDEX(PP_Grid[#Data],$DD592,10),0)</f>
        <v/>
      </c>
      <c r="M592">
        <f>IFERROR(INDEX(PP_Grid[#Data],$DD592,11),0)</f>
        <v/>
      </c>
      <c r="N592">
        <f>IFERROR(INDEX(PP_Grid[#Data],$DD592,12),0)</f>
        <v/>
      </c>
      <c r="O592">
        <f>IFERROR(INDEX(PP_Grid[#Data],$DD592,13),0)</f>
        <v/>
      </c>
      <c r="P592">
        <f>IFERROR(INDEX(PP_Grid[#Data],$DD592,14),0)</f>
        <v/>
      </c>
      <c r="Q592">
        <f>IFERROR(INDEX(PP_Grid[#Data],$DD592,15),0)</f>
        <v/>
      </c>
      <c r="R592">
        <f>IFERROR(INDEX(PP_Grid[#Data],$DD592,16),0)</f>
        <v/>
      </c>
      <c r="S592">
        <f>IFERROR(INDEX(PP_Grid[#Data],$DD592,17),0)</f>
        <v/>
      </c>
      <c r="T592">
        <f>IFERROR(INDEX(PP_Grid[#Data],$DD592,18),0)</f>
        <v/>
      </c>
      <c r="U592">
        <f>IFERROR(INDEX(PP_Grid[#Data],$DD592,19),0)</f>
        <v/>
      </c>
      <c r="V592">
        <f>IFERROR(INDEX(PP_Grid[#Data],$DD592,20),0)</f>
        <v/>
      </c>
      <c r="W592">
        <f>IFERROR(INDEX(PP_Grid[#Data],$DD592,21),0)</f>
        <v/>
      </c>
      <c r="X592">
        <f>IFERROR(INDEX(PP_Grid[#Data],$DD592,22),0)</f>
        <v/>
      </c>
      <c r="Y592">
        <f>IFERROR(INDEX(PP_Grid[#Data],$DD592,23),0)</f>
        <v/>
      </c>
      <c r="Z592">
        <f>IFERROR(INDEX(PP_Grid[#Data],$DD592,24),0)</f>
        <v/>
      </c>
      <c r="AA592">
        <f>IFERROR(INDEX(PP_Grid[#Data],$DD592,25),0)</f>
        <v/>
      </c>
      <c r="AB592">
        <f>IFERROR(INDEX(PP_Grid[#Data],$DD592,26),0)</f>
        <v/>
      </c>
      <c r="AC592">
        <f>IFERROR(INDEX(PP_Grid[#Data],$DD592,27),0)</f>
        <v/>
      </c>
      <c r="AD592">
        <f>IFERROR(INDEX(PP_Grid[#Data],$DD592,28),0)</f>
        <v/>
      </c>
      <c r="AE592">
        <f>IFERROR(INDEX(PP_Grid[#Data],$DD592,29),0)</f>
        <v/>
      </c>
      <c r="AF592">
        <f>IFERROR(INDEX(PP_Grid[#Data],$DD592,30),0)</f>
        <v/>
      </c>
      <c r="AG592">
        <f>IFERROR(INDEX(PP_Grid[#Data],$DD592,31),0)</f>
        <v/>
      </c>
      <c r="AH592">
        <f>IFERROR(INDEX(PP_Grid[#Data],$DD592,32),0)</f>
        <v/>
      </c>
      <c r="AI592">
        <f>IFERROR(INDEX(PP_Grid[#Data],$DD592,33),0)</f>
        <v/>
      </c>
      <c r="AJ592">
        <f>IFERROR(INDEX(PP_Grid[#Data],$DD592,34),0)</f>
        <v/>
      </c>
      <c r="AK592">
        <f>IFERROR(INDEX(PP_Grid[#Data],$DD592,35),0)</f>
        <v/>
      </c>
      <c r="AL592">
        <f>IFERROR(INDEX(PP_Grid[#Data],$DD592,36),0)</f>
        <v/>
      </c>
      <c r="AM592">
        <f>IFERROR(INDEX(PP_Grid[#Data],$DD592,37),0)</f>
        <v/>
      </c>
      <c r="AN592">
        <f>IFERROR(INDEX(PP_Grid[#Data],$DD592,38),0)</f>
        <v/>
      </c>
      <c r="AO592">
        <f>IFERROR(INDEX(PP_Grid[#Data],$DD592,39),0)</f>
        <v/>
      </c>
      <c r="AP592">
        <f>IFERROR(INDEX(PP_Grid[#Data],$DD592,40),0)</f>
        <v/>
      </c>
      <c r="AQ592">
        <f>IFERROR(INDEX(PP_Grid[#Data],$DD592,41),0)</f>
        <v/>
      </c>
      <c r="AR592">
        <f>IFERROR(INDEX(PP_Grid[#Data],$DD592,42),0)</f>
        <v/>
      </c>
      <c r="AS592">
        <f>IFERROR(INDEX(PP_Grid[#Data],$DD592,43),0)</f>
        <v/>
      </c>
      <c r="AT592">
        <f>IFERROR(INDEX(PP_Grid[#Data],$DD592,44),0)</f>
        <v/>
      </c>
      <c r="AU592">
        <f>IFERROR(INDEX(PP_Grid[#Data],$DD592,45),0)</f>
        <v/>
      </c>
      <c r="AV592">
        <f>IFERROR(INDEX(PP_Grid[#Data],$DD592,46),0)</f>
        <v/>
      </c>
      <c r="AW592">
        <f>IFERROR(INDEX(PP_Grid[#Data],$DD592,47),0)</f>
        <v/>
      </c>
      <c r="AX592">
        <f>IFERROR(INDEX(PP_Grid[#Data],$DD592,48),0)</f>
        <v/>
      </c>
      <c r="AY592">
        <f>IFERROR(INDEX(PP_Grid[#Data],$DD592,49),0)</f>
        <v/>
      </c>
      <c r="AZ592">
        <f>IFERROR(INDEX(PP_Grid[#Data],$DD592,50),0)</f>
        <v/>
      </c>
      <c r="BA592">
        <f>IFERROR(INDEX(PP_Grid[#Data],$DD592,51),0)</f>
        <v/>
      </c>
      <c r="BB592">
        <f>IFERROR(INDEX(PP_Grid[#Data],$DD592,52),0)</f>
        <v/>
      </c>
      <c r="BC592">
        <f>IFERROR(INDEX(PP_Grid[#Data],$DD592,53),0)</f>
        <v/>
      </c>
      <c r="BD592">
        <f>IFERROR(INDEX(PP_Grid[#Data],$DD592,54),0)</f>
        <v/>
      </c>
      <c r="BE592">
        <f>IFERROR(INDEX(PP_Grid[#Data],$DD592,55),0)</f>
        <v/>
      </c>
      <c r="BF592">
        <f>IFERROR(INDEX(PP_Grid[#Data],$DD592,56),0)</f>
        <v/>
      </c>
      <c r="BG592">
        <f>IFERROR(INDEX(PP_Grid[#Data],$DD592,57),0)</f>
        <v/>
      </c>
      <c r="BH592">
        <f>IFERROR(INDEX(PP_Grid[#Data],$DD592,58),0)</f>
        <v/>
      </c>
      <c r="BI592">
        <f>IFERROR(INDEX(PP_Grid[#Data],$DD592,59),0)</f>
        <v/>
      </c>
      <c r="BJ592">
        <f>IFERROR(INDEX(PP_Grid[#Data],$DD592,60),0)</f>
        <v/>
      </c>
      <c r="BK592">
        <f>IFERROR(INDEX(PP_Grid[#Data],$DD592,61),0)</f>
        <v/>
      </c>
      <c r="BL592">
        <f>IFERROR(INDEX(PP_Grid[#Data],$DD592,62),0)</f>
        <v/>
      </c>
      <c r="BM592">
        <f>IFERROR(INDEX(PP_Grid[#Data],$DD592,63),0)</f>
        <v/>
      </c>
      <c r="BN592">
        <f>IFERROR(INDEX(PP_Grid[#Data],$DD592,64),0)</f>
        <v/>
      </c>
      <c r="BO592">
        <f>IFERROR(INDEX(PP_Grid[#Data],$DD592,65),0)</f>
        <v/>
      </c>
      <c r="BP592">
        <f>IFERROR(INDEX(PP_Grid[#Data],$DD592,66),0)</f>
        <v/>
      </c>
      <c r="BQ592">
        <f>IFERROR(INDEX(PP_Grid[#Data],$DD592,67),0)</f>
        <v/>
      </c>
      <c r="BR592">
        <f>IFERROR(INDEX(PP_Grid[#Data],$DD592,68),0)</f>
        <v/>
      </c>
      <c r="BS592">
        <f>IFERROR(INDEX(PP_Grid[#Data],$DD592,69),0)</f>
        <v/>
      </c>
      <c r="BT592">
        <f>IFERROR(INDEX(PP_Grid[#Data],$DD592,70),0)</f>
        <v/>
      </c>
      <c r="BU592">
        <f>IFERROR(INDEX(PP_Grid[#Data],$DD592,71),0)</f>
        <v/>
      </c>
      <c r="BV592">
        <f>IFERROR(INDEX(PP_Grid[#Data],$DD592,72),0)</f>
        <v/>
      </c>
      <c r="BW592">
        <f>IFERROR(INDEX(PP_Grid[#Data],$DD592,73),0)</f>
        <v/>
      </c>
      <c r="BX592">
        <f>IFERROR(INDEX(PP_Grid[#Data],$DD592,74),0)</f>
        <v/>
      </c>
      <c r="BY592">
        <f>IFERROR(INDEX(PP_Grid[#Data],$DD592,75),0)</f>
        <v/>
      </c>
      <c r="BZ592">
        <f>IFERROR(INDEX(PP_Grid[#Data],$DD592,76),0)</f>
        <v/>
      </c>
      <c r="CA592">
        <f>IFERROR(INDEX(PP_Grid[#Data],$DD592,77),0)</f>
        <v/>
      </c>
      <c r="CB592">
        <f>IFERROR(INDEX(PP_Grid[#Data],$DD592,78),0)</f>
        <v/>
      </c>
      <c r="CC592">
        <f>IFERROR(INDEX(PP_Grid[#Data],$DD592,79),0)</f>
        <v/>
      </c>
      <c r="CD592">
        <f>IFERROR(INDEX(PP_Grid[#Data],$DD592,80),0)</f>
        <v/>
      </c>
      <c r="CE592">
        <f>IFERROR(INDEX(PP_Grid[#Data],$DD592,81),0)</f>
        <v/>
      </c>
      <c r="CF592">
        <f>IFERROR(INDEX(PP_Grid[#Data],$DD592,82),0)</f>
        <v/>
      </c>
      <c r="CG592">
        <f>IFERROR(INDEX(PP_Grid[#Data],$DD592,83),0)</f>
        <v/>
      </c>
      <c r="CH592">
        <f>IFERROR(INDEX(PP_Grid[#Data],$DD592,84),0)</f>
        <v/>
      </c>
      <c r="CI592">
        <f>IFERROR(INDEX(PP_Grid[#Data],$DD592,85),0)</f>
        <v/>
      </c>
      <c r="CJ592">
        <f>IFERROR(INDEX(PP_Grid[#Data],$DD592,86),0)</f>
        <v/>
      </c>
      <c r="CK592">
        <f>IFERROR(INDEX(PP_Grid[#Data],$DD592,87),0)</f>
        <v/>
      </c>
      <c r="CL592">
        <f>IFERROR(INDEX(PP_Grid[#Data],$DD592,88),0)</f>
        <v/>
      </c>
      <c r="CM592">
        <f>IFERROR(INDEX(PP_Grid[#Data],$DD592,89),0)</f>
        <v/>
      </c>
      <c r="CN592">
        <f>IFERROR(INDEX(PP_Grid[#Data],$DD592,90),0)</f>
        <v/>
      </c>
      <c r="CO592">
        <f>IFERROR(INDEX(PP_Grid[#Data],$DD592,91),0)</f>
        <v/>
      </c>
      <c r="CP592">
        <f>IFERROR(INDEX(PP_Grid[#Data],$DD592,92),0)</f>
        <v/>
      </c>
      <c r="CQ592">
        <f>IFERROR(INDEX(PP_Grid[#Data],$DD592,93),0)</f>
        <v/>
      </c>
      <c r="CR592">
        <f>IFERROR(INDEX(PP_Grid[#Data],$DD592,94),0)</f>
        <v/>
      </c>
      <c r="CS592">
        <f>IFERROR(INDEX(PP_Grid[#Data],$DD592,95),0)</f>
        <v/>
      </c>
      <c r="CT592">
        <f>IFERROR(INDEX(PP_Grid[#Data],$DD592,96),0)</f>
        <v/>
      </c>
      <c r="CU592">
        <f>IFERROR(INDEX(PP_Grid[#Data],$DD592,97),0)</f>
        <v/>
      </c>
      <c r="CV592">
        <f>IFERROR(INDEX(PP_Grid[#Data],$DD592,98),0)</f>
        <v/>
      </c>
      <c r="CW592">
        <f>IFERROR(INDEX(PP_Grid[#Data],$DD592,99),0)</f>
        <v/>
      </c>
      <c r="CX592">
        <f>IFERROR(INDEX(PP_Grid[#Data],$DD592,100),0)</f>
        <v/>
      </c>
      <c r="CY592">
        <f>IFERROR(INDEX(PP_Grid[#Data],$DD592,101),0)</f>
        <v/>
      </c>
      <c r="CZ592">
        <f>IFERROR(INDEX(PP_Grid[#Data],$DD592,102),0)</f>
        <v/>
      </c>
      <c r="DA592">
        <f>IFERROR(INDEX(PP_Grid[#Data],$DD592,103),0)</f>
        <v/>
      </c>
      <c r="DB592">
        <f>IFERROR(INDEX(PP_Grid[#Data],$DD592,104),0)</f>
        <v/>
      </c>
      <c r="DC592">
        <f>IFERROR(INDEX(PP_Grid[#Data],$DD592,105),0)</f>
        <v/>
      </c>
      <c r="DD592" s="7">
        <f>IFERROR(MATCH($B592,PP_Grid[Intermediate],0),99999)</f>
        <v/>
      </c>
    </row>
    <row r="593">
      <c r="B593" t="inlineStr">
        <is>
          <t>使用量(kg)</t>
        </is>
      </c>
      <c r="C593">
        <f>SUMIFS(M_BOM[RM_Qty_Per_Batch],M_BOM[Intermediate],$B592,M_BOM[Part Name],$A589)</f>
        <v/>
      </c>
      <c r="D593">
        <f>$C593*D592</f>
        <v/>
      </c>
      <c r="E593">
        <f>$C593*E592</f>
        <v/>
      </c>
      <c r="F593">
        <f>$C593*F592</f>
        <v/>
      </c>
      <c r="G593">
        <f>$C593*G592</f>
        <v/>
      </c>
      <c r="H593">
        <f>$C593*H592</f>
        <v/>
      </c>
      <c r="I593">
        <f>$C593*I592</f>
        <v/>
      </c>
      <c r="J593">
        <f>$C593*J592</f>
        <v/>
      </c>
      <c r="K593">
        <f>$C593*K592</f>
        <v/>
      </c>
      <c r="L593">
        <f>$C593*L592</f>
        <v/>
      </c>
      <c r="M593">
        <f>$C593*M592</f>
        <v/>
      </c>
      <c r="N593">
        <f>$C593*N592</f>
        <v/>
      </c>
      <c r="O593">
        <f>$C593*O592</f>
        <v/>
      </c>
      <c r="P593">
        <f>$C593*P592</f>
        <v/>
      </c>
      <c r="Q593">
        <f>$C593*Q592</f>
        <v/>
      </c>
      <c r="R593">
        <f>$C593*R592</f>
        <v/>
      </c>
      <c r="S593">
        <f>$C593*S592</f>
        <v/>
      </c>
      <c r="T593">
        <f>$C593*T592</f>
        <v/>
      </c>
      <c r="U593">
        <f>$C593*U592</f>
        <v/>
      </c>
      <c r="V593">
        <f>$C593*V592</f>
        <v/>
      </c>
      <c r="W593">
        <f>$C593*W592</f>
        <v/>
      </c>
      <c r="X593">
        <f>$C593*X592</f>
        <v/>
      </c>
      <c r="Y593">
        <f>$C593*Y592</f>
        <v/>
      </c>
      <c r="Z593">
        <f>$C593*Z592</f>
        <v/>
      </c>
      <c r="AA593">
        <f>$C593*AA592</f>
        <v/>
      </c>
      <c r="AB593">
        <f>$C593*AB592</f>
        <v/>
      </c>
      <c r="AC593">
        <f>$C593*AC592</f>
        <v/>
      </c>
      <c r="AD593">
        <f>$C593*AD592</f>
        <v/>
      </c>
      <c r="AE593">
        <f>$C593*AE592</f>
        <v/>
      </c>
      <c r="AF593">
        <f>$C593*AF592</f>
        <v/>
      </c>
      <c r="AG593">
        <f>$C593*AG592</f>
        <v/>
      </c>
      <c r="AH593">
        <f>$C593*AH592</f>
        <v/>
      </c>
      <c r="AI593">
        <f>$C593*AI592</f>
        <v/>
      </c>
      <c r="AJ593">
        <f>$C593*AJ592</f>
        <v/>
      </c>
      <c r="AK593">
        <f>$C593*AK592</f>
        <v/>
      </c>
      <c r="AL593">
        <f>$C593*AL592</f>
        <v/>
      </c>
      <c r="AM593">
        <f>$C593*AM592</f>
        <v/>
      </c>
      <c r="AN593">
        <f>$C593*AN592</f>
        <v/>
      </c>
      <c r="AO593">
        <f>$C593*AO592</f>
        <v/>
      </c>
      <c r="AP593">
        <f>$C593*AP592</f>
        <v/>
      </c>
      <c r="AQ593">
        <f>$C593*AQ592</f>
        <v/>
      </c>
      <c r="AR593">
        <f>$C593*AR592</f>
        <v/>
      </c>
      <c r="AS593">
        <f>$C593*AS592</f>
        <v/>
      </c>
      <c r="AT593">
        <f>$C593*AT592</f>
        <v/>
      </c>
      <c r="AU593">
        <f>$C593*AU592</f>
        <v/>
      </c>
      <c r="AV593">
        <f>$C593*AV592</f>
        <v/>
      </c>
      <c r="AW593">
        <f>$C593*AW592</f>
        <v/>
      </c>
      <c r="AX593">
        <f>$C593*AX592</f>
        <v/>
      </c>
      <c r="AY593">
        <f>$C593*AY592</f>
        <v/>
      </c>
      <c r="AZ593">
        <f>$C593*AZ592</f>
        <v/>
      </c>
      <c r="BA593">
        <f>$C593*BA592</f>
        <v/>
      </c>
      <c r="BB593">
        <f>$C593*BB592</f>
        <v/>
      </c>
      <c r="BC593">
        <f>$C593*BC592</f>
        <v/>
      </c>
      <c r="BD593">
        <f>$C593*BD592</f>
        <v/>
      </c>
      <c r="BE593">
        <f>$C593*BE592</f>
        <v/>
      </c>
      <c r="BF593">
        <f>$C593*BF592</f>
        <v/>
      </c>
      <c r="BG593">
        <f>$C593*BG592</f>
        <v/>
      </c>
      <c r="BH593">
        <f>$C593*BH592</f>
        <v/>
      </c>
      <c r="BI593">
        <f>$C593*BI592</f>
        <v/>
      </c>
      <c r="BJ593">
        <f>$C593*BJ592</f>
        <v/>
      </c>
      <c r="BK593">
        <f>$C593*BK592</f>
        <v/>
      </c>
      <c r="BL593">
        <f>$C593*BL592</f>
        <v/>
      </c>
      <c r="BM593">
        <f>$C593*BM592</f>
        <v/>
      </c>
      <c r="BN593">
        <f>$C593*BN592</f>
        <v/>
      </c>
      <c r="BO593">
        <f>$C593*BO592</f>
        <v/>
      </c>
      <c r="BP593">
        <f>$C593*BP592</f>
        <v/>
      </c>
      <c r="BQ593">
        <f>$C593*BQ592</f>
        <v/>
      </c>
      <c r="BR593">
        <f>$C593*BR592</f>
        <v/>
      </c>
      <c r="BS593">
        <f>$C593*BS592</f>
        <v/>
      </c>
      <c r="BT593">
        <f>$C593*BT592</f>
        <v/>
      </c>
      <c r="BU593">
        <f>$C593*BU592</f>
        <v/>
      </c>
      <c r="BV593">
        <f>$C593*BV592</f>
        <v/>
      </c>
      <c r="BW593">
        <f>$C593*BW592</f>
        <v/>
      </c>
      <c r="BX593">
        <f>$C593*BX592</f>
        <v/>
      </c>
      <c r="BY593">
        <f>$C593*BY592</f>
        <v/>
      </c>
      <c r="BZ593">
        <f>$C593*BZ592</f>
        <v/>
      </c>
      <c r="CA593">
        <f>$C593*CA592</f>
        <v/>
      </c>
      <c r="CB593">
        <f>$C593*CB592</f>
        <v/>
      </c>
      <c r="CC593">
        <f>$C593*CC592</f>
        <v/>
      </c>
      <c r="CD593">
        <f>$C593*CD592</f>
        <v/>
      </c>
      <c r="CE593">
        <f>$C593*CE592</f>
        <v/>
      </c>
      <c r="CF593">
        <f>$C593*CF592</f>
        <v/>
      </c>
      <c r="CG593">
        <f>$C593*CG592</f>
        <v/>
      </c>
      <c r="CH593">
        <f>$C593*CH592</f>
        <v/>
      </c>
      <c r="CI593">
        <f>$C593*CI592</f>
        <v/>
      </c>
      <c r="CJ593">
        <f>$C593*CJ592</f>
        <v/>
      </c>
      <c r="CK593">
        <f>$C593*CK592</f>
        <v/>
      </c>
      <c r="CL593">
        <f>$C593*CL592</f>
        <v/>
      </c>
      <c r="CM593">
        <f>$C593*CM592</f>
        <v/>
      </c>
      <c r="CN593">
        <f>$C593*CN592</f>
        <v/>
      </c>
      <c r="CO593">
        <f>$C593*CO592</f>
        <v/>
      </c>
      <c r="CP593">
        <f>$C593*CP592</f>
        <v/>
      </c>
      <c r="CQ593">
        <f>$C593*CQ592</f>
        <v/>
      </c>
      <c r="CR593">
        <f>$C593*CR592</f>
        <v/>
      </c>
      <c r="CS593">
        <f>$C593*CS592</f>
        <v/>
      </c>
      <c r="CT593">
        <f>$C593*CT592</f>
        <v/>
      </c>
      <c r="CU593">
        <f>$C593*CU592</f>
        <v/>
      </c>
      <c r="CV593">
        <f>$C593*CV592</f>
        <v/>
      </c>
      <c r="CW593">
        <f>$C593*CW592</f>
        <v/>
      </c>
      <c r="CX593">
        <f>$C593*CX592</f>
        <v/>
      </c>
      <c r="CY593">
        <f>$C593*CY592</f>
        <v/>
      </c>
      <c r="CZ593">
        <f>$C593*CZ592</f>
        <v/>
      </c>
      <c r="DA593">
        <f>$C593*DA592</f>
        <v/>
      </c>
      <c r="DB593">
        <f>$C593*DB592</f>
        <v/>
      </c>
      <c r="DC593">
        <f>$C593*DC592</f>
        <v/>
      </c>
    </row>
    <row r="594">
      <c r="B594" t="inlineStr">
        <is>
          <t>TSP-1449</t>
        </is>
      </c>
      <c r="C594" t="inlineStr">
        <is>
          <t>No. of batches</t>
        </is>
      </c>
      <c r="D594">
        <f>IFERROR(INDEX(PP_Grid[#Data],$DD594,2),0)</f>
        <v/>
      </c>
      <c r="E594">
        <f>IFERROR(INDEX(PP_Grid[#Data],$DD594,3),0)</f>
        <v/>
      </c>
      <c r="F594">
        <f>IFERROR(INDEX(PP_Grid[#Data],$DD594,4),0)</f>
        <v/>
      </c>
      <c r="G594">
        <f>IFERROR(INDEX(PP_Grid[#Data],$DD594,5),0)</f>
        <v/>
      </c>
      <c r="H594">
        <f>IFERROR(INDEX(PP_Grid[#Data],$DD594,6),0)</f>
        <v/>
      </c>
      <c r="I594">
        <f>IFERROR(INDEX(PP_Grid[#Data],$DD594,7),0)</f>
        <v/>
      </c>
      <c r="J594">
        <f>IFERROR(INDEX(PP_Grid[#Data],$DD594,8),0)</f>
        <v/>
      </c>
      <c r="K594">
        <f>IFERROR(INDEX(PP_Grid[#Data],$DD594,9),0)</f>
        <v/>
      </c>
      <c r="L594">
        <f>IFERROR(INDEX(PP_Grid[#Data],$DD594,10),0)</f>
        <v/>
      </c>
      <c r="M594">
        <f>IFERROR(INDEX(PP_Grid[#Data],$DD594,11),0)</f>
        <v/>
      </c>
      <c r="N594">
        <f>IFERROR(INDEX(PP_Grid[#Data],$DD594,12),0)</f>
        <v/>
      </c>
      <c r="O594">
        <f>IFERROR(INDEX(PP_Grid[#Data],$DD594,13),0)</f>
        <v/>
      </c>
      <c r="P594">
        <f>IFERROR(INDEX(PP_Grid[#Data],$DD594,14),0)</f>
        <v/>
      </c>
      <c r="Q594">
        <f>IFERROR(INDEX(PP_Grid[#Data],$DD594,15),0)</f>
        <v/>
      </c>
      <c r="R594">
        <f>IFERROR(INDEX(PP_Grid[#Data],$DD594,16),0)</f>
        <v/>
      </c>
      <c r="S594">
        <f>IFERROR(INDEX(PP_Grid[#Data],$DD594,17),0)</f>
        <v/>
      </c>
      <c r="T594">
        <f>IFERROR(INDEX(PP_Grid[#Data],$DD594,18),0)</f>
        <v/>
      </c>
      <c r="U594">
        <f>IFERROR(INDEX(PP_Grid[#Data],$DD594,19),0)</f>
        <v/>
      </c>
      <c r="V594">
        <f>IFERROR(INDEX(PP_Grid[#Data],$DD594,20),0)</f>
        <v/>
      </c>
      <c r="W594">
        <f>IFERROR(INDEX(PP_Grid[#Data],$DD594,21),0)</f>
        <v/>
      </c>
      <c r="X594">
        <f>IFERROR(INDEX(PP_Grid[#Data],$DD594,22),0)</f>
        <v/>
      </c>
      <c r="Y594">
        <f>IFERROR(INDEX(PP_Grid[#Data],$DD594,23),0)</f>
        <v/>
      </c>
      <c r="Z594">
        <f>IFERROR(INDEX(PP_Grid[#Data],$DD594,24),0)</f>
        <v/>
      </c>
      <c r="AA594">
        <f>IFERROR(INDEX(PP_Grid[#Data],$DD594,25),0)</f>
        <v/>
      </c>
      <c r="AB594">
        <f>IFERROR(INDEX(PP_Grid[#Data],$DD594,26),0)</f>
        <v/>
      </c>
      <c r="AC594">
        <f>IFERROR(INDEX(PP_Grid[#Data],$DD594,27),0)</f>
        <v/>
      </c>
      <c r="AD594">
        <f>IFERROR(INDEX(PP_Grid[#Data],$DD594,28),0)</f>
        <v/>
      </c>
      <c r="AE594">
        <f>IFERROR(INDEX(PP_Grid[#Data],$DD594,29),0)</f>
        <v/>
      </c>
      <c r="AF594">
        <f>IFERROR(INDEX(PP_Grid[#Data],$DD594,30),0)</f>
        <v/>
      </c>
      <c r="AG594">
        <f>IFERROR(INDEX(PP_Grid[#Data],$DD594,31),0)</f>
        <v/>
      </c>
      <c r="AH594">
        <f>IFERROR(INDEX(PP_Grid[#Data],$DD594,32),0)</f>
        <v/>
      </c>
      <c r="AI594">
        <f>IFERROR(INDEX(PP_Grid[#Data],$DD594,33),0)</f>
        <v/>
      </c>
      <c r="AJ594">
        <f>IFERROR(INDEX(PP_Grid[#Data],$DD594,34),0)</f>
        <v/>
      </c>
      <c r="AK594">
        <f>IFERROR(INDEX(PP_Grid[#Data],$DD594,35),0)</f>
        <v/>
      </c>
      <c r="AL594">
        <f>IFERROR(INDEX(PP_Grid[#Data],$DD594,36),0)</f>
        <v/>
      </c>
      <c r="AM594">
        <f>IFERROR(INDEX(PP_Grid[#Data],$DD594,37),0)</f>
        <v/>
      </c>
      <c r="AN594">
        <f>IFERROR(INDEX(PP_Grid[#Data],$DD594,38),0)</f>
        <v/>
      </c>
      <c r="AO594">
        <f>IFERROR(INDEX(PP_Grid[#Data],$DD594,39),0)</f>
        <v/>
      </c>
      <c r="AP594">
        <f>IFERROR(INDEX(PP_Grid[#Data],$DD594,40),0)</f>
        <v/>
      </c>
      <c r="AQ594">
        <f>IFERROR(INDEX(PP_Grid[#Data],$DD594,41),0)</f>
        <v/>
      </c>
      <c r="AR594">
        <f>IFERROR(INDEX(PP_Grid[#Data],$DD594,42),0)</f>
        <v/>
      </c>
      <c r="AS594">
        <f>IFERROR(INDEX(PP_Grid[#Data],$DD594,43),0)</f>
        <v/>
      </c>
      <c r="AT594">
        <f>IFERROR(INDEX(PP_Grid[#Data],$DD594,44),0)</f>
        <v/>
      </c>
      <c r="AU594">
        <f>IFERROR(INDEX(PP_Grid[#Data],$DD594,45),0)</f>
        <v/>
      </c>
      <c r="AV594">
        <f>IFERROR(INDEX(PP_Grid[#Data],$DD594,46),0)</f>
        <v/>
      </c>
      <c r="AW594">
        <f>IFERROR(INDEX(PP_Grid[#Data],$DD594,47),0)</f>
        <v/>
      </c>
      <c r="AX594">
        <f>IFERROR(INDEX(PP_Grid[#Data],$DD594,48),0)</f>
        <v/>
      </c>
      <c r="AY594">
        <f>IFERROR(INDEX(PP_Grid[#Data],$DD594,49),0)</f>
        <v/>
      </c>
      <c r="AZ594">
        <f>IFERROR(INDEX(PP_Grid[#Data],$DD594,50),0)</f>
        <v/>
      </c>
      <c r="BA594">
        <f>IFERROR(INDEX(PP_Grid[#Data],$DD594,51),0)</f>
        <v/>
      </c>
      <c r="BB594">
        <f>IFERROR(INDEX(PP_Grid[#Data],$DD594,52),0)</f>
        <v/>
      </c>
      <c r="BC594">
        <f>IFERROR(INDEX(PP_Grid[#Data],$DD594,53),0)</f>
        <v/>
      </c>
      <c r="BD594">
        <f>IFERROR(INDEX(PP_Grid[#Data],$DD594,54),0)</f>
        <v/>
      </c>
      <c r="BE594">
        <f>IFERROR(INDEX(PP_Grid[#Data],$DD594,55),0)</f>
        <v/>
      </c>
      <c r="BF594">
        <f>IFERROR(INDEX(PP_Grid[#Data],$DD594,56),0)</f>
        <v/>
      </c>
      <c r="BG594">
        <f>IFERROR(INDEX(PP_Grid[#Data],$DD594,57),0)</f>
        <v/>
      </c>
      <c r="BH594">
        <f>IFERROR(INDEX(PP_Grid[#Data],$DD594,58),0)</f>
        <v/>
      </c>
      <c r="BI594">
        <f>IFERROR(INDEX(PP_Grid[#Data],$DD594,59),0)</f>
        <v/>
      </c>
      <c r="BJ594">
        <f>IFERROR(INDEX(PP_Grid[#Data],$DD594,60),0)</f>
        <v/>
      </c>
      <c r="BK594">
        <f>IFERROR(INDEX(PP_Grid[#Data],$DD594,61),0)</f>
        <v/>
      </c>
      <c r="BL594">
        <f>IFERROR(INDEX(PP_Grid[#Data],$DD594,62),0)</f>
        <v/>
      </c>
      <c r="BM594">
        <f>IFERROR(INDEX(PP_Grid[#Data],$DD594,63),0)</f>
        <v/>
      </c>
      <c r="BN594">
        <f>IFERROR(INDEX(PP_Grid[#Data],$DD594,64),0)</f>
        <v/>
      </c>
      <c r="BO594">
        <f>IFERROR(INDEX(PP_Grid[#Data],$DD594,65),0)</f>
        <v/>
      </c>
      <c r="BP594">
        <f>IFERROR(INDEX(PP_Grid[#Data],$DD594,66),0)</f>
        <v/>
      </c>
      <c r="BQ594">
        <f>IFERROR(INDEX(PP_Grid[#Data],$DD594,67),0)</f>
        <v/>
      </c>
      <c r="BR594">
        <f>IFERROR(INDEX(PP_Grid[#Data],$DD594,68),0)</f>
        <v/>
      </c>
      <c r="BS594">
        <f>IFERROR(INDEX(PP_Grid[#Data],$DD594,69),0)</f>
        <v/>
      </c>
      <c r="BT594">
        <f>IFERROR(INDEX(PP_Grid[#Data],$DD594,70),0)</f>
        <v/>
      </c>
      <c r="BU594">
        <f>IFERROR(INDEX(PP_Grid[#Data],$DD594,71),0)</f>
        <v/>
      </c>
      <c r="BV594">
        <f>IFERROR(INDEX(PP_Grid[#Data],$DD594,72),0)</f>
        <v/>
      </c>
      <c r="BW594">
        <f>IFERROR(INDEX(PP_Grid[#Data],$DD594,73),0)</f>
        <v/>
      </c>
      <c r="BX594">
        <f>IFERROR(INDEX(PP_Grid[#Data],$DD594,74),0)</f>
        <v/>
      </c>
      <c r="BY594">
        <f>IFERROR(INDEX(PP_Grid[#Data],$DD594,75),0)</f>
        <v/>
      </c>
      <c r="BZ594">
        <f>IFERROR(INDEX(PP_Grid[#Data],$DD594,76),0)</f>
        <v/>
      </c>
      <c r="CA594">
        <f>IFERROR(INDEX(PP_Grid[#Data],$DD594,77),0)</f>
        <v/>
      </c>
      <c r="CB594">
        <f>IFERROR(INDEX(PP_Grid[#Data],$DD594,78),0)</f>
        <v/>
      </c>
      <c r="CC594">
        <f>IFERROR(INDEX(PP_Grid[#Data],$DD594,79),0)</f>
        <v/>
      </c>
      <c r="CD594">
        <f>IFERROR(INDEX(PP_Grid[#Data],$DD594,80),0)</f>
        <v/>
      </c>
      <c r="CE594">
        <f>IFERROR(INDEX(PP_Grid[#Data],$DD594,81),0)</f>
        <v/>
      </c>
      <c r="CF594">
        <f>IFERROR(INDEX(PP_Grid[#Data],$DD594,82),0)</f>
        <v/>
      </c>
      <c r="CG594">
        <f>IFERROR(INDEX(PP_Grid[#Data],$DD594,83),0)</f>
        <v/>
      </c>
      <c r="CH594">
        <f>IFERROR(INDEX(PP_Grid[#Data],$DD594,84),0)</f>
        <v/>
      </c>
      <c r="CI594">
        <f>IFERROR(INDEX(PP_Grid[#Data],$DD594,85),0)</f>
        <v/>
      </c>
      <c r="CJ594">
        <f>IFERROR(INDEX(PP_Grid[#Data],$DD594,86),0)</f>
        <v/>
      </c>
      <c r="CK594">
        <f>IFERROR(INDEX(PP_Grid[#Data],$DD594,87),0)</f>
        <v/>
      </c>
      <c r="CL594">
        <f>IFERROR(INDEX(PP_Grid[#Data],$DD594,88),0)</f>
        <v/>
      </c>
      <c r="CM594">
        <f>IFERROR(INDEX(PP_Grid[#Data],$DD594,89),0)</f>
        <v/>
      </c>
      <c r="CN594">
        <f>IFERROR(INDEX(PP_Grid[#Data],$DD594,90),0)</f>
        <v/>
      </c>
      <c r="CO594">
        <f>IFERROR(INDEX(PP_Grid[#Data],$DD594,91),0)</f>
        <v/>
      </c>
      <c r="CP594">
        <f>IFERROR(INDEX(PP_Grid[#Data],$DD594,92),0)</f>
        <v/>
      </c>
      <c r="CQ594">
        <f>IFERROR(INDEX(PP_Grid[#Data],$DD594,93),0)</f>
        <v/>
      </c>
      <c r="CR594">
        <f>IFERROR(INDEX(PP_Grid[#Data],$DD594,94),0)</f>
        <v/>
      </c>
      <c r="CS594">
        <f>IFERROR(INDEX(PP_Grid[#Data],$DD594,95),0)</f>
        <v/>
      </c>
      <c r="CT594">
        <f>IFERROR(INDEX(PP_Grid[#Data],$DD594,96),0)</f>
        <v/>
      </c>
      <c r="CU594">
        <f>IFERROR(INDEX(PP_Grid[#Data],$DD594,97),0)</f>
        <v/>
      </c>
      <c r="CV594">
        <f>IFERROR(INDEX(PP_Grid[#Data],$DD594,98),0)</f>
        <v/>
      </c>
      <c r="CW594">
        <f>IFERROR(INDEX(PP_Grid[#Data],$DD594,99),0)</f>
        <v/>
      </c>
      <c r="CX594">
        <f>IFERROR(INDEX(PP_Grid[#Data],$DD594,100),0)</f>
        <v/>
      </c>
      <c r="CY594">
        <f>IFERROR(INDEX(PP_Grid[#Data],$DD594,101),0)</f>
        <v/>
      </c>
      <c r="CZ594">
        <f>IFERROR(INDEX(PP_Grid[#Data],$DD594,102),0)</f>
        <v/>
      </c>
      <c r="DA594">
        <f>IFERROR(INDEX(PP_Grid[#Data],$DD594,103),0)</f>
        <v/>
      </c>
      <c r="DB594">
        <f>IFERROR(INDEX(PP_Grid[#Data],$DD594,104),0)</f>
        <v/>
      </c>
      <c r="DC594">
        <f>IFERROR(INDEX(PP_Grid[#Data],$DD594,105),0)</f>
        <v/>
      </c>
      <c r="DD594" s="7">
        <f>IFERROR(MATCH($B594,PP_Grid[Intermediate],0),99999)</f>
        <v/>
      </c>
    </row>
    <row r="595">
      <c r="B595" t="inlineStr">
        <is>
          <t>使用量(kg)</t>
        </is>
      </c>
      <c r="C595">
        <f>SUMIFS(M_BOM[RM_Qty_Per_Batch],M_BOM[Intermediate],$B594,M_BOM[Part Name],$A589)</f>
        <v/>
      </c>
      <c r="D595">
        <f>$C595*D594</f>
        <v/>
      </c>
      <c r="E595">
        <f>$C595*E594</f>
        <v/>
      </c>
      <c r="F595">
        <f>$C595*F594</f>
        <v/>
      </c>
      <c r="G595">
        <f>$C595*G594</f>
        <v/>
      </c>
      <c r="H595">
        <f>$C595*H594</f>
        <v/>
      </c>
      <c r="I595">
        <f>$C595*I594</f>
        <v/>
      </c>
      <c r="J595">
        <f>$C595*J594</f>
        <v/>
      </c>
      <c r="K595">
        <f>$C595*K594</f>
        <v/>
      </c>
      <c r="L595">
        <f>$C595*L594</f>
        <v/>
      </c>
      <c r="M595">
        <f>$C595*M594</f>
        <v/>
      </c>
      <c r="N595">
        <f>$C595*N594</f>
        <v/>
      </c>
      <c r="O595">
        <f>$C595*O594</f>
        <v/>
      </c>
      <c r="P595">
        <f>$C595*P594</f>
        <v/>
      </c>
      <c r="Q595">
        <f>$C595*Q594</f>
        <v/>
      </c>
      <c r="R595">
        <f>$C595*R594</f>
        <v/>
      </c>
      <c r="S595">
        <f>$C595*S594</f>
        <v/>
      </c>
      <c r="T595">
        <f>$C595*T594</f>
        <v/>
      </c>
      <c r="U595">
        <f>$C595*U594</f>
        <v/>
      </c>
      <c r="V595">
        <f>$C595*V594</f>
        <v/>
      </c>
      <c r="W595">
        <f>$C595*W594</f>
        <v/>
      </c>
      <c r="X595">
        <f>$C595*X594</f>
        <v/>
      </c>
      <c r="Y595">
        <f>$C595*Y594</f>
        <v/>
      </c>
      <c r="Z595">
        <f>$C595*Z594</f>
        <v/>
      </c>
      <c r="AA595">
        <f>$C595*AA594</f>
        <v/>
      </c>
      <c r="AB595">
        <f>$C595*AB594</f>
        <v/>
      </c>
      <c r="AC595">
        <f>$C595*AC594</f>
        <v/>
      </c>
      <c r="AD595">
        <f>$C595*AD594</f>
        <v/>
      </c>
      <c r="AE595">
        <f>$C595*AE594</f>
        <v/>
      </c>
      <c r="AF595">
        <f>$C595*AF594</f>
        <v/>
      </c>
      <c r="AG595">
        <f>$C595*AG594</f>
        <v/>
      </c>
      <c r="AH595">
        <f>$C595*AH594</f>
        <v/>
      </c>
      <c r="AI595">
        <f>$C595*AI594</f>
        <v/>
      </c>
      <c r="AJ595">
        <f>$C595*AJ594</f>
        <v/>
      </c>
      <c r="AK595">
        <f>$C595*AK594</f>
        <v/>
      </c>
      <c r="AL595">
        <f>$C595*AL594</f>
        <v/>
      </c>
      <c r="AM595">
        <f>$C595*AM594</f>
        <v/>
      </c>
      <c r="AN595">
        <f>$C595*AN594</f>
        <v/>
      </c>
      <c r="AO595">
        <f>$C595*AO594</f>
        <v/>
      </c>
      <c r="AP595">
        <f>$C595*AP594</f>
        <v/>
      </c>
      <c r="AQ595">
        <f>$C595*AQ594</f>
        <v/>
      </c>
      <c r="AR595">
        <f>$C595*AR594</f>
        <v/>
      </c>
      <c r="AS595">
        <f>$C595*AS594</f>
        <v/>
      </c>
      <c r="AT595">
        <f>$C595*AT594</f>
        <v/>
      </c>
      <c r="AU595">
        <f>$C595*AU594</f>
        <v/>
      </c>
      <c r="AV595">
        <f>$C595*AV594</f>
        <v/>
      </c>
      <c r="AW595">
        <f>$C595*AW594</f>
        <v/>
      </c>
      <c r="AX595">
        <f>$C595*AX594</f>
        <v/>
      </c>
      <c r="AY595">
        <f>$C595*AY594</f>
        <v/>
      </c>
      <c r="AZ595">
        <f>$C595*AZ594</f>
        <v/>
      </c>
      <c r="BA595">
        <f>$C595*BA594</f>
        <v/>
      </c>
      <c r="BB595">
        <f>$C595*BB594</f>
        <v/>
      </c>
      <c r="BC595">
        <f>$C595*BC594</f>
        <v/>
      </c>
      <c r="BD595">
        <f>$C595*BD594</f>
        <v/>
      </c>
      <c r="BE595">
        <f>$C595*BE594</f>
        <v/>
      </c>
      <c r="BF595">
        <f>$C595*BF594</f>
        <v/>
      </c>
      <c r="BG595">
        <f>$C595*BG594</f>
        <v/>
      </c>
      <c r="BH595">
        <f>$C595*BH594</f>
        <v/>
      </c>
      <c r="BI595">
        <f>$C595*BI594</f>
        <v/>
      </c>
      <c r="BJ595">
        <f>$C595*BJ594</f>
        <v/>
      </c>
      <c r="BK595">
        <f>$C595*BK594</f>
        <v/>
      </c>
      <c r="BL595">
        <f>$C595*BL594</f>
        <v/>
      </c>
      <c r="BM595">
        <f>$C595*BM594</f>
        <v/>
      </c>
      <c r="BN595">
        <f>$C595*BN594</f>
        <v/>
      </c>
      <c r="BO595">
        <f>$C595*BO594</f>
        <v/>
      </c>
      <c r="BP595">
        <f>$C595*BP594</f>
        <v/>
      </c>
      <c r="BQ595">
        <f>$C595*BQ594</f>
        <v/>
      </c>
      <c r="BR595">
        <f>$C595*BR594</f>
        <v/>
      </c>
      <c r="BS595">
        <f>$C595*BS594</f>
        <v/>
      </c>
      <c r="BT595">
        <f>$C595*BT594</f>
        <v/>
      </c>
      <c r="BU595">
        <f>$C595*BU594</f>
        <v/>
      </c>
      <c r="BV595">
        <f>$C595*BV594</f>
        <v/>
      </c>
      <c r="BW595">
        <f>$C595*BW594</f>
        <v/>
      </c>
      <c r="BX595">
        <f>$C595*BX594</f>
        <v/>
      </c>
      <c r="BY595">
        <f>$C595*BY594</f>
        <v/>
      </c>
      <c r="BZ595">
        <f>$C595*BZ594</f>
        <v/>
      </c>
      <c r="CA595">
        <f>$C595*CA594</f>
        <v/>
      </c>
      <c r="CB595">
        <f>$C595*CB594</f>
        <v/>
      </c>
      <c r="CC595">
        <f>$C595*CC594</f>
        <v/>
      </c>
      <c r="CD595">
        <f>$C595*CD594</f>
        <v/>
      </c>
      <c r="CE595">
        <f>$C595*CE594</f>
        <v/>
      </c>
      <c r="CF595">
        <f>$C595*CF594</f>
        <v/>
      </c>
      <c r="CG595">
        <f>$C595*CG594</f>
        <v/>
      </c>
      <c r="CH595">
        <f>$C595*CH594</f>
        <v/>
      </c>
      <c r="CI595">
        <f>$C595*CI594</f>
        <v/>
      </c>
      <c r="CJ595">
        <f>$C595*CJ594</f>
        <v/>
      </c>
      <c r="CK595">
        <f>$C595*CK594</f>
        <v/>
      </c>
      <c r="CL595">
        <f>$C595*CL594</f>
        <v/>
      </c>
      <c r="CM595">
        <f>$C595*CM594</f>
        <v/>
      </c>
      <c r="CN595">
        <f>$C595*CN594</f>
        <v/>
      </c>
      <c r="CO595">
        <f>$C595*CO594</f>
        <v/>
      </c>
      <c r="CP595">
        <f>$C595*CP594</f>
        <v/>
      </c>
      <c r="CQ595">
        <f>$C595*CQ594</f>
        <v/>
      </c>
      <c r="CR595">
        <f>$C595*CR594</f>
        <v/>
      </c>
      <c r="CS595">
        <f>$C595*CS594</f>
        <v/>
      </c>
      <c r="CT595">
        <f>$C595*CT594</f>
        <v/>
      </c>
      <c r="CU595">
        <f>$C595*CU594</f>
        <v/>
      </c>
      <c r="CV595">
        <f>$C595*CV594</f>
        <v/>
      </c>
      <c r="CW595">
        <f>$C595*CW594</f>
        <v/>
      </c>
      <c r="CX595">
        <f>$C595*CX594</f>
        <v/>
      </c>
      <c r="CY595">
        <f>$C595*CY594</f>
        <v/>
      </c>
      <c r="CZ595">
        <f>$C595*CZ594</f>
        <v/>
      </c>
      <c r="DA595">
        <f>$C595*DA594</f>
        <v/>
      </c>
      <c r="DB595">
        <f>$C595*DB594</f>
        <v/>
      </c>
      <c r="DC595">
        <f>$C595*DC594</f>
        <v/>
      </c>
    </row>
    <row r="596">
      <c r="B596" t="inlineStr">
        <is>
          <t>VSP-600</t>
        </is>
      </c>
      <c r="C596" t="inlineStr">
        <is>
          <t>No. of batches</t>
        </is>
      </c>
      <c r="D596">
        <f>IFERROR(INDEX(PP_Grid[#Data],$DD596,2),0)</f>
        <v/>
      </c>
      <c r="E596">
        <f>IFERROR(INDEX(PP_Grid[#Data],$DD596,3),0)</f>
        <v/>
      </c>
      <c r="F596">
        <f>IFERROR(INDEX(PP_Grid[#Data],$DD596,4),0)</f>
        <v/>
      </c>
      <c r="G596">
        <f>IFERROR(INDEX(PP_Grid[#Data],$DD596,5),0)</f>
        <v/>
      </c>
      <c r="H596">
        <f>IFERROR(INDEX(PP_Grid[#Data],$DD596,6),0)</f>
        <v/>
      </c>
      <c r="I596">
        <f>IFERROR(INDEX(PP_Grid[#Data],$DD596,7),0)</f>
        <v/>
      </c>
      <c r="J596">
        <f>IFERROR(INDEX(PP_Grid[#Data],$DD596,8),0)</f>
        <v/>
      </c>
      <c r="K596">
        <f>IFERROR(INDEX(PP_Grid[#Data],$DD596,9),0)</f>
        <v/>
      </c>
      <c r="L596">
        <f>IFERROR(INDEX(PP_Grid[#Data],$DD596,10),0)</f>
        <v/>
      </c>
      <c r="M596">
        <f>IFERROR(INDEX(PP_Grid[#Data],$DD596,11),0)</f>
        <v/>
      </c>
      <c r="N596">
        <f>IFERROR(INDEX(PP_Grid[#Data],$DD596,12),0)</f>
        <v/>
      </c>
      <c r="O596">
        <f>IFERROR(INDEX(PP_Grid[#Data],$DD596,13),0)</f>
        <v/>
      </c>
      <c r="P596">
        <f>IFERROR(INDEX(PP_Grid[#Data],$DD596,14),0)</f>
        <v/>
      </c>
      <c r="Q596">
        <f>IFERROR(INDEX(PP_Grid[#Data],$DD596,15),0)</f>
        <v/>
      </c>
      <c r="R596">
        <f>IFERROR(INDEX(PP_Grid[#Data],$DD596,16),0)</f>
        <v/>
      </c>
      <c r="S596">
        <f>IFERROR(INDEX(PP_Grid[#Data],$DD596,17),0)</f>
        <v/>
      </c>
      <c r="T596">
        <f>IFERROR(INDEX(PP_Grid[#Data],$DD596,18),0)</f>
        <v/>
      </c>
      <c r="U596">
        <f>IFERROR(INDEX(PP_Grid[#Data],$DD596,19),0)</f>
        <v/>
      </c>
      <c r="V596">
        <f>IFERROR(INDEX(PP_Grid[#Data],$DD596,20),0)</f>
        <v/>
      </c>
      <c r="W596">
        <f>IFERROR(INDEX(PP_Grid[#Data],$DD596,21),0)</f>
        <v/>
      </c>
      <c r="X596">
        <f>IFERROR(INDEX(PP_Grid[#Data],$DD596,22),0)</f>
        <v/>
      </c>
      <c r="Y596">
        <f>IFERROR(INDEX(PP_Grid[#Data],$DD596,23),0)</f>
        <v/>
      </c>
      <c r="Z596">
        <f>IFERROR(INDEX(PP_Grid[#Data],$DD596,24),0)</f>
        <v/>
      </c>
      <c r="AA596">
        <f>IFERROR(INDEX(PP_Grid[#Data],$DD596,25),0)</f>
        <v/>
      </c>
      <c r="AB596">
        <f>IFERROR(INDEX(PP_Grid[#Data],$DD596,26),0)</f>
        <v/>
      </c>
      <c r="AC596">
        <f>IFERROR(INDEX(PP_Grid[#Data],$DD596,27),0)</f>
        <v/>
      </c>
      <c r="AD596">
        <f>IFERROR(INDEX(PP_Grid[#Data],$DD596,28),0)</f>
        <v/>
      </c>
      <c r="AE596">
        <f>IFERROR(INDEX(PP_Grid[#Data],$DD596,29),0)</f>
        <v/>
      </c>
      <c r="AF596">
        <f>IFERROR(INDEX(PP_Grid[#Data],$DD596,30),0)</f>
        <v/>
      </c>
      <c r="AG596">
        <f>IFERROR(INDEX(PP_Grid[#Data],$DD596,31),0)</f>
        <v/>
      </c>
      <c r="AH596">
        <f>IFERROR(INDEX(PP_Grid[#Data],$DD596,32),0)</f>
        <v/>
      </c>
      <c r="AI596">
        <f>IFERROR(INDEX(PP_Grid[#Data],$DD596,33),0)</f>
        <v/>
      </c>
      <c r="AJ596">
        <f>IFERROR(INDEX(PP_Grid[#Data],$DD596,34),0)</f>
        <v/>
      </c>
      <c r="AK596">
        <f>IFERROR(INDEX(PP_Grid[#Data],$DD596,35),0)</f>
        <v/>
      </c>
      <c r="AL596">
        <f>IFERROR(INDEX(PP_Grid[#Data],$DD596,36),0)</f>
        <v/>
      </c>
      <c r="AM596">
        <f>IFERROR(INDEX(PP_Grid[#Data],$DD596,37),0)</f>
        <v/>
      </c>
      <c r="AN596">
        <f>IFERROR(INDEX(PP_Grid[#Data],$DD596,38),0)</f>
        <v/>
      </c>
      <c r="AO596">
        <f>IFERROR(INDEX(PP_Grid[#Data],$DD596,39),0)</f>
        <v/>
      </c>
      <c r="AP596">
        <f>IFERROR(INDEX(PP_Grid[#Data],$DD596,40),0)</f>
        <v/>
      </c>
      <c r="AQ596">
        <f>IFERROR(INDEX(PP_Grid[#Data],$DD596,41),0)</f>
        <v/>
      </c>
      <c r="AR596">
        <f>IFERROR(INDEX(PP_Grid[#Data],$DD596,42),0)</f>
        <v/>
      </c>
      <c r="AS596">
        <f>IFERROR(INDEX(PP_Grid[#Data],$DD596,43),0)</f>
        <v/>
      </c>
      <c r="AT596">
        <f>IFERROR(INDEX(PP_Grid[#Data],$DD596,44),0)</f>
        <v/>
      </c>
      <c r="AU596">
        <f>IFERROR(INDEX(PP_Grid[#Data],$DD596,45),0)</f>
        <v/>
      </c>
      <c r="AV596">
        <f>IFERROR(INDEX(PP_Grid[#Data],$DD596,46),0)</f>
        <v/>
      </c>
      <c r="AW596">
        <f>IFERROR(INDEX(PP_Grid[#Data],$DD596,47),0)</f>
        <v/>
      </c>
      <c r="AX596">
        <f>IFERROR(INDEX(PP_Grid[#Data],$DD596,48),0)</f>
        <v/>
      </c>
      <c r="AY596">
        <f>IFERROR(INDEX(PP_Grid[#Data],$DD596,49),0)</f>
        <v/>
      </c>
      <c r="AZ596">
        <f>IFERROR(INDEX(PP_Grid[#Data],$DD596,50),0)</f>
        <v/>
      </c>
      <c r="BA596">
        <f>IFERROR(INDEX(PP_Grid[#Data],$DD596,51),0)</f>
        <v/>
      </c>
      <c r="BB596">
        <f>IFERROR(INDEX(PP_Grid[#Data],$DD596,52),0)</f>
        <v/>
      </c>
      <c r="BC596">
        <f>IFERROR(INDEX(PP_Grid[#Data],$DD596,53),0)</f>
        <v/>
      </c>
      <c r="BD596">
        <f>IFERROR(INDEX(PP_Grid[#Data],$DD596,54),0)</f>
        <v/>
      </c>
      <c r="BE596">
        <f>IFERROR(INDEX(PP_Grid[#Data],$DD596,55),0)</f>
        <v/>
      </c>
      <c r="BF596">
        <f>IFERROR(INDEX(PP_Grid[#Data],$DD596,56),0)</f>
        <v/>
      </c>
      <c r="BG596">
        <f>IFERROR(INDEX(PP_Grid[#Data],$DD596,57),0)</f>
        <v/>
      </c>
      <c r="BH596">
        <f>IFERROR(INDEX(PP_Grid[#Data],$DD596,58),0)</f>
        <v/>
      </c>
      <c r="BI596">
        <f>IFERROR(INDEX(PP_Grid[#Data],$DD596,59),0)</f>
        <v/>
      </c>
      <c r="BJ596">
        <f>IFERROR(INDEX(PP_Grid[#Data],$DD596,60),0)</f>
        <v/>
      </c>
      <c r="BK596">
        <f>IFERROR(INDEX(PP_Grid[#Data],$DD596,61),0)</f>
        <v/>
      </c>
      <c r="BL596">
        <f>IFERROR(INDEX(PP_Grid[#Data],$DD596,62),0)</f>
        <v/>
      </c>
      <c r="BM596">
        <f>IFERROR(INDEX(PP_Grid[#Data],$DD596,63),0)</f>
        <v/>
      </c>
      <c r="BN596">
        <f>IFERROR(INDEX(PP_Grid[#Data],$DD596,64),0)</f>
        <v/>
      </c>
      <c r="BO596">
        <f>IFERROR(INDEX(PP_Grid[#Data],$DD596,65),0)</f>
        <v/>
      </c>
      <c r="BP596">
        <f>IFERROR(INDEX(PP_Grid[#Data],$DD596,66),0)</f>
        <v/>
      </c>
      <c r="BQ596">
        <f>IFERROR(INDEX(PP_Grid[#Data],$DD596,67),0)</f>
        <v/>
      </c>
      <c r="BR596">
        <f>IFERROR(INDEX(PP_Grid[#Data],$DD596,68),0)</f>
        <v/>
      </c>
      <c r="BS596">
        <f>IFERROR(INDEX(PP_Grid[#Data],$DD596,69),0)</f>
        <v/>
      </c>
      <c r="BT596">
        <f>IFERROR(INDEX(PP_Grid[#Data],$DD596,70),0)</f>
        <v/>
      </c>
      <c r="BU596">
        <f>IFERROR(INDEX(PP_Grid[#Data],$DD596,71),0)</f>
        <v/>
      </c>
      <c r="BV596">
        <f>IFERROR(INDEX(PP_Grid[#Data],$DD596,72),0)</f>
        <v/>
      </c>
      <c r="BW596">
        <f>IFERROR(INDEX(PP_Grid[#Data],$DD596,73),0)</f>
        <v/>
      </c>
      <c r="BX596">
        <f>IFERROR(INDEX(PP_Grid[#Data],$DD596,74),0)</f>
        <v/>
      </c>
      <c r="BY596">
        <f>IFERROR(INDEX(PP_Grid[#Data],$DD596,75),0)</f>
        <v/>
      </c>
      <c r="BZ596">
        <f>IFERROR(INDEX(PP_Grid[#Data],$DD596,76),0)</f>
        <v/>
      </c>
      <c r="CA596">
        <f>IFERROR(INDEX(PP_Grid[#Data],$DD596,77),0)</f>
        <v/>
      </c>
      <c r="CB596">
        <f>IFERROR(INDEX(PP_Grid[#Data],$DD596,78),0)</f>
        <v/>
      </c>
      <c r="CC596">
        <f>IFERROR(INDEX(PP_Grid[#Data],$DD596,79),0)</f>
        <v/>
      </c>
      <c r="CD596">
        <f>IFERROR(INDEX(PP_Grid[#Data],$DD596,80),0)</f>
        <v/>
      </c>
      <c r="CE596">
        <f>IFERROR(INDEX(PP_Grid[#Data],$DD596,81),0)</f>
        <v/>
      </c>
      <c r="CF596">
        <f>IFERROR(INDEX(PP_Grid[#Data],$DD596,82),0)</f>
        <v/>
      </c>
      <c r="CG596">
        <f>IFERROR(INDEX(PP_Grid[#Data],$DD596,83),0)</f>
        <v/>
      </c>
      <c r="CH596">
        <f>IFERROR(INDEX(PP_Grid[#Data],$DD596,84),0)</f>
        <v/>
      </c>
      <c r="CI596">
        <f>IFERROR(INDEX(PP_Grid[#Data],$DD596,85),0)</f>
        <v/>
      </c>
      <c r="CJ596">
        <f>IFERROR(INDEX(PP_Grid[#Data],$DD596,86),0)</f>
        <v/>
      </c>
      <c r="CK596">
        <f>IFERROR(INDEX(PP_Grid[#Data],$DD596,87),0)</f>
        <v/>
      </c>
      <c r="CL596">
        <f>IFERROR(INDEX(PP_Grid[#Data],$DD596,88),0)</f>
        <v/>
      </c>
      <c r="CM596">
        <f>IFERROR(INDEX(PP_Grid[#Data],$DD596,89),0)</f>
        <v/>
      </c>
      <c r="CN596">
        <f>IFERROR(INDEX(PP_Grid[#Data],$DD596,90),0)</f>
        <v/>
      </c>
      <c r="CO596">
        <f>IFERROR(INDEX(PP_Grid[#Data],$DD596,91),0)</f>
        <v/>
      </c>
      <c r="CP596">
        <f>IFERROR(INDEX(PP_Grid[#Data],$DD596,92),0)</f>
        <v/>
      </c>
      <c r="CQ596">
        <f>IFERROR(INDEX(PP_Grid[#Data],$DD596,93),0)</f>
        <v/>
      </c>
      <c r="CR596">
        <f>IFERROR(INDEX(PP_Grid[#Data],$DD596,94),0)</f>
        <v/>
      </c>
      <c r="CS596">
        <f>IFERROR(INDEX(PP_Grid[#Data],$DD596,95),0)</f>
        <v/>
      </c>
      <c r="CT596">
        <f>IFERROR(INDEX(PP_Grid[#Data],$DD596,96),0)</f>
        <v/>
      </c>
      <c r="CU596">
        <f>IFERROR(INDEX(PP_Grid[#Data],$DD596,97),0)</f>
        <v/>
      </c>
      <c r="CV596">
        <f>IFERROR(INDEX(PP_Grid[#Data],$DD596,98),0)</f>
        <v/>
      </c>
      <c r="CW596">
        <f>IFERROR(INDEX(PP_Grid[#Data],$DD596,99),0)</f>
        <v/>
      </c>
      <c r="CX596">
        <f>IFERROR(INDEX(PP_Grid[#Data],$DD596,100),0)</f>
        <v/>
      </c>
      <c r="CY596">
        <f>IFERROR(INDEX(PP_Grid[#Data],$DD596,101),0)</f>
        <v/>
      </c>
      <c r="CZ596">
        <f>IFERROR(INDEX(PP_Grid[#Data],$DD596,102),0)</f>
        <v/>
      </c>
      <c r="DA596">
        <f>IFERROR(INDEX(PP_Grid[#Data],$DD596,103),0)</f>
        <v/>
      </c>
      <c r="DB596">
        <f>IFERROR(INDEX(PP_Grid[#Data],$DD596,104),0)</f>
        <v/>
      </c>
      <c r="DC596">
        <f>IFERROR(INDEX(PP_Grid[#Data],$DD596,105),0)</f>
        <v/>
      </c>
      <c r="DD596" s="7">
        <f>IFERROR(MATCH($B596,PP_Grid[Intermediate],0),99999)</f>
        <v/>
      </c>
    </row>
    <row r="597">
      <c r="B597" t="inlineStr">
        <is>
          <t>使用量(kg)</t>
        </is>
      </c>
      <c r="C597">
        <f>SUMIFS(M_BOM[RM_Qty_Per_Batch],M_BOM[Intermediate],$B596,M_BOM[Part Name],$A589)</f>
        <v/>
      </c>
      <c r="D597">
        <f>$C597*D596</f>
        <v/>
      </c>
      <c r="E597">
        <f>$C597*E596</f>
        <v/>
      </c>
      <c r="F597">
        <f>$C597*F596</f>
        <v/>
      </c>
      <c r="G597">
        <f>$C597*G596</f>
        <v/>
      </c>
      <c r="H597">
        <f>$C597*H596</f>
        <v/>
      </c>
      <c r="I597">
        <f>$C597*I596</f>
        <v/>
      </c>
      <c r="J597">
        <f>$C597*J596</f>
        <v/>
      </c>
      <c r="K597">
        <f>$C597*K596</f>
        <v/>
      </c>
      <c r="L597">
        <f>$C597*L596</f>
        <v/>
      </c>
      <c r="M597">
        <f>$C597*M596</f>
        <v/>
      </c>
      <c r="N597">
        <f>$C597*N596</f>
        <v/>
      </c>
      <c r="O597">
        <f>$C597*O596</f>
        <v/>
      </c>
      <c r="P597">
        <f>$C597*P596</f>
        <v/>
      </c>
      <c r="Q597">
        <f>$C597*Q596</f>
        <v/>
      </c>
      <c r="R597">
        <f>$C597*R596</f>
        <v/>
      </c>
      <c r="S597">
        <f>$C597*S596</f>
        <v/>
      </c>
      <c r="T597">
        <f>$C597*T596</f>
        <v/>
      </c>
      <c r="U597">
        <f>$C597*U596</f>
        <v/>
      </c>
      <c r="V597">
        <f>$C597*V596</f>
        <v/>
      </c>
      <c r="W597">
        <f>$C597*W596</f>
        <v/>
      </c>
      <c r="X597">
        <f>$C597*X596</f>
        <v/>
      </c>
      <c r="Y597">
        <f>$C597*Y596</f>
        <v/>
      </c>
      <c r="Z597">
        <f>$C597*Z596</f>
        <v/>
      </c>
      <c r="AA597">
        <f>$C597*AA596</f>
        <v/>
      </c>
      <c r="AB597">
        <f>$C597*AB596</f>
        <v/>
      </c>
      <c r="AC597">
        <f>$C597*AC596</f>
        <v/>
      </c>
      <c r="AD597">
        <f>$C597*AD596</f>
        <v/>
      </c>
      <c r="AE597">
        <f>$C597*AE596</f>
        <v/>
      </c>
      <c r="AF597">
        <f>$C597*AF596</f>
        <v/>
      </c>
      <c r="AG597">
        <f>$C597*AG596</f>
        <v/>
      </c>
      <c r="AH597">
        <f>$C597*AH596</f>
        <v/>
      </c>
      <c r="AI597">
        <f>$C597*AI596</f>
        <v/>
      </c>
      <c r="AJ597">
        <f>$C597*AJ596</f>
        <v/>
      </c>
      <c r="AK597">
        <f>$C597*AK596</f>
        <v/>
      </c>
      <c r="AL597">
        <f>$C597*AL596</f>
        <v/>
      </c>
      <c r="AM597">
        <f>$C597*AM596</f>
        <v/>
      </c>
      <c r="AN597">
        <f>$C597*AN596</f>
        <v/>
      </c>
      <c r="AO597">
        <f>$C597*AO596</f>
        <v/>
      </c>
      <c r="AP597">
        <f>$C597*AP596</f>
        <v/>
      </c>
      <c r="AQ597">
        <f>$C597*AQ596</f>
        <v/>
      </c>
      <c r="AR597">
        <f>$C597*AR596</f>
        <v/>
      </c>
      <c r="AS597">
        <f>$C597*AS596</f>
        <v/>
      </c>
      <c r="AT597">
        <f>$C597*AT596</f>
        <v/>
      </c>
      <c r="AU597">
        <f>$C597*AU596</f>
        <v/>
      </c>
      <c r="AV597">
        <f>$C597*AV596</f>
        <v/>
      </c>
      <c r="AW597">
        <f>$C597*AW596</f>
        <v/>
      </c>
      <c r="AX597">
        <f>$C597*AX596</f>
        <v/>
      </c>
      <c r="AY597">
        <f>$C597*AY596</f>
        <v/>
      </c>
      <c r="AZ597">
        <f>$C597*AZ596</f>
        <v/>
      </c>
      <c r="BA597">
        <f>$C597*BA596</f>
        <v/>
      </c>
      <c r="BB597">
        <f>$C597*BB596</f>
        <v/>
      </c>
      <c r="BC597">
        <f>$C597*BC596</f>
        <v/>
      </c>
      <c r="BD597">
        <f>$C597*BD596</f>
        <v/>
      </c>
      <c r="BE597">
        <f>$C597*BE596</f>
        <v/>
      </c>
      <c r="BF597">
        <f>$C597*BF596</f>
        <v/>
      </c>
      <c r="BG597">
        <f>$C597*BG596</f>
        <v/>
      </c>
      <c r="BH597">
        <f>$C597*BH596</f>
        <v/>
      </c>
      <c r="BI597">
        <f>$C597*BI596</f>
        <v/>
      </c>
      <c r="BJ597">
        <f>$C597*BJ596</f>
        <v/>
      </c>
      <c r="BK597">
        <f>$C597*BK596</f>
        <v/>
      </c>
      <c r="BL597">
        <f>$C597*BL596</f>
        <v/>
      </c>
      <c r="BM597">
        <f>$C597*BM596</f>
        <v/>
      </c>
      <c r="BN597">
        <f>$C597*BN596</f>
        <v/>
      </c>
      <c r="BO597">
        <f>$C597*BO596</f>
        <v/>
      </c>
      <c r="BP597">
        <f>$C597*BP596</f>
        <v/>
      </c>
      <c r="BQ597">
        <f>$C597*BQ596</f>
        <v/>
      </c>
      <c r="BR597">
        <f>$C597*BR596</f>
        <v/>
      </c>
      <c r="BS597">
        <f>$C597*BS596</f>
        <v/>
      </c>
      <c r="BT597">
        <f>$C597*BT596</f>
        <v/>
      </c>
      <c r="BU597">
        <f>$C597*BU596</f>
        <v/>
      </c>
      <c r="BV597">
        <f>$C597*BV596</f>
        <v/>
      </c>
      <c r="BW597">
        <f>$C597*BW596</f>
        <v/>
      </c>
      <c r="BX597">
        <f>$C597*BX596</f>
        <v/>
      </c>
      <c r="BY597">
        <f>$C597*BY596</f>
        <v/>
      </c>
      <c r="BZ597">
        <f>$C597*BZ596</f>
        <v/>
      </c>
      <c r="CA597">
        <f>$C597*CA596</f>
        <v/>
      </c>
      <c r="CB597">
        <f>$C597*CB596</f>
        <v/>
      </c>
      <c r="CC597">
        <f>$C597*CC596</f>
        <v/>
      </c>
      <c r="CD597">
        <f>$C597*CD596</f>
        <v/>
      </c>
      <c r="CE597">
        <f>$C597*CE596</f>
        <v/>
      </c>
      <c r="CF597">
        <f>$C597*CF596</f>
        <v/>
      </c>
      <c r="CG597">
        <f>$C597*CG596</f>
        <v/>
      </c>
      <c r="CH597">
        <f>$C597*CH596</f>
        <v/>
      </c>
      <c r="CI597">
        <f>$C597*CI596</f>
        <v/>
      </c>
      <c r="CJ597">
        <f>$C597*CJ596</f>
        <v/>
      </c>
      <c r="CK597">
        <f>$C597*CK596</f>
        <v/>
      </c>
      <c r="CL597">
        <f>$C597*CL596</f>
        <v/>
      </c>
      <c r="CM597">
        <f>$C597*CM596</f>
        <v/>
      </c>
      <c r="CN597">
        <f>$C597*CN596</f>
        <v/>
      </c>
      <c r="CO597">
        <f>$C597*CO596</f>
        <v/>
      </c>
      <c r="CP597">
        <f>$C597*CP596</f>
        <v/>
      </c>
      <c r="CQ597">
        <f>$C597*CQ596</f>
        <v/>
      </c>
      <c r="CR597">
        <f>$C597*CR596</f>
        <v/>
      </c>
      <c r="CS597">
        <f>$C597*CS596</f>
        <v/>
      </c>
      <c r="CT597">
        <f>$C597*CT596</f>
        <v/>
      </c>
      <c r="CU597">
        <f>$C597*CU596</f>
        <v/>
      </c>
      <c r="CV597">
        <f>$C597*CV596</f>
        <v/>
      </c>
      <c r="CW597">
        <f>$C597*CW596</f>
        <v/>
      </c>
      <c r="CX597">
        <f>$C597*CX596</f>
        <v/>
      </c>
      <c r="CY597">
        <f>$C597*CY596</f>
        <v/>
      </c>
      <c r="CZ597">
        <f>$C597*CZ596</f>
        <v/>
      </c>
      <c r="DA597">
        <f>$C597*DA596</f>
        <v/>
      </c>
      <c r="DB597">
        <f>$C597*DB596</f>
        <v/>
      </c>
      <c r="DC597">
        <f>$C597*DC596</f>
        <v/>
      </c>
    </row>
    <row r="598">
      <c r="B598" t="inlineStr">
        <is>
          <t>VSP-601</t>
        </is>
      </c>
      <c r="C598" t="inlineStr">
        <is>
          <t>No. of batches</t>
        </is>
      </c>
      <c r="D598">
        <f>IFERROR(INDEX(PP_Grid[#Data],$DD598,2),0)</f>
        <v/>
      </c>
      <c r="E598">
        <f>IFERROR(INDEX(PP_Grid[#Data],$DD598,3),0)</f>
        <v/>
      </c>
      <c r="F598">
        <f>IFERROR(INDEX(PP_Grid[#Data],$DD598,4),0)</f>
        <v/>
      </c>
      <c r="G598">
        <f>IFERROR(INDEX(PP_Grid[#Data],$DD598,5),0)</f>
        <v/>
      </c>
      <c r="H598">
        <f>IFERROR(INDEX(PP_Grid[#Data],$DD598,6),0)</f>
        <v/>
      </c>
      <c r="I598">
        <f>IFERROR(INDEX(PP_Grid[#Data],$DD598,7),0)</f>
        <v/>
      </c>
      <c r="J598">
        <f>IFERROR(INDEX(PP_Grid[#Data],$DD598,8),0)</f>
        <v/>
      </c>
      <c r="K598">
        <f>IFERROR(INDEX(PP_Grid[#Data],$DD598,9),0)</f>
        <v/>
      </c>
      <c r="L598">
        <f>IFERROR(INDEX(PP_Grid[#Data],$DD598,10),0)</f>
        <v/>
      </c>
      <c r="M598">
        <f>IFERROR(INDEX(PP_Grid[#Data],$DD598,11),0)</f>
        <v/>
      </c>
      <c r="N598">
        <f>IFERROR(INDEX(PP_Grid[#Data],$DD598,12),0)</f>
        <v/>
      </c>
      <c r="O598">
        <f>IFERROR(INDEX(PP_Grid[#Data],$DD598,13),0)</f>
        <v/>
      </c>
      <c r="P598">
        <f>IFERROR(INDEX(PP_Grid[#Data],$DD598,14),0)</f>
        <v/>
      </c>
      <c r="Q598">
        <f>IFERROR(INDEX(PP_Grid[#Data],$DD598,15),0)</f>
        <v/>
      </c>
      <c r="R598">
        <f>IFERROR(INDEX(PP_Grid[#Data],$DD598,16),0)</f>
        <v/>
      </c>
      <c r="S598">
        <f>IFERROR(INDEX(PP_Grid[#Data],$DD598,17),0)</f>
        <v/>
      </c>
      <c r="T598">
        <f>IFERROR(INDEX(PP_Grid[#Data],$DD598,18),0)</f>
        <v/>
      </c>
      <c r="U598">
        <f>IFERROR(INDEX(PP_Grid[#Data],$DD598,19),0)</f>
        <v/>
      </c>
      <c r="V598">
        <f>IFERROR(INDEX(PP_Grid[#Data],$DD598,20),0)</f>
        <v/>
      </c>
      <c r="W598">
        <f>IFERROR(INDEX(PP_Grid[#Data],$DD598,21),0)</f>
        <v/>
      </c>
      <c r="X598">
        <f>IFERROR(INDEX(PP_Grid[#Data],$DD598,22),0)</f>
        <v/>
      </c>
      <c r="Y598">
        <f>IFERROR(INDEX(PP_Grid[#Data],$DD598,23),0)</f>
        <v/>
      </c>
      <c r="Z598">
        <f>IFERROR(INDEX(PP_Grid[#Data],$DD598,24),0)</f>
        <v/>
      </c>
      <c r="AA598">
        <f>IFERROR(INDEX(PP_Grid[#Data],$DD598,25),0)</f>
        <v/>
      </c>
      <c r="AB598">
        <f>IFERROR(INDEX(PP_Grid[#Data],$DD598,26),0)</f>
        <v/>
      </c>
      <c r="AC598">
        <f>IFERROR(INDEX(PP_Grid[#Data],$DD598,27),0)</f>
        <v/>
      </c>
      <c r="AD598">
        <f>IFERROR(INDEX(PP_Grid[#Data],$DD598,28),0)</f>
        <v/>
      </c>
      <c r="AE598">
        <f>IFERROR(INDEX(PP_Grid[#Data],$DD598,29),0)</f>
        <v/>
      </c>
      <c r="AF598">
        <f>IFERROR(INDEX(PP_Grid[#Data],$DD598,30),0)</f>
        <v/>
      </c>
      <c r="AG598">
        <f>IFERROR(INDEX(PP_Grid[#Data],$DD598,31),0)</f>
        <v/>
      </c>
      <c r="AH598">
        <f>IFERROR(INDEX(PP_Grid[#Data],$DD598,32),0)</f>
        <v/>
      </c>
      <c r="AI598">
        <f>IFERROR(INDEX(PP_Grid[#Data],$DD598,33),0)</f>
        <v/>
      </c>
      <c r="AJ598">
        <f>IFERROR(INDEX(PP_Grid[#Data],$DD598,34),0)</f>
        <v/>
      </c>
      <c r="AK598">
        <f>IFERROR(INDEX(PP_Grid[#Data],$DD598,35),0)</f>
        <v/>
      </c>
      <c r="AL598">
        <f>IFERROR(INDEX(PP_Grid[#Data],$DD598,36),0)</f>
        <v/>
      </c>
      <c r="AM598">
        <f>IFERROR(INDEX(PP_Grid[#Data],$DD598,37),0)</f>
        <v/>
      </c>
      <c r="AN598">
        <f>IFERROR(INDEX(PP_Grid[#Data],$DD598,38),0)</f>
        <v/>
      </c>
      <c r="AO598">
        <f>IFERROR(INDEX(PP_Grid[#Data],$DD598,39),0)</f>
        <v/>
      </c>
      <c r="AP598">
        <f>IFERROR(INDEX(PP_Grid[#Data],$DD598,40),0)</f>
        <v/>
      </c>
      <c r="AQ598">
        <f>IFERROR(INDEX(PP_Grid[#Data],$DD598,41),0)</f>
        <v/>
      </c>
      <c r="AR598">
        <f>IFERROR(INDEX(PP_Grid[#Data],$DD598,42),0)</f>
        <v/>
      </c>
      <c r="AS598">
        <f>IFERROR(INDEX(PP_Grid[#Data],$DD598,43),0)</f>
        <v/>
      </c>
      <c r="AT598">
        <f>IFERROR(INDEX(PP_Grid[#Data],$DD598,44),0)</f>
        <v/>
      </c>
      <c r="AU598">
        <f>IFERROR(INDEX(PP_Grid[#Data],$DD598,45),0)</f>
        <v/>
      </c>
      <c r="AV598">
        <f>IFERROR(INDEX(PP_Grid[#Data],$DD598,46),0)</f>
        <v/>
      </c>
      <c r="AW598">
        <f>IFERROR(INDEX(PP_Grid[#Data],$DD598,47),0)</f>
        <v/>
      </c>
      <c r="AX598">
        <f>IFERROR(INDEX(PP_Grid[#Data],$DD598,48),0)</f>
        <v/>
      </c>
      <c r="AY598">
        <f>IFERROR(INDEX(PP_Grid[#Data],$DD598,49),0)</f>
        <v/>
      </c>
      <c r="AZ598">
        <f>IFERROR(INDEX(PP_Grid[#Data],$DD598,50),0)</f>
        <v/>
      </c>
      <c r="BA598">
        <f>IFERROR(INDEX(PP_Grid[#Data],$DD598,51),0)</f>
        <v/>
      </c>
      <c r="BB598">
        <f>IFERROR(INDEX(PP_Grid[#Data],$DD598,52),0)</f>
        <v/>
      </c>
      <c r="BC598">
        <f>IFERROR(INDEX(PP_Grid[#Data],$DD598,53),0)</f>
        <v/>
      </c>
      <c r="BD598">
        <f>IFERROR(INDEX(PP_Grid[#Data],$DD598,54),0)</f>
        <v/>
      </c>
      <c r="BE598">
        <f>IFERROR(INDEX(PP_Grid[#Data],$DD598,55),0)</f>
        <v/>
      </c>
      <c r="BF598">
        <f>IFERROR(INDEX(PP_Grid[#Data],$DD598,56),0)</f>
        <v/>
      </c>
      <c r="BG598">
        <f>IFERROR(INDEX(PP_Grid[#Data],$DD598,57),0)</f>
        <v/>
      </c>
      <c r="BH598">
        <f>IFERROR(INDEX(PP_Grid[#Data],$DD598,58),0)</f>
        <v/>
      </c>
      <c r="BI598">
        <f>IFERROR(INDEX(PP_Grid[#Data],$DD598,59),0)</f>
        <v/>
      </c>
      <c r="BJ598">
        <f>IFERROR(INDEX(PP_Grid[#Data],$DD598,60),0)</f>
        <v/>
      </c>
      <c r="BK598">
        <f>IFERROR(INDEX(PP_Grid[#Data],$DD598,61),0)</f>
        <v/>
      </c>
      <c r="BL598">
        <f>IFERROR(INDEX(PP_Grid[#Data],$DD598,62),0)</f>
        <v/>
      </c>
      <c r="BM598">
        <f>IFERROR(INDEX(PP_Grid[#Data],$DD598,63),0)</f>
        <v/>
      </c>
      <c r="BN598">
        <f>IFERROR(INDEX(PP_Grid[#Data],$DD598,64),0)</f>
        <v/>
      </c>
      <c r="BO598">
        <f>IFERROR(INDEX(PP_Grid[#Data],$DD598,65),0)</f>
        <v/>
      </c>
      <c r="BP598">
        <f>IFERROR(INDEX(PP_Grid[#Data],$DD598,66),0)</f>
        <v/>
      </c>
      <c r="BQ598">
        <f>IFERROR(INDEX(PP_Grid[#Data],$DD598,67),0)</f>
        <v/>
      </c>
      <c r="BR598">
        <f>IFERROR(INDEX(PP_Grid[#Data],$DD598,68),0)</f>
        <v/>
      </c>
      <c r="BS598">
        <f>IFERROR(INDEX(PP_Grid[#Data],$DD598,69),0)</f>
        <v/>
      </c>
      <c r="BT598">
        <f>IFERROR(INDEX(PP_Grid[#Data],$DD598,70),0)</f>
        <v/>
      </c>
      <c r="BU598">
        <f>IFERROR(INDEX(PP_Grid[#Data],$DD598,71),0)</f>
        <v/>
      </c>
      <c r="BV598">
        <f>IFERROR(INDEX(PP_Grid[#Data],$DD598,72),0)</f>
        <v/>
      </c>
      <c r="BW598">
        <f>IFERROR(INDEX(PP_Grid[#Data],$DD598,73),0)</f>
        <v/>
      </c>
      <c r="BX598">
        <f>IFERROR(INDEX(PP_Grid[#Data],$DD598,74),0)</f>
        <v/>
      </c>
      <c r="BY598">
        <f>IFERROR(INDEX(PP_Grid[#Data],$DD598,75),0)</f>
        <v/>
      </c>
      <c r="BZ598">
        <f>IFERROR(INDEX(PP_Grid[#Data],$DD598,76),0)</f>
        <v/>
      </c>
      <c r="CA598">
        <f>IFERROR(INDEX(PP_Grid[#Data],$DD598,77),0)</f>
        <v/>
      </c>
      <c r="CB598">
        <f>IFERROR(INDEX(PP_Grid[#Data],$DD598,78),0)</f>
        <v/>
      </c>
      <c r="CC598">
        <f>IFERROR(INDEX(PP_Grid[#Data],$DD598,79),0)</f>
        <v/>
      </c>
      <c r="CD598">
        <f>IFERROR(INDEX(PP_Grid[#Data],$DD598,80),0)</f>
        <v/>
      </c>
      <c r="CE598">
        <f>IFERROR(INDEX(PP_Grid[#Data],$DD598,81),0)</f>
        <v/>
      </c>
      <c r="CF598">
        <f>IFERROR(INDEX(PP_Grid[#Data],$DD598,82),0)</f>
        <v/>
      </c>
      <c r="CG598">
        <f>IFERROR(INDEX(PP_Grid[#Data],$DD598,83),0)</f>
        <v/>
      </c>
      <c r="CH598">
        <f>IFERROR(INDEX(PP_Grid[#Data],$DD598,84),0)</f>
        <v/>
      </c>
      <c r="CI598">
        <f>IFERROR(INDEX(PP_Grid[#Data],$DD598,85),0)</f>
        <v/>
      </c>
      <c r="CJ598">
        <f>IFERROR(INDEX(PP_Grid[#Data],$DD598,86),0)</f>
        <v/>
      </c>
      <c r="CK598">
        <f>IFERROR(INDEX(PP_Grid[#Data],$DD598,87),0)</f>
        <v/>
      </c>
      <c r="CL598">
        <f>IFERROR(INDEX(PP_Grid[#Data],$DD598,88),0)</f>
        <v/>
      </c>
      <c r="CM598">
        <f>IFERROR(INDEX(PP_Grid[#Data],$DD598,89),0)</f>
        <v/>
      </c>
      <c r="CN598">
        <f>IFERROR(INDEX(PP_Grid[#Data],$DD598,90),0)</f>
        <v/>
      </c>
      <c r="CO598">
        <f>IFERROR(INDEX(PP_Grid[#Data],$DD598,91),0)</f>
        <v/>
      </c>
      <c r="CP598">
        <f>IFERROR(INDEX(PP_Grid[#Data],$DD598,92),0)</f>
        <v/>
      </c>
      <c r="CQ598">
        <f>IFERROR(INDEX(PP_Grid[#Data],$DD598,93),0)</f>
        <v/>
      </c>
      <c r="CR598">
        <f>IFERROR(INDEX(PP_Grid[#Data],$DD598,94),0)</f>
        <v/>
      </c>
      <c r="CS598">
        <f>IFERROR(INDEX(PP_Grid[#Data],$DD598,95),0)</f>
        <v/>
      </c>
      <c r="CT598">
        <f>IFERROR(INDEX(PP_Grid[#Data],$DD598,96),0)</f>
        <v/>
      </c>
      <c r="CU598">
        <f>IFERROR(INDEX(PP_Grid[#Data],$DD598,97),0)</f>
        <v/>
      </c>
      <c r="CV598">
        <f>IFERROR(INDEX(PP_Grid[#Data],$DD598,98),0)</f>
        <v/>
      </c>
      <c r="CW598">
        <f>IFERROR(INDEX(PP_Grid[#Data],$DD598,99),0)</f>
        <v/>
      </c>
      <c r="CX598">
        <f>IFERROR(INDEX(PP_Grid[#Data],$DD598,100),0)</f>
        <v/>
      </c>
      <c r="CY598">
        <f>IFERROR(INDEX(PP_Grid[#Data],$DD598,101),0)</f>
        <v/>
      </c>
      <c r="CZ598">
        <f>IFERROR(INDEX(PP_Grid[#Data],$DD598,102),0)</f>
        <v/>
      </c>
      <c r="DA598">
        <f>IFERROR(INDEX(PP_Grid[#Data],$DD598,103),0)</f>
        <v/>
      </c>
      <c r="DB598">
        <f>IFERROR(INDEX(PP_Grid[#Data],$DD598,104),0)</f>
        <v/>
      </c>
      <c r="DC598">
        <f>IFERROR(INDEX(PP_Grid[#Data],$DD598,105),0)</f>
        <v/>
      </c>
      <c r="DD598" s="7">
        <f>IFERROR(MATCH($B598,PP_Grid[Intermediate],0),99999)</f>
        <v/>
      </c>
    </row>
    <row r="599">
      <c r="B599" t="inlineStr">
        <is>
          <t>使用量(kg)</t>
        </is>
      </c>
      <c r="C599">
        <f>SUMIFS(M_BOM[RM_Qty_Per_Batch],M_BOM[Intermediate],$B598,M_BOM[Part Name],$A589)</f>
        <v/>
      </c>
      <c r="D599">
        <f>$C599*D598</f>
        <v/>
      </c>
      <c r="E599">
        <f>$C599*E598</f>
        <v/>
      </c>
      <c r="F599">
        <f>$C599*F598</f>
        <v/>
      </c>
      <c r="G599">
        <f>$C599*G598</f>
        <v/>
      </c>
      <c r="H599">
        <f>$C599*H598</f>
        <v/>
      </c>
      <c r="I599">
        <f>$C599*I598</f>
        <v/>
      </c>
      <c r="J599">
        <f>$C599*J598</f>
        <v/>
      </c>
      <c r="K599">
        <f>$C599*K598</f>
        <v/>
      </c>
      <c r="L599">
        <f>$C599*L598</f>
        <v/>
      </c>
      <c r="M599">
        <f>$C599*M598</f>
        <v/>
      </c>
      <c r="N599">
        <f>$C599*N598</f>
        <v/>
      </c>
      <c r="O599">
        <f>$C599*O598</f>
        <v/>
      </c>
      <c r="P599">
        <f>$C599*P598</f>
        <v/>
      </c>
      <c r="Q599">
        <f>$C599*Q598</f>
        <v/>
      </c>
      <c r="R599">
        <f>$C599*R598</f>
        <v/>
      </c>
      <c r="S599">
        <f>$C599*S598</f>
        <v/>
      </c>
      <c r="T599">
        <f>$C599*T598</f>
        <v/>
      </c>
      <c r="U599">
        <f>$C599*U598</f>
        <v/>
      </c>
      <c r="V599">
        <f>$C599*V598</f>
        <v/>
      </c>
      <c r="W599">
        <f>$C599*W598</f>
        <v/>
      </c>
      <c r="X599">
        <f>$C599*X598</f>
        <v/>
      </c>
      <c r="Y599">
        <f>$C599*Y598</f>
        <v/>
      </c>
      <c r="Z599">
        <f>$C599*Z598</f>
        <v/>
      </c>
      <c r="AA599">
        <f>$C599*AA598</f>
        <v/>
      </c>
      <c r="AB599">
        <f>$C599*AB598</f>
        <v/>
      </c>
      <c r="AC599">
        <f>$C599*AC598</f>
        <v/>
      </c>
      <c r="AD599">
        <f>$C599*AD598</f>
        <v/>
      </c>
      <c r="AE599">
        <f>$C599*AE598</f>
        <v/>
      </c>
      <c r="AF599">
        <f>$C599*AF598</f>
        <v/>
      </c>
      <c r="AG599">
        <f>$C599*AG598</f>
        <v/>
      </c>
      <c r="AH599">
        <f>$C599*AH598</f>
        <v/>
      </c>
      <c r="AI599">
        <f>$C599*AI598</f>
        <v/>
      </c>
      <c r="AJ599">
        <f>$C599*AJ598</f>
        <v/>
      </c>
      <c r="AK599">
        <f>$C599*AK598</f>
        <v/>
      </c>
      <c r="AL599">
        <f>$C599*AL598</f>
        <v/>
      </c>
      <c r="AM599">
        <f>$C599*AM598</f>
        <v/>
      </c>
      <c r="AN599">
        <f>$C599*AN598</f>
        <v/>
      </c>
      <c r="AO599">
        <f>$C599*AO598</f>
        <v/>
      </c>
      <c r="AP599">
        <f>$C599*AP598</f>
        <v/>
      </c>
      <c r="AQ599">
        <f>$C599*AQ598</f>
        <v/>
      </c>
      <c r="AR599">
        <f>$C599*AR598</f>
        <v/>
      </c>
      <c r="AS599">
        <f>$C599*AS598</f>
        <v/>
      </c>
      <c r="AT599">
        <f>$C599*AT598</f>
        <v/>
      </c>
      <c r="AU599">
        <f>$C599*AU598</f>
        <v/>
      </c>
      <c r="AV599">
        <f>$C599*AV598</f>
        <v/>
      </c>
      <c r="AW599">
        <f>$C599*AW598</f>
        <v/>
      </c>
      <c r="AX599">
        <f>$C599*AX598</f>
        <v/>
      </c>
      <c r="AY599">
        <f>$C599*AY598</f>
        <v/>
      </c>
      <c r="AZ599">
        <f>$C599*AZ598</f>
        <v/>
      </c>
      <c r="BA599">
        <f>$C599*BA598</f>
        <v/>
      </c>
      <c r="BB599">
        <f>$C599*BB598</f>
        <v/>
      </c>
      <c r="BC599">
        <f>$C599*BC598</f>
        <v/>
      </c>
      <c r="BD599">
        <f>$C599*BD598</f>
        <v/>
      </c>
      <c r="BE599">
        <f>$C599*BE598</f>
        <v/>
      </c>
      <c r="BF599">
        <f>$C599*BF598</f>
        <v/>
      </c>
      <c r="BG599">
        <f>$C599*BG598</f>
        <v/>
      </c>
      <c r="BH599">
        <f>$C599*BH598</f>
        <v/>
      </c>
      <c r="BI599">
        <f>$C599*BI598</f>
        <v/>
      </c>
      <c r="BJ599">
        <f>$C599*BJ598</f>
        <v/>
      </c>
      <c r="BK599">
        <f>$C599*BK598</f>
        <v/>
      </c>
      <c r="BL599">
        <f>$C599*BL598</f>
        <v/>
      </c>
      <c r="BM599">
        <f>$C599*BM598</f>
        <v/>
      </c>
      <c r="BN599">
        <f>$C599*BN598</f>
        <v/>
      </c>
      <c r="BO599">
        <f>$C599*BO598</f>
        <v/>
      </c>
      <c r="BP599">
        <f>$C599*BP598</f>
        <v/>
      </c>
      <c r="BQ599">
        <f>$C599*BQ598</f>
        <v/>
      </c>
      <c r="BR599">
        <f>$C599*BR598</f>
        <v/>
      </c>
      <c r="BS599">
        <f>$C599*BS598</f>
        <v/>
      </c>
      <c r="BT599">
        <f>$C599*BT598</f>
        <v/>
      </c>
      <c r="BU599">
        <f>$C599*BU598</f>
        <v/>
      </c>
      <c r="BV599">
        <f>$C599*BV598</f>
        <v/>
      </c>
      <c r="BW599">
        <f>$C599*BW598</f>
        <v/>
      </c>
      <c r="BX599">
        <f>$C599*BX598</f>
        <v/>
      </c>
      <c r="BY599">
        <f>$C599*BY598</f>
        <v/>
      </c>
      <c r="BZ599">
        <f>$C599*BZ598</f>
        <v/>
      </c>
      <c r="CA599">
        <f>$C599*CA598</f>
        <v/>
      </c>
      <c r="CB599">
        <f>$C599*CB598</f>
        <v/>
      </c>
      <c r="CC599">
        <f>$C599*CC598</f>
        <v/>
      </c>
      <c r="CD599">
        <f>$C599*CD598</f>
        <v/>
      </c>
      <c r="CE599">
        <f>$C599*CE598</f>
        <v/>
      </c>
      <c r="CF599">
        <f>$C599*CF598</f>
        <v/>
      </c>
      <c r="CG599">
        <f>$C599*CG598</f>
        <v/>
      </c>
      <c r="CH599">
        <f>$C599*CH598</f>
        <v/>
      </c>
      <c r="CI599">
        <f>$C599*CI598</f>
        <v/>
      </c>
      <c r="CJ599">
        <f>$C599*CJ598</f>
        <v/>
      </c>
      <c r="CK599">
        <f>$C599*CK598</f>
        <v/>
      </c>
      <c r="CL599">
        <f>$C599*CL598</f>
        <v/>
      </c>
      <c r="CM599">
        <f>$C599*CM598</f>
        <v/>
      </c>
      <c r="CN599">
        <f>$C599*CN598</f>
        <v/>
      </c>
      <c r="CO599">
        <f>$C599*CO598</f>
        <v/>
      </c>
      <c r="CP599">
        <f>$C599*CP598</f>
        <v/>
      </c>
      <c r="CQ599">
        <f>$C599*CQ598</f>
        <v/>
      </c>
      <c r="CR599">
        <f>$C599*CR598</f>
        <v/>
      </c>
      <c r="CS599">
        <f>$C599*CS598</f>
        <v/>
      </c>
      <c r="CT599">
        <f>$C599*CT598</f>
        <v/>
      </c>
      <c r="CU599">
        <f>$C599*CU598</f>
        <v/>
      </c>
      <c r="CV599">
        <f>$C599*CV598</f>
        <v/>
      </c>
      <c r="CW599">
        <f>$C599*CW598</f>
        <v/>
      </c>
      <c r="CX599">
        <f>$C599*CX598</f>
        <v/>
      </c>
      <c r="CY599">
        <f>$C599*CY598</f>
        <v/>
      </c>
      <c r="CZ599">
        <f>$C599*CZ598</f>
        <v/>
      </c>
      <c r="DA599">
        <f>$C599*DA598</f>
        <v/>
      </c>
      <c r="DB599">
        <f>$C599*DB598</f>
        <v/>
      </c>
      <c r="DC599">
        <f>$C599*DC598</f>
        <v/>
      </c>
    </row>
    <row r="600">
      <c r="B600" t="inlineStr">
        <is>
          <t>VSP-603</t>
        </is>
      </c>
      <c r="C600" t="inlineStr">
        <is>
          <t>No. of batches</t>
        </is>
      </c>
      <c r="D600">
        <f>IFERROR(INDEX(PP_Grid[#Data],$DD600,2),0)</f>
        <v/>
      </c>
      <c r="E600">
        <f>IFERROR(INDEX(PP_Grid[#Data],$DD600,3),0)</f>
        <v/>
      </c>
      <c r="F600">
        <f>IFERROR(INDEX(PP_Grid[#Data],$DD600,4),0)</f>
        <v/>
      </c>
      <c r="G600">
        <f>IFERROR(INDEX(PP_Grid[#Data],$DD600,5),0)</f>
        <v/>
      </c>
      <c r="H600">
        <f>IFERROR(INDEX(PP_Grid[#Data],$DD600,6),0)</f>
        <v/>
      </c>
      <c r="I600">
        <f>IFERROR(INDEX(PP_Grid[#Data],$DD600,7),0)</f>
        <v/>
      </c>
      <c r="J600">
        <f>IFERROR(INDEX(PP_Grid[#Data],$DD600,8),0)</f>
        <v/>
      </c>
      <c r="K600">
        <f>IFERROR(INDEX(PP_Grid[#Data],$DD600,9),0)</f>
        <v/>
      </c>
      <c r="L600">
        <f>IFERROR(INDEX(PP_Grid[#Data],$DD600,10),0)</f>
        <v/>
      </c>
      <c r="M600">
        <f>IFERROR(INDEX(PP_Grid[#Data],$DD600,11),0)</f>
        <v/>
      </c>
      <c r="N600">
        <f>IFERROR(INDEX(PP_Grid[#Data],$DD600,12),0)</f>
        <v/>
      </c>
      <c r="O600">
        <f>IFERROR(INDEX(PP_Grid[#Data],$DD600,13),0)</f>
        <v/>
      </c>
      <c r="P600">
        <f>IFERROR(INDEX(PP_Grid[#Data],$DD600,14),0)</f>
        <v/>
      </c>
      <c r="Q600">
        <f>IFERROR(INDEX(PP_Grid[#Data],$DD600,15),0)</f>
        <v/>
      </c>
      <c r="R600">
        <f>IFERROR(INDEX(PP_Grid[#Data],$DD600,16),0)</f>
        <v/>
      </c>
      <c r="S600">
        <f>IFERROR(INDEX(PP_Grid[#Data],$DD600,17),0)</f>
        <v/>
      </c>
      <c r="T600">
        <f>IFERROR(INDEX(PP_Grid[#Data],$DD600,18),0)</f>
        <v/>
      </c>
      <c r="U600">
        <f>IFERROR(INDEX(PP_Grid[#Data],$DD600,19),0)</f>
        <v/>
      </c>
      <c r="V600">
        <f>IFERROR(INDEX(PP_Grid[#Data],$DD600,20),0)</f>
        <v/>
      </c>
      <c r="W600">
        <f>IFERROR(INDEX(PP_Grid[#Data],$DD600,21),0)</f>
        <v/>
      </c>
      <c r="X600">
        <f>IFERROR(INDEX(PP_Grid[#Data],$DD600,22),0)</f>
        <v/>
      </c>
      <c r="Y600">
        <f>IFERROR(INDEX(PP_Grid[#Data],$DD600,23),0)</f>
        <v/>
      </c>
      <c r="Z600">
        <f>IFERROR(INDEX(PP_Grid[#Data],$DD600,24),0)</f>
        <v/>
      </c>
      <c r="AA600">
        <f>IFERROR(INDEX(PP_Grid[#Data],$DD600,25),0)</f>
        <v/>
      </c>
      <c r="AB600">
        <f>IFERROR(INDEX(PP_Grid[#Data],$DD600,26),0)</f>
        <v/>
      </c>
      <c r="AC600">
        <f>IFERROR(INDEX(PP_Grid[#Data],$DD600,27),0)</f>
        <v/>
      </c>
      <c r="AD600">
        <f>IFERROR(INDEX(PP_Grid[#Data],$DD600,28),0)</f>
        <v/>
      </c>
      <c r="AE600">
        <f>IFERROR(INDEX(PP_Grid[#Data],$DD600,29),0)</f>
        <v/>
      </c>
      <c r="AF600">
        <f>IFERROR(INDEX(PP_Grid[#Data],$DD600,30),0)</f>
        <v/>
      </c>
      <c r="AG600">
        <f>IFERROR(INDEX(PP_Grid[#Data],$DD600,31),0)</f>
        <v/>
      </c>
      <c r="AH600">
        <f>IFERROR(INDEX(PP_Grid[#Data],$DD600,32),0)</f>
        <v/>
      </c>
      <c r="AI600">
        <f>IFERROR(INDEX(PP_Grid[#Data],$DD600,33),0)</f>
        <v/>
      </c>
      <c r="AJ600">
        <f>IFERROR(INDEX(PP_Grid[#Data],$DD600,34),0)</f>
        <v/>
      </c>
      <c r="AK600">
        <f>IFERROR(INDEX(PP_Grid[#Data],$DD600,35),0)</f>
        <v/>
      </c>
      <c r="AL600">
        <f>IFERROR(INDEX(PP_Grid[#Data],$DD600,36),0)</f>
        <v/>
      </c>
      <c r="AM600">
        <f>IFERROR(INDEX(PP_Grid[#Data],$DD600,37),0)</f>
        <v/>
      </c>
      <c r="AN600">
        <f>IFERROR(INDEX(PP_Grid[#Data],$DD600,38),0)</f>
        <v/>
      </c>
      <c r="AO600">
        <f>IFERROR(INDEX(PP_Grid[#Data],$DD600,39),0)</f>
        <v/>
      </c>
      <c r="AP600">
        <f>IFERROR(INDEX(PP_Grid[#Data],$DD600,40),0)</f>
        <v/>
      </c>
      <c r="AQ600">
        <f>IFERROR(INDEX(PP_Grid[#Data],$DD600,41),0)</f>
        <v/>
      </c>
      <c r="AR600">
        <f>IFERROR(INDEX(PP_Grid[#Data],$DD600,42),0)</f>
        <v/>
      </c>
      <c r="AS600">
        <f>IFERROR(INDEX(PP_Grid[#Data],$DD600,43),0)</f>
        <v/>
      </c>
      <c r="AT600">
        <f>IFERROR(INDEX(PP_Grid[#Data],$DD600,44),0)</f>
        <v/>
      </c>
      <c r="AU600">
        <f>IFERROR(INDEX(PP_Grid[#Data],$DD600,45),0)</f>
        <v/>
      </c>
      <c r="AV600">
        <f>IFERROR(INDEX(PP_Grid[#Data],$DD600,46),0)</f>
        <v/>
      </c>
      <c r="AW600">
        <f>IFERROR(INDEX(PP_Grid[#Data],$DD600,47),0)</f>
        <v/>
      </c>
      <c r="AX600">
        <f>IFERROR(INDEX(PP_Grid[#Data],$DD600,48),0)</f>
        <v/>
      </c>
      <c r="AY600">
        <f>IFERROR(INDEX(PP_Grid[#Data],$DD600,49),0)</f>
        <v/>
      </c>
      <c r="AZ600">
        <f>IFERROR(INDEX(PP_Grid[#Data],$DD600,50),0)</f>
        <v/>
      </c>
      <c r="BA600">
        <f>IFERROR(INDEX(PP_Grid[#Data],$DD600,51),0)</f>
        <v/>
      </c>
      <c r="BB600">
        <f>IFERROR(INDEX(PP_Grid[#Data],$DD600,52),0)</f>
        <v/>
      </c>
      <c r="BC600">
        <f>IFERROR(INDEX(PP_Grid[#Data],$DD600,53),0)</f>
        <v/>
      </c>
      <c r="BD600">
        <f>IFERROR(INDEX(PP_Grid[#Data],$DD600,54),0)</f>
        <v/>
      </c>
      <c r="BE600">
        <f>IFERROR(INDEX(PP_Grid[#Data],$DD600,55),0)</f>
        <v/>
      </c>
      <c r="BF600">
        <f>IFERROR(INDEX(PP_Grid[#Data],$DD600,56),0)</f>
        <v/>
      </c>
      <c r="BG600">
        <f>IFERROR(INDEX(PP_Grid[#Data],$DD600,57),0)</f>
        <v/>
      </c>
      <c r="BH600">
        <f>IFERROR(INDEX(PP_Grid[#Data],$DD600,58),0)</f>
        <v/>
      </c>
      <c r="BI600">
        <f>IFERROR(INDEX(PP_Grid[#Data],$DD600,59),0)</f>
        <v/>
      </c>
      <c r="BJ600">
        <f>IFERROR(INDEX(PP_Grid[#Data],$DD600,60),0)</f>
        <v/>
      </c>
      <c r="BK600">
        <f>IFERROR(INDEX(PP_Grid[#Data],$DD600,61),0)</f>
        <v/>
      </c>
      <c r="BL600">
        <f>IFERROR(INDEX(PP_Grid[#Data],$DD600,62),0)</f>
        <v/>
      </c>
      <c r="BM600">
        <f>IFERROR(INDEX(PP_Grid[#Data],$DD600,63),0)</f>
        <v/>
      </c>
      <c r="BN600">
        <f>IFERROR(INDEX(PP_Grid[#Data],$DD600,64),0)</f>
        <v/>
      </c>
      <c r="BO600">
        <f>IFERROR(INDEX(PP_Grid[#Data],$DD600,65),0)</f>
        <v/>
      </c>
      <c r="BP600">
        <f>IFERROR(INDEX(PP_Grid[#Data],$DD600,66),0)</f>
        <v/>
      </c>
      <c r="BQ600">
        <f>IFERROR(INDEX(PP_Grid[#Data],$DD600,67),0)</f>
        <v/>
      </c>
      <c r="BR600">
        <f>IFERROR(INDEX(PP_Grid[#Data],$DD600,68),0)</f>
        <v/>
      </c>
      <c r="BS600">
        <f>IFERROR(INDEX(PP_Grid[#Data],$DD600,69),0)</f>
        <v/>
      </c>
      <c r="BT600">
        <f>IFERROR(INDEX(PP_Grid[#Data],$DD600,70),0)</f>
        <v/>
      </c>
      <c r="BU600">
        <f>IFERROR(INDEX(PP_Grid[#Data],$DD600,71),0)</f>
        <v/>
      </c>
      <c r="BV600">
        <f>IFERROR(INDEX(PP_Grid[#Data],$DD600,72),0)</f>
        <v/>
      </c>
      <c r="BW600">
        <f>IFERROR(INDEX(PP_Grid[#Data],$DD600,73),0)</f>
        <v/>
      </c>
      <c r="BX600">
        <f>IFERROR(INDEX(PP_Grid[#Data],$DD600,74),0)</f>
        <v/>
      </c>
      <c r="BY600">
        <f>IFERROR(INDEX(PP_Grid[#Data],$DD600,75),0)</f>
        <v/>
      </c>
      <c r="BZ600">
        <f>IFERROR(INDEX(PP_Grid[#Data],$DD600,76),0)</f>
        <v/>
      </c>
      <c r="CA600">
        <f>IFERROR(INDEX(PP_Grid[#Data],$DD600,77),0)</f>
        <v/>
      </c>
      <c r="CB600">
        <f>IFERROR(INDEX(PP_Grid[#Data],$DD600,78),0)</f>
        <v/>
      </c>
      <c r="CC600">
        <f>IFERROR(INDEX(PP_Grid[#Data],$DD600,79),0)</f>
        <v/>
      </c>
      <c r="CD600">
        <f>IFERROR(INDEX(PP_Grid[#Data],$DD600,80),0)</f>
        <v/>
      </c>
      <c r="CE600">
        <f>IFERROR(INDEX(PP_Grid[#Data],$DD600,81),0)</f>
        <v/>
      </c>
      <c r="CF600">
        <f>IFERROR(INDEX(PP_Grid[#Data],$DD600,82),0)</f>
        <v/>
      </c>
      <c r="CG600">
        <f>IFERROR(INDEX(PP_Grid[#Data],$DD600,83),0)</f>
        <v/>
      </c>
      <c r="CH600">
        <f>IFERROR(INDEX(PP_Grid[#Data],$DD600,84),0)</f>
        <v/>
      </c>
      <c r="CI600">
        <f>IFERROR(INDEX(PP_Grid[#Data],$DD600,85),0)</f>
        <v/>
      </c>
      <c r="CJ600">
        <f>IFERROR(INDEX(PP_Grid[#Data],$DD600,86),0)</f>
        <v/>
      </c>
      <c r="CK600">
        <f>IFERROR(INDEX(PP_Grid[#Data],$DD600,87),0)</f>
        <v/>
      </c>
      <c r="CL600">
        <f>IFERROR(INDEX(PP_Grid[#Data],$DD600,88),0)</f>
        <v/>
      </c>
      <c r="CM600">
        <f>IFERROR(INDEX(PP_Grid[#Data],$DD600,89),0)</f>
        <v/>
      </c>
      <c r="CN600">
        <f>IFERROR(INDEX(PP_Grid[#Data],$DD600,90),0)</f>
        <v/>
      </c>
      <c r="CO600">
        <f>IFERROR(INDEX(PP_Grid[#Data],$DD600,91),0)</f>
        <v/>
      </c>
      <c r="CP600">
        <f>IFERROR(INDEX(PP_Grid[#Data],$DD600,92),0)</f>
        <v/>
      </c>
      <c r="CQ600">
        <f>IFERROR(INDEX(PP_Grid[#Data],$DD600,93),0)</f>
        <v/>
      </c>
      <c r="CR600">
        <f>IFERROR(INDEX(PP_Grid[#Data],$DD600,94),0)</f>
        <v/>
      </c>
      <c r="CS600">
        <f>IFERROR(INDEX(PP_Grid[#Data],$DD600,95),0)</f>
        <v/>
      </c>
      <c r="CT600">
        <f>IFERROR(INDEX(PP_Grid[#Data],$DD600,96),0)</f>
        <v/>
      </c>
      <c r="CU600">
        <f>IFERROR(INDEX(PP_Grid[#Data],$DD600,97),0)</f>
        <v/>
      </c>
      <c r="CV600">
        <f>IFERROR(INDEX(PP_Grid[#Data],$DD600,98),0)</f>
        <v/>
      </c>
      <c r="CW600">
        <f>IFERROR(INDEX(PP_Grid[#Data],$DD600,99),0)</f>
        <v/>
      </c>
      <c r="CX600">
        <f>IFERROR(INDEX(PP_Grid[#Data],$DD600,100),0)</f>
        <v/>
      </c>
      <c r="CY600">
        <f>IFERROR(INDEX(PP_Grid[#Data],$DD600,101),0)</f>
        <v/>
      </c>
      <c r="CZ600">
        <f>IFERROR(INDEX(PP_Grid[#Data],$DD600,102),0)</f>
        <v/>
      </c>
      <c r="DA600">
        <f>IFERROR(INDEX(PP_Grid[#Data],$DD600,103),0)</f>
        <v/>
      </c>
      <c r="DB600">
        <f>IFERROR(INDEX(PP_Grid[#Data],$DD600,104),0)</f>
        <v/>
      </c>
      <c r="DC600">
        <f>IFERROR(INDEX(PP_Grid[#Data],$DD600,105),0)</f>
        <v/>
      </c>
      <c r="DD600" s="7">
        <f>IFERROR(MATCH($B600,PP_Grid[Intermediate],0),99999)</f>
        <v/>
      </c>
    </row>
    <row r="601">
      <c r="B601" t="inlineStr">
        <is>
          <t>使用量(kg)</t>
        </is>
      </c>
      <c r="C601">
        <f>SUMIFS(M_BOM[RM_Qty_Per_Batch],M_BOM[Intermediate],$B600,M_BOM[Part Name],$A589)</f>
        <v/>
      </c>
      <c r="D601">
        <f>$C601*D600</f>
        <v/>
      </c>
      <c r="E601">
        <f>$C601*E600</f>
        <v/>
      </c>
      <c r="F601">
        <f>$C601*F600</f>
        <v/>
      </c>
      <c r="G601">
        <f>$C601*G600</f>
        <v/>
      </c>
      <c r="H601">
        <f>$C601*H600</f>
        <v/>
      </c>
      <c r="I601">
        <f>$C601*I600</f>
        <v/>
      </c>
      <c r="J601">
        <f>$C601*J600</f>
        <v/>
      </c>
      <c r="K601">
        <f>$C601*K600</f>
        <v/>
      </c>
      <c r="L601">
        <f>$C601*L600</f>
        <v/>
      </c>
      <c r="M601">
        <f>$C601*M600</f>
        <v/>
      </c>
      <c r="N601">
        <f>$C601*N600</f>
        <v/>
      </c>
      <c r="O601">
        <f>$C601*O600</f>
        <v/>
      </c>
      <c r="P601">
        <f>$C601*P600</f>
        <v/>
      </c>
      <c r="Q601">
        <f>$C601*Q600</f>
        <v/>
      </c>
      <c r="R601">
        <f>$C601*R600</f>
        <v/>
      </c>
      <c r="S601">
        <f>$C601*S600</f>
        <v/>
      </c>
      <c r="T601">
        <f>$C601*T600</f>
        <v/>
      </c>
      <c r="U601">
        <f>$C601*U600</f>
        <v/>
      </c>
      <c r="V601">
        <f>$C601*V600</f>
        <v/>
      </c>
      <c r="W601">
        <f>$C601*W600</f>
        <v/>
      </c>
      <c r="X601">
        <f>$C601*X600</f>
        <v/>
      </c>
      <c r="Y601">
        <f>$C601*Y600</f>
        <v/>
      </c>
      <c r="Z601">
        <f>$C601*Z600</f>
        <v/>
      </c>
      <c r="AA601">
        <f>$C601*AA600</f>
        <v/>
      </c>
      <c r="AB601">
        <f>$C601*AB600</f>
        <v/>
      </c>
      <c r="AC601">
        <f>$C601*AC600</f>
        <v/>
      </c>
      <c r="AD601">
        <f>$C601*AD600</f>
        <v/>
      </c>
      <c r="AE601">
        <f>$C601*AE600</f>
        <v/>
      </c>
      <c r="AF601">
        <f>$C601*AF600</f>
        <v/>
      </c>
      <c r="AG601">
        <f>$C601*AG600</f>
        <v/>
      </c>
      <c r="AH601">
        <f>$C601*AH600</f>
        <v/>
      </c>
      <c r="AI601">
        <f>$C601*AI600</f>
        <v/>
      </c>
      <c r="AJ601">
        <f>$C601*AJ600</f>
        <v/>
      </c>
      <c r="AK601">
        <f>$C601*AK600</f>
        <v/>
      </c>
      <c r="AL601">
        <f>$C601*AL600</f>
        <v/>
      </c>
      <c r="AM601">
        <f>$C601*AM600</f>
        <v/>
      </c>
      <c r="AN601">
        <f>$C601*AN600</f>
        <v/>
      </c>
      <c r="AO601">
        <f>$C601*AO600</f>
        <v/>
      </c>
      <c r="AP601">
        <f>$C601*AP600</f>
        <v/>
      </c>
      <c r="AQ601">
        <f>$C601*AQ600</f>
        <v/>
      </c>
      <c r="AR601">
        <f>$C601*AR600</f>
        <v/>
      </c>
      <c r="AS601">
        <f>$C601*AS600</f>
        <v/>
      </c>
      <c r="AT601">
        <f>$C601*AT600</f>
        <v/>
      </c>
      <c r="AU601">
        <f>$C601*AU600</f>
        <v/>
      </c>
      <c r="AV601">
        <f>$C601*AV600</f>
        <v/>
      </c>
      <c r="AW601">
        <f>$C601*AW600</f>
        <v/>
      </c>
      <c r="AX601">
        <f>$C601*AX600</f>
        <v/>
      </c>
      <c r="AY601">
        <f>$C601*AY600</f>
        <v/>
      </c>
      <c r="AZ601">
        <f>$C601*AZ600</f>
        <v/>
      </c>
      <c r="BA601">
        <f>$C601*BA600</f>
        <v/>
      </c>
      <c r="BB601">
        <f>$C601*BB600</f>
        <v/>
      </c>
      <c r="BC601">
        <f>$C601*BC600</f>
        <v/>
      </c>
      <c r="BD601">
        <f>$C601*BD600</f>
        <v/>
      </c>
      <c r="BE601">
        <f>$C601*BE600</f>
        <v/>
      </c>
      <c r="BF601">
        <f>$C601*BF600</f>
        <v/>
      </c>
      <c r="BG601">
        <f>$C601*BG600</f>
        <v/>
      </c>
      <c r="BH601">
        <f>$C601*BH600</f>
        <v/>
      </c>
      <c r="BI601">
        <f>$C601*BI600</f>
        <v/>
      </c>
      <c r="BJ601">
        <f>$C601*BJ600</f>
        <v/>
      </c>
      <c r="BK601">
        <f>$C601*BK600</f>
        <v/>
      </c>
      <c r="BL601">
        <f>$C601*BL600</f>
        <v/>
      </c>
      <c r="BM601">
        <f>$C601*BM600</f>
        <v/>
      </c>
      <c r="BN601">
        <f>$C601*BN600</f>
        <v/>
      </c>
      <c r="BO601">
        <f>$C601*BO600</f>
        <v/>
      </c>
      <c r="BP601">
        <f>$C601*BP600</f>
        <v/>
      </c>
      <c r="BQ601">
        <f>$C601*BQ600</f>
        <v/>
      </c>
      <c r="BR601">
        <f>$C601*BR600</f>
        <v/>
      </c>
      <c r="BS601">
        <f>$C601*BS600</f>
        <v/>
      </c>
      <c r="BT601">
        <f>$C601*BT600</f>
        <v/>
      </c>
      <c r="BU601">
        <f>$C601*BU600</f>
        <v/>
      </c>
      <c r="BV601">
        <f>$C601*BV600</f>
        <v/>
      </c>
      <c r="BW601">
        <f>$C601*BW600</f>
        <v/>
      </c>
      <c r="BX601">
        <f>$C601*BX600</f>
        <v/>
      </c>
      <c r="BY601">
        <f>$C601*BY600</f>
        <v/>
      </c>
      <c r="BZ601">
        <f>$C601*BZ600</f>
        <v/>
      </c>
      <c r="CA601">
        <f>$C601*CA600</f>
        <v/>
      </c>
      <c r="CB601">
        <f>$C601*CB600</f>
        <v/>
      </c>
      <c r="CC601">
        <f>$C601*CC600</f>
        <v/>
      </c>
      <c r="CD601">
        <f>$C601*CD600</f>
        <v/>
      </c>
      <c r="CE601">
        <f>$C601*CE600</f>
        <v/>
      </c>
      <c r="CF601">
        <f>$C601*CF600</f>
        <v/>
      </c>
      <c r="CG601">
        <f>$C601*CG600</f>
        <v/>
      </c>
      <c r="CH601">
        <f>$C601*CH600</f>
        <v/>
      </c>
      <c r="CI601">
        <f>$C601*CI600</f>
        <v/>
      </c>
      <c r="CJ601">
        <f>$C601*CJ600</f>
        <v/>
      </c>
      <c r="CK601">
        <f>$C601*CK600</f>
        <v/>
      </c>
      <c r="CL601">
        <f>$C601*CL600</f>
        <v/>
      </c>
      <c r="CM601">
        <f>$C601*CM600</f>
        <v/>
      </c>
      <c r="CN601">
        <f>$C601*CN600</f>
        <v/>
      </c>
      <c r="CO601">
        <f>$C601*CO600</f>
        <v/>
      </c>
      <c r="CP601">
        <f>$C601*CP600</f>
        <v/>
      </c>
      <c r="CQ601">
        <f>$C601*CQ600</f>
        <v/>
      </c>
      <c r="CR601">
        <f>$C601*CR600</f>
        <v/>
      </c>
      <c r="CS601">
        <f>$C601*CS600</f>
        <v/>
      </c>
      <c r="CT601">
        <f>$C601*CT600</f>
        <v/>
      </c>
      <c r="CU601">
        <f>$C601*CU600</f>
        <v/>
      </c>
      <c r="CV601">
        <f>$C601*CV600</f>
        <v/>
      </c>
      <c r="CW601">
        <f>$C601*CW600</f>
        <v/>
      </c>
      <c r="CX601">
        <f>$C601*CX600</f>
        <v/>
      </c>
      <c r="CY601">
        <f>$C601*CY600</f>
        <v/>
      </c>
      <c r="CZ601">
        <f>$C601*CZ600</f>
        <v/>
      </c>
      <c r="DA601">
        <f>$C601*DA600</f>
        <v/>
      </c>
      <c r="DB601">
        <f>$C601*DB600</f>
        <v/>
      </c>
      <c r="DC601">
        <f>$C601*DC600</f>
        <v/>
      </c>
    </row>
    <row r="602">
      <c r="B602" t="inlineStr">
        <is>
          <t>VSP-604</t>
        </is>
      </c>
      <c r="C602" t="inlineStr">
        <is>
          <t>No. of batches</t>
        </is>
      </c>
      <c r="D602">
        <f>IFERROR(INDEX(PP_Grid[#Data],$DD602,2),0)</f>
        <v/>
      </c>
      <c r="E602">
        <f>IFERROR(INDEX(PP_Grid[#Data],$DD602,3),0)</f>
        <v/>
      </c>
      <c r="F602">
        <f>IFERROR(INDEX(PP_Grid[#Data],$DD602,4),0)</f>
        <v/>
      </c>
      <c r="G602">
        <f>IFERROR(INDEX(PP_Grid[#Data],$DD602,5),0)</f>
        <v/>
      </c>
      <c r="H602">
        <f>IFERROR(INDEX(PP_Grid[#Data],$DD602,6),0)</f>
        <v/>
      </c>
      <c r="I602">
        <f>IFERROR(INDEX(PP_Grid[#Data],$DD602,7),0)</f>
        <v/>
      </c>
      <c r="J602">
        <f>IFERROR(INDEX(PP_Grid[#Data],$DD602,8),0)</f>
        <v/>
      </c>
      <c r="K602">
        <f>IFERROR(INDEX(PP_Grid[#Data],$DD602,9),0)</f>
        <v/>
      </c>
      <c r="L602">
        <f>IFERROR(INDEX(PP_Grid[#Data],$DD602,10),0)</f>
        <v/>
      </c>
      <c r="M602">
        <f>IFERROR(INDEX(PP_Grid[#Data],$DD602,11),0)</f>
        <v/>
      </c>
      <c r="N602">
        <f>IFERROR(INDEX(PP_Grid[#Data],$DD602,12),0)</f>
        <v/>
      </c>
      <c r="O602">
        <f>IFERROR(INDEX(PP_Grid[#Data],$DD602,13),0)</f>
        <v/>
      </c>
      <c r="P602">
        <f>IFERROR(INDEX(PP_Grid[#Data],$DD602,14),0)</f>
        <v/>
      </c>
      <c r="Q602">
        <f>IFERROR(INDEX(PP_Grid[#Data],$DD602,15),0)</f>
        <v/>
      </c>
      <c r="R602">
        <f>IFERROR(INDEX(PP_Grid[#Data],$DD602,16),0)</f>
        <v/>
      </c>
      <c r="S602">
        <f>IFERROR(INDEX(PP_Grid[#Data],$DD602,17),0)</f>
        <v/>
      </c>
      <c r="T602">
        <f>IFERROR(INDEX(PP_Grid[#Data],$DD602,18),0)</f>
        <v/>
      </c>
      <c r="U602">
        <f>IFERROR(INDEX(PP_Grid[#Data],$DD602,19),0)</f>
        <v/>
      </c>
      <c r="V602">
        <f>IFERROR(INDEX(PP_Grid[#Data],$DD602,20),0)</f>
        <v/>
      </c>
      <c r="W602">
        <f>IFERROR(INDEX(PP_Grid[#Data],$DD602,21),0)</f>
        <v/>
      </c>
      <c r="X602">
        <f>IFERROR(INDEX(PP_Grid[#Data],$DD602,22),0)</f>
        <v/>
      </c>
      <c r="Y602">
        <f>IFERROR(INDEX(PP_Grid[#Data],$DD602,23),0)</f>
        <v/>
      </c>
      <c r="Z602">
        <f>IFERROR(INDEX(PP_Grid[#Data],$DD602,24),0)</f>
        <v/>
      </c>
      <c r="AA602">
        <f>IFERROR(INDEX(PP_Grid[#Data],$DD602,25),0)</f>
        <v/>
      </c>
      <c r="AB602">
        <f>IFERROR(INDEX(PP_Grid[#Data],$DD602,26),0)</f>
        <v/>
      </c>
      <c r="AC602">
        <f>IFERROR(INDEX(PP_Grid[#Data],$DD602,27),0)</f>
        <v/>
      </c>
      <c r="AD602">
        <f>IFERROR(INDEX(PP_Grid[#Data],$DD602,28),0)</f>
        <v/>
      </c>
      <c r="AE602">
        <f>IFERROR(INDEX(PP_Grid[#Data],$DD602,29),0)</f>
        <v/>
      </c>
      <c r="AF602">
        <f>IFERROR(INDEX(PP_Grid[#Data],$DD602,30),0)</f>
        <v/>
      </c>
      <c r="AG602">
        <f>IFERROR(INDEX(PP_Grid[#Data],$DD602,31),0)</f>
        <v/>
      </c>
      <c r="AH602">
        <f>IFERROR(INDEX(PP_Grid[#Data],$DD602,32),0)</f>
        <v/>
      </c>
      <c r="AI602">
        <f>IFERROR(INDEX(PP_Grid[#Data],$DD602,33),0)</f>
        <v/>
      </c>
      <c r="AJ602">
        <f>IFERROR(INDEX(PP_Grid[#Data],$DD602,34),0)</f>
        <v/>
      </c>
      <c r="AK602">
        <f>IFERROR(INDEX(PP_Grid[#Data],$DD602,35),0)</f>
        <v/>
      </c>
      <c r="AL602">
        <f>IFERROR(INDEX(PP_Grid[#Data],$DD602,36),0)</f>
        <v/>
      </c>
      <c r="AM602">
        <f>IFERROR(INDEX(PP_Grid[#Data],$DD602,37),0)</f>
        <v/>
      </c>
      <c r="AN602">
        <f>IFERROR(INDEX(PP_Grid[#Data],$DD602,38),0)</f>
        <v/>
      </c>
      <c r="AO602">
        <f>IFERROR(INDEX(PP_Grid[#Data],$DD602,39),0)</f>
        <v/>
      </c>
      <c r="AP602">
        <f>IFERROR(INDEX(PP_Grid[#Data],$DD602,40),0)</f>
        <v/>
      </c>
      <c r="AQ602">
        <f>IFERROR(INDEX(PP_Grid[#Data],$DD602,41),0)</f>
        <v/>
      </c>
      <c r="AR602">
        <f>IFERROR(INDEX(PP_Grid[#Data],$DD602,42),0)</f>
        <v/>
      </c>
      <c r="AS602">
        <f>IFERROR(INDEX(PP_Grid[#Data],$DD602,43),0)</f>
        <v/>
      </c>
      <c r="AT602">
        <f>IFERROR(INDEX(PP_Grid[#Data],$DD602,44),0)</f>
        <v/>
      </c>
      <c r="AU602">
        <f>IFERROR(INDEX(PP_Grid[#Data],$DD602,45),0)</f>
        <v/>
      </c>
      <c r="AV602">
        <f>IFERROR(INDEX(PP_Grid[#Data],$DD602,46),0)</f>
        <v/>
      </c>
      <c r="AW602">
        <f>IFERROR(INDEX(PP_Grid[#Data],$DD602,47),0)</f>
        <v/>
      </c>
      <c r="AX602">
        <f>IFERROR(INDEX(PP_Grid[#Data],$DD602,48),0)</f>
        <v/>
      </c>
      <c r="AY602">
        <f>IFERROR(INDEX(PP_Grid[#Data],$DD602,49),0)</f>
        <v/>
      </c>
      <c r="AZ602">
        <f>IFERROR(INDEX(PP_Grid[#Data],$DD602,50),0)</f>
        <v/>
      </c>
      <c r="BA602">
        <f>IFERROR(INDEX(PP_Grid[#Data],$DD602,51),0)</f>
        <v/>
      </c>
      <c r="BB602">
        <f>IFERROR(INDEX(PP_Grid[#Data],$DD602,52),0)</f>
        <v/>
      </c>
      <c r="BC602">
        <f>IFERROR(INDEX(PP_Grid[#Data],$DD602,53),0)</f>
        <v/>
      </c>
      <c r="BD602">
        <f>IFERROR(INDEX(PP_Grid[#Data],$DD602,54),0)</f>
        <v/>
      </c>
      <c r="BE602">
        <f>IFERROR(INDEX(PP_Grid[#Data],$DD602,55),0)</f>
        <v/>
      </c>
      <c r="BF602">
        <f>IFERROR(INDEX(PP_Grid[#Data],$DD602,56),0)</f>
        <v/>
      </c>
      <c r="BG602">
        <f>IFERROR(INDEX(PP_Grid[#Data],$DD602,57),0)</f>
        <v/>
      </c>
      <c r="BH602">
        <f>IFERROR(INDEX(PP_Grid[#Data],$DD602,58),0)</f>
        <v/>
      </c>
      <c r="BI602">
        <f>IFERROR(INDEX(PP_Grid[#Data],$DD602,59),0)</f>
        <v/>
      </c>
      <c r="BJ602">
        <f>IFERROR(INDEX(PP_Grid[#Data],$DD602,60),0)</f>
        <v/>
      </c>
      <c r="BK602">
        <f>IFERROR(INDEX(PP_Grid[#Data],$DD602,61),0)</f>
        <v/>
      </c>
      <c r="BL602">
        <f>IFERROR(INDEX(PP_Grid[#Data],$DD602,62),0)</f>
        <v/>
      </c>
      <c r="BM602">
        <f>IFERROR(INDEX(PP_Grid[#Data],$DD602,63),0)</f>
        <v/>
      </c>
      <c r="BN602">
        <f>IFERROR(INDEX(PP_Grid[#Data],$DD602,64),0)</f>
        <v/>
      </c>
      <c r="BO602">
        <f>IFERROR(INDEX(PP_Grid[#Data],$DD602,65),0)</f>
        <v/>
      </c>
      <c r="BP602">
        <f>IFERROR(INDEX(PP_Grid[#Data],$DD602,66),0)</f>
        <v/>
      </c>
      <c r="BQ602">
        <f>IFERROR(INDEX(PP_Grid[#Data],$DD602,67),0)</f>
        <v/>
      </c>
      <c r="BR602">
        <f>IFERROR(INDEX(PP_Grid[#Data],$DD602,68),0)</f>
        <v/>
      </c>
      <c r="BS602">
        <f>IFERROR(INDEX(PP_Grid[#Data],$DD602,69),0)</f>
        <v/>
      </c>
      <c r="BT602">
        <f>IFERROR(INDEX(PP_Grid[#Data],$DD602,70),0)</f>
        <v/>
      </c>
      <c r="BU602">
        <f>IFERROR(INDEX(PP_Grid[#Data],$DD602,71),0)</f>
        <v/>
      </c>
      <c r="BV602">
        <f>IFERROR(INDEX(PP_Grid[#Data],$DD602,72),0)</f>
        <v/>
      </c>
      <c r="BW602">
        <f>IFERROR(INDEX(PP_Grid[#Data],$DD602,73),0)</f>
        <v/>
      </c>
      <c r="BX602">
        <f>IFERROR(INDEX(PP_Grid[#Data],$DD602,74),0)</f>
        <v/>
      </c>
      <c r="BY602">
        <f>IFERROR(INDEX(PP_Grid[#Data],$DD602,75),0)</f>
        <v/>
      </c>
      <c r="BZ602">
        <f>IFERROR(INDEX(PP_Grid[#Data],$DD602,76),0)</f>
        <v/>
      </c>
      <c r="CA602">
        <f>IFERROR(INDEX(PP_Grid[#Data],$DD602,77),0)</f>
        <v/>
      </c>
      <c r="CB602">
        <f>IFERROR(INDEX(PP_Grid[#Data],$DD602,78),0)</f>
        <v/>
      </c>
      <c r="CC602">
        <f>IFERROR(INDEX(PP_Grid[#Data],$DD602,79),0)</f>
        <v/>
      </c>
      <c r="CD602">
        <f>IFERROR(INDEX(PP_Grid[#Data],$DD602,80),0)</f>
        <v/>
      </c>
      <c r="CE602">
        <f>IFERROR(INDEX(PP_Grid[#Data],$DD602,81),0)</f>
        <v/>
      </c>
      <c r="CF602">
        <f>IFERROR(INDEX(PP_Grid[#Data],$DD602,82),0)</f>
        <v/>
      </c>
      <c r="CG602">
        <f>IFERROR(INDEX(PP_Grid[#Data],$DD602,83),0)</f>
        <v/>
      </c>
      <c r="CH602">
        <f>IFERROR(INDEX(PP_Grid[#Data],$DD602,84),0)</f>
        <v/>
      </c>
      <c r="CI602">
        <f>IFERROR(INDEX(PP_Grid[#Data],$DD602,85),0)</f>
        <v/>
      </c>
      <c r="CJ602">
        <f>IFERROR(INDEX(PP_Grid[#Data],$DD602,86),0)</f>
        <v/>
      </c>
      <c r="CK602">
        <f>IFERROR(INDEX(PP_Grid[#Data],$DD602,87),0)</f>
        <v/>
      </c>
      <c r="CL602">
        <f>IFERROR(INDEX(PP_Grid[#Data],$DD602,88),0)</f>
        <v/>
      </c>
      <c r="CM602">
        <f>IFERROR(INDEX(PP_Grid[#Data],$DD602,89),0)</f>
        <v/>
      </c>
      <c r="CN602">
        <f>IFERROR(INDEX(PP_Grid[#Data],$DD602,90),0)</f>
        <v/>
      </c>
      <c r="CO602">
        <f>IFERROR(INDEX(PP_Grid[#Data],$DD602,91),0)</f>
        <v/>
      </c>
      <c r="CP602">
        <f>IFERROR(INDEX(PP_Grid[#Data],$DD602,92),0)</f>
        <v/>
      </c>
      <c r="CQ602">
        <f>IFERROR(INDEX(PP_Grid[#Data],$DD602,93),0)</f>
        <v/>
      </c>
      <c r="CR602">
        <f>IFERROR(INDEX(PP_Grid[#Data],$DD602,94),0)</f>
        <v/>
      </c>
      <c r="CS602">
        <f>IFERROR(INDEX(PP_Grid[#Data],$DD602,95),0)</f>
        <v/>
      </c>
      <c r="CT602">
        <f>IFERROR(INDEX(PP_Grid[#Data],$DD602,96),0)</f>
        <v/>
      </c>
      <c r="CU602">
        <f>IFERROR(INDEX(PP_Grid[#Data],$DD602,97),0)</f>
        <v/>
      </c>
      <c r="CV602">
        <f>IFERROR(INDEX(PP_Grid[#Data],$DD602,98),0)</f>
        <v/>
      </c>
      <c r="CW602">
        <f>IFERROR(INDEX(PP_Grid[#Data],$DD602,99),0)</f>
        <v/>
      </c>
      <c r="CX602">
        <f>IFERROR(INDEX(PP_Grid[#Data],$DD602,100),0)</f>
        <v/>
      </c>
      <c r="CY602">
        <f>IFERROR(INDEX(PP_Grid[#Data],$DD602,101),0)</f>
        <v/>
      </c>
      <c r="CZ602">
        <f>IFERROR(INDEX(PP_Grid[#Data],$DD602,102),0)</f>
        <v/>
      </c>
      <c r="DA602">
        <f>IFERROR(INDEX(PP_Grid[#Data],$DD602,103),0)</f>
        <v/>
      </c>
      <c r="DB602">
        <f>IFERROR(INDEX(PP_Grid[#Data],$DD602,104),0)</f>
        <v/>
      </c>
      <c r="DC602">
        <f>IFERROR(INDEX(PP_Grid[#Data],$DD602,105),0)</f>
        <v/>
      </c>
      <c r="DD602" s="7">
        <f>IFERROR(MATCH($B602,PP_Grid[Intermediate],0),99999)</f>
        <v/>
      </c>
    </row>
    <row r="603">
      <c r="B603" t="inlineStr">
        <is>
          <t>使用量(kg)</t>
        </is>
      </c>
      <c r="C603">
        <f>SUMIFS(M_BOM[RM_Qty_Per_Batch],M_BOM[Intermediate],$B602,M_BOM[Part Name],$A589)</f>
        <v/>
      </c>
      <c r="D603">
        <f>$C603*D602</f>
        <v/>
      </c>
      <c r="E603">
        <f>$C603*E602</f>
        <v/>
      </c>
      <c r="F603">
        <f>$C603*F602</f>
        <v/>
      </c>
      <c r="G603">
        <f>$C603*G602</f>
        <v/>
      </c>
      <c r="H603">
        <f>$C603*H602</f>
        <v/>
      </c>
      <c r="I603">
        <f>$C603*I602</f>
        <v/>
      </c>
      <c r="J603">
        <f>$C603*J602</f>
        <v/>
      </c>
      <c r="K603">
        <f>$C603*K602</f>
        <v/>
      </c>
      <c r="L603">
        <f>$C603*L602</f>
        <v/>
      </c>
      <c r="M603">
        <f>$C603*M602</f>
        <v/>
      </c>
      <c r="N603">
        <f>$C603*N602</f>
        <v/>
      </c>
      <c r="O603">
        <f>$C603*O602</f>
        <v/>
      </c>
      <c r="P603">
        <f>$C603*P602</f>
        <v/>
      </c>
      <c r="Q603">
        <f>$C603*Q602</f>
        <v/>
      </c>
      <c r="R603">
        <f>$C603*R602</f>
        <v/>
      </c>
      <c r="S603">
        <f>$C603*S602</f>
        <v/>
      </c>
      <c r="T603">
        <f>$C603*T602</f>
        <v/>
      </c>
      <c r="U603">
        <f>$C603*U602</f>
        <v/>
      </c>
      <c r="V603">
        <f>$C603*V602</f>
        <v/>
      </c>
      <c r="W603">
        <f>$C603*W602</f>
        <v/>
      </c>
      <c r="X603">
        <f>$C603*X602</f>
        <v/>
      </c>
      <c r="Y603">
        <f>$C603*Y602</f>
        <v/>
      </c>
      <c r="Z603">
        <f>$C603*Z602</f>
        <v/>
      </c>
      <c r="AA603">
        <f>$C603*AA602</f>
        <v/>
      </c>
      <c r="AB603">
        <f>$C603*AB602</f>
        <v/>
      </c>
      <c r="AC603">
        <f>$C603*AC602</f>
        <v/>
      </c>
      <c r="AD603">
        <f>$C603*AD602</f>
        <v/>
      </c>
      <c r="AE603">
        <f>$C603*AE602</f>
        <v/>
      </c>
      <c r="AF603">
        <f>$C603*AF602</f>
        <v/>
      </c>
      <c r="AG603">
        <f>$C603*AG602</f>
        <v/>
      </c>
      <c r="AH603">
        <f>$C603*AH602</f>
        <v/>
      </c>
      <c r="AI603">
        <f>$C603*AI602</f>
        <v/>
      </c>
      <c r="AJ603">
        <f>$C603*AJ602</f>
        <v/>
      </c>
      <c r="AK603">
        <f>$C603*AK602</f>
        <v/>
      </c>
      <c r="AL603">
        <f>$C603*AL602</f>
        <v/>
      </c>
      <c r="AM603">
        <f>$C603*AM602</f>
        <v/>
      </c>
      <c r="AN603">
        <f>$C603*AN602</f>
        <v/>
      </c>
      <c r="AO603">
        <f>$C603*AO602</f>
        <v/>
      </c>
      <c r="AP603">
        <f>$C603*AP602</f>
        <v/>
      </c>
      <c r="AQ603">
        <f>$C603*AQ602</f>
        <v/>
      </c>
      <c r="AR603">
        <f>$C603*AR602</f>
        <v/>
      </c>
      <c r="AS603">
        <f>$C603*AS602</f>
        <v/>
      </c>
      <c r="AT603">
        <f>$C603*AT602</f>
        <v/>
      </c>
      <c r="AU603">
        <f>$C603*AU602</f>
        <v/>
      </c>
      <c r="AV603">
        <f>$C603*AV602</f>
        <v/>
      </c>
      <c r="AW603">
        <f>$C603*AW602</f>
        <v/>
      </c>
      <c r="AX603">
        <f>$C603*AX602</f>
        <v/>
      </c>
      <c r="AY603">
        <f>$C603*AY602</f>
        <v/>
      </c>
      <c r="AZ603">
        <f>$C603*AZ602</f>
        <v/>
      </c>
      <c r="BA603">
        <f>$C603*BA602</f>
        <v/>
      </c>
      <c r="BB603">
        <f>$C603*BB602</f>
        <v/>
      </c>
      <c r="BC603">
        <f>$C603*BC602</f>
        <v/>
      </c>
      <c r="BD603">
        <f>$C603*BD602</f>
        <v/>
      </c>
      <c r="BE603">
        <f>$C603*BE602</f>
        <v/>
      </c>
      <c r="BF603">
        <f>$C603*BF602</f>
        <v/>
      </c>
      <c r="BG603">
        <f>$C603*BG602</f>
        <v/>
      </c>
      <c r="BH603">
        <f>$C603*BH602</f>
        <v/>
      </c>
      <c r="BI603">
        <f>$C603*BI602</f>
        <v/>
      </c>
      <c r="BJ603">
        <f>$C603*BJ602</f>
        <v/>
      </c>
      <c r="BK603">
        <f>$C603*BK602</f>
        <v/>
      </c>
      <c r="BL603">
        <f>$C603*BL602</f>
        <v/>
      </c>
      <c r="BM603">
        <f>$C603*BM602</f>
        <v/>
      </c>
      <c r="BN603">
        <f>$C603*BN602</f>
        <v/>
      </c>
      <c r="BO603">
        <f>$C603*BO602</f>
        <v/>
      </c>
      <c r="BP603">
        <f>$C603*BP602</f>
        <v/>
      </c>
      <c r="BQ603">
        <f>$C603*BQ602</f>
        <v/>
      </c>
      <c r="BR603">
        <f>$C603*BR602</f>
        <v/>
      </c>
      <c r="BS603">
        <f>$C603*BS602</f>
        <v/>
      </c>
      <c r="BT603">
        <f>$C603*BT602</f>
        <v/>
      </c>
      <c r="BU603">
        <f>$C603*BU602</f>
        <v/>
      </c>
      <c r="BV603">
        <f>$C603*BV602</f>
        <v/>
      </c>
      <c r="BW603">
        <f>$C603*BW602</f>
        <v/>
      </c>
      <c r="BX603">
        <f>$C603*BX602</f>
        <v/>
      </c>
      <c r="BY603">
        <f>$C603*BY602</f>
        <v/>
      </c>
      <c r="BZ603">
        <f>$C603*BZ602</f>
        <v/>
      </c>
      <c r="CA603">
        <f>$C603*CA602</f>
        <v/>
      </c>
      <c r="CB603">
        <f>$C603*CB602</f>
        <v/>
      </c>
      <c r="CC603">
        <f>$C603*CC602</f>
        <v/>
      </c>
      <c r="CD603">
        <f>$C603*CD602</f>
        <v/>
      </c>
      <c r="CE603">
        <f>$C603*CE602</f>
        <v/>
      </c>
      <c r="CF603">
        <f>$C603*CF602</f>
        <v/>
      </c>
      <c r="CG603">
        <f>$C603*CG602</f>
        <v/>
      </c>
      <c r="CH603">
        <f>$C603*CH602</f>
        <v/>
      </c>
      <c r="CI603">
        <f>$C603*CI602</f>
        <v/>
      </c>
      <c r="CJ603">
        <f>$C603*CJ602</f>
        <v/>
      </c>
      <c r="CK603">
        <f>$C603*CK602</f>
        <v/>
      </c>
      <c r="CL603">
        <f>$C603*CL602</f>
        <v/>
      </c>
      <c r="CM603">
        <f>$C603*CM602</f>
        <v/>
      </c>
      <c r="CN603">
        <f>$C603*CN602</f>
        <v/>
      </c>
      <c r="CO603">
        <f>$C603*CO602</f>
        <v/>
      </c>
      <c r="CP603">
        <f>$C603*CP602</f>
        <v/>
      </c>
      <c r="CQ603">
        <f>$C603*CQ602</f>
        <v/>
      </c>
      <c r="CR603">
        <f>$C603*CR602</f>
        <v/>
      </c>
      <c r="CS603">
        <f>$C603*CS602</f>
        <v/>
      </c>
      <c r="CT603">
        <f>$C603*CT602</f>
        <v/>
      </c>
      <c r="CU603">
        <f>$C603*CU602</f>
        <v/>
      </c>
      <c r="CV603">
        <f>$C603*CV602</f>
        <v/>
      </c>
      <c r="CW603">
        <f>$C603*CW602</f>
        <v/>
      </c>
      <c r="CX603">
        <f>$C603*CX602</f>
        <v/>
      </c>
      <c r="CY603">
        <f>$C603*CY602</f>
        <v/>
      </c>
      <c r="CZ603">
        <f>$C603*CZ602</f>
        <v/>
      </c>
      <c r="DA603">
        <f>$C603*DA602</f>
        <v/>
      </c>
      <c r="DB603">
        <f>$C603*DB602</f>
        <v/>
      </c>
      <c r="DC603">
        <f>$C603*DC602</f>
        <v/>
      </c>
    </row>
    <row r="604">
      <c r="B604" t="inlineStr">
        <is>
          <t>VSP-606</t>
        </is>
      </c>
      <c r="C604" t="inlineStr">
        <is>
          <t>No. of batches</t>
        </is>
      </c>
      <c r="D604">
        <f>IFERROR(INDEX(PP_Grid[#Data],$DD604,2),0)</f>
        <v/>
      </c>
      <c r="E604">
        <f>IFERROR(INDEX(PP_Grid[#Data],$DD604,3),0)</f>
        <v/>
      </c>
      <c r="F604">
        <f>IFERROR(INDEX(PP_Grid[#Data],$DD604,4),0)</f>
        <v/>
      </c>
      <c r="G604">
        <f>IFERROR(INDEX(PP_Grid[#Data],$DD604,5),0)</f>
        <v/>
      </c>
      <c r="H604">
        <f>IFERROR(INDEX(PP_Grid[#Data],$DD604,6),0)</f>
        <v/>
      </c>
      <c r="I604">
        <f>IFERROR(INDEX(PP_Grid[#Data],$DD604,7),0)</f>
        <v/>
      </c>
      <c r="J604">
        <f>IFERROR(INDEX(PP_Grid[#Data],$DD604,8),0)</f>
        <v/>
      </c>
      <c r="K604">
        <f>IFERROR(INDEX(PP_Grid[#Data],$DD604,9),0)</f>
        <v/>
      </c>
      <c r="L604">
        <f>IFERROR(INDEX(PP_Grid[#Data],$DD604,10),0)</f>
        <v/>
      </c>
      <c r="M604">
        <f>IFERROR(INDEX(PP_Grid[#Data],$DD604,11),0)</f>
        <v/>
      </c>
      <c r="N604">
        <f>IFERROR(INDEX(PP_Grid[#Data],$DD604,12),0)</f>
        <v/>
      </c>
      <c r="O604">
        <f>IFERROR(INDEX(PP_Grid[#Data],$DD604,13),0)</f>
        <v/>
      </c>
      <c r="P604">
        <f>IFERROR(INDEX(PP_Grid[#Data],$DD604,14),0)</f>
        <v/>
      </c>
      <c r="Q604">
        <f>IFERROR(INDEX(PP_Grid[#Data],$DD604,15),0)</f>
        <v/>
      </c>
      <c r="R604">
        <f>IFERROR(INDEX(PP_Grid[#Data],$DD604,16),0)</f>
        <v/>
      </c>
      <c r="S604">
        <f>IFERROR(INDEX(PP_Grid[#Data],$DD604,17),0)</f>
        <v/>
      </c>
      <c r="T604">
        <f>IFERROR(INDEX(PP_Grid[#Data],$DD604,18),0)</f>
        <v/>
      </c>
      <c r="U604">
        <f>IFERROR(INDEX(PP_Grid[#Data],$DD604,19),0)</f>
        <v/>
      </c>
      <c r="V604">
        <f>IFERROR(INDEX(PP_Grid[#Data],$DD604,20),0)</f>
        <v/>
      </c>
      <c r="W604">
        <f>IFERROR(INDEX(PP_Grid[#Data],$DD604,21),0)</f>
        <v/>
      </c>
      <c r="X604">
        <f>IFERROR(INDEX(PP_Grid[#Data],$DD604,22),0)</f>
        <v/>
      </c>
      <c r="Y604">
        <f>IFERROR(INDEX(PP_Grid[#Data],$DD604,23),0)</f>
        <v/>
      </c>
      <c r="Z604">
        <f>IFERROR(INDEX(PP_Grid[#Data],$DD604,24),0)</f>
        <v/>
      </c>
      <c r="AA604">
        <f>IFERROR(INDEX(PP_Grid[#Data],$DD604,25),0)</f>
        <v/>
      </c>
      <c r="AB604">
        <f>IFERROR(INDEX(PP_Grid[#Data],$DD604,26),0)</f>
        <v/>
      </c>
      <c r="AC604">
        <f>IFERROR(INDEX(PP_Grid[#Data],$DD604,27),0)</f>
        <v/>
      </c>
      <c r="AD604">
        <f>IFERROR(INDEX(PP_Grid[#Data],$DD604,28),0)</f>
        <v/>
      </c>
      <c r="AE604">
        <f>IFERROR(INDEX(PP_Grid[#Data],$DD604,29),0)</f>
        <v/>
      </c>
      <c r="AF604">
        <f>IFERROR(INDEX(PP_Grid[#Data],$DD604,30),0)</f>
        <v/>
      </c>
      <c r="AG604">
        <f>IFERROR(INDEX(PP_Grid[#Data],$DD604,31),0)</f>
        <v/>
      </c>
      <c r="AH604">
        <f>IFERROR(INDEX(PP_Grid[#Data],$DD604,32),0)</f>
        <v/>
      </c>
      <c r="AI604">
        <f>IFERROR(INDEX(PP_Grid[#Data],$DD604,33),0)</f>
        <v/>
      </c>
      <c r="AJ604">
        <f>IFERROR(INDEX(PP_Grid[#Data],$DD604,34),0)</f>
        <v/>
      </c>
      <c r="AK604">
        <f>IFERROR(INDEX(PP_Grid[#Data],$DD604,35),0)</f>
        <v/>
      </c>
      <c r="AL604">
        <f>IFERROR(INDEX(PP_Grid[#Data],$DD604,36),0)</f>
        <v/>
      </c>
      <c r="AM604">
        <f>IFERROR(INDEX(PP_Grid[#Data],$DD604,37),0)</f>
        <v/>
      </c>
      <c r="AN604">
        <f>IFERROR(INDEX(PP_Grid[#Data],$DD604,38),0)</f>
        <v/>
      </c>
      <c r="AO604">
        <f>IFERROR(INDEX(PP_Grid[#Data],$DD604,39),0)</f>
        <v/>
      </c>
      <c r="AP604">
        <f>IFERROR(INDEX(PP_Grid[#Data],$DD604,40),0)</f>
        <v/>
      </c>
      <c r="AQ604">
        <f>IFERROR(INDEX(PP_Grid[#Data],$DD604,41),0)</f>
        <v/>
      </c>
      <c r="AR604">
        <f>IFERROR(INDEX(PP_Grid[#Data],$DD604,42),0)</f>
        <v/>
      </c>
      <c r="AS604">
        <f>IFERROR(INDEX(PP_Grid[#Data],$DD604,43),0)</f>
        <v/>
      </c>
      <c r="AT604">
        <f>IFERROR(INDEX(PP_Grid[#Data],$DD604,44),0)</f>
        <v/>
      </c>
      <c r="AU604">
        <f>IFERROR(INDEX(PP_Grid[#Data],$DD604,45),0)</f>
        <v/>
      </c>
      <c r="AV604">
        <f>IFERROR(INDEX(PP_Grid[#Data],$DD604,46),0)</f>
        <v/>
      </c>
      <c r="AW604">
        <f>IFERROR(INDEX(PP_Grid[#Data],$DD604,47),0)</f>
        <v/>
      </c>
      <c r="AX604">
        <f>IFERROR(INDEX(PP_Grid[#Data],$DD604,48),0)</f>
        <v/>
      </c>
      <c r="AY604">
        <f>IFERROR(INDEX(PP_Grid[#Data],$DD604,49),0)</f>
        <v/>
      </c>
      <c r="AZ604">
        <f>IFERROR(INDEX(PP_Grid[#Data],$DD604,50),0)</f>
        <v/>
      </c>
      <c r="BA604">
        <f>IFERROR(INDEX(PP_Grid[#Data],$DD604,51),0)</f>
        <v/>
      </c>
      <c r="BB604">
        <f>IFERROR(INDEX(PP_Grid[#Data],$DD604,52),0)</f>
        <v/>
      </c>
      <c r="BC604">
        <f>IFERROR(INDEX(PP_Grid[#Data],$DD604,53),0)</f>
        <v/>
      </c>
      <c r="BD604">
        <f>IFERROR(INDEX(PP_Grid[#Data],$DD604,54),0)</f>
        <v/>
      </c>
      <c r="BE604">
        <f>IFERROR(INDEX(PP_Grid[#Data],$DD604,55),0)</f>
        <v/>
      </c>
      <c r="BF604">
        <f>IFERROR(INDEX(PP_Grid[#Data],$DD604,56),0)</f>
        <v/>
      </c>
      <c r="BG604">
        <f>IFERROR(INDEX(PP_Grid[#Data],$DD604,57),0)</f>
        <v/>
      </c>
      <c r="BH604">
        <f>IFERROR(INDEX(PP_Grid[#Data],$DD604,58),0)</f>
        <v/>
      </c>
      <c r="BI604">
        <f>IFERROR(INDEX(PP_Grid[#Data],$DD604,59),0)</f>
        <v/>
      </c>
      <c r="BJ604">
        <f>IFERROR(INDEX(PP_Grid[#Data],$DD604,60),0)</f>
        <v/>
      </c>
      <c r="BK604">
        <f>IFERROR(INDEX(PP_Grid[#Data],$DD604,61),0)</f>
        <v/>
      </c>
      <c r="BL604">
        <f>IFERROR(INDEX(PP_Grid[#Data],$DD604,62),0)</f>
        <v/>
      </c>
      <c r="BM604">
        <f>IFERROR(INDEX(PP_Grid[#Data],$DD604,63),0)</f>
        <v/>
      </c>
      <c r="BN604">
        <f>IFERROR(INDEX(PP_Grid[#Data],$DD604,64),0)</f>
        <v/>
      </c>
      <c r="BO604">
        <f>IFERROR(INDEX(PP_Grid[#Data],$DD604,65),0)</f>
        <v/>
      </c>
      <c r="BP604">
        <f>IFERROR(INDEX(PP_Grid[#Data],$DD604,66),0)</f>
        <v/>
      </c>
      <c r="BQ604">
        <f>IFERROR(INDEX(PP_Grid[#Data],$DD604,67),0)</f>
        <v/>
      </c>
      <c r="BR604">
        <f>IFERROR(INDEX(PP_Grid[#Data],$DD604,68),0)</f>
        <v/>
      </c>
      <c r="BS604">
        <f>IFERROR(INDEX(PP_Grid[#Data],$DD604,69),0)</f>
        <v/>
      </c>
      <c r="BT604">
        <f>IFERROR(INDEX(PP_Grid[#Data],$DD604,70),0)</f>
        <v/>
      </c>
      <c r="BU604">
        <f>IFERROR(INDEX(PP_Grid[#Data],$DD604,71),0)</f>
        <v/>
      </c>
      <c r="BV604">
        <f>IFERROR(INDEX(PP_Grid[#Data],$DD604,72),0)</f>
        <v/>
      </c>
      <c r="BW604">
        <f>IFERROR(INDEX(PP_Grid[#Data],$DD604,73),0)</f>
        <v/>
      </c>
      <c r="BX604">
        <f>IFERROR(INDEX(PP_Grid[#Data],$DD604,74),0)</f>
        <v/>
      </c>
      <c r="BY604">
        <f>IFERROR(INDEX(PP_Grid[#Data],$DD604,75),0)</f>
        <v/>
      </c>
      <c r="BZ604">
        <f>IFERROR(INDEX(PP_Grid[#Data],$DD604,76),0)</f>
        <v/>
      </c>
      <c r="CA604">
        <f>IFERROR(INDEX(PP_Grid[#Data],$DD604,77),0)</f>
        <v/>
      </c>
      <c r="CB604">
        <f>IFERROR(INDEX(PP_Grid[#Data],$DD604,78),0)</f>
        <v/>
      </c>
      <c r="CC604">
        <f>IFERROR(INDEX(PP_Grid[#Data],$DD604,79),0)</f>
        <v/>
      </c>
      <c r="CD604">
        <f>IFERROR(INDEX(PP_Grid[#Data],$DD604,80),0)</f>
        <v/>
      </c>
      <c r="CE604">
        <f>IFERROR(INDEX(PP_Grid[#Data],$DD604,81),0)</f>
        <v/>
      </c>
      <c r="CF604">
        <f>IFERROR(INDEX(PP_Grid[#Data],$DD604,82),0)</f>
        <v/>
      </c>
      <c r="CG604">
        <f>IFERROR(INDEX(PP_Grid[#Data],$DD604,83),0)</f>
        <v/>
      </c>
      <c r="CH604">
        <f>IFERROR(INDEX(PP_Grid[#Data],$DD604,84),0)</f>
        <v/>
      </c>
      <c r="CI604">
        <f>IFERROR(INDEX(PP_Grid[#Data],$DD604,85),0)</f>
        <v/>
      </c>
      <c r="CJ604">
        <f>IFERROR(INDEX(PP_Grid[#Data],$DD604,86),0)</f>
        <v/>
      </c>
      <c r="CK604">
        <f>IFERROR(INDEX(PP_Grid[#Data],$DD604,87),0)</f>
        <v/>
      </c>
      <c r="CL604">
        <f>IFERROR(INDEX(PP_Grid[#Data],$DD604,88),0)</f>
        <v/>
      </c>
      <c r="CM604">
        <f>IFERROR(INDEX(PP_Grid[#Data],$DD604,89),0)</f>
        <v/>
      </c>
      <c r="CN604">
        <f>IFERROR(INDEX(PP_Grid[#Data],$DD604,90),0)</f>
        <v/>
      </c>
      <c r="CO604">
        <f>IFERROR(INDEX(PP_Grid[#Data],$DD604,91),0)</f>
        <v/>
      </c>
      <c r="CP604">
        <f>IFERROR(INDEX(PP_Grid[#Data],$DD604,92),0)</f>
        <v/>
      </c>
      <c r="CQ604">
        <f>IFERROR(INDEX(PP_Grid[#Data],$DD604,93),0)</f>
        <v/>
      </c>
      <c r="CR604">
        <f>IFERROR(INDEX(PP_Grid[#Data],$DD604,94),0)</f>
        <v/>
      </c>
      <c r="CS604">
        <f>IFERROR(INDEX(PP_Grid[#Data],$DD604,95),0)</f>
        <v/>
      </c>
      <c r="CT604">
        <f>IFERROR(INDEX(PP_Grid[#Data],$DD604,96),0)</f>
        <v/>
      </c>
      <c r="CU604">
        <f>IFERROR(INDEX(PP_Grid[#Data],$DD604,97),0)</f>
        <v/>
      </c>
      <c r="CV604">
        <f>IFERROR(INDEX(PP_Grid[#Data],$DD604,98),0)</f>
        <v/>
      </c>
      <c r="CW604">
        <f>IFERROR(INDEX(PP_Grid[#Data],$DD604,99),0)</f>
        <v/>
      </c>
      <c r="CX604">
        <f>IFERROR(INDEX(PP_Grid[#Data],$DD604,100),0)</f>
        <v/>
      </c>
      <c r="CY604">
        <f>IFERROR(INDEX(PP_Grid[#Data],$DD604,101),0)</f>
        <v/>
      </c>
      <c r="CZ604">
        <f>IFERROR(INDEX(PP_Grid[#Data],$DD604,102),0)</f>
        <v/>
      </c>
      <c r="DA604">
        <f>IFERROR(INDEX(PP_Grid[#Data],$DD604,103),0)</f>
        <v/>
      </c>
      <c r="DB604">
        <f>IFERROR(INDEX(PP_Grid[#Data],$DD604,104),0)</f>
        <v/>
      </c>
      <c r="DC604">
        <f>IFERROR(INDEX(PP_Grid[#Data],$DD604,105),0)</f>
        <v/>
      </c>
      <c r="DD604" s="7">
        <f>IFERROR(MATCH($B604,PP_Grid[Intermediate],0),99999)</f>
        <v/>
      </c>
    </row>
    <row r="605">
      <c r="B605" t="inlineStr">
        <is>
          <t>使用量(kg)</t>
        </is>
      </c>
      <c r="C605">
        <f>SUMIFS(M_BOM[RM_Qty_Per_Batch],M_BOM[Intermediate],$B604,M_BOM[Part Name],$A589)</f>
        <v/>
      </c>
      <c r="D605">
        <f>$C605*D604</f>
        <v/>
      </c>
      <c r="E605">
        <f>$C605*E604</f>
        <v/>
      </c>
      <c r="F605">
        <f>$C605*F604</f>
        <v/>
      </c>
      <c r="G605">
        <f>$C605*G604</f>
        <v/>
      </c>
      <c r="H605">
        <f>$C605*H604</f>
        <v/>
      </c>
      <c r="I605">
        <f>$C605*I604</f>
        <v/>
      </c>
      <c r="J605">
        <f>$C605*J604</f>
        <v/>
      </c>
      <c r="K605">
        <f>$C605*K604</f>
        <v/>
      </c>
      <c r="L605">
        <f>$C605*L604</f>
        <v/>
      </c>
      <c r="M605">
        <f>$C605*M604</f>
        <v/>
      </c>
      <c r="N605">
        <f>$C605*N604</f>
        <v/>
      </c>
      <c r="O605">
        <f>$C605*O604</f>
        <v/>
      </c>
      <c r="P605">
        <f>$C605*P604</f>
        <v/>
      </c>
      <c r="Q605">
        <f>$C605*Q604</f>
        <v/>
      </c>
      <c r="R605">
        <f>$C605*R604</f>
        <v/>
      </c>
      <c r="S605">
        <f>$C605*S604</f>
        <v/>
      </c>
      <c r="T605">
        <f>$C605*T604</f>
        <v/>
      </c>
      <c r="U605">
        <f>$C605*U604</f>
        <v/>
      </c>
      <c r="V605">
        <f>$C605*V604</f>
        <v/>
      </c>
      <c r="W605">
        <f>$C605*W604</f>
        <v/>
      </c>
      <c r="X605">
        <f>$C605*X604</f>
        <v/>
      </c>
      <c r="Y605">
        <f>$C605*Y604</f>
        <v/>
      </c>
      <c r="Z605">
        <f>$C605*Z604</f>
        <v/>
      </c>
      <c r="AA605">
        <f>$C605*AA604</f>
        <v/>
      </c>
      <c r="AB605">
        <f>$C605*AB604</f>
        <v/>
      </c>
      <c r="AC605">
        <f>$C605*AC604</f>
        <v/>
      </c>
      <c r="AD605">
        <f>$C605*AD604</f>
        <v/>
      </c>
      <c r="AE605">
        <f>$C605*AE604</f>
        <v/>
      </c>
      <c r="AF605">
        <f>$C605*AF604</f>
        <v/>
      </c>
      <c r="AG605">
        <f>$C605*AG604</f>
        <v/>
      </c>
      <c r="AH605">
        <f>$C605*AH604</f>
        <v/>
      </c>
      <c r="AI605">
        <f>$C605*AI604</f>
        <v/>
      </c>
      <c r="AJ605">
        <f>$C605*AJ604</f>
        <v/>
      </c>
      <c r="AK605">
        <f>$C605*AK604</f>
        <v/>
      </c>
      <c r="AL605">
        <f>$C605*AL604</f>
        <v/>
      </c>
      <c r="AM605">
        <f>$C605*AM604</f>
        <v/>
      </c>
      <c r="AN605">
        <f>$C605*AN604</f>
        <v/>
      </c>
      <c r="AO605">
        <f>$C605*AO604</f>
        <v/>
      </c>
      <c r="AP605">
        <f>$C605*AP604</f>
        <v/>
      </c>
      <c r="AQ605">
        <f>$C605*AQ604</f>
        <v/>
      </c>
      <c r="AR605">
        <f>$C605*AR604</f>
        <v/>
      </c>
      <c r="AS605">
        <f>$C605*AS604</f>
        <v/>
      </c>
      <c r="AT605">
        <f>$C605*AT604</f>
        <v/>
      </c>
      <c r="AU605">
        <f>$C605*AU604</f>
        <v/>
      </c>
      <c r="AV605">
        <f>$C605*AV604</f>
        <v/>
      </c>
      <c r="AW605">
        <f>$C605*AW604</f>
        <v/>
      </c>
      <c r="AX605">
        <f>$C605*AX604</f>
        <v/>
      </c>
      <c r="AY605">
        <f>$C605*AY604</f>
        <v/>
      </c>
      <c r="AZ605">
        <f>$C605*AZ604</f>
        <v/>
      </c>
      <c r="BA605">
        <f>$C605*BA604</f>
        <v/>
      </c>
      <c r="BB605">
        <f>$C605*BB604</f>
        <v/>
      </c>
      <c r="BC605">
        <f>$C605*BC604</f>
        <v/>
      </c>
      <c r="BD605">
        <f>$C605*BD604</f>
        <v/>
      </c>
      <c r="BE605">
        <f>$C605*BE604</f>
        <v/>
      </c>
      <c r="BF605">
        <f>$C605*BF604</f>
        <v/>
      </c>
      <c r="BG605">
        <f>$C605*BG604</f>
        <v/>
      </c>
      <c r="BH605">
        <f>$C605*BH604</f>
        <v/>
      </c>
      <c r="BI605">
        <f>$C605*BI604</f>
        <v/>
      </c>
      <c r="BJ605">
        <f>$C605*BJ604</f>
        <v/>
      </c>
      <c r="BK605">
        <f>$C605*BK604</f>
        <v/>
      </c>
      <c r="BL605">
        <f>$C605*BL604</f>
        <v/>
      </c>
      <c r="BM605">
        <f>$C605*BM604</f>
        <v/>
      </c>
      <c r="BN605">
        <f>$C605*BN604</f>
        <v/>
      </c>
      <c r="BO605">
        <f>$C605*BO604</f>
        <v/>
      </c>
      <c r="BP605">
        <f>$C605*BP604</f>
        <v/>
      </c>
      <c r="BQ605">
        <f>$C605*BQ604</f>
        <v/>
      </c>
      <c r="BR605">
        <f>$C605*BR604</f>
        <v/>
      </c>
      <c r="BS605">
        <f>$C605*BS604</f>
        <v/>
      </c>
      <c r="BT605">
        <f>$C605*BT604</f>
        <v/>
      </c>
      <c r="BU605">
        <f>$C605*BU604</f>
        <v/>
      </c>
      <c r="BV605">
        <f>$C605*BV604</f>
        <v/>
      </c>
      <c r="BW605">
        <f>$C605*BW604</f>
        <v/>
      </c>
      <c r="BX605">
        <f>$C605*BX604</f>
        <v/>
      </c>
      <c r="BY605">
        <f>$C605*BY604</f>
        <v/>
      </c>
      <c r="BZ605">
        <f>$C605*BZ604</f>
        <v/>
      </c>
      <c r="CA605">
        <f>$C605*CA604</f>
        <v/>
      </c>
      <c r="CB605">
        <f>$C605*CB604</f>
        <v/>
      </c>
      <c r="CC605">
        <f>$C605*CC604</f>
        <v/>
      </c>
      <c r="CD605">
        <f>$C605*CD604</f>
        <v/>
      </c>
      <c r="CE605">
        <f>$C605*CE604</f>
        <v/>
      </c>
      <c r="CF605">
        <f>$C605*CF604</f>
        <v/>
      </c>
      <c r="CG605">
        <f>$C605*CG604</f>
        <v/>
      </c>
      <c r="CH605">
        <f>$C605*CH604</f>
        <v/>
      </c>
      <c r="CI605">
        <f>$C605*CI604</f>
        <v/>
      </c>
      <c r="CJ605">
        <f>$C605*CJ604</f>
        <v/>
      </c>
      <c r="CK605">
        <f>$C605*CK604</f>
        <v/>
      </c>
      <c r="CL605">
        <f>$C605*CL604</f>
        <v/>
      </c>
      <c r="CM605">
        <f>$C605*CM604</f>
        <v/>
      </c>
      <c r="CN605">
        <f>$C605*CN604</f>
        <v/>
      </c>
      <c r="CO605">
        <f>$C605*CO604</f>
        <v/>
      </c>
      <c r="CP605">
        <f>$C605*CP604</f>
        <v/>
      </c>
      <c r="CQ605">
        <f>$C605*CQ604</f>
        <v/>
      </c>
      <c r="CR605">
        <f>$C605*CR604</f>
        <v/>
      </c>
      <c r="CS605">
        <f>$C605*CS604</f>
        <v/>
      </c>
      <c r="CT605">
        <f>$C605*CT604</f>
        <v/>
      </c>
      <c r="CU605">
        <f>$C605*CU604</f>
        <v/>
      </c>
      <c r="CV605">
        <f>$C605*CV604</f>
        <v/>
      </c>
      <c r="CW605">
        <f>$C605*CW604</f>
        <v/>
      </c>
      <c r="CX605">
        <f>$C605*CX604</f>
        <v/>
      </c>
      <c r="CY605">
        <f>$C605*CY604</f>
        <v/>
      </c>
      <c r="CZ605">
        <f>$C605*CZ604</f>
        <v/>
      </c>
      <c r="DA605">
        <f>$C605*DA604</f>
        <v/>
      </c>
      <c r="DB605">
        <f>$C605*DB604</f>
        <v/>
      </c>
      <c r="DC605">
        <f>$C605*DC604</f>
        <v/>
      </c>
    </row>
    <row r="606">
      <c r="B606" t="inlineStr">
        <is>
          <t>VSP-607</t>
        </is>
      </c>
      <c r="C606" t="inlineStr">
        <is>
          <t>No. of batches</t>
        </is>
      </c>
      <c r="D606">
        <f>IFERROR(INDEX(PP_Grid[#Data],$DD606,2),0)</f>
        <v/>
      </c>
      <c r="E606">
        <f>IFERROR(INDEX(PP_Grid[#Data],$DD606,3),0)</f>
        <v/>
      </c>
      <c r="F606">
        <f>IFERROR(INDEX(PP_Grid[#Data],$DD606,4),0)</f>
        <v/>
      </c>
      <c r="G606">
        <f>IFERROR(INDEX(PP_Grid[#Data],$DD606,5),0)</f>
        <v/>
      </c>
      <c r="H606">
        <f>IFERROR(INDEX(PP_Grid[#Data],$DD606,6),0)</f>
        <v/>
      </c>
      <c r="I606">
        <f>IFERROR(INDEX(PP_Grid[#Data],$DD606,7),0)</f>
        <v/>
      </c>
      <c r="J606">
        <f>IFERROR(INDEX(PP_Grid[#Data],$DD606,8),0)</f>
        <v/>
      </c>
      <c r="K606">
        <f>IFERROR(INDEX(PP_Grid[#Data],$DD606,9),0)</f>
        <v/>
      </c>
      <c r="L606">
        <f>IFERROR(INDEX(PP_Grid[#Data],$DD606,10),0)</f>
        <v/>
      </c>
      <c r="M606">
        <f>IFERROR(INDEX(PP_Grid[#Data],$DD606,11),0)</f>
        <v/>
      </c>
      <c r="N606">
        <f>IFERROR(INDEX(PP_Grid[#Data],$DD606,12),0)</f>
        <v/>
      </c>
      <c r="O606">
        <f>IFERROR(INDEX(PP_Grid[#Data],$DD606,13),0)</f>
        <v/>
      </c>
      <c r="P606">
        <f>IFERROR(INDEX(PP_Grid[#Data],$DD606,14),0)</f>
        <v/>
      </c>
      <c r="Q606">
        <f>IFERROR(INDEX(PP_Grid[#Data],$DD606,15),0)</f>
        <v/>
      </c>
      <c r="R606">
        <f>IFERROR(INDEX(PP_Grid[#Data],$DD606,16),0)</f>
        <v/>
      </c>
      <c r="S606">
        <f>IFERROR(INDEX(PP_Grid[#Data],$DD606,17),0)</f>
        <v/>
      </c>
      <c r="T606">
        <f>IFERROR(INDEX(PP_Grid[#Data],$DD606,18),0)</f>
        <v/>
      </c>
      <c r="U606">
        <f>IFERROR(INDEX(PP_Grid[#Data],$DD606,19),0)</f>
        <v/>
      </c>
      <c r="V606">
        <f>IFERROR(INDEX(PP_Grid[#Data],$DD606,20),0)</f>
        <v/>
      </c>
      <c r="W606">
        <f>IFERROR(INDEX(PP_Grid[#Data],$DD606,21),0)</f>
        <v/>
      </c>
      <c r="X606">
        <f>IFERROR(INDEX(PP_Grid[#Data],$DD606,22),0)</f>
        <v/>
      </c>
      <c r="Y606">
        <f>IFERROR(INDEX(PP_Grid[#Data],$DD606,23),0)</f>
        <v/>
      </c>
      <c r="Z606">
        <f>IFERROR(INDEX(PP_Grid[#Data],$DD606,24),0)</f>
        <v/>
      </c>
      <c r="AA606">
        <f>IFERROR(INDEX(PP_Grid[#Data],$DD606,25),0)</f>
        <v/>
      </c>
      <c r="AB606">
        <f>IFERROR(INDEX(PP_Grid[#Data],$DD606,26),0)</f>
        <v/>
      </c>
      <c r="AC606">
        <f>IFERROR(INDEX(PP_Grid[#Data],$DD606,27),0)</f>
        <v/>
      </c>
      <c r="AD606">
        <f>IFERROR(INDEX(PP_Grid[#Data],$DD606,28),0)</f>
        <v/>
      </c>
      <c r="AE606">
        <f>IFERROR(INDEX(PP_Grid[#Data],$DD606,29),0)</f>
        <v/>
      </c>
      <c r="AF606">
        <f>IFERROR(INDEX(PP_Grid[#Data],$DD606,30),0)</f>
        <v/>
      </c>
      <c r="AG606">
        <f>IFERROR(INDEX(PP_Grid[#Data],$DD606,31),0)</f>
        <v/>
      </c>
      <c r="AH606">
        <f>IFERROR(INDEX(PP_Grid[#Data],$DD606,32),0)</f>
        <v/>
      </c>
      <c r="AI606">
        <f>IFERROR(INDEX(PP_Grid[#Data],$DD606,33),0)</f>
        <v/>
      </c>
      <c r="AJ606">
        <f>IFERROR(INDEX(PP_Grid[#Data],$DD606,34),0)</f>
        <v/>
      </c>
      <c r="AK606">
        <f>IFERROR(INDEX(PP_Grid[#Data],$DD606,35),0)</f>
        <v/>
      </c>
      <c r="AL606">
        <f>IFERROR(INDEX(PP_Grid[#Data],$DD606,36),0)</f>
        <v/>
      </c>
      <c r="AM606">
        <f>IFERROR(INDEX(PP_Grid[#Data],$DD606,37),0)</f>
        <v/>
      </c>
      <c r="AN606">
        <f>IFERROR(INDEX(PP_Grid[#Data],$DD606,38),0)</f>
        <v/>
      </c>
      <c r="AO606">
        <f>IFERROR(INDEX(PP_Grid[#Data],$DD606,39),0)</f>
        <v/>
      </c>
      <c r="AP606">
        <f>IFERROR(INDEX(PP_Grid[#Data],$DD606,40),0)</f>
        <v/>
      </c>
      <c r="AQ606">
        <f>IFERROR(INDEX(PP_Grid[#Data],$DD606,41),0)</f>
        <v/>
      </c>
      <c r="AR606">
        <f>IFERROR(INDEX(PP_Grid[#Data],$DD606,42),0)</f>
        <v/>
      </c>
      <c r="AS606">
        <f>IFERROR(INDEX(PP_Grid[#Data],$DD606,43),0)</f>
        <v/>
      </c>
      <c r="AT606">
        <f>IFERROR(INDEX(PP_Grid[#Data],$DD606,44),0)</f>
        <v/>
      </c>
      <c r="AU606">
        <f>IFERROR(INDEX(PP_Grid[#Data],$DD606,45),0)</f>
        <v/>
      </c>
      <c r="AV606">
        <f>IFERROR(INDEX(PP_Grid[#Data],$DD606,46),0)</f>
        <v/>
      </c>
      <c r="AW606">
        <f>IFERROR(INDEX(PP_Grid[#Data],$DD606,47),0)</f>
        <v/>
      </c>
      <c r="AX606">
        <f>IFERROR(INDEX(PP_Grid[#Data],$DD606,48),0)</f>
        <v/>
      </c>
      <c r="AY606">
        <f>IFERROR(INDEX(PP_Grid[#Data],$DD606,49),0)</f>
        <v/>
      </c>
      <c r="AZ606">
        <f>IFERROR(INDEX(PP_Grid[#Data],$DD606,50),0)</f>
        <v/>
      </c>
      <c r="BA606">
        <f>IFERROR(INDEX(PP_Grid[#Data],$DD606,51),0)</f>
        <v/>
      </c>
      <c r="BB606">
        <f>IFERROR(INDEX(PP_Grid[#Data],$DD606,52),0)</f>
        <v/>
      </c>
      <c r="BC606">
        <f>IFERROR(INDEX(PP_Grid[#Data],$DD606,53),0)</f>
        <v/>
      </c>
      <c r="BD606">
        <f>IFERROR(INDEX(PP_Grid[#Data],$DD606,54),0)</f>
        <v/>
      </c>
      <c r="BE606">
        <f>IFERROR(INDEX(PP_Grid[#Data],$DD606,55),0)</f>
        <v/>
      </c>
      <c r="BF606">
        <f>IFERROR(INDEX(PP_Grid[#Data],$DD606,56),0)</f>
        <v/>
      </c>
      <c r="BG606">
        <f>IFERROR(INDEX(PP_Grid[#Data],$DD606,57),0)</f>
        <v/>
      </c>
      <c r="BH606">
        <f>IFERROR(INDEX(PP_Grid[#Data],$DD606,58),0)</f>
        <v/>
      </c>
      <c r="BI606">
        <f>IFERROR(INDEX(PP_Grid[#Data],$DD606,59),0)</f>
        <v/>
      </c>
      <c r="BJ606">
        <f>IFERROR(INDEX(PP_Grid[#Data],$DD606,60),0)</f>
        <v/>
      </c>
      <c r="BK606">
        <f>IFERROR(INDEX(PP_Grid[#Data],$DD606,61),0)</f>
        <v/>
      </c>
      <c r="BL606">
        <f>IFERROR(INDEX(PP_Grid[#Data],$DD606,62),0)</f>
        <v/>
      </c>
      <c r="BM606">
        <f>IFERROR(INDEX(PP_Grid[#Data],$DD606,63),0)</f>
        <v/>
      </c>
      <c r="BN606">
        <f>IFERROR(INDEX(PP_Grid[#Data],$DD606,64),0)</f>
        <v/>
      </c>
      <c r="BO606">
        <f>IFERROR(INDEX(PP_Grid[#Data],$DD606,65),0)</f>
        <v/>
      </c>
      <c r="BP606">
        <f>IFERROR(INDEX(PP_Grid[#Data],$DD606,66),0)</f>
        <v/>
      </c>
      <c r="BQ606">
        <f>IFERROR(INDEX(PP_Grid[#Data],$DD606,67),0)</f>
        <v/>
      </c>
      <c r="BR606">
        <f>IFERROR(INDEX(PP_Grid[#Data],$DD606,68),0)</f>
        <v/>
      </c>
      <c r="BS606">
        <f>IFERROR(INDEX(PP_Grid[#Data],$DD606,69),0)</f>
        <v/>
      </c>
      <c r="BT606">
        <f>IFERROR(INDEX(PP_Grid[#Data],$DD606,70),0)</f>
        <v/>
      </c>
      <c r="BU606">
        <f>IFERROR(INDEX(PP_Grid[#Data],$DD606,71),0)</f>
        <v/>
      </c>
      <c r="BV606">
        <f>IFERROR(INDEX(PP_Grid[#Data],$DD606,72),0)</f>
        <v/>
      </c>
      <c r="BW606">
        <f>IFERROR(INDEX(PP_Grid[#Data],$DD606,73),0)</f>
        <v/>
      </c>
      <c r="BX606">
        <f>IFERROR(INDEX(PP_Grid[#Data],$DD606,74),0)</f>
        <v/>
      </c>
      <c r="BY606">
        <f>IFERROR(INDEX(PP_Grid[#Data],$DD606,75),0)</f>
        <v/>
      </c>
      <c r="BZ606">
        <f>IFERROR(INDEX(PP_Grid[#Data],$DD606,76),0)</f>
        <v/>
      </c>
      <c r="CA606">
        <f>IFERROR(INDEX(PP_Grid[#Data],$DD606,77),0)</f>
        <v/>
      </c>
      <c r="CB606">
        <f>IFERROR(INDEX(PP_Grid[#Data],$DD606,78),0)</f>
        <v/>
      </c>
      <c r="CC606">
        <f>IFERROR(INDEX(PP_Grid[#Data],$DD606,79),0)</f>
        <v/>
      </c>
      <c r="CD606">
        <f>IFERROR(INDEX(PP_Grid[#Data],$DD606,80),0)</f>
        <v/>
      </c>
      <c r="CE606">
        <f>IFERROR(INDEX(PP_Grid[#Data],$DD606,81),0)</f>
        <v/>
      </c>
      <c r="CF606">
        <f>IFERROR(INDEX(PP_Grid[#Data],$DD606,82),0)</f>
        <v/>
      </c>
      <c r="CG606">
        <f>IFERROR(INDEX(PP_Grid[#Data],$DD606,83),0)</f>
        <v/>
      </c>
      <c r="CH606">
        <f>IFERROR(INDEX(PP_Grid[#Data],$DD606,84),0)</f>
        <v/>
      </c>
      <c r="CI606">
        <f>IFERROR(INDEX(PP_Grid[#Data],$DD606,85),0)</f>
        <v/>
      </c>
      <c r="CJ606">
        <f>IFERROR(INDEX(PP_Grid[#Data],$DD606,86),0)</f>
        <v/>
      </c>
      <c r="CK606">
        <f>IFERROR(INDEX(PP_Grid[#Data],$DD606,87),0)</f>
        <v/>
      </c>
      <c r="CL606">
        <f>IFERROR(INDEX(PP_Grid[#Data],$DD606,88),0)</f>
        <v/>
      </c>
      <c r="CM606">
        <f>IFERROR(INDEX(PP_Grid[#Data],$DD606,89),0)</f>
        <v/>
      </c>
      <c r="CN606">
        <f>IFERROR(INDEX(PP_Grid[#Data],$DD606,90),0)</f>
        <v/>
      </c>
      <c r="CO606">
        <f>IFERROR(INDEX(PP_Grid[#Data],$DD606,91),0)</f>
        <v/>
      </c>
      <c r="CP606">
        <f>IFERROR(INDEX(PP_Grid[#Data],$DD606,92),0)</f>
        <v/>
      </c>
      <c r="CQ606">
        <f>IFERROR(INDEX(PP_Grid[#Data],$DD606,93),0)</f>
        <v/>
      </c>
      <c r="CR606">
        <f>IFERROR(INDEX(PP_Grid[#Data],$DD606,94),0)</f>
        <v/>
      </c>
      <c r="CS606">
        <f>IFERROR(INDEX(PP_Grid[#Data],$DD606,95),0)</f>
        <v/>
      </c>
      <c r="CT606">
        <f>IFERROR(INDEX(PP_Grid[#Data],$DD606,96),0)</f>
        <v/>
      </c>
      <c r="CU606">
        <f>IFERROR(INDEX(PP_Grid[#Data],$DD606,97),0)</f>
        <v/>
      </c>
      <c r="CV606">
        <f>IFERROR(INDEX(PP_Grid[#Data],$DD606,98),0)</f>
        <v/>
      </c>
      <c r="CW606">
        <f>IFERROR(INDEX(PP_Grid[#Data],$DD606,99),0)</f>
        <v/>
      </c>
      <c r="CX606">
        <f>IFERROR(INDEX(PP_Grid[#Data],$DD606,100),0)</f>
        <v/>
      </c>
      <c r="CY606">
        <f>IFERROR(INDEX(PP_Grid[#Data],$DD606,101),0)</f>
        <v/>
      </c>
      <c r="CZ606">
        <f>IFERROR(INDEX(PP_Grid[#Data],$DD606,102),0)</f>
        <v/>
      </c>
      <c r="DA606">
        <f>IFERROR(INDEX(PP_Grid[#Data],$DD606,103),0)</f>
        <v/>
      </c>
      <c r="DB606">
        <f>IFERROR(INDEX(PP_Grid[#Data],$DD606,104),0)</f>
        <v/>
      </c>
      <c r="DC606">
        <f>IFERROR(INDEX(PP_Grid[#Data],$DD606,105),0)</f>
        <v/>
      </c>
      <c r="DD606" s="7">
        <f>IFERROR(MATCH($B606,PP_Grid[Intermediate],0),99999)</f>
        <v/>
      </c>
    </row>
    <row r="607">
      <c r="B607" t="inlineStr">
        <is>
          <t>使用量(kg)</t>
        </is>
      </c>
      <c r="C607">
        <f>SUMIFS(M_BOM[RM_Qty_Per_Batch],M_BOM[Intermediate],$B606,M_BOM[Part Name],$A589)</f>
        <v/>
      </c>
      <c r="D607">
        <f>$C607*D606</f>
        <v/>
      </c>
      <c r="E607">
        <f>$C607*E606</f>
        <v/>
      </c>
      <c r="F607">
        <f>$C607*F606</f>
        <v/>
      </c>
      <c r="G607">
        <f>$C607*G606</f>
        <v/>
      </c>
      <c r="H607">
        <f>$C607*H606</f>
        <v/>
      </c>
      <c r="I607">
        <f>$C607*I606</f>
        <v/>
      </c>
      <c r="J607">
        <f>$C607*J606</f>
        <v/>
      </c>
      <c r="K607">
        <f>$C607*K606</f>
        <v/>
      </c>
      <c r="L607">
        <f>$C607*L606</f>
        <v/>
      </c>
      <c r="M607">
        <f>$C607*M606</f>
        <v/>
      </c>
      <c r="N607">
        <f>$C607*N606</f>
        <v/>
      </c>
      <c r="O607">
        <f>$C607*O606</f>
        <v/>
      </c>
      <c r="P607">
        <f>$C607*P606</f>
        <v/>
      </c>
      <c r="Q607">
        <f>$C607*Q606</f>
        <v/>
      </c>
      <c r="R607">
        <f>$C607*R606</f>
        <v/>
      </c>
      <c r="S607">
        <f>$C607*S606</f>
        <v/>
      </c>
      <c r="T607">
        <f>$C607*T606</f>
        <v/>
      </c>
      <c r="U607">
        <f>$C607*U606</f>
        <v/>
      </c>
      <c r="V607">
        <f>$C607*V606</f>
        <v/>
      </c>
      <c r="W607">
        <f>$C607*W606</f>
        <v/>
      </c>
      <c r="X607">
        <f>$C607*X606</f>
        <v/>
      </c>
      <c r="Y607">
        <f>$C607*Y606</f>
        <v/>
      </c>
      <c r="Z607">
        <f>$C607*Z606</f>
        <v/>
      </c>
      <c r="AA607">
        <f>$C607*AA606</f>
        <v/>
      </c>
      <c r="AB607">
        <f>$C607*AB606</f>
        <v/>
      </c>
      <c r="AC607">
        <f>$C607*AC606</f>
        <v/>
      </c>
      <c r="AD607">
        <f>$C607*AD606</f>
        <v/>
      </c>
      <c r="AE607">
        <f>$C607*AE606</f>
        <v/>
      </c>
      <c r="AF607">
        <f>$C607*AF606</f>
        <v/>
      </c>
      <c r="AG607">
        <f>$C607*AG606</f>
        <v/>
      </c>
      <c r="AH607">
        <f>$C607*AH606</f>
        <v/>
      </c>
      <c r="AI607">
        <f>$C607*AI606</f>
        <v/>
      </c>
      <c r="AJ607">
        <f>$C607*AJ606</f>
        <v/>
      </c>
      <c r="AK607">
        <f>$C607*AK606</f>
        <v/>
      </c>
      <c r="AL607">
        <f>$C607*AL606</f>
        <v/>
      </c>
      <c r="AM607">
        <f>$C607*AM606</f>
        <v/>
      </c>
      <c r="AN607">
        <f>$C607*AN606</f>
        <v/>
      </c>
      <c r="AO607">
        <f>$C607*AO606</f>
        <v/>
      </c>
      <c r="AP607">
        <f>$C607*AP606</f>
        <v/>
      </c>
      <c r="AQ607">
        <f>$C607*AQ606</f>
        <v/>
      </c>
      <c r="AR607">
        <f>$C607*AR606</f>
        <v/>
      </c>
      <c r="AS607">
        <f>$C607*AS606</f>
        <v/>
      </c>
      <c r="AT607">
        <f>$C607*AT606</f>
        <v/>
      </c>
      <c r="AU607">
        <f>$C607*AU606</f>
        <v/>
      </c>
      <c r="AV607">
        <f>$C607*AV606</f>
        <v/>
      </c>
      <c r="AW607">
        <f>$C607*AW606</f>
        <v/>
      </c>
      <c r="AX607">
        <f>$C607*AX606</f>
        <v/>
      </c>
      <c r="AY607">
        <f>$C607*AY606</f>
        <v/>
      </c>
      <c r="AZ607">
        <f>$C607*AZ606</f>
        <v/>
      </c>
      <c r="BA607">
        <f>$C607*BA606</f>
        <v/>
      </c>
      <c r="BB607">
        <f>$C607*BB606</f>
        <v/>
      </c>
      <c r="BC607">
        <f>$C607*BC606</f>
        <v/>
      </c>
      <c r="BD607">
        <f>$C607*BD606</f>
        <v/>
      </c>
      <c r="BE607">
        <f>$C607*BE606</f>
        <v/>
      </c>
      <c r="BF607">
        <f>$C607*BF606</f>
        <v/>
      </c>
      <c r="BG607">
        <f>$C607*BG606</f>
        <v/>
      </c>
      <c r="BH607">
        <f>$C607*BH606</f>
        <v/>
      </c>
      <c r="BI607">
        <f>$C607*BI606</f>
        <v/>
      </c>
      <c r="BJ607">
        <f>$C607*BJ606</f>
        <v/>
      </c>
      <c r="BK607">
        <f>$C607*BK606</f>
        <v/>
      </c>
      <c r="BL607">
        <f>$C607*BL606</f>
        <v/>
      </c>
      <c r="BM607">
        <f>$C607*BM606</f>
        <v/>
      </c>
      <c r="BN607">
        <f>$C607*BN606</f>
        <v/>
      </c>
      <c r="BO607">
        <f>$C607*BO606</f>
        <v/>
      </c>
      <c r="BP607">
        <f>$C607*BP606</f>
        <v/>
      </c>
      <c r="BQ607">
        <f>$C607*BQ606</f>
        <v/>
      </c>
      <c r="BR607">
        <f>$C607*BR606</f>
        <v/>
      </c>
      <c r="BS607">
        <f>$C607*BS606</f>
        <v/>
      </c>
      <c r="BT607">
        <f>$C607*BT606</f>
        <v/>
      </c>
      <c r="BU607">
        <f>$C607*BU606</f>
        <v/>
      </c>
      <c r="BV607">
        <f>$C607*BV606</f>
        <v/>
      </c>
      <c r="BW607">
        <f>$C607*BW606</f>
        <v/>
      </c>
      <c r="BX607">
        <f>$C607*BX606</f>
        <v/>
      </c>
      <c r="BY607">
        <f>$C607*BY606</f>
        <v/>
      </c>
      <c r="BZ607">
        <f>$C607*BZ606</f>
        <v/>
      </c>
      <c r="CA607">
        <f>$C607*CA606</f>
        <v/>
      </c>
      <c r="CB607">
        <f>$C607*CB606</f>
        <v/>
      </c>
      <c r="CC607">
        <f>$C607*CC606</f>
        <v/>
      </c>
      <c r="CD607">
        <f>$C607*CD606</f>
        <v/>
      </c>
      <c r="CE607">
        <f>$C607*CE606</f>
        <v/>
      </c>
      <c r="CF607">
        <f>$C607*CF606</f>
        <v/>
      </c>
      <c r="CG607">
        <f>$C607*CG606</f>
        <v/>
      </c>
      <c r="CH607">
        <f>$C607*CH606</f>
        <v/>
      </c>
      <c r="CI607">
        <f>$C607*CI606</f>
        <v/>
      </c>
      <c r="CJ607">
        <f>$C607*CJ606</f>
        <v/>
      </c>
      <c r="CK607">
        <f>$C607*CK606</f>
        <v/>
      </c>
      <c r="CL607">
        <f>$C607*CL606</f>
        <v/>
      </c>
      <c r="CM607">
        <f>$C607*CM606</f>
        <v/>
      </c>
      <c r="CN607">
        <f>$C607*CN606</f>
        <v/>
      </c>
      <c r="CO607">
        <f>$C607*CO606</f>
        <v/>
      </c>
      <c r="CP607">
        <f>$C607*CP606</f>
        <v/>
      </c>
      <c r="CQ607">
        <f>$C607*CQ606</f>
        <v/>
      </c>
      <c r="CR607">
        <f>$C607*CR606</f>
        <v/>
      </c>
      <c r="CS607">
        <f>$C607*CS606</f>
        <v/>
      </c>
      <c r="CT607">
        <f>$C607*CT606</f>
        <v/>
      </c>
      <c r="CU607">
        <f>$C607*CU606</f>
        <v/>
      </c>
      <c r="CV607">
        <f>$C607*CV606</f>
        <v/>
      </c>
      <c r="CW607">
        <f>$C607*CW606</f>
        <v/>
      </c>
      <c r="CX607">
        <f>$C607*CX606</f>
        <v/>
      </c>
      <c r="CY607">
        <f>$C607*CY606</f>
        <v/>
      </c>
      <c r="CZ607">
        <f>$C607*CZ606</f>
        <v/>
      </c>
      <c r="DA607">
        <f>$C607*DA606</f>
        <v/>
      </c>
      <c r="DB607">
        <f>$C607*DB606</f>
        <v/>
      </c>
      <c r="DC607">
        <f>$C607*DC606</f>
        <v/>
      </c>
    </row>
    <row r="608">
      <c r="B608" t="inlineStr">
        <is>
          <t>VSP-738</t>
        </is>
      </c>
      <c r="C608" t="inlineStr">
        <is>
          <t>No. of batches</t>
        </is>
      </c>
      <c r="D608">
        <f>IFERROR(INDEX(PP_Grid[#Data],$DD608,2),0)</f>
        <v/>
      </c>
      <c r="E608">
        <f>IFERROR(INDEX(PP_Grid[#Data],$DD608,3),0)</f>
        <v/>
      </c>
      <c r="F608">
        <f>IFERROR(INDEX(PP_Grid[#Data],$DD608,4),0)</f>
        <v/>
      </c>
      <c r="G608">
        <f>IFERROR(INDEX(PP_Grid[#Data],$DD608,5),0)</f>
        <v/>
      </c>
      <c r="H608">
        <f>IFERROR(INDEX(PP_Grid[#Data],$DD608,6),0)</f>
        <v/>
      </c>
      <c r="I608">
        <f>IFERROR(INDEX(PP_Grid[#Data],$DD608,7),0)</f>
        <v/>
      </c>
      <c r="J608">
        <f>IFERROR(INDEX(PP_Grid[#Data],$DD608,8),0)</f>
        <v/>
      </c>
      <c r="K608">
        <f>IFERROR(INDEX(PP_Grid[#Data],$DD608,9),0)</f>
        <v/>
      </c>
      <c r="L608">
        <f>IFERROR(INDEX(PP_Grid[#Data],$DD608,10),0)</f>
        <v/>
      </c>
      <c r="M608">
        <f>IFERROR(INDEX(PP_Grid[#Data],$DD608,11),0)</f>
        <v/>
      </c>
      <c r="N608">
        <f>IFERROR(INDEX(PP_Grid[#Data],$DD608,12),0)</f>
        <v/>
      </c>
      <c r="O608">
        <f>IFERROR(INDEX(PP_Grid[#Data],$DD608,13),0)</f>
        <v/>
      </c>
      <c r="P608">
        <f>IFERROR(INDEX(PP_Grid[#Data],$DD608,14),0)</f>
        <v/>
      </c>
      <c r="Q608">
        <f>IFERROR(INDEX(PP_Grid[#Data],$DD608,15),0)</f>
        <v/>
      </c>
      <c r="R608">
        <f>IFERROR(INDEX(PP_Grid[#Data],$DD608,16),0)</f>
        <v/>
      </c>
      <c r="S608">
        <f>IFERROR(INDEX(PP_Grid[#Data],$DD608,17),0)</f>
        <v/>
      </c>
      <c r="T608">
        <f>IFERROR(INDEX(PP_Grid[#Data],$DD608,18),0)</f>
        <v/>
      </c>
      <c r="U608">
        <f>IFERROR(INDEX(PP_Grid[#Data],$DD608,19),0)</f>
        <v/>
      </c>
      <c r="V608">
        <f>IFERROR(INDEX(PP_Grid[#Data],$DD608,20),0)</f>
        <v/>
      </c>
      <c r="W608">
        <f>IFERROR(INDEX(PP_Grid[#Data],$DD608,21),0)</f>
        <v/>
      </c>
      <c r="X608">
        <f>IFERROR(INDEX(PP_Grid[#Data],$DD608,22),0)</f>
        <v/>
      </c>
      <c r="Y608">
        <f>IFERROR(INDEX(PP_Grid[#Data],$DD608,23),0)</f>
        <v/>
      </c>
      <c r="Z608">
        <f>IFERROR(INDEX(PP_Grid[#Data],$DD608,24),0)</f>
        <v/>
      </c>
      <c r="AA608">
        <f>IFERROR(INDEX(PP_Grid[#Data],$DD608,25),0)</f>
        <v/>
      </c>
      <c r="AB608">
        <f>IFERROR(INDEX(PP_Grid[#Data],$DD608,26),0)</f>
        <v/>
      </c>
      <c r="AC608">
        <f>IFERROR(INDEX(PP_Grid[#Data],$DD608,27),0)</f>
        <v/>
      </c>
      <c r="AD608">
        <f>IFERROR(INDEX(PP_Grid[#Data],$DD608,28),0)</f>
        <v/>
      </c>
      <c r="AE608">
        <f>IFERROR(INDEX(PP_Grid[#Data],$DD608,29),0)</f>
        <v/>
      </c>
      <c r="AF608">
        <f>IFERROR(INDEX(PP_Grid[#Data],$DD608,30),0)</f>
        <v/>
      </c>
      <c r="AG608">
        <f>IFERROR(INDEX(PP_Grid[#Data],$DD608,31),0)</f>
        <v/>
      </c>
      <c r="AH608">
        <f>IFERROR(INDEX(PP_Grid[#Data],$DD608,32),0)</f>
        <v/>
      </c>
      <c r="AI608">
        <f>IFERROR(INDEX(PP_Grid[#Data],$DD608,33),0)</f>
        <v/>
      </c>
      <c r="AJ608">
        <f>IFERROR(INDEX(PP_Grid[#Data],$DD608,34),0)</f>
        <v/>
      </c>
      <c r="AK608">
        <f>IFERROR(INDEX(PP_Grid[#Data],$DD608,35),0)</f>
        <v/>
      </c>
      <c r="AL608">
        <f>IFERROR(INDEX(PP_Grid[#Data],$DD608,36),0)</f>
        <v/>
      </c>
      <c r="AM608">
        <f>IFERROR(INDEX(PP_Grid[#Data],$DD608,37),0)</f>
        <v/>
      </c>
      <c r="AN608">
        <f>IFERROR(INDEX(PP_Grid[#Data],$DD608,38),0)</f>
        <v/>
      </c>
      <c r="AO608">
        <f>IFERROR(INDEX(PP_Grid[#Data],$DD608,39),0)</f>
        <v/>
      </c>
      <c r="AP608">
        <f>IFERROR(INDEX(PP_Grid[#Data],$DD608,40),0)</f>
        <v/>
      </c>
      <c r="AQ608">
        <f>IFERROR(INDEX(PP_Grid[#Data],$DD608,41),0)</f>
        <v/>
      </c>
      <c r="AR608">
        <f>IFERROR(INDEX(PP_Grid[#Data],$DD608,42),0)</f>
        <v/>
      </c>
      <c r="AS608">
        <f>IFERROR(INDEX(PP_Grid[#Data],$DD608,43),0)</f>
        <v/>
      </c>
      <c r="AT608">
        <f>IFERROR(INDEX(PP_Grid[#Data],$DD608,44),0)</f>
        <v/>
      </c>
      <c r="AU608">
        <f>IFERROR(INDEX(PP_Grid[#Data],$DD608,45),0)</f>
        <v/>
      </c>
      <c r="AV608">
        <f>IFERROR(INDEX(PP_Grid[#Data],$DD608,46),0)</f>
        <v/>
      </c>
      <c r="AW608">
        <f>IFERROR(INDEX(PP_Grid[#Data],$DD608,47),0)</f>
        <v/>
      </c>
      <c r="AX608">
        <f>IFERROR(INDEX(PP_Grid[#Data],$DD608,48),0)</f>
        <v/>
      </c>
      <c r="AY608">
        <f>IFERROR(INDEX(PP_Grid[#Data],$DD608,49),0)</f>
        <v/>
      </c>
      <c r="AZ608">
        <f>IFERROR(INDEX(PP_Grid[#Data],$DD608,50),0)</f>
        <v/>
      </c>
      <c r="BA608">
        <f>IFERROR(INDEX(PP_Grid[#Data],$DD608,51),0)</f>
        <v/>
      </c>
      <c r="BB608">
        <f>IFERROR(INDEX(PP_Grid[#Data],$DD608,52),0)</f>
        <v/>
      </c>
      <c r="BC608">
        <f>IFERROR(INDEX(PP_Grid[#Data],$DD608,53),0)</f>
        <v/>
      </c>
      <c r="BD608">
        <f>IFERROR(INDEX(PP_Grid[#Data],$DD608,54),0)</f>
        <v/>
      </c>
      <c r="BE608">
        <f>IFERROR(INDEX(PP_Grid[#Data],$DD608,55),0)</f>
        <v/>
      </c>
      <c r="BF608">
        <f>IFERROR(INDEX(PP_Grid[#Data],$DD608,56),0)</f>
        <v/>
      </c>
      <c r="BG608">
        <f>IFERROR(INDEX(PP_Grid[#Data],$DD608,57),0)</f>
        <v/>
      </c>
      <c r="BH608">
        <f>IFERROR(INDEX(PP_Grid[#Data],$DD608,58),0)</f>
        <v/>
      </c>
      <c r="BI608">
        <f>IFERROR(INDEX(PP_Grid[#Data],$DD608,59),0)</f>
        <v/>
      </c>
      <c r="BJ608">
        <f>IFERROR(INDEX(PP_Grid[#Data],$DD608,60),0)</f>
        <v/>
      </c>
      <c r="BK608">
        <f>IFERROR(INDEX(PP_Grid[#Data],$DD608,61),0)</f>
        <v/>
      </c>
      <c r="BL608">
        <f>IFERROR(INDEX(PP_Grid[#Data],$DD608,62),0)</f>
        <v/>
      </c>
      <c r="BM608">
        <f>IFERROR(INDEX(PP_Grid[#Data],$DD608,63),0)</f>
        <v/>
      </c>
      <c r="BN608">
        <f>IFERROR(INDEX(PP_Grid[#Data],$DD608,64),0)</f>
        <v/>
      </c>
      <c r="BO608">
        <f>IFERROR(INDEX(PP_Grid[#Data],$DD608,65),0)</f>
        <v/>
      </c>
      <c r="BP608">
        <f>IFERROR(INDEX(PP_Grid[#Data],$DD608,66),0)</f>
        <v/>
      </c>
      <c r="BQ608">
        <f>IFERROR(INDEX(PP_Grid[#Data],$DD608,67),0)</f>
        <v/>
      </c>
      <c r="BR608">
        <f>IFERROR(INDEX(PP_Grid[#Data],$DD608,68),0)</f>
        <v/>
      </c>
      <c r="BS608">
        <f>IFERROR(INDEX(PP_Grid[#Data],$DD608,69),0)</f>
        <v/>
      </c>
      <c r="BT608">
        <f>IFERROR(INDEX(PP_Grid[#Data],$DD608,70),0)</f>
        <v/>
      </c>
      <c r="BU608">
        <f>IFERROR(INDEX(PP_Grid[#Data],$DD608,71),0)</f>
        <v/>
      </c>
      <c r="BV608">
        <f>IFERROR(INDEX(PP_Grid[#Data],$DD608,72),0)</f>
        <v/>
      </c>
      <c r="BW608">
        <f>IFERROR(INDEX(PP_Grid[#Data],$DD608,73),0)</f>
        <v/>
      </c>
      <c r="BX608">
        <f>IFERROR(INDEX(PP_Grid[#Data],$DD608,74),0)</f>
        <v/>
      </c>
      <c r="BY608">
        <f>IFERROR(INDEX(PP_Grid[#Data],$DD608,75),0)</f>
        <v/>
      </c>
      <c r="BZ608">
        <f>IFERROR(INDEX(PP_Grid[#Data],$DD608,76),0)</f>
        <v/>
      </c>
      <c r="CA608">
        <f>IFERROR(INDEX(PP_Grid[#Data],$DD608,77),0)</f>
        <v/>
      </c>
      <c r="CB608">
        <f>IFERROR(INDEX(PP_Grid[#Data],$DD608,78),0)</f>
        <v/>
      </c>
      <c r="CC608">
        <f>IFERROR(INDEX(PP_Grid[#Data],$DD608,79),0)</f>
        <v/>
      </c>
      <c r="CD608">
        <f>IFERROR(INDEX(PP_Grid[#Data],$DD608,80),0)</f>
        <v/>
      </c>
      <c r="CE608">
        <f>IFERROR(INDEX(PP_Grid[#Data],$DD608,81),0)</f>
        <v/>
      </c>
      <c r="CF608">
        <f>IFERROR(INDEX(PP_Grid[#Data],$DD608,82),0)</f>
        <v/>
      </c>
      <c r="CG608">
        <f>IFERROR(INDEX(PP_Grid[#Data],$DD608,83),0)</f>
        <v/>
      </c>
      <c r="CH608">
        <f>IFERROR(INDEX(PP_Grid[#Data],$DD608,84),0)</f>
        <v/>
      </c>
      <c r="CI608">
        <f>IFERROR(INDEX(PP_Grid[#Data],$DD608,85),0)</f>
        <v/>
      </c>
      <c r="CJ608">
        <f>IFERROR(INDEX(PP_Grid[#Data],$DD608,86),0)</f>
        <v/>
      </c>
      <c r="CK608">
        <f>IFERROR(INDEX(PP_Grid[#Data],$DD608,87),0)</f>
        <v/>
      </c>
      <c r="CL608">
        <f>IFERROR(INDEX(PP_Grid[#Data],$DD608,88),0)</f>
        <v/>
      </c>
      <c r="CM608">
        <f>IFERROR(INDEX(PP_Grid[#Data],$DD608,89),0)</f>
        <v/>
      </c>
      <c r="CN608">
        <f>IFERROR(INDEX(PP_Grid[#Data],$DD608,90),0)</f>
        <v/>
      </c>
      <c r="CO608">
        <f>IFERROR(INDEX(PP_Grid[#Data],$DD608,91),0)</f>
        <v/>
      </c>
      <c r="CP608">
        <f>IFERROR(INDEX(PP_Grid[#Data],$DD608,92),0)</f>
        <v/>
      </c>
      <c r="CQ608">
        <f>IFERROR(INDEX(PP_Grid[#Data],$DD608,93),0)</f>
        <v/>
      </c>
      <c r="CR608">
        <f>IFERROR(INDEX(PP_Grid[#Data],$DD608,94),0)</f>
        <v/>
      </c>
      <c r="CS608">
        <f>IFERROR(INDEX(PP_Grid[#Data],$DD608,95),0)</f>
        <v/>
      </c>
      <c r="CT608">
        <f>IFERROR(INDEX(PP_Grid[#Data],$DD608,96),0)</f>
        <v/>
      </c>
      <c r="CU608">
        <f>IFERROR(INDEX(PP_Grid[#Data],$DD608,97),0)</f>
        <v/>
      </c>
      <c r="CV608">
        <f>IFERROR(INDEX(PP_Grid[#Data],$DD608,98),0)</f>
        <v/>
      </c>
      <c r="CW608">
        <f>IFERROR(INDEX(PP_Grid[#Data],$DD608,99),0)</f>
        <v/>
      </c>
      <c r="CX608">
        <f>IFERROR(INDEX(PP_Grid[#Data],$DD608,100),0)</f>
        <v/>
      </c>
      <c r="CY608">
        <f>IFERROR(INDEX(PP_Grid[#Data],$DD608,101),0)</f>
        <v/>
      </c>
      <c r="CZ608">
        <f>IFERROR(INDEX(PP_Grid[#Data],$DD608,102),0)</f>
        <v/>
      </c>
      <c r="DA608">
        <f>IFERROR(INDEX(PP_Grid[#Data],$DD608,103),0)</f>
        <v/>
      </c>
      <c r="DB608">
        <f>IFERROR(INDEX(PP_Grid[#Data],$DD608,104),0)</f>
        <v/>
      </c>
      <c r="DC608">
        <f>IFERROR(INDEX(PP_Grid[#Data],$DD608,105),0)</f>
        <v/>
      </c>
      <c r="DD608" s="7">
        <f>IFERROR(MATCH($B608,PP_Grid[Intermediate],0),99999)</f>
        <v/>
      </c>
    </row>
    <row r="609">
      <c r="B609" t="inlineStr">
        <is>
          <t>使用量(kg)</t>
        </is>
      </c>
      <c r="C609">
        <f>SUMIFS(M_BOM[RM_Qty_Per_Batch],M_BOM[Intermediate],$B608,M_BOM[Part Name],$A589)</f>
        <v/>
      </c>
      <c r="D609">
        <f>$C609*D608</f>
        <v/>
      </c>
      <c r="E609">
        <f>$C609*E608</f>
        <v/>
      </c>
      <c r="F609">
        <f>$C609*F608</f>
        <v/>
      </c>
      <c r="G609">
        <f>$C609*G608</f>
        <v/>
      </c>
      <c r="H609">
        <f>$C609*H608</f>
        <v/>
      </c>
      <c r="I609">
        <f>$C609*I608</f>
        <v/>
      </c>
      <c r="J609">
        <f>$C609*J608</f>
        <v/>
      </c>
      <c r="K609">
        <f>$C609*K608</f>
        <v/>
      </c>
      <c r="L609">
        <f>$C609*L608</f>
        <v/>
      </c>
      <c r="M609">
        <f>$C609*M608</f>
        <v/>
      </c>
      <c r="N609">
        <f>$C609*N608</f>
        <v/>
      </c>
      <c r="O609">
        <f>$C609*O608</f>
        <v/>
      </c>
      <c r="P609">
        <f>$C609*P608</f>
        <v/>
      </c>
      <c r="Q609">
        <f>$C609*Q608</f>
        <v/>
      </c>
      <c r="R609">
        <f>$C609*R608</f>
        <v/>
      </c>
      <c r="S609">
        <f>$C609*S608</f>
        <v/>
      </c>
      <c r="T609">
        <f>$C609*T608</f>
        <v/>
      </c>
      <c r="U609">
        <f>$C609*U608</f>
        <v/>
      </c>
      <c r="V609">
        <f>$C609*V608</f>
        <v/>
      </c>
      <c r="W609">
        <f>$C609*W608</f>
        <v/>
      </c>
      <c r="X609">
        <f>$C609*X608</f>
        <v/>
      </c>
      <c r="Y609">
        <f>$C609*Y608</f>
        <v/>
      </c>
      <c r="Z609">
        <f>$C609*Z608</f>
        <v/>
      </c>
      <c r="AA609">
        <f>$C609*AA608</f>
        <v/>
      </c>
      <c r="AB609">
        <f>$C609*AB608</f>
        <v/>
      </c>
      <c r="AC609">
        <f>$C609*AC608</f>
        <v/>
      </c>
      <c r="AD609">
        <f>$C609*AD608</f>
        <v/>
      </c>
      <c r="AE609">
        <f>$C609*AE608</f>
        <v/>
      </c>
      <c r="AF609">
        <f>$C609*AF608</f>
        <v/>
      </c>
      <c r="AG609">
        <f>$C609*AG608</f>
        <v/>
      </c>
      <c r="AH609">
        <f>$C609*AH608</f>
        <v/>
      </c>
      <c r="AI609">
        <f>$C609*AI608</f>
        <v/>
      </c>
      <c r="AJ609">
        <f>$C609*AJ608</f>
        <v/>
      </c>
      <c r="AK609">
        <f>$C609*AK608</f>
        <v/>
      </c>
      <c r="AL609">
        <f>$C609*AL608</f>
        <v/>
      </c>
      <c r="AM609">
        <f>$C609*AM608</f>
        <v/>
      </c>
      <c r="AN609">
        <f>$C609*AN608</f>
        <v/>
      </c>
      <c r="AO609">
        <f>$C609*AO608</f>
        <v/>
      </c>
      <c r="AP609">
        <f>$C609*AP608</f>
        <v/>
      </c>
      <c r="AQ609">
        <f>$C609*AQ608</f>
        <v/>
      </c>
      <c r="AR609">
        <f>$C609*AR608</f>
        <v/>
      </c>
      <c r="AS609">
        <f>$C609*AS608</f>
        <v/>
      </c>
      <c r="AT609">
        <f>$C609*AT608</f>
        <v/>
      </c>
      <c r="AU609">
        <f>$C609*AU608</f>
        <v/>
      </c>
      <c r="AV609">
        <f>$C609*AV608</f>
        <v/>
      </c>
      <c r="AW609">
        <f>$C609*AW608</f>
        <v/>
      </c>
      <c r="AX609">
        <f>$C609*AX608</f>
        <v/>
      </c>
      <c r="AY609">
        <f>$C609*AY608</f>
        <v/>
      </c>
      <c r="AZ609">
        <f>$C609*AZ608</f>
        <v/>
      </c>
      <c r="BA609">
        <f>$C609*BA608</f>
        <v/>
      </c>
      <c r="BB609">
        <f>$C609*BB608</f>
        <v/>
      </c>
      <c r="BC609">
        <f>$C609*BC608</f>
        <v/>
      </c>
      <c r="BD609">
        <f>$C609*BD608</f>
        <v/>
      </c>
      <c r="BE609">
        <f>$C609*BE608</f>
        <v/>
      </c>
      <c r="BF609">
        <f>$C609*BF608</f>
        <v/>
      </c>
      <c r="BG609">
        <f>$C609*BG608</f>
        <v/>
      </c>
      <c r="BH609">
        <f>$C609*BH608</f>
        <v/>
      </c>
      <c r="BI609">
        <f>$C609*BI608</f>
        <v/>
      </c>
      <c r="BJ609">
        <f>$C609*BJ608</f>
        <v/>
      </c>
      <c r="BK609">
        <f>$C609*BK608</f>
        <v/>
      </c>
      <c r="BL609">
        <f>$C609*BL608</f>
        <v/>
      </c>
      <c r="BM609">
        <f>$C609*BM608</f>
        <v/>
      </c>
      <c r="BN609">
        <f>$C609*BN608</f>
        <v/>
      </c>
      <c r="BO609">
        <f>$C609*BO608</f>
        <v/>
      </c>
      <c r="BP609">
        <f>$C609*BP608</f>
        <v/>
      </c>
      <c r="BQ609">
        <f>$C609*BQ608</f>
        <v/>
      </c>
      <c r="BR609">
        <f>$C609*BR608</f>
        <v/>
      </c>
      <c r="BS609">
        <f>$C609*BS608</f>
        <v/>
      </c>
      <c r="BT609">
        <f>$C609*BT608</f>
        <v/>
      </c>
      <c r="BU609">
        <f>$C609*BU608</f>
        <v/>
      </c>
      <c r="BV609">
        <f>$C609*BV608</f>
        <v/>
      </c>
      <c r="BW609">
        <f>$C609*BW608</f>
        <v/>
      </c>
      <c r="BX609">
        <f>$C609*BX608</f>
        <v/>
      </c>
      <c r="BY609">
        <f>$C609*BY608</f>
        <v/>
      </c>
      <c r="BZ609">
        <f>$C609*BZ608</f>
        <v/>
      </c>
      <c r="CA609">
        <f>$C609*CA608</f>
        <v/>
      </c>
      <c r="CB609">
        <f>$C609*CB608</f>
        <v/>
      </c>
      <c r="CC609">
        <f>$C609*CC608</f>
        <v/>
      </c>
      <c r="CD609">
        <f>$C609*CD608</f>
        <v/>
      </c>
      <c r="CE609">
        <f>$C609*CE608</f>
        <v/>
      </c>
      <c r="CF609">
        <f>$C609*CF608</f>
        <v/>
      </c>
      <c r="CG609">
        <f>$C609*CG608</f>
        <v/>
      </c>
      <c r="CH609">
        <f>$C609*CH608</f>
        <v/>
      </c>
      <c r="CI609">
        <f>$C609*CI608</f>
        <v/>
      </c>
      <c r="CJ609">
        <f>$C609*CJ608</f>
        <v/>
      </c>
      <c r="CK609">
        <f>$C609*CK608</f>
        <v/>
      </c>
      <c r="CL609">
        <f>$C609*CL608</f>
        <v/>
      </c>
      <c r="CM609">
        <f>$C609*CM608</f>
        <v/>
      </c>
      <c r="CN609">
        <f>$C609*CN608</f>
        <v/>
      </c>
      <c r="CO609">
        <f>$C609*CO608</f>
        <v/>
      </c>
      <c r="CP609">
        <f>$C609*CP608</f>
        <v/>
      </c>
      <c r="CQ609">
        <f>$C609*CQ608</f>
        <v/>
      </c>
      <c r="CR609">
        <f>$C609*CR608</f>
        <v/>
      </c>
      <c r="CS609">
        <f>$C609*CS608</f>
        <v/>
      </c>
      <c r="CT609">
        <f>$C609*CT608</f>
        <v/>
      </c>
      <c r="CU609">
        <f>$C609*CU608</f>
        <v/>
      </c>
      <c r="CV609">
        <f>$C609*CV608</f>
        <v/>
      </c>
      <c r="CW609">
        <f>$C609*CW608</f>
        <v/>
      </c>
      <c r="CX609">
        <f>$C609*CX608</f>
        <v/>
      </c>
      <c r="CY609">
        <f>$C609*CY608</f>
        <v/>
      </c>
      <c r="CZ609">
        <f>$C609*CZ608</f>
        <v/>
      </c>
      <c r="DA609">
        <f>$C609*DA608</f>
        <v/>
      </c>
      <c r="DB609">
        <f>$C609*DB608</f>
        <v/>
      </c>
      <c r="DC609">
        <f>$C609*DC608</f>
        <v/>
      </c>
    </row>
    <row r="610">
      <c r="B610" t="inlineStr">
        <is>
          <t>VSP-739</t>
        </is>
      </c>
      <c r="C610" t="inlineStr">
        <is>
          <t>No. of batches</t>
        </is>
      </c>
      <c r="D610">
        <f>IFERROR(INDEX(PP_Grid[#Data],$DD610,2),0)</f>
        <v/>
      </c>
      <c r="E610">
        <f>IFERROR(INDEX(PP_Grid[#Data],$DD610,3),0)</f>
        <v/>
      </c>
      <c r="F610">
        <f>IFERROR(INDEX(PP_Grid[#Data],$DD610,4),0)</f>
        <v/>
      </c>
      <c r="G610">
        <f>IFERROR(INDEX(PP_Grid[#Data],$DD610,5),0)</f>
        <v/>
      </c>
      <c r="H610">
        <f>IFERROR(INDEX(PP_Grid[#Data],$DD610,6),0)</f>
        <v/>
      </c>
      <c r="I610">
        <f>IFERROR(INDEX(PP_Grid[#Data],$DD610,7),0)</f>
        <v/>
      </c>
      <c r="J610">
        <f>IFERROR(INDEX(PP_Grid[#Data],$DD610,8),0)</f>
        <v/>
      </c>
      <c r="K610">
        <f>IFERROR(INDEX(PP_Grid[#Data],$DD610,9),0)</f>
        <v/>
      </c>
      <c r="L610">
        <f>IFERROR(INDEX(PP_Grid[#Data],$DD610,10),0)</f>
        <v/>
      </c>
      <c r="M610">
        <f>IFERROR(INDEX(PP_Grid[#Data],$DD610,11),0)</f>
        <v/>
      </c>
      <c r="N610">
        <f>IFERROR(INDEX(PP_Grid[#Data],$DD610,12),0)</f>
        <v/>
      </c>
      <c r="O610">
        <f>IFERROR(INDEX(PP_Grid[#Data],$DD610,13),0)</f>
        <v/>
      </c>
      <c r="P610">
        <f>IFERROR(INDEX(PP_Grid[#Data],$DD610,14),0)</f>
        <v/>
      </c>
      <c r="Q610">
        <f>IFERROR(INDEX(PP_Grid[#Data],$DD610,15),0)</f>
        <v/>
      </c>
      <c r="R610">
        <f>IFERROR(INDEX(PP_Grid[#Data],$DD610,16),0)</f>
        <v/>
      </c>
      <c r="S610">
        <f>IFERROR(INDEX(PP_Grid[#Data],$DD610,17),0)</f>
        <v/>
      </c>
      <c r="T610">
        <f>IFERROR(INDEX(PP_Grid[#Data],$DD610,18),0)</f>
        <v/>
      </c>
      <c r="U610">
        <f>IFERROR(INDEX(PP_Grid[#Data],$DD610,19),0)</f>
        <v/>
      </c>
      <c r="V610">
        <f>IFERROR(INDEX(PP_Grid[#Data],$DD610,20),0)</f>
        <v/>
      </c>
      <c r="W610">
        <f>IFERROR(INDEX(PP_Grid[#Data],$DD610,21),0)</f>
        <v/>
      </c>
      <c r="X610">
        <f>IFERROR(INDEX(PP_Grid[#Data],$DD610,22),0)</f>
        <v/>
      </c>
      <c r="Y610">
        <f>IFERROR(INDEX(PP_Grid[#Data],$DD610,23),0)</f>
        <v/>
      </c>
      <c r="Z610">
        <f>IFERROR(INDEX(PP_Grid[#Data],$DD610,24),0)</f>
        <v/>
      </c>
      <c r="AA610">
        <f>IFERROR(INDEX(PP_Grid[#Data],$DD610,25),0)</f>
        <v/>
      </c>
      <c r="AB610">
        <f>IFERROR(INDEX(PP_Grid[#Data],$DD610,26),0)</f>
        <v/>
      </c>
      <c r="AC610">
        <f>IFERROR(INDEX(PP_Grid[#Data],$DD610,27),0)</f>
        <v/>
      </c>
      <c r="AD610">
        <f>IFERROR(INDEX(PP_Grid[#Data],$DD610,28),0)</f>
        <v/>
      </c>
      <c r="AE610">
        <f>IFERROR(INDEX(PP_Grid[#Data],$DD610,29),0)</f>
        <v/>
      </c>
      <c r="AF610">
        <f>IFERROR(INDEX(PP_Grid[#Data],$DD610,30),0)</f>
        <v/>
      </c>
      <c r="AG610">
        <f>IFERROR(INDEX(PP_Grid[#Data],$DD610,31),0)</f>
        <v/>
      </c>
      <c r="AH610">
        <f>IFERROR(INDEX(PP_Grid[#Data],$DD610,32),0)</f>
        <v/>
      </c>
      <c r="AI610">
        <f>IFERROR(INDEX(PP_Grid[#Data],$DD610,33),0)</f>
        <v/>
      </c>
      <c r="AJ610">
        <f>IFERROR(INDEX(PP_Grid[#Data],$DD610,34),0)</f>
        <v/>
      </c>
      <c r="AK610">
        <f>IFERROR(INDEX(PP_Grid[#Data],$DD610,35),0)</f>
        <v/>
      </c>
      <c r="AL610">
        <f>IFERROR(INDEX(PP_Grid[#Data],$DD610,36),0)</f>
        <v/>
      </c>
      <c r="AM610">
        <f>IFERROR(INDEX(PP_Grid[#Data],$DD610,37),0)</f>
        <v/>
      </c>
      <c r="AN610">
        <f>IFERROR(INDEX(PP_Grid[#Data],$DD610,38),0)</f>
        <v/>
      </c>
      <c r="AO610">
        <f>IFERROR(INDEX(PP_Grid[#Data],$DD610,39),0)</f>
        <v/>
      </c>
      <c r="AP610">
        <f>IFERROR(INDEX(PP_Grid[#Data],$DD610,40),0)</f>
        <v/>
      </c>
      <c r="AQ610">
        <f>IFERROR(INDEX(PP_Grid[#Data],$DD610,41),0)</f>
        <v/>
      </c>
      <c r="AR610">
        <f>IFERROR(INDEX(PP_Grid[#Data],$DD610,42),0)</f>
        <v/>
      </c>
      <c r="AS610">
        <f>IFERROR(INDEX(PP_Grid[#Data],$DD610,43),0)</f>
        <v/>
      </c>
      <c r="AT610">
        <f>IFERROR(INDEX(PP_Grid[#Data],$DD610,44),0)</f>
        <v/>
      </c>
      <c r="AU610">
        <f>IFERROR(INDEX(PP_Grid[#Data],$DD610,45),0)</f>
        <v/>
      </c>
      <c r="AV610">
        <f>IFERROR(INDEX(PP_Grid[#Data],$DD610,46),0)</f>
        <v/>
      </c>
      <c r="AW610">
        <f>IFERROR(INDEX(PP_Grid[#Data],$DD610,47),0)</f>
        <v/>
      </c>
      <c r="AX610">
        <f>IFERROR(INDEX(PP_Grid[#Data],$DD610,48),0)</f>
        <v/>
      </c>
      <c r="AY610">
        <f>IFERROR(INDEX(PP_Grid[#Data],$DD610,49),0)</f>
        <v/>
      </c>
      <c r="AZ610">
        <f>IFERROR(INDEX(PP_Grid[#Data],$DD610,50),0)</f>
        <v/>
      </c>
      <c r="BA610">
        <f>IFERROR(INDEX(PP_Grid[#Data],$DD610,51),0)</f>
        <v/>
      </c>
      <c r="BB610">
        <f>IFERROR(INDEX(PP_Grid[#Data],$DD610,52),0)</f>
        <v/>
      </c>
      <c r="BC610">
        <f>IFERROR(INDEX(PP_Grid[#Data],$DD610,53),0)</f>
        <v/>
      </c>
      <c r="BD610">
        <f>IFERROR(INDEX(PP_Grid[#Data],$DD610,54),0)</f>
        <v/>
      </c>
      <c r="BE610">
        <f>IFERROR(INDEX(PP_Grid[#Data],$DD610,55),0)</f>
        <v/>
      </c>
      <c r="BF610">
        <f>IFERROR(INDEX(PP_Grid[#Data],$DD610,56),0)</f>
        <v/>
      </c>
      <c r="BG610">
        <f>IFERROR(INDEX(PP_Grid[#Data],$DD610,57),0)</f>
        <v/>
      </c>
      <c r="BH610">
        <f>IFERROR(INDEX(PP_Grid[#Data],$DD610,58),0)</f>
        <v/>
      </c>
      <c r="BI610">
        <f>IFERROR(INDEX(PP_Grid[#Data],$DD610,59),0)</f>
        <v/>
      </c>
      <c r="BJ610">
        <f>IFERROR(INDEX(PP_Grid[#Data],$DD610,60),0)</f>
        <v/>
      </c>
      <c r="BK610">
        <f>IFERROR(INDEX(PP_Grid[#Data],$DD610,61),0)</f>
        <v/>
      </c>
      <c r="BL610">
        <f>IFERROR(INDEX(PP_Grid[#Data],$DD610,62),0)</f>
        <v/>
      </c>
      <c r="BM610">
        <f>IFERROR(INDEX(PP_Grid[#Data],$DD610,63),0)</f>
        <v/>
      </c>
      <c r="BN610">
        <f>IFERROR(INDEX(PP_Grid[#Data],$DD610,64),0)</f>
        <v/>
      </c>
      <c r="BO610">
        <f>IFERROR(INDEX(PP_Grid[#Data],$DD610,65),0)</f>
        <v/>
      </c>
      <c r="BP610">
        <f>IFERROR(INDEX(PP_Grid[#Data],$DD610,66),0)</f>
        <v/>
      </c>
      <c r="BQ610">
        <f>IFERROR(INDEX(PP_Grid[#Data],$DD610,67),0)</f>
        <v/>
      </c>
      <c r="BR610">
        <f>IFERROR(INDEX(PP_Grid[#Data],$DD610,68),0)</f>
        <v/>
      </c>
      <c r="BS610">
        <f>IFERROR(INDEX(PP_Grid[#Data],$DD610,69),0)</f>
        <v/>
      </c>
      <c r="BT610">
        <f>IFERROR(INDEX(PP_Grid[#Data],$DD610,70),0)</f>
        <v/>
      </c>
      <c r="BU610">
        <f>IFERROR(INDEX(PP_Grid[#Data],$DD610,71),0)</f>
        <v/>
      </c>
      <c r="BV610">
        <f>IFERROR(INDEX(PP_Grid[#Data],$DD610,72),0)</f>
        <v/>
      </c>
      <c r="BW610">
        <f>IFERROR(INDEX(PP_Grid[#Data],$DD610,73),0)</f>
        <v/>
      </c>
      <c r="BX610">
        <f>IFERROR(INDEX(PP_Grid[#Data],$DD610,74),0)</f>
        <v/>
      </c>
      <c r="BY610">
        <f>IFERROR(INDEX(PP_Grid[#Data],$DD610,75),0)</f>
        <v/>
      </c>
      <c r="BZ610">
        <f>IFERROR(INDEX(PP_Grid[#Data],$DD610,76),0)</f>
        <v/>
      </c>
      <c r="CA610">
        <f>IFERROR(INDEX(PP_Grid[#Data],$DD610,77),0)</f>
        <v/>
      </c>
      <c r="CB610">
        <f>IFERROR(INDEX(PP_Grid[#Data],$DD610,78),0)</f>
        <v/>
      </c>
      <c r="CC610">
        <f>IFERROR(INDEX(PP_Grid[#Data],$DD610,79),0)</f>
        <v/>
      </c>
      <c r="CD610">
        <f>IFERROR(INDEX(PP_Grid[#Data],$DD610,80),0)</f>
        <v/>
      </c>
      <c r="CE610">
        <f>IFERROR(INDEX(PP_Grid[#Data],$DD610,81),0)</f>
        <v/>
      </c>
      <c r="CF610">
        <f>IFERROR(INDEX(PP_Grid[#Data],$DD610,82),0)</f>
        <v/>
      </c>
      <c r="CG610">
        <f>IFERROR(INDEX(PP_Grid[#Data],$DD610,83),0)</f>
        <v/>
      </c>
      <c r="CH610">
        <f>IFERROR(INDEX(PP_Grid[#Data],$DD610,84),0)</f>
        <v/>
      </c>
      <c r="CI610">
        <f>IFERROR(INDEX(PP_Grid[#Data],$DD610,85),0)</f>
        <v/>
      </c>
      <c r="CJ610">
        <f>IFERROR(INDEX(PP_Grid[#Data],$DD610,86),0)</f>
        <v/>
      </c>
      <c r="CK610">
        <f>IFERROR(INDEX(PP_Grid[#Data],$DD610,87),0)</f>
        <v/>
      </c>
      <c r="CL610">
        <f>IFERROR(INDEX(PP_Grid[#Data],$DD610,88),0)</f>
        <v/>
      </c>
      <c r="CM610">
        <f>IFERROR(INDEX(PP_Grid[#Data],$DD610,89),0)</f>
        <v/>
      </c>
      <c r="CN610">
        <f>IFERROR(INDEX(PP_Grid[#Data],$DD610,90),0)</f>
        <v/>
      </c>
      <c r="CO610">
        <f>IFERROR(INDEX(PP_Grid[#Data],$DD610,91),0)</f>
        <v/>
      </c>
      <c r="CP610">
        <f>IFERROR(INDEX(PP_Grid[#Data],$DD610,92),0)</f>
        <v/>
      </c>
      <c r="CQ610">
        <f>IFERROR(INDEX(PP_Grid[#Data],$DD610,93),0)</f>
        <v/>
      </c>
      <c r="CR610">
        <f>IFERROR(INDEX(PP_Grid[#Data],$DD610,94),0)</f>
        <v/>
      </c>
      <c r="CS610">
        <f>IFERROR(INDEX(PP_Grid[#Data],$DD610,95),0)</f>
        <v/>
      </c>
      <c r="CT610">
        <f>IFERROR(INDEX(PP_Grid[#Data],$DD610,96),0)</f>
        <v/>
      </c>
      <c r="CU610">
        <f>IFERROR(INDEX(PP_Grid[#Data],$DD610,97),0)</f>
        <v/>
      </c>
      <c r="CV610">
        <f>IFERROR(INDEX(PP_Grid[#Data],$DD610,98),0)</f>
        <v/>
      </c>
      <c r="CW610">
        <f>IFERROR(INDEX(PP_Grid[#Data],$DD610,99),0)</f>
        <v/>
      </c>
      <c r="CX610">
        <f>IFERROR(INDEX(PP_Grid[#Data],$DD610,100),0)</f>
        <v/>
      </c>
      <c r="CY610">
        <f>IFERROR(INDEX(PP_Grid[#Data],$DD610,101),0)</f>
        <v/>
      </c>
      <c r="CZ610">
        <f>IFERROR(INDEX(PP_Grid[#Data],$DD610,102),0)</f>
        <v/>
      </c>
      <c r="DA610">
        <f>IFERROR(INDEX(PP_Grid[#Data],$DD610,103),0)</f>
        <v/>
      </c>
      <c r="DB610">
        <f>IFERROR(INDEX(PP_Grid[#Data],$DD610,104),0)</f>
        <v/>
      </c>
      <c r="DC610">
        <f>IFERROR(INDEX(PP_Grid[#Data],$DD610,105),0)</f>
        <v/>
      </c>
      <c r="DD610" s="7">
        <f>IFERROR(MATCH($B610,PP_Grid[Intermediate],0),99999)</f>
        <v/>
      </c>
    </row>
    <row r="611">
      <c r="B611" t="inlineStr">
        <is>
          <t>使用量(kg)</t>
        </is>
      </c>
      <c r="C611">
        <f>SUMIFS(M_BOM[RM_Qty_Per_Batch],M_BOM[Intermediate],$B610,M_BOM[Part Name],$A589)</f>
        <v/>
      </c>
      <c r="D611">
        <f>$C611*D610</f>
        <v/>
      </c>
      <c r="E611">
        <f>$C611*E610</f>
        <v/>
      </c>
      <c r="F611">
        <f>$C611*F610</f>
        <v/>
      </c>
      <c r="G611">
        <f>$C611*G610</f>
        <v/>
      </c>
      <c r="H611">
        <f>$C611*H610</f>
        <v/>
      </c>
      <c r="I611">
        <f>$C611*I610</f>
        <v/>
      </c>
      <c r="J611">
        <f>$C611*J610</f>
        <v/>
      </c>
      <c r="K611">
        <f>$C611*K610</f>
        <v/>
      </c>
      <c r="L611">
        <f>$C611*L610</f>
        <v/>
      </c>
      <c r="M611">
        <f>$C611*M610</f>
        <v/>
      </c>
      <c r="N611">
        <f>$C611*N610</f>
        <v/>
      </c>
      <c r="O611">
        <f>$C611*O610</f>
        <v/>
      </c>
      <c r="P611">
        <f>$C611*P610</f>
        <v/>
      </c>
      <c r="Q611">
        <f>$C611*Q610</f>
        <v/>
      </c>
      <c r="R611">
        <f>$C611*R610</f>
        <v/>
      </c>
      <c r="S611">
        <f>$C611*S610</f>
        <v/>
      </c>
      <c r="T611">
        <f>$C611*T610</f>
        <v/>
      </c>
      <c r="U611">
        <f>$C611*U610</f>
        <v/>
      </c>
      <c r="V611">
        <f>$C611*V610</f>
        <v/>
      </c>
      <c r="W611">
        <f>$C611*W610</f>
        <v/>
      </c>
      <c r="X611">
        <f>$C611*X610</f>
        <v/>
      </c>
      <c r="Y611">
        <f>$C611*Y610</f>
        <v/>
      </c>
      <c r="Z611">
        <f>$C611*Z610</f>
        <v/>
      </c>
      <c r="AA611">
        <f>$C611*AA610</f>
        <v/>
      </c>
      <c r="AB611">
        <f>$C611*AB610</f>
        <v/>
      </c>
      <c r="AC611">
        <f>$C611*AC610</f>
        <v/>
      </c>
      <c r="AD611">
        <f>$C611*AD610</f>
        <v/>
      </c>
      <c r="AE611">
        <f>$C611*AE610</f>
        <v/>
      </c>
      <c r="AF611">
        <f>$C611*AF610</f>
        <v/>
      </c>
      <c r="AG611">
        <f>$C611*AG610</f>
        <v/>
      </c>
      <c r="AH611">
        <f>$C611*AH610</f>
        <v/>
      </c>
      <c r="AI611">
        <f>$C611*AI610</f>
        <v/>
      </c>
      <c r="AJ611">
        <f>$C611*AJ610</f>
        <v/>
      </c>
      <c r="AK611">
        <f>$C611*AK610</f>
        <v/>
      </c>
      <c r="AL611">
        <f>$C611*AL610</f>
        <v/>
      </c>
      <c r="AM611">
        <f>$C611*AM610</f>
        <v/>
      </c>
      <c r="AN611">
        <f>$C611*AN610</f>
        <v/>
      </c>
      <c r="AO611">
        <f>$C611*AO610</f>
        <v/>
      </c>
      <c r="AP611">
        <f>$C611*AP610</f>
        <v/>
      </c>
      <c r="AQ611">
        <f>$C611*AQ610</f>
        <v/>
      </c>
      <c r="AR611">
        <f>$C611*AR610</f>
        <v/>
      </c>
      <c r="AS611">
        <f>$C611*AS610</f>
        <v/>
      </c>
      <c r="AT611">
        <f>$C611*AT610</f>
        <v/>
      </c>
      <c r="AU611">
        <f>$C611*AU610</f>
        <v/>
      </c>
      <c r="AV611">
        <f>$C611*AV610</f>
        <v/>
      </c>
      <c r="AW611">
        <f>$C611*AW610</f>
        <v/>
      </c>
      <c r="AX611">
        <f>$C611*AX610</f>
        <v/>
      </c>
      <c r="AY611">
        <f>$C611*AY610</f>
        <v/>
      </c>
      <c r="AZ611">
        <f>$C611*AZ610</f>
        <v/>
      </c>
      <c r="BA611">
        <f>$C611*BA610</f>
        <v/>
      </c>
      <c r="BB611">
        <f>$C611*BB610</f>
        <v/>
      </c>
      <c r="BC611">
        <f>$C611*BC610</f>
        <v/>
      </c>
      <c r="BD611">
        <f>$C611*BD610</f>
        <v/>
      </c>
      <c r="BE611">
        <f>$C611*BE610</f>
        <v/>
      </c>
      <c r="BF611">
        <f>$C611*BF610</f>
        <v/>
      </c>
      <c r="BG611">
        <f>$C611*BG610</f>
        <v/>
      </c>
      <c r="BH611">
        <f>$C611*BH610</f>
        <v/>
      </c>
      <c r="BI611">
        <f>$C611*BI610</f>
        <v/>
      </c>
      <c r="BJ611">
        <f>$C611*BJ610</f>
        <v/>
      </c>
      <c r="BK611">
        <f>$C611*BK610</f>
        <v/>
      </c>
      <c r="BL611">
        <f>$C611*BL610</f>
        <v/>
      </c>
      <c r="BM611">
        <f>$C611*BM610</f>
        <v/>
      </c>
      <c r="BN611">
        <f>$C611*BN610</f>
        <v/>
      </c>
      <c r="BO611">
        <f>$C611*BO610</f>
        <v/>
      </c>
      <c r="BP611">
        <f>$C611*BP610</f>
        <v/>
      </c>
      <c r="BQ611">
        <f>$C611*BQ610</f>
        <v/>
      </c>
      <c r="BR611">
        <f>$C611*BR610</f>
        <v/>
      </c>
      <c r="BS611">
        <f>$C611*BS610</f>
        <v/>
      </c>
      <c r="BT611">
        <f>$C611*BT610</f>
        <v/>
      </c>
      <c r="BU611">
        <f>$C611*BU610</f>
        <v/>
      </c>
      <c r="BV611">
        <f>$C611*BV610</f>
        <v/>
      </c>
      <c r="BW611">
        <f>$C611*BW610</f>
        <v/>
      </c>
      <c r="BX611">
        <f>$C611*BX610</f>
        <v/>
      </c>
      <c r="BY611">
        <f>$C611*BY610</f>
        <v/>
      </c>
      <c r="BZ611">
        <f>$C611*BZ610</f>
        <v/>
      </c>
      <c r="CA611">
        <f>$C611*CA610</f>
        <v/>
      </c>
      <c r="CB611">
        <f>$C611*CB610</f>
        <v/>
      </c>
      <c r="CC611">
        <f>$C611*CC610</f>
        <v/>
      </c>
      <c r="CD611">
        <f>$C611*CD610</f>
        <v/>
      </c>
      <c r="CE611">
        <f>$C611*CE610</f>
        <v/>
      </c>
      <c r="CF611">
        <f>$C611*CF610</f>
        <v/>
      </c>
      <c r="CG611">
        <f>$C611*CG610</f>
        <v/>
      </c>
      <c r="CH611">
        <f>$C611*CH610</f>
        <v/>
      </c>
      <c r="CI611">
        <f>$C611*CI610</f>
        <v/>
      </c>
      <c r="CJ611">
        <f>$C611*CJ610</f>
        <v/>
      </c>
      <c r="CK611">
        <f>$C611*CK610</f>
        <v/>
      </c>
      <c r="CL611">
        <f>$C611*CL610</f>
        <v/>
      </c>
      <c r="CM611">
        <f>$C611*CM610</f>
        <v/>
      </c>
      <c r="CN611">
        <f>$C611*CN610</f>
        <v/>
      </c>
      <c r="CO611">
        <f>$C611*CO610</f>
        <v/>
      </c>
      <c r="CP611">
        <f>$C611*CP610</f>
        <v/>
      </c>
      <c r="CQ611">
        <f>$C611*CQ610</f>
        <v/>
      </c>
      <c r="CR611">
        <f>$C611*CR610</f>
        <v/>
      </c>
      <c r="CS611">
        <f>$C611*CS610</f>
        <v/>
      </c>
      <c r="CT611">
        <f>$C611*CT610</f>
        <v/>
      </c>
      <c r="CU611">
        <f>$C611*CU610</f>
        <v/>
      </c>
      <c r="CV611">
        <f>$C611*CV610</f>
        <v/>
      </c>
      <c r="CW611">
        <f>$C611*CW610</f>
        <v/>
      </c>
      <c r="CX611">
        <f>$C611*CX610</f>
        <v/>
      </c>
      <c r="CY611">
        <f>$C611*CY610</f>
        <v/>
      </c>
      <c r="CZ611">
        <f>$C611*CZ610</f>
        <v/>
      </c>
      <c r="DA611">
        <f>$C611*DA610</f>
        <v/>
      </c>
      <c r="DB611">
        <f>$C611*DB610</f>
        <v/>
      </c>
      <c r="DC611">
        <f>$C611*DC610</f>
        <v/>
      </c>
    </row>
    <row r="612">
      <c r="B612" t="inlineStr">
        <is>
          <t>VSP-820</t>
        </is>
      </c>
      <c r="C612" t="inlineStr">
        <is>
          <t>No. of batches</t>
        </is>
      </c>
      <c r="D612">
        <f>IFERROR(INDEX(PP_Grid[#Data],$DD612,2),0)</f>
        <v/>
      </c>
      <c r="E612">
        <f>IFERROR(INDEX(PP_Grid[#Data],$DD612,3),0)</f>
        <v/>
      </c>
      <c r="F612">
        <f>IFERROR(INDEX(PP_Grid[#Data],$DD612,4),0)</f>
        <v/>
      </c>
      <c r="G612">
        <f>IFERROR(INDEX(PP_Grid[#Data],$DD612,5),0)</f>
        <v/>
      </c>
      <c r="H612">
        <f>IFERROR(INDEX(PP_Grid[#Data],$DD612,6),0)</f>
        <v/>
      </c>
      <c r="I612">
        <f>IFERROR(INDEX(PP_Grid[#Data],$DD612,7),0)</f>
        <v/>
      </c>
      <c r="J612">
        <f>IFERROR(INDEX(PP_Grid[#Data],$DD612,8),0)</f>
        <v/>
      </c>
      <c r="K612">
        <f>IFERROR(INDEX(PP_Grid[#Data],$DD612,9),0)</f>
        <v/>
      </c>
      <c r="L612">
        <f>IFERROR(INDEX(PP_Grid[#Data],$DD612,10),0)</f>
        <v/>
      </c>
      <c r="M612">
        <f>IFERROR(INDEX(PP_Grid[#Data],$DD612,11),0)</f>
        <v/>
      </c>
      <c r="N612">
        <f>IFERROR(INDEX(PP_Grid[#Data],$DD612,12),0)</f>
        <v/>
      </c>
      <c r="O612">
        <f>IFERROR(INDEX(PP_Grid[#Data],$DD612,13),0)</f>
        <v/>
      </c>
      <c r="P612">
        <f>IFERROR(INDEX(PP_Grid[#Data],$DD612,14),0)</f>
        <v/>
      </c>
      <c r="Q612">
        <f>IFERROR(INDEX(PP_Grid[#Data],$DD612,15),0)</f>
        <v/>
      </c>
      <c r="R612">
        <f>IFERROR(INDEX(PP_Grid[#Data],$DD612,16),0)</f>
        <v/>
      </c>
      <c r="S612">
        <f>IFERROR(INDEX(PP_Grid[#Data],$DD612,17),0)</f>
        <v/>
      </c>
      <c r="T612">
        <f>IFERROR(INDEX(PP_Grid[#Data],$DD612,18),0)</f>
        <v/>
      </c>
      <c r="U612">
        <f>IFERROR(INDEX(PP_Grid[#Data],$DD612,19),0)</f>
        <v/>
      </c>
      <c r="V612">
        <f>IFERROR(INDEX(PP_Grid[#Data],$DD612,20),0)</f>
        <v/>
      </c>
      <c r="W612">
        <f>IFERROR(INDEX(PP_Grid[#Data],$DD612,21),0)</f>
        <v/>
      </c>
      <c r="X612">
        <f>IFERROR(INDEX(PP_Grid[#Data],$DD612,22),0)</f>
        <v/>
      </c>
      <c r="Y612">
        <f>IFERROR(INDEX(PP_Grid[#Data],$DD612,23),0)</f>
        <v/>
      </c>
      <c r="Z612">
        <f>IFERROR(INDEX(PP_Grid[#Data],$DD612,24),0)</f>
        <v/>
      </c>
      <c r="AA612">
        <f>IFERROR(INDEX(PP_Grid[#Data],$DD612,25),0)</f>
        <v/>
      </c>
      <c r="AB612">
        <f>IFERROR(INDEX(PP_Grid[#Data],$DD612,26),0)</f>
        <v/>
      </c>
      <c r="AC612">
        <f>IFERROR(INDEX(PP_Grid[#Data],$DD612,27),0)</f>
        <v/>
      </c>
      <c r="AD612">
        <f>IFERROR(INDEX(PP_Grid[#Data],$DD612,28),0)</f>
        <v/>
      </c>
      <c r="AE612">
        <f>IFERROR(INDEX(PP_Grid[#Data],$DD612,29),0)</f>
        <v/>
      </c>
      <c r="AF612">
        <f>IFERROR(INDEX(PP_Grid[#Data],$DD612,30),0)</f>
        <v/>
      </c>
      <c r="AG612">
        <f>IFERROR(INDEX(PP_Grid[#Data],$DD612,31),0)</f>
        <v/>
      </c>
      <c r="AH612">
        <f>IFERROR(INDEX(PP_Grid[#Data],$DD612,32),0)</f>
        <v/>
      </c>
      <c r="AI612">
        <f>IFERROR(INDEX(PP_Grid[#Data],$DD612,33),0)</f>
        <v/>
      </c>
      <c r="AJ612">
        <f>IFERROR(INDEX(PP_Grid[#Data],$DD612,34),0)</f>
        <v/>
      </c>
      <c r="AK612">
        <f>IFERROR(INDEX(PP_Grid[#Data],$DD612,35),0)</f>
        <v/>
      </c>
      <c r="AL612">
        <f>IFERROR(INDEX(PP_Grid[#Data],$DD612,36),0)</f>
        <v/>
      </c>
      <c r="AM612">
        <f>IFERROR(INDEX(PP_Grid[#Data],$DD612,37),0)</f>
        <v/>
      </c>
      <c r="AN612">
        <f>IFERROR(INDEX(PP_Grid[#Data],$DD612,38),0)</f>
        <v/>
      </c>
      <c r="AO612">
        <f>IFERROR(INDEX(PP_Grid[#Data],$DD612,39),0)</f>
        <v/>
      </c>
      <c r="AP612">
        <f>IFERROR(INDEX(PP_Grid[#Data],$DD612,40),0)</f>
        <v/>
      </c>
      <c r="AQ612">
        <f>IFERROR(INDEX(PP_Grid[#Data],$DD612,41),0)</f>
        <v/>
      </c>
      <c r="AR612">
        <f>IFERROR(INDEX(PP_Grid[#Data],$DD612,42),0)</f>
        <v/>
      </c>
      <c r="AS612">
        <f>IFERROR(INDEX(PP_Grid[#Data],$DD612,43),0)</f>
        <v/>
      </c>
      <c r="AT612">
        <f>IFERROR(INDEX(PP_Grid[#Data],$DD612,44),0)</f>
        <v/>
      </c>
      <c r="AU612">
        <f>IFERROR(INDEX(PP_Grid[#Data],$DD612,45),0)</f>
        <v/>
      </c>
      <c r="AV612">
        <f>IFERROR(INDEX(PP_Grid[#Data],$DD612,46),0)</f>
        <v/>
      </c>
      <c r="AW612">
        <f>IFERROR(INDEX(PP_Grid[#Data],$DD612,47),0)</f>
        <v/>
      </c>
      <c r="AX612">
        <f>IFERROR(INDEX(PP_Grid[#Data],$DD612,48),0)</f>
        <v/>
      </c>
      <c r="AY612">
        <f>IFERROR(INDEX(PP_Grid[#Data],$DD612,49),0)</f>
        <v/>
      </c>
      <c r="AZ612">
        <f>IFERROR(INDEX(PP_Grid[#Data],$DD612,50),0)</f>
        <v/>
      </c>
      <c r="BA612">
        <f>IFERROR(INDEX(PP_Grid[#Data],$DD612,51),0)</f>
        <v/>
      </c>
      <c r="BB612">
        <f>IFERROR(INDEX(PP_Grid[#Data],$DD612,52),0)</f>
        <v/>
      </c>
      <c r="BC612">
        <f>IFERROR(INDEX(PP_Grid[#Data],$DD612,53),0)</f>
        <v/>
      </c>
      <c r="BD612">
        <f>IFERROR(INDEX(PP_Grid[#Data],$DD612,54),0)</f>
        <v/>
      </c>
      <c r="BE612">
        <f>IFERROR(INDEX(PP_Grid[#Data],$DD612,55),0)</f>
        <v/>
      </c>
      <c r="BF612">
        <f>IFERROR(INDEX(PP_Grid[#Data],$DD612,56),0)</f>
        <v/>
      </c>
      <c r="BG612">
        <f>IFERROR(INDEX(PP_Grid[#Data],$DD612,57),0)</f>
        <v/>
      </c>
      <c r="BH612">
        <f>IFERROR(INDEX(PP_Grid[#Data],$DD612,58),0)</f>
        <v/>
      </c>
      <c r="BI612">
        <f>IFERROR(INDEX(PP_Grid[#Data],$DD612,59),0)</f>
        <v/>
      </c>
      <c r="BJ612">
        <f>IFERROR(INDEX(PP_Grid[#Data],$DD612,60),0)</f>
        <v/>
      </c>
      <c r="BK612">
        <f>IFERROR(INDEX(PP_Grid[#Data],$DD612,61),0)</f>
        <v/>
      </c>
      <c r="BL612">
        <f>IFERROR(INDEX(PP_Grid[#Data],$DD612,62),0)</f>
        <v/>
      </c>
      <c r="BM612">
        <f>IFERROR(INDEX(PP_Grid[#Data],$DD612,63),0)</f>
        <v/>
      </c>
      <c r="BN612">
        <f>IFERROR(INDEX(PP_Grid[#Data],$DD612,64),0)</f>
        <v/>
      </c>
      <c r="BO612">
        <f>IFERROR(INDEX(PP_Grid[#Data],$DD612,65),0)</f>
        <v/>
      </c>
      <c r="BP612">
        <f>IFERROR(INDEX(PP_Grid[#Data],$DD612,66),0)</f>
        <v/>
      </c>
      <c r="BQ612">
        <f>IFERROR(INDEX(PP_Grid[#Data],$DD612,67),0)</f>
        <v/>
      </c>
      <c r="BR612">
        <f>IFERROR(INDEX(PP_Grid[#Data],$DD612,68),0)</f>
        <v/>
      </c>
      <c r="BS612">
        <f>IFERROR(INDEX(PP_Grid[#Data],$DD612,69),0)</f>
        <v/>
      </c>
      <c r="BT612">
        <f>IFERROR(INDEX(PP_Grid[#Data],$DD612,70),0)</f>
        <v/>
      </c>
      <c r="BU612">
        <f>IFERROR(INDEX(PP_Grid[#Data],$DD612,71),0)</f>
        <v/>
      </c>
      <c r="BV612">
        <f>IFERROR(INDEX(PP_Grid[#Data],$DD612,72),0)</f>
        <v/>
      </c>
      <c r="BW612">
        <f>IFERROR(INDEX(PP_Grid[#Data],$DD612,73),0)</f>
        <v/>
      </c>
      <c r="BX612">
        <f>IFERROR(INDEX(PP_Grid[#Data],$DD612,74),0)</f>
        <v/>
      </c>
      <c r="BY612">
        <f>IFERROR(INDEX(PP_Grid[#Data],$DD612,75),0)</f>
        <v/>
      </c>
      <c r="BZ612">
        <f>IFERROR(INDEX(PP_Grid[#Data],$DD612,76),0)</f>
        <v/>
      </c>
      <c r="CA612">
        <f>IFERROR(INDEX(PP_Grid[#Data],$DD612,77),0)</f>
        <v/>
      </c>
      <c r="CB612">
        <f>IFERROR(INDEX(PP_Grid[#Data],$DD612,78),0)</f>
        <v/>
      </c>
      <c r="CC612">
        <f>IFERROR(INDEX(PP_Grid[#Data],$DD612,79),0)</f>
        <v/>
      </c>
      <c r="CD612">
        <f>IFERROR(INDEX(PP_Grid[#Data],$DD612,80),0)</f>
        <v/>
      </c>
      <c r="CE612">
        <f>IFERROR(INDEX(PP_Grid[#Data],$DD612,81),0)</f>
        <v/>
      </c>
      <c r="CF612">
        <f>IFERROR(INDEX(PP_Grid[#Data],$DD612,82),0)</f>
        <v/>
      </c>
      <c r="CG612">
        <f>IFERROR(INDEX(PP_Grid[#Data],$DD612,83),0)</f>
        <v/>
      </c>
      <c r="CH612">
        <f>IFERROR(INDEX(PP_Grid[#Data],$DD612,84),0)</f>
        <v/>
      </c>
      <c r="CI612">
        <f>IFERROR(INDEX(PP_Grid[#Data],$DD612,85),0)</f>
        <v/>
      </c>
      <c r="CJ612">
        <f>IFERROR(INDEX(PP_Grid[#Data],$DD612,86),0)</f>
        <v/>
      </c>
      <c r="CK612">
        <f>IFERROR(INDEX(PP_Grid[#Data],$DD612,87),0)</f>
        <v/>
      </c>
      <c r="CL612">
        <f>IFERROR(INDEX(PP_Grid[#Data],$DD612,88),0)</f>
        <v/>
      </c>
      <c r="CM612">
        <f>IFERROR(INDEX(PP_Grid[#Data],$DD612,89),0)</f>
        <v/>
      </c>
      <c r="CN612">
        <f>IFERROR(INDEX(PP_Grid[#Data],$DD612,90),0)</f>
        <v/>
      </c>
      <c r="CO612">
        <f>IFERROR(INDEX(PP_Grid[#Data],$DD612,91),0)</f>
        <v/>
      </c>
      <c r="CP612">
        <f>IFERROR(INDEX(PP_Grid[#Data],$DD612,92),0)</f>
        <v/>
      </c>
      <c r="CQ612">
        <f>IFERROR(INDEX(PP_Grid[#Data],$DD612,93),0)</f>
        <v/>
      </c>
      <c r="CR612">
        <f>IFERROR(INDEX(PP_Grid[#Data],$DD612,94),0)</f>
        <v/>
      </c>
      <c r="CS612">
        <f>IFERROR(INDEX(PP_Grid[#Data],$DD612,95),0)</f>
        <v/>
      </c>
      <c r="CT612">
        <f>IFERROR(INDEX(PP_Grid[#Data],$DD612,96),0)</f>
        <v/>
      </c>
      <c r="CU612">
        <f>IFERROR(INDEX(PP_Grid[#Data],$DD612,97),0)</f>
        <v/>
      </c>
      <c r="CV612">
        <f>IFERROR(INDEX(PP_Grid[#Data],$DD612,98),0)</f>
        <v/>
      </c>
      <c r="CW612">
        <f>IFERROR(INDEX(PP_Grid[#Data],$DD612,99),0)</f>
        <v/>
      </c>
      <c r="CX612">
        <f>IFERROR(INDEX(PP_Grid[#Data],$DD612,100),0)</f>
        <v/>
      </c>
      <c r="CY612">
        <f>IFERROR(INDEX(PP_Grid[#Data],$DD612,101),0)</f>
        <v/>
      </c>
      <c r="CZ612">
        <f>IFERROR(INDEX(PP_Grid[#Data],$DD612,102),0)</f>
        <v/>
      </c>
      <c r="DA612">
        <f>IFERROR(INDEX(PP_Grid[#Data],$DD612,103),0)</f>
        <v/>
      </c>
      <c r="DB612">
        <f>IFERROR(INDEX(PP_Grid[#Data],$DD612,104),0)</f>
        <v/>
      </c>
      <c r="DC612">
        <f>IFERROR(INDEX(PP_Grid[#Data],$DD612,105),0)</f>
        <v/>
      </c>
      <c r="DD612" s="7">
        <f>IFERROR(MATCH($B612,PP_Grid[Intermediate],0),99999)</f>
        <v/>
      </c>
    </row>
    <row r="613">
      <c r="B613" t="inlineStr">
        <is>
          <t>使用量(kg)</t>
        </is>
      </c>
      <c r="C613">
        <f>SUMIFS(M_BOM[RM_Qty_Per_Batch],M_BOM[Intermediate],$B612,M_BOM[Part Name],$A589)</f>
        <v/>
      </c>
      <c r="D613">
        <f>$C613*D612</f>
        <v/>
      </c>
      <c r="E613">
        <f>$C613*E612</f>
        <v/>
      </c>
      <c r="F613">
        <f>$C613*F612</f>
        <v/>
      </c>
      <c r="G613">
        <f>$C613*G612</f>
        <v/>
      </c>
      <c r="H613">
        <f>$C613*H612</f>
        <v/>
      </c>
      <c r="I613">
        <f>$C613*I612</f>
        <v/>
      </c>
      <c r="J613">
        <f>$C613*J612</f>
        <v/>
      </c>
      <c r="K613">
        <f>$C613*K612</f>
        <v/>
      </c>
      <c r="L613">
        <f>$C613*L612</f>
        <v/>
      </c>
      <c r="M613">
        <f>$C613*M612</f>
        <v/>
      </c>
      <c r="N613">
        <f>$C613*N612</f>
        <v/>
      </c>
      <c r="O613">
        <f>$C613*O612</f>
        <v/>
      </c>
      <c r="P613">
        <f>$C613*P612</f>
        <v/>
      </c>
      <c r="Q613">
        <f>$C613*Q612</f>
        <v/>
      </c>
      <c r="R613">
        <f>$C613*R612</f>
        <v/>
      </c>
      <c r="S613">
        <f>$C613*S612</f>
        <v/>
      </c>
      <c r="T613">
        <f>$C613*T612</f>
        <v/>
      </c>
      <c r="U613">
        <f>$C613*U612</f>
        <v/>
      </c>
      <c r="V613">
        <f>$C613*V612</f>
        <v/>
      </c>
      <c r="W613">
        <f>$C613*W612</f>
        <v/>
      </c>
      <c r="X613">
        <f>$C613*X612</f>
        <v/>
      </c>
      <c r="Y613">
        <f>$C613*Y612</f>
        <v/>
      </c>
      <c r="Z613">
        <f>$C613*Z612</f>
        <v/>
      </c>
      <c r="AA613">
        <f>$C613*AA612</f>
        <v/>
      </c>
      <c r="AB613">
        <f>$C613*AB612</f>
        <v/>
      </c>
      <c r="AC613">
        <f>$C613*AC612</f>
        <v/>
      </c>
      <c r="AD613">
        <f>$C613*AD612</f>
        <v/>
      </c>
      <c r="AE613">
        <f>$C613*AE612</f>
        <v/>
      </c>
      <c r="AF613">
        <f>$C613*AF612</f>
        <v/>
      </c>
      <c r="AG613">
        <f>$C613*AG612</f>
        <v/>
      </c>
      <c r="AH613">
        <f>$C613*AH612</f>
        <v/>
      </c>
      <c r="AI613">
        <f>$C613*AI612</f>
        <v/>
      </c>
      <c r="AJ613">
        <f>$C613*AJ612</f>
        <v/>
      </c>
      <c r="AK613">
        <f>$C613*AK612</f>
        <v/>
      </c>
      <c r="AL613">
        <f>$C613*AL612</f>
        <v/>
      </c>
      <c r="AM613">
        <f>$C613*AM612</f>
        <v/>
      </c>
      <c r="AN613">
        <f>$C613*AN612</f>
        <v/>
      </c>
      <c r="AO613">
        <f>$C613*AO612</f>
        <v/>
      </c>
      <c r="AP613">
        <f>$C613*AP612</f>
        <v/>
      </c>
      <c r="AQ613">
        <f>$C613*AQ612</f>
        <v/>
      </c>
      <c r="AR613">
        <f>$C613*AR612</f>
        <v/>
      </c>
      <c r="AS613">
        <f>$C613*AS612</f>
        <v/>
      </c>
      <c r="AT613">
        <f>$C613*AT612</f>
        <v/>
      </c>
      <c r="AU613">
        <f>$C613*AU612</f>
        <v/>
      </c>
      <c r="AV613">
        <f>$C613*AV612</f>
        <v/>
      </c>
      <c r="AW613">
        <f>$C613*AW612</f>
        <v/>
      </c>
      <c r="AX613">
        <f>$C613*AX612</f>
        <v/>
      </c>
      <c r="AY613">
        <f>$C613*AY612</f>
        <v/>
      </c>
      <c r="AZ613">
        <f>$C613*AZ612</f>
        <v/>
      </c>
      <c r="BA613">
        <f>$C613*BA612</f>
        <v/>
      </c>
      <c r="BB613">
        <f>$C613*BB612</f>
        <v/>
      </c>
      <c r="BC613">
        <f>$C613*BC612</f>
        <v/>
      </c>
      <c r="BD613">
        <f>$C613*BD612</f>
        <v/>
      </c>
      <c r="BE613">
        <f>$C613*BE612</f>
        <v/>
      </c>
      <c r="BF613">
        <f>$C613*BF612</f>
        <v/>
      </c>
      <c r="BG613">
        <f>$C613*BG612</f>
        <v/>
      </c>
      <c r="BH613">
        <f>$C613*BH612</f>
        <v/>
      </c>
      <c r="BI613">
        <f>$C613*BI612</f>
        <v/>
      </c>
      <c r="BJ613">
        <f>$C613*BJ612</f>
        <v/>
      </c>
      <c r="BK613">
        <f>$C613*BK612</f>
        <v/>
      </c>
      <c r="BL613">
        <f>$C613*BL612</f>
        <v/>
      </c>
      <c r="BM613">
        <f>$C613*BM612</f>
        <v/>
      </c>
      <c r="BN613">
        <f>$C613*BN612</f>
        <v/>
      </c>
      <c r="BO613">
        <f>$C613*BO612</f>
        <v/>
      </c>
      <c r="BP613">
        <f>$C613*BP612</f>
        <v/>
      </c>
      <c r="BQ613">
        <f>$C613*BQ612</f>
        <v/>
      </c>
      <c r="BR613">
        <f>$C613*BR612</f>
        <v/>
      </c>
      <c r="BS613">
        <f>$C613*BS612</f>
        <v/>
      </c>
      <c r="BT613">
        <f>$C613*BT612</f>
        <v/>
      </c>
      <c r="BU613">
        <f>$C613*BU612</f>
        <v/>
      </c>
      <c r="BV613">
        <f>$C613*BV612</f>
        <v/>
      </c>
      <c r="BW613">
        <f>$C613*BW612</f>
        <v/>
      </c>
      <c r="BX613">
        <f>$C613*BX612</f>
        <v/>
      </c>
      <c r="BY613">
        <f>$C613*BY612</f>
        <v/>
      </c>
      <c r="BZ613">
        <f>$C613*BZ612</f>
        <v/>
      </c>
      <c r="CA613">
        <f>$C613*CA612</f>
        <v/>
      </c>
      <c r="CB613">
        <f>$C613*CB612</f>
        <v/>
      </c>
      <c r="CC613">
        <f>$C613*CC612</f>
        <v/>
      </c>
      <c r="CD613">
        <f>$C613*CD612</f>
        <v/>
      </c>
      <c r="CE613">
        <f>$C613*CE612</f>
        <v/>
      </c>
      <c r="CF613">
        <f>$C613*CF612</f>
        <v/>
      </c>
      <c r="CG613">
        <f>$C613*CG612</f>
        <v/>
      </c>
      <c r="CH613">
        <f>$C613*CH612</f>
        <v/>
      </c>
      <c r="CI613">
        <f>$C613*CI612</f>
        <v/>
      </c>
      <c r="CJ613">
        <f>$C613*CJ612</f>
        <v/>
      </c>
      <c r="CK613">
        <f>$C613*CK612</f>
        <v/>
      </c>
      <c r="CL613">
        <f>$C613*CL612</f>
        <v/>
      </c>
      <c r="CM613">
        <f>$C613*CM612</f>
        <v/>
      </c>
      <c r="CN613">
        <f>$C613*CN612</f>
        <v/>
      </c>
      <c r="CO613">
        <f>$C613*CO612</f>
        <v/>
      </c>
      <c r="CP613">
        <f>$C613*CP612</f>
        <v/>
      </c>
      <c r="CQ613">
        <f>$C613*CQ612</f>
        <v/>
      </c>
      <c r="CR613">
        <f>$C613*CR612</f>
        <v/>
      </c>
      <c r="CS613">
        <f>$C613*CS612</f>
        <v/>
      </c>
      <c r="CT613">
        <f>$C613*CT612</f>
        <v/>
      </c>
      <c r="CU613">
        <f>$C613*CU612</f>
        <v/>
      </c>
      <c r="CV613">
        <f>$C613*CV612</f>
        <v/>
      </c>
      <c r="CW613">
        <f>$C613*CW612</f>
        <v/>
      </c>
      <c r="CX613">
        <f>$C613*CX612</f>
        <v/>
      </c>
      <c r="CY613">
        <f>$C613*CY612</f>
        <v/>
      </c>
      <c r="CZ613">
        <f>$C613*CZ612</f>
        <v/>
      </c>
      <c r="DA613">
        <f>$C613*DA612</f>
        <v/>
      </c>
      <c r="DB613">
        <f>$C613*DB612</f>
        <v/>
      </c>
      <c r="DC613">
        <f>$C613*DC612</f>
        <v/>
      </c>
    </row>
    <row r="614">
      <c r="B614" t="inlineStr">
        <is>
          <t>VSP-869</t>
        </is>
      </c>
      <c r="C614" t="inlineStr">
        <is>
          <t>No. of batches</t>
        </is>
      </c>
      <c r="D614">
        <f>IFERROR(INDEX(PP_Grid[#Data],$DD614,2),0)</f>
        <v/>
      </c>
      <c r="E614">
        <f>IFERROR(INDEX(PP_Grid[#Data],$DD614,3),0)</f>
        <v/>
      </c>
      <c r="F614">
        <f>IFERROR(INDEX(PP_Grid[#Data],$DD614,4),0)</f>
        <v/>
      </c>
      <c r="G614">
        <f>IFERROR(INDEX(PP_Grid[#Data],$DD614,5),0)</f>
        <v/>
      </c>
      <c r="H614">
        <f>IFERROR(INDEX(PP_Grid[#Data],$DD614,6),0)</f>
        <v/>
      </c>
      <c r="I614">
        <f>IFERROR(INDEX(PP_Grid[#Data],$DD614,7),0)</f>
        <v/>
      </c>
      <c r="J614">
        <f>IFERROR(INDEX(PP_Grid[#Data],$DD614,8),0)</f>
        <v/>
      </c>
      <c r="K614">
        <f>IFERROR(INDEX(PP_Grid[#Data],$DD614,9),0)</f>
        <v/>
      </c>
      <c r="L614">
        <f>IFERROR(INDEX(PP_Grid[#Data],$DD614,10),0)</f>
        <v/>
      </c>
      <c r="M614">
        <f>IFERROR(INDEX(PP_Grid[#Data],$DD614,11),0)</f>
        <v/>
      </c>
      <c r="N614">
        <f>IFERROR(INDEX(PP_Grid[#Data],$DD614,12),0)</f>
        <v/>
      </c>
      <c r="O614">
        <f>IFERROR(INDEX(PP_Grid[#Data],$DD614,13),0)</f>
        <v/>
      </c>
      <c r="P614">
        <f>IFERROR(INDEX(PP_Grid[#Data],$DD614,14),0)</f>
        <v/>
      </c>
      <c r="Q614">
        <f>IFERROR(INDEX(PP_Grid[#Data],$DD614,15),0)</f>
        <v/>
      </c>
      <c r="R614">
        <f>IFERROR(INDEX(PP_Grid[#Data],$DD614,16),0)</f>
        <v/>
      </c>
      <c r="S614">
        <f>IFERROR(INDEX(PP_Grid[#Data],$DD614,17),0)</f>
        <v/>
      </c>
      <c r="T614">
        <f>IFERROR(INDEX(PP_Grid[#Data],$DD614,18),0)</f>
        <v/>
      </c>
      <c r="U614">
        <f>IFERROR(INDEX(PP_Grid[#Data],$DD614,19),0)</f>
        <v/>
      </c>
      <c r="V614">
        <f>IFERROR(INDEX(PP_Grid[#Data],$DD614,20),0)</f>
        <v/>
      </c>
      <c r="W614">
        <f>IFERROR(INDEX(PP_Grid[#Data],$DD614,21),0)</f>
        <v/>
      </c>
      <c r="X614">
        <f>IFERROR(INDEX(PP_Grid[#Data],$DD614,22),0)</f>
        <v/>
      </c>
      <c r="Y614">
        <f>IFERROR(INDEX(PP_Grid[#Data],$DD614,23),0)</f>
        <v/>
      </c>
      <c r="Z614">
        <f>IFERROR(INDEX(PP_Grid[#Data],$DD614,24),0)</f>
        <v/>
      </c>
      <c r="AA614">
        <f>IFERROR(INDEX(PP_Grid[#Data],$DD614,25),0)</f>
        <v/>
      </c>
      <c r="AB614">
        <f>IFERROR(INDEX(PP_Grid[#Data],$DD614,26),0)</f>
        <v/>
      </c>
      <c r="AC614">
        <f>IFERROR(INDEX(PP_Grid[#Data],$DD614,27),0)</f>
        <v/>
      </c>
      <c r="AD614">
        <f>IFERROR(INDEX(PP_Grid[#Data],$DD614,28),0)</f>
        <v/>
      </c>
      <c r="AE614">
        <f>IFERROR(INDEX(PP_Grid[#Data],$DD614,29),0)</f>
        <v/>
      </c>
      <c r="AF614">
        <f>IFERROR(INDEX(PP_Grid[#Data],$DD614,30),0)</f>
        <v/>
      </c>
      <c r="AG614">
        <f>IFERROR(INDEX(PP_Grid[#Data],$DD614,31),0)</f>
        <v/>
      </c>
      <c r="AH614">
        <f>IFERROR(INDEX(PP_Grid[#Data],$DD614,32),0)</f>
        <v/>
      </c>
      <c r="AI614">
        <f>IFERROR(INDEX(PP_Grid[#Data],$DD614,33),0)</f>
        <v/>
      </c>
      <c r="AJ614">
        <f>IFERROR(INDEX(PP_Grid[#Data],$DD614,34),0)</f>
        <v/>
      </c>
      <c r="AK614">
        <f>IFERROR(INDEX(PP_Grid[#Data],$DD614,35),0)</f>
        <v/>
      </c>
      <c r="AL614">
        <f>IFERROR(INDEX(PP_Grid[#Data],$DD614,36),0)</f>
        <v/>
      </c>
      <c r="AM614">
        <f>IFERROR(INDEX(PP_Grid[#Data],$DD614,37),0)</f>
        <v/>
      </c>
      <c r="AN614">
        <f>IFERROR(INDEX(PP_Grid[#Data],$DD614,38),0)</f>
        <v/>
      </c>
      <c r="AO614">
        <f>IFERROR(INDEX(PP_Grid[#Data],$DD614,39),0)</f>
        <v/>
      </c>
      <c r="AP614">
        <f>IFERROR(INDEX(PP_Grid[#Data],$DD614,40),0)</f>
        <v/>
      </c>
      <c r="AQ614">
        <f>IFERROR(INDEX(PP_Grid[#Data],$DD614,41),0)</f>
        <v/>
      </c>
      <c r="AR614">
        <f>IFERROR(INDEX(PP_Grid[#Data],$DD614,42),0)</f>
        <v/>
      </c>
      <c r="AS614">
        <f>IFERROR(INDEX(PP_Grid[#Data],$DD614,43),0)</f>
        <v/>
      </c>
      <c r="AT614">
        <f>IFERROR(INDEX(PP_Grid[#Data],$DD614,44),0)</f>
        <v/>
      </c>
      <c r="AU614">
        <f>IFERROR(INDEX(PP_Grid[#Data],$DD614,45),0)</f>
        <v/>
      </c>
      <c r="AV614">
        <f>IFERROR(INDEX(PP_Grid[#Data],$DD614,46),0)</f>
        <v/>
      </c>
      <c r="AW614">
        <f>IFERROR(INDEX(PP_Grid[#Data],$DD614,47),0)</f>
        <v/>
      </c>
      <c r="AX614">
        <f>IFERROR(INDEX(PP_Grid[#Data],$DD614,48),0)</f>
        <v/>
      </c>
      <c r="AY614">
        <f>IFERROR(INDEX(PP_Grid[#Data],$DD614,49),0)</f>
        <v/>
      </c>
      <c r="AZ614">
        <f>IFERROR(INDEX(PP_Grid[#Data],$DD614,50),0)</f>
        <v/>
      </c>
      <c r="BA614">
        <f>IFERROR(INDEX(PP_Grid[#Data],$DD614,51),0)</f>
        <v/>
      </c>
      <c r="BB614">
        <f>IFERROR(INDEX(PP_Grid[#Data],$DD614,52),0)</f>
        <v/>
      </c>
      <c r="BC614">
        <f>IFERROR(INDEX(PP_Grid[#Data],$DD614,53),0)</f>
        <v/>
      </c>
      <c r="BD614">
        <f>IFERROR(INDEX(PP_Grid[#Data],$DD614,54),0)</f>
        <v/>
      </c>
      <c r="BE614">
        <f>IFERROR(INDEX(PP_Grid[#Data],$DD614,55),0)</f>
        <v/>
      </c>
      <c r="BF614">
        <f>IFERROR(INDEX(PP_Grid[#Data],$DD614,56),0)</f>
        <v/>
      </c>
      <c r="BG614">
        <f>IFERROR(INDEX(PP_Grid[#Data],$DD614,57),0)</f>
        <v/>
      </c>
      <c r="BH614">
        <f>IFERROR(INDEX(PP_Grid[#Data],$DD614,58),0)</f>
        <v/>
      </c>
      <c r="BI614">
        <f>IFERROR(INDEX(PP_Grid[#Data],$DD614,59),0)</f>
        <v/>
      </c>
      <c r="BJ614">
        <f>IFERROR(INDEX(PP_Grid[#Data],$DD614,60),0)</f>
        <v/>
      </c>
      <c r="BK614">
        <f>IFERROR(INDEX(PP_Grid[#Data],$DD614,61),0)</f>
        <v/>
      </c>
      <c r="BL614">
        <f>IFERROR(INDEX(PP_Grid[#Data],$DD614,62),0)</f>
        <v/>
      </c>
      <c r="BM614">
        <f>IFERROR(INDEX(PP_Grid[#Data],$DD614,63),0)</f>
        <v/>
      </c>
      <c r="BN614">
        <f>IFERROR(INDEX(PP_Grid[#Data],$DD614,64),0)</f>
        <v/>
      </c>
      <c r="BO614">
        <f>IFERROR(INDEX(PP_Grid[#Data],$DD614,65),0)</f>
        <v/>
      </c>
      <c r="BP614">
        <f>IFERROR(INDEX(PP_Grid[#Data],$DD614,66),0)</f>
        <v/>
      </c>
      <c r="BQ614">
        <f>IFERROR(INDEX(PP_Grid[#Data],$DD614,67),0)</f>
        <v/>
      </c>
      <c r="BR614">
        <f>IFERROR(INDEX(PP_Grid[#Data],$DD614,68),0)</f>
        <v/>
      </c>
      <c r="BS614">
        <f>IFERROR(INDEX(PP_Grid[#Data],$DD614,69),0)</f>
        <v/>
      </c>
      <c r="BT614">
        <f>IFERROR(INDEX(PP_Grid[#Data],$DD614,70),0)</f>
        <v/>
      </c>
      <c r="BU614">
        <f>IFERROR(INDEX(PP_Grid[#Data],$DD614,71),0)</f>
        <v/>
      </c>
      <c r="BV614">
        <f>IFERROR(INDEX(PP_Grid[#Data],$DD614,72),0)</f>
        <v/>
      </c>
      <c r="BW614">
        <f>IFERROR(INDEX(PP_Grid[#Data],$DD614,73),0)</f>
        <v/>
      </c>
      <c r="BX614">
        <f>IFERROR(INDEX(PP_Grid[#Data],$DD614,74),0)</f>
        <v/>
      </c>
      <c r="BY614">
        <f>IFERROR(INDEX(PP_Grid[#Data],$DD614,75),0)</f>
        <v/>
      </c>
      <c r="BZ614">
        <f>IFERROR(INDEX(PP_Grid[#Data],$DD614,76),0)</f>
        <v/>
      </c>
      <c r="CA614">
        <f>IFERROR(INDEX(PP_Grid[#Data],$DD614,77),0)</f>
        <v/>
      </c>
      <c r="CB614">
        <f>IFERROR(INDEX(PP_Grid[#Data],$DD614,78),0)</f>
        <v/>
      </c>
      <c r="CC614">
        <f>IFERROR(INDEX(PP_Grid[#Data],$DD614,79),0)</f>
        <v/>
      </c>
      <c r="CD614">
        <f>IFERROR(INDEX(PP_Grid[#Data],$DD614,80),0)</f>
        <v/>
      </c>
      <c r="CE614">
        <f>IFERROR(INDEX(PP_Grid[#Data],$DD614,81),0)</f>
        <v/>
      </c>
      <c r="CF614">
        <f>IFERROR(INDEX(PP_Grid[#Data],$DD614,82),0)</f>
        <v/>
      </c>
      <c r="CG614">
        <f>IFERROR(INDEX(PP_Grid[#Data],$DD614,83),0)</f>
        <v/>
      </c>
      <c r="CH614">
        <f>IFERROR(INDEX(PP_Grid[#Data],$DD614,84),0)</f>
        <v/>
      </c>
      <c r="CI614">
        <f>IFERROR(INDEX(PP_Grid[#Data],$DD614,85),0)</f>
        <v/>
      </c>
      <c r="CJ614">
        <f>IFERROR(INDEX(PP_Grid[#Data],$DD614,86),0)</f>
        <v/>
      </c>
      <c r="CK614">
        <f>IFERROR(INDEX(PP_Grid[#Data],$DD614,87),0)</f>
        <v/>
      </c>
      <c r="CL614">
        <f>IFERROR(INDEX(PP_Grid[#Data],$DD614,88),0)</f>
        <v/>
      </c>
      <c r="CM614">
        <f>IFERROR(INDEX(PP_Grid[#Data],$DD614,89),0)</f>
        <v/>
      </c>
      <c r="CN614">
        <f>IFERROR(INDEX(PP_Grid[#Data],$DD614,90),0)</f>
        <v/>
      </c>
      <c r="CO614">
        <f>IFERROR(INDEX(PP_Grid[#Data],$DD614,91),0)</f>
        <v/>
      </c>
      <c r="CP614">
        <f>IFERROR(INDEX(PP_Grid[#Data],$DD614,92),0)</f>
        <v/>
      </c>
      <c r="CQ614">
        <f>IFERROR(INDEX(PP_Grid[#Data],$DD614,93),0)</f>
        <v/>
      </c>
      <c r="CR614">
        <f>IFERROR(INDEX(PP_Grid[#Data],$DD614,94),0)</f>
        <v/>
      </c>
      <c r="CS614">
        <f>IFERROR(INDEX(PP_Grid[#Data],$DD614,95),0)</f>
        <v/>
      </c>
      <c r="CT614">
        <f>IFERROR(INDEX(PP_Grid[#Data],$DD614,96),0)</f>
        <v/>
      </c>
      <c r="CU614">
        <f>IFERROR(INDEX(PP_Grid[#Data],$DD614,97),0)</f>
        <v/>
      </c>
      <c r="CV614">
        <f>IFERROR(INDEX(PP_Grid[#Data],$DD614,98),0)</f>
        <v/>
      </c>
      <c r="CW614">
        <f>IFERROR(INDEX(PP_Grid[#Data],$DD614,99),0)</f>
        <v/>
      </c>
      <c r="CX614">
        <f>IFERROR(INDEX(PP_Grid[#Data],$DD614,100),0)</f>
        <v/>
      </c>
      <c r="CY614">
        <f>IFERROR(INDEX(PP_Grid[#Data],$DD614,101),0)</f>
        <v/>
      </c>
      <c r="CZ614">
        <f>IFERROR(INDEX(PP_Grid[#Data],$DD614,102),0)</f>
        <v/>
      </c>
      <c r="DA614">
        <f>IFERROR(INDEX(PP_Grid[#Data],$DD614,103),0)</f>
        <v/>
      </c>
      <c r="DB614">
        <f>IFERROR(INDEX(PP_Grid[#Data],$DD614,104),0)</f>
        <v/>
      </c>
      <c r="DC614">
        <f>IFERROR(INDEX(PP_Grid[#Data],$DD614,105),0)</f>
        <v/>
      </c>
      <c r="DD614" s="7">
        <f>IFERROR(MATCH($B614,PP_Grid[Intermediate],0),99999)</f>
        <v/>
      </c>
    </row>
    <row r="615">
      <c r="B615" t="inlineStr">
        <is>
          <t>使用量(kg)</t>
        </is>
      </c>
      <c r="C615">
        <f>SUMIFS(M_BOM[RM_Qty_Per_Batch],M_BOM[Intermediate],$B614,M_BOM[Part Name],$A589)</f>
        <v/>
      </c>
      <c r="D615">
        <f>$C615*D614</f>
        <v/>
      </c>
      <c r="E615">
        <f>$C615*E614</f>
        <v/>
      </c>
      <c r="F615">
        <f>$C615*F614</f>
        <v/>
      </c>
      <c r="G615">
        <f>$C615*G614</f>
        <v/>
      </c>
      <c r="H615">
        <f>$C615*H614</f>
        <v/>
      </c>
      <c r="I615">
        <f>$C615*I614</f>
        <v/>
      </c>
      <c r="J615">
        <f>$C615*J614</f>
        <v/>
      </c>
      <c r="K615">
        <f>$C615*K614</f>
        <v/>
      </c>
      <c r="L615">
        <f>$C615*L614</f>
        <v/>
      </c>
      <c r="M615">
        <f>$C615*M614</f>
        <v/>
      </c>
      <c r="N615">
        <f>$C615*N614</f>
        <v/>
      </c>
      <c r="O615">
        <f>$C615*O614</f>
        <v/>
      </c>
      <c r="P615">
        <f>$C615*P614</f>
        <v/>
      </c>
      <c r="Q615">
        <f>$C615*Q614</f>
        <v/>
      </c>
      <c r="R615">
        <f>$C615*R614</f>
        <v/>
      </c>
      <c r="S615">
        <f>$C615*S614</f>
        <v/>
      </c>
      <c r="T615">
        <f>$C615*T614</f>
        <v/>
      </c>
      <c r="U615">
        <f>$C615*U614</f>
        <v/>
      </c>
      <c r="V615">
        <f>$C615*V614</f>
        <v/>
      </c>
      <c r="W615">
        <f>$C615*W614</f>
        <v/>
      </c>
      <c r="X615">
        <f>$C615*X614</f>
        <v/>
      </c>
      <c r="Y615">
        <f>$C615*Y614</f>
        <v/>
      </c>
      <c r="Z615">
        <f>$C615*Z614</f>
        <v/>
      </c>
      <c r="AA615">
        <f>$C615*AA614</f>
        <v/>
      </c>
      <c r="AB615">
        <f>$C615*AB614</f>
        <v/>
      </c>
      <c r="AC615">
        <f>$C615*AC614</f>
        <v/>
      </c>
      <c r="AD615">
        <f>$C615*AD614</f>
        <v/>
      </c>
      <c r="AE615">
        <f>$C615*AE614</f>
        <v/>
      </c>
      <c r="AF615">
        <f>$C615*AF614</f>
        <v/>
      </c>
      <c r="AG615">
        <f>$C615*AG614</f>
        <v/>
      </c>
      <c r="AH615">
        <f>$C615*AH614</f>
        <v/>
      </c>
      <c r="AI615">
        <f>$C615*AI614</f>
        <v/>
      </c>
      <c r="AJ615">
        <f>$C615*AJ614</f>
        <v/>
      </c>
      <c r="AK615">
        <f>$C615*AK614</f>
        <v/>
      </c>
      <c r="AL615">
        <f>$C615*AL614</f>
        <v/>
      </c>
      <c r="AM615">
        <f>$C615*AM614</f>
        <v/>
      </c>
      <c r="AN615">
        <f>$C615*AN614</f>
        <v/>
      </c>
      <c r="AO615">
        <f>$C615*AO614</f>
        <v/>
      </c>
      <c r="AP615">
        <f>$C615*AP614</f>
        <v/>
      </c>
      <c r="AQ615">
        <f>$C615*AQ614</f>
        <v/>
      </c>
      <c r="AR615">
        <f>$C615*AR614</f>
        <v/>
      </c>
      <c r="AS615">
        <f>$C615*AS614</f>
        <v/>
      </c>
      <c r="AT615">
        <f>$C615*AT614</f>
        <v/>
      </c>
      <c r="AU615">
        <f>$C615*AU614</f>
        <v/>
      </c>
      <c r="AV615">
        <f>$C615*AV614</f>
        <v/>
      </c>
      <c r="AW615">
        <f>$C615*AW614</f>
        <v/>
      </c>
      <c r="AX615">
        <f>$C615*AX614</f>
        <v/>
      </c>
      <c r="AY615">
        <f>$C615*AY614</f>
        <v/>
      </c>
      <c r="AZ615">
        <f>$C615*AZ614</f>
        <v/>
      </c>
      <c r="BA615">
        <f>$C615*BA614</f>
        <v/>
      </c>
      <c r="BB615">
        <f>$C615*BB614</f>
        <v/>
      </c>
      <c r="BC615">
        <f>$C615*BC614</f>
        <v/>
      </c>
      <c r="BD615">
        <f>$C615*BD614</f>
        <v/>
      </c>
      <c r="BE615">
        <f>$C615*BE614</f>
        <v/>
      </c>
      <c r="BF615">
        <f>$C615*BF614</f>
        <v/>
      </c>
      <c r="BG615">
        <f>$C615*BG614</f>
        <v/>
      </c>
      <c r="BH615">
        <f>$C615*BH614</f>
        <v/>
      </c>
      <c r="BI615">
        <f>$C615*BI614</f>
        <v/>
      </c>
      <c r="BJ615">
        <f>$C615*BJ614</f>
        <v/>
      </c>
      <c r="BK615">
        <f>$C615*BK614</f>
        <v/>
      </c>
      <c r="BL615">
        <f>$C615*BL614</f>
        <v/>
      </c>
      <c r="BM615">
        <f>$C615*BM614</f>
        <v/>
      </c>
      <c r="BN615">
        <f>$C615*BN614</f>
        <v/>
      </c>
      <c r="BO615">
        <f>$C615*BO614</f>
        <v/>
      </c>
      <c r="BP615">
        <f>$C615*BP614</f>
        <v/>
      </c>
      <c r="BQ615">
        <f>$C615*BQ614</f>
        <v/>
      </c>
      <c r="BR615">
        <f>$C615*BR614</f>
        <v/>
      </c>
      <c r="BS615">
        <f>$C615*BS614</f>
        <v/>
      </c>
      <c r="BT615">
        <f>$C615*BT614</f>
        <v/>
      </c>
      <c r="BU615">
        <f>$C615*BU614</f>
        <v/>
      </c>
      <c r="BV615">
        <f>$C615*BV614</f>
        <v/>
      </c>
      <c r="BW615">
        <f>$C615*BW614</f>
        <v/>
      </c>
      <c r="BX615">
        <f>$C615*BX614</f>
        <v/>
      </c>
      <c r="BY615">
        <f>$C615*BY614</f>
        <v/>
      </c>
      <c r="BZ615">
        <f>$C615*BZ614</f>
        <v/>
      </c>
      <c r="CA615">
        <f>$C615*CA614</f>
        <v/>
      </c>
      <c r="CB615">
        <f>$C615*CB614</f>
        <v/>
      </c>
      <c r="CC615">
        <f>$C615*CC614</f>
        <v/>
      </c>
      <c r="CD615">
        <f>$C615*CD614</f>
        <v/>
      </c>
      <c r="CE615">
        <f>$C615*CE614</f>
        <v/>
      </c>
      <c r="CF615">
        <f>$C615*CF614</f>
        <v/>
      </c>
      <c r="CG615">
        <f>$C615*CG614</f>
        <v/>
      </c>
      <c r="CH615">
        <f>$C615*CH614</f>
        <v/>
      </c>
      <c r="CI615">
        <f>$C615*CI614</f>
        <v/>
      </c>
      <c r="CJ615">
        <f>$C615*CJ614</f>
        <v/>
      </c>
      <c r="CK615">
        <f>$C615*CK614</f>
        <v/>
      </c>
      <c r="CL615">
        <f>$C615*CL614</f>
        <v/>
      </c>
      <c r="CM615">
        <f>$C615*CM614</f>
        <v/>
      </c>
      <c r="CN615">
        <f>$C615*CN614</f>
        <v/>
      </c>
      <c r="CO615">
        <f>$C615*CO614</f>
        <v/>
      </c>
      <c r="CP615">
        <f>$C615*CP614</f>
        <v/>
      </c>
      <c r="CQ615">
        <f>$C615*CQ614</f>
        <v/>
      </c>
      <c r="CR615">
        <f>$C615*CR614</f>
        <v/>
      </c>
      <c r="CS615">
        <f>$C615*CS614</f>
        <v/>
      </c>
      <c r="CT615">
        <f>$C615*CT614</f>
        <v/>
      </c>
      <c r="CU615">
        <f>$C615*CU614</f>
        <v/>
      </c>
      <c r="CV615">
        <f>$C615*CV614</f>
        <v/>
      </c>
      <c r="CW615">
        <f>$C615*CW614</f>
        <v/>
      </c>
      <c r="CX615">
        <f>$C615*CX614</f>
        <v/>
      </c>
      <c r="CY615">
        <f>$C615*CY614</f>
        <v/>
      </c>
      <c r="CZ615">
        <f>$C615*CZ614</f>
        <v/>
      </c>
      <c r="DA615">
        <f>$C615*DA614</f>
        <v/>
      </c>
      <c r="DB615">
        <f>$C615*DB614</f>
        <v/>
      </c>
      <c r="DC615">
        <f>$C615*DC614</f>
        <v/>
      </c>
    </row>
    <row r="616">
      <c r="B616" t="inlineStr">
        <is>
          <t>VSP-989</t>
        </is>
      </c>
      <c r="C616" t="inlineStr">
        <is>
          <t>No. of batches</t>
        </is>
      </c>
      <c r="D616">
        <f>IFERROR(INDEX(PP_Grid[#Data],$DD616,2),0)</f>
        <v/>
      </c>
      <c r="E616">
        <f>IFERROR(INDEX(PP_Grid[#Data],$DD616,3),0)</f>
        <v/>
      </c>
      <c r="F616">
        <f>IFERROR(INDEX(PP_Grid[#Data],$DD616,4),0)</f>
        <v/>
      </c>
      <c r="G616">
        <f>IFERROR(INDEX(PP_Grid[#Data],$DD616,5),0)</f>
        <v/>
      </c>
      <c r="H616">
        <f>IFERROR(INDEX(PP_Grid[#Data],$DD616,6),0)</f>
        <v/>
      </c>
      <c r="I616">
        <f>IFERROR(INDEX(PP_Grid[#Data],$DD616,7),0)</f>
        <v/>
      </c>
      <c r="J616">
        <f>IFERROR(INDEX(PP_Grid[#Data],$DD616,8),0)</f>
        <v/>
      </c>
      <c r="K616">
        <f>IFERROR(INDEX(PP_Grid[#Data],$DD616,9),0)</f>
        <v/>
      </c>
      <c r="L616">
        <f>IFERROR(INDEX(PP_Grid[#Data],$DD616,10),0)</f>
        <v/>
      </c>
      <c r="M616">
        <f>IFERROR(INDEX(PP_Grid[#Data],$DD616,11),0)</f>
        <v/>
      </c>
      <c r="N616">
        <f>IFERROR(INDEX(PP_Grid[#Data],$DD616,12),0)</f>
        <v/>
      </c>
      <c r="O616">
        <f>IFERROR(INDEX(PP_Grid[#Data],$DD616,13),0)</f>
        <v/>
      </c>
      <c r="P616">
        <f>IFERROR(INDEX(PP_Grid[#Data],$DD616,14),0)</f>
        <v/>
      </c>
      <c r="Q616">
        <f>IFERROR(INDEX(PP_Grid[#Data],$DD616,15),0)</f>
        <v/>
      </c>
      <c r="R616">
        <f>IFERROR(INDEX(PP_Grid[#Data],$DD616,16),0)</f>
        <v/>
      </c>
      <c r="S616">
        <f>IFERROR(INDEX(PP_Grid[#Data],$DD616,17),0)</f>
        <v/>
      </c>
      <c r="T616">
        <f>IFERROR(INDEX(PP_Grid[#Data],$DD616,18),0)</f>
        <v/>
      </c>
      <c r="U616">
        <f>IFERROR(INDEX(PP_Grid[#Data],$DD616,19),0)</f>
        <v/>
      </c>
      <c r="V616">
        <f>IFERROR(INDEX(PP_Grid[#Data],$DD616,20),0)</f>
        <v/>
      </c>
      <c r="W616">
        <f>IFERROR(INDEX(PP_Grid[#Data],$DD616,21),0)</f>
        <v/>
      </c>
      <c r="X616">
        <f>IFERROR(INDEX(PP_Grid[#Data],$DD616,22),0)</f>
        <v/>
      </c>
      <c r="Y616">
        <f>IFERROR(INDEX(PP_Grid[#Data],$DD616,23),0)</f>
        <v/>
      </c>
      <c r="Z616">
        <f>IFERROR(INDEX(PP_Grid[#Data],$DD616,24),0)</f>
        <v/>
      </c>
      <c r="AA616">
        <f>IFERROR(INDEX(PP_Grid[#Data],$DD616,25),0)</f>
        <v/>
      </c>
      <c r="AB616">
        <f>IFERROR(INDEX(PP_Grid[#Data],$DD616,26),0)</f>
        <v/>
      </c>
      <c r="AC616">
        <f>IFERROR(INDEX(PP_Grid[#Data],$DD616,27),0)</f>
        <v/>
      </c>
      <c r="AD616">
        <f>IFERROR(INDEX(PP_Grid[#Data],$DD616,28),0)</f>
        <v/>
      </c>
      <c r="AE616">
        <f>IFERROR(INDEX(PP_Grid[#Data],$DD616,29),0)</f>
        <v/>
      </c>
      <c r="AF616">
        <f>IFERROR(INDEX(PP_Grid[#Data],$DD616,30),0)</f>
        <v/>
      </c>
      <c r="AG616">
        <f>IFERROR(INDEX(PP_Grid[#Data],$DD616,31),0)</f>
        <v/>
      </c>
      <c r="AH616">
        <f>IFERROR(INDEX(PP_Grid[#Data],$DD616,32),0)</f>
        <v/>
      </c>
      <c r="AI616">
        <f>IFERROR(INDEX(PP_Grid[#Data],$DD616,33),0)</f>
        <v/>
      </c>
      <c r="AJ616">
        <f>IFERROR(INDEX(PP_Grid[#Data],$DD616,34),0)</f>
        <v/>
      </c>
      <c r="AK616">
        <f>IFERROR(INDEX(PP_Grid[#Data],$DD616,35),0)</f>
        <v/>
      </c>
      <c r="AL616">
        <f>IFERROR(INDEX(PP_Grid[#Data],$DD616,36),0)</f>
        <v/>
      </c>
      <c r="AM616">
        <f>IFERROR(INDEX(PP_Grid[#Data],$DD616,37),0)</f>
        <v/>
      </c>
      <c r="AN616">
        <f>IFERROR(INDEX(PP_Grid[#Data],$DD616,38),0)</f>
        <v/>
      </c>
      <c r="AO616">
        <f>IFERROR(INDEX(PP_Grid[#Data],$DD616,39),0)</f>
        <v/>
      </c>
      <c r="AP616">
        <f>IFERROR(INDEX(PP_Grid[#Data],$DD616,40),0)</f>
        <v/>
      </c>
      <c r="AQ616">
        <f>IFERROR(INDEX(PP_Grid[#Data],$DD616,41),0)</f>
        <v/>
      </c>
      <c r="AR616">
        <f>IFERROR(INDEX(PP_Grid[#Data],$DD616,42),0)</f>
        <v/>
      </c>
      <c r="AS616">
        <f>IFERROR(INDEX(PP_Grid[#Data],$DD616,43),0)</f>
        <v/>
      </c>
      <c r="AT616">
        <f>IFERROR(INDEX(PP_Grid[#Data],$DD616,44),0)</f>
        <v/>
      </c>
      <c r="AU616">
        <f>IFERROR(INDEX(PP_Grid[#Data],$DD616,45),0)</f>
        <v/>
      </c>
      <c r="AV616">
        <f>IFERROR(INDEX(PP_Grid[#Data],$DD616,46),0)</f>
        <v/>
      </c>
      <c r="AW616">
        <f>IFERROR(INDEX(PP_Grid[#Data],$DD616,47),0)</f>
        <v/>
      </c>
      <c r="AX616">
        <f>IFERROR(INDEX(PP_Grid[#Data],$DD616,48),0)</f>
        <v/>
      </c>
      <c r="AY616">
        <f>IFERROR(INDEX(PP_Grid[#Data],$DD616,49),0)</f>
        <v/>
      </c>
      <c r="AZ616">
        <f>IFERROR(INDEX(PP_Grid[#Data],$DD616,50),0)</f>
        <v/>
      </c>
      <c r="BA616">
        <f>IFERROR(INDEX(PP_Grid[#Data],$DD616,51),0)</f>
        <v/>
      </c>
      <c r="BB616">
        <f>IFERROR(INDEX(PP_Grid[#Data],$DD616,52),0)</f>
        <v/>
      </c>
      <c r="BC616">
        <f>IFERROR(INDEX(PP_Grid[#Data],$DD616,53),0)</f>
        <v/>
      </c>
      <c r="BD616">
        <f>IFERROR(INDEX(PP_Grid[#Data],$DD616,54),0)</f>
        <v/>
      </c>
      <c r="BE616">
        <f>IFERROR(INDEX(PP_Grid[#Data],$DD616,55),0)</f>
        <v/>
      </c>
      <c r="BF616">
        <f>IFERROR(INDEX(PP_Grid[#Data],$DD616,56),0)</f>
        <v/>
      </c>
      <c r="BG616">
        <f>IFERROR(INDEX(PP_Grid[#Data],$DD616,57),0)</f>
        <v/>
      </c>
      <c r="BH616">
        <f>IFERROR(INDEX(PP_Grid[#Data],$DD616,58),0)</f>
        <v/>
      </c>
      <c r="BI616">
        <f>IFERROR(INDEX(PP_Grid[#Data],$DD616,59),0)</f>
        <v/>
      </c>
      <c r="BJ616">
        <f>IFERROR(INDEX(PP_Grid[#Data],$DD616,60),0)</f>
        <v/>
      </c>
      <c r="BK616">
        <f>IFERROR(INDEX(PP_Grid[#Data],$DD616,61),0)</f>
        <v/>
      </c>
      <c r="BL616">
        <f>IFERROR(INDEX(PP_Grid[#Data],$DD616,62),0)</f>
        <v/>
      </c>
      <c r="BM616">
        <f>IFERROR(INDEX(PP_Grid[#Data],$DD616,63),0)</f>
        <v/>
      </c>
      <c r="BN616">
        <f>IFERROR(INDEX(PP_Grid[#Data],$DD616,64),0)</f>
        <v/>
      </c>
      <c r="BO616">
        <f>IFERROR(INDEX(PP_Grid[#Data],$DD616,65),0)</f>
        <v/>
      </c>
      <c r="BP616">
        <f>IFERROR(INDEX(PP_Grid[#Data],$DD616,66),0)</f>
        <v/>
      </c>
      <c r="BQ616">
        <f>IFERROR(INDEX(PP_Grid[#Data],$DD616,67),0)</f>
        <v/>
      </c>
      <c r="BR616">
        <f>IFERROR(INDEX(PP_Grid[#Data],$DD616,68),0)</f>
        <v/>
      </c>
      <c r="BS616">
        <f>IFERROR(INDEX(PP_Grid[#Data],$DD616,69),0)</f>
        <v/>
      </c>
      <c r="BT616">
        <f>IFERROR(INDEX(PP_Grid[#Data],$DD616,70),0)</f>
        <v/>
      </c>
      <c r="BU616">
        <f>IFERROR(INDEX(PP_Grid[#Data],$DD616,71),0)</f>
        <v/>
      </c>
      <c r="BV616">
        <f>IFERROR(INDEX(PP_Grid[#Data],$DD616,72),0)</f>
        <v/>
      </c>
      <c r="BW616">
        <f>IFERROR(INDEX(PP_Grid[#Data],$DD616,73),0)</f>
        <v/>
      </c>
      <c r="BX616">
        <f>IFERROR(INDEX(PP_Grid[#Data],$DD616,74),0)</f>
        <v/>
      </c>
      <c r="BY616">
        <f>IFERROR(INDEX(PP_Grid[#Data],$DD616,75),0)</f>
        <v/>
      </c>
      <c r="BZ616">
        <f>IFERROR(INDEX(PP_Grid[#Data],$DD616,76),0)</f>
        <v/>
      </c>
      <c r="CA616">
        <f>IFERROR(INDEX(PP_Grid[#Data],$DD616,77),0)</f>
        <v/>
      </c>
      <c r="CB616">
        <f>IFERROR(INDEX(PP_Grid[#Data],$DD616,78),0)</f>
        <v/>
      </c>
      <c r="CC616">
        <f>IFERROR(INDEX(PP_Grid[#Data],$DD616,79),0)</f>
        <v/>
      </c>
      <c r="CD616">
        <f>IFERROR(INDEX(PP_Grid[#Data],$DD616,80),0)</f>
        <v/>
      </c>
      <c r="CE616">
        <f>IFERROR(INDEX(PP_Grid[#Data],$DD616,81),0)</f>
        <v/>
      </c>
      <c r="CF616">
        <f>IFERROR(INDEX(PP_Grid[#Data],$DD616,82),0)</f>
        <v/>
      </c>
      <c r="CG616">
        <f>IFERROR(INDEX(PP_Grid[#Data],$DD616,83),0)</f>
        <v/>
      </c>
      <c r="CH616">
        <f>IFERROR(INDEX(PP_Grid[#Data],$DD616,84),0)</f>
        <v/>
      </c>
      <c r="CI616">
        <f>IFERROR(INDEX(PP_Grid[#Data],$DD616,85),0)</f>
        <v/>
      </c>
      <c r="CJ616">
        <f>IFERROR(INDEX(PP_Grid[#Data],$DD616,86),0)</f>
        <v/>
      </c>
      <c r="CK616">
        <f>IFERROR(INDEX(PP_Grid[#Data],$DD616,87),0)</f>
        <v/>
      </c>
      <c r="CL616">
        <f>IFERROR(INDEX(PP_Grid[#Data],$DD616,88),0)</f>
        <v/>
      </c>
      <c r="CM616">
        <f>IFERROR(INDEX(PP_Grid[#Data],$DD616,89),0)</f>
        <v/>
      </c>
      <c r="CN616">
        <f>IFERROR(INDEX(PP_Grid[#Data],$DD616,90),0)</f>
        <v/>
      </c>
      <c r="CO616">
        <f>IFERROR(INDEX(PP_Grid[#Data],$DD616,91),0)</f>
        <v/>
      </c>
      <c r="CP616">
        <f>IFERROR(INDEX(PP_Grid[#Data],$DD616,92),0)</f>
        <v/>
      </c>
      <c r="CQ616">
        <f>IFERROR(INDEX(PP_Grid[#Data],$DD616,93),0)</f>
        <v/>
      </c>
      <c r="CR616">
        <f>IFERROR(INDEX(PP_Grid[#Data],$DD616,94),0)</f>
        <v/>
      </c>
      <c r="CS616">
        <f>IFERROR(INDEX(PP_Grid[#Data],$DD616,95),0)</f>
        <v/>
      </c>
      <c r="CT616">
        <f>IFERROR(INDEX(PP_Grid[#Data],$DD616,96),0)</f>
        <v/>
      </c>
      <c r="CU616">
        <f>IFERROR(INDEX(PP_Grid[#Data],$DD616,97),0)</f>
        <v/>
      </c>
      <c r="CV616">
        <f>IFERROR(INDEX(PP_Grid[#Data],$DD616,98),0)</f>
        <v/>
      </c>
      <c r="CW616">
        <f>IFERROR(INDEX(PP_Grid[#Data],$DD616,99),0)</f>
        <v/>
      </c>
      <c r="CX616">
        <f>IFERROR(INDEX(PP_Grid[#Data],$DD616,100),0)</f>
        <v/>
      </c>
      <c r="CY616">
        <f>IFERROR(INDEX(PP_Grid[#Data],$DD616,101),0)</f>
        <v/>
      </c>
      <c r="CZ616">
        <f>IFERROR(INDEX(PP_Grid[#Data],$DD616,102),0)</f>
        <v/>
      </c>
      <c r="DA616">
        <f>IFERROR(INDEX(PP_Grid[#Data],$DD616,103),0)</f>
        <v/>
      </c>
      <c r="DB616">
        <f>IFERROR(INDEX(PP_Grid[#Data],$DD616,104),0)</f>
        <v/>
      </c>
      <c r="DC616">
        <f>IFERROR(INDEX(PP_Grid[#Data],$DD616,105),0)</f>
        <v/>
      </c>
      <c r="DD616" s="7">
        <f>IFERROR(MATCH($B616,PP_Grid[Intermediate],0),99999)</f>
        <v/>
      </c>
    </row>
    <row r="617">
      <c r="B617" t="inlineStr">
        <is>
          <t>使用量(kg)</t>
        </is>
      </c>
      <c r="C617">
        <f>SUMIFS(M_BOM[RM_Qty_Per_Batch],M_BOM[Intermediate],$B616,M_BOM[Part Name],$A589)</f>
        <v/>
      </c>
      <c r="D617">
        <f>$C617*D616</f>
        <v/>
      </c>
      <c r="E617">
        <f>$C617*E616</f>
        <v/>
      </c>
      <c r="F617">
        <f>$C617*F616</f>
        <v/>
      </c>
      <c r="G617">
        <f>$C617*G616</f>
        <v/>
      </c>
      <c r="H617">
        <f>$C617*H616</f>
        <v/>
      </c>
      <c r="I617">
        <f>$C617*I616</f>
        <v/>
      </c>
      <c r="J617">
        <f>$C617*J616</f>
        <v/>
      </c>
      <c r="K617">
        <f>$C617*K616</f>
        <v/>
      </c>
      <c r="L617">
        <f>$C617*L616</f>
        <v/>
      </c>
      <c r="M617">
        <f>$C617*M616</f>
        <v/>
      </c>
      <c r="N617">
        <f>$C617*N616</f>
        <v/>
      </c>
      <c r="O617">
        <f>$C617*O616</f>
        <v/>
      </c>
      <c r="P617">
        <f>$C617*P616</f>
        <v/>
      </c>
      <c r="Q617">
        <f>$C617*Q616</f>
        <v/>
      </c>
      <c r="R617">
        <f>$C617*R616</f>
        <v/>
      </c>
      <c r="S617">
        <f>$C617*S616</f>
        <v/>
      </c>
      <c r="T617">
        <f>$C617*T616</f>
        <v/>
      </c>
      <c r="U617">
        <f>$C617*U616</f>
        <v/>
      </c>
      <c r="V617">
        <f>$C617*V616</f>
        <v/>
      </c>
      <c r="W617">
        <f>$C617*W616</f>
        <v/>
      </c>
      <c r="X617">
        <f>$C617*X616</f>
        <v/>
      </c>
      <c r="Y617">
        <f>$C617*Y616</f>
        <v/>
      </c>
      <c r="Z617">
        <f>$C617*Z616</f>
        <v/>
      </c>
      <c r="AA617">
        <f>$C617*AA616</f>
        <v/>
      </c>
      <c r="AB617">
        <f>$C617*AB616</f>
        <v/>
      </c>
      <c r="AC617">
        <f>$C617*AC616</f>
        <v/>
      </c>
      <c r="AD617">
        <f>$C617*AD616</f>
        <v/>
      </c>
      <c r="AE617">
        <f>$C617*AE616</f>
        <v/>
      </c>
      <c r="AF617">
        <f>$C617*AF616</f>
        <v/>
      </c>
      <c r="AG617">
        <f>$C617*AG616</f>
        <v/>
      </c>
      <c r="AH617">
        <f>$C617*AH616</f>
        <v/>
      </c>
      <c r="AI617">
        <f>$C617*AI616</f>
        <v/>
      </c>
      <c r="AJ617">
        <f>$C617*AJ616</f>
        <v/>
      </c>
      <c r="AK617">
        <f>$C617*AK616</f>
        <v/>
      </c>
      <c r="AL617">
        <f>$C617*AL616</f>
        <v/>
      </c>
      <c r="AM617">
        <f>$C617*AM616</f>
        <v/>
      </c>
      <c r="AN617">
        <f>$C617*AN616</f>
        <v/>
      </c>
      <c r="AO617">
        <f>$C617*AO616</f>
        <v/>
      </c>
      <c r="AP617">
        <f>$C617*AP616</f>
        <v/>
      </c>
      <c r="AQ617">
        <f>$C617*AQ616</f>
        <v/>
      </c>
      <c r="AR617">
        <f>$C617*AR616</f>
        <v/>
      </c>
      <c r="AS617">
        <f>$C617*AS616</f>
        <v/>
      </c>
      <c r="AT617">
        <f>$C617*AT616</f>
        <v/>
      </c>
      <c r="AU617">
        <f>$C617*AU616</f>
        <v/>
      </c>
      <c r="AV617">
        <f>$C617*AV616</f>
        <v/>
      </c>
      <c r="AW617">
        <f>$C617*AW616</f>
        <v/>
      </c>
      <c r="AX617">
        <f>$C617*AX616</f>
        <v/>
      </c>
      <c r="AY617">
        <f>$C617*AY616</f>
        <v/>
      </c>
      <c r="AZ617">
        <f>$C617*AZ616</f>
        <v/>
      </c>
      <c r="BA617">
        <f>$C617*BA616</f>
        <v/>
      </c>
      <c r="BB617">
        <f>$C617*BB616</f>
        <v/>
      </c>
      <c r="BC617">
        <f>$C617*BC616</f>
        <v/>
      </c>
      <c r="BD617">
        <f>$C617*BD616</f>
        <v/>
      </c>
      <c r="BE617">
        <f>$C617*BE616</f>
        <v/>
      </c>
      <c r="BF617">
        <f>$C617*BF616</f>
        <v/>
      </c>
      <c r="BG617">
        <f>$C617*BG616</f>
        <v/>
      </c>
      <c r="BH617">
        <f>$C617*BH616</f>
        <v/>
      </c>
      <c r="BI617">
        <f>$C617*BI616</f>
        <v/>
      </c>
      <c r="BJ617">
        <f>$C617*BJ616</f>
        <v/>
      </c>
      <c r="BK617">
        <f>$C617*BK616</f>
        <v/>
      </c>
      <c r="BL617">
        <f>$C617*BL616</f>
        <v/>
      </c>
      <c r="BM617">
        <f>$C617*BM616</f>
        <v/>
      </c>
      <c r="BN617">
        <f>$C617*BN616</f>
        <v/>
      </c>
      <c r="BO617">
        <f>$C617*BO616</f>
        <v/>
      </c>
      <c r="BP617">
        <f>$C617*BP616</f>
        <v/>
      </c>
      <c r="BQ617">
        <f>$C617*BQ616</f>
        <v/>
      </c>
      <c r="BR617">
        <f>$C617*BR616</f>
        <v/>
      </c>
      <c r="BS617">
        <f>$C617*BS616</f>
        <v/>
      </c>
      <c r="BT617">
        <f>$C617*BT616</f>
        <v/>
      </c>
      <c r="BU617">
        <f>$C617*BU616</f>
        <v/>
      </c>
      <c r="BV617">
        <f>$C617*BV616</f>
        <v/>
      </c>
      <c r="BW617">
        <f>$C617*BW616</f>
        <v/>
      </c>
      <c r="BX617">
        <f>$C617*BX616</f>
        <v/>
      </c>
      <c r="BY617">
        <f>$C617*BY616</f>
        <v/>
      </c>
      <c r="BZ617">
        <f>$C617*BZ616</f>
        <v/>
      </c>
      <c r="CA617">
        <f>$C617*CA616</f>
        <v/>
      </c>
      <c r="CB617">
        <f>$C617*CB616</f>
        <v/>
      </c>
      <c r="CC617">
        <f>$C617*CC616</f>
        <v/>
      </c>
      <c r="CD617">
        <f>$C617*CD616</f>
        <v/>
      </c>
      <c r="CE617">
        <f>$C617*CE616</f>
        <v/>
      </c>
      <c r="CF617">
        <f>$C617*CF616</f>
        <v/>
      </c>
      <c r="CG617">
        <f>$C617*CG616</f>
        <v/>
      </c>
      <c r="CH617">
        <f>$C617*CH616</f>
        <v/>
      </c>
      <c r="CI617">
        <f>$C617*CI616</f>
        <v/>
      </c>
      <c r="CJ617">
        <f>$C617*CJ616</f>
        <v/>
      </c>
      <c r="CK617">
        <f>$C617*CK616</f>
        <v/>
      </c>
      <c r="CL617">
        <f>$C617*CL616</f>
        <v/>
      </c>
      <c r="CM617">
        <f>$C617*CM616</f>
        <v/>
      </c>
      <c r="CN617">
        <f>$C617*CN616</f>
        <v/>
      </c>
      <c r="CO617">
        <f>$C617*CO616</f>
        <v/>
      </c>
      <c r="CP617">
        <f>$C617*CP616</f>
        <v/>
      </c>
      <c r="CQ617">
        <f>$C617*CQ616</f>
        <v/>
      </c>
      <c r="CR617">
        <f>$C617*CR616</f>
        <v/>
      </c>
      <c r="CS617">
        <f>$C617*CS616</f>
        <v/>
      </c>
      <c r="CT617">
        <f>$C617*CT616</f>
        <v/>
      </c>
      <c r="CU617">
        <f>$C617*CU616</f>
        <v/>
      </c>
      <c r="CV617">
        <f>$C617*CV616</f>
        <v/>
      </c>
      <c r="CW617">
        <f>$C617*CW616</f>
        <v/>
      </c>
      <c r="CX617">
        <f>$C617*CX616</f>
        <v/>
      </c>
      <c r="CY617">
        <f>$C617*CY616</f>
        <v/>
      </c>
      <c r="CZ617">
        <f>$C617*CZ616</f>
        <v/>
      </c>
      <c r="DA617">
        <f>$C617*DA616</f>
        <v/>
      </c>
      <c r="DB617">
        <f>$C617*DB616</f>
        <v/>
      </c>
      <c r="DC617">
        <f>$C617*DC616</f>
        <v/>
      </c>
    </row>
    <row r="618">
      <c r="B618" t="inlineStr">
        <is>
          <t>TPP-190</t>
        </is>
      </c>
      <c r="C618" t="inlineStr">
        <is>
          <t>No. of batches</t>
        </is>
      </c>
      <c r="D618">
        <f>IFERROR(INDEX(PP_Grid[#Data],$DD618,2),0)</f>
        <v/>
      </c>
      <c r="E618">
        <f>IFERROR(INDEX(PP_Grid[#Data],$DD618,3),0)</f>
        <v/>
      </c>
      <c r="F618">
        <f>IFERROR(INDEX(PP_Grid[#Data],$DD618,4),0)</f>
        <v/>
      </c>
      <c r="G618">
        <f>IFERROR(INDEX(PP_Grid[#Data],$DD618,5),0)</f>
        <v/>
      </c>
      <c r="H618">
        <f>IFERROR(INDEX(PP_Grid[#Data],$DD618,6),0)</f>
        <v/>
      </c>
      <c r="I618">
        <f>IFERROR(INDEX(PP_Grid[#Data],$DD618,7),0)</f>
        <v/>
      </c>
      <c r="J618">
        <f>IFERROR(INDEX(PP_Grid[#Data],$DD618,8),0)</f>
        <v/>
      </c>
      <c r="K618">
        <f>IFERROR(INDEX(PP_Grid[#Data],$DD618,9),0)</f>
        <v/>
      </c>
      <c r="L618">
        <f>IFERROR(INDEX(PP_Grid[#Data],$DD618,10),0)</f>
        <v/>
      </c>
      <c r="M618">
        <f>IFERROR(INDEX(PP_Grid[#Data],$DD618,11),0)</f>
        <v/>
      </c>
      <c r="N618">
        <f>IFERROR(INDEX(PP_Grid[#Data],$DD618,12),0)</f>
        <v/>
      </c>
      <c r="O618">
        <f>IFERROR(INDEX(PP_Grid[#Data],$DD618,13),0)</f>
        <v/>
      </c>
      <c r="P618">
        <f>IFERROR(INDEX(PP_Grid[#Data],$DD618,14),0)</f>
        <v/>
      </c>
      <c r="Q618">
        <f>IFERROR(INDEX(PP_Grid[#Data],$DD618,15),0)</f>
        <v/>
      </c>
      <c r="R618">
        <f>IFERROR(INDEX(PP_Grid[#Data],$DD618,16),0)</f>
        <v/>
      </c>
      <c r="S618">
        <f>IFERROR(INDEX(PP_Grid[#Data],$DD618,17),0)</f>
        <v/>
      </c>
      <c r="T618">
        <f>IFERROR(INDEX(PP_Grid[#Data],$DD618,18),0)</f>
        <v/>
      </c>
      <c r="U618">
        <f>IFERROR(INDEX(PP_Grid[#Data],$DD618,19),0)</f>
        <v/>
      </c>
      <c r="V618">
        <f>IFERROR(INDEX(PP_Grid[#Data],$DD618,20),0)</f>
        <v/>
      </c>
      <c r="W618">
        <f>IFERROR(INDEX(PP_Grid[#Data],$DD618,21),0)</f>
        <v/>
      </c>
      <c r="X618">
        <f>IFERROR(INDEX(PP_Grid[#Data],$DD618,22),0)</f>
        <v/>
      </c>
      <c r="Y618">
        <f>IFERROR(INDEX(PP_Grid[#Data],$DD618,23),0)</f>
        <v/>
      </c>
      <c r="Z618">
        <f>IFERROR(INDEX(PP_Grid[#Data],$DD618,24),0)</f>
        <v/>
      </c>
      <c r="AA618">
        <f>IFERROR(INDEX(PP_Grid[#Data],$DD618,25),0)</f>
        <v/>
      </c>
      <c r="AB618">
        <f>IFERROR(INDEX(PP_Grid[#Data],$DD618,26),0)</f>
        <v/>
      </c>
      <c r="AC618">
        <f>IFERROR(INDEX(PP_Grid[#Data],$DD618,27),0)</f>
        <v/>
      </c>
      <c r="AD618">
        <f>IFERROR(INDEX(PP_Grid[#Data],$DD618,28),0)</f>
        <v/>
      </c>
      <c r="AE618">
        <f>IFERROR(INDEX(PP_Grid[#Data],$DD618,29),0)</f>
        <v/>
      </c>
      <c r="AF618">
        <f>IFERROR(INDEX(PP_Grid[#Data],$DD618,30),0)</f>
        <v/>
      </c>
      <c r="AG618">
        <f>IFERROR(INDEX(PP_Grid[#Data],$DD618,31),0)</f>
        <v/>
      </c>
      <c r="AH618">
        <f>IFERROR(INDEX(PP_Grid[#Data],$DD618,32),0)</f>
        <v/>
      </c>
      <c r="AI618">
        <f>IFERROR(INDEX(PP_Grid[#Data],$DD618,33),0)</f>
        <v/>
      </c>
      <c r="AJ618">
        <f>IFERROR(INDEX(PP_Grid[#Data],$DD618,34),0)</f>
        <v/>
      </c>
      <c r="AK618">
        <f>IFERROR(INDEX(PP_Grid[#Data],$DD618,35),0)</f>
        <v/>
      </c>
      <c r="AL618">
        <f>IFERROR(INDEX(PP_Grid[#Data],$DD618,36),0)</f>
        <v/>
      </c>
      <c r="AM618">
        <f>IFERROR(INDEX(PP_Grid[#Data],$DD618,37),0)</f>
        <v/>
      </c>
      <c r="AN618">
        <f>IFERROR(INDEX(PP_Grid[#Data],$DD618,38),0)</f>
        <v/>
      </c>
      <c r="AO618">
        <f>IFERROR(INDEX(PP_Grid[#Data],$DD618,39),0)</f>
        <v/>
      </c>
      <c r="AP618">
        <f>IFERROR(INDEX(PP_Grid[#Data],$DD618,40),0)</f>
        <v/>
      </c>
      <c r="AQ618">
        <f>IFERROR(INDEX(PP_Grid[#Data],$DD618,41),0)</f>
        <v/>
      </c>
      <c r="AR618">
        <f>IFERROR(INDEX(PP_Grid[#Data],$DD618,42),0)</f>
        <v/>
      </c>
      <c r="AS618">
        <f>IFERROR(INDEX(PP_Grid[#Data],$DD618,43),0)</f>
        <v/>
      </c>
      <c r="AT618">
        <f>IFERROR(INDEX(PP_Grid[#Data],$DD618,44),0)</f>
        <v/>
      </c>
      <c r="AU618">
        <f>IFERROR(INDEX(PP_Grid[#Data],$DD618,45),0)</f>
        <v/>
      </c>
      <c r="AV618">
        <f>IFERROR(INDEX(PP_Grid[#Data],$DD618,46),0)</f>
        <v/>
      </c>
      <c r="AW618">
        <f>IFERROR(INDEX(PP_Grid[#Data],$DD618,47),0)</f>
        <v/>
      </c>
      <c r="AX618">
        <f>IFERROR(INDEX(PP_Grid[#Data],$DD618,48),0)</f>
        <v/>
      </c>
      <c r="AY618">
        <f>IFERROR(INDEX(PP_Grid[#Data],$DD618,49),0)</f>
        <v/>
      </c>
      <c r="AZ618">
        <f>IFERROR(INDEX(PP_Grid[#Data],$DD618,50),0)</f>
        <v/>
      </c>
      <c r="BA618">
        <f>IFERROR(INDEX(PP_Grid[#Data],$DD618,51),0)</f>
        <v/>
      </c>
      <c r="BB618">
        <f>IFERROR(INDEX(PP_Grid[#Data],$DD618,52),0)</f>
        <v/>
      </c>
      <c r="BC618">
        <f>IFERROR(INDEX(PP_Grid[#Data],$DD618,53),0)</f>
        <v/>
      </c>
      <c r="BD618">
        <f>IFERROR(INDEX(PP_Grid[#Data],$DD618,54),0)</f>
        <v/>
      </c>
      <c r="BE618">
        <f>IFERROR(INDEX(PP_Grid[#Data],$DD618,55),0)</f>
        <v/>
      </c>
      <c r="BF618">
        <f>IFERROR(INDEX(PP_Grid[#Data],$DD618,56),0)</f>
        <v/>
      </c>
      <c r="BG618">
        <f>IFERROR(INDEX(PP_Grid[#Data],$DD618,57),0)</f>
        <v/>
      </c>
      <c r="BH618">
        <f>IFERROR(INDEX(PP_Grid[#Data],$DD618,58),0)</f>
        <v/>
      </c>
      <c r="BI618">
        <f>IFERROR(INDEX(PP_Grid[#Data],$DD618,59),0)</f>
        <v/>
      </c>
      <c r="BJ618">
        <f>IFERROR(INDEX(PP_Grid[#Data],$DD618,60),0)</f>
        <v/>
      </c>
      <c r="BK618">
        <f>IFERROR(INDEX(PP_Grid[#Data],$DD618,61),0)</f>
        <v/>
      </c>
      <c r="BL618">
        <f>IFERROR(INDEX(PP_Grid[#Data],$DD618,62),0)</f>
        <v/>
      </c>
      <c r="BM618">
        <f>IFERROR(INDEX(PP_Grid[#Data],$DD618,63),0)</f>
        <v/>
      </c>
      <c r="BN618">
        <f>IFERROR(INDEX(PP_Grid[#Data],$DD618,64),0)</f>
        <v/>
      </c>
      <c r="BO618">
        <f>IFERROR(INDEX(PP_Grid[#Data],$DD618,65),0)</f>
        <v/>
      </c>
      <c r="BP618">
        <f>IFERROR(INDEX(PP_Grid[#Data],$DD618,66),0)</f>
        <v/>
      </c>
      <c r="BQ618">
        <f>IFERROR(INDEX(PP_Grid[#Data],$DD618,67),0)</f>
        <v/>
      </c>
      <c r="BR618">
        <f>IFERROR(INDEX(PP_Grid[#Data],$DD618,68),0)</f>
        <v/>
      </c>
      <c r="BS618">
        <f>IFERROR(INDEX(PP_Grid[#Data],$DD618,69),0)</f>
        <v/>
      </c>
      <c r="BT618">
        <f>IFERROR(INDEX(PP_Grid[#Data],$DD618,70),0)</f>
        <v/>
      </c>
      <c r="BU618">
        <f>IFERROR(INDEX(PP_Grid[#Data],$DD618,71),0)</f>
        <v/>
      </c>
      <c r="BV618">
        <f>IFERROR(INDEX(PP_Grid[#Data],$DD618,72),0)</f>
        <v/>
      </c>
      <c r="BW618">
        <f>IFERROR(INDEX(PP_Grid[#Data],$DD618,73),0)</f>
        <v/>
      </c>
      <c r="BX618">
        <f>IFERROR(INDEX(PP_Grid[#Data],$DD618,74),0)</f>
        <v/>
      </c>
      <c r="BY618">
        <f>IFERROR(INDEX(PP_Grid[#Data],$DD618,75),0)</f>
        <v/>
      </c>
      <c r="BZ618">
        <f>IFERROR(INDEX(PP_Grid[#Data],$DD618,76),0)</f>
        <v/>
      </c>
      <c r="CA618">
        <f>IFERROR(INDEX(PP_Grid[#Data],$DD618,77),0)</f>
        <v/>
      </c>
      <c r="CB618">
        <f>IFERROR(INDEX(PP_Grid[#Data],$DD618,78),0)</f>
        <v/>
      </c>
      <c r="CC618">
        <f>IFERROR(INDEX(PP_Grid[#Data],$DD618,79),0)</f>
        <v/>
      </c>
      <c r="CD618">
        <f>IFERROR(INDEX(PP_Grid[#Data],$DD618,80),0)</f>
        <v/>
      </c>
      <c r="CE618">
        <f>IFERROR(INDEX(PP_Grid[#Data],$DD618,81),0)</f>
        <v/>
      </c>
      <c r="CF618">
        <f>IFERROR(INDEX(PP_Grid[#Data],$DD618,82),0)</f>
        <v/>
      </c>
      <c r="CG618">
        <f>IFERROR(INDEX(PP_Grid[#Data],$DD618,83),0)</f>
        <v/>
      </c>
      <c r="CH618">
        <f>IFERROR(INDEX(PP_Grid[#Data],$DD618,84),0)</f>
        <v/>
      </c>
      <c r="CI618">
        <f>IFERROR(INDEX(PP_Grid[#Data],$DD618,85),0)</f>
        <v/>
      </c>
      <c r="CJ618">
        <f>IFERROR(INDEX(PP_Grid[#Data],$DD618,86),0)</f>
        <v/>
      </c>
      <c r="CK618">
        <f>IFERROR(INDEX(PP_Grid[#Data],$DD618,87),0)</f>
        <v/>
      </c>
      <c r="CL618">
        <f>IFERROR(INDEX(PP_Grid[#Data],$DD618,88),0)</f>
        <v/>
      </c>
      <c r="CM618">
        <f>IFERROR(INDEX(PP_Grid[#Data],$DD618,89),0)</f>
        <v/>
      </c>
      <c r="CN618">
        <f>IFERROR(INDEX(PP_Grid[#Data],$DD618,90),0)</f>
        <v/>
      </c>
      <c r="CO618">
        <f>IFERROR(INDEX(PP_Grid[#Data],$DD618,91),0)</f>
        <v/>
      </c>
      <c r="CP618">
        <f>IFERROR(INDEX(PP_Grid[#Data],$DD618,92),0)</f>
        <v/>
      </c>
      <c r="CQ618">
        <f>IFERROR(INDEX(PP_Grid[#Data],$DD618,93),0)</f>
        <v/>
      </c>
      <c r="CR618">
        <f>IFERROR(INDEX(PP_Grid[#Data],$DD618,94),0)</f>
        <v/>
      </c>
      <c r="CS618">
        <f>IFERROR(INDEX(PP_Grid[#Data],$DD618,95),0)</f>
        <v/>
      </c>
      <c r="CT618">
        <f>IFERROR(INDEX(PP_Grid[#Data],$DD618,96),0)</f>
        <v/>
      </c>
      <c r="CU618">
        <f>IFERROR(INDEX(PP_Grid[#Data],$DD618,97),0)</f>
        <v/>
      </c>
      <c r="CV618">
        <f>IFERROR(INDEX(PP_Grid[#Data],$DD618,98),0)</f>
        <v/>
      </c>
      <c r="CW618">
        <f>IFERROR(INDEX(PP_Grid[#Data],$DD618,99),0)</f>
        <v/>
      </c>
      <c r="CX618">
        <f>IFERROR(INDEX(PP_Grid[#Data],$DD618,100),0)</f>
        <v/>
      </c>
      <c r="CY618">
        <f>IFERROR(INDEX(PP_Grid[#Data],$DD618,101),0)</f>
        <v/>
      </c>
      <c r="CZ618">
        <f>IFERROR(INDEX(PP_Grid[#Data],$DD618,102),0)</f>
        <v/>
      </c>
      <c r="DA618">
        <f>IFERROR(INDEX(PP_Grid[#Data],$DD618,103),0)</f>
        <v/>
      </c>
      <c r="DB618">
        <f>IFERROR(INDEX(PP_Grid[#Data],$DD618,104),0)</f>
        <v/>
      </c>
      <c r="DC618">
        <f>IFERROR(INDEX(PP_Grid[#Data],$DD618,105),0)</f>
        <v/>
      </c>
      <c r="DD618" s="7">
        <f>IFERROR(MATCH($B618,PP_Grid[Intermediate],0),99999)</f>
        <v/>
      </c>
    </row>
    <row r="619">
      <c r="B619" t="inlineStr">
        <is>
          <t>使用量(kg)</t>
        </is>
      </c>
      <c r="C619">
        <f>SUMIFS(M_BOM[RM_Qty_Per_Batch],M_BOM[Intermediate],$B618,M_BOM[Part Name],$A589)</f>
        <v/>
      </c>
      <c r="D619">
        <f>$C619*D618</f>
        <v/>
      </c>
      <c r="E619">
        <f>$C619*E618</f>
        <v/>
      </c>
      <c r="F619">
        <f>$C619*F618</f>
        <v/>
      </c>
      <c r="G619">
        <f>$C619*G618</f>
        <v/>
      </c>
      <c r="H619">
        <f>$C619*H618</f>
        <v/>
      </c>
      <c r="I619">
        <f>$C619*I618</f>
        <v/>
      </c>
      <c r="J619">
        <f>$C619*J618</f>
        <v/>
      </c>
      <c r="K619">
        <f>$C619*K618</f>
        <v/>
      </c>
      <c r="L619">
        <f>$C619*L618</f>
        <v/>
      </c>
      <c r="M619">
        <f>$C619*M618</f>
        <v/>
      </c>
      <c r="N619">
        <f>$C619*N618</f>
        <v/>
      </c>
      <c r="O619">
        <f>$C619*O618</f>
        <v/>
      </c>
      <c r="P619">
        <f>$C619*P618</f>
        <v/>
      </c>
      <c r="Q619">
        <f>$C619*Q618</f>
        <v/>
      </c>
      <c r="R619">
        <f>$C619*R618</f>
        <v/>
      </c>
      <c r="S619">
        <f>$C619*S618</f>
        <v/>
      </c>
      <c r="T619">
        <f>$C619*T618</f>
        <v/>
      </c>
      <c r="U619">
        <f>$C619*U618</f>
        <v/>
      </c>
      <c r="V619">
        <f>$C619*V618</f>
        <v/>
      </c>
      <c r="W619">
        <f>$C619*W618</f>
        <v/>
      </c>
      <c r="X619">
        <f>$C619*X618</f>
        <v/>
      </c>
      <c r="Y619">
        <f>$C619*Y618</f>
        <v/>
      </c>
      <c r="Z619">
        <f>$C619*Z618</f>
        <v/>
      </c>
      <c r="AA619">
        <f>$C619*AA618</f>
        <v/>
      </c>
      <c r="AB619">
        <f>$C619*AB618</f>
        <v/>
      </c>
      <c r="AC619">
        <f>$C619*AC618</f>
        <v/>
      </c>
      <c r="AD619">
        <f>$C619*AD618</f>
        <v/>
      </c>
      <c r="AE619">
        <f>$C619*AE618</f>
        <v/>
      </c>
      <c r="AF619">
        <f>$C619*AF618</f>
        <v/>
      </c>
      <c r="AG619">
        <f>$C619*AG618</f>
        <v/>
      </c>
      <c r="AH619">
        <f>$C619*AH618</f>
        <v/>
      </c>
      <c r="AI619">
        <f>$C619*AI618</f>
        <v/>
      </c>
      <c r="AJ619">
        <f>$C619*AJ618</f>
        <v/>
      </c>
      <c r="AK619">
        <f>$C619*AK618</f>
        <v/>
      </c>
      <c r="AL619">
        <f>$C619*AL618</f>
        <v/>
      </c>
      <c r="AM619">
        <f>$C619*AM618</f>
        <v/>
      </c>
      <c r="AN619">
        <f>$C619*AN618</f>
        <v/>
      </c>
      <c r="AO619">
        <f>$C619*AO618</f>
        <v/>
      </c>
      <c r="AP619">
        <f>$C619*AP618</f>
        <v/>
      </c>
      <c r="AQ619">
        <f>$C619*AQ618</f>
        <v/>
      </c>
      <c r="AR619">
        <f>$C619*AR618</f>
        <v/>
      </c>
      <c r="AS619">
        <f>$C619*AS618</f>
        <v/>
      </c>
      <c r="AT619">
        <f>$C619*AT618</f>
        <v/>
      </c>
      <c r="AU619">
        <f>$C619*AU618</f>
        <v/>
      </c>
      <c r="AV619">
        <f>$C619*AV618</f>
        <v/>
      </c>
      <c r="AW619">
        <f>$C619*AW618</f>
        <v/>
      </c>
      <c r="AX619">
        <f>$C619*AX618</f>
        <v/>
      </c>
      <c r="AY619">
        <f>$C619*AY618</f>
        <v/>
      </c>
      <c r="AZ619">
        <f>$C619*AZ618</f>
        <v/>
      </c>
      <c r="BA619">
        <f>$C619*BA618</f>
        <v/>
      </c>
      <c r="BB619">
        <f>$C619*BB618</f>
        <v/>
      </c>
      <c r="BC619">
        <f>$C619*BC618</f>
        <v/>
      </c>
      <c r="BD619">
        <f>$C619*BD618</f>
        <v/>
      </c>
      <c r="BE619">
        <f>$C619*BE618</f>
        <v/>
      </c>
      <c r="BF619">
        <f>$C619*BF618</f>
        <v/>
      </c>
      <c r="BG619">
        <f>$C619*BG618</f>
        <v/>
      </c>
      <c r="BH619">
        <f>$C619*BH618</f>
        <v/>
      </c>
      <c r="BI619">
        <f>$C619*BI618</f>
        <v/>
      </c>
      <c r="BJ619">
        <f>$C619*BJ618</f>
        <v/>
      </c>
      <c r="BK619">
        <f>$C619*BK618</f>
        <v/>
      </c>
      <c r="BL619">
        <f>$C619*BL618</f>
        <v/>
      </c>
      <c r="BM619">
        <f>$C619*BM618</f>
        <v/>
      </c>
      <c r="BN619">
        <f>$C619*BN618</f>
        <v/>
      </c>
      <c r="BO619">
        <f>$C619*BO618</f>
        <v/>
      </c>
      <c r="BP619">
        <f>$C619*BP618</f>
        <v/>
      </c>
      <c r="BQ619">
        <f>$C619*BQ618</f>
        <v/>
      </c>
      <c r="BR619">
        <f>$C619*BR618</f>
        <v/>
      </c>
      <c r="BS619">
        <f>$C619*BS618</f>
        <v/>
      </c>
      <c r="BT619">
        <f>$C619*BT618</f>
        <v/>
      </c>
      <c r="BU619">
        <f>$C619*BU618</f>
        <v/>
      </c>
      <c r="BV619">
        <f>$C619*BV618</f>
        <v/>
      </c>
      <c r="BW619">
        <f>$C619*BW618</f>
        <v/>
      </c>
      <c r="BX619">
        <f>$C619*BX618</f>
        <v/>
      </c>
      <c r="BY619">
        <f>$C619*BY618</f>
        <v/>
      </c>
      <c r="BZ619">
        <f>$C619*BZ618</f>
        <v/>
      </c>
      <c r="CA619">
        <f>$C619*CA618</f>
        <v/>
      </c>
      <c r="CB619">
        <f>$C619*CB618</f>
        <v/>
      </c>
      <c r="CC619">
        <f>$C619*CC618</f>
        <v/>
      </c>
      <c r="CD619">
        <f>$C619*CD618</f>
        <v/>
      </c>
      <c r="CE619">
        <f>$C619*CE618</f>
        <v/>
      </c>
      <c r="CF619">
        <f>$C619*CF618</f>
        <v/>
      </c>
      <c r="CG619">
        <f>$C619*CG618</f>
        <v/>
      </c>
      <c r="CH619">
        <f>$C619*CH618</f>
        <v/>
      </c>
      <c r="CI619">
        <f>$C619*CI618</f>
        <v/>
      </c>
      <c r="CJ619">
        <f>$C619*CJ618</f>
        <v/>
      </c>
      <c r="CK619">
        <f>$C619*CK618</f>
        <v/>
      </c>
      <c r="CL619">
        <f>$C619*CL618</f>
        <v/>
      </c>
      <c r="CM619">
        <f>$C619*CM618</f>
        <v/>
      </c>
      <c r="CN619">
        <f>$C619*CN618</f>
        <v/>
      </c>
      <c r="CO619">
        <f>$C619*CO618</f>
        <v/>
      </c>
      <c r="CP619">
        <f>$C619*CP618</f>
        <v/>
      </c>
      <c r="CQ619">
        <f>$C619*CQ618</f>
        <v/>
      </c>
      <c r="CR619">
        <f>$C619*CR618</f>
        <v/>
      </c>
      <c r="CS619">
        <f>$C619*CS618</f>
        <v/>
      </c>
      <c r="CT619">
        <f>$C619*CT618</f>
        <v/>
      </c>
      <c r="CU619">
        <f>$C619*CU618</f>
        <v/>
      </c>
      <c r="CV619">
        <f>$C619*CV618</f>
        <v/>
      </c>
      <c r="CW619">
        <f>$C619*CW618</f>
        <v/>
      </c>
      <c r="CX619">
        <f>$C619*CX618</f>
        <v/>
      </c>
      <c r="CY619">
        <f>$C619*CY618</f>
        <v/>
      </c>
      <c r="CZ619">
        <f>$C619*CZ618</f>
        <v/>
      </c>
      <c r="DA619">
        <f>$C619*DA618</f>
        <v/>
      </c>
      <c r="DB619">
        <f>$C619*DB618</f>
        <v/>
      </c>
      <c r="DC619">
        <f>$C619*DC618</f>
        <v/>
      </c>
    </row>
    <row r="620">
      <c r="B620" t="inlineStr">
        <is>
          <t>TPP-204</t>
        </is>
      </c>
      <c r="C620" t="inlineStr">
        <is>
          <t>No. of batches</t>
        </is>
      </c>
      <c r="D620">
        <f>IFERROR(INDEX(PP_Grid[#Data],$DD620,2),0)</f>
        <v/>
      </c>
      <c r="E620">
        <f>IFERROR(INDEX(PP_Grid[#Data],$DD620,3),0)</f>
        <v/>
      </c>
      <c r="F620">
        <f>IFERROR(INDEX(PP_Grid[#Data],$DD620,4),0)</f>
        <v/>
      </c>
      <c r="G620">
        <f>IFERROR(INDEX(PP_Grid[#Data],$DD620,5),0)</f>
        <v/>
      </c>
      <c r="H620">
        <f>IFERROR(INDEX(PP_Grid[#Data],$DD620,6),0)</f>
        <v/>
      </c>
      <c r="I620">
        <f>IFERROR(INDEX(PP_Grid[#Data],$DD620,7),0)</f>
        <v/>
      </c>
      <c r="J620">
        <f>IFERROR(INDEX(PP_Grid[#Data],$DD620,8),0)</f>
        <v/>
      </c>
      <c r="K620">
        <f>IFERROR(INDEX(PP_Grid[#Data],$DD620,9),0)</f>
        <v/>
      </c>
      <c r="L620">
        <f>IFERROR(INDEX(PP_Grid[#Data],$DD620,10),0)</f>
        <v/>
      </c>
      <c r="M620">
        <f>IFERROR(INDEX(PP_Grid[#Data],$DD620,11),0)</f>
        <v/>
      </c>
      <c r="N620">
        <f>IFERROR(INDEX(PP_Grid[#Data],$DD620,12),0)</f>
        <v/>
      </c>
      <c r="O620">
        <f>IFERROR(INDEX(PP_Grid[#Data],$DD620,13),0)</f>
        <v/>
      </c>
      <c r="P620">
        <f>IFERROR(INDEX(PP_Grid[#Data],$DD620,14),0)</f>
        <v/>
      </c>
      <c r="Q620">
        <f>IFERROR(INDEX(PP_Grid[#Data],$DD620,15),0)</f>
        <v/>
      </c>
      <c r="R620">
        <f>IFERROR(INDEX(PP_Grid[#Data],$DD620,16),0)</f>
        <v/>
      </c>
      <c r="S620">
        <f>IFERROR(INDEX(PP_Grid[#Data],$DD620,17),0)</f>
        <v/>
      </c>
      <c r="T620">
        <f>IFERROR(INDEX(PP_Grid[#Data],$DD620,18),0)</f>
        <v/>
      </c>
      <c r="U620">
        <f>IFERROR(INDEX(PP_Grid[#Data],$DD620,19),0)</f>
        <v/>
      </c>
      <c r="V620">
        <f>IFERROR(INDEX(PP_Grid[#Data],$DD620,20),0)</f>
        <v/>
      </c>
      <c r="W620">
        <f>IFERROR(INDEX(PP_Grid[#Data],$DD620,21),0)</f>
        <v/>
      </c>
      <c r="X620">
        <f>IFERROR(INDEX(PP_Grid[#Data],$DD620,22),0)</f>
        <v/>
      </c>
      <c r="Y620">
        <f>IFERROR(INDEX(PP_Grid[#Data],$DD620,23),0)</f>
        <v/>
      </c>
      <c r="Z620">
        <f>IFERROR(INDEX(PP_Grid[#Data],$DD620,24),0)</f>
        <v/>
      </c>
      <c r="AA620">
        <f>IFERROR(INDEX(PP_Grid[#Data],$DD620,25),0)</f>
        <v/>
      </c>
      <c r="AB620">
        <f>IFERROR(INDEX(PP_Grid[#Data],$DD620,26),0)</f>
        <v/>
      </c>
      <c r="AC620">
        <f>IFERROR(INDEX(PP_Grid[#Data],$DD620,27),0)</f>
        <v/>
      </c>
      <c r="AD620">
        <f>IFERROR(INDEX(PP_Grid[#Data],$DD620,28),0)</f>
        <v/>
      </c>
      <c r="AE620">
        <f>IFERROR(INDEX(PP_Grid[#Data],$DD620,29),0)</f>
        <v/>
      </c>
      <c r="AF620">
        <f>IFERROR(INDEX(PP_Grid[#Data],$DD620,30),0)</f>
        <v/>
      </c>
      <c r="AG620">
        <f>IFERROR(INDEX(PP_Grid[#Data],$DD620,31),0)</f>
        <v/>
      </c>
      <c r="AH620">
        <f>IFERROR(INDEX(PP_Grid[#Data],$DD620,32),0)</f>
        <v/>
      </c>
      <c r="AI620">
        <f>IFERROR(INDEX(PP_Grid[#Data],$DD620,33),0)</f>
        <v/>
      </c>
      <c r="AJ620">
        <f>IFERROR(INDEX(PP_Grid[#Data],$DD620,34),0)</f>
        <v/>
      </c>
      <c r="AK620">
        <f>IFERROR(INDEX(PP_Grid[#Data],$DD620,35),0)</f>
        <v/>
      </c>
      <c r="AL620">
        <f>IFERROR(INDEX(PP_Grid[#Data],$DD620,36),0)</f>
        <v/>
      </c>
      <c r="AM620">
        <f>IFERROR(INDEX(PP_Grid[#Data],$DD620,37),0)</f>
        <v/>
      </c>
      <c r="AN620">
        <f>IFERROR(INDEX(PP_Grid[#Data],$DD620,38),0)</f>
        <v/>
      </c>
      <c r="AO620">
        <f>IFERROR(INDEX(PP_Grid[#Data],$DD620,39),0)</f>
        <v/>
      </c>
      <c r="AP620">
        <f>IFERROR(INDEX(PP_Grid[#Data],$DD620,40),0)</f>
        <v/>
      </c>
      <c r="AQ620">
        <f>IFERROR(INDEX(PP_Grid[#Data],$DD620,41),0)</f>
        <v/>
      </c>
      <c r="AR620">
        <f>IFERROR(INDEX(PP_Grid[#Data],$DD620,42),0)</f>
        <v/>
      </c>
      <c r="AS620">
        <f>IFERROR(INDEX(PP_Grid[#Data],$DD620,43),0)</f>
        <v/>
      </c>
      <c r="AT620">
        <f>IFERROR(INDEX(PP_Grid[#Data],$DD620,44),0)</f>
        <v/>
      </c>
      <c r="AU620">
        <f>IFERROR(INDEX(PP_Grid[#Data],$DD620,45),0)</f>
        <v/>
      </c>
      <c r="AV620">
        <f>IFERROR(INDEX(PP_Grid[#Data],$DD620,46),0)</f>
        <v/>
      </c>
      <c r="AW620">
        <f>IFERROR(INDEX(PP_Grid[#Data],$DD620,47),0)</f>
        <v/>
      </c>
      <c r="AX620">
        <f>IFERROR(INDEX(PP_Grid[#Data],$DD620,48),0)</f>
        <v/>
      </c>
      <c r="AY620">
        <f>IFERROR(INDEX(PP_Grid[#Data],$DD620,49),0)</f>
        <v/>
      </c>
      <c r="AZ620">
        <f>IFERROR(INDEX(PP_Grid[#Data],$DD620,50),0)</f>
        <v/>
      </c>
      <c r="BA620">
        <f>IFERROR(INDEX(PP_Grid[#Data],$DD620,51),0)</f>
        <v/>
      </c>
      <c r="BB620">
        <f>IFERROR(INDEX(PP_Grid[#Data],$DD620,52),0)</f>
        <v/>
      </c>
      <c r="BC620">
        <f>IFERROR(INDEX(PP_Grid[#Data],$DD620,53),0)</f>
        <v/>
      </c>
      <c r="BD620">
        <f>IFERROR(INDEX(PP_Grid[#Data],$DD620,54),0)</f>
        <v/>
      </c>
      <c r="BE620">
        <f>IFERROR(INDEX(PP_Grid[#Data],$DD620,55),0)</f>
        <v/>
      </c>
      <c r="BF620">
        <f>IFERROR(INDEX(PP_Grid[#Data],$DD620,56),0)</f>
        <v/>
      </c>
      <c r="BG620">
        <f>IFERROR(INDEX(PP_Grid[#Data],$DD620,57),0)</f>
        <v/>
      </c>
      <c r="BH620">
        <f>IFERROR(INDEX(PP_Grid[#Data],$DD620,58),0)</f>
        <v/>
      </c>
      <c r="BI620">
        <f>IFERROR(INDEX(PP_Grid[#Data],$DD620,59),0)</f>
        <v/>
      </c>
      <c r="BJ620">
        <f>IFERROR(INDEX(PP_Grid[#Data],$DD620,60),0)</f>
        <v/>
      </c>
      <c r="BK620">
        <f>IFERROR(INDEX(PP_Grid[#Data],$DD620,61),0)</f>
        <v/>
      </c>
      <c r="BL620">
        <f>IFERROR(INDEX(PP_Grid[#Data],$DD620,62),0)</f>
        <v/>
      </c>
      <c r="BM620">
        <f>IFERROR(INDEX(PP_Grid[#Data],$DD620,63),0)</f>
        <v/>
      </c>
      <c r="BN620">
        <f>IFERROR(INDEX(PP_Grid[#Data],$DD620,64),0)</f>
        <v/>
      </c>
      <c r="BO620">
        <f>IFERROR(INDEX(PP_Grid[#Data],$DD620,65),0)</f>
        <v/>
      </c>
      <c r="BP620">
        <f>IFERROR(INDEX(PP_Grid[#Data],$DD620,66),0)</f>
        <v/>
      </c>
      <c r="BQ620">
        <f>IFERROR(INDEX(PP_Grid[#Data],$DD620,67),0)</f>
        <v/>
      </c>
      <c r="BR620">
        <f>IFERROR(INDEX(PP_Grid[#Data],$DD620,68),0)</f>
        <v/>
      </c>
      <c r="BS620">
        <f>IFERROR(INDEX(PP_Grid[#Data],$DD620,69),0)</f>
        <v/>
      </c>
      <c r="BT620">
        <f>IFERROR(INDEX(PP_Grid[#Data],$DD620,70),0)</f>
        <v/>
      </c>
      <c r="BU620">
        <f>IFERROR(INDEX(PP_Grid[#Data],$DD620,71),0)</f>
        <v/>
      </c>
      <c r="BV620">
        <f>IFERROR(INDEX(PP_Grid[#Data],$DD620,72),0)</f>
        <v/>
      </c>
      <c r="BW620">
        <f>IFERROR(INDEX(PP_Grid[#Data],$DD620,73),0)</f>
        <v/>
      </c>
      <c r="BX620">
        <f>IFERROR(INDEX(PP_Grid[#Data],$DD620,74),0)</f>
        <v/>
      </c>
      <c r="BY620">
        <f>IFERROR(INDEX(PP_Grid[#Data],$DD620,75),0)</f>
        <v/>
      </c>
      <c r="BZ620">
        <f>IFERROR(INDEX(PP_Grid[#Data],$DD620,76),0)</f>
        <v/>
      </c>
      <c r="CA620">
        <f>IFERROR(INDEX(PP_Grid[#Data],$DD620,77),0)</f>
        <v/>
      </c>
      <c r="CB620">
        <f>IFERROR(INDEX(PP_Grid[#Data],$DD620,78),0)</f>
        <v/>
      </c>
      <c r="CC620">
        <f>IFERROR(INDEX(PP_Grid[#Data],$DD620,79),0)</f>
        <v/>
      </c>
      <c r="CD620">
        <f>IFERROR(INDEX(PP_Grid[#Data],$DD620,80),0)</f>
        <v/>
      </c>
      <c r="CE620">
        <f>IFERROR(INDEX(PP_Grid[#Data],$DD620,81),0)</f>
        <v/>
      </c>
      <c r="CF620">
        <f>IFERROR(INDEX(PP_Grid[#Data],$DD620,82),0)</f>
        <v/>
      </c>
      <c r="CG620">
        <f>IFERROR(INDEX(PP_Grid[#Data],$DD620,83),0)</f>
        <v/>
      </c>
      <c r="CH620">
        <f>IFERROR(INDEX(PP_Grid[#Data],$DD620,84),0)</f>
        <v/>
      </c>
      <c r="CI620">
        <f>IFERROR(INDEX(PP_Grid[#Data],$DD620,85),0)</f>
        <v/>
      </c>
      <c r="CJ620">
        <f>IFERROR(INDEX(PP_Grid[#Data],$DD620,86),0)</f>
        <v/>
      </c>
      <c r="CK620">
        <f>IFERROR(INDEX(PP_Grid[#Data],$DD620,87),0)</f>
        <v/>
      </c>
      <c r="CL620">
        <f>IFERROR(INDEX(PP_Grid[#Data],$DD620,88),0)</f>
        <v/>
      </c>
      <c r="CM620">
        <f>IFERROR(INDEX(PP_Grid[#Data],$DD620,89),0)</f>
        <v/>
      </c>
      <c r="CN620">
        <f>IFERROR(INDEX(PP_Grid[#Data],$DD620,90),0)</f>
        <v/>
      </c>
      <c r="CO620">
        <f>IFERROR(INDEX(PP_Grid[#Data],$DD620,91),0)</f>
        <v/>
      </c>
      <c r="CP620">
        <f>IFERROR(INDEX(PP_Grid[#Data],$DD620,92),0)</f>
        <v/>
      </c>
      <c r="CQ620">
        <f>IFERROR(INDEX(PP_Grid[#Data],$DD620,93),0)</f>
        <v/>
      </c>
      <c r="CR620">
        <f>IFERROR(INDEX(PP_Grid[#Data],$DD620,94),0)</f>
        <v/>
      </c>
      <c r="CS620">
        <f>IFERROR(INDEX(PP_Grid[#Data],$DD620,95),0)</f>
        <v/>
      </c>
      <c r="CT620">
        <f>IFERROR(INDEX(PP_Grid[#Data],$DD620,96),0)</f>
        <v/>
      </c>
      <c r="CU620">
        <f>IFERROR(INDEX(PP_Grid[#Data],$DD620,97),0)</f>
        <v/>
      </c>
      <c r="CV620">
        <f>IFERROR(INDEX(PP_Grid[#Data],$DD620,98),0)</f>
        <v/>
      </c>
      <c r="CW620">
        <f>IFERROR(INDEX(PP_Grid[#Data],$DD620,99),0)</f>
        <v/>
      </c>
      <c r="CX620">
        <f>IFERROR(INDEX(PP_Grid[#Data],$DD620,100),0)</f>
        <v/>
      </c>
      <c r="CY620">
        <f>IFERROR(INDEX(PP_Grid[#Data],$DD620,101),0)</f>
        <v/>
      </c>
      <c r="CZ620">
        <f>IFERROR(INDEX(PP_Grid[#Data],$DD620,102),0)</f>
        <v/>
      </c>
      <c r="DA620">
        <f>IFERROR(INDEX(PP_Grid[#Data],$DD620,103),0)</f>
        <v/>
      </c>
      <c r="DB620">
        <f>IFERROR(INDEX(PP_Grid[#Data],$DD620,104),0)</f>
        <v/>
      </c>
      <c r="DC620">
        <f>IFERROR(INDEX(PP_Grid[#Data],$DD620,105),0)</f>
        <v/>
      </c>
      <c r="DD620" s="7">
        <f>IFERROR(MATCH($B620,PP_Grid[Intermediate],0),99999)</f>
        <v/>
      </c>
    </row>
    <row r="621">
      <c r="B621" t="inlineStr">
        <is>
          <t>使用量(kg)</t>
        </is>
      </c>
      <c r="C621">
        <f>SUMIFS(M_BOM[RM_Qty_Per_Batch],M_BOM[Intermediate],$B620,M_BOM[Part Name],$A589)</f>
        <v/>
      </c>
      <c r="D621">
        <f>$C621*D620</f>
        <v/>
      </c>
      <c r="E621">
        <f>$C621*E620</f>
        <v/>
      </c>
      <c r="F621">
        <f>$C621*F620</f>
        <v/>
      </c>
      <c r="G621">
        <f>$C621*G620</f>
        <v/>
      </c>
      <c r="H621">
        <f>$C621*H620</f>
        <v/>
      </c>
      <c r="I621">
        <f>$C621*I620</f>
        <v/>
      </c>
      <c r="J621">
        <f>$C621*J620</f>
        <v/>
      </c>
      <c r="K621">
        <f>$C621*K620</f>
        <v/>
      </c>
      <c r="L621">
        <f>$C621*L620</f>
        <v/>
      </c>
      <c r="M621">
        <f>$C621*M620</f>
        <v/>
      </c>
      <c r="N621">
        <f>$C621*N620</f>
        <v/>
      </c>
      <c r="O621">
        <f>$C621*O620</f>
        <v/>
      </c>
      <c r="P621">
        <f>$C621*P620</f>
        <v/>
      </c>
      <c r="Q621">
        <f>$C621*Q620</f>
        <v/>
      </c>
      <c r="R621">
        <f>$C621*R620</f>
        <v/>
      </c>
      <c r="S621">
        <f>$C621*S620</f>
        <v/>
      </c>
      <c r="T621">
        <f>$C621*T620</f>
        <v/>
      </c>
      <c r="U621">
        <f>$C621*U620</f>
        <v/>
      </c>
      <c r="V621">
        <f>$C621*V620</f>
        <v/>
      </c>
      <c r="W621">
        <f>$C621*W620</f>
        <v/>
      </c>
      <c r="X621">
        <f>$C621*X620</f>
        <v/>
      </c>
      <c r="Y621">
        <f>$C621*Y620</f>
        <v/>
      </c>
      <c r="Z621">
        <f>$C621*Z620</f>
        <v/>
      </c>
      <c r="AA621">
        <f>$C621*AA620</f>
        <v/>
      </c>
      <c r="AB621">
        <f>$C621*AB620</f>
        <v/>
      </c>
      <c r="AC621">
        <f>$C621*AC620</f>
        <v/>
      </c>
      <c r="AD621">
        <f>$C621*AD620</f>
        <v/>
      </c>
      <c r="AE621">
        <f>$C621*AE620</f>
        <v/>
      </c>
      <c r="AF621">
        <f>$C621*AF620</f>
        <v/>
      </c>
      <c r="AG621">
        <f>$C621*AG620</f>
        <v/>
      </c>
      <c r="AH621">
        <f>$C621*AH620</f>
        <v/>
      </c>
      <c r="AI621">
        <f>$C621*AI620</f>
        <v/>
      </c>
      <c r="AJ621">
        <f>$C621*AJ620</f>
        <v/>
      </c>
      <c r="AK621">
        <f>$C621*AK620</f>
        <v/>
      </c>
      <c r="AL621">
        <f>$C621*AL620</f>
        <v/>
      </c>
      <c r="AM621">
        <f>$C621*AM620</f>
        <v/>
      </c>
      <c r="AN621">
        <f>$C621*AN620</f>
        <v/>
      </c>
      <c r="AO621">
        <f>$C621*AO620</f>
        <v/>
      </c>
      <c r="AP621">
        <f>$C621*AP620</f>
        <v/>
      </c>
      <c r="AQ621">
        <f>$C621*AQ620</f>
        <v/>
      </c>
      <c r="AR621">
        <f>$C621*AR620</f>
        <v/>
      </c>
      <c r="AS621">
        <f>$C621*AS620</f>
        <v/>
      </c>
      <c r="AT621">
        <f>$C621*AT620</f>
        <v/>
      </c>
      <c r="AU621">
        <f>$C621*AU620</f>
        <v/>
      </c>
      <c r="AV621">
        <f>$C621*AV620</f>
        <v/>
      </c>
      <c r="AW621">
        <f>$C621*AW620</f>
        <v/>
      </c>
      <c r="AX621">
        <f>$C621*AX620</f>
        <v/>
      </c>
      <c r="AY621">
        <f>$C621*AY620</f>
        <v/>
      </c>
      <c r="AZ621">
        <f>$C621*AZ620</f>
        <v/>
      </c>
      <c r="BA621">
        <f>$C621*BA620</f>
        <v/>
      </c>
      <c r="BB621">
        <f>$C621*BB620</f>
        <v/>
      </c>
      <c r="BC621">
        <f>$C621*BC620</f>
        <v/>
      </c>
      <c r="BD621">
        <f>$C621*BD620</f>
        <v/>
      </c>
      <c r="BE621">
        <f>$C621*BE620</f>
        <v/>
      </c>
      <c r="BF621">
        <f>$C621*BF620</f>
        <v/>
      </c>
      <c r="BG621">
        <f>$C621*BG620</f>
        <v/>
      </c>
      <c r="BH621">
        <f>$C621*BH620</f>
        <v/>
      </c>
      <c r="BI621">
        <f>$C621*BI620</f>
        <v/>
      </c>
      <c r="BJ621">
        <f>$C621*BJ620</f>
        <v/>
      </c>
      <c r="BK621">
        <f>$C621*BK620</f>
        <v/>
      </c>
      <c r="BL621">
        <f>$C621*BL620</f>
        <v/>
      </c>
      <c r="BM621">
        <f>$C621*BM620</f>
        <v/>
      </c>
      <c r="BN621">
        <f>$C621*BN620</f>
        <v/>
      </c>
      <c r="BO621">
        <f>$C621*BO620</f>
        <v/>
      </c>
      <c r="BP621">
        <f>$C621*BP620</f>
        <v/>
      </c>
      <c r="BQ621">
        <f>$C621*BQ620</f>
        <v/>
      </c>
      <c r="BR621">
        <f>$C621*BR620</f>
        <v/>
      </c>
      <c r="BS621">
        <f>$C621*BS620</f>
        <v/>
      </c>
      <c r="BT621">
        <f>$C621*BT620</f>
        <v/>
      </c>
      <c r="BU621">
        <f>$C621*BU620</f>
        <v/>
      </c>
      <c r="BV621">
        <f>$C621*BV620</f>
        <v/>
      </c>
      <c r="BW621">
        <f>$C621*BW620</f>
        <v/>
      </c>
      <c r="BX621">
        <f>$C621*BX620</f>
        <v/>
      </c>
      <c r="BY621">
        <f>$C621*BY620</f>
        <v/>
      </c>
      <c r="BZ621">
        <f>$C621*BZ620</f>
        <v/>
      </c>
      <c r="CA621">
        <f>$C621*CA620</f>
        <v/>
      </c>
      <c r="CB621">
        <f>$C621*CB620</f>
        <v/>
      </c>
      <c r="CC621">
        <f>$C621*CC620</f>
        <v/>
      </c>
      <c r="CD621">
        <f>$C621*CD620</f>
        <v/>
      </c>
      <c r="CE621">
        <f>$C621*CE620</f>
        <v/>
      </c>
      <c r="CF621">
        <f>$C621*CF620</f>
        <v/>
      </c>
      <c r="CG621">
        <f>$C621*CG620</f>
        <v/>
      </c>
      <c r="CH621">
        <f>$C621*CH620</f>
        <v/>
      </c>
      <c r="CI621">
        <f>$C621*CI620</f>
        <v/>
      </c>
      <c r="CJ621">
        <f>$C621*CJ620</f>
        <v/>
      </c>
      <c r="CK621">
        <f>$C621*CK620</f>
        <v/>
      </c>
      <c r="CL621">
        <f>$C621*CL620</f>
        <v/>
      </c>
      <c r="CM621">
        <f>$C621*CM620</f>
        <v/>
      </c>
      <c r="CN621">
        <f>$C621*CN620</f>
        <v/>
      </c>
      <c r="CO621">
        <f>$C621*CO620</f>
        <v/>
      </c>
      <c r="CP621">
        <f>$C621*CP620</f>
        <v/>
      </c>
      <c r="CQ621">
        <f>$C621*CQ620</f>
        <v/>
      </c>
      <c r="CR621">
        <f>$C621*CR620</f>
        <v/>
      </c>
      <c r="CS621">
        <f>$C621*CS620</f>
        <v/>
      </c>
      <c r="CT621">
        <f>$C621*CT620</f>
        <v/>
      </c>
      <c r="CU621">
        <f>$C621*CU620</f>
        <v/>
      </c>
      <c r="CV621">
        <f>$C621*CV620</f>
        <v/>
      </c>
      <c r="CW621">
        <f>$C621*CW620</f>
        <v/>
      </c>
      <c r="CX621">
        <f>$C621*CX620</f>
        <v/>
      </c>
      <c r="CY621">
        <f>$C621*CY620</f>
        <v/>
      </c>
      <c r="CZ621">
        <f>$C621*CZ620</f>
        <v/>
      </c>
      <c r="DA621">
        <f>$C621*DA620</f>
        <v/>
      </c>
      <c r="DB621">
        <f>$C621*DB620</f>
        <v/>
      </c>
      <c r="DC621">
        <f>$C621*DC620</f>
        <v/>
      </c>
    </row>
    <row r="622">
      <c r="B622" t="inlineStr">
        <is>
          <t>TPP-350</t>
        </is>
      </c>
      <c r="C622" t="inlineStr">
        <is>
          <t>No. of batches</t>
        </is>
      </c>
      <c r="D622">
        <f>IFERROR(INDEX(PP_Grid[#Data],$DD622,2),0)</f>
        <v/>
      </c>
      <c r="E622">
        <f>IFERROR(INDEX(PP_Grid[#Data],$DD622,3),0)</f>
        <v/>
      </c>
      <c r="F622">
        <f>IFERROR(INDEX(PP_Grid[#Data],$DD622,4),0)</f>
        <v/>
      </c>
      <c r="G622">
        <f>IFERROR(INDEX(PP_Grid[#Data],$DD622,5),0)</f>
        <v/>
      </c>
      <c r="H622">
        <f>IFERROR(INDEX(PP_Grid[#Data],$DD622,6),0)</f>
        <v/>
      </c>
      <c r="I622">
        <f>IFERROR(INDEX(PP_Grid[#Data],$DD622,7),0)</f>
        <v/>
      </c>
      <c r="J622">
        <f>IFERROR(INDEX(PP_Grid[#Data],$DD622,8),0)</f>
        <v/>
      </c>
      <c r="K622">
        <f>IFERROR(INDEX(PP_Grid[#Data],$DD622,9),0)</f>
        <v/>
      </c>
      <c r="L622">
        <f>IFERROR(INDEX(PP_Grid[#Data],$DD622,10),0)</f>
        <v/>
      </c>
      <c r="M622">
        <f>IFERROR(INDEX(PP_Grid[#Data],$DD622,11),0)</f>
        <v/>
      </c>
      <c r="N622">
        <f>IFERROR(INDEX(PP_Grid[#Data],$DD622,12),0)</f>
        <v/>
      </c>
      <c r="O622">
        <f>IFERROR(INDEX(PP_Grid[#Data],$DD622,13),0)</f>
        <v/>
      </c>
      <c r="P622">
        <f>IFERROR(INDEX(PP_Grid[#Data],$DD622,14),0)</f>
        <v/>
      </c>
      <c r="Q622">
        <f>IFERROR(INDEX(PP_Grid[#Data],$DD622,15),0)</f>
        <v/>
      </c>
      <c r="R622">
        <f>IFERROR(INDEX(PP_Grid[#Data],$DD622,16),0)</f>
        <v/>
      </c>
      <c r="S622">
        <f>IFERROR(INDEX(PP_Grid[#Data],$DD622,17),0)</f>
        <v/>
      </c>
      <c r="T622">
        <f>IFERROR(INDEX(PP_Grid[#Data],$DD622,18),0)</f>
        <v/>
      </c>
      <c r="U622">
        <f>IFERROR(INDEX(PP_Grid[#Data],$DD622,19),0)</f>
        <v/>
      </c>
      <c r="V622">
        <f>IFERROR(INDEX(PP_Grid[#Data],$DD622,20),0)</f>
        <v/>
      </c>
      <c r="W622">
        <f>IFERROR(INDEX(PP_Grid[#Data],$DD622,21),0)</f>
        <v/>
      </c>
      <c r="X622">
        <f>IFERROR(INDEX(PP_Grid[#Data],$DD622,22),0)</f>
        <v/>
      </c>
      <c r="Y622">
        <f>IFERROR(INDEX(PP_Grid[#Data],$DD622,23),0)</f>
        <v/>
      </c>
      <c r="Z622">
        <f>IFERROR(INDEX(PP_Grid[#Data],$DD622,24),0)</f>
        <v/>
      </c>
      <c r="AA622">
        <f>IFERROR(INDEX(PP_Grid[#Data],$DD622,25),0)</f>
        <v/>
      </c>
      <c r="AB622">
        <f>IFERROR(INDEX(PP_Grid[#Data],$DD622,26),0)</f>
        <v/>
      </c>
      <c r="AC622">
        <f>IFERROR(INDEX(PP_Grid[#Data],$DD622,27),0)</f>
        <v/>
      </c>
      <c r="AD622">
        <f>IFERROR(INDEX(PP_Grid[#Data],$DD622,28),0)</f>
        <v/>
      </c>
      <c r="AE622">
        <f>IFERROR(INDEX(PP_Grid[#Data],$DD622,29),0)</f>
        <v/>
      </c>
      <c r="AF622">
        <f>IFERROR(INDEX(PP_Grid[#Data],$DD622,30),0)</f>
        <v/>
      </c>
      <c r="AG622">
        <f>IFERROR(INDEX(PP_Grid[#Data],$DD622,31),0)</f>
        <v/>
      </c>
      <c r="AH622">
        <f>IFERROR(INDEX(PP_Grid[#Data],$DD622,32),0)</f>
        <v/>
      </c>
      <c r="AI622">
        <f>IFERROR(INDEX(PP_Grid[#Data],$DD622,33),0)</f>
        <v/>
      </c>
      <c r="AJ622">
        <f>IFERROR(INDEX(PP_Grid[#Data],$DD622,34),0)</f>
        <v/>
      </c>
      <c r="AK622">
        <f>IFERROR(INDEX(PP_Grid[#Data],$DD622,35),0)</f>
        <v/>
      </c>
      <c r="AL622">
        <f>IFERROR(INDEX(PP_Grid[#Data],$DD622,36),0)</f>
        <v/>
      </c>
      <c r="AM622">
        <f>IFERROR(INDEX(PP_Grid[#Data],$DD622,37),0)</f>
        <v/>
      </c>
      <c r="AN622">
        <f>IFERROR(INDEX(PP_Grid[#Data],$DD622,38),0)</f>
        <v/>
      </c>
      <c r="AO622">
        <f>IFERROR(INDEX(PP_Grid[#Data],$DD622,39),0)</f>
        <v/>
      </c>
      <c r="AP622">
        <f>IFERROR(INDEX(PP_Grid[#Data],$DD622,40),0)</f>
        <v/>
      </c>
      <c r="AQ622">
        <f>IFERROR(INDEX(PP_Grid[#Data],$DD622,41),0)</f>
        <v/>
      </c>
      <c r="AR622">
        <f>IFERROR(INDEX(PP_Grid[#Data],$DD622,42),0)</f>
        <v/>
      </c>
      <c r="AS622">
        <f>IFERROR(INDEX(PP_Grid[#Data],$DD622,43),0)</f>
        <v/>
      </c>
      <c r="AT622">
        <f>IFERROR(INDEX(PP_Grid[#Data],$DD622,44),0)</f>
        <v/>
      </c>
      <c r="AU622">
        <f>IFERROR(INDEX(PP_Grid[#Data],$DD622,45),0)</f>
        <v/>
      </c>
      <c r="AV622">
        <f>IFERROR(INDEX(PP_Grid[#Data],$DD622,46),0)</f>
        <v/>
      </c>
      <c r="AW622">
        <f>IFERROR(INDEX(PP_Grid[#Data],$DD622,47),0)</f>
        <v/>
      </c>
      <c r="AX622">
        <f>IFERROR(INDEX(PP_Grid[#Data],$DD622,48),0)</f>
        <v/>
      </c>
      <c r="AY622">
        <f>IFERROR(INDEX(PP_Grid[#Data],$DD622,49),0)</f>
        <v/>
      </c>
      <c r="AZ622">
        <f>IFERROR(INDEX(PP_Grid[#Data],$DD622,50),0)</f>
        <v/>
      </c>
      <c r="BA622">
        <f>IFERROR(INDEX(PP_Grid[#Data],$DD622,51),0)</f>
        <v/>
      </c>
      <c r="BB622">
        <f>IFERROR(INDEX(PP_Grid[#Data],$DD622,52),0)</f>
        <v/>
      </c>
      <c r="BC622">
        <f>IFERROR(INDEX(PP_Grid[#Data],$DD622,53),0)</f>
        <v/>
      </c>
      <c r="BD622">
        <f>IFERROR(INDEX(PP_Grid[#Data],$DD622,54),0)</f>
        <v/>
      </c>
      <c r="BE622">
        <f>IFERROR(INDEX(PP_Grid[#Data],$DD622,55),0)</f>
        <v/>
      </c>
      <c r="BF622">
        <f>IFERROR(INDEX(PP_Grid[#Data],$DD622,56),0)</f>
        <v/>
      </c>
      <c r="BG622">
        <f>IFERROR(INDEX(PP_Grid[#Data],$DD622,57),0)</f>
        <v/>
      </c>
      <c r="BH622">
        <f>IFERROR(INDEX(PP_Grid[#Data],$DD622,58),0)</f>
        <v/>
      </c>
      <c r="BI622">
        <f>IFERROR(INDEX(PP_Grid[#Data],$DD622,59),0)</f>
        <v/>
      </c>
      <c r="BJ622">
        <f>IFERROR(INDEX(PP_Grid[#Data],$DD622,60),0)</f>
        <v/>
      </c>
      <c r="BK622">
        <f>IFERROR(INDEX(PP_Grid[#Data],$DD622,61),0)</f>
        <v/>
      </c>
      <c r="BL622">
        <f>IFERROR(INDEX(PP_Grid[#Data],$DD622,62),0)</f>
        <v/>
      </c>
      <c r="BM622">
        <f>IFERROR(INDEX(PP_Grid[#Data],$DD622,63),0)</f>
        <v/>
      </c>
      <c r="BN622">
        <f>IFERROR(INDEX(PP_Grid[#Data],$DD622,64),0)</f>
        <v/>
      </c>
      <c r="BO622">
        <f>IFERROR(INDEX(PP_Grid[#Data],$DD622,65),0)</f>
        <v/>
      </c>
      <c r="BP622">
        <f>IFERROR(INDEX(PP_Grid[#Data],$DD622,66),0)</f>
        <v/>
      </c>
      <c r="BQ622">
        <f>IFERROR(INDEX(PP_Grid[#Data],$DD622,67),0)</f>
        <v/>
      </c>
      <c r="BR622">
        <f>IFERROR(INDEX(PP_Grid[#Data],$DD622,68),0)</f>
        <v/>
      </c>
      <c r="BS622">
        <f>IFERROR(INDEX(PP_Grid[#Data],$DD622,69),0)</f>
        <v/>
      </c>
      <c r="BT622">
        <f>IFERROR(INDEX(PP_Grid[#Data],$DD622,70),0)</f>
        <v/>
      </c>
      <c r="BU622">
        <f>IFERROR(INDEX(PP_Grid[#Data],$DD622,71),0)</f>
        <v/>
      </c>
      <c r="BV622">
        <f>IFERROR(INDEX(PP_Grid[#Data],$DD622,72),0)</f>
        <v/>
      </c>
      <c r="BW622">
        <f>IFERROR(INDEX(PP_Grid[#Data],$DD622,73),0)</f>
        <v/>
      </c>
      <c r="BX622">
        <f>IFERROR(INDEX(PP_Grid[#Data],$DD622,74),0)</f>
        <v/>
      </c>
      <c r="BY622">
        <f>IFERROR(INDEX(PP_Grid[#Data],$DD622,75),0)</f>
        <v/>
      </c>
      <c r="BZ622">
        <f>IFERROR(INDEX(PP_Grid[#Data],$DD622,76),0)</f>
        <v/>
      </c>
      <c r="CA622">
        <f>IFERROR(INDEX(PP_Grid[#Data],$DD622,77),0)</f>
        <v/>
      </c>
      <c r="CB622">
        <f>IFERROR(INDEX(PP_Grid[#Data],$DD622,78),0)</f>
        <v/>
      </c>
      <c r="CC622">
        <f>IFERROR(INDEX(PP_Grid[#Data],$DD622,79),0)</f>
        <v/>
      </c>
      <c r="CD622">
        <f>IFERROR(INDEX(PP_Grid[#Data],$DD622,80),0)</f>
        <v/>
      </c>
      <c r="CE622">
        <f>IFERROR(INDEX(PP_Grid[#Data],$DD622,81),0)</f>
        <v/>
      </c>
      <c r="CF622">
        <f>IFERROR(INDEX(PP_Grid[#Data],$DD622,82),0)</f>
        <v/>
      </c>
      <c r="CG622">
        <f>IFERROR(INDEX(PP_Grid[#Data],$DD622,83),0)</f>
        <v/>
      </c>
      <c r="CH622">
        <f>IFERROR(INDEX(PP_Grid[#Data],$DD622,84),0)</f>
        <v/>
      </c>
      <c r="CI622">
        <f>IFERROR(INDEX(PP_Grid[#Data],$DD622,85),0)</f>
        <v/>
      </c>
      <c r="CJ622">
        <f>IFERROR(INDEX(PP_Grid[#Data],$DD622,86),0)</f>
        <v/>
      </c>
      <c r="CK622">
        <f>IFERROR(INDEX(PP_Grid[#Data],$DD622,87),0)</f>
        <v/>
      </c>
      <c r="CL622">
        <f>IFERROR(INDEX(PP_Grid[#Data],$DD622,88),0)</f>
        <v/>
      </c>
      <c r="CM622">
        <f>IFERROR(INDEX(PP_Grid[#Data],$DD622,89),0)</f>
        <v/>
      </c>
      <c r="CN622">
        <f>IFERROR(INDEX(PP_Grid[#Data],$DD622,90),0)</f>
        <v/>
      </c>
      <c r="CO622">
        <f>IFERROR(INDEX(PP_Grid[#Data],$DD622,91),0)</f>
        <v/>
      </c>
      <c r="CP622">
        <f>IFERROR(INDEX(PP_Grid[#Data],$DD622,92),0)</f>
        <v/>
      </c>
      <c r="CQ622">
        <f>IFERROR(INDEX(PP_Grid[#Data],$DD622,93),0)</f>
        <v/>
      </c>
      <c r="CR622">
        <f>IFERROR(INDEX(PP_Grid[#Data],$DD622,94),0)</f>
        <v/>
      </c>
      <c r="CS622">
        <f>IFERROR(INDEX(PP_Grid[#Data],$DD622,95),0)</f>
        <v/>
      </c>
      <c r="CT622">
        <f>IFERROR(INDEX(PP_Grid[#Data],$DD622,96),0)</f>
        <v/>
      </c>
      <c r="CU622">
        <f>IFERROR(INDEX(PP_Grid[#Data],$DD622,97),0)</f>
        <v/>
      </c>
      <c r="CV622">
        <f>IFERROR(INDEX(PP_Grid[#Data],$DD622,98),0)</f>
        <v/>
      </c>
      <c r="CW622">
        <f>IFERROR(INDEX(PP_Grid[#Data],$DD622,99),0)</f>
        <v/>
      </c>
      <c r="CX622">
        <f>IFERROR(INDEX(PP_Grid[#Data],$DD622,100),0)</f>
        <v/>
      </c>
      <c r="CY622">
        <f>IFERROR(INDEX(PP_Grid[#Data],$DD622,101),0)</f>
        <v/>
      </c>
      <c r="CZ622">
        <f>IFERROR(INDEX(PP_Grid[#Data],$DD622,102),0)</f>
        <v/>
      </c>
      <c r="DA622">
        <f>IFERROR(INDEX(PP_Grid[#Data],$DD622,103),0)</f>
        <v/>
      </c>
      <c r="DB622">
        <f>IFERROR(INDEX(PP_Grid[#Data],$DD622,104),0)</f>
        <v/>
      </c>
      <c r="DC622">
        <f>IFERROR(INDEX(PP_Grid[#Data],$DD622,105),0)</f>
        <v/>
      </c>
      <c r="DD622" s="7">
        <f>IFERROR(MATCH($B622,PP_Grid[Intermediate],0),99999)</f>
        <v/>
      </c>
    </row>
    <row r="623">
      <c r="B623" t="inlineStr">
        <is>
          <t>使用量(kg)</t>
        </is>
      </c>
      <c r="C623">
        <f>SUMIFS(M_BOM[RM_Qty_Per_Batch],M_BOM[Intermediate],$B622,M_BOM[Part Name],$A589)</f>
        <v/>
      </c>
      <c r="D623">
        <f>$C623*D622</f>
        <v/>
      </c>
      <c r="E623">
        <f>$C623*E622</f>
        <v/>
      </c>
      <c r="F623">
        <f>$C623*F622</f>
        <v/>
      </c>
      <c r="G623">
        <f>$C623*G622</f>
        <v/>
      </c>
      <c r="H623">
        <f>$C623*H622</f>
        <v/>
      </c>
      <c r="I623">
        <f>$C623*I622</f>
        <v/>
      </c>
      <c r="J623">
        <f>$C623*J622</f>
        <v/>
      </c>
      <c r="K623">
        <f>$C623*K622</f>
        <v/>
      </c>
      <c r="L623">
        <f>$C623*L622</f>
        <v/>
      </c>
      <c r="M623">
        <f>$C623*M622</f>
        <v/>
      </c>
      <c r="N623">
        <f>$C623*N622</f>
        <v/>
      </c>
      <c r="O623">
        <f>$C623*O622</f>
        <v/>
      </c>
      <c r="P623">
        <f>$C623*P622</f>
        <v/>
      </c>
      <c r="Q623">
        <f>$C623*Q622</f>
        <v/>
      </c>
      <c r="R623">
        <f>$C623*R622</f>
        <v/>
      </c>
      <c r="S623">
        <f>$C623*S622</f>
        <v/>
      </c>
      <c r="T623">
        <f>$C623*T622</f>
        <v/>
      </c>
      <c r="U623">
        <f>$C623*U622</f>
        <v/>
      </c>
      <c r="V623">
        <f>$C623*V622</f>
        <v/>
      </c>
      <c r="W623">
        <f>$C623*W622</f>
        <v/>
      </c>
      <c r="X623">
        <f>$C623*X622</f>
        <v/>
      </c>
      <c r="Y623">
        <f>$C623*Y622</f>
        <v/>
      </c>
      <c r="Z623">
        <f>$C623*Z622</f>
        <v/>
      </c>
      <c r="AA623">
        <f>$C623*AA622</f>
        <v/>
      </c>
      <c r="AB623">
        <f>$C623*AB622</f>
        <v/>
      </c>
      <c r="AC623">
        <f>$C623*AC622</f>
        <v/>
      </c>
      <c r="AD623">
        <f>$C623*AD622</f>
        <v/>
      </c>
      <c r="AE623">
        <f>$C623*AE622</f>
        <v/>
      </c>
      <c r="AF623">
        <f>$C623*AF622</f>
        <v/>
      </c>
      <c r="AG623">
        <f>$C623*AG622</f>
        <v/>
      </c>
      <c r="AH623">
        <f>$C623*AH622</f>
        <v/>
      </c>
      <c r="AI623">
        <f>$C623*AI622</f>
        <v/>
      </c>
      <c r="AJ623">
        <f>$C623*AJ622</f>
        <v/>
      </c>
      <c r="AK623">
        <f>$C623*AK622</f>
        <v/>
      </c>
      <c r="AL623">
        <f>$C623*AL622</f>
        <v/>
      </c>
      <c r="AM623">
        <f>$C623*AM622</f>
        <v/>
      </c>
      <c r="AN623">
        <f>$C623*AN622</f>
        <v/>
      </c>
      <c r="AO623">
        <f>$C623*AO622</f>
        <v/>
      </c>
      <c r="AP623">
        <f>$C623*AP622</f>
        <v/>
      </c>
      <c r="AQ623">
        <f>$C623*AQ622</f>
        <v/>
      </c>
      <c r="AR623">
        <f>$C623*AR622</f>
        <v/>
      </c>
      <c r="AS623">
        <f>$C623*AS622</f>
        <v/>
      </c>
      <c r="AT623">
        <f>$C623*AT622</f>
        <v/>
      </c>
      <c r="AU623">
        <f>$C623*AU622</f>
        <v/>
      </c>
      <c r="AV623">
        <f>$C623*AV622</f>
        <v/>
      </c>
      <c r="AW623">
        <f>$C623*AW622</f>
        <v/>
      </c>
      <c r="AX623">
        <f>$C623*AX622</f>
        <v/>
      </c>
      <c r="AY623">
        <f>$C623*AY622</f>
        <v/>
      </c>
      <c r="AZ623">
        <f>$C623*AZ622</f>
        <v/>
      </c>
      <c r="BA623">
        <f>$C623*BA622</f>
        <v/>
      </c>
      <c r="BB623">
        <f>$C623*BB622</f>
        <v/>
      </c>
      <c r="BC623">
        <f>$C623*BC622</f>
        <v/>
      </c>
      <c r="BD623">
        <f>$C623*BD622</f>
        <v/>
      </c>
      <c r="BE623">
        <f>$C623*BE622</f>
        <v/>
      </c>
      <c r="BF623">
        <f>$C623*BF622</f>
        <v/>
      </c>
      <c r="BG623">
        <f>$C623*BG622</f>
        <v/>
      </c>
      <c r="BH623">
        <f>$C623*BH622</f>
        <v/>
      </c>
      <c r="BI623">
        <f>$C623*BI622</f>
        <v/>
      </c>
      <c r="BJ623">
        <f>$C623*BJ622</f>
        <v/>
      </c>
      <c r="BK623">
        <f>$C623*BK622</f>
        <v/>
      </c>
      <c r="BL623">
        <f>$C623*BL622</f>
        <v/>
      </c>
      <c r="BM623">
        <f>$C623*BM622</f>
        <v/>
      </c>
      <c r="BN623">
        <f>$C623*BN622</f>
        <v/>
      </c>
      <c r="BO623">
        <f>$C623*BO622</f>
        <v/>
      </c>
      <c r="BP623">
        <f>$C623*BP622</f>
        <v/>
      </c>
      <c r="BQ623">
        <f>$C623*BQ622</f>
        <v/>
      </c>
      <c r="BR623">
        <f>$C623*BR622</f>
        <v/>
      </c>
      <c r="BS623">
        <f>$C623*BS622</f>
        <v/>
      </c>
      <c r="BT623">
        <f>$C623*BT622</f>
        <v/>
      </c>
      <c r="BU623">
        <f>$C623*BU622</f>
        <v/>
      </c>
      <c r="BV623">
        <f>$C623*BV622</f>
        <v/>
      </c>
      <c r="BW623">
        <f>$C623*BW622</f>
        <v/>
      </c>
      <c r="BX623">
        <f>$C623*BX622</f>
        <v/>
      </c>
      <c r="BY623">
        <f>$C623*BY622</f>
        <v/>
      </c>
      <c r="BZ623">
        <f>$C623*BZ622</f>
        <v/>
      </c>
      <c r="CA623">
        <f>$C623*CA622</f>
        <v/>
      </c>
      <c r="CB623">
        <f>$C623*CB622</f>
        <v/>
      </c>
      <c r="CC623">
        <f>$C623*CC622</f>
        <v/>
      </c>
      <c r="CD623">
        <f>$C623*CD622</f>
        <v/>
      </c>
      <c r="CE623">
        <f>$C623*CE622</f>
        <v/>
      </c>
      <c r="CF623">
        <f>$C623*CF622</f>
        <v/>
      </c>
      <c r="CG623">
        <f>$C623*CG622</f>
        <v/>
      </c>
      <c r="CH623">
        <f>$C623*CH622</f>
        <v/>
      </c>
      <c r="CI623">
        <f>$C623*CI622</f>
        <v/>
      </c>
      <c r="CJ623">
        <f>$C623*CJ622</f>
        <v/>
      </c>
      <c r="CK623">
        <f>$C623*CK622</f>
        <v/>
      </c>
      <c r="CL623">
        <f>$C623*CL622</f>
        <v/>
      </c>
      <c r="CM623">
        <f>$C623*CM622</f>
        <v/>
      </c>
      <c r="CN623">
        <f>$C623*CN622</f>
        <v/>
      </c>
      <c r="CO623">
        <f>$C623*CO622</f>
        <v/>
      </c>
      <c r="CP623">
        <f>$C623*CP622</f>
        <v/>
      </c>
      <c r="CQ623">
        <f>$C623*CQ622</f>
        <v/>
      </c>
      <c r="CR623">
        <f>$C623*CR622</f>
        <v/>
      </c>
      <c r="CS623">
        <f>$C623*CS622</f>
        <v/>
      </c>
      <c r="CT623">
        <f>$C623*CT622</f>
        <v/>
      </c>
      <c r="CU623">
        <f>$C623*CU622</f>
        <v/>
      </c>
      <c r="CV623">
        <f>$C623*CV622</f>
        <v/>
      </c>
      <c r="CW623">
        <f>$C623*CW622</f>
        <v/>
      </c>
      <c r="CX623">
        <f>$C623*CX622</f>
        <v/>
      </c>
      <c r="CY623">
        <f>$C623*CY622</f>
        <v/>
      </c>
      <c r="CZ623">
        <f>$C623*CZ622</f>
        <v/>
      </c>
      <c r="DA623">
        <f>$C623*DA622</f>
        <v/>
      </c>
      <c r="DB623">
        <f>$C623*DB622</f>
        <v/>
      </c>
      <c r="DC623">
        <f>$C623*DC622</f>
        <v/>
      </c>
    </row>
    <row r="624">
      <c r="B624" t="inlineStr">
        <is>
          <t>TPP-356</t>
        </is>
      </c>
      <c r="C624" t="inlineStr">
        <is>
          <t>No. of batches</t>
        </is>
      </c>
      <c r="D624">
        <f>IFERROR(INDEX(PP_Grid[#Data],$DD624,2),0)</f>
        <v/>
      </c>
      <c r="E624">
        <f>IFERROR(INDEX(PP_Grid[#Data],$DD624,3),0)</f>
        <v/>
      </c>
      <c r="F624">
        <f>IFERROR(INDEX(PP_Grid[#Data],$DD624,4),0)</f>
        <v/>
      </c>
      <c r="G624">
        <f>IFERROR(INDEX(PP_Grid[#Data],$DD624,5),0)</f>
        <v/>
      </c>
      <c r="H624">
        <f>IFERROR(INDEX(PP_Grid[#Data],$DD624,6),0)</f>
        <v/>
      </c>
      <c r="I624">
        <f>IFERROR(INDEX(PP_Grid[#Data],$DD624,7),0)</f>
        <v/>
      </c>
      <c r="J624">
        <f>IFERROR(INDEX(PP_Grid[#Data],$DD624,8),0)</f>
        <v/>
      </c>
      <c r="K624">
        <f>IFERROR(INDEX(PP_Grid[#Data],$DD624,9),0)</f>
        <v/>
      </c>
      <c r="L624">
        <f>IFERROR(INDEX(PP_Grid[#Data],$DD624,10),0)</f>
        <v/>
      </c>
      <c r="M624">
        <f>IFERROR(INDEX(PP_Grid[#Data],$DD624,11),0)</f>
        <v/>
      </c>
      <c r="N624">
        <f>IFERROR(INDEX(PP_Grid[#Data],$DD624,12),0)</f>
        <v/>
      </c>
      <c r="O624">
        <f>IFERROR(INDEX(PP_Grid[#Data],$DD624,13),0)</f>
        <v/>
      </c>
      <c r="P624">
        <f>IFERROR(INDEX(PP_Grid[#Data],$DD624,14),0)</f>
        <v/>
      </c>
      <c r="Q624">
        <f>IFERROR(INDEX(PP_Grid[#Data],$DD624,15),0)</f>
        <v/>
      </c>
      <c r="R624">
        <f>IFERROR(INDEX(PP_Grid[#Data],$DD624,16),0)</f>
        <v/>
      </c>
      <c r="S624">
        <f>IFERROR(INDEX(PP_Grid[#Data],$DD624,17),0)</f>
        <v/>
      </c>
      <c r="T624">
        <f>IFERROR(INDEX(PP_Grid[#Data],$DD624,18),0)</f>
        <v/>
      </c>
      <c r="U624">
        <f>IFERROR(INDEX(PP_Grid[#Data],$DD624,19),0)</f>
        <v/>
      </c>
      <c r="V624">
        <f>IFERROR(INDEX(PP_Grid[#Data],$DD624,20),0)</f>
        <v/>
      </c>
      <c r="W624">
        <f>IFERROR(INDEX(PP_Grid[#Data],$DD624,21),0)</f>
        <v/>
      </c>
      <c r="X624">
        <f>IFERROR(INDEX(PP_Grid[#Data],$DD624,22),0)</f>
        <v/>
      </c>
      <c r="Y624">
        <f>IFERROR(INDEX(PP_Grid[#Data],$DD624,23),0)</f>
        <v/>
      </c>
      <c r="Z624">
        <f>IFERROR(INDEX(PP_Grid[#Data],$DD624,24),0)</f>
        <v/>
      </c>
      <c r="AA624">
        <f>IFERROR(INDEX(PP_Grid[#Data],$DD624,25),0)</f>
        <v/>
      </c>
      <c r="AB624">
        <f>IFERROR(INDEX(PP_Grid[#Data],$DD624,26),0)</f>
        <v/>
      </c>
      <c r="AC624">
        <f>IFERROR(INDEX(PP_Grid[#Data],$DD624,27),0)</f>
        <v/>
      </c>
      <c r="AD624">
        <f>IFERROR(INDEX(PP_Grid[#Data],$DD624,28),0)</f>
        <v/>
      </c>
      <c r="AE624">
        <f>IFERROR(INDEX(PP_Grid[#Data],$DD624,29),0)</f>
        <v/>
      </c>
      <c r="AF624">
        <f>IFERROR(INDEX(PP_Grid[#Data],$DD624,30),0)</f>
        <v/>
      </c>
      <c r="AG624">
        <f>IFERROR(INDEX(PP_Grid[#Data],$DD624,31),0)</f>
        <v/>
      </c>
      <c r="AH624">
        <f>IFERROR(INDEX(PP_Grid[#Data],$DD624,32),0)</f>
        <v/>
      </c>
      <c r="AI624">
        <f>IFERROR(INDEX(PP_Grid[#Data],$DD624,33),0)</f>
        <v/>
      </c>
      <c r="AJ624">
        <f>IFERROR(INDEX(PP_Grid[#Data],$DD624,34),0)</f>
        <v/>
      </c>
      <c r="AK624">
        <f>IFERROR(INDEX(PP_Grid[#Data],$DD624,35),0)</f>
        <v/>
      </c>
      <c r="AL624">
        <f>IFERROR(INDEX(PP_Grid[#Data],$DD624,36),0)</f>
        <v/>
      </c>
      <c r="AM624">
        <f>IFERROR(INDEX(PP_Grid[#Data],$DD624,37),0)</f>
        <v/>
      </c>
      <c r="AN624">
        <f>IFERROR(INDEX(PP_Grid[#Data],$DD624,38),0)</f>
        <v/>
      </c>
      <c r="AO624">
        <f>IFERROR(INDEX(PP_Grid[#Data],$DD624,39),0)</f>
        <v/>
      </c>
      <c r="AP624">
        <f>IFERROR(INDEX(PP_Grid[#Data],$DD624,40),0)</f>
        <v/>
      </c>
      <c r="AQ624">
        <f>IFERROR(INDEX(PP_Grid[#Data],$DD624,41),0)</f>
        <v/>
      </c>
      <c r="AR624">
        <f>IFERROR(INDEX(PP_Grid[#Data],$DD624,42),0)</f>
        <v/>
      </c>
      <c r="AS624">
        <f>IFERROR(INDEX(PP_Grid[#Data],$DD624,43),0)</f>
        <v/>
      </c>
      <c r="AT624">
        <f>IFERROR(INDEX(PP_Grid[#Data],$DD624,44),0)</f>
        <v/>
      </c>
      <c r="AU624">
        <f>IFERROR(INDEX(PP_Grid[#Data],$DD624,45),0)</f>
        <v/>
      </c>
      <c r="AV624">
        <f>IFERROR(INDEX(PP_Grid[#Data],$DD624,46),0)</f>
        <v/>
      </c>
      <c r="AW624">
        <f>IFERROR(INDEX(PP_Grid[#Data],$DD624,47),0)</f>
        <v/>
      </c>
      <c r="AX624">
        <f>IFERROR(INDEX(PP_Grid[#Data],$DD624,48),0)</f>
        <v/>
      </c>
      <c r="AY624">
        <f>IFERROR(INDEX(PP_Grid[#Data],$DD624,49),0)</f>
        <v/>
      </c>
      <c r="AZ624">
        <f>IFERROR(INDEX(PP_Grid[#Data],$DD624,50),0)</f>
        <v/>
      </c>
      <c r="BA624">
        <f>IFERROR(INDEX(PP_Grid[#Data],$DD624,51),0)</f>
        <v/>
      </c>
      <c r="BB624">
        <f>IFERROR(INDEX(PP_Grid[#Data],$DD624,52),0)</f>
        <v/>
      </c>
      <c r="BC624">
        <f>IFERROR(INDEX(PP_Grid[#Data],$DD624,53),0)</f>
        <v/>
      </c>
      <c r="BD624">
        <f>IFERROR(INDEX(PP_Grid[#Data],$DD624,54),0)</f>
        <v/>
      </c>
      <c r="BE624">
        <f>IFERROR(INDEX(PP_Grid[#Data],$DD624,55),0)</f>
        <v/>
      </c>
      <c r="BF624">
        <f>IFERROR(INDEX(PP_Grid[#Data],$DD624,56),0)</f>
        <v/>
      </c>
      <c r="BG624">
        <f>IFERROR(INDEX(PP_Grid[#Data],$DD624,57),0)</f>
        <v/>
      </c>
      <c r="BH624">
        <f>IFERROR(INDEX(PP_Grid[#Data],$DD624,58),0)</f>
        <v/>
      </c>
      <c r="BI624">
        <f>IFERROR(INDEX(PP_Grid[#Data],$DD624,59),0)</f>
        <v/>
      </c>
      <c r="BJ624">
        <f>IFERROR(INDEX(PP_Grid[#Data],$DD624,60),0)</f>
        <v/>
      </c>
      <c r="BK624">
        <f>IFERROR(INDEX(PP_Grid[#Data],$DD624,61),0)</f>
        <v/>
      </c>
      <c r="BL624">
        <f>IFERROR(INDEX(PP_Grid[#Data],$DD624,62),0)</f>
        <v/>
      </c>
      <c r="BM624">
        <f>IFERROR(INDEX(PP_Grid[#Data],$DD624,63),0)</f>
        <v/>
      </c>
      <c r="BN624">
        <f>IFERROR(INDEX(PP_Grid[#Data],$DD624,64),0)</f>
        <v/>
      </c>
      <c r="BO624">
        <f>IFERROR(INDEX(PP_Grid[#Data],$DD624,65),0)</f>
        <v/>
      </c>
      <c r="BP624">
        <f>IFERROR(INDEX(PP_Grid[#Data],$DD624,66),0)</f>
        <v/>
      </c>
      <c r="BQ624">
        <f>IFERROR(INDEX(PP_Grid[#Data],$DD624,67),0)</f>
        <v/>
      </c>
      <c r="BR624">
        <f>IFERROR(INDEX(PP_Grid[#Data],$DD624,68),0)</f>
        <v/>
      </c>
      <c r="BS624">
        <f>IFERROR(INDEX(PP_Grid[#Data],$DD624,69),0)</f>
        <v/>
      </c>
      <c r="BT624">
        <f>IFERROR(INDEX(PP_Grid[#Data],$DD624,70),0)</f>
        <v/>
      </c>
      <c r="BU624">
        <f>IFERROR(INDEX(PP_Grid[#Data],$DD624,71),0)</f>
        <v/>
      </c>
      <c r="BV624">
        <f>IFERROR(INDEX(PP_Grid[#Data],$DD624,72),0)</f>
        <v/>
      </c>
      <c r="BW624">
        <f>IFERROR(INDEX(PP_Grid[#Data],$DD624,73),0)</f>
        <v/>
      </c>
      <c r="BX624">
        <f>IFERROR(INDEX(PP_Grid[#Data],$DD624,74),0)</f>
        <v/>
      </c>
      <c r="BY624">
        <f>IFERROR(INDEX(PP_Grid[#Data],$DD624,75),0)</f>
        <v/>
      </c>
      <c r="BZ624">
        <f>IFERROR(INDEX(PP_Grid[#Data],$DD624,76),0)</f>
        <v/>
      </c>
      <c r="CA624">
        <f>IFERROR(INDEX(PP_Grid[#Data],$DD624,77),0)</f>
        <v/>
      </c>
      <c r="CB624">
        <f>IFERROR(INDEX(PP_Grid[#Data],$DD624,78),0)</f>
        <v/>
      </c>
      <c r="CC624">
        <f>IFERROR(INDEX(PP_Grid[#Data],$DD624,79),0)</f>
        <v/>
      </c>
      <c r="CD624">
        <f>IFERROR(INDEX(PP_Grid[#Data],$DD624,80),0)</f>
        <v/>
      </c>
      <c r="CE624">
        <f>IFERROR(INDEX(PP_Grid[#Data],$DD624,81),0)</f>
        <v/>
      </c>
      <c r="CF624">
        <f>IFERROR(INDEX(PP_Grid[#Data],$DD624,82),0)</f>
        <v/>
      </c>
      <c r="CG624">
        <f>IFERROR(INDEX(PP_Grid[#Data],$DD624,83),0)</f>
        <v/>
      </c>
      <c r="CH624">
        <f>IFERROR(INDEX(PP_Grid[#Data],$DD624,84),0)</f>
        <v/>
      </c>
      <c r="CI624">
        <f>IFERROR(INDEX(PP_Grid[#Data],$DD624,85),0)</f>
        <v/>
      </c>
      <c r="CJ624">
        <f>IFERROR(INDEX(PP_Grid[#Data],$DD624,86),0)</f>
        <v/>
      </c>
      <c r="CK624">
        <f>IFERROR(INDEX(PP_Grid[#Data],$DD624,87),0)</f>
        <v/>
      </c>
      <c r="CL624">
        <f>IFERROR(INDEX(PP_Grid[#Data],$DD624,88),0)</f>
        <v/>
      </c>
      <c r="CM624">
        <f>IFERROR(INDEX(PP_Grid[#Data],$DD624,89),0)</f>
        <v/>
      </c>
      <c r="CN624">
        <f>IFERROR(INDEX(PP_Grid[#Data],$DD624,90),0)</f>
        <v/>
      </c>
      <c r="CO624">
        <f>IFERROR(INDEX(PP_Grid[#Data],$DD624,91),0)</f>
        <v/>
      </c>
      <c r="CP624">
        <f>IFERROR(INDEX(PP_Grid[#Data],$DD624,92),0)</f>
        <v/>
      </c>
      <c r="CQ624">
        <f>IFERROR(INDEX(PP_Grid[#Data],$DD624,93),0)</f>
        <v/>
      </c>
      <c r="CR624">
        <f>IFERROR(INDEX(PP_Grid[#Data],$DD624,94),0)</f>
        <v/>
      </c>
      <c r="CS624">
        <f>IFERROR(INDEX(PP_Grid[#Data],$DD624,95),0)</f>
        <v/>
      </c>
      <c r="CT624">
        <f>IFERROR(INDEX(PP_Grid[#Data],$DD624,96),0)</f>
        <v/>
      </c>
      <c r="CU624">
        <f>IFERROR(INDEX(PP_Grid[#Data],$DD624,97),0)</f>
        <v/>
      </c>
      <c r="CV624">
        <f>IFERROR(INDEX(PP_Grid[#Data],$DD624,98),0)</f>
        <v/>
      </c>
      <c r="CW624">
        <f>IFERROR(INDEX(PP_Grid[#Data],$DD624,99),0)</f>
        <v/>
      </c>
      <c r="CX624">
        <f>IFERROR(INDEX(PP_Grid[#Data],$DD624,100),0)</f>
        <v/>
      </c>
      <c r="CY624">
        <f>IFERROR(INDEX(PP_Grid[#Data],$DD624,101),0)</f>
        <v/>
      </c>
      <c r="CZ624">
        <f>IFERROR(INDEX(PP_Grid[#Data],$DD624,102),0)</f>
        <v/>
      </c>
      <c r="DA624">
        <f>IFERROR(INDEX(PP_Grid[#Data],$DD624,103),0)</f>
        <v/>
      </c>
      <c r="DB624">
        <f>IFERROR(INDEX(PP_Grid[#Data],$DD624,104),0)</f>
        <v/>
      </c>
      <c r="DC624">
        <f>IFERROR(INDEX(PP_Grid[#Data],$DD624,105),0)</f>
        <v/>
      </c>
      <c r="DD624" s="7">
        <f>IFERROR(MATCH($B624,PP_Grid[Intermediate],0),99999)</f>
        <v/>
      </c>
    </row>
    <row r="625">
      <c r="B625" t="inlineStr">
        <is>
          <t>使用量(kg)</t>
        </is>
      </c>
      <c r="C625">
        <f>SUMIFS(M_BOM[RM_Qty_Per_Batch],M_BOM[Intermediate],$B624,M_BOM[Part Name],$A589)</f>
        <v/>
      </c>
      <c r="D625">
        <f>$C625*D624</f>
        <v/>
      </c>
      <c r="E625">
        <f>$C625*E624</f>
        <v/>
      </c>
      <c r="F625">
        <f>$C625*F624</f>
        <v/>
      </c>
      <c r="G625">
        <f>$C625*G624</f>
        <v/>
      </c>
      <c r="H625">
        <f>$C625*H624</f>
        <v/>
      </c>
      <c r="I625">
        <f>$C625*I624</f>
        <v/>
      </c>
      <c r="J625">
        <f>$C625*J624</f>
        <v/>
      </c>
      <c r="K625">
        <f>$C625*K624</f>
        <v/>
      </c>
      <c r="L625">
        <f>$C625*L624</f>
        <v/>
      </c>
      <c r="M625">
        <f>$C625*M624</f>
        <v/>
      </c>
      <c r="N625">
        <f>$C625*N624</f>
        <v/>
      </c>
      <c r="O625">
        <f>$C625*O624</f>
        <v/>
      </c>
      <c r="P625">
        <f>$C625*P624</f>
        <v/>
      </c>
      <c r="Q625">
        <f>$C625*Q624</f>
        <v/>
      </c>
      <c r="R625">
        <f>$C625*R624</f>
        <v/>
      </c>
      <c r="S625">
        <f>$C625*S624</f>
        <v/>
      </c>
      <c r="T625">
        <f>$C625*T624</f>
        <v/>
      </c>
      <c r="U625">
        <f>$C625*U624</f>
        <v/>
      </c>
      <c r="V625">
        <f>$C625*V624</f>
        <v/>
      </c>
      <c r="W625">
        <f>$C625*W624</f>
        <v/>
      </c>
      <c r="X625">
        <f>$C625*X624</f>
        <v/>
      </c>
      <c r="Y625">
        <f>$C625*Y624</f>
        <v/>
      </c>
      <c r="Z625">
        <f>$C625*Z624</f>
        <v/>
      </c>
      <c r="AA625">
        <f>$C625*AA624</f>
        <v/>
      </c>
      <c r="AB625">
        <f>$C625*AB624</f>
        <v/>
      </c>
      <c r="AC625">
        <f>$C625*AC624</f>
        <v/>
      </c>
      <c r="AD625">
        <f>$C625*AD624</f>
        <v/>
      </c>
      <c r="AE625">
        <f>$C625*AE624</f>
        <v/>
      </c>
      <c r="AF625">
        <f>$C625*AF624</f>
        <v/>
      </c>
      <c r="AG625">
        <f>$C625*AG624</f>
        <v/>
      </c>
      <c r="AH625">
        <f>$C625*AH624</f>
        <v/>
      </c>
      <c r="AI625">
        <f>$C625*AI624</f>
        <v/>
      </c>
      <c r="AJ625">
        <f>$C625*AJ624</f>
        <v/>
      </c>
      <c r="AK625">
        <f>$C625*AK624</f>
        <v/>
      </c>
      <c r="AL625">
        <f>$C625*AL624</f>
        <v/>
      </c>
      <c r="AM625">
        <f>$C625*AM624</f>
        <v/>
      </c>
      <c r="AN625">
        <f>$C625*AN624</f>
        <v/>
      </c>
      <c r="AO625">
        <f>$C625*AO624</f>
        <v/>
      </c>
      <c r="AP625">
        <f>$C625*AP624</f>
        <v/>
      </c>
      <c r="AQ625">
        <f>$C625*AQ624</f>
        <v/>
      </c>
      <c r="AR625">
        <f>$C625*AR624</f>
        <v/>
      </c>
      <c r="AS625">
        <f>$C625*AS624</f>
        <v/>
      </c>
      <c r="AT625">
        <f>$C625*AT624</f>
        <v/>
      </c>
      <c r="AU625">
        <f>$C625*AU624</f>
        <v/>
      </c>
      <c r="AV625">
        <f>$C625*AV624</f>
        <v/>
      </c>
      <c r="AW625">
        <f>$C625*AW624</f>
        <v/>
      </c>
      <c r="AX625">
        <f>$C625*AX624</f>
        <v/>
      </c>
      <c r="AY625">
        <f>$C625*AY624</f>
        <v/>
      </c>
      <c r="AZ625">
        <f>$C625*AZ624</f>
        <v/>
      </c>
      <c r="BA625">
        <f>$C625*BA624</f>
        <v/>
      </c>
      <c r="BB625">
        <f>$C625*BB624</f>
        <v/>
      </c>
      <c r="BC625">
        <f>$C625*BC624</f>
        <v/>
      </c>
      <c r="BD625">
        <f>$C625*BD624</f>
        <v/>
      </c>
      <c r="BE625">
        <f>$C625*BE624</f>
        <v/>
      </c>
      <c r="BF625">
        <f>$C625*BF624</f>
        <v/>
      </c>
      <c r="BG625">
        <f>$C625*BG624</f>
        <v/>
      </c>
      <c r="BH625">
        <f>$C625*BH624</f>
        <v/>
      </c>
      <c r="BI625">
        <f>$C625*BI624</f>
        <v/>
      </c>
      <c r="BJ625">
        <f>$C625*BJ624</f>
        <v/>
      </c>
      <c r="BK625">
        <f>$C625*BK624</f>
        <v/>
      </c>
      <c r="BL625">
        <f>$C625*BL624</f>
        <v/>
      </c>
      <c r="BM625">
        <f>$C625*BM624</f>
        <v/>
      </c>
      <c r="BN625">
        <f>$C625*BN624</f>
        <v/>
      </c>
      <c r="BO625">
        <f>$C625*BO624</f>
        <v/>
      </c>
      <c r="BP625">
        <f>$C625*BP624</f>
        <v/>
      </c>
      <c r="BQ625">
        <f>$C625*BQ624</f>
        <v/>
      </c>
      <c r="BR625">
        <f>$C625*BR624</f>
        <v/>
      </c>
      <c r="BS625">
        <f>$C625*BS624</f>
        <v/>
      </c>
      <c r="BT625">
        <f>$C625*BT624</f>
        <v/>
      </c>
      <c r="BU625">
        <f>$C625*BU624</f>
        <v/>
      </c>
      <c r="BV625">
        <f>$C625*BV624</f>
        <v/>
      </c>
      <c r="BW625">
        <f>$C625*BW624</f>
        <v/>
      </c>
      <c r="BX625">
        <f>$C625*BX624</f>
        <v/>
      </c>
      <c r="BY625">
        <f>$C625*BY624</f>
        <v/>
      </c>
      <c r="BZ625">
        <f>$C625*BZ624</f>
        <v/>
      </c>
      <c r="CA625">
        <f>$C625*CA624</f>
        <v/>
      </c>
      <c r="CB625">
        <f>$C625*CB624</f>
        <v/>
      </c>
      <c r="CC625">
        <f>$C625*CC624</f>
        <v/>
      </c>
      <c r="CD625">
        <f>$C625*CD624</f>
        <v/>
      </c>
      <c r="CE625">
        <f>$C625*CE624</f>
        <v/>
      </c>
      <c r="CF625">
        <f>$C625*CF624</f>
        <v/>
      </c>
      <c r="CG625">
        <f>$C625*CG624</f>
        <v/>
      </c>
      <c r="CH625">
        <f>$C625*CH624</f>
        <v/>
      </c>
      <c r="CI625">
        <f>$C625*CI624</f>
        <v/>
      </c>
      <c r="CJ625">
        <f>$C625*CJ624</f>
        <v/>
      </c>
      <c r="CK625">
        <f>$C625*CK624</f>
        <v/>
      </c>
      <c r="CL625">
        <f>$C625*CL624</f>
        <v/>
      </c>
      <c r="CM625">
        <f>$C625*CM624</f>
        <v/>
      </c>
      <c r="CN625">
        <f>$C625*CN624</f>
        <v/>
      </c>
      <c r="CO625">
        <f>$C625*CO624</f>
        <v/>
      </c>
      <c r="CP625">
        <f>$C625*CP624</f>
        <v/>
      </c>
      <c r="CQ625">
        <f>$C625*CQ624</f>
        <v/>
      </c>
      <c r="CR625">
        <f>$C625*CR624</f>
        <v/>
      </c>
      <c r="CS625">
        <f>$C625*CS624</f>
        <v/>
      </c>
      <c r="CT625">
        <f>$C625*CT624</f>
        <v/>
      </c>
      <c r="CU625">
        <f>$C625*CU624</f>
        <v/>
      </c>
      <c r="CV625">
        <f>$C625*CV624</f>
        <v/>
      </c>
      <c r="CW625">
        <f>$C625*CW624</f>
        <v/>
      </c>
      <c r="CX625">
        <f>$C625*CX624</f>
        <v/>
      </c>
      <c r="CY625">
        <f>$C625*CY624</f>
        <v/>
      </c>
      <c r="CZ625">
        <f>$C625*CZ624</f>
        <v/>
      </c>
      <c r="DA625">
        <f>$C625*DA624</f>
        <v/>
      </c>
      <c r="DB625">
        <f>$C625*DB624</f>
        <v/>
      </c>
      <c r="DC625">
        <f>$C625*DC624</f>
        <v/>
      </c>
    </row>
    <row r="626">
      <c r="B626" t="inlineStr">
        <is>
          <t>TPP-704</t>
        </is>
      </c>
      <c r="C626" t="inlineStr">
        <is>
          <t>No. of batches</t>
        </is>
      </c>
      <c r="D626">
        <f>IFERROR(INDEX(PP_Grid[#Data],$DD626,2),0)</f>
        <v/>
      </c>
      <c r="E626">
        <f>IFERROR(INDEX(PP_Grid[#Data],$DD626,3),0)</f>
        <v/>
      </c>
      <c r="F626">
        <f>IFERROR(INDEX(PP_Grid[#Data],$DD626,4),0)</f>
        <v/>
      </c>
      <c r="G626">
        <f>IFERROR(INDEX(PP_Grid[#Data],$DD626,5),0)</f>
        <v/>
      </c>
      <c r="H626">
        <f>IFERROR(INDEX(PP_Grid[#Data],$DD626,6),0)</f>
        <v/>
      </c>
      <c r="I626">
        <f>IFERROR(INDEX(PP_Grid[#Data],$DD626,7),0)</f>
        <v/>
      </c>
      <c r="J626">
        <f>IFERROR(INDEX(PP_Grid[#Data],$DD626,8),0)</f>
        <v/>
      </c>
      <c r="K626">
        <f>IFERROR(INDEX(PP_Grid[#Data],$DD626,9),0)</f>
        <v/>
      </c>
      <c r="L626">
        <f>IFERROR(INDEX(PP_Grid[#Data],$DD626,10),0)</f>
        <v/>
      </c>
      <c r="M626">
        <f>IFERROR(INDEX(PP_Grid[#Data],$DD626,11),0)</f>
        <v/>
      </c>
      <c r="N626">
        <f>IFERROR(INDEX(PP_Grid[#Data],$DD626,12),0)</f>
        <v/>
      </c>
      <c r="O626">
        <f>IFERROR(INDEX(PP_Grid[#Data],$DD626,13),0)</f>
        <v/>
      </c>
      <c r="P626">
        <f>IFERROR(INDEX(PP_Grid[#Data],$DD626,14),0)</f>
        <v/>
      </c>
      <c r="Q626">
        <f>IFERROR(INDEX(PP_Grid[#Data],$DD626,15),0)</f>
        <v/>
      </c>
      <c r="R626">
        <f>IFERROR(INDEX(PP_Grid[#Data],$DD626,16),0)</f>
        <v/>
      </c>
      <c r="S626">
        <f>IFERROR(INDEX(PP_Grid[#Data],$DD626,17),0)</f>
        <v/>
      </c>
      <c r="T626">
        <f>IFERROR(INDEX(PP_Grid[#Data],$DD626,18),0)</f>
        <v/>
      </c>
      <c r="U626">
        <f>IFERROR(INDEX(PP_Grid[#Data],$DD626,19),0)</f>
        <v/>
      </c>
      <c r="V626">
        <f>IFERROR(INDEX(PP_Grid[#Data],$DD626,20),0)</f>
        <v/>
      </c>
      <c r="W626">
        <f>IFERROR(INDEX(PP_Grid[#Data],$DD626,21),0)</f>
        <v/>
      </c>
      <c r="X626">
        <f>IFERROR(INDEX(PP_Grid[#Data],$DD626,22),0)</f>
        <v/>
      </c>
      <c r="Y626">
        <f>IFERROR(INDEX(PP_Grid[#Data],$DD626,23),0)</f>
        <v/>
      </c>
      <c r="Z626">
        <f>IFERROR(INDEX(PP_Grid[#Data],$DD626,24),0)</f>
        <v/>
      </c>
      <c r="AA626">
        <f>IFERROR(INDEX(PP_Grid[#Data],$DD626,25),0)</f>
        <v/>
      </c>
      <c r="AB626">
        <f>IFERROR(INDEX(PP_Grid[#Data],$DD626,26),0)</f>
        <v/>
      </c>
      <c r="AC626">
        <f>IFERROR(INDEX(PP_Grid[#Data],$DD626,27),0)</f>
        <v/>
      </c>
      <c r="AD626">
        <f>IFERROR(INDEX(PP_Grid[#Data],$DD626,28),0)</f>
        <v/>
      </c>
      <c r="AE626">
        <f>IFERROR(INDEX(PP_Grid[#Data],$DD626,29),0)</f>
        <v/>
      </c>
      <c r="AF626">
        <f>IFERROR(INDEX(PP_Grid[#Data],$DD626,30),0)</f>
        <v/>
      </c>
      <c r="AG626">
        <f>IFERROR(INDEX(PP_Grid[#Data],$DD626,31),0)</f>
        <v/>
      </c>
      <c r="AH626">
        <f>IFERROR(INDEX(PP_Grid[#Data],$DD626,32),0)</f>
        <v/>
      </c>
      <c r="AI626">
        <f>IFERROR(INDEX(PP_Grid[#Data],$DD626,33),0)</f>
        <v/>
      </c>
      <c r="AJ626">
        <f>IFERROR(INDEX(PP_Grid[#Data],$DD626,34),0)</f>
        <v/>
      </c>
      <c r="AK626">
        <f>IFERROR(INDEX(PP_Grid[#Data],$DD626,35),0)</f>
        <v/>
      </c>
      <c r="AL626">
        <f>IFERROR(INDEX(PP_Grid[#Data],$DD626,36),0)</f>
        <v/>
      </c>
      <c r="AM626">
        <f>IFERROR(INDEX(PP_Grid[#Data],$DD626,37),0)</f>
        <v/>
      </c>
      <c r="AN626">
        <f>IFERROR(INDEX(PP_Grid[#Data],$DD626,38),0)</f>
        <v/>
      </c>
      <c r="AO626">
        <f>IFERROR(INDEX(PP_Grid[#Data],$DD626,39),0)</f>
        <v/>
      </c>
      <c r="AP626">
        <f>IFERROR(INDEX(PP_Grid[#Data],$DD626,40),0)</f>
        <v/>
      </c>
      <c r="AQ626">
        <f>IFERROR(INDEX(PP_Grid[#Data],$DD626,41),0)</f>
        <v/>
      </c>
      <c r="AR626">
        <f>IFERROR(INDEX(PP_Grid[#Data],$DD626,42),0)</f>
        <v/>
      </c>
      <c r="AS626">
        <f>IFERROR(INDEX(PP_Grid[#Data],$DD626,43),0)</f>
        <v/>
      </c>
      <c r="AT626">
        <f>IFERROR(INDEX(PP_Grid[#Data],$DD626,44),0)</f>
        <v/>
      </c>
      <c r="AU626">
        <f>IFERROR(INDEX(PP_Grid[#Data],$DD626,45),0)</f>
        <v/>
      </c>
      <c r="AV626">
        <f>IFERROR(INDEX(PP_Grid[#Data],$DD626,46),0)</f>
        <v/>
      </c>
      <c r="AW626">
        <f>IFERROR(INDEX(PP_Grid[#Data],$DD626,47),0)</f>
        <v/>
      </c>
      <c r="AX626">
        <f>IFERROR(INDEX(PP_Grid[#Data],$DD626,48),0)</f>
        <v/>
      </c>
      <c r="AY626">
        <f>IFERROR(INDEX(PP_Grid[#Data],$DD626,49),0)</f>
        <v/>
      </c>
      <c r="AZ626">
        <f>IFERROR(INDEX(PP_Grid[#Data],$DD626,50),0)</f>
        <v/>
      </c>
      <c r="BA626">
        <f>IFERROR(INDEX(PP_Grid[#Data],$DD626,51),0)</f>
        <v/>
      </c>
      <c r="BB626">
        <f>IFERROR(INDEX(PP_Grid[#Data],$DD626,52),0)</f>
        <v/>
      </c>
      <c r="BC626">
        <f>IFERROR(INDEX(PP_Grid[#Data],$DD626,53),0)</f>
        <v/>
      </c>
      <c r="BD626">
        <f>IFERROR(INDEX(PP_Grid[#Data],$DD626,54),0)</f>
        <v/>
      </c>
      <c r="BE626">
        <f>IFERROR(INDEX(PP_Grid[#Data],$DD626,55),0)</f>
        <v/>
      </c>
      <c r="BF626">
        <f>IFERROR(INDEX(PP_Grid[#Data],$DD626,56),0)</f>
        <v/>
      </c>
      <c r="BG626">
        <f>IFERROR(INDEX(PP_Grid[#Data],$DD626,57),0)</f>
        <v/>
      </c>
      <c r="BH626">
        <f>IFERROR(INDEX(PP_Grid[#Data],$DD626,58),0)</f>
        <v/>
      </c>
      <c r="BI626">
        <f>IFERROR(INDEX(PP_Grid[#Data],$DD626,59),0)</f>
        <v/>
      </c>
      <c r="BJ626">
        <f>IFERROR(INDEX(PP_Grid[#Data],$DD626,60),0)</f>
        <v/>
      </c>
      <c r="BK626">
        <f>IFERROR(INDEX(PP_Grid[#Data],$DD626,61),0)</f>
        <v/>
      </c>
      <c r="BL626">
        <f>IFERROR(INDEX(PP_Grid[#Data],$DD626,62),0)</f>
        <v/>
      </c>
      <c r="BM626">
        <f>IFERROR(INDEX(PP_Grid[#Data],$DD626,63),0)</f>
        <v/>
      </c>
      <c r="BN626">
        <f>IFERROR(INDEX(PP_Grid[#Data],$DD626,64),0)</f>
        <v/>
      </c>
      <c r="BO626">
        <f>IFERROR(INDEX(PP_Grid[#Data],$DD626,65),0)</f>
        <v/>
      </c>
      <c r="BP626">
        <f>IFERROR(INDEX(PP_Grid[#Data],$DD626,66),0)</f>
        <v/>
      </c>
      <c r="BQ626">
        <f>IFERROR(INDEX(PP_Grid[#Data],$DD626,67),0)</f>
        <v/>
      </c>
      <c r="BR626">
        <f>IFERROR(INDEX(PP_Grid[#Data],$DD626,68),0)</f>
        <v/>
      </c>
      <c r="BS626">
        <f>IFERROR(INDEX(PP_Grid[#Data],$DD626,69),0)</f>
        <v/>
      </c>
      <c r="BT626">
        <f>IFERROR(INDEX(PP_Grid[#Data],$DD626,70),0)</f>
        <v/>
      </c>
      <c r="BU626">
        <f>IFERROR(INDEX(PP_Grid[#Data],$DD626,71),0)</f>
        <v/>
      </c>
      <c r="BV626">
        <f>IFERROR(INDEX(PP_Grid[#Data],$DD626,72),0)</f>
        <v/>
      </c>
      <c r="BW626">
        <f>IFERROR(INDEX(PP_Grid[#Data],$DD626,73),0)</f>
        <v/>
      </c>
      <c r="BX626">
        <f>IFERROR(INDEX(PP_Grid[#Data],$DD626,74),0)</f>
        <v/>
      </c>
      <c r="BY626">
        <f>IFERROR(INDEX(PP_Grid[#Data],$DD626,75),0)</f>
        <v/>
      </c>
      <c r="BZ626">
        <f>IFERROR(INDEX(PP_Grid[#Data],$DD626,76),0)</f>
        <v/>
      </c>
      <c r="CA626">
        <f>IFERROR(INDEX(PP_Grid[#Data],$DD626,77),0)</f>
        <v/>
      </c>
      <c r="CB626">
        <f>IFERROR(INDEX(PP_Grid[#Data],$DD626,78),0)</f>
        <v/>
      </c>
      <c r="CC626">
        <f>IFERROR(INDEX(PP_Grid[#Data],$DD626,79),0)</f>
        <v/>
      </c>
      <c r="CD626">
        <f>IFERROR(INDEX(PP_Grid[#Data],$DD626,80),0)</f>
        <v/>
      </c>
      <c r="CE626">
        <f>IFERROR(INDEX(PP_Grid[#Data],$DD626,81),0)</f>
        <v/>
      </c>
      <c r="CF626">
        <f>IFERROR(INDEX(PP_Grid[#Data],$DD626,82),0)</f>
        <v/>
      </c>
      <c r="CG626">
        <f>IFERROR(INDEX(PP_Grid[#Data],$DD626,83),0)</f>
        <v/>
      </c>
      <c r="CH626">
        <f>IFERROR(INDEX(PP_Grid[#Data],$DD626,84),0)</f>
        <v/>
      </c>
      <c r="CI626">
        <f>IFERROR(INDEX(PP_Grid[#Data],$DD626,85),0)</f>
        <v/>
      </c>
      <c r="CJ626">
        <f>IFERROR(INDEX(PP_Grid[#Data],$DD626,86),0)</f>
        <v/>
      </c>
      <c r="CK626">
        <f>IFERROR(INDEX(PP_Grid[#Data],$DD626,87),0)</f>
        <v/>
      </c>
      <c r="CL626">
        <f>IFERROR(INDEX(PP_Grid[#Data],$DD626,88),0)</f>
        <v/>
      </c>
      <c r="CM626">
        <f>IFERROR(INDEX(PP_Grid[#Data],$DD626,89),0)</f>
        <v/>
      </c>
      <c r="CN626">
        <f>IFERROR(INDEX(PP_Grid[#Data],$DD626,90),0)</f>
        <v/>
      </c>
      <c r="CO626">
        <f>IFERROR(INDEX(PP_Grid[#Data],$DD626,91),0)</f>
        <v/>
      </c>
      <c r="CP626">
        <f>IFERROR(INDEX(PP_Grid[#Data],$DD626,92),0)</f>
        <v/>
      </c>
      <c r="CQ626">
        <f>IFERROR(INDEX(PP_Grid[#Data],$DD626,93),0)</f>
        <v/>
      </c>
      <c r="CR626">
        <f>IFERROR(INDEX(PP_Grid[#Data],$DD626,94),0)</f>
        <v/>
      </c>
      <c r="CS626">
        <f>IFERROR(INDEX(PP_Grid[#Data],$DD626,95),0)</f>
        <v/>
      </c>
      <c r="CT626">
        <f>IFERROR(INDEX(PP_Grid[#Data],$DD626,96),0)</f>
        <v/>
      </c>
      <c r="CU626">
        <f>IFERROR(INDEX(PP_Grid[#Data],$DD626,97),0)</f>
        <v/>
      </c>
      <c r="CV626">
        <f>IFERROR(INDEX(PP_Grid[#Data],$DD626,98),0)</f>
        <v/>
      </c>
      <c r="CW626">
        <f>IFERROR(INDEX(PP_Grid[#Data],$DD626,99),0)</f>
        <v/>
      </c>
      <c r="CX626">
        <f>IFERROR(INDEX(PP_Grid[#Data],$DD626,100),0)</f>
        <v/>
      </c>
      <c r="CY626">
        <f>IFERROR(INDEX(PP_Grid[#Data],$DD626,101),0)</f>
        <v/>
      </c>
      <c r="CZ626">
        <f>IFERROR(INDEX(PP_Grid[#Data],$DD626,102),0)</f>
        <v/>
      </c>
      <c r="DA626">
        <f>IFERROR(INDEX(PP_Grid[#Data],$DD626,103),0)</f>
        <v/>
      </c>
      <c r="DB626">
        <f>IFERROR(INDEX(PP_Grid[#Data],$DD626,104),0)</f>
        <v/>
      </c>
      <c r="DC626">
        <f>IFERROR(INDEX(PP_Grid[#Data],$DD626,105),0)</f>
        <v/>
      </c>
      <c r="DD626" s="7">
        <f>IFERROR(MATCH($B626,PP_Grid[Intermediate],0),99999)</f>
        <v/>
      </c>
    </row>
    <row r="627">
      <c r="B627" t="inlineStr">
        <is>
          <t>使用量(kg)</t>
        </is>
      </c>
      <c r="C627">
        <f>SUMIFS(M_BOM[RM_Qty_Per_Batch],M_BOM[Intermediate],$B626,M_BOM[Part Name],$A589)</f>
        <v/>
      </c>
      <c r="D627">
        <f>$C627*D626</f>
        <v/>
      </c>
      <c r="E627">
        <f>$C627*E626</f>
        <v/>
      </c>
      <c r="F627">
        <f>$C627*F626</f>
        <v/>
      </c>
      <c r="G627">
        <f>$C627*G626</f>
        <v/>
      </c>
      <c r="H627">
        <f>$C627*H626</f>
        <v/>
      </c>
      <c r="I627">
        <f>$C627*I626</f>
        <v/>
      </c>
      <c r="J627">
        <f>$C627*J626</f>
        <v/>
      </c>
      <c r="K627">
        <f>$C627*K626</f>
        <v/>
      </c>
      <c r="L627">
        <f>$C627*L626</f>
        <v/>
      </c>
      <c r="M627">
        <f>$C627*M626</f>
        <v/>
      </c>
      <c r="N627">
        <f>$C627*N626</f>
        <v/>
      </c>
      <c r="O627">
        <f>$C627*O626</f>
        <v/>
      </c>
      <c r="P627">
        <f>$C627*P626</f>
        <v/>
      </c>
      <c r="Q627">
        <f>$C627*Q626</f>
        <v/>
      </c>
      <c r="R627">
        <f>$C627*R626</f>
        <v/>
      </c>
      <c r="S627">
        <f>$C627*S626</f>
        <v/>
      </c>
      <c r="T627">
        <f>$C627*T626</f>
        <v/>
      </c>
      <c r="U627">
        <f>$C627*U626</f>
        <v/>
      </c>
      <c r="V627">
        <f>$C627*V626</f>
        <v/>
      </c>
      <c r="W627">
        <f>$C627*W626</f>
        <v/>
      </c>
      <c r="X627">
        <f>$C627*X626</f>
        <v/>
      </c>
      <c r="Y627">
        <f>$C627*Y626</f>
        <v/>
      </c>
      <c r="Z627">
        <f>$C627*Z626</f>
        <v/>
      </c>
      <c r="AA627">
        <f>$C627*AA626</f>
        <v/>
      </c>
      <c r="AB627">
        <f>$C627*AB626</f>
        <v/>
      </c>
      <c r="AC627">
        <f>$C627*AC626</f>
        <v/>
      </c>
      <c r="AD627">
        <f>$C627*AD626</f>
        <v/>
      </c>
      <c r="AE627">
        <f>$C627*AE626</f>
        <v/>
      </c>
      <c r="AF627">
        <f>$C627*AF626</f>
        <v/>
      </c>
      <c r="AG627">
        <f>$C627*AG626</f>
        <v/>
      </c>
      <c r="AH627">
        <f>$C627*AH626</f>
        <v/>
      </c>
      <c r="AI627">
        <f>$C627*AI626</f>
        <v/>
      </c>
      <c r="AJ627">
        <f>$C627*AJ626</f>
        <v/>
      </c>
      <c r="AK627">
        <f>$C627*AK626</f>
        <v/>
      </c>
      <c r="AL627">
        <f>$C627*AL626</f>
        <v/>
      </c>
      <c r="AM627">
        <f>$C627*AM626</f>
        <v/>
      </c>
      <c r="AN627">
        <f>$C627*AN626</f>
        <v/>
      </c>
      <c r="AO627">
        <f>$C627*AO626</f>
        <v/>
      </c>
      <c r="AP627">
        <f>$C627*AP626</f>
        <v/>
      </c>
      <c r="AQ627">
        <f>$C627*AQ626</f>
        <v/>
      </c>
      <c r="AR627">
        <f>$C627*AR626</f>
        <v/>
      </c>
      <c r="AS627">
        <f>$C627*AS626</f>
        <v/>
      </c>
      <c r="AT627">
        <f>$C627*AT626</f>
        <v/>
      </c>
      <c r="AU627">
        <f>$C627*AU626</f>
        <v/>
      </c>
      <c r="AV627">
        <f>$C627*AV626</f>
        <v/>
      </c>
      <c r="AW627">
        <f>$C627*AW626</f>
        <v/>
      </c>
      <c r="AX627">
        <f>$C627*AX626</f>
        <v/>
      </c>
      <c r="AY627">
        <f>$C627*AY626</f>
        <v/>
      </c>
      <c r="AZ627">
        <f>$C627*AZ626</f>
        <v/>
      </c>
      <c r="BA627">
        <f>$C627*BA626</f>
        <v/>
      </c>
      <c r="BB627">
        <f>$C627*BB626</f>
        <v/>
      </c>
      <c r="BC627">
        <f>$C627*BC626</f>
        <v/>
      </c>
      <c r="BD627">
        <f>$C627*BD626</f>
        <v/>
      </c>
      <c r="BE627">
        <f>$C627*BE626</f>
        <v/>
      </c>
      <c r="BF627">
        <f>$C627*BF626</f>
        <v/>
      </c>
      <c r="BG627">
        <f>$C627*BG626</f>
        <v/>
      </c>
      <c r="BH627">
        <f>$C627*BH626</f>
        <v/>
      </c>
      <c r="BI627">
        <f>$C627*BI626</f>
        <v/>
      </c>
      <c r="BJ627">
        <f>$C627*BJ626</f>
        <v/>
      </c>
      <c r="BK627">
        <f>$C627*BK626</f>
        <v/>
      </c>
      <c r="BL627">
        <f>$C627*BL626</f>
        <v/>
      </c>
      <c r="BM627">
        <f>$C627*BM626</f>
        <v/>
      </c>
      <c r="BN627">
        <f>$C627*BN626</f>
        <v/>
      </c>
      <c r="BO627">
        <f>$C627*BO626</f>
        <v/>
      </c>
      <c r="BP627">
        <f>$C627*BP626</f>
        <v/>
      </c>
      <c r="BQ627">
        <f>$C627*BQ626</f>
        <v/>
      </c>
      <c r="BR627">
        <f>$C627*BR626</f>
        <v/>
      </c>
      <c r="BS627">
        <f>$C627*BS626</f>
        <v/>
      </c>
      <c r="BT627">
        <f>$C627*BT626</f>
        <v/>
      </c>
      <c r="BU627">
        <f>$C627*BU626</f>
        <v/>
      </c>
      <c r="BV627">
        <f>$C627*BV626</f>
        <v/>
      </c>
      <c r="BW627">
        <f>$C627*BW626</f>
        <v/>
      </c>
      <c r="BX627">
        <f>$C627*BX626</f>
        <v/>
      </c>
      <c r="BY627">
        <f>$C627*BY626</f>
        <v/>
      </c>
      <c r="BZ627">
        <f>$C627*BZ626</f>
        <v/>
      </c>
      <c r="CA627">
        <f>$C627*CA626</f>
        <v/>
      </c>
      <c r="CB627">
        <f>$C627*CB626</f>
        <v/>
      </c>
      <c r="CC627">
        <f>$C627*CC626</f>
        <v/>
      </c>
      <c r="CD627">
        <f>$C627*CD626</f>
        <v/>
      </c>
      <c r="CE627">
        <f>$C627*CE626</f>
        <v/>
      </c>
      <c r="CF627">
        <f>$C627*CF626</f>
        <v/>
      </c>
      <c r="CG627">
        <f>$C627*CG626</f>
        <v/>
      </c>
      <c r="CH627">
        <f>$C627*CH626</f>
        <v/>
      </c>
      <c r="CI627">
        <f>$C627*CI626</f>
        <v/>
      </c>
      <c r="CJ627">
        <f>$C627*CJ626</f>
        <v/>
      </c>
      <c r="CK627">
        <f>$C627*CK626</f>
        <v/>
      </c>
      <c r="CL627">
        <f>$C627*CL626</f>
        <v/>
      </c>
      <c r="CM627">
        <f>$C627*CM626</f>
        <v/>
      </c>
      <c r="CN627">
        <f>$C627*CN626</f>
        <v/>
      </c>
      <c r="CO627">
        <f>$C627*CO626</f>
        <v/>
      </c>
      <c r="CP627">
        <f>$C627*CP626</f>
        <v/>
      </c>
      <c r="CQ627">
        <f>$C627*CQ626</f>
        <v/>
      </c>
      <c r="CR627">
        <f>$C627*CR626</f>
        <v/>
      </c>
      <c r="CS627">
        <f>$C627*CS626</f>
        <v/>
      </c>
      <c r="CT627">
        <f>$C627*CT626</f>
        <v/>
      </c>
      <c r="CU627">
        <f>$C627*CU626</f>
        <v/>
      </c>
      <c r="CV627">
        <f>$C627*CV626</f>
        <v/>
      </c>
      <c r="CW627">
        <f>$C627*CW626</f>
        <v/>
      </c>
      <c r="CX627">
        <f>$C627*CX626</f>
        <v/>
      </c>
      <c r="CY627">
        <f>$C627*CY626</f>
        <v/>
      </c>
      <c r="CZ627">
        <f>$C627*CZ626</f>
        <v/>
      </c>
      <c r="DA627">
        <f>$C627*DA626</f>
        <v/>
      </c>
      <c r="DB627">
        <f>$C627*DB626</f>
        <v/>
      </c>
      <c r="DC627">
        <f>$C627*DC626</f>
        <v/>
      </c>
    </row>
    <row r="628">
      <c r="B628" t="inlineStr">
        <is>
          <t>TPP-650</t>
        </is>
      </c>
      <c r="C628" t="inlineStr">
        <is>
          <t>No. of batches</t>
        </is>
      </c>
      <c r="D628">
        <f>IFERROR(INDEX(PP_Grid[#Data],$DD628,2),0)</f>
        <v/>
      </c>
      <c r="E628">
        <f>IFERROR(INDEX(PP_Grid[#Data],$DD628,3),0)</f>
        <v/>
      </c>
      <c r="F628">
        <f>IFERROR(INDEX(PP_Grid[#Data],$DD628,4),0)</f>
        <v/>
      </c>
      <c r="G628">
        <f>IFERROR(INDEX(PP_Grid[#Data],$DD628,5),0)</f>
        <v/>
      </c>
      <c r="H628">
        <f>IFERROR(INDEX(PP_Grid[#Data],$DD628,6),0)</f>
        <v/>
      </c>
      <c r="I628">
        <f>IFERROR(INDEX(PP_Grid[#Data],$DD628,7),0)</f>
        <v/>
      </c>
      <c r="J628">
        <f>IFERROR(INDEX(PP_Grid[#Data],$DD628,8),0)</f>
        <v/>
      </c>
      <c r="K628">
        <f>IFERROR(INDEX(PP_Grid[#Data],$DD628,9),0)</f>
        <v/>
      </c>
      <c r="L628">
        <f>IFERROR(INDEX(PP_Grid[#Data],$DD628,10),0)</f>
        <v/>
      </c>
      <c r="M628">
        <f>IFERROR(INDEX(PP_Grid[#Data],$DD628,11),0)</f>
        <v/>
      </c>
      <c r="N628">
        <f>IFERROR(INDEX(PP_Grid[#Data],$DD628,12),0)</f>
        <v/>
      </c>
      <c r="O628">
        <f>IFERROR(INDEX(PP_Grid[#Data],$DD628,13),0)</f>
        <v/>
      </c>
      <c r="P628">
        <f>IFERROR(INDEX(PP_Grid[#Data],$DD628,14),0)</f>
        <v/>
      </c>
      <c r="Q628">
        <f>IFERROR(INDEX(PP_Grid[#Data],$DD628,15),0)</f>
        <v/>
      </c>
      <c r="R628">
        <f>IFERROR(INDEX(PP_Grid[#Data],$DD628,16),0)</f>
        <v/>
      </c>
      <c r="S628">
        <f>IFERROR(INDEX(PP_Grid[#Data],$DD628,17),0)</f>
        <v/>
      </c>
      <c r="T628">
        <f>IFERROR(INDEX(PP_Grid[#Data],$DD628,18),0)</f>
        <v/>
      </c>
      <c r="U628">
        <f>IFERROR(INDEX(PP_Grid[#Data],$DD628,19),0)</f>
        <v/>
      </c>
      <c r="V628">
        <f>IFERROR(INDEX(PP_Grid[#Data],$DD628,20),0)</f>
        <v/>
      </c>
      <c r="W628">
        <f>IFERROR(INDEX(PP_Grid[#Data],$DD628,21),0)</f>
        <v/>
      </c>
      <c r="X628">
        <f>IFERROR(INDEX(PP_Grid[#Data],$DD628,22),0)</f>
        <v/>
      </c>
      <c r="Y628">
        <f>IFERROR(INDEX(PP_Grid[#Data],$DD628,23),0)</f>
        <v/>
      </c>
      <c r="Z628">
        <f>IFERROR(INDEX(PP_Grid[#Data],$DD628,24),0)</f>
        <v/>
      </c>
      <c r="AA628">
        <f>IFERROR(INDEX(PP_Grid[#Data],$DD628,25),0)</f>
        <v/>
      </c>
      <c r="AB628">
        <f>IFERROR(INDEX(PP_Grid[#Data],$DD628,26),0)</f>
        <v/>
      </c>
      <c r="AC628">
        <f>IFERROR(INDEX(PP_Grid[#Data],$DD628,27),0)</f>
        <v/>
      </c>
      <c r="AD628">
        <f>IFERROR(INDEX(PP_Grid[#Data],$DD628,28),0)</f>
        <v/>
      </c>
      <c r="AE628">
        <f>IFERROR(INDEX(PP_Grid[#Data],$DD628,29),0)</f>
        <v/>
      </c>
      <c r="AF628">
        <f>IFERROR(INDEX(PP_Grid[#Data],$DD628,30),0)</f>
        <v/>
      </c>
      <c r="AG628">
        <f>IFERROR(INDEX(PP_Grid[#Data],$DD628,31),0)</f>
        <v/>
      </c>
      <c r="AH628">
        <f>IFERROR(INDEX(PP_Grid[#Data],$DD628,32),0)</f>
        <v/>
      </c>
      <c r="AI628">
        <f>IFERROR(INDEX(PP_Grid[#Data],$DD628,33),0)</f>
        <v/>
      </c>
      <c r="AJ628">
        <f>IFERROR(INDEX(PP_Grid[#Data],$DD628,34),0)</f>
        <v/>
      </c>
      <c r="AK628">
        <f>IFERROR(INDEX(PP_Grid[#Data],$DD628,35),0)</f>
        <v/>
      </c>
      <c r="AL628">
        <f>IFERROR(INDEX(PP_Grid[#Data],$DD628,36),0)</f>
        <v/>
      </c>
      <c r="AM628">
        <f>IFERROR(INDEX(PP_Grid[#Data],$DD628,37),0)</f>
        <v/>
      </c>
      <c r="AN628">
        <f>IFERROR(INDEX(PP_Grid[#Data],$DD628,38),0)</f>
        <v/>
      </c>
      <c r="AO628">
        <f>IFERROR(INDEX(PP_Grid[#Data],$DD628,39),0)</f>
        <v/>
      </c>
      <c r="AP628">
        <f>IFERROR(INDEX(PP_Grid[#Data],$DD628,40),0)</f>
        <v/>
      </c>
      <c r="AQ628">
        <f>IFERROR(INDEX(PP_Grid[#Data],$DD628,41),0)</f>
        <v/>
      </c>
      <c r="AR628">
        <f>IFERROR(INDEX(PP_Grid[#Data],$DD628,42),0)</f>
        <v/>
      </c>
      <c r="AS628">
        <f>IFERROR(INDEX(PP_Grid[#Data],$DD628,43),0)</f>
        <v/>
      </c>
      <c r="AT628">
        <f>IFERROR(INDEX(PP_Grid[#Data],$DD628,44),0)</f>
        <v/>
      </c>
      <c r="AU628">
        <f>IFERROR(INDEX(PP_Grid[#Data],$DD628,45),0)</f>
        <v/>
      </c>
      <c r="AV628">
        <f>IFERROR(INDEX(PP_Grid[#Data],$DD628,46),0)</f>
        <v/>
      </c>
      <c r="AW628">
        <f>IFERROR(INDEX(PP_Grid[#Data],$DD628,47),0)</f>
        <v/>
      </c>
      <c r="AX628">
        <f>IFERROR(INDEX(PP_Grid[#Data],$DD628,48),0)</f>
        <v/>
      </c>
      <c r="AY628">
        <f>IFERROR(INDEX(PP_Grid[#Data],$DD628,49),0)</f>
        <v/>
      </c>
      <c r="AZ628">
        <f>IFERROR(INDEX(PP_Grid[#Data],$DD628,50),0)</f>
        <v/>
      </c>
      <c r="BA628">
        <f>IFERROR(INDEX(PP_Grid[#Data],$DD628,51),0)</f>
        <v/>
      </c>
      <c r="BB628">
        <f>IFERROR(INDEX(PP_Grid[#Data],$DD628,52),0)</f>
        <v/>
      </c>
      <c r="BC628">
        <f>IFERROR(INDEX(PP_Grid[#Data],$DD628,53),0)</f>
        <v/>
      </c>
      <c r="BD628">
        <f>IFERROR(INDEX(PP_Grid[#Data],$DD628,54),0)</f>
        <v/>
      </c>
      <c r="BE628">
        <f>IFERROR(INDEX(PP_Grid[#Data],$DD628,55),0)</f>
        <v/>
      </c>
      <c r="BF628">
        <f>IFERROR(INDEX(PP_Grid[#Data],$DD628,56),0)</f>
        <v/>
      </c>
      <c r="BG628">
        <f>IFERROR(INDEX(PP_Grid[#Data],$DD628,57),0)</f>
        <v/>
      </c>
      <c r="BH628">
        <f>IFERROR(INDEX(PP_Grid[#Data],$DD628,58),0)</f>
        <v/>
      </c>
      <c r="BI628">
        <f>IFERROR(INDEX(PP_Grid[#Data],$DD628,59),0)</f>
        <v/>
      </c>
      <c r="BJ628">
        <f>IFERROR(INDEX(PP_Grid[#Data],$DD628,60),0)</f>
        <v/>
      </c>
      <c r="BK628">
        <f>IFERROR(INDEX(PP_Grid[#Data],$DD628,61),0)</f>
        <v/>
      </c>
      <c r="BL628">
        <f>IFERROR(INDEX(PP_Grid[#Data],$DD628,62),0)</f>
        <v/>
      </c>
      <c r="BM628">
        <f>IFERROR(INDEX(PP_Grid[#Data],$DD628,63),0)</f>
        <v/>
      </c>
      <c r="BN628">
        <f>IFERROR(INDEX(PP_Grid[#Data],$DD628,64),0)</f>
        <v/>
      </c>
      <c r="BO628">
        <f>IFERROR(INDEX(PP_Grid[#Data],$DD628,65),0)</f>
        <v/>
      </c>
      <c r="BP628">
        <f>IFERROR(INDEX(PP_Grid[#Data],$DD628,66),0)</f>
        <v/>
      </c>
      <c r="BQ628">
        <f>IFERROR(INDEX(PP_Grid[#Data],$DD628,67),0)</f>
        <v/>
      </c>
      <c r="BR628">
        <f>IFERROR(INDEX(PP_Grid[#Data],$DD628,68),0)</f>
        <v/>
      </c>
      <c r="BS628">
        <f>IFERROR(INDEX(PP_Grid[#Data],$DD628,69),0)</f>
        <v/>
      </c>
      <c r="BT628">
        <f>IFERROR(INDEX(PP_Grid[#Data],$DD628,70),0)</f>
        <v/>
      </c>
      <c r="BU628">
        <f>IFERROR(INDEX(PP_Grid[#Data],$DD628,71),0)</f>
        <v/>
      </c>
      <c r="BV628">
        <f>IFERROR(INDEX(PP_Grid[#Data],$DD628,72),0)</f>
        <v/>
      </c>
      <c r="BW628">
        <f>IFERROR(INDEX(PP_Grid[#Data],$DD628,73),0)</f>
        <v/>
      </c>
      <c r="BX628">
        <f>IFERROR(INDEX(PP_Grid[#Data],$DD628,74),0)</f>
        <v/>
      </c>
      <c r="BY628">
        <f>IFERROR(INDEX(PP_Grid[#Data],$DD628,75),0)</f>
        <v/>
      </c>
      <c r="BZ628">
        <f>IFERROR(INDEX(PP_Grid[#Data],$DD628,76),0)</f>
        <v/>
      </c>
      <c r="CA628">
        <f>IFERROR(INDEX(PP_Grid[#Data],$DD628,77),0)</f>
        <v/>
      </c>
      <c r="CB628">
        <f>IFERROR(INDEX(PP_Grid[#Data],$DD628,78),0)</f>
        <v/>
      </c>
      <c r="CC628">
        <f>IFERROR(INDEX(PP_Grid[#Data],$DD628,79),0)</f>
        <v/>
      </c>
      <c r="CD628">
        <f>IFERROR(INDEX(PP_Grid[#Data],$DD628,80),0)</f>
        <v/>
      </c>
      <c r="CE628">
        <f>IFERROR(INDEX(PP_Grid[#Data],$DD628,81),0)</f>
        <v/>
      </c>
      <c r="CF628">
        <f>IFERROR(INDEX(PP_Grid[#Data],$DD628,82),0)</f>
        <v/>
      </c>
      <c r="CG628">
        <f>IFERROR(INDEX(PP_Grid[#Data],$DD628,83),0)</f>
        <v/>
      </c>
      <c r="CH628">
        <f>IFERROR(INDEX(PP_Grid[#Data],$DD628,84),0)</f>
        <v/>
      </c>
      <c r="CI628">
        <f>IFERROR(INDEX(PP_Grid[#Data],$DD628,85),0)</f>
        <v/>
      </c>
      <c r="CJ628">
        <f>IFERROR(INDEX(PP_Grid[#Data],$DD628,86),0)</f>
        <v/>
      </c>
      <c r="CK628">
        <f>IFERROR(INDEX(PP_Grid[#Data],$DD628,87),0)</f>
        <v/>
      </c>
      <c r="CL628">
        <f>IFERROR(INDEX(PP_Grid[#Data],$DD628,88),0)</f>
        <v/>
      </c>
      <c r="CM628">
        <f>IFERROR(INDEX(PP_Grid[#Data],$DD628,89),0)</f>
        <v/>
      </c>
      <c r="CN628">
        <f>IFERROR(INDEX(PP_Grid[#Data],$DD628,90),0)</f>
        <v/>
      </c>
      <c r="CO628">
        <f>IFERROR(INDEX(PP_Grid[#Data],$DD628,91),0)</f>
        <v/>
      </c>
      <c r="CP628">
        <f>IFERROR(INDEX(PP_Grid[#Data],$DD628,92),0)</f>
        <v/>
      </c>
      <c r="CQ628">
        <f>IFERROR(INDEX(PP_Grid[#Data],$DD628,93),0)</f>
        <v/>
      </c>
      <c r="CR628">
        <f>IFERROR(INDEX(PP_Grid[#Data],$DD628,94),0)</f>
        <v/>
      </c>
      <c r="CS628">
        <f>IFERROR(INDEX(PP_Grid[#Data],$DD628,95),0)</f>
        <v/>
      </c>
      <c r="CT628">
        <f>IFERROR(INDEX(PP_Grid[#Data],$DD628,96),0)</f>
        <v/>
      </c>
      <c r="CU628">
        <f>IFERROR(INDEX(PP_Grid[#Data],$DD628,97),0)</f>
        <v/>
      </c>
      <c r="CV628">
        <f>IFERROR(INDEX(PP_Grid[#Data],$DD628,98),0)</f>
        <v/>
      </c>
      <c r="CW628">
        <f>IFERROR(INDEX(PP_Grid[#Data],$DD628,99),0)</f>
        <v/>
      </c>
      <c r="CX628">
        <f>IFERROR(INDEX(PP_Grid[#Data],$DD628,100),0)</f>
        <v/>
      </c>
      <c r="CY628">
        <f>IFERROR(INDEX(PP_Grid[#Data],$DD628,101),0)</f>
        <v/>
      </c>
      <c r="CZ628">
        <f>IFERROR(INDEX(PP_Grid[#Data],$DD628,102),0)</f>
        <v/>
      </c>
      <c r="DA628">
        <f>IFERROR(INDEX(PP_Grid[#Data],$DD628,103),0)</f>
        <v/>
      </c>
      <c r="DB628">
        <f>IFERROR(INDEX(PP_Grid[#Data],$DD628,104),0)</f>
        <v/>
      </c>
      <c r="DC628">
        <f>IFERROR(INDEX(PP_Grid[#Data],$DD628,105),0)</f>
        <v/>
      </c>
      <c r="DD628" s="7">
        <f>IFERROR(MATCH($B628,PP_Grid[Intermediate],0),99999)</f>
        <v/>
      </c>
    </row>
    <row r="629">
      <c r="B629" t="inlineStr">
        <is>
          <t>使用量(kg)</t>
        </is>
      </c>
      <c r="C629">
        <f>SUMIFS(M_BOM[RM_Qty_Per_Batch],M_BOM[Intermediate],$B628,M_BOM[Part Name],$A589)</f>
        <v/>
      </c>
      <c r="D629">
        <f>$C629*D628</f>
        <v/>
      </c>
      <c r="E629">
        <f>$C629*E628</f>
        <v/>
      </c>
      <c r="F629">
        <f>$C629*F628</f>
        <v/>
      </c>
      <c r="G629">
        <f>$C629*G628</f>
        <v/>
      </c>
      <c r="H629">
        <f>$C629*H628</f>
        <v/>
      </c>
      <c r="I629">
        <f>$C629*I628</f>
        <v/>
      </c>
      <c r="J629">
        <f>$C629*J628</f>
        <v/>
      </c>
      <c r="K629">
        <f>$C629*K628</f>
        <v/>
      </c>
      <c r="L629">
        <f>$C629*L628</f>
        <v/>
      </c>
      <c r="M629">
        <f>$C629*M628</f>
        <v/>
      </c>
      <c r="N629">
        <f>$C629*N628</f>
        <v/>
      </c>
      <c r="O629">
        <f>$C629*O628</f>
        <v/>
      </c>
      <c r="P629">
        <f>$C629*P628</f>
        <v/>
      </c>
      <c r="Q629">
        <f>$C629*Q628</f>
        <v/>
      </c>
      <c r="R629">
        <f>$C629*R628</f>
        <v/>
      </c>
      <c r="S629">
        <f>$C629*S628</f>
        <v/>
      </c>
      <c r="T629">
        <f>$C629*T628</f>
        <v/>
      </c>
      <c r="U629">
        <f>$C629*U628</f>
        <v/>
      </c>
      <c r="V629">
        <f>$C629*V628</f>
        <v/>
      </c>
      <c r="W629">
        <f>$C629*W628</f>
        <v/>
      </c>
      <c r="X629">
        <f>$C629*X628</f>
        <v/>
      </c>
      <c r="Y629">
        <f>$C629*Y628</f>
        <v/>
      </c>
      <c r="Z629">
        <f>$C629*Z628</f>
        <v/>
      </c>
      <c r="AA629">
        <f>$C629*AA628</f>
        <v/>
      </c>
      <c r="AB629">
        <f>$C629*AB628</f>
        <v/>
      </c>
      <c r="AC629">
        <f>$C629*AC628</f>
        <v/>
      </c>
      <c r="AD629">
        <f>$C629*AD628</f>
        <v/>
      </c>
      <c r="AE629">
        <f>$C629*AE628</f>
        <v/>
      </c>
      <c r="AF629">
        <f>$C629*AF628</f>
        <v/>
      </c>
      <c r="AG629">
        <f>$C629*AG628</f>
        <v/>
      </c>
      <c r="AH629">
        <f>$C629*AH628</f>
        <v/>
      </c>
      <c r="AI629">
        <f>$C629*AI628</f>
        <v/>
      </c>
      <c r="AJ629">
        <f>$C629*AJ628</f>
        <v/>
      </c>
      <c r="AK629">
        <f>$C629*AK628</f>
        <v/>
      </c>
      <c r="AL629">
        <f>$C629*AL628</f>
        <v/>
      </c>
      <c r="AM629">
        <f>$C629*AM628</f>
        <v/>
      </c>
      <c r="AN629">
        <f>$C629*AN628</f>
        <v/>
      </c>
      <c r="AO629">
        <f>$C629*AO628</f>
        <v/>
      </c>
      <c r="AP629">
        <f>$C629*AP628</f>
        <v/>
      </c>
      <c r="AQ629">
        <f>$C629*AQ628</f>
        <v/>
      </c>
      <c r="AR629">
        <f>$C629*AR628</f>
        <v/>
      </c>
      <c r="AS629">
        <f>$C629*AS628</f>
        <v/>
      </c>
      <c r="AT629">
        <f>$C629*AT628</f>
        <v/>
      </c>
      <c r="AU629">
        <f>$C629*AU628</f>
        <v/>
      </c>
      <c r="AV629">
        <f>$C629*AV628</f>
        <v/>
      </c>
      <c r="AW629">
        <f>$C629*AW628</f>
        <v/>
      </c>
      <c r="AX629">
        <f>$C629*AX628</f>
        <v/>
      </c>
      <c r="AY629">
        <f>$C629*AY628</f>
        <v/>
      </c>
      <c r="AZ629">
        <f>$C629*AZ628</f>
        <v/>
      </c>
      <c r="BA629">
        <f>$C629*BA628</f>
        <v/>
      </c>
      <c r="BB629">
        <f>$C629*BB628</f>
        <v/>
      </c>
      <c r="BC629">
        <f>$C629*BC628</f>
        <v/>
      </c>
      <c r="BD629">
        <f>$C629*BD628</f>
        <v/>
      </c>
      <c r="BE629">
        <f>$C629*BE628</f>
        <v/>
      </c>
      <c r="BF629">
        <f>$C629*BF628</f>
        <v/>
      </c>
      <c r="BG629">
        <f>$C629*BG628</f>
        <v/>
      </c>
      <c r="BH629">
        <f>$C629*BH628</f>
        <v/>
      </c>
      <c r="BI629">
        <f>$C629*BI628</f>
        <v/>
      </c>
      <c r="BJ629">
        <f>$C629*BJ628</f>
        <v/>
      </c>
      <c r="BK629">
        <f>$C629*BK628</f>
        <v/>
      </c>
      <c r="BL629">
        <f>$C629*BL628</f>
        <v/>
      </c>
      <c r="BM629">
        <f>$C629*BM628</f>
        <v/>
      </c>
      <c r="BN629">
        <f>$C629*BN628</f>
        <v/>
      </c>
      <c r="BO629">
        <f>$C629*BO628</f>
        <v/>
      </c>
      <c r="BP629">
        <f>$C629*BP628</f>
        <v/>
      </c>
      <c r="BQ629">
        <f>$C629*BQ628</f>
        <v/>
      </c>
      <c r="BR629">
        <f>$C629*BR628</f>
        <v/>
      </c>
      <c r="BS629">
        <f>$C629*BS628</f>
        <v/>
      </c>
      <c r="BT629">
        <f>$C629*BT628</f>
        <v/>
      </c>
      <c r="BU629">
        <f>$C629*BU628</f>
        <v/>
      </c>
      <c r="BV629">
        <f>$C629*BV628</f>
        <v/>
      </c>
      <c r="BW629">
        <f>$C629*BW628</f>
        <v/>
      </c>
      <c r="BX629">
        <f>$C629*BX628</f>
        <v/>
      </c>
      <c r="BY629">
        <f>$C629*BY628</f>
        <v/>
      </c>
      <c r="BZ629">
        <f>$C629*BZ628</f>
        <v/>
      </c>
      <c r="CA629">
        <f>$C629*CA628</f>
        <v/>
      </c>
      <c r="CB629">
        <f>$C629*CB628</f>
        <v/>
      </c>
      <c r="CC629">
        <f>$C629*CC628</f>
        <v/>
      </c>
      <c r="CD629">
        <f>$C629*CD628</f>
        <v/>
      </c>
      <c r="CE629">
        <f>$C629*CE628</f>
        <v/>
      </c>
      <c r="CF629">
        <f>$C629*CF628</f>
        <v/>
      </c>
      <c r="CG629">
        <f>$C629*CG628</f>
        <v/>
      </c>
      <c r="CH629">
        <f>$C629*CH628</f>
        <v/>
      </c>
      <c r="CI629">
        <f>$C629*CI628</f>
        <v/>
      </c>
      <c r="CJ629">
        <f>$C629*CJ628</f>
        <v/>
      </c>
      <c r="CK629">
        <f>$C629*CK628</f>
        <v/>
      </c>
      <c r="CL629">
        <f>$C629*CL628</f>
        <v/>
      </c>
      <c r="CM629">
        <f>$C629*CM628</f>
        <v/>
      </c>
      <c r="CN629">
        <f>$C629*CN628</f>
        <v/>
      </c>
      <c r="CO629">
        <f>$C629*CO628</f>
        <v/>
      </c>
      <c r="CP629">
        <f>$C629*CP628</f>
        <v/>
      </c>
      <c r="CQ629">
        <f>$C629*CQ628</f>
        <v/>
      </c>
      <c r="CR629">
        <f>$C629*CR628</f>
        <v/>
      </c>
      <c r="CS629">
        <f>$C629*CS628</f>
        <v/>
      </c>
      <c r="CT629">
        <f>$C629*CT628</f>
        <v/>
      </c>
      <c r="CU629">
        <f>$C629*CU628</f>
        <v/>
      </c>
      <c r="CV629">
        <f>$C629*CV628</f>
        <v/>
      </c>
      <c r="CW629">
        <f>$C629*CW628</f>
        <v/>
      </c>
      <c r="CX629">
        <f>$C629*CX628</f>
        <v/>
      </c>
      <c r="CY629">
        <f>$C629*CY628</f>
        <v/>
      </c>
      <c r="CZ629">
        <f>$C629*CZ628</f>
        <v/>
      </c>
      <c r="DA629">
        <f>$C629*DA628</f>
        <v/>
      </c>
      <c r="DB629">
        <f>$C629*DB628</f>
        <v/>
      </c>
      <c r="DC629">
        <f>$C629*DC628</f>
        <v/>
      </c>
    </row>
    <row r="630">
      <c r="B630" t="inlineStr">
        <is>
          <t>TPP-527</t>
        </is>
      </c>
      <c r="C630" t="inlineStr">
        <is>
          <t>No. of batches</t>
        </is>
      </c>
      <c r="D630">
        <f>IFERROR(INDEX(PP_Grid[#Data],$DD630,2),0)</f>
        <v/>
      </c>
      <c r="E630">
        <f>IFERROR(INDEX(PP_Grid[#Data],$DD630,3),0)</f>
        <v/>
      </c>
      <c r="F630">
        <f>IFERROR(INDEX(PP_Grid[#Data],$DD630,4),0)</f>
        <v/>
      </c>
      <c r="G630">
        <f>IFERROR(INDEX(PP_Grid[#Data],$DD630,5),0)</f>
        <v/>
      </c>
      <c r="H630">
        <f>IFERROR(INDEX(PP_Grid[#Data],$DD630,6),0)</f>
        <v/>
      </c>
      <c r="I630">
        <f>IFERROR(INDEX(PP_Grid[#Data],$DD630,7),0)</f>
        <v/>
      </c>
      <c r="J630">
        <f>IFERROR(INDEX(PP_Grid[#Data],$DD630,8),0)</f>
        <v/>
      </c>
      <c r="K630">
        <f>IFERROR(INDEX(PP_Grid[#Data],$DD630,9),0)</f>
        <v/>
      </c>
      <c r="L630">
        <f>IFERROR(INDEX(PP_Grid[#Data],$DD630,10),0)</f>
        <v/>
      </c>
      <c r="M630">
        <f>IFERROR(INDEX(PP_Grid[#Data],$DD630,11),0)</f>
        <v/>
      </c>
      <c r="N630">
        <f>IFERROR(INDEX(PP_Grid[#Data],$DD630,12),0)</f>
        <v/>
      </c>
      <c r="O630">
        <f>IFERROR(INDEX(PP_Grid[#Data],$DD630,13),0)</f>
        <v/>
      </c>
      <c r="P630">
        <f>IFERROR(INDEX(PP_Grid[#Data],$DD630,14),0)</f>
        <v/>
      </c>
      <c r="Q630">
        <f>IFERROR(INDEX(PP_Grid[#Data],$DD630,15),0)</f>
        <v/>
      </c>
      <c r="R630">
        <f>IFERROR(INDEX(PP_Grid[#Data],$DD630,16),0)</f>
        <v/>
      </c>
      <c r="S630">
        <f>IFERROR(INDEX(PP_Grid[#Data],$DD630,17),0)</f>
        <v/>
      </c>
      <c r="T630">
        <f>IFERROR(INDEX(PP_Grid[#Data],$DD630,18),0)</f>
        <v/>
      </c>
      <c r="U630">
        <f>IFERROR(INDEX(PP_Grid[#Data],$DD630,19),0)</f>
        <v/>
      </c>
      <c r="V630">
        <f>IFERROR(INDEX(PP_Grid[#Data],$DD630,20),0)</f>
        <v/>
      </c>
      <c r="W630">
        <f>IFERROR(INDEX(PP_Grid[#Data],$DD630,21),0)</f>
        <v/>
      </c>
      <c r="X630">
        <f>IFERROR(INDEX(PP_Grid[#Data],$DD630,22),0)</f>
        <v/>
      </c>
      <c r="Y630">
        <f>IFERROR(INDEX(PP_Grid[#Data],$DD630,23),0)</f>
        <v/>
      </c>
      <c r="Z630">
        <f>IFERROR(INDEX(PP_Grid[#Data],$DD630,24),0)</f>
        <v/>
      </c>
      <c r="AA630">
        <f>IFERROR(INDEX(PP_Grid[#Data],$DD630,25),0)</f>
        <v/>
      </c>
      <c r="AB630">
        <f>IFERROR(INDEX(PP_Grid[#Data],$DD630,26),0)</f>
        <v/>
      </c>
      <c r="AC630">
        <f>IFERROR(INDEX(PP_Grid[#Data],$DD630,27),0)</f>
        <v/>
      </c>
      <c r="AD630">
        <f>IFERROR(INDEX(PP_Grid[#Data],$DD630,28),0)</f>
        <v/>
      </c>
      <c r="AE630">
        <f>IFERROR(INDEX(PP_Grid[#Data],$DD630,29),0)</f>
        <v/>
      </c>
      <c r="AF630">
        <f>IFERROR(INDEX(PP_Grid[#Data],$DD630,30),0)</f>
        <v/>
      </c>
      <c r="AG630">
        <f>IFERROR(INDEX(PP_Grid[#Data],$DD630,31),0)</f>
        <v/>
      </c>
      <c r="AH630">
        <f>IFERROR(INDEX(PP_Grid[#Data],$DD630,32),0)</f>
        <v/>
      </c>
      <c r="AI630">
        <f>IFERROR(INDEX(PP_Grid[#Data],$DD630,33),0)</f>
        <v/>
      </c>
      <c r="AJ630">
        <f>IFERROR(INDEX(PP_Grid[#Data],$DD630,34),0)</f>
        <v/>
      </c>
      <c r="AK630">
        <f>IFERROR(INDEX(PP_Grid[#Data],$DD630,35),0)</f>
        <v/>
      </c>
      <c r="AL630">
        <f>IFERROR(INDEX(PP_Grid[#Data],$DD630,36),0)</f>
        <v/>
      </c>
      <c r="AM630">
        <f>IFERROR(INDEX(PP_Grid[#Data],$DD630,37),0)</f>
        <v/>
      </c>
      <c r="AN630">
        <f>IFERROR(INDEX(PP_Grid[#Data],$DD630,38),0)</f>
        <v/>
      </c>
      <c r="AO630">
        <f>IFERROR(INDEX(PP_Grid[#Data],$DD630,39),0)</f>
        <v/>
      </c>
      <c r="AP630">
        <f>IFERROR(INDEX(PP_Grid[#Data],$DD630,40),0)</f>
        <v/>
      </c>
      <c r="AQ630">
        <f>IFERROR(INDEX(PP_Grid[#Data],$DD630,41),0)</f>
        <v/>
      </c>
      <c r="AR630">
        <f>IFERROR(INDEX(PP_Grid[#Data],$DD630,42),0)</f>
        <v/>
      </c>
      <c r="AS630">
        <f>IFERROR(INDEX(PP_Grid[#Data],$DD630,43),0)</f>
        <v/>
      </c>
      <c r="AT630">
        <f>IFERROR(INDEX(PP_Grid[#Data],$DD630,44),0)</f>
        <v/>
      </c>
      <c r="AU630">
        <f>IFERROR(INDEX(PP_Grid[#Data],$DD630,45),0)</f>
        <v/>
      </c>
      <c r="AV630">
        <f>IFERROR(INDEX(PP_Grid[#Data],$DD630,46),0)</f>
        <v/>
      </c>
      <c r="AW630">
        <f>IFERROR(INDEX(PP_Grid[#Data],$DD630,47),0)</f>
        <v/>
      </c>
      <c r="AX630">
        <f>IFERROR(INDEX(PP_Grid[#Data],$DD630,48),0)</f>
        <v/>
      </c>
      <c r="AY630">
        <f>IFERROR(INDEX(PP_Grid[#Data],$DD630,49),0)</f>
        <v/>
      </c>
      <c r="AZ630">
        <f>IFERROR(INDEX(PP_Grid[#Data],$DD630,50),0)</f>
        <v/>
      </c>
      <c r="BA630">
        <f>IFERROR(INDEX(PP_Grid[#Data],$DD630,51),0)</f>
        <v/>
      </c>
      <c r="BB630">
        <f>IFERROR(INDEX(PP_Grid[#Data],$DD630,52),0)</f>
        <v/>
      </c>
      <c r="BC630">
        <f>IFERROR(INDEX(PP_Grid[#Data],$DD630,53),0)</f>
        <v/>
      </c>
      <c r="BD630">
        <f>IFERROR(INDEX(PP_Grid[#Data],$DD630,54),0)</f>
        <v/>
      </c>
      <c r="BE630">
        <f>IFERROR(INDEX(PP_Grid[#Data],$DD630,55),0)</f>
        <v/>
      </c>
      <c r="BF630">
        <f>IFERROR(INDEX(PP_Grid[#Data],$DD630,56),0)</f>
        <v/>
      </c>
      <c r="BG630">
        <f>IFERROR(INDEX(PP_Grid[#Data],$DD630,57),0)</f>
        <v/>
      </c>
      <c r="BH630">
        <f>IFERROR(INDEX(PP_Grid[#Data],$DD630,58),0)</f>
        <v/>
      </c>
      <c r="BI630">
        <f>IFERROR(INDEX(PP_Grid[#Data],$DD630,59),0)</f>
        <v/>
      </c>
      <c r="BJ630">
        <f>IFERROR(INDEX(PP_Grid[#Data],$DD630,60),0)</f>
        <v/>
      </c>
      <c r="BK630">
        <f>IFERROR(INDEX(PP_Grid[#Data],$DD630,61),0)</f>
        <v/>
      </c>
      <c r="BL630">
        <f>IFERROR(INDEX(PP_Grid[#Data],$DD630,62),0)</f>
        <v/>
      </c>
      <c r="BM630">
        <f>IFERROR(INDEX(PP_Grid[#Data],$DD630,63),0)</f>
        <v/>
      </c>
      <c r="BN630">
        <f>IFERROR(INDEX(PP_Grid[#Data],$DD630,64),0)</f>
        <v/>
      </c>
      <c r="BO630">
        <f>IFERROR(INDEX(PP_Grid[#Data],$DD630,65),0)</f>
        <v/>
      </c>
      <c r="BP630">
        <f>IFERROR(INDEX(PP_Grid[#Data],$DD630,66),0)</f>
        <v/>
      </c>
      <c r="BQ630">
        <f>IFERROR(INDEX(PP_Grid[#Data],$DD630,67),0)</f>
        <v/>
      </c>
      <c r="BR630">
        <f>IFERROR(INDEX(PP_Grid[#Data],$DD630,68),0)</f>
        <v/>
      </c>
      <c r="BS630">
        <f>IFERROR(INDEX(PP_Grid[#Data],$DD630,69),0)</f>
        <v/>
      </c>
      <c r="BT630">
        <f>IFERROR(INDEX(PP_Grid[#Data],$DD630,70),0)</f>
        <v/>
      </c>
      <c r="BU630">
        <f>IFERROR(INDEX(PP_Grid[#Data],$DD630,71),0)</f>
        <v/>
      </c>
      <c r="BV630">
        <f>IFERROR(INDEX(PP_Grid[#Data],$DD630,72),0)</f>
        <v/>
      </c>
      <c r="BW630">
        <f>IFERROR(INDEX(PP_Grid[#Data],$DD630,73),0)</f>
        <v/>
      </c>
      <c r="BX630">
        <f>IFERROR(INDEX(PP_Grid[#Data],$DD630,74),0)</f>
        <v/>
      </c>
      <c r="BY630">
        <f>IFERROR(INDEX(PP_Grid[#Data],$DD630,75),0)</f>
        <v/>
      </c>
      <c r="BZ630">
        <f>IFERROR(INDEX(PP_Grid[#Data],$DD630,76),0)</f>
        <v/>
      </c>
      <c r="CA630">
        <f>IFERROR(INDEX(PP_Grid[#Data],$DD630,77),0)</f>
        <v/>
      </c>
      <c r="CB630">
        <f>IFERROR(INDEX(PP_Grid[#Data],$DD630,78),0)</f>
        <v/>
      </c>
      <c r="CC630">
        <f>IFERROR(INDEX(PP_Grid[#Data],$DD630,79),0)</f>
        <v/>
      </c>
      <c r="CD630">
        <f>IFERROR(INDEX(PP_Grid[#Data],$DD630,80),0)</f>
        <v/>
      </c>
      <c r="CE630">
        <f>IFERROR(INDEX(PP_Grid[#Data],$DD630,81),0)</f>
        <v/>
      </c>
      <c r="CF630">
        <f>IFERROR(INDEX(PP_Grid[#Data],$DD630,82),0)</f>
        <v/>
      </c>
      <c r="CG630">
        <f>IFERROR(INDEX(PP_Grid[#Data],$DD630,83),0)</f>
        <v/>
      </c>
      <c r="CH630">
        <f>IFERROR(INDEX(PP_Grid[#Data],$DD630,84),0)</f>
        <v/>
      </c>
      <c r="CI630">
        <f>IFERROR(INDEX(PP_Grid[#Data],$DD630,85),0)</f>
        <v/>
      </c>
      <c r="CJ630">
        <f>IFERROR(INDEX(PP_Grid[#Data],$DD630,86),0)</f>
        <v/>
      </c>
      <c r="CK630">
        <f>IFERROR(INDEX(PP_Grid[#Data],$DD630,87),0)</f>
        <v/>
      </c>
      <c r="CL630">
        <f>IFERROR(INDEX(PP_Grid[#Data],$DD630,88),0)</f>
        <v/>
      </c>
      <c r="CM630">
        <f>IFERROR(INDEX(PP_Grid[#Data],$DD630,89),0)</f>
        <v/>
      </c>
      <c r="CN630">
        <f>IFERROR(INDEX(PP_Grid[#Data],$DD630,90),0)</f>
        <v/>
      </c>
      <c r="CO630">
        <f>IFERROR(INDEX(PP_Grid[#Data],$DD630,91),0)</f>
        <v/>
      </c>
      <c r="CP630">
        <f>IFERROR(INDEX(PP_Grid[#Data],$DD630,92),0)</f>
        <v/>
      </c>
      <c r="CQ630">
        <f>IFERROR(INDEX(PP_Grid[#Data],$DD630,93),0)</f>
        <v/>
      </c>
      <c r="CR630">
        <f>IFERROR(INDEX(PP_Grid[#Data],$DD630,94),0)</f>
        <v/>
      </c>
      <c r="CS630">
        <f>IFERROR(INDEX(PP_Grid[#Data],$DD630,95),0)</f>
        <v/>
      </c>
      <c r="CT630">
        <f>IFERROR(INDEX(PP_Grid[#Data],$DD630,96),0)</f>
        <v/>
      </c>
      <c r="CU630">
        <f>IFERROR(INDEX(PP_Grid[#Data],$DD630,97),0)</f>
        <v/>
      </c>
      <c r="CV630">
        <f>IFERROR(INDEX(PP_Grid[#Data],$DD630,98),0)</f>
        <v/>
      </c>
      <c r="CW630">
        <f>IFERROR(INDEX(PP_Grid[#Data],$DD630,99),0)</f>
        <v/>
      </c>
      <c r="CX630">
        <f>IFERROR(INDEX(PP_Grid[#Data],$DD630,100),0)</f>
        <v/>
      </c>
      <c r="CY630">
        <f>IFERROR(INDEX(PP_Grid[#Data],$DD630,101),0)</f>
        <v/>
      </c>
      <c r="CZ630">
        <f>IFERROR(INDEX(PP_Grid[#Data],$DD630,102),0)</f>
        <v/>
      </c>
      <c r="DA630">
        <f>IFERROR(INDEX(PP_Grid[#Data],$DD630,103),0)</f>
        <v/>
      </c>
      <c r="DB630">
        <f>IFERROR(INDEX(PP_Grid[#Data],$DD630,104),0)</f>
        <v/>
      </c>
      <c r="DC630">
        <f>IFERROR(INDEX(PP_Grid[#Data],$DD630,105),0)</f>
        <v/>
      </c>
      <c r="DD630" s="7">
        <f>IFERROR(MATCH($B630,PP_Grid[Intermediate],0),99999)</f>
        <v/>
      </c>
    </row>
    <row r="631">
      <c r="B631" t="inlineStr">
        <is>
          <t>使用量(kg)</t>
        </is>
      </c>
      <c r="C631">
        <f>SUMIFS(M_BOM[RM_Qty_Per_Batch],M_BOM[Intermediate],$B630,M_BOM[Part Name],$A589)</f>
        <v/>
      </c>
      <c r="D631">
        <f>$C631*D630</f>
        <v/>
      </c>
      <c r="E631">
        <f>$C631*E630</f>
        <v/>
      </c>
      <c r="F631">
        <f>$C631*F630</f>
        <v/>
      </c>
      <c r="G631">
        <f>$C631*G630</f>
        <v/>
      </c>
      <c r="H631">
        <f>$C631*H630</f>
        <v/>
      </c>
      <c r="I631">
        <f>$C631*I630</f>
        <v/>
      </c>
      <c r="J631">
        <f>$C631*J630</f>
        <v/>
      </c>
      <c r="K631">
        <f>$C631*K630</f>
        <v/>
      </c>
      <c r="L631">
        <f>$C631*L630</f>
        <v/>
      </c>
      <c r="M631">
        <f>$C631*M630</f>
        <v/>
      </c>
      <c r="N631">
        <f>$C631*N630</f>
        <v/>
      </c>
      <c r="O631">
        <f>$C631*O630</f>
        <v/>
      </c>
      <c r="P631">
        <f>$C631*P630</f>
        <v/>
      </c>
      <c r="Q631">
        <f>$C631*Q630</f>
        <v/>
      </c>
      <c r="R631">
        <f>$C631*R630</f>
        <v/>
      </c>
      <c r="S631">
        <f>$C631*S630</f>
        <v/>
      </c>
      <c r="T631">
        <f>$C631*T630</f>
        <v/>
      </c>
      <c r="U631">
        <f>$C631*U630</f>
        <v/>
      </c>
      <c r="V631">
        <f>$C631*V630</f>
        <v/>
      </c>
      <c r="W631">
        <f>$C631*W630</f>
        <v/>
      </c>
      <c r="X631">
        <f>$C631*X630</f>
        <v/>
      </c>
      <c r="Y631">
        <f>$C631*Y630</f>
        <v/>
      </c>
      <c r="Z631">
        <f>$C631*Z630</f>
        <v/>
      </c>
      <c r="AA631">
        <f>$C631*AA630</f>
        <v/>
      </c>
      <c r="AB631">
        <f>$C631*AB630</f>
        <v/>
      </c>
      <c r="AC631">
        <f>$C631*AC630</f>
        <v/>
      </c>
      <c r="AD631">
        <f>$C631*AD630</f>
        <v/>
      </c>
      <c r="AE631">
        <f>$C631*AE630</f>
        <v/>
      </c>
      <c r="AF631">
        <f>$C631*AF630</f>
        <v/>
      </c>
      <c r="AG631">
        <f>$C631*AG630</f>
        <v/>
      </c>
      <c r="AH631">
        <f>$C631*AH630</f>
        <v/>
      </c>
      <c r="AI631">
        <f>$C631*AI630</f>
        <v/>
      </c>
      <c r="AJ631">
        <f>$C631*AJ630</f>
        <v/>
      </c>
      <c r="AK631">
        <f>$C631*AK630</f>
        <v/>
      </c>
      <c r="AL631">
        <f>$C631*AL630</f>
        <v/>
      </c>
      <c r="AM631">
        <f>$C631*AM630</f>
        <v/>
      </c>
      <c r="AN631">
        <f>$C631*AN630</f>
        <v/>
      </c>
      <c r="AO631">
        <f>$C631*AO630</f>
        <v/>
      </c>
      <c r="AP631">
        <f>$C631*AP630</f>
        <v/>
      </c>
      <c r="AQ631">
        <f>$C631*AQ630</f>
        <v/>
      </c>
      <c r="AR631">
        <f>$C631*AR630</f>
        <v/>
      </c>
      <c r="AS631">
        <f>$C631*AS630</f>
        <v/>
      </c>
      <c r="AT631">
        <f>$C631*AT630</f>
        <v/>
      </c>
      <c r="AU631">
        <f>$C631*AU630</f>
        <v/>
      </c>
      <c r="AV631">
        <f>$C631*AV630</f>
        <v/>
      </c>
      <c r="AW631">
        <f>$C631*AW630</f>
        <v/>
      </c>
      <c r="AX631">
        <f>$C631*AX630</f>
        <v/>
      </c>
      <c r="AY631">
        <f>$C631*AY630</f>
        <v/>
      </c>
      <c r="AZ631">
        <f>$C631*AZ630</f>
        <v/>
      </c>
      <c r="BA631">
        <f>$C631*BA630</f>
        <v/>
      </c>
      <c r="BB631">
        <f>$C631*BB630</f>
        <v/>
      </c>
      <c r="BC631">
        <f>$C631*BC630</f>
        <v/>
      </c>
      <c r="BD631">
        <f>$C631*BD630</f>
        <v/>
      </c>
      <c r="BE631">
        <f>$C631*BE630</f>
        <v/>
      </c>
      <c r="BF631">
        <f>$C631*BF630</f>
        <v/>
      </c>
      <c r="BG631">
        <f>$C631*BG630</f>
        <v/>
      </c>
      <c r="BH631">
        <f>$C631*BH630</f>
        <v/>
      </c>
      <c r="BI631">
        <f>$C631*BI630</f>
        <v/>
      </c>
      <c r="BJ631">
        <f>$C631*BJ630</f>
        <v/>
      </c>
      <c r="BK631">
        <f>$C631*BK630</f>
        <v/>
      </c>
      <c r="BL631">
        <f>$C631*BL630</f>
        <v/>
      </c>
      <c r="BM631">
        <f>$C631*BM630</f>
        <v/>
      </c>
      <c r="BN631">
        <f>$C631*BN630</f>
        <v/>
      </c>
      <c r="BO631">
        <f>$C631*BO630</f>
        <v/>
      </c>
      <c r="BP631">
        <f>$C631*BP630</f>
        <v/>
      </c>
      <c r="BQ631">
        <f>$C631*BQ630</f>
        <v/>
      </c>
      <c r="BR631">
        <f>$C631*BR630</f>
        <v/>
      </c>
      <c r="BS631">
        <f>$C631*BS630</f>
        <v/>
      </c>
      <c r="BT631">
        <f>$C631*BT630</f>
        <v/>
      </c>
      <c r="BU631">
        <f>$C631*BU630</f>
        <v/>
      </c>
      <c r="BV631">
        <f>$C631*BV630</f>
        <v/>
      </c>
      <c r="BW631">
        <f>$C631*BW630</f>
        <v/>
      </c>
      <c r="BX631">
        <f>$C631*BX630</f>
        <v/>
      </c>
      <c r="BY631">
        <f>$C631*BY630</f>
        <v/>
      </c>
      <c r="BZ631">
        <f>$C631*BZ630</f>
        <v/>
      </c>
      <c r="CA631">
        <f>$C631*CA630</f>
        <v/>
      </c>
      <c r="CB631">
        <f>$C631*CB630</f>
        <v/>
      </c>
      <c r="CC631">
        <f>$C631*CC630</f>
        <v/>
      </c>
      <c r="CD631">
        <f>$C631*CD630</f>
        <v/>
      </c>
      <c r="CE631">
        <f>$C631*CE630</f>
        <v/>
      </c>
      <c r="CF631">
        <f>$C631*CF630</f>
        <v/>
      </c>
      <c r="CG631">
        <f>$C631*CG630</f>
        <v/>
      </c>
      <c r="CH631">
        <f>$C631*CH630</f>
        <v/>
      </c>
      <c r="CI631">
        <f>$C631*CI630</f>
        <v/>
      </c>
      <c r="CJ631">
        <f>$C631*CJ630</f>
        <v/>
      </c>
      <c r="CK631">
        <f>$C631*CK630</f>
        <v/>
      </c>
      <c r="CL631">
        <f>$C631*CL630</f>
        <v/>
      </c>
      <c r="CM631">
        <f>$C631*CM630</f>
        <v/>
      </c>
      <c r="CN631">
        <f>$C631*CN630</f>
        <v/>
      </c>
      <c r="CO631">
        <f>$C631*CO630</f>
        <v/>
      </c>
      <c r="CP631">
        <f>$C631*CP630</f>
        <v/>
      </c>
      <c r="CQ631">
        <f>$C631*CQ630</f>
        <v/>
      </c>
      <c r="CR631">
        <f>$C631*CR630</f>
        <v/>
      </c>
      <c r="CS631">
        <f>$C631*CS630</f>
        <v/>
      </c>
      <c r="CT631">
        <f>$C631*CT630</f>
        <v/>
      </c>
      <c r="CU631">
        <f>$C631*CU630</f>
        <v/>
      </c>
      <c r="CV631">
        <f>$C631*CV630</f>
        <v/>
      </c>
      <c r="CW631">
        <f>$C631*CW630</f>
        <v/>
      </c>
      <c r="CX631">
        <f>$C631*CX630</f>
        <v/>
      </c>
      <c r="CY631">
        <f>$C631*CY630</f>
        <v/>
      </c>
      <c r="CZ631">
        <f>$C631*CZ630</f>
        <v/>
      </c>
      <c r="DA631">
        <f>$C631*DA630</f>
        <v/>
      </c>
      <c r="DB631">
        <f>$C631*DB630</f>
        <v/>
      </c>
      <c r="DC631">
        <f>$C631*DC630</f>
        <v/>
      </c>
    </row>
    <row r="632">
      <c r="B632" t="inlineStr">
        <is>
          <t>TPP-537</t>
        </is>
      </c>
      <c r="C632" t="inlineStr">
        <is>
          <t>No. of batches</t>
        </is>
      </c>
      <c r="D632">
        <f>IFERROR(INDEX(PP_Grid[#Data],$DD632,2),0)</f>
        <v/>
      </c>
      <c r="E632">
        <f>IFERROR(INDEX(PP_Grid[#Data],$DD632,3),0)</f>
        <v/>
      </c>
      <c r="F632">
        <f>IFERROR(INDEX(PP_Grid[#Data],$DD632,4),0)</f>
        <v/>
      </c>
      <c r="G632">
        <f>IFERROR(INDEX(PP_Grid[#Data],$DD632,5),0)</f>
        <v/>
      </c>
      <c r="H632">
        <f>IFERROR(INDEX(PP_Grid[#Data],$DD632,6),0)</f>
        <v/>
      </c>
      <c r="I632">
        <f>IFERROR(INDEX(PP_Grid[#Data],$DD632,7),0)</f>
        <v/>
      </c>
      <c r="J632">
        <f>IFERROR(INDEX(PP_Grid[#Data],$DD632,8),0)</f>
        <v/>
      </c>
      <c r="K632">
        <f>IFERROR(INDEX(PP_Grid[#Data],$DD632,9),0)</f>
        <v/>
      </c>
      <c r="L632">
        <f>IFERROR(INDEX(PP_Grid[#Data],$DD632,10),0)</f>
        <v/>
      </c>
      <c r="M632">
        <f>IFERROR(INDEX(PP_Grid[#Data],$DD632,11),0)</f>
        <v/>
      </c>
      <c r="N632">
        <f>IFERROR(INDEX(PP_Grid[#Data],$DD632,12),0)</f>
        <v/>
      </c>
      <c r="O632">
        <f>IFERROR(INDEX(PP_Grid[#Data],$DD632,13),0)</f>
        <v/>
      </c>
      <c r="P632">
        <f>IFERROR(INDEX(PP_Grid[#Data],$DD632,14),0)</f>
        <v/>
      </c>
      <c r="Q632">
        <f>IFERROR(INDEX(PP_Grid[#Data],$DD632,15),0)</f>
        <v/>
      </c>
      <c r="R632">
        <f>IFERROR(INDEX(PP_Grid[#Data],$DD632,16),0)</f>
        <v/>
      </c>
      <c r="S632">
        <f>IFERROR(INDEX(PP_Grid[#Data],$DD632,17),0)</f>
        <v/>
      </c>
      <c r="T632">
        <f>IFERROR(INDEX(PP_Grid[#Data],$DD632,18),0)</f>
        <v/>
      </c>
      <c r="U632">
        <f>IFERROR(INDEX(PP_Grid[#Data],$DD632,19),0)</f>
        <v/>
      </c>
      <c r="V632">
        <f>IFERROR(INDEX(PP_Grid[#Data],$DD632,20),0)</f>
        <v/>
      </c>
      <c r="W632">
        <f>IFERROR(INDEX(PP_Grid[#Data],$DD632,21),0)</f>
        <v/>
      </c>
      <c r="X632">
        <f>IFERROR(INDEX(PP_Grid[#Data],$DD632,22),0)</f>
        <v/>
      </c>
      <c r="Y632">
        <f>IFERROR(INDEX(PP_Grid[#Data],$DD632,23),0)</f>
        <v/>
      </c>
      <c r="Z632">
        <f>IFERROR(INDEX(PP_Grid[#Data],$DD632,24),0)</f>
        <v/>
      </c>
      <c r="AA632">
        <f>IFERROR(INDEX(PP_Grid[#Data],$DD632,25),0)</f>
        <v/>
      </c>
      <c r="AB632">
        <f>IFERROR(INDEX(PP_Grid[#Data],$DD632,26),0)</f>
        <v/>
      </c>
      <c r="AC632">
        <f>IFERROR(INDEX(PP_Grid[#Data],$DD632,27),0)</f>
        <v/>
      </c>
      <c r="AD632">
        <f>IFERROR(INDEX(PP_Grid[#Data],$DD632,28),0)</f>
        <v/>
      </c>
      <c r="AE632">
        <f>IFERROR(INDEX(PP_Grid[#Data],$DD632,29),0)</f>
        <v/>
      </c>
      <c r="AF632">
        <f>IFERROR(INDEX(PP_Grid[#Data],$DD632,30),0)</f>
        <v/>
      </c>
      <c r="AG632">
        <f>IFERROR(INDEX(PP_Grid[#Data],$DD632,31),0)</f>
        <v/>
      </c>
      <c r="AH632">
        <f>IFERROR(INDEX(PP_Grid[#Data],$DD632,32),0)</f>
        <v/>
      </c>
      <c r="AI632">
        <f>IFERROR(INDEX(PP_Grid[#Data],$DD632,33),0)</f>
        <v/>
      </c>
      <c r="AJ632">
        <f>IFERROR(INDEX(PP_Grid[#Data],$DD632,34),0)</f>
        <v/>
      </c>
      <c r="AK632">
        <f>IFERROR(INDEX(PP_Grid[#Data],$DD632,35),0)</f>
        <v/>
      </c>
      <c r="AL632">
        <f>IFERROR(INDEX(PP_Grid[#Data],$DD632,36),0)</f>
        <v/>
      </c>
      <c r="AM632">
        <f>IFERROR(INDEX(PP_Grid[#Data],$DD632,37),0)</f>
        <v/>
      </c>
      <c r="AN632">
        <f>IFERROR(INDEX(PP_Grid[#Data],$DD632,38),0)</f>
        <v/>
      </c>
      <c r="AO632">
        <f>IFERROR(INDEX(PP_Grid[#Data],$DD632,39),0)</f>
        <v/>
      </c>
      <c r="AP632">
        <f>IFERROR(INDEX(PP_Grid[#Data],$DD632,40),0)</f>
        <v/>
      </c>
      <c r="AQ632">
        <f>IFERROR(INDEX(PP_Grid[#Data],$DD632,41),0)</f>
        <v/>
      </c>
      <c r="AR632">
        <f>IFERROR(INDEX(PP_Grid[#Data],$DD632,42),0)</f>
        <v/>
      </c>
      <c r="AS632">
        <f>IFERROR(INDEX(PP_Grid[#Data],$DD632,43),0)</f>
        <v/>
      </c>
      <c r="AT632">
        <f>IFERROR(INDEX(PP_Grid[#Data],$DD632,44),0)</f>
        <v/>
      </c>
      <c r="AU632">
        <f>IFERROR(INDEX(PP_Grid[#Data],$DD632,45),0)</f>
        <v/>
      </c>
      <c r="AV632">
        <f>IFERROR(INDEX(PP_Grid[#Data],$DD632,46),0)</f>
        <v/>
      </c>
      <c r="AW632">
        <f>IFERROR(INDEX(PP_Grid[#Data],$DD632,47),0)</f>
        <v/>
      </c>
      <c r="AX632">
        <f>IFERROR(INDEX(PP_Grid[#Data],$DD632,48),0)</f>
        <v/>
      </c>
      <c r="AY632">
        <f>IFERROR(INDEX(PP_Grid[#Data],$DD632,49),0)</f>
        <v/>
      </c>
      <c r="AZ632">
        <f>IFERROR(INDEX(PP_Grid[#Data],$DD632,50),0)</f>
        <v/>
      </c>
      <c r="BA632">
        <f>IFERROR(INDEX(PP_Grid[#Data],$DD632,51),0)</f>
        <v/>
      </c>
      <c r="BB632">
        <f>IFERROR(INDEX(PP_Grid[#Data],$DD632,52),0)</f>
        <v/>
      </c>
      <c r="BC632">
        <f>IFERROR(INDEX(PP_Grid[#Data],$DD632,53),0)</f>
        <v/>
      </c>
      <c r="BD632">
        <f>IFERROR(INDEX(PP_Grid[#Data],$DD632,54),0)</f>
        <v/>
      </c>
      <c r="BE632">
        <f>IFERROR(INDEX(PP_Grid[#Data],$DD632,55),0)</f>
        <v/>
      </c>
      <c r="BF632">
        <f>IFERROR(INDEX(PP_Grid[#Data],$DD632,56),0)</f>
        <v/>
      </c>
      <c r="BG632">
        <f>IFERROR(INDEX(PP_Grid[#Data],$DD632,57),0)</f>
        <v/>
      </c>
      <c r="BH632">
        <f>IFERROR(INDEX(PP_Grid[#Data],$DD632,58),0)</f>
        <v/>
      </c>
      <c r="BI632">
        <f>IFERROR(INDEX(PP_Grid[#Data],$DD632,59),0)</f>
        <v/>
      </c>
      <c r="BJ632">
        <f>IFERROR(INDEX(PP_Grid[#Data],$DD632,60),0)</f>
        <v/>
      </c>
      <c r="BK632">
        <f>IFERROR(INDEX(PP_Grid[#Data],$DD632,61),0)</f>
        <v/>
      </c>
      <c r="BL632">
        <f>IFERROR(INDEX(PP_Grid[#Data],$DD632,62),0)</f>
        <v/>
      </c>
      <c r="BM632">
        <f>IFERROR(INDEX(PP_Grid[#Data],$DD632,63),0)</f>
        <v/>
      </c>
      <c r="BN632">
        <f>IFERROR(INDEX(PP_Grid[#Data],$DD632,64),0)</f>
        <v/>
      </c>
      <c r="BO632">
        <f>IFERROR(INDEX(PP_Grid[#Data],$DD632,65),0)</f>
        <v/>
      </c>
      <c r="BP632">
        <f>IFERROR(INDEX(PP_Grid[#Data],$DD632,66),0)</f>
        <v/>
      </c>
      <c r="BQ632">
        <f>IFERROR(INDEX(PP_Grid[#Data],$DD632,67),0)</f>
        <v/>
      </c>
      <c r="BR632">
        <f>IFERROR(INDEX(PP_Grid[#Data],$DD632,68),0)</f>
        <v/>
      </c>
      <c r="BS632">
        <f>IFERROR(INDEX(PP_Grid[#Data],$DD632,69),0)</f>
        <v/>
      </c>
      <c r="BT632">
        <f>IFERROR(INDEX(PP_Grid[#Data],$DD632,70),0)</f>
        <v/>
      </c>
      <c r="BU632">
        <f>IFERROR(INDEX(PP_Grid[#Data],$DD632,71),0)</f>
        <v/>
      </c>
      <c r="BV632">
        <f>IFERROR(INDEX(PP_Grid[#Data],$DD632,72),0)</f>
        <v/>
      </c>
      <c r="BW632">
        <f>IFERROR(INDEX(PP_Grid[#Data],$DD632,73),0)</f>
        <v/>
      </c>
      <c r="BX632">
        <f>IFERROR(INDEX(PP_Grid[#Data],$DD632,74),0)</f>
        <v/>
      </c>
      <c r="BY632">
        <f>IFERROR(INDEX(PP_Grid[#Data],$DD632,75),0)</f>
        <v/>
      </c>
      <c r="BZ632">
        <f>IFERROR(INDEX(PP_Grid[#Data],$DD632,76),0)</f>
        <v/>
      </c>
      <c r="CA632">
        <f>IFERROR(INDEX(PP_Grid[#Data],$DD632,77),0)</f>
        <v/>
      </c>
      <c r="CB632">
        <f>IFERROR(INDEX(PP_Grid[#Data],$DD632,78),0)</f>
        <v/>
      </c>
      <c r="CC632">
        <f>IFERROR(INDEX(PP_Grid[#Data],$DD632,79),0)</f>
        <v/>
      </c>
      <c r="CD632">
        <f>IFERROR(INDEX(PP_Grid[#Data],$DD632,80),0)</f>
        <v/>
      </c>
      <c r="CE632">
        <f>IFERROR(INDEX(PP_Grid[#Data],$DD632,81),0)</f>
        <v/>
      </c>
      <c r="CF632">
        <f>IFERROR(INDEX(PP_Grid[#Data],$DD632,82),0)</f>
        <v/>
      </c>
      <c r="CG632">
        <f>IFERROR(INDEX(PP_Grid[#Data],$DD632,83),0)</f>
        <v/>
      </c>
      <c r="CH632">
        <f>IFERROR(INDEX(PP_Grid[#Data],$DD632,84),0)</f>
        <v/>
      </c>
      <c r="CI632">
        <f>IFERROR(INDEX(PP_Grid[#Data],$DD632,85),0)</f>
        <v/>
      </c>
      <c r="CJ632">
        <f>IFERROR(INDEX(PP_Grid[#Data],$DD632,86),0)</f>
        <v/>
      </c>
      <c r="CK632">
        <f>IFERROR(INDEX(PP_Grid[#Data],$DD632,87),0)</f>
        <v/>
      </c>
      <c r="CL632">
        <f>IFERROR(INDEX(PP_Grid[#Data],$DD632,88),0)</f>
        <v/>
      </c>
      <c r="CM632">
        <f>IFERROR(INDEX(PP_Grid[#Data],$DD632,89),0)</f>
        <v/>
      </c>
      <c r="CN632">
        <f>IFERROR(INDEX(PP_Grid[#Data],$DD632,90),0)</f>
        <v/>
      </c>
      <c r="CO632">
        <f>IFERROR(INDEX(PP_Grid[#Data],$DD632,91),0)</f>
        <v/>
      </c>
      <c r="CP632">
        <f>IFERROR(INDEX(PP_Grid[#Data],$DD632,92),0)</f>
        <v/>
      </c>
      <c r="CQ632">
        <f>IFERROR(INDEX(PP_Grid[#Data],$DD632,93),0)</f>
        <v/>
      </c>
      <c r="CR632">
        <f>IFERROR(INDEX(PP_Grid[#Data],$DD632,94),0)</f>
        <v/>
      </c>
      <c r="CS632">
        <f>IFERROR(INDEX(PP_Grid[#Data],$DD632,95),0)</f>
        <v/>
      </c>
      <c r="CT632">
        <f>IFERROR(INDEX(PP_Grid[#Data],$DD632,96),0)</f>
        <v/>
      </c>
      <c r="CU632">
        <f>IFERROR(INDEX(PP_Grid[#Data],$DD632,97),0)</f>
        <v/>
      </c>
      <c r="CV632">
        <f>IFERROR(INDEX(PP_Grid[#Data],$DD632,98),0)</f>
        <v/>
      </c>
      <c r="CW632">
        <f>IFERROR(INDEX(PP_Grid[#Data],$DD632,99),0)</f>
        <v/>
      </c>
      <c r="CX632">
        <f>IFERROR(INDEX(PP_Grid[#Data],$DD632,100),0)</f>
        <v/>
      </c>
      <c r="CY632">
        <f>IFERROR(INDEX(PP_Grid[#Data],$DD632,101),0)</f>
        <v/>
      </c>
      <c r="CZ632">
        <f>IFERROR(INDEX(PP_Grid[#Data],$DD632,102),0)</f>
        <v/>
      </c>
      <c r="DA632">
        <f>IFERROR(INDEX(PP_Grid[#Data],$DD632,103),0)</f>
        <v/>
      </c>
      <c r="DB632">
        <f>IFERROR(INDEX(PP_Grid[#Data],$DD632,104),0)</f>
        <v/>
      </c>
      <c r="DC632">
        <f>IFERROR(INDEX(PP_Grid[#Data],$DD632,105),0)</f>
        <v/>
      </c>
      <c r="DD632" s="7">
        <f>IFERROR(MATCH($B632,PP_Grid[Intermediate],0),99999)</f>
        <v/>
      </c>
    </row>
    <row r="633">
      <c r="B633" t="inlineStr">
        <is>
          <t>使用量(kg)</t>
        </is>
      </c>
      <c r="C633">
        <f>SUMIFS(M_BOM[RM_Qty_Per_Batch],M_BOM[Intermediate],$B632,M_BOM[Part Name],$A589)</f>
        <v/>
      </c>
      <c r="D633">
        <f>$C633*D632</f>
        <v/>
      </c>
      <c r="E633">
        <f>$C633*E632</f>
        <v/>
      </c>
      <c r="F633">
        <f>$C633*F632</f>
        <v/>
      </c>
      <c r="G633">
        <f>$C633*G632</f>
        <v/>
      </c>
      <c r="H633">
        <f>$C633*H632</f>
        <v/>
      </c>
      <c r="I633">
        <f>$C633*I632</f>
        <v/>
      </c>
      <c r="J633">
        <f>$C633*J632</f>
        <v/>
      </c>
      <c r="K633">
        <f>$C633*K632</f>
        <v/>
      </c>
      <c r="L633">
        <f>$C633*L632</f>
        <v/>
      </c>
      <c r="M633">
        <f>$C633*M632</f>
        <v/>
      </c>
      <c r="N633">
        <f>$C633*N632</f>
        <v/>
      </c>
      <c r="O633">
        <f>$C633*O632</f>
        <v/>
      </c>
      <c r="P633">
        <f>$C633*P632</f>
        <v/>
      </c>
      <c r="Q633">
        <f>$C633*Q632</f>
        <v/>
      </c>
      <c r="R633">
        <f>$C633*R632</f>
        <v/>
      </c>
      <c r="S633">
        <f>$C633*S632</f>
        <v/>
      </c>
      <c r="T633">
        <f>$C633*T632</f>
        <v/>
      </c>
      <c r="U633">
        <f>$C633*U632</f>
        <v/>
      </c>
      <c r="V633">
        <f>$C633*V632</f>
        <v/>
      </c>
      <c r="W633">
        <f>$C633*W632</f>
        <v/>
      </c>
      <c r="X633">
        <f>$C633*X632</f>
        <v/>
      </c>
      <c r="Y633">
        <f>$C633*Y632</f>
        <v/>
      </c>
      <c r="Z633">
        <f>$C633*Z632</f>
        <v/>
      </c>
      <c r="AA633">
        <f>$C633*AA632</f>
        <v/>
      </c>
      <c r="AB633">
        <f>$C633*AB632</f>
        <v/>
      </c>
      <c r="AC633">
        <f>$C633*AC632</f>
        <v/>
      </c>
      <c r="AD633">
        <f>$C633*AD632</f>
        <v/>
      </c>
      <c r="AE633">
        <f>$C633*AE632</f>
        <v/>
      </c>
      <c r="AF633">
        <f>$C633*AF632</f>
        <v/>
      </c>
      <c r="AG633">
        <f>$C633*AG632</f>
        <v/>
      </c>
      <c r="AH633">
        <f>$C633*AH632</f>
        <v/>
      </c>
      <c r="AI633">
        <f>$C633*AI632</f>
        <v/>
      </c>
      <c r="AJ633">
        <f>$C633*AJ632</f>
        <v/>
      </c>
      <c r="AK633">
        <f>$C633*AK632</f>
        <v/>
      </c>
      <c r="AL633">
        <f>$C633*AL632</f>
        <v/>
      </c>
      <c r="AM633">
        <f>$C633*AM632</f>
        <v/>
      </c>
      <c r="AN633">
        <f>$C633*AN632</f>
        <v/>
      </c>
      <c r="AO633">
        <f>$C633*AO632</f>
        <v/>
      </c>
      <c r="AP633">
        <f>$C633*AP632</f>
        <v/>
      </c>
      <c r="AQ633">
        <f>$C633*AQ632</f>
        <v/>
      </c>
      <c r="AR633">
        <f>$C633*AR632</f>
        <v/>
      </c>
      <c r="AS633">
        <f>$C633*AS632</f>
        <v/>
      </c>
      <c r="AT633">
        <f>$C633*AT632</f>
        <v/>
      </c>
      <c r="AU633">
        <f>$C633*AU632</f>
        <v/>
      </c>
      <c r="AV633">
        <f>$C633*AV632</f>
        <v/>
      </c>
      <c r="AW633">
        <f>$C633*AW632</f>
        <v/>
      </c>
      <c r="AX633">
        <f>$C633*AX632</f>
        <v/>
      </c>
      <c r="AY633">
        <f>$C633*AY632</f>
        <v/>
      </c>
      <c r="AZ633">
        <f>$C633*AZ632</f>
        <v/>
      </c>
      <c r="BA633">
        <f>$C633*BA632</f>
        <v/>
      </c>
      <c r="BB633">
        <f>$C633*BB632</f>
        <v/>
      </c>
      <c r="BC633">
        <f>$C633*BC632</f>
        <v/>
      </c>
      <c r="BD633">
        <f>$C633*BD632</f>
        <v/>
      </c>
      <c r="BE633">
        <f>$C633*BE632</f>
        <v/>
      </c>
      <c r="BF633">
        <f>$C633*BF632</f>
        <v/>
      </c>
      <c r="BG633">
        <f>$C633*BG632</f>
        <v/>
      </c>
      <c r="BH633">
        <f>$C633*BH632</f>
        <v/>
      </c>
      <c r="BI633">
        <f>$C633*BI632</f>
        <v/>
      </c>
      <c r="BJ633">
        <f>$C633*BJ632</f>
        <v/>
      </c>
      <c r="BK633">
        <f>$C633*BK632</f>
        <v/>
      </c>
      <c r="BL633">
        <f>$C633*BL632</f>
        <v/>
      </c>
      <c r="BM633">
        <f>$C633*BM632</f>
        <v/>
      </c>
      <c r="BN633">
        <f>$C633*BN632</f>
        <v/>
      </c>
      <c r="BO633">
        <f>$C633*BO632</f>
        <v/>
      </c>
      <c r="BP633">
        <f>$C633*BP632</f>
        <v/>
      </c>
      <c r="BQ633">
        <f>$C633*BQ632</f>
        <v/>
      </c>
      <c r="BR633">
        <f>$C633*BR632</f>
        <v/>
      </c>
      <c r="BS633">
        <f>$C633*BS632</f>
        <v/>
      </c>
      <c r="BT633">
        <f>$C633*BT632</f>
        <v/>
      </c>
      <c r="BU633">
        <f>$C633*BU632</f>
        <v/>
      </c>
      <c r="BV633">
        <f>$C633*BV632</f>
        <v/>
      </c>
      <c r="BW633">
        <f>$C633*BW632</f>
        <v/>
      </c>
      <c r="BX633">
        <f>$C633*BX632</f>
        <v/>
      </c>
      <c r="BY633">
        <f>$C633*BY632</f>
        <v/>
      </c>
      <c r="BZ633">
        <f>$C633*BZ632</f>
        <v/>
      </c>
      <c r="CA633">
        <f>$C633*CA632</f>
        <v/>
      </c>
      <c r="CB633">
        <f>$C633*CB632</f>
        <v/>
      </c>
      <c r="CC633">
        <f>$C633*CC632</f>
        <v/>
      </c>
      <c r="CD633">
        <f>$C633*CD632</f>
        <v/>
      </c>
      <c r="CE633">
        <f>$C633*CE632</f>
        <v/>
      </c>
      <c r="CF633">
        <f>$C633*CF632</f>
        <v/>
      </c>
      <c r="CG633">
        <f>$C633*CG632</f>
        <v/>
      </c>
      <c r="CH633">
        <f>$C633*CH632</f>
        <v/>
      </c>
      <c r="CI633">
        <f>$C633*CI632</f>
        <v/>
      </c>
      <c r="CJ633">
        <f>$C633*CJ632</f>
        <v/>
      </c>
      <c r="CK633">
        <f>$C633*CK632</f>
        <v/>
      </c>
      <c r="CL633">
        <f>$C633*CL632</f>
        <v/>
      </c>
      <c r="CM633">
        <f>$C633*CM632</f>
        <v/>
      </c>
      <c r="CN633">
        <f>$C633*CN632</f>
        <v/>
      </c>
      <c r="CO633">
        <f>$C633*CO632</f>
        <v/>
      </c>
      <c r="CP633">
        <f>$C633*CP632</f>
        <v/>
      </c>
      <c r="CQ633">
        <f>$C633*CQ632</f>
        <v/>
      </c>
      <c r="CR633">
        <f>$C633*CR632</f>
        <v/>
      </c>
      <c r="CS633">
        <f>$C633*CS632</f>
        <v/>
      </c>
      <c r="CT633">
        <f>$C633*CT632</f>
        <v/>
      </c>
      <c r="CU633">
        <f>$C633*CU632</f>
        <v/>
      </c>
      <c r="CV633">
        <f>$C633*CV632</f>
        <v/>
      </c>
      <c r="CW633">
        <f>$C633*CW632</f>
        <v/>
      </c>
      <c r="CX633">
        <f>$C633*CX632</f>
        <v/>
      </c>
      <c r="CY633">
        <f>$C633*CY632</f>
        <v/>
      </c>
      <c r="CZ633">
        <f>$C633*CZ632</f>
        <v/>
      </c>
      <c r="DA633">
        <f>$C633*DA632</f>
        <v/>
      </c>
      <c r="DB633">
        <f>$C633*DB632</f>
        <v/>
      </c>
      <c r="DC633">
        <f>$C633*DC632</f>
        <v/>
      </c>
    </row>
    <row r="634">
      <c r="B634" t="inlineStr">
        <is>
          <t>TPP-609</t>
        </is>
      </c>
      <c r="C634" t="inlineStr">
        <is>
          <t>No. of batches</t>
        </is>
      </c>
      <c r="D634">
        <f>IFERROR(INDEX(PP_Grid[#Data],$DD634,2),0)</f>
        <v/>
      </c>
      <c r="E634">
        <f>IFERROR(INDEX(PP_Grid[#Data],$DD634,3),0)</f>
        <v/>
      </c>
      <c r="F634">
        <f>IFERROR(INDEX(PP_Grid[#Data],$DD634,4),0)</f>
        <v/>
      </c>
      <c r="G634">
        <f>IFERROR(INDEX(PP_Grid[#Data],$DD634,5),0)</f>
        <v/>
      </c>
      <c r="H634">
        <f>IFERROR(INDEX(PP_Grid[#Data],$DD634,6),0)</f>
        <v/>
      </c>
      <c r="I634">
        <f>IFERROR(INDEX(PP_Grid[#Data],$DD634,7),0)</f>
        <v/>
      </c>
      <c r="J634">
        <f>IFERROR(INDEX(PP_Grid[#Data],$DD634,8),0)</f>
        <v/>
      </c>
      <c r="K634">
        <f>IFERROR(INDEX(PP_Grid[#Data],$DD634,9),0)</f>
        <v/>
      </c>
      <c r="L634">
        <f>IFERROR(INDEX(PP_Grid[#Data],$DD634,10),0)</f>
        <v/>
      </c>
      <c r="M634">
        <f>IFERROR(INDEX(PP_Grid[#Data],$DD634,11),0)</f>
        <v/>
      </c>
      <c r="N634">
        <f>IFERROR(INDEX(PP_Grid[#Data],$DD634,12),0)</f>
        <v/>
      </c>
      <c r="O634">
        <f>IFERROR(INDEX(PP_Grid[#Data],$DD634,13),0)</f>
        <v/>
      </c>
      <c r="P634">
        <f>IFERROR(INDEX(PP_Grid[#Data],$DD634,14),0)</f>
        <v/>
      </c>
      <c r="Q634">
        <f>IFERROR(INDEX(PP_Grid[#Data],$DD634,15),0)</f>
        <v/>
      </c>
      <c r="R634">
        <f>IFERROR(INDEX(PP_Grid[#Data],$DD634,16),0)</f>
        <v/>
      </c>
      <c r="S634">
        <f>IFERROR(INDEX(PP_Grid[#Data],$DD634,17),0)</f>
        <v/>
      </c>
      <c r="T634">
        <f>IFERROR(INDEX(PP_Grid[#Data],$DD634,18),0)</f>
        <v/>
      </c>
      <c r="U634">
        <f>IFERROR(INDEX(PP_Grid[#Data],$DD634,19),0)</f>
        <v/>
      </c>
      <c r="V634">
        <f>IFERROR(INDEX(PP_Grid[#Data],$DD634,20),0)</f>
        <v/>
      </c>
      <c r="W634">
        <f>IFERROR(INDEX(PP_Grid[#Data],$DD634,21),0)</f>
        <v/>
      </c>
      <c r="X634">
        <f>IFERROR(INDEX(PP_Grid[#Data],$DD634,22),0)</f>
        <v/>
      </c>
      <c r="Y634">
        <f>IFERROR(INDEX(PP_Grid[#Data],$DD634,23),0)</f>
        <v/>
      </c>
      <c r="Z634">
        <f>IFERROR(INDEX(PP_Grid[#Data],$DD634,24),0)</f>
        <v/>
      </c>
      <c r="AA634">
        <f>IFERROR(INDEX(PP_Grid[#Data],$DD634,25),0)</f>
        <v/>
      </c>
      <c r="AB634">
        <f>IFERROR(INDEX(PP_Grid[#Data],$DD634,26),0)</f>
        <v/>
      </c>
      <c r="AC634">
        <f>IFERROR(INDEX(PP_Grid[#Data],$DD634,27),0)</f>
        <v/>
      </c>
      <c r="AD634">
        <f>IFERROR(INDEX(PP_Grid[#Data],$DD634,28),0)</f>
        <v/>
      </c>
      <c r="AE634">
        <f>IFERROR(INDEX(PP_Grid[#Data],$DD634,29),0)</f>
        <v/>
      </c>
      <c r="AF634">
        <f>IFERROR(INDEX(PP_Grid[#Data],$DD634,30),0)</f>
        <v/>
      </c>
      <c r="AG634">
        <f>IFERROR(INDEX(PP_Grid[#Data],$DD634,31),0)</f>
        <v/>
      </c>
      <c r="AH634">
        <f>IFERROR(INDEX(PP_Grid[#Data],$DD634,32),0)</f>
        <v/>
      </c>
      <c r="AI634">
        <f>IFERROR(INDEX(PP_Grid[#Data],$DD634,33),0)</f>
        <v/>
      </c>
      <c r="AJ634">
        <f>IFERROR(INDEX(PP_Grid[#Data],$DD634,34),0)</f>
        <v/>
      </c>
      <c r="AK634">
        <f>IFERROR(INDEX(PP_Grid[#Data],$DD634,35),0)</f>
        <v/>
      </c>
      <c r="AL634">
        <f>IFERROR(INDEX(PP_Grid[#Data],$DD634,36),0)</f>
        <v/>
      </c>
      <c r="AM634">
        <f>IFERROR(INDEX(PP_Grid[#Data],$DD634,37),0)</f>
        <v/>
      </c>
      <c r="AN634">
        <f>IFERROR(INDEX(PP_Grid[#Data],$DD634,38),0)</f>
        <v/>
      </c>
      <c r="AO634">
        <f>IFERROR(INDEX(PP_Grid[#Data],$DD634,39),0)</f>
        <v/>
      </c>
      <c r="AP634">
        <f>IFERROR(INDEX(PP_Grid[#Data],$DD634,40),0)</f>
        <v/>
      </c>
      <c r="AQ634">
        <f>IFERROR(INDEX(PP_Grid[#Data],$DD634,41),0)</f>
        <v/>
      </c>
      <c r="AR634">
        <f>IFERROR(INDEX(PP_Grid[#Data],$DD634,42),0)</f>
        <v/>
      </c>
      <c r="AS634">
        <f>IFERROR(INDEX(PP_Grid[#Data],$DD634,43),0)</f>
        <v/>
      </c>
      <c r="AT634">
        <f>IFERROR(INDEX(PP_Grid[#Data],$DD634,44),0)</f>
        <v/>
      </c>
      <c r="AU634">
        <f>IFERROR(INDEX(PP_Grid[#Data],$DD634,45),0)</f>
        <v/>
      </c>
      <c r="AV634">
        <f>IFERROR(INDEX(PP_Grid[#Data],$DD634,46),0)</f>
        <v/>
      </c>
      <c r="AW634">
        <f>IFERROR(INDEX(PP_Grid[#Data],$DD634,47),0)</f>
        <v/>
      </c>
      <c r="AX634">
        <f>IFERROR(INDEX(PP_Grid[#Data],$DD634,48),0)</f>
        <v/>
      </c>
      <c r="AY634">
        <f>IFERROR(INDEX(PP_Grid[#Data],$DD634,49),0)</f>
        <v/>
      </c>
      <c r="AZ634">
        <f>IFERROR(INDEX(PP_Grid[#Data],$DD634,50),0)</f>
        <v/>
      </c>
      <c r="BA634">
        <f>IFERROR(INDEX(PP_Grid[#Data],$DD634,51),0)</f>
        <v/>
      </c>
      <c r="BB634">
        <f>IFERROR(INDEX(PP_Grid[#Data],$DD634,52),0)</f>
        <v/>
      </c>
      <c r="BC634">
        <f>IFERROR(INDEX(PP_Grid[#Data],$DD634,53),0)</f>
        <v/>
      </c>
      <c r="BD634">
        <f>IFERROR(INDEX(PP_Grid[#Data],$DD634,54),0)</f>
        <v/>
      </c>
      <c r="BE634">
        <f>IFERROR(INDEX(PP_Grid[#Data],$DD634,55),0)</f>
        <v/>
      </c>
      <c r="BF634">
        <f>IFERROR(INDEX(PP_Grid[#Data],$DD634,56),0)</f>
        <v/>
      </c>
      <c r="BG634">
        <f>IFERROR(INDEX(PP_Grid[#Data],$DD634,57),0)</f>
        <v/>
      </c>
      <c r="BH634">
        <f>IFERROR(INDEX(PP_Grid[#Data],$DD634,58),0)</f>
        <v/>
      </c>
      <c r="BI634">
        <f>IFERROR(INDEX(PP_Grid[#Data],$DD634,59),0)</f>
        <v/>
      </c>
      <c r="BJ634">
        <f>IFERROR(INDEX(PP_Grid[#Data],$DD634,60),0)</f>
        <v/>
      </c>
      <c r="BK634">
        <f>IFERROR(INDEX(PP_Grid[#Data],$DD634,61),0)</f>
        <v/>
      </c>
      <c r="BL634">
        <f>IFERROR(INDEX(PP_Grid[#Data],$DD634,62),0)</f>
        <v/>
      </c>
      <c r="BM634">
        <f>IFERROR(INDEX(PP_Grid[#Data],$DD634,63),0)</f>
        <v/>
      </c>
      <c r="BN634">
        <f>IFERROR(INDEX(PP_Grid[#Data],$DD634,64),0)</f>
        <v/>
      </c>
      <c r="BO634">
        <f>IFERROR(INDEX(PP_Grid[#Data],$DD634,65),0)</f>
        <v/>
      </c>
      <c r="BP634">
        <f>IFERROR(INDEX(PP_Grid[#Data],$DD634,66),0)</f>
        <v/>
      </c>
      <c r="BQ634">
        <f>IFERROR(INDEX(PP_Grid[#Data],$DD634,67),0)</f>
        <v/>
      </c>
      <c r="BR634">
        <f>IFERROR(INDEX(PP_Grid[#Data],$DD634,68),0)</f>
        <v/>
      </c>
      <c r="BS634">
        <f>IFERROR(INDEX(PP_Grid[#Data],$DD634,69),0)</f>
        <v/>
      </c>
      <c r="BT634">
        <f>IFERROR(INDEX(PP_Grid[#Data],$DD634,70),0)</f>
        <v/>
      </c>
      <c r="BU634">
        <f>IFERROR(INDEX(PP_Grid[#Data],$DD634,71),0)</f>
        <v/>
      </c>
      <c r="BV634">
        <f>IFERROR(INDEX(PP_Grid[#Data],$DD634,72),0)</f>
        <v/>
      </c>
      <c r="BW634">
        <f>IFERROR(INDEX(PP_Grid[#Data],$DD634,73),0)</f>
        <v/>
      </c>
      <c r="BX634">
        <f>IFERROR(INDEX(PP_Grid[#Data],$DD634,74),0)</f>
        <v/>
      </c>
      <c r="BY634">
        <f>IFERROR(INDEX(PP_Grid[#Data],$DD634,75),0)</f>
        <v/>
      </c>
      <c r="BZ634">
        <f>IFERROR(INDEX(PP_Grid[#Data],$DD634,76),0)</f>
        <v/>
      </c>
      <c r="CA634">
        <f>IFERROR(INDEX(PP_Grid[#Data],$DD634,77),0)</f>
        <v/>
      </c>
      <c r="CB634">
        <f>IFERROR(INDEX(PP_Grid[#Data],$DD634,78),0)</f>
        <v/>
      </c>
      <c r="CC634">
        <f>IFERROR(INDEX(PP_Grid[#Data],$DD634,79),0)</f>
        <v/>
      </c>
      <c r="CD634">
        <f>IFERROR(INDEX(PP_Grid[#Data],$DD634,80),0)</f>
        <v/>
      </c>
      <c r="CE634">
        <f>IFERROR(INDEX(PP_Grid[#Data],$DD634,81),0)</f>
        <v/>
      </c>
      <c r="CF634">
        <f>IFERROR(INDEX(PP_Grid[#Data],$DD634,82),0)</f>
        <v/>
      </c>
      <c r="CG634">
        <f>IFERROR(INDEX(PP_Grid[#Data],$DD634,83),0)</f>
        <v/>
      </c>
      <c r="CH634">
        <f>IFERROR(INDEX(PP_Grid[#Data],$DD634,84),0)</f>
        <v/>
      </c>
      <c r="CI634">
        <f>IFERROR(INDEX(PP_Grid[#Data],$DD634,85),0)</f>
        <v/>
      </c>
      <c r="CJ634">
        <f>IFERROR(INDEX(PP_Grid[#Data],$DD634,86),0)</f>
        <v/>
      </c>
      <c r="CK634">
        <f>IFERROR(INDEX(PP_Grid[#Data],$DD634,87),0)</f>
        <v/>
      </c>
      <c r="CL634">
        <f>IFERROR(INDEX(PP_Grid[#Data],$DD634,88),0)</f>
        <v/>
      </c>
      <c r="CM634">
        <f>IFERROR(INDEX(PP_Grid[#Data],$DD634,89),0)</f>
        <v/>
      </c>
      <c r="CN634">
        <f>IFERROR(INDEX(PP_Grid[#Data],$DD634,90),0)</f>
        <v/>
      </c>
      <c r="CO634">
        <f>IFERROR(INDEX(PP_Grid[#Data],$DD634,91),0)</f>
        <v/>
      </c>
      <c r="CP634">
        <f>IFERROR(INDEX(PP_Grid[#Data],$DD634,92),0)</f>
        <v/>
      </c>
      <c r="CQ634">
        <f>IFERROR(INDEX(PP_Grid[#Data],$DD634,93),0)</f>
        <v/>
      </c>
      <c r="CR634">
        <f>IFERROR(INDEX(PP_Grid[#Data],$DD634,94),0)</f>
        <v/>
      </c>
      <c r="CS634">
        <f>IFERROR(INDEX(PP_Grid[#Data],$DD634,95),0)</f>
        <v/>
      </c>
      <c r="CT634">
        <f>IFERROR(INDEX(PP_Grid[#Data],$DD634,96),0)</f>
        <v/>
      </c>
      <c r="CU634">
        <f>IFERROR(INDEX(PP_Grid[#Data],$DD634,97),0)</f>
        <v/>
      </c>
      <c r="CV634">
        <f>IFERROR(INDEX(PP_Grid[#Data],$DD634,98),0)</f>
        <v/>
      </c>
      <c r="CW634">
        <f>IFERROR(INDEX(PP_Grid[#Data],$DD634,99),0)</f>
        <v/>
      </c>
      <c r="CX634">
        <f>IFERROR(INDEX(PP_Grid[#Data],$DD634,100),0)</f>
        <v/>
      </c>
      <c r="CY634">
        <f>IFERROR(INDEX(PP_Grid[#Data],$DD634,101),0)</f>
        <v/>
      </c>
      <c r="CZ634">
        <f>IFERROR(INDEX(PP_Grid[#Data],$DD634,102),0)</f>
        <v/>
      </c>
      <c r="DA634">
        <f>IFERROR(INDEX(PP_Grid[#Data],$DD634,103),0)</f>
        <v/>
      </c>
      <c r="DB634">
        <f>IFERROR(INDEX(PP_Grid[#Data],$DD634,104),0)</f>
        <v/>
      </c>
      <c r="DC634">
        <f>IFERROR(INDEX(PP_Grid[#Data],$DD634,105),0)</f>
        <v/>
      </c>
      <c r="DD634" s="7">
        <f>IFERROR(MATCH($B634,PP_Grid[Intermediate],0),99999)</f>
        <v/>
      </c>
    </row>
    <row r="635">
      <c r="B635" t="inlineStr">
        <is>
          <t>使用量(kg)</t>
        </is>
      </c>
      <c r="C635">
        <f>SUMIFS(M_BOM[RM_Qty_Per_Batch],M_BOM[Intermediate],$B634,M_BOM[Part Name],$A589)</f>
        <v/>
      </c>
      <c r="D635">
        <f>$C635*D634</f>
        <v/>
      </c>
      <c r="E635">
        <f>$C635*E634</f>
        <v/>
      </c>
      <c r="F635">
        <f>$C635*F634</f>
        <v/>
      </c>
      <c r="G635">
        <f>$C635*G634</f>
        <v/>
      </c>
      <c r="H635">
        <f>$C635*H634</f>
        <v/>
      </c>
      <c r="I635">
        <f>$C635*I634</f>
        <v/>
      </c>
      <c r="J635">
        <f>$C635*J634</f>
        <v/>
      </c>
      <c r="K635">
        <f>$C635*K634</f>
        <v/>
      </c>
      <c r="L635">
        <f>$C635*L634</f>
        <v/>
      </c>
      <c r="M635">
        <f>$C635*M634</f>
        <v/>
      </c>
      <c r="N635">
        <f>$C635*N634</f>
        <v/>
      </c>
      <c r="O635">
        <f>$C635*O634</f>
        <v/>
      </c>
      <c r="P635">
        <f>$C635*P634</f>
        <v/>
      </c>
      <c r="Q635">
        <f>$C635*Q634</f>
        <v/>
      </c>
      <c r="R635">
        <f>$C635*R634</f>
        <v/>
      </c>
      <c r="S635">
        <f>$C635*S634</f>
        <v/>
      </c>
      <c r="T635">
        <f>$C635*T634</f>
        <v/>
      </c>
      <c r="U635">
        <f>$C635*U634</f>
        <v/>
      </c>
      <c r="V635">
        <f>$C635*V634</f>
        <v/>
      </c>
      <c r="W635">
        <f>$C635*W634</f>
        <v/>
      </c>
      <c r="X635">
        <f>$C635*X634</f>
        <v/>
      </c>
      <c r="Y635">
        <f>$C635*Y634</f>
        <v/>
      </c>
      <c r="Z635">
        <f>$C635*Z634</f>
        <v/>
      </c>
      <c r="AA635">
        <f>$C635*AA634</f>
        <v/>
      </c>
      <c r="AB635">
        <f>$C635*AB634</f>
        <v/>
      </c>
      <c r="AC635">
        <f>$C635*AC634</f>
        <v/>
      </c>
      <c r="AD635">
        <f>$C635*AD634</f>
        <v/>
      </c>
      <c r="AE635">
        <f>$C635*AE634</f>
        <v/>
      </c>
      <c r="AF635">
        <f>$C635*AF634</f>
        <v/>
      </c>
      <c r="AG635">
        <f>$C635*AG634</f>
        <v/>
      </c>
      <c r="AH635">
        <f>$C635*AH634</f>
        <v/>
      </c>
      <c r="AI635">
        <f>$C635*AI634</f>
        <v/>
      </c>
      <c r="AJ635">
        <f>$C635*AJ634</f>
        <v/>
      </c>
      <c r="AK635">
        <f>$C635*AK634</f>
        <v/>
      </c>
      <c r="AL635">
        <f>$C635*AL634</f>
        <v/>
      </c>
      <c r="AM635">
        <f>$C635*AM634</f>
        <v/>
      </c>
      <c r="AN635">
        <f>$C635*AN634</f>
        <v/>
      </c>
      <c r="AO635">
        <f>$C635*AO634</f>
        <v/>
      </c>
      <c r="AP635">
        <f>$C635*AP634</f>
        <v/>
      </c>
      <c r="AQ635">
        <f>$C635*AQ634</f>
        <v/>
      </c>
      <c r="AR635">
        <f>$C635*AR634</f>
        <v/>
      </c>
      <c r="AS635">
        <f>$C635*AS634</f>
        <v/>
      </c>
      <c r="AT635">
        <f>$C635*AT634</f>
        <v/>
      </c>
      <c r="AU635">
        <f>$C635*AU634</f>
        <v/>
      </c>
      <c r="AV635">
        <f>$C635*AV634</f>
        <v/>
      </c>
      <c r="AW635">
        <f>$C635*AW634</f>
        <v/>
      </c>
      <c r="AX635">
        <f>$C635*AX634</f>
        <v/>
      </c>
      <c r="AY635">
        <f>$C635*AY634</f>
        <v/>
      </c>
      <c r="AZ635">
        <f>$C635*AZ634</f>
        <v/>
      </c>
      <c r="BA635">
        <f>$C635*BA634</f>
        <v/>
      </c>
      <c r="BB635">
        <f>$C635*BB634</f>
        <v/>
      </c>
      <c r="BC635">
        <f>$C635*BC634</f>
        <v/>
      </c>
      <c r="BD635">
        <f>$C635*BD634</f>
        <v/>
      </c>
      <c r="BE635">
        <f>$C635*BE634</f>
        <v/>
      </c>
      <c r="BF635">
        <f>$C635*BF634</f>
        <v/>
      </c>
      <c r="BG635">
        <f>$C635*BG634</f>
        <v/>
      </c>
      <c r="BH635">
        <f>$C635*BH634</f>
        <v/>
      </c>
      <c r="BI635">
        <f>$C635*BI634</f>
        <v/>
      </c>
      <c r="BJ635">
        <f>$C635*BJ634</f>
        <v/>
      </c>
      <c r="BK635">
        <f>$C635*BK634</f>
        <v/>
      </c>
      <c r="BL635">
        <f>$C635*BL634</f>
        <v/>
      </c>
      <c r="BM635">
        <f>$C635*BM634</f>
        <v/>
      </c>
      <c r="BN635">
        <f>$C635*BN634</f>
        <v/>
      </c>
      <c r="BO635">
        <f>$C635*BO634</f>
        <v/>
      </c>
      <c r="BP635">
        <f>$C635*BP634</f>
        <v/>
      </c>
      <c r="BQ635">
        <f>$C635*BQ634</f>
        <v/>
      </c>
      <c r="BR635">
        <f>$C635*BR634</f>
        <v/>
      </c>
      <c r="BS635">
        <f>$C635*BS634</f>
        <v/>
      </c>
      <c r="BT635">
        <f>$C635*BT634</f>
        <v/>
      </c>
      <c r="BU635">
        <f>$C635*BU634</f>
        <v/>
      </c>
      <c r="BV635">
        <f>$C635*BV634</f>
        <v/>
      </c>
      <c r="BW635">
        <f>$C635*BW634</f>
        <v/>
      </c>
      <c r="BX635">
        <f>$C635*BX634</f>
        <v/>
      </c>
      <c r="BY635">
        <f>$C635*BY634</f>
        <v/>
      </c>
      <c r="BZ635">
        <f>$C635*BZ634</f>
        <v/>
      </c>
      <c r="CA635">
        <f>$C635*CA634</f>
        <v/>
      </c>
      <c r="CB635">
        <f>$C635*CB634</f>
        <v/>
      </c>
      <c r="CC635">
        <f>$C635*CC634</f>
        <v/>
      </c>
      <c r="CD635">
        <f>$C635*CD634</f>
        <v/>
      </c>
      <c r="CE635">
        <f>$C635*CE634</f>
        <v/>
      </c>
      <c r="CF635">
        <f>$C635*CF634</f>
        <v/>
      </c>
      <c r="CG635">
        <f>$C635*CG634</f>
        <v/>
      </c>
      <c r="CH635">
        <f>$C635*CH634</f>
        <v/>
      </c>
      <c r="CI635">
        <f>$C635*CI634</f>
        <v/>
      </c>
      <c r="CJ635">
        <f>$C635*CJ634</f>
        <v/>
      </c>
      <c r="CK635">
        <f>$C635*CK634</f>
        <v/>
      </c>
      <c r="CL635">
        <f>$C635*CL634</f>
        <v/>
      </c>
      <c r="CM635">
        <f>$C635*CM634</f>
        <v/>
      </c>
      <c r="CN635">
        <f>$C635*CN634</f>
        <v/>
      </c>
      <c r="CO635">
        <f>$C635*CO634</f>
        <v/>
      </c>
      <c r="CP635">
        <f>$C635*CP634</f>
        <v/>
      </c>
      <c r="CQ635">
        <f>$C635*CQ634</f>
        <v/>
      </c>
      <c r="CR635">
        <f>$C635*CR634</f>
        <v/>
      </c>
      <c r="CS635">
        <f>$C635*CS634</f>
        <v/>
      </c>
      <c r="CT635">
        <f>$C635*CT634</f>
        <v/>
      </c>
      <c r="CU635">
        <f>$C635*CU634</f>
        <v/>
      </c>
      <c r="CV635">
        <f>$C635*CV634</f>
        <v/>
      </c>
      <c r="CW635">
        <f>$C635*CW634</f>
        <v/>
      </c>
      <c r="CX635">
        <f>$C635*CX634</f>
        <v/>
      </c>
      <c r="CY635">
        <f>$C635*CY634</f>
        <v/>
      </c>
      <c r="CZ635">
        <f>$C635*CZ634</f>
        <v/>
      </c>
      <c r="DA635">
        <f>$C635*DA634</f>
        <v/>
      </c>
      <c r="DB635">
        <f>$C635*DB634</f>
        <v/>
      </c>
      <c r="DC635">
        <f>$C635*DC634</f>
        <v/>
      </c>
    </row>
    <row r="636">
      <c r="B636" t="inlineStr">
        <is>
          <t>TPP-911</t>
        </is>
      </c>
      <c r="C636" t="inlineStr">
        <is>
          <t>No. of batches</t>
        </is>
      </c>
      <c r="D636">
        <f>IFERROR(INDEX(PP_Grid[#Data],$DD636,2),0)</f>
        <v/>
      </c>
      <c r="E636">
        <f>IFERROR(INDEX(PP_Grid[#Data],$DD636,3),0)</f>
        <v/>
      </c>
      <c r="F636">
        <f>IFERROR(INDEX(PP_Grid[#Data],$DD636,4),0)</f>
        <v/>
      </c>
      <c r="G636">
        <f>IFERROR(INDEX(PP_Grid[#Data],$DD636,5),0)</f>
        <v/>
      </c>
      <c r="H636">
        <f>IFERROR(INDEX(PP_Grid[#Data],$DD636,6),0)</f>
        <v/>
      </c>
      <c r="I636">
        <f>IFERROR(INDEX(PP_Grid[#Data],$DD636,7),0)</f>
        <v/>
      </c>
      <c r="J636">
        <f>IFERROR(INDEX(PP_Grid[#Data],$DD636,8),0)</f>
        <v/>
      </c>
      <c r="K636">
        <f>IFERROR(INDEX(PP_Grid[#Data],$DD636,9),0)</f>
        <v/>
      </c>
      <c r="L636">
        <f>IFERROR(INDEX(PP_Grid[#Data],$DD636,10),0)</f>
        <v/>
      </c>
      <c r="M636">
        <f>IFERROR(INDEX(PP_Grid[#Data],$DD636,11),0)</f>
        <v/>
      </c>
      <c r="N636">
        <f>IFERROR(INDEX(PP_Grid[#Data],$DD636,12),0)</f>
        <v/>
      </c>
      <c r="O636">
        <f>IFERROR(INDEX(PP_Grid[#Data],$DD636,13),0)</f>
        <v/>
      </c>
      <c r="P636">
        <f>IFERROR(INDEX(PP_Grid[#Data],$DD636,14),0)</f>
        <v/>
      </c>
      <c r="Q636">
        <f>IFERROR(INDEX(PP_Grid[#Data],$DD636,15),0)</f>
        <v/>
      </c>
      <c r="R636">
        <f>IFERROR(INDEX(PP_Grid[#Data],$DD636,16),0)</f>
        <v/>
      </c>
      <c r="S636">
        <f>IFERROR(INDEX(PP_Grid[#Data],$DD636,17),0)</f>
        <v/>
      </c>
      <c r="T636">
        <f>IFERROR(INDEX(PP_Grid[#Data],$DD636,18),0)</f>
        <v/>
      </c>
      <c r="U636">
        <f>IFERROR(INDEX(PP_Grid[#Data],$DD636,19),0)</f>
        <v/>
      </c>
      <c r="V636">
        <f>IFERROR(INDEX(PP_Grid[#Data],$DD636,20),0)</f>
        <v/>
      </c>
      <c r="W636">
        <f>IFERROR(INDEX(PP_Grid[#Data],$DD636,21),0)</f>
        <v/>
      </c>
      <c r="X636">
        <f>IFERROR(INDEX(PP_Grid[#Data],$DD636,22),0)</f>
        <v/>
      </c>
      <c r="Y636">
        <f>IFERROR(INDEX(PP_Grid[#Data],$DD636,23),0)</f>
        <v/>
      </c>
      <c r="Z636">
        <f>IFERROR(INDEX(PP_Grid[#Data],$DD636,24),0)</f>
        <v/>
      </c>
      <c r="AA636">
        <f>IFERROR(INDEX(PP_Grid[#Data],$DD636,25),0)</f>
        <v/>
      </c>
      <c r="AB636">
        <f>IFERROR(INDEX(PP_Grid[#Data],$DD636,26),0)</f>
        <v/>
      </c>
      <c r="AC636">
        <f>IFERROR(INDEX(PP_Grid[#Data],$DD636,27),0)</f>
        <v/>
      </c>
      <c r="AD636">
        <f>IFERROR(INDEX(PP_Grid[#Data],$DD636,28),0)</f>
        <v/>
      </c>
      <c r="AE636">
        <f>IFERROR(INDEX(PP_Grid[#Data],$DD636,29),0)</f>
        <v/>
      </c>
      <c r="AF636">
        <f>IFERROR(INDEX(PP_Grid[#Data],$DD636,30),0)</f>
        <v/>
      </c>
      <c r="AG636">
        <f>IFERROR(INDEX(PP_Grid[#Data],$DD636,31),0)</f>
        <v/>
      </c>
      <c r="AH636">
        <f>IFERROR(INDEX(PP_Grid[#Data],$DD636,32),0)</f>
        <v/>
      </c>
      <c r="AI636">
        <f>IFERROR(INDEX(PP_Grid[#Data],$DD636,33),0)</f>
        <v/>
      </c>
      <c r="AJ636">
        <f>IFERROR(INDEX(PP_Grid[#Data],$DD636,34),0)</f>
        <v/>
      </c>
      <c r="AK636">
        <f>IFERROR(INDEX(PP_Grid[#Data],$DD636,35),0)</f>
        <v/>
      </c>
      <c r="AL636">
        <f>IFERROR(INDEX(PP_Grid[#Data],$DD636,36),0)</f>
        <v/>
      </c>
      <c r="AM636">
        <f>IFERROR(INDEX(PP_Grid[#Data],$DD636,37),0)</f>
        <v/>
      </c>
      <c r="AN636">
        <f>IFERROR(INDEX(PP_Grid[#Data],$DD636,38),0)</f>
        <v/>
      </c>
      <c r="AO636">
        <f>IFERROR(INDEX(PP_Grid[#Data],$DD636,39),0)</f>
        <v/>
      </c>
      <c r="AP636">
        <f>IFERROR(INDEX(PP_Grid[#Data],$DD636,40),0)</f>
        <v/>
      </c>
      <c r="AQ636">
        <f>IFERROR(INDEX(PP_Grid[#Data],$DD636,41),0)</f>
        <v/>
      </c>
      <c r="AR636">
        <f>IFERROR(INDEX(PP_Grid[#Data],$DD636,42),0)</f>
        <v/>
      </c>
      <c r="AS636">
        <f>IFERROR(INDEX(PP_Grid[#Data],$DD636,43),0)</f>
        <v/>
      </c>
      <c r="AT636">
        <f>IFERROR(INDEX(PP_Grid[#Data],$DD636,44),0)</f>
        <v/>
      </c>
      <c r="AU636">
        <f>IFERROR(INDEX(PP_Grid[#Data],$DD636,45),0)</f>
        <v/>
      </c>
      <c r="AV636">
        <f>IFERROR(INDEX(PP_Grid[#Data],$DD636,46),0)</f>
        <v/>
      </c>
      <c r="AW636">
        <f>IFERROR(INDEX(PP_Grid[#Data],$DD636,47),0)</f>
        <v/>
      </c>
      <c r="AX636">
        <f>IFERROR(INDEX(PP_Grid[#Data],$DD636,48),0)</f>
        <v/>
      </c>
      <c r="AY636">
        <f>IFERROR(INDEX(PP_Grid[#Data],$DD636,49),0)</f>
        <v/>
      </c>
      <c r="AZ636">
        <f>IFERROR(INDEX(PP_Grid[#Data],$DD636,50),0)</f>
        <v/>
      </c>
      <c r="BA636">
        <f>IFERROR(INDEX(PP_Grid[#Data],$DD636,51),0)</f>
        <v/>
      </c>
      <c r="BB636">
        <f>IFERROR(INDEX(PP_Grid[#Data],$DD636,52),0)</f>
        <v/>
      </c>
      <c r="BC636">
        <f>IFERROR(INDEX(PP_Grid[#Data],$DD636,53),0)</f>
        <v/>
      </c>
      <c r="BD636">
        <f>IFERROR(INDEX(PP_Grid[#Data],$DD636,54),0)</f>
        <v/>
      </c>
      <c r="BE636">
        <f>IFERROR(INDEX(PP_Grid[#Data],$DD636,55),0)</f>
        <v/>
      </c>
      <c r="BF636">
        <f>IFERROR(INDEX(PP_Grid[#Data],$DD636,56),0)</f>
        <v/>
      </c>
      <c r="BG636">
        <f>IFERROR(INDEX(PP_Grid[#Data],$DD636,57),0)</f>
        <v/>
      </c>
      <c r="BH636">
        <f>IFERROR(INDEX(PP_Grid[#Data],$DD636,58),0)</f>
        <v/>
      </c>
      <c r="BI636">
        <f>IFERROR(INDEX(PP_Grid[#Data],$DD636,59),0)</f>
        <v/>
      </c>
      <c r="BJ636">
        <f>IFERROR(INDEX(PP_Grid[#Data],$DD636,60),0)</f>
        <v/>
      </c>
      <c r="BK636">
        <f>IFERROR(INDEX(PP_Grid[#Data],$DD636,61),0)</f>
        <v/>
      </c>
      <c r="BL636">
        <f>IFERROR(INDEX(PP_Grid[#Data],$DD636,62),0)</f>
        <v/>
      </c>
      <c r="BM636">
        <f>IFERROR(INDEX(PP_Grid[#Data],$DD636,63),0)</f>
        <v/>
      </c>
      <c r="BN636">
        <f>IFERROR(INDEX(PP_Grid[#Data],$DD636,64),0)</f>
        <v/>
      </c>
      <c r="BO636">
        <f>IFERROR(INDEX(PP_Grid[#Data],$DD636,65),0)</f>
        <v/>
      </c>
      <c r="BP636">
        <f>IFERROR(INDEX(PP_Grid[#Data],$DD636,66),0)</f>
        <v/>
      </c>
      <c r="BQ636">
        <f>IFERROR(INDEX(PP_Grid[#Data],$DD636,67),0)</f>
        <v/>
      </c>
      <c r="BR636">
        <f>IFERROR(INDEX(PP_Grid[#Data],$DD636,68),0)</f>
        <v/>
      </c>
      <c r="BS636">
        <f>IFERROR(INDEX(PP_Grid[#Data],$DD636,69),0)</f>
        <v/>
      </c>
      <c r="BT636">
        <f>IFERROR(INDEX(PP_Grid[#Data],$DD636,70),0)</f>
        <v/>
      </c>
      <c r="BU636">
        <f>IFERROR(INDEX(PP_Grid[#Data],$DD636,71),0)</f>
        <v/>
      </c>
      <c r="BV636">
        <f>IFERROR(INDEX(PP_Grid[#Data],$DD636,72),0)</f>
        <v/>
      </c>
      <c r="BW636">
        <f>IFERROR(INDEX(PP_Grid[#Data],$DD636,73),0)</f>
        <v/>
      </c>
      <c r="BX636">
        <f>IFERROR(INDEX(PP_Grid[#Data],$DD636,74),0)</f>
        <v/>
      </c>
      <c r="BY636">
        <f>IFERROR(INDEX(PP_Grid[#Data],$DD636,75),0)</f>
        <v/>
      </c>
      <c r="BZ636">
        <f>IFERROR(INDEX(PP_Grid[#Data],$DD636,76),0)</f>
        <v/>
      </c>
      <c r="CA636">
        <f>IFERROR(INDEX(PP_Grid[#Data],$DD636,77),0)</f>
        <v/>
      </c>
      <c r="CB636">
        <f>IFERROR(INDEX(PP_Grid[#Data],$DD636,78),0)</f>
        <v/>
      </c>
      <c r="CC636">
        <f>IFERROR(INDEX(PP_Grid[#Data],$DD636,79),0)</f>
        <v/>
      </c>
      <c r="CD636">
        <f>IFERROR(INDEX(PP_Grid[#Data],$DD636,80),0)</f>
        <v/>
      </c>
      <c r="CE636">
        <f>IFERROR(INDEX(PP_Grid[#Data],$DD636,81),0)</f>
        <v/>
      </c>
      <c r="CF636">
        <f>IFERROR(INDEX(PP_Grid[#Data],$DD636,82),0)</f>
        <v/>
      </c>
      <c r="CG636">
        <f>IFERROR(INDEX(PP_Grid[#Data],$DD636,83),0)</f>
        <v/>
      </c>
      <c r="CH636">
        <f>IFERROR(INDEX(PP_Grid[#Data],$DD636,84),0)</f>
        <v/>
      </c>
      <c r="CI636">
        <f>IFERROR(INDEX(PP_Grid[#Data],$DD636,85),0)</f>
        <v/>
      </c>
      <c r="CJ636">
        <f>IFERROR(INDEX(PP_Grid[#Data],$DD636,86),0)</f>
        <v/>
      </c>
      <c r="CK636">
        <f>IFERROR(INDEX(PP_Grid[#Data],$DD636,87),0)</f>
        <v/>
      </c>
      <c r="CL636">
        <f>IFERROR(INDEX(PP_Grid[#Data],$DD636,88),0)</f>
        <v/>
      </c>
      <c r="CM636">
        <f>IFERROR(INDEX(PP_Grid[#Data],$DD636,89),0)</f>
        <v/>
      </c>
      <c r="CN636">
        <f>IFERROR(INDEX(PP_Grid[#Data],$DD636,90),0)</f>
        <v/>
      </c>
      <c r="CO636">
        <f>IFERROR(INDEX(PP_Grid[#Data],$DD636,91),0)</f>
        <v/>
      </c>
      <c r="CP636">
        <f>IFERROR(INDEX(PP_Grid[#Data],$DD636,92),0)</f>
        <v/>
      </c>
      <c r="CQ636">
        <f>IFERROR(INDEX(PP_Grid[#Data],$DD636,93),0)</f>
        <v/>
      </c>
      <c r="CR636">
        <f>IFERROR(INDEX(PP_Grid[#Data],$DD636,94),0)</f>
        <v/>
      </c>
      <c r="CS636">
        <f>IFERROR(INDEX(PP_Grid[#Data],$DD636,95),0)</f>
        <v/>
      </c>
      <c r="CT636">
        <f>IFERROR(INDEX(PP_Grid[#Data],$DD636,96),0)</f>
        <v/>
      </c>
      <c r="CU636">
        <f>IFERROR(INDEX(PP_Grid[#Data],$DD636,97),0)</f>
        <v/>
      </c>
      <c r="CV636">
        <f>IFERROR(INDEX(PP_Grid[#Data],$DD636,98),0)</f>
        <v/>
      </c>
      <c r="CW636">
        <f>IFERROR(INDEX(PP_Grid[#Data],$DD636,99),0)</f>
        <v/>
      </c>
      <c r="CX636">
        <f>IFERROR(INDEX(PP_Grid[#Data],$DD636,100),0)</f>
        <v/>
      </c>
      <c r="CY636">
        <f>IFERROR(INDEX(PP_Grid[#Data],$DD636,101),0)</f>
        <v/>
      </c>
      <c r="CZ636">
        <f>IFERROR(INDEX(PP_Grid[#Data],$DD636,102),0)</f>
        <v/>
      </c>
      <c r="DA636">
        <f>IFERROR(INDEX(PP_Grid[#Data],$DD636,103),0)</f>
        <v/>
      </c>
      <c r="DB636">
        <f>IFERROR(INDEX(PP_Grid[#Data],$DD636,104),0)</f>
        <v/>
      </c>
      <c r="DC636">
        <f>IFERROR(INDEX(PP_Grid[#Data],$DD636,105),0)</f>
        <v/>
      </c>
      <c r="DD636" s="7">
        <f>IFERROR(MATCH($B636,PP_Grid[Intermediate],0),99999)</f>
        <v/>
      </c>
    </row>
    <row r="637">
      <c r="B637" t="inlineStr">
        <is>
          <t>使用量(kg)</t>
        </is>
      </c>
      <c r="C637">
        <f>SUMIFS(M_BOM[RM_Qty_Per_Batch],M_BOM[Intermediate],$B636,M_BOM[Part Name],$A589)</f>
        <v/>
      </c>
      <c r="D637">
        <f>$C637*D636</f>
        <v/>
      </c>
      <c r="E637">
        <f>$C637*E636</f>
        <v/>
      </c>
      <c r="F637">
        <f>$C637*F636</f>
        <v/>
      </c>
      <c r="G637">
        <f>$C637*G636</f>
        <v/>
      </c>
      <c r="H637">
        <f>$C637*H636</f>
        <v/>
      </c>
      <c r="I637">
        <f>$C637*I636</f>
        <v/>
      </c>
      <c r="J637">
        <f>$C637*J636</f>
        <v/>
      </c>
      <c r="K637">
        <f>$C637*K636</f>
        <v/>
      </c>
      <c r="L637">
        <f>$C637*L636</f>
        <v/>
      </c>
      <c r="M637">
        <f>$C637*M636</f>
        <v/>
      </c>
      <c r="N637">
        <f>$C637*N636</f>
        <v/>
      </c>
      <c r="O637">
        <f>$C637*O636</f>
        <v/>
      </c>
      <c r="P637">
        <f>$C637*P636</f>
        <v/>
      </c>
      <c r="Q637">
        <f>$C637*Q636</f>
        <v/>
      </c>
      <c r="R637">
        <f>$C637*R636</f>
        <v/>
      </c>
      <c r="S637">
        <f>$C637*S636</f>
        <v/>
      </c>
      <c r="T637">
        <f>$C637*T636</f>
        <v/>
      </c>
      <c r="U637">
        <f>$C637*U636</f>
        <v/>
      </c>
      <c r="V637">
        <f>$C637*V636</f>
        <v/>
      </c>
      <c r="W637">
        <f>$C637*W636</f>
        <v/>
      </c>
      <c r="X637">
        <f>$C637*X636</f>
        <v/>
      </c>
      <c r="Y637">
        <f>$C637*Y636</f>
        <v/>
      </c>
      <c r="Z637">
        <f>$C637*Z636</f>
        <v/>
      </c>
      <c r="AA637">
        <f>$C637*AA636</f>
        <v/>
      </c>
      <c r="AB637">
        <f>$C637*AB636</f>
        <v/>
      </c>
      <c r="AC637">
        <f>$C637*AC636</f>
        <v/>
      </c>
      <c r="AD637">
        <f>$C637*AD636</f>
        <v/>
      </c>
      <c r="AE637">
        <f>$C637*AE636</f>
        <v/>
      </c>
      <c r="AF637">
        <f>$C637*AF636</f>
        <v/>
      </c>
      <c r="AG637">
        <f>$C637*AG636</f>
        <v/>
      </c>
      <c r="AH637">
        <f>$C637*AH636</f>
        <v/>
      </c>
      <c r="AI637">
        <f>$C637*AI636</f>
        <v/>
      </c>
      <c r="AJ637">
        <f>$C637*AJ636</f>
        <v/>
      </c>
      <c r="AK637">
        <f>$C637*AK636</f>
        <v/>
      </c>
      <c r="AL637">
        <f>$C637*AL636</f>
        <v/>
      </c>
      <c r="AM637">
        <f>$C637*AM636</f>
        <v/>
      </c>
      <c r="AN637">
        <f>$C637*AN636</f>
        <v/>
      </c>
      <c r="AO637">
        <f>$C637*AO636</f>
        <v/>
      </c>
      <c r="AP637">
        <f>$C637*AP636</f>
        <v/>
      </c>
      <c r="AQ637">
        <f>$C637*AQ636</f>
        <v/>
      </c>
      <c r="AR637">
        <f>$C637*AR636</f>
        <v/>
      </c>
      <c r="AS637">
        <f>$C637*AS636</f>
        <v/>
      </c>
      <c r="AT637">
        <f>$C637*AT636</f>
        <v/>
      </c>
      <c r="AU637">
        <f>$C637*AU636</f>
        <v/>
      </c>
      <c r="AV637">
        <f>$C637*AV636</f>
        <v/>
      </c>
      <c r="AW637">
        <f>$C637*AW636</f>
        <v/>
      </c>
      <c r="AX637">
        <f>$C637*AX636</f>
        <v/>
      </c>
      <c r="AY637">
        <f>$C637*AY636</f>
        <v/>
      </c>
      <c r="AZ637">
        <f>$C637*AZ636</f>
        <v/>
      </c>
      <c r="BA637">
        <f>$C637*BA636</f>
        <v/>
      </c>
      <c r="BB637">
        <f>$C637*BB636</f>
        <v/>
      </c>
      <c r="BC637">
        <f>$C637*BC636</f>
        <v/>
      </c>
      <c r="BD637">
        <f>$C637*BD636</f>
        <v/>
      </c>
      <c r="BE637">
        <f>$C637*BE636</f>
        <v/>
      </c>
      <c r="BF637">
        <f>$C637*BF636</f>
        <v/>
      </c>
      <c r="BG637">
        <f>$C637*BG636</f>
        <v/>
      </c>
      <c r="BH637">
        <f>$C637*BH636</f>
        <v/>
      </c>
      <c r="BI637">
        <f>$C637*BI636</f>
        <v/>
      </c>
      <c r="BJ637">
        <f>$C637*BJ636</f>
        <v/>
      </c>
      <c r="BK637">
        <f>$C637*BK636</f>
        <v/>
      </c>
      <c r="BL637">
        <f>$C637*BL636</f>
        <v/>
      </c>
      <c r="BM637">
        <f>$C637*BM636</f>
        <v/>
      </c>
      <c r="BN637">
        <f>$C637*BN636</f>
        <v/>
      </c>
      <c r="BO637">
        <f>$C637*BO636</f>
        <v/>
      </c>
      <c r="BP637">
        <f>$C637*BP636</f>
        <v/>
      </c>
      <c r="BQ637">
        <f>$C637*BQ636</f>
        <v/>
      </c>
      <c r="BR637">
        <f>$C637*BR636</f>
        <v/>
      </c>
      <c r="BS637">
        <f>$C637*BS636</f>
        <v/>
      </c>
      <c r="BT637">
        <f>$C637*BT636</f>
        <v/>
      </c>
      <c r="BU637">
        <f>$C637*BU636</f>
        <v/>
      </c>
      <c r="BV637">
        <f>$C637*BV636</f>
        <v/>
      </c>
      <c r="BW637">
        <f>$C637*BW636</f>
        <v/>
      </c>
      <c r="BX637">
        <f>$C637*BX636</f>
        <v/>
      </c>
      <c r="BY637">
        <f>$C637*BY636</f>
        <v/>
      </c>
      <c r="BZ637">
        <f>$C637*BZ636</f>
        <v/>
      </c>
      <c r="CA637">
        <f>$C637*CA636</f>
        <v/>
      </c>
      <c r="CB637">
        <f>$C637*CB636</f>
        <v/>
      </c>
      <c r="CC637">
        <f>$C637*CC636</f>
        <v/>
      </c>
      <c r="CD637">
        <f>$C637*CD636</f>
        <v/>
      </c>
      <c r="CE637">
        <f>$C637*CE636</f>
        <v/>
      </c>
      <c r="CF637">
        <f>$C637*CF636</f>
        <v/>
      </c>
      <c r="CG637">
        <f>$C637*CG636</f>
        <v/>
      </c>
      <c r="CH637">
        <f>$C637*CH636</f>
        <v/>
      </c>
      <c r="CI637">
        <f>$C637*CI636</f>
        <v/>
      </c>
      <c r="CJ637">
        <f>$C637*CJ636</f>
        <v/>
      </c>
      <c r="CK637">
        <f>$C637*CK636</f>
        <v/>
      </c>
      <c r="CL637">
        <f>$C637*CL636</f>
        <v/>
      </c>
      <c r="CM637">
        <f>$C637*CM636</f>
        <v/>
      </c>
      <c r="CN637">
        <f>$C637*CN636</f>
        <v/>
      </c>
      <c r="CO637">
        <f>$C637*CO636</f>
        <v/>
      </c>
      <c r="CP637">
        <f>$C637*CP636</f>
        <v/>
      </c>
      <c r="CQ637">
        <f>$C637*CQ636</f>
        <v/>
      </c>
      <c r="CR637">
        <f>$C637*CR636</f>
        <v/>
      </c>
      <c r="CS637">
        <f>$C637*CS636</f>
        <v/>
      </c>
      <c r="CT637">
        <f>$C637*CT636</f>
        <v/>
      </c>
      <c r="CU637">
        <f>$C637*CU636</f>
        <v/>
      </c>
      <c r="CV637">
        <f>$C637*CV636</f>
        <v/>
      </c>
      <c r="CW637">
        <f>$C637*CW636</f>
        <v/>
      </c>
      <c r="CX637">
        <f>$C637*CX636</f>
        <v/>
      </c>
      <c r="CY637">
        <f>$C637*CY636</f>
        <v/>
      </c>
      <c r="CZ637">
        <f>$C637*CZ636</f>
        <v/>
      </c>
      <c r="DA637">
        <f>$C637*DA636</f>
        <v/>
      </c>
      <c r="DB637">
        <f>$C637*DB636</f>
        <v/>
      </c>
      <c r="DC637">
        <f>$C637*DC636</f>
        <v/>
      </c>
    </row>
    <row r="638">
      <c r="B638" t="inlineStr">
        <is>
          <t>TPP-970</t>
        </is>
      </c>
      <c r="C638" t="inlineStr">
        <is>
          <t>No. of batches</t>
        </is>
      </c>
      <c r="D638">
        <f>IFERROR(INDEX(PP_Grid[#Data],$DD638,2),0)</f>
        <v/>
      </c>
      <c r="E638">
        <f>IFERROR(INDEX(PP_Grid[#Data],$DD638,3),0)</f>
        <v/>
      </c>
      <c r="F638">
        <f>IFERROR(INDEX(PP_Grid[#Data],$DD638,4),0)</f>
        <v/>
      </c>
      <c r="G638">
        <f>IFERROR(INDEX(PP_Grid[#Data],$DD638,5),0)</f>
        <v/>
      </c>
      <c r="H638">
        <f>IFERROR(INDEX(PP_Grid[#Data],$DD638,6),0)</f>
        <v/>
      </c>
      <c r="I638">
        <f>IFERROR(INDEX(PP_Grid[#Data],$DD638,7),0)</f>
        <v/>
      </c>
      <c r="J638">
        <f>IFERROR(INDEX(PP_Grid[#Data],$DD638,8),0)</f>
        <v/>
      </c>
      <c r="K638">
        <f>IFERROR(INDEX(PP_Grid[#Data],$DD638,9),0)</f>
        <v/>
      </c>
      <c r="L638">
        <f>IFERROR(INDEX(PP_Grid[#Data],$DD638,10),0)</f>
        <v/>
      </c>
      <c r="M638">
        <f>IFERROR(INDEX(PP_Grid[#Data],$DD638,11),0)</f>
        <v/>
      </c>
      <c r="N638">
        <f>IFERROR(INDEX(PP_Grid[#Data],$DD638,12),0)</f>
        <v/>
      </c>
      <c r="O638">
        <f>IFERROR(INDEX(PP_Grid[#Data],$DD638,13),0)</f>
        <v/>
      </c>
      <c r="P638">
        <f>IFERROR(INDEX(PP_Grid[#Data],$DD638,14),0)</f>
        <v/>
      </c>
      <c r="Q638">
        <f>IFERROR(INDEX(PP_Grid[#Data],$DD638,15),0)</f>
        <v/>
      </c>
      <c r="R638">
        <f>IFERROR(INDEX(PP_Grid[#Data],$DD638,16),0)</f>
        <v/>
      </c>
      <c r="S638">
        <f>IFERROR(INDEX(PP_Grid[#Data],$DD638,17),0)</f>
        <v/>
      </c>
      <c r="T638">
        <f>IFERROR(INDEX(PP_Grid[#Data],$DD638,18),0)</f>
        <v/>
      </c>
      <c r="U638">
        <f>IFERROR(INDEX(PP_Grid[#Data],$DD638,19),0)</f>
        <v/>
      </c>
      <c r="V638">
        <f>IFERROR(INDEX(PP_Grid[#Data],$DD638,20),0)</f>
        <v/>
      </c>
      <c r="W638">
        <f>IFERROR(INDEX(PP_Grid[#Data],$DD638,21),0)</f>
        <v/>
      </c>
      <c r="X638">
        <f>IFERROR(INDEX(PP_Grid[#Data],$DD638,22),0)</f>
        <v/>
      </c>
      <c r="Y638">
        <f>IFERROR(INDEX(PP_Grid[#Data],$DD638,23),0)</f>
        <v/>
      </c>
      <c r="Z638">
        <f>IFERROR(INDEX(PP_Grid[#Data],$DD638,24),0)</f>
        <v/>
      </c>
      <c r="AA638">
        <f>IFERROR(INDEX(PP_Grid[#Data],$DD638,25),0)</f>
        <v/>
      </c>
      <c r="AB638">
        <f>IFERROR(INDEX(PP_Grid[#Data],$DD638,26),0)</f>
        <v/>
      </c>
      <c r="AC638">
        <f>IFERROR(INDEX(PP_Grid[#Data],$DD638,27),0)</f>
        <v/>
      </c>
      <c r="AD638">
        <f>IFERROR(INDEX(PP_Grid[#Data],$DD638,28),0)</f>
        <v/>
      </c>
      <c r="AE638">
        <f>IFERROR(INDEX(PP_Grid[#Data],$DD638,29),0)</f>
        <v/>
      </c>
      <c r="AF638">
        <f>IFERROR(INDEX(PP_Grid[#Data],$DD638,30),0)</f>
        <v/>
      </c>
      <c r="AG638">
        <f>IFERROR(INDEX(PP_Grid[#Data],$DD638,31),0)</f>
        <v/>
      </c>
      <c r="AH638">
        <f>IFERROR(INDEX(PP_Grid[#Data],$DD638,32),0)</f>
        <v/>
      </c>
      <c r="AI638">
        <f>IFERROR(INDEX(PP_Grid[#Data],$DD638,33),0)</f>
        <v/>
      </c>
      <c r="AJ638">
        <f>IFERROR(INDEX(PP_Grid[#Data],$DD638,34),0)</f>
        <v/>
      </c>
      <c r="AK638">
        <f>IFERROR(INDEX(PP_Grid[#Data],$DD638,35),0)</f>
        <v/>
      </c>
      <c r="AL638">
        <f>IFERROR(INDEX(PP_Grid[#Data],$DD638,36),0)</f>
        <v/>
      </c>
      <c r="AM638">
        <f>IFERROR(INDEX(PP_Grid[#Data],$DD638,37),0)</f>
        <v/>
      </c>
      <c r="AN638">
        <f>IFERROR(INDEX(PP_Grid[#Data],$DD638,38),0)</f>
        <v/>
      </c>
      <c r="AO638">
        <f>IFERROR(INDEX(PP_Grid[#Data],$DD638,39),0)</f>
        <v/>
      </c>
      <c r="AP638">
        <f>IFERROR(INDEX(PP_Grid[#Data],$DD638,40),0)</f>
        <v/>
      </c>
      <c r="AQ638">
        <f>IFERROR(INDEX(PP_Grid[#Data],$DD638,41),0)</f>
        <v/>
      </c>
      <c r="AR638">
        <f>IFERROR(INDEX(PP_Grid[#Data],$DD638,42),0)</f>
        <v/>
      </c>
      <c r="AS638">
        <f>IFERROR(INDEX(PP_Grid[#Data],$DD638,43),0)</f>
        <v/>
      </c>
      <c r="AT638">
        <f>IFERROR(INDEX(PP_Grid[#Data],$DD638,44),0)</f>
        <v/>
      </c>
      <c r="AU638">
        <f>IFERROR(INDEX(PP_Grid[#Data],$DD638,45),0)</f>
        <v/>
      </c>
      <c r="AV638">
        <f>IFERROR(INDEX(PP_Grid[#Data],$DD638,46),0)</f>
        <v/>
      </c>
      <c r="AW638">
        <f>IFERROR(INDEX(PP_Grid[#Data],$DD638,47),0)</f>
        <v/>
      </c>
      <c r="AX638">
        <f>IFERROR(INDEX(PP_Grid[#Data],$DD638,48),0)</f>
        <v/>
      </c>
      <c r="AY638">
        <f>IFERROR(INDEX(PP_Grid[#Data],$DD638,49),0)</f>
        <v/>
      </c>
      <c r="AZ638">
        <f>IFERROR(INDEX(PP_Grid[#Data],$DD638,50),0)</f>
        <v/>
      </c>
      <c r="BA638">
        <f>IFERROR(INDEX(PP_Grid[#Data],$DD638,51),0)</f>
        <v/>
      </c>
      <c r="BB638">
        <f>IFERROR(INDEX(PP_Grid[#Data],$DD638,52),0)</f>
        <v/>
      </c>
      <c r="BC638">
        <f>IFERROR(INDEX(PP_Grid[#Data],$DD638,53),0)</f>
        <v/>
      </c>
      <c r="BD638">
        <f>IFERROR(INDEX(PP_Grid[#Data],$DD638,54),0)</f>
        <v/>
      </c>
      <c r="BE638">
        <f>IFERROR(INDEX(PP_Grid[#Data],$DD638,55),0)</f>
        <v/>
      </c>
      <c r="BF638">
        <f>IFERROR(INDEX(PP_Grid[#Data],$DD638,56),0)</f>
        <v/>
      </c>
      <c r="BG638">
        <f>IFERROR(INDEX(PP_Grid[#Data],$DD638,57),0)</f>
        <v/>
      </c>
      <c r="BH638">
        <f>IFERROR(INDEX(PP_Grid[#Data],$DD638,58),0)</f>
        <v/>
      </c>
      <c r="BI638">
        <f>IFERROR(INDEX(PP_Grid[#Data],$DD638,59),0)</f>
        <v/>
      </c>
      <c r="BJ638">
        <f>IFERROR(INDEX(PP_Grid[#Data],$DD638,60),0)</f>
        <v/>
      </c>
      <c r="BK638">
        <f>IFERROR(INDEX(PP_Grid[#Data],$DD638,61),0)</f>
        <v/>
      </c>
      <c r="BL638">
        <f>IFERROR(INDEX(PP_Grid[#Data],$DD638,62),0)</f>
        <v/>
      </c>
      <c r="BM638">
        <f>IFERROR(INDEX(PP_Grid[#Data],$DD638,63),0)</f>
        <v/>
      </c>
      <c r="BN638">
        <f>IFERROR(INDEX(PP_Grid[#Data],$DD638,64),0)</f>
        <v/>
      </c>
      <c r="BO638">
        <f>IFERROR(INDEX(PP_Grid[#Data],$DD638,65),0)</f>
        <v/>
      </c>
      <c r="BP638">
        <f>IFERROR(INDEX(PP_Grid[#Data],$DD638,66),0)</f>
        <v/>
      </c>
      <c r="BQ638">
        <f>IFERROR(INDEX(PP_Grid[#Data],$DD638,67),0)</f>
        <v/>
      </c>
      <c r="BR638">
        <f>IFERROR(INDEX(PP_Grid[#Data],$DD638,68),0)</f>
        <v/>
      </c>
      <c r="BS638">
        <f>IFERROR(INDEX(PP_Grid[#Data],$DD638,69),0)</f>
        <v/>
      </c>
      <c r="BT638">
        <f>IFERROR(INDEX(PP_Grid[#Data],$DD638,70),0)</f>
        <v/>
      </c>
      <c r="BU638">
        <f>IFERROR(INDEX(PP_Grid[#Data],$DD638,71),0)</f>
        <v/>
      </c>
      <c r="BV638">
        <f>IFERROR(INDEX(PP_Grid[#Data],$DD638,72),0)</f>
        <v/>
      </c>
      <c r="BW638">
        <f>IFERROR(INDEX(PP_Grid[#Data],$DD638,73),0)</f>
        <v/>
      </c>
      <c r="BX638">
        <f>IFERROR(INDEX(PP_Grid[#Data],$DD638,74),0)</f>
        <v/>
      </c>
      <c r="BY638">
        <f>IFERROR(INDEX(PP_Grid[#Data],$DD638,75),0)</f>
        <v/>
      </c>
      <c r="BZ638">
        <f>IFERROR(INDEX(PP_Grid[#Data],$DD638,76),0)</f>
        <v/>
      </c>
      <c r="CA638">
        <f>IFERROR(INDEX(PP_Grid[#Data],$DD638,77),0)</f>
        <v/>
      </c>
      <c r="CB638">
        <f>IFERROR(INDEX(PP_Grid[#Data],$DD638,78),0)</f>
        <v/>
      </c>
      <c r="CC638">
        <f>IFERROR(INDEX(PP_Grid[#Data],$DD638,79),0)</f>
        <v/>
      </c>
      <c r="CD638">
        <f>IFERROR(INDEX(PP_Grid[#Data],$DD638,80),0)</f>
        <v/>
      </c>
      <c r="CE638">
        <f>IFERROR(INDEX(PP_Grid[#Data],$DD638,81),0)</f>
        <v/>
      </c>
      <c r="CF638">
        <f>IFERROR(INDEX(PP_Grid[#Data],$DD638,82),0)</f>
        <v/>
      </c>
      <c r="CG638">
        <f>IFERROR(INDEX(PP_Grid[#Data],$DD638,83),0)</f>
        <v/>
      </c>
      <c r="CH638">
        <f>IFERROR(INDEX(PP_Grid[#Data],$DD638,84),0)</f>
        <v/>
      </c>
      <c r="CI638">
        <f>IFERROR(INDEX(PP_Grid[#Data],$DD638,85),0)</f>
        <v/>
      </c>
      <c r="CJ638">
        <f>IFERROR(INDEX(PP_Grid[#Data],$DD638,86),0)</f>
        <v/>
      </c>
      <c r="CK638">
        <f>IFERROR(INDEX(PP_Grid[#Data],$DD638,87),0)</f>
        <v/>
      </c>
      <c r="CL638">
        <f>IFERROR(INDEX(PP_Grid[#Data],$DD638,88),0)</f>
        <v/>
      </c>
      <c r="CM638">
        <f>IFERROR(INDEX(PP_Grid[#Data],$DD638,89),0)</f>
        <v/>
      </c>
      <c r="CN638">
        <f>IFERROR(INDEX(PP_Grid[#Data],$DD638,90),0)</f>
        <v/>
      </c>
      <c r="CO638">
        <f>IFERROR(INDEX(PP_Grid[#Data],$DD638,91),0)</f>
        <v/>
      </c>
      <c r="CP638">
        <f>IFERROR(INDEX(PP_Grid[#Data],$DD638,92),0)</f>
        <v/>
      </c>
      <c r="CQ638">
        <f>IFERROR(INDEX(PP_Grid[#Data],$DD638,93),0)</f>
        <v/>
      </c>
      <c r="CR638">
        <f>IFERROR(INDEX(PP_Grid[#Data],$DD638,94),0)</f>
        <v/>
      </c>
      <c r="CS638">
        <f>IFERROR(INDEX(PP_Grid[#Data],$DD638,95),0)</f>
        <v/>
      </c>
      <c r="CT638">
        <f>IFERROR(INDEX(PP_Grid[#Data],$DD638,96),0)</f>
        <v/>
      </c>
      <c r="CU638">
        <f>IFERROR(INDEX(PP_Grid[#Data],$DD638,97),0)</f>
        <v/>
      </c>
      <c r="CV638">
        <f>IFERROR(INDEX(PP_Grid[#Data],$DD638,98),0)</f>
        <v/>
      </c>
      <c r="CW638">
        <f>IFERROR(INDEX(PP_Grid[#Data],$DD638,99),0)</f>
        <v/>
      </c>
      <c r="CX638">
        <f>IFERROR(INDEX(PP_Grid[#Data],$DD638,100),0)</f>
        <v/>
      </c>
      <c r="CY638">
        <f>IFERROR(INDEX(PP_Grid[#Data],$DD638,101),0)</f>
        <v/>
      </c>
      <c r="CZ638">
        <f>IFERROR(INDEX(PP_Grid[#Data],$DD638,102),0)</f>
        <v/>
      </c>
      <c r="DA638">
        <f>IFERROR(INDEX(PP_Grid[#Data],$DD638,103),0)</f>
        <v/>
      </c>
      <c r="DB638">
        <f>IFERROR(INDEX(PP_Grid[#Data],$DD638,104),0)</f>
        <v/>
      </c>
      <c r="DC638">
        <f>IFERROR(INDEX(PP_Grid[#Data],$DD638,105),0)</f>
        <v/>
      </c>
      <c r="DD638" s="7">
        <f>IFERROR(MATCH($B638,PP_Grid[Intermediate],0),99999)</f>
        <v/>
      </c>
    </row>
    <row r="639">
      <c r="B639" t="inlineStr">
        <is>
          <t>使用量(kg)</t>
        </is>
      </c>
      <c r="C639">
        <f>SUMIFS(M_BOM[RM_Qty_Per_Batch],M_BOM[Intermediate],$B638,M_BOM[Part Name],$A589)</f>
        <v/>
      </c>
      <c r="D639">
        <f>$C639*D638</f>
        <v/>
      </c>
      <c r="E639">
        <f>$C639*E638</f>
        <v/>
      </c>
      <c r="F639">
        <f>$C639*F638</f>
        <v/>
      </c>
      <c r="G639">
        <f>$C639*G638</f>
        <v/>
      </c>
      <c r="H639">
        <f>$C639*H638</f>
        <v/>
      </c>
      <c r="I639">
        <f>$C639*I638</f>
        <v/>
      </c>
      <c r="J639">
        <f>$C639*J638</f>
        <v/>
      </c>
      <c r="K639">
        <f>$C639*K638</f>
        <v/>
      </c>
      <c r="L639">
        <f>$C639*L638</f>
        <v/>
      </c>
      <c r="M639">
        <f>$C639*M638</f>
        <v/>
      </c>
      <c r="N639">
        <f>$C639*N638</f>
        <v/>
      </c>
      <c r="O639">
        <f>$C639*O638</f>
        <v/>
      </c>
      <c r="P639">
        <f>$C639*P638</f>
        <v/>
      </c>
      <c r="Q639">
        <f>$C639*Q638</f>
        <v/>
      </c>
      <c r="R639">
        <f>$C639*R638</f>
        <v/>
      </c>
      <c r="S639">
        <f>$C639*S638</f>
        <v/>
      </c>
      <c r="T639">
        <f>$C639*T638</f>
        <v/>
      </c>
      <c r="U639">
        <f>$C639*U638</f>
        <v/>
      </c>
      <c r="V639">
        <f>$C639*V638</f>
        <v/>
      </c>
      <c r="W639">
        <f>$C639*W638</f>
        <v/>
      </c>
      <c r="X639">
        <f>$C639*X638</f>
        <v/>
      </c>
      <c r="Y639">
        <f>$C639*Y638</f>
        <v/>
      </c>
      <c r="Z639">
        <f>$C639*Z638</f>
        <v/>
      </c>
      <c r="AA639">
        <f>$C639*AA638</f>
        <v/>
      </c>
      <c r="AB639">
        <f>$C639*AB638</f>
        <v/>
      </c>
      <c r="AC639">
        <f>$C639*AC638</f>
        <v/>
      </c>
      <c r="AD639">
        <f>$C639*AD638</f>
        <v/>
      </c>
      <c r="AE639">
        <f>$C639*AE638</f>
        <v/>
      </c>
      <c r="AF639">
        <f>$C639*AF638</f>
        <v/>
      </c>
      <c r="AG639">
        <f>$C639*AG638</f>
        <v/>
      </c>
      <c r="AH639">
        <f>$C639*AH638</f>
        <v/>
      </c>
      <c r="AI639">
        <f>$C639*AI638</f>
        <v/>
      </c>
      <c r="AJ639">
        <f>$C639*AJ638</f>
        <v/>
      </c>
      <c r="AK639">
        <f>$C639*AK638</f>
        <v/>
      </c>
      <c r="AL639">
        <f>$C639*AL638</f>
        <v/>
      </c>
      <c r="AM639">
        <f>$C639*AM638</f>
        <v/>
      </c>
      <c r="AN639">
        <f>$C639*AN638</f>
        <v/>
      </c>
      <c r="AO639">
        <f>$C639*AO638</f>
        <v/>
      </c>
      <c r="AP639">
        <f>$C639*AP638</f>
        <v/>
      </c>
      <c r="AQ639">
        <f>$C639*AQ638</f>
        <v/>
      </c>
      <c r="AR639">
        <f>$C639*AR638</f>
        <v/>
      </c>
      <c r="AS639">
        <f>$C639*AS638</f>
        <v/>
      </c>
      <c r="AT639">
        <f>$C639*AT638</f>
        <v/>
      </c>
      <c r="AU639">
        <f>$C639*AU638</f>
        <v/>
      </c>
      <c r="AV639">
        <f>$C639*AV638</f>
        <v/>
      </c>
      <c r="AW639">
        <f>$C639*AW638</f>
        <v/>
      </c>
      <c r="AX639">
        <f>$C639*AX638</f>
        <v/>
      </c>
      <c r="AY639">
        <f>$C639*AY638</f>
        <v/>
      </c>
      <c r="AZ639">
        <f>$C639*AZ638</f>
        <v/>
      </c>
      <c r="BA639">
        <f>$C639*BA638</f>
        <v/>
      </c>
      <c r="BB639">
        <f>$C639*BB638</f>
        <v/>
      </c>
      <c r="BC639">
        <f>$C639*BC638</f>
        <v/>
      </c>
      <c r="BD639">
        <f>$C639*BD638</f>
        <v/>
      </c>
      <c r="BE639">
        <f>$C639*BE638</f>
        <v/>
      </c>
      <c r="BF639">
        <f>$C639*BF638</f>
        <v/>
      </c>
      <c r="BG639">
        <f>$C639*BG638</f>
        <v/>
      </c>
      <c r="BH639">
        <f>$C639*BH638</f>
        <v/>
      </c>
      <c r="BI639">
        <f>$C639*BI638</f>
        <v/>
      </c>
      <c r="BJ639">
        <f>$C639*BJ638</f>
        <v/>
      </c>
      <c r="BK639">
        <f>$C639*BK638</f>
        <v/>
      </c>
      <c r="BL639">
        <f>$C639*BL638</f>
        <v/>
      </c>
      <c r="BM639">
        <f>$C639*BM638</f>
        <v/>
      </c>
      <c r="BN639">
        <f>$C639*BN638</f>
        <v/>
      </c>
      <c r="BO639">
        <f>$C639*BO638</f>
        <v/>
      </c>
      <c r="BP639">
        <f>$C639*BP638</f>
        <v/>
      </c>
      <c r="BQ639">
        <f>$C639*BQ638</f>
        <v/>
      </c>
      <c r="BR639">
        <f>$C639*BR638</f>
        <v/>
      </c>
      <c r="BS639">
        <f>$C639*BS638</f>
        <v/>
      </c>
      <c r="BT639">
        <f>$C639*BT638</f>
        <v/>
      </c>
      <c r="BU639">
        <f>$C639*BU638</f>
        <v/>
      </c>
      <c r="BV639">
        <f>$C639*BV638</f>
        <v/>
      </c>
      <c r="BW639">
        <f>$C639*BW638</f>
        <v/>
      </c>
      <c r="BX639">
        <f>$C639*BX638</f>
        <v/>
      </c>
      <c r="BY639">
        <f>$C639*BY638</f>
        <v/>
      </c>
      <c r="BZ639">
        <f>$C639*BZ638</f>
        <v/>
      </c>
      <c r="CA639">
        <f>$C639*CA638</f>
        <v/>
      </c>
      <c r="CB639">
        <f>$C639*CB638</f>
        <v/>
      </c>
      <c r="CC639">
        <f>$C639*CC638</f>
        <v/>
      </c>
      <c r="CD639">
        <f>$C639*CD638</f>
        <v/>
      </c>
      <c r="CE639">
        <f>$C639*CE638</f>
        <v/>
      </c>
      <c r="CF639">
        <f>$C639*CF638</f>
        <v/>
      </c>
      <c r="CG639">
        <f>$C639*CG638</f>
        <v/>
      </c>
      <c r="CH639">
        <f>$C639*CH638</f>
        <v/>
      </c>
      <c r="CI639">
        <f>$C639*CI638</f>
        <v/>
      </c>
      <c r="CJ639">
        <f>$C639*CJ638</f>
        <v/>
      </c>
      <c r="CK639">
        <f>$C639*CK638</f>
        <v/>
      </c>
      <c r="CL639">
        <f>$C639*CL638</f>
        <v/>
      </c>
      <c r="CM639">
        <f>$C639*CM638</f>
        <v/>
      </c>
      <c r="CN639">
        <f>$C639*CN638</f>
        <v/>
      </c>
      <c r="CO639">
        <f>$C639*CO638</f>
        <v/>
      </c>
      <c r="CP639">
        <f>$C639*CP638</f>
        <v/>
      </c>
      <c r="CQ639">
        <f>$C639*CQ638</f>
        <v/>
      </c>
      <c r="CR639">
        <f>$C639*CR638</f>
        <v/>
      </c>
      <c r="CS639">
        <f>$C639*CS638</f>
        <v/>
      </c>
      <c r="CT639">
        <f>$C639*CT638</f>
        <v/>
      </c>
      <c r="CU639">
        <f>$C639*CU638</f>
        <v/>
      </c>
      <c r="CV639">
        <f>$C639*CV638</f>
        <v/>
      </c>
      <c r="CW639">
        <f>$C639*CW638</f>
        <v/>
      </c>
      <c r="CX639">
        <f>$C639*CX638</f>
        <v/>
      </c>
      <c r="CY639">
        <f>$C639*CY638</f>
        <v/>
      </c>
      <c r="CZ639">
        <f>$C639*CZ638</f>
        <v/>
      </c>
      <c r="DA639">
        <f>$C639*DA638</f>
        <v/>
      </c>
      <c r="DB639">
        <f>$C639*DB638</f>
        <v/>
      </c>
      <c r="DC639">
        <f>$C639*DC638</f>
        <v/>
      </c>
    </row>
    <row r="640">
      <c r="B640" t="inlineStr">
        <is>
          <t>TPP-912</t>
        </is>
      </c>
      <c r="C640" t="inlineStr">
        <is>
          <t>No. of batches</t>
        </is>
      </c>
      <c r="D640">
        <f>IFERROR(INDEX(PP_Grid[#Data],$DD640,2),0)</f>
        <v/>
      </c>
      <c r="E640">
        <f>IFERROR(INDEX(PP_Grid[#Data],$DD640,3),0)</f>
        <v/>
      </c>
      <c r="F640">
        <f>IFERROR(INDEX(PP_Grid[#Data],$DD640,4),0)</f>
        <v/>
      </c>
      <c r="G640">
        <f>IFERROR(INDEX(PP_Grid[#Data],$DD640,5),0)</f>
        <v/>
      </c>
      <c r="H640">
        <f>IFERROR(INDEX(PP_Grid[#Data],$DD640,6),0)</f>
        <v/>
      </c>
      <c r="I640">
        <f>IFERROR(INDEX(PP_Grid[#Data],$DD640,7),0)</f>
        <v/>
      </c>
      <c r="J640">
        <f>IFERROR(INDEX(PP_Grid[#Data],$DD640,8),0)</f>
        <v/>
      </c>
      <c r="K640">
        <f>IFERROR(INDEX(PP_Grid[#Data],$DD640,9),0)</f>
        <v/>
      </c>
      <c r="L640">
        <f>IFERROR(INDEX(PP_Grid[#Data],$DD640,10),0)</f>
        <v/>
      </c>
      <c r="M640">
        <f>IFERROR(INDEX(PP_Grid[#Data],$DD640,11),0)</f>
        <v/>
      </c>
      <c r="N640">
        <f>IFERROR(INDEX(PP_Grid[#Data],$DD640,12),0)</f>
        <v/>
      </c>
      <c r="O640">
        <f>IFERROR(INDEX(PP_Grid[#Data],$DD640,13),0)</f>
        <v/>
      </c>
      <c r="P640">
        <f>IFERROR(INDEX(PP_Grid[#Data],$DD640,14),0)</f>
        <v/>
      </c>
      <c r="Q640">
        <f>IFERROR(INDEX(PP_Grid[#Data],$DD640,15),0)</f>
        <v/>
      </c>
      <c r="R640">
        <f>IFERROR(INDEX(PP_Grid[#Data],$DD640,16),0)</f>
        <v/>
      </c>
      <c r="S640">
        <f>IFERROR(INDEX(PP_Grid[#Data],$DD640,17),0)</f>
        <v/>
      </c>
      <c r="T640">
        <f>IFERROR(INDEX(PP_Grid[#Data],$DD640,18),0)</f>
        <v/>
      </c>
      <c r="U640">
        <f>IFERROR(INDEX(PP_Grid[#Data],$DD640,19),0)</f>
        <v/>
      </c>
      <c r="V640">
        <f>IFERROR(INDEX(PP_Grid[#Data],$DD640,20),0)</f>
        <v/>
      </c>
      <c r="W640">
        <f>IFERROR(INDEX(PP_Grid[#Data],$DD640,21),0)</f>
        <v/>
      </c>
      <c r="X640">
        <f>IFERROR(INDEX(PP_Grid[#Data],$DD640,22),0)</f>
        <v/>
      </c>
      <c r="Y640">
        <f>IFERROR(INDEX(PP_Grid[#Data],$DD640,23),0)</f>
        <v/>
      </c>
      <c r="Z640">
        <f>IFERROR(INDEX(PP_Grid[#Data],$DD640,24),0)</f>
        <v/>
      </c>
      <c r="AA640">
        <f>IFERROR(INDEX(PP_Grid[#Data],$DD640,25),0)</f>
        <v/>
      </c>
      <c r="AB640">
        <f>IFERROR(INDEX(PP_Grid[#Data],$DD640,26),0)</f>
        <v/>
      </c>
      <c r="AC640">
        <f>IFERROR(INDEX(PP_Grid[#Data],$DD640,27),0)</f>
        <v/>
      </c>
      <c r="AD640">
        <f>IFERROR(INDEX(PP_Grid[#Data],$DD640,28),0)</f>
        <v/>
      </c>
      <c r="AE640">
        <f>IFERROR(INDEX(PP_Grid[#Data],$DD640,29),0)</f>
        <v/>
      </c>
      <c r="AF640">
        <f>IFERROR(INDEX(PP_Grid[#Data],$DD640,30),0)</f>
        <v/>
      </c>
      <c r="AG640">
        <f>IFERROR(INDEX(PP_Grid[#Data],$DD640,31),0)</f>
        <v/>
      </c>
      <c r="AH640">
        <f>IFERROR(INDEX(PP_Grid[#Data],$DD640,32),0)</f>
        <v/>
      </c>
      <c r="AI640">
        <f>IFERROR(INDEX(PP_Grid[#Data],$DD640,33),0)</f>
        <v/>
      </c>
      <c r="AJ640">
        <f>IFERROR(INDEX(PP_Grid[#Data],$DD640,34),0)</f>
        <v/>
      </c>
      <c r="AK640">
        <f>IFERROR(INDEX(PP_Grid[#Data],$DD640,35),0)</f>
        <v/>
      </c>
      <c r="AL640">
        <f>IFERROR(INDEX(PP_Grid[#Data],$DD640,36),0)</f>
        <v/>
      </c>
      <c r="AM640">
        <f>IFERROR(INDEX(PP_Grid[#Data],$DD640,37),0)</f>
        <v/>
      </c>
      <c r="AN640">
        <f>IFERROR(INDEX(PP_Grid[#Data],$DD640,38),0)</f>
        <v/>
      </c>
      <c r="AO640">
        <f>IFERROR(INDEX(PP_Grid[#Data],$DD640,39),0)</f>
        <v/>
      </c>
      <c r="AP640">
        <f>IFERROR(INDEX(PP_Grid[#Data],$DD640,40),0)</f>
        <v/>
      </c>
      <c r="AQ640">
        <f>IFERROR(INDEX(PP_Grid[#Data],$DD640,41),0)</f>
        <v/>
      </c>
      <c r="AR640">
        <f>IFERROR(INDEX(PP_Grid[#Data],$DD640,42),0)</f>
        <v/>
      </c>
      <c r="AS640">
        <f>IFERROR(INDEX(PP_Grid[#Data],$DD640,43),0)</f>
        <v/>
      </c>
      <c r="AT640">
        <f>IFERROR(INDEX(PP_Grid[#Data],$DD640,44),0)</f>
        <v/>
      </c>
      <c r="AU640">
        <f>IFERROR(INDEX(PP_Grid[#Data],$DD640,45),0)</f>
        <v/>
      </c>
      <c r="AV640">
        <f>IFERROR(INDEX(PP_Grid[#Data],$DD640,46),0)</f>
        <v/>
      </c>
      <c r="AW640">
        <f>IFERROR(INDEX(PP_Grid[#Data],$DD640,47),0)</f>
        <v/>
      </c>
      <c r="AX640">
        <f>IFERROR(INDEX(PP_Grid[#Data],$DD640,48),0)</f>
        <v/>
      </c>
      <c r="AY640">
        <f>IFERROR(INDEX(PP_Grid[#Data],$DD640,49),0)</f>
        <v/>
      </c>
      <c r="AZ640">
        <f>IFERROR(INDEX(PP_Grid[#Data],$DD640,50),0)</f>
        <v/>
      </c>
      <c r="BA640">
        <f>IFERROR(INDEX(PP_Grid[#Data],$DD640,51),0)</f>
        <v/>
      </c>
      <c r="BB640">
        <f>IFERROR(INDEX(PP_Grid[#Data],$DD640,52),0)</f>
        <v/>
      </c>
      <c r="BC640">
        <f>IFERROR(INDEX(PP_Grid[#Data],$DD640,53),0)</f>
        <v/>
      </c>
      <c r="BD640">
        <f>IFERROR(INDEX(PP_Grid[#Data],$DD640,54),0)</f>
        <v/>
      </c>
      <c r="BE640">
        <f>IFERROR(INDEX(PP_Grid[#Data],$DD640,55),0)</f>
        <v/>
      </c>
      <c r="BF640">
        <f>IFERROR(INDEX(PP_Grid[#Data],$DD640,56),0)</f>
        <v/>
      </c>
      <c r="BG640">
        <f>IFERROR(INDEX(PP_Grid[#Data],$DD640,57),0)</f>
        <v/>
      </c>
      <c r="BH640">
        <f>IFERROR(INDEX(PP_Grid[#Data],$DD640,58),0)</f>
        <v/>
      </c>
      <c r="BI640">
        <f>IFERROR(INDEX(PP_Grid[#Data],$DD640,59),0)</f>
        <v/>
      </c>
      <c r="BJ640">
        <f>IFERROR(INDEX(PP_Grid[#Data],$DD640,60),0)</f>
        <v/>
      </c>
      <c r="BK640">
        <f>IFERROR(INDEX(PP_Grid[#Data],$DD640,61),0)</f>
        <v/>
      </c>
      <c r="BL640">
        <f>IFERROR(INDEX(PP_Grid[#Data],$DD640,62),0)</f>
        <v/>
      </c>
      <c r="BM640">
        <f>IFERROR(INDEX(PP_Grid[#Data],$DD640,63),0)</f>
        <v/>
      </c>
      <c r="BN640">
        <f>IFERROR(INDEX(PP_Grid[#Data],$DD640,64),0)</f>
        <v/>
      </c>
      <c r="BO640">
        <f>IFERROR(INDEX(PP_Grid[#Data],$DD640,65),0)</f>
        <v/>
      </c>
      <c r="BP640">
        <f>IFERROR(INDEX(PP_Grid[#Data],$DD640,66),0)</f>
        <v/>
      </c>
      <c r="BQ640">
        <f>IFERROR(INDEX(PP_Grid[#Data],$DD640,67),0)</f>
        <v/>
      </c>
      <c r="BR640">
        <f>IFERROR(INDEX(PP_Grid[#Data],$DD640,68),0)</f>
        <v/>
      </c>
      <c r="BS640">
        <f>IFERROR(INDEX(PP_Grid[#Data],$DD640,69),0)</f>
        <v/>
      </c>
      <c r="BT640">
        <f>IFERROR(INDEX(PP_Grid[#Data],$DD640,70),0)</f>
        <v/>
      </c>
      <c r="BU640">
        <f>IFERROR(INDEX(PP_Grid[#Data],$DD640,71),0)</f>
        <v/>
      </c>
      <c r="BV640">
        <f>IFERROR(INDEX(PP_Grid[#Data],$DD640,72),0)</f>
        <v/>
      </c>
      <c r="BW640">
        <f>IFERROR(INDEX(PP_Grid[#Data],$DD640,73),0)</f>
        <v/>
      </c>
      <c r="BX640">
        <f>IFERROR(INDEX(PP_Grid[#Data],$DD640,74),0)</f>
        <v/>
      </c>
      <c r="BY640">
        <f>IFERROR(INDEX(PP_Grid[#Data],$DD640,75),0)</f>
        <v/>
      </c>
      <c r="BZ640">
        <f>IFERROR(INDEX(PP_Grid[#Data],$DD640,76),0)</f>
        <v/>
      </c>
      <c r="CA640">
        <f>IFERROR(INDEX(PP_Grid[#Data],$DD640,77),0)</f>
        <v/>
      </c>
      <c r="CB640">
        <f>IFERROR(INDEX(PP_Grid[#Data],$DD640,78),0)</f>
        <v/>
      </c>
      <c r="CC640">
        <f>IFERROR(INDEX(PP_Grid[#Data],$DD640,79),0)</f>
        <v/>
      </c>
      <c r="CD640">
        <f>IFERROR(INDEX(PP_Grid[#Data],$DD640,80),0)</f>
        <v/>
      </c>
      <c r="CE640">
        <f>IFERROR(INDEX(PP_Grid[#Data],$DD640,81),0)</f>
        <v/>
      </c>
      <c r="CF640">
        <f>IFERROR(INDEX(PP_Grid[#Data],$DD640,82),0)</f>
        <v/>
      </c>
      <c r="CG640">
        <f>IFERROR(INDEX(PP_Grid[#Data],$DD640,83),0)</f>
        <v/>
      </c>
      <c r="CH640">
        <f>IFERROR(INDEX(PP_Grid[#Data],$DD640,84),0)</f>
        <v/>
      </c>
      <c r="CI640">
        <f>IFERROR(INDEX(PP_Grid[#Data],$DD640,85),0)</f>
        <v/>
      </c>
      <c r="CJ640">
        <f>IFERROR(INDEX(PP_Grid[#Data],$DD640,86),0)</f>
        <v/>
      </c>
      <c r="CK640">
        <f>IFERROR(INDEX(PP_Grid[#Data],$DD640,87),0)</f>
        <v/>
      </c>
      <c r="CL640">
        <f>IFERROR(INDEX(PP_Grid[#Data],$DD640,88),0)</f>
        <v/>
      </c>
      <c r="CM640">
        <f>IFERROR(INDEX(PP_Grid[#Data],$DD640,89),0)</f>
        <v/>
      </c>
      <c r="CN640">
        <f>IFERROR(INDEX(PP_Grid[#Data],$DD640,90),0)</f>
        <v/>
      </c>
      <c r="CO640">
        <f>IFERROR(INDEX(PP_Grid[#Data],$DD640,91),0)</f>
        <v/>
      </c>
      <c r="CP640">
        <f>IFERROR(INDEX(PP_Grid[#Data],$DD640,92),0)</f>
        <v/>
      </c>
      <c r="CQ640">
        <f>IFERROR(INDEX(PP_Grid[#Data],$DD640,93),0)</f>
        <v/>
      </c>
      <c r="CR640">
        <f>IFERROR(INDEX(PP_Grid[#Data],$DD640,94),0)</f>
        <v/>
      </c>
      <c r="CS640">
        <f>IFERROR(INDEX(PP_Grid[#Data],$DD640,95),0)</f>
        <v/>
      </c>
      <c r="CT640">
        <f>IFERROR(INDEX(PP_Grid[#Data],$DD640,96),0)</f>
        <v/>
      </c>
      <c r="CU640">
        <f>IFERROR(INDEX(PP_Grid[#Data],$DD640,97),0)</f>
        <v/>
      </c>
      <c r="CV640">
        <f>IFERROR(INDEX(PP_Grid[#Data],$DD640,98),0)</f>
        <v/>
      </c>
      <c r="CW640">
        <f>IFERROR(INDEX(PP_Grid[#Data],$DD640,99),0)</f>
        <v/>
      </c>
      <c r="CX640">
        <f>IFERROR(INDEX(PP_Grid[#Data],$DD640,100),0)</f>
        <v/>
      </c>
      <c r="CY640">
        <f>IFERROR(INDEX(PP_Grid[#Data],$DD640,101),0)</f>
        <v/>
      </c>
      <c r="CZ640">
        <f>IFERROR(INDEX(PP_Grid[#Data],$DD640,102),0)</f>
        <v/>
      </c>
      <c r="DA640">
        <f>IFERROR(INDEX(PP_Grid[#Data],$DD640,103),0)</f>
        <v/>
      </c>
      <c r="DB640">
        <f>IFERROR(INDEX(PP_Grid[#Data],$DD640,104),0)</f>
        <v/>
      </c>
      <c r="DC640">
        <f>IFERROR(INDEX(PP_Grid[#Data],$DD640,105),0)</f>
        <v/>
      </c>
      <c r="DD640" s="7">
        <f>IFERROR(MATCH($B640,PP_Grid[Intermediate],0),99999)</f>
        <v/>
      </c>
    </row>
    <row r="641">
      <c r="B641" t="inlineStr">
        <is>
          <t>使用量(kg)</t>
        </is>
      </c>
      <c r="C641">
        <f>SUMIFS(M_BOM[RM_Qty_Per_Batch],M_BOM[Intermediate],$B640,M_BOM[Part Name],$A589)</f>
        <v/>
      </c>
      <c r="D641">
        <f>$C641*D640</f>
        <v/>
      </c>
      <c r="E641">
        <f>$C641*E640</f>
        <v/>
      </c>
      <c r="F641">
        <f>$C641*F640</f>
        <v/>
      </c>
      <c r="G641">
        <f>$C641*G640</f>
        <v/>
      </c>
      <c r="H641">
        <f>$C641*H640</f>
        <v/>
      </c>
      <c r="I641">
        <f>$C641*I640</f>
        <v/>
      </c>
      <c r="J641">
        <f>$C641*J640</f>
        <v/>
      </c>
      <c r="K641">
        <f>$C641*K640</f>
        <v/>
      </c>
      <c r="L641">
        <f>$C641*L640</f>
        <v/>
      </c>
      <c r="M641">
        <f>$C641*M640</f>
        <v/>
      </c>
      <c r="N641">
        <f>$C641*N640</f>
        <v/>
      </c>
      <c r="O641">
        <f>$C641*O640</f>
        <v/>
      </c>
      <c r="P641">
        <f>$C641*P640</f>
        <v/>
      </c>
      <c r="Q641">
        <f>$C641*Q640</f>
        <v/>
      </c>
      <c r="R641">
        <f>$C641*R640</f>
        <v/>
      </c>
      <c r="S641">
        <f>$C641*S640</f>
        <v/>
      </c>
      <c r="T641">
        <f>$C641*T640</f>
        <v/>
      </c>
      <c r="U641">
        <f>$C641*U640</f>
        <v/>
      </c>
      <c r="V641">
        <f>$C641*V640</f>
        <v/>
      </c>
      <c r="W641">
        <f>$C641*W640</f>
        <v/>
      </c>
      <c r="X641">
        <f>$C641*X640</f>
        <v/>
      </c>
      <c r="Y641">
        <f>$C641*Y640</f>
        <v/>
      </c>
      <c r="Z641">
        <f>$C641*Z640</f>
        <v/>
      </c>
      <c r="AA641">
        <f>$C641*AA640</f>
        <v/>
      </c>
      <c r="AB641">
        <f>$C641*AB640</f>
        <v/>
      </c>
      <c r="AC641">
        <f>$C641*AC640</f>
        <v/>
      </c>
      <c r="AD641">
        <f>$C641*AD640</f>
        <v/>
      </c>
      <c r="AE641">
        <f>$C641*AE640</f>
        <v/>
      </c>
      <c r="AF641">
        <f>$C641*AF640</f>
        <v/>
      </c>
      <c r="AG641">
        <f>$C641*AG640</f>
        <v/>
      </c>
      <c r="AH641">
        <f>$C641*AH640</f>
        <v/>
      </c>
      <c r="AI641">
        <f>$C641*AI640</f>
        <v/>
      </c>
      <c r="AJ641">
        <f>$C641*AJ640</f>
        <v/>
      </c>
      <c r="AK641">
        <f>$C641*AK640</f>
        <v/>
      </c>
      <c r="AL641">
        <f>$C641*AL640</f>
        <v/>
      </c>
      <c r="AM641">
        <f>$C641*AM640</f>
        <v/>
      </c>
      <c r="AN641">
        <f>$C641*AN640</f>
        <v/>
      </c>
      <c r="AO641">
        <f>$C641*AO640</f>
        <v/>
      </c>
      <c r="AP641">
        <f>$C641*AP640</f>
        <v/>
      </c>
      <c r="AQ641">
        <f>$C641*AQ640</f>
        <v/>
      </c>
      <c r="AR641">
        <f>$C641*AR640</f>
        <v/>
      </c>
      <c r="AS641">
        <f>$C641*AS640</f>
        <v/>
      </c>
      <c r="AT641">
        <f>$C641*AT640</f>
        <v/>
      </c>
      <c r="AU641">
        <f>$C641*AU640</f>
        <v/>
      </c>
      <c r="AV641">
        <f>$C641*AV640</f>
        <v/>
      </c>
      <c r="AW641">
        <f>$C641*AW640</f>
        <v/>
      </c>
      <c r="AX641">
        <f>$C641*AX640</f>
        <v/>
      </c>
      <c r="AY641">
        <f>$C641*AY640</f>
        <v/>
      </c>
      <c r="AZ641">
        <f>$C641*AZ640</f>
        <v/>
      </c>
      <c r="BA641">
        <f>$C641*BA640</f>
        <v/>
      </c>
      <c r="BB641">
        <f>$C641*BB640</f>
        <v/>
      </c>
      <c r="BC641">
        <f>$C641*BC640</f>
        <v/>
      </c>
      <c r="BD641">
        <f>$C641*BD640</f>
        <v/>
      </c>
      <c r="BE641">
        <f>$C641*BE640</f>
        <v/>
      </c>
      <c r="BF641">
        <f>$C641*BF640</f>
        <v/>
      </c>
      <c r="BG641">
        <f>$C641*BG640</f>
        <v/>
      </c>
      <c r="BH641">
        <f>$C641*BH640</f>
        <v/>
      </c>
      <c r="BI641">
        <f>$C641*BI640</f>
        <v/>
      </c>
      <c r="BJ641">
        <f>$C641*BJ640</f>
        <v/>
      </c>
      <c r="BK641">
        <f>$C641*BK640</f>
        <v/>
      </c>
      <c r="BL641">
        <f>$C641*BL640</f>
        <v/>
      </c>
      <c r="BM641">
        <f>$C641*BM640</f>
        <v/>
      </c>
      <c r="BN641">
        <f>$C641*BN640</f>
        <v/>
      </c>
      <c r="BO641">
        <f>$C641*BO640</f>
        <v/>
      </c>
      <c r="BP641">
        <f>$C641*BP640</f>
        <v/>
      </c>
      <c r="BQ641">
        <f>$C641*BQ640</f>
        <v/>
      </c>
      <c r="BR641">
        <f>$C641*BR640</f>
        <v/>
      </c>
      <c r="BS641">
        <f>$C641*BS640</f>
        <v/>
      </c>
      <c r="BT641">
        <f>$C641*BT640</f>
        <v/>
      </c>
      <c r="BU641">
        <f>$C641*BU640</f>
        <v/>
      </c>
      <c r="BV641">
        <f>$C641*BV640</f>
        <v/>
      </c>
      <c r="BW641">
        <f>$C641*BW640</f>
        <v/>
      </c>
      <c r="BX641">
        <f>$C641*BX640</f>
        <v/>
      </c>
      <c r="BY641">
        <f>$C641*BY640</f>
        <v/>
      </c>
      <c r="BZ641">
        <f>$C641*BZ640</f>
        <v/>
      </c>
      <c r="CA641">
        <f>$C641*CA640</f>
        <v/>
      </c>
      <c r="CB641">
        <f>$C641*CB640</f>
        <v/>
      </c>
      <c r="CC641">
        <f>$C641*CC640</f>
        <v/>
      </c>
      <c r="CD641">
        <f>$C641*CD640</f>
        <v/>
      </c>
      <c r="CE641">
        <f>$C641*CE640</f>
        <v/>
      </c>
      <c r="CF641">
        <f>$C641*CF640</f>
        <v/>
      </c>
      <c r="CG641">
        <f>$C641*CG640</f>
        <v/>
      </c>
      <c r="CH641">
        <f>$C641*CH640</f>
        <v/>
      </c>
      <c r="CI641">
        <f>$C641*CI640</f>
        <v/>
      </c>
      <c r="CJ641">
        <f>$C641*CJ640</f>
        <v/>
      </c>
      <c r="CK641">
        <f>$C641*CK640</f>
        <v/>
      </c>
      <c r="CL641">
        <f>$C641*CL640</f>
        <v/>
      </c>
      <c r="CM641">
        <f>$C641*CM640</f>
        <v/>
      </c>
      <c r="CN641">
        <f>$C641*CN640</f>
        <v/>
      </c>
      <c r="CO641">
        <f>$C641*CO640</f>
        <v/>
      </c>
      <c r="CP641">
        <f>$C641*CP640</f>
        <v/>
      </c>
      <c r="CQ641">
        <f>$C641*CQ640</f>
        <v/>
      </c>
      <c r="CR641">
        <f>$C641*CR640</f>
        <v/>
      </c>
      <c r="CS641">
        <f>$C641*CS640</f>
        <v/>
      </c>
      <c r="CT641">
        <f>$C641*CT640</f>
        <v/>
      </c>
      <c r="CU641">
        <f>$C641*CU640</f>
        <v/>
      </c>
      <c r="CV641">
        <f>$C641*CV640</f>
        <v/>
      </c>
      <c r="CW641">
        <f>$C641*CW640</f>
        <v/>
      </c>
      <c r="CX641">
        <f>$C641*CX640</f>
        <v/>
      </c>
      <c r="CY641">
        <f>$C641*CY640</f>
        <v/>
      </c>
      <c r="CZ641">
        <f>$C641*CZ640</f>
        <v/>
      </c>
      <c r="DA641">
        <f>$C641*DA640</f>
        <v/>
      </c>
      <c r="DB641">
        <f>$C641*DB640</f>
        <v/>
      </c>
      <c r="DC641">
        <f>$C641*DC640</f>
        <v/>
      </c>
    </row>
    <row r="642">
      <c r="B642" t="inlineStr">
        <is>
          <t>No of times used</t>
        </is>
      </c>
      <c r="C642" t="inlineStr">
        <is>
          <t>No. of batches</t>
        </is>
      </c>
      <c r="D642">
        <f>IFERROR(INDEX(PP_Grid[#Data],$DD642,2),0)</f>
        <v/>
      </c>
      <c r="E642">
        <f>IFERROR(INDEX(PP_Grid[#Data],$DD642,3),0)</f>
        <v/>
      </c>
      <c r="F642">
        <f>IFERROR(INDEX(PP_Grid[#Data],$DD642,4),0)</f>
        <v/>
      </c>
      <c r="G642">
        <f>IFERROR(INDEX(PP_Grid[#Data],$DD642,5),0)</f>
        <v/>
      </c>
      <c r="H642">
        <f>IFERROR(INDEX(PP_Grid[#Data],$DD642,6),0)</f>
        <v/>
      </c>
      <c r="I642">
        <f>IFERROR(INDEX(PP_Grid[#Data],$DD642,7),0)</f>
        <v/>
      </c>
      <c r="J642">
        <f>IFERROR(INDEX(PP_Grid[#Data],$DD642,8),0)</f>
        <v/>
      </c>
      <c r="K642">
        <f>IFERROR(INDEX(PP_Grid[#Data],$DD642,9),0)</f>
        <v/>
      </c>
      <c r="L642">
        <f>IFERROR(INDEX(PP_Grid[#Data],$DD642,10),0)</f>
        <v/>
      </c>
      <c r="M642">
        <f>IFERROR(INDEX(PP_Grid[#Data],$DD642,11),0)</f>
        <v/>
      </c>
      <c r="N642">
        <f>IFERROR(INDEX(PP_Grid[#Data],$DD642,12),0)</f>
        <v/>
      </c>
      <c r="O642">
        <f>IFERROR(INDEX(PP_Grid[#Data],$DD642,13),0)</f>
        <v/>
      </c>
      <c r="P642">
        <f>IFERROR(INDEX(PP_Grid[#Data],$DD642,14),0)</f>
        <v/>
      </c>
      <c r="Q642">
        <f>IFERROR(INDEX(PP_Grid[#Data],$DD642,15),0)</f>
        <v/>
      </c>
      <c r="R642">
        <f>IFERROR(INDEX(PP_Grid[#Data],$DD642,16),0)</f>
        <v/>
      </c>
      <c r="S642">
        <f>IFERROR(INDEX(PP_Grid[#Data],$DD642,17),0)</f>
        <v/>
      </c>
      <c r="T642">
        <f>IFERROR(INDEX(PP_Grid[#Data],$DD642,18),0)</f>
        <v/>
      </c>
      <c r="U642">
        <f>IFERROR(INDEX(PP_Grid[#Data],$DD642,19),0)</f>
        <v/>
      </c>
      <c r="V642">
        <f>IFERROR(INDEX(PP_Grid[#Data],$DD642,20),0)</f>
        <v/>
      </c>
      <c r="W642">
        <f>IFERROR(INDEX(PP_Grid[#Data],$DD642,21),0)</f>
        <v/>
      </c>
      <c r="X642">
        <f>IFERROR(INDEX(PP_Grid[#Data],$DD642,22),0)</f>
        <v/>
      </c>
      <c r="Y642">
        <f>IFERROR(INDEX(PP_Grid[#Data],$DD642,23),0)</f>
        <v/>
      </c>
      <c r="Z642">
        <f>IFERROR(INDEX(PP_Grid[#Data],$DD642,24),0)</f>
        <v/>
      </c>
      <c r="AA642">
        <f>IFERROR(INDEX(PP_Grid[#Data],$DD642,25),0)</f>
        <v/>
      </c>
      <c r="AB642">
        <f>IFERROR(INDEX(PP_Grid[#Data],$DD642,26),0)</f>
        <v/>
      </c>
      <c r="AC642">
        <f>IFERROR(INDEX(PP_Grid[#Data],$DD642,27),0)</f>
        <v/>
      </c>
      <c r="AD642">
        <f>IFERROR(INDEX(PP_Grid[#Data],$DD642,28),0)</f>
        <v/>
      </c>
      <c r="AE642">
        <f>IFERROR(INDEX(PP_Grid[#Data],$DD642,29),0)</f>
        <v/>
      </c>
      <c r="AF642">
        <f>IFERROR(INDEX(PP_Grid[#Data],$DD642,30),0)</f>
        <v/>
      </c>
      <c r="AG642">
        <f>IFERROR(INDEX(PP_Grid[#Data],$DD642,31),0)</f>
        <v/>
      </c>
      <c r="AH642">
        <f>IFERROR(INDEX(PP_Grid[#Data],$DD642,32),0)</f>
        <v/>
      </c>
      <c r="AI642">
        <f>IFERROR(INDEX(PP_Grid[#Data],$DD642,33),0)</f>
        <v/>
      </c>
      <c r="AJ642">
        <f>IFERROR(INDEX(PP_Grid[#Data],$DD642,34),0)</f>
        <v/>
      </c>
      <c r="AK642">
        <f>IFERROR(INDEX(PP_Grid[#Data],$DD642,35),0)</f>
        <v/>
      </c>
      <c r="AL642">
        <f>IFERROR(INDEX(PP_Grid[#Data],$DD642,36),0)</f>
        <v/>
      </c>
      <c r="AM642">
        <f>IFERROR(INDEX(PP_Grid[#Data],$DD642,37),0)</f>
        <v/>
      </c>
      <c r="AN642">
        <f>IFERROR(INDEX(PP_Grid[#Data],$DD642,38),0)</f>
        <v/>
      </c>
      <c r="AO642">
        <f>IFERROR(INDEX(PP_Grid[#Data],$DD642,39),0)</f>
        <v/>
      </c>
      <c r="AP642">
        <f>IFERROR(INDEX(PP_Grid[#Data],$DD642,40),0)</f>
        <v/>
      </c>
      <c r="AQ642">
        <f>IFERROR(INDEX(PP_Grid[#Data],$DD642,41),0)</f>
        <v/>
      </c>
      <c r="AR642">
        <f>IFERROR(INDEX(PP_Grid[#Data],$DD642,42),0)</f>
        <v/>
      </c>
      <c r="AS642">
        <f>IFERROR(INDEX(PP_Grid[#Data],$DD642,43),0)</f>
        <v/>
      </c>
      <c r="AT642">
        <f>IFERROR(INDEX(PP_Grid[#Data],$DD642,44),0)</f>
        <v/>
      </c>
      <c r="AU642">
        <f>IFERROR(INDEX(PP_Grid[#Data],$DD642,45),0)</f>
        <v/>
      </c>
      <c r="AV642">
        <f>IFERROR(INDEX(PP_Grid[#Data],$DD642,46),0)</f>
        <v/>
      </c>
      <c r="AW642">
        <f>IFERROR(INDEX(PP_Grid[#Data],$DD642,47),0)</f>
        <v/>
      </c>
      <c r="AX642">
        <f>IFERROR(INDEX(PP_Grid[#Data],$DD642,48),0)</f>
        <v/>
      </c>
      <c r="AY642">
        <f>IFERROR(INDEX(PP_Grid[#Data],$DD642,49),0)</f>
        <v/>
      </c>
      <c r="AZ642">
        <f>IFERROR(INDEX(PP_Grid[#Data],$DD642,50),0)</f>
        <v/>
      </c>
      <c r="BA642">
        <f>IFERROR(INDEX(PP_Grid[#Data],$DD642,51),0)</f>
        <v/>
      </c>
      <c r="BB642">
        <f>IFERROR(INDEX(PP_Grid[#Data],$DD642,52),0)</f>
        <v/>
      </c>
      <c r="BC642">
        <f>IFERROR(INDEX(PP_Grid[#Data],$DD642,53),0)</f>
        <v/>
      </c>
      <c r="BD642">
        <f>IFERROR(INDEX(PP_Grid[#Data],$DD642,54),0)</f>
        <v/>
      </c>
      <c r="BE642">
        <f>IFERROR(INDEX(PP_Grid[#Data],$DD642,55),0)</f>
        <v/>
      </c>
      <c r="BF642">
        <f>IFERROR(INDEX(PP_Grid[#Data],$DD642,56),0)</f>
        <v/>
      </c>
      <c r="BG642">
        <f>IFERROR(INDEX(PP_Grid[#Data],$DD642,57),0)</f>
        <v/>
      </c>
      <c r="BH642">
        <f>IFERROR(INDEX(PP_Grid[#Data],$DD642,58),0)</f>
        <v/>
      </c>
      <c r="BI642">
        <f>IFERROR(INDEX(PP_Grid[#Data],$DD642,59),0)</f>
        <v/>
      </c>
      <c r="BJ642">
        <f>IFERROR(INDEX(PP_Grid[#Data],$DD642,60),0)</f>
        <v/>
      </c>
      <c r="BK642">
        <f>IFERROR(INDEX(PP_Grid[#Data],$DD642,61),0)</f>
        <v/>
      </c>
      <c r="BL642">
        <f>IFERROR(INDEX(PP_Grid[#Data],$DD642,62),0)</f>
        <v/>
      </c>
      <c r="BM642">
        <f>IFERROR(INDEX(PP_Grid[#Data],$DD642,63),0)</f>
        <v/>
      </c>
      <c r="BN642">
        <f>IFERROR(INDEX(PP_Grid[#Data],$DD642,64),0)</f>
        <v/>
      </c>
      <c r="BO642">
        <f>IFERROR(INDEX(PP_Grid[#Data],$DD642,65),0)</f>
        <v/>
      </c>
      <c r="BP642">
        <f>IFERROR(INDEX(PP_Grid[#Data],$DD642,66),0)</f>
        <v/>
      </c>
      <c r="BQ642">
        <f>IFERROR(INDEX(PP_Grid[#Data],$DD642,67),0)</f>
        <v/>
      </c>
      <c r="BR642">
        <f>IFERROR(INDEX(PP_Grid[#Data],$DD642,68),0)</f>
        <v/>
      </c>
      <c r="BS642">
        <f>IFERROR(INDEX(PP_Grid[#Data],$DD642,69),0)</f>
        <v/>
      </c>
      <c r="BT642">
        <f>IFERROR(INDEX(PP_Grid[#Data],$DD642,70),0)</f>
        <v/>
      </c>
      <c r="BU642">
        <f>IFERROR(INDEX(PP_Grid[#Data],$DD642,71),0)</f>
        <v/>
      </c>
      <c r="BV642">
        <f>IFERROR(INDEX(PP_Grid[#Data],$DD642,72),0)</f>
        <v/>
      </c>
      <c r="BW642">
        <f>IFERROR(INDEX(PP_Grid[#Data],$DD642,73),0)</f>
        <v/>
      </c>
      <c r="BX642">
        <f>IFERROR(INDEX(PP_Grid[#Data],$DD642,74),0)</f>
        <v/>
      </c>
      <c r="BY642">
        <f>IFERROR(INDEX(PP_Grid[#Data],$DD642,75),0)</f>
        <v/>
      </c>
      <c r="BZ642">
        <f>IFERROR(INDEX(PP_Grid[#Data],$DD642,76),0)</f>
        <v/>
      </c>
      <c r="CA642">
        <f>IFERROR(INDEX(PP_Grid[#Data],$DD642,77),0)</f>
        <v/>
      </c>
      <c r="CB642">
        <f>IFERROR(INDEX(PP_Grid[#Data],$DD642,78),0)</f>
        <v/>
      </c>
      <c r="CC642">
        <f>IFERROR(INDEX(PP_Grid[#Data],$DD642,79),0)</f>
        <v/>
      </c>
      <c r="CD642">
        <f>IFERROR(INDEX(PP_Grid[#Data],$DD642,80),0)</f>
        <v/>
      </c>
      <c r="CE642">
        <f>IFERROR(INDEX(PP_Grid[#Data],$DD642,81),0)</f>
        <v/>
      </c>
      <c r="CF642">
        <f>IFERROR(INDEX(PP_Grid[#Data],$DD642,82),0)</f>
        <v/>
      </c>
      <c r="CG642">
        <f>IFERROR(INDEX(PP_Grid[#Data],$DD642,83),0)</f>
        <v/>
      </c>
      <c r="CH642">
        <f>IFERROR(INDEX(PP_Grid[#Data],$DD642,84),0)</f>
        <v/>
      </c>
      <c r="CI642">
        <f>IFERROR(INDEX(PP_Grid[#Data],$DD642,85),0)</f>
        <v/>
      </c>
      <c r="CJ642">
        <f>IFERROR(INDEX(PP_Grid[#Data],$DD642,86),0)</f>
        <v/>
      </c>
      <c r="CK642">
        <f>IFERROR(INDEX(PP_Grid[#Data],$DD642,87),0)</f>
        <v/>
      </c>
      <c r="CL642">
        <f>IFERROR(INDEX(PP_Grid[#Data],$DD642,88),0)</f>
        <v/>
      </c>
      <c r="CM642">
        <f>IFERROR(INDEX(PP_Grid[#Data],$DD642,89),0)</f>
        <v/>
      </c>
      <c r="CN642">
        <f>IFERROR(INDEX(PP_Grid[#Data],$DD642,90),0)</f>
        <v/>
      </c>
      <c r="CO642">
        <f>IFERROR(INDEX(PP_Grid[#Data],$DD642,91),0)</f>
        <v/>
      </c>
      <c r="CP642">
        <f>IFERROR(INDEX(PP_Grid[#Data],$DD642,92),0)</f>
        <v/>
      </c>
      <c r="CQ642">
        <f>IFERROR(INDEX(PP_Grid[#Data],$DD642,93),0)</f>
        <v/>
      </c>
      <c r="CR642">
        <f>IFERROR(INDEX(PP_Grid[#Data],$DD642,94),0)</f>
        <v/>
      </c>
      <c r="CS642">
        <f>IFERROR(INDEX(PP_Grid[#Data],$DD642,95),0)</f>
        <v/>
      </c>
      <c r="CT642">
        <f>IFERROR(INDEX(PP_Grid[#Data],$DD642,96),0)</f>
        <v/>
      </c>
      <c r="CU642">
        <f>IFERROR(INDEX(PP_Grid[#Data],$DD642,97),0)</f>
        <v/>
      </c>
      <c r="CV642">
        <f>IFERROR(INDEX(PP_Grid[#Data],$DD642,98),0)</f>
        <v/>
      </c>
      <c r="CW642">
        <f>IFERROR(INDEX(PP_Grid[#Data],$DD642,99),0)</f>
        <v/>
      </c>
      <c r="CX642">
        <f>IFERROR(INDEX(PP_Grid[#Data],$DD642,100),0)</f>
        <v/>
      </c>
      <c r="CY642">
        <f>IFERROR(INDEX(PP_Grid[#Data],$DD642,101),0)</f>
        <v/>
      </c>
      <c r="CZ642">
        <f>IFERROR(INDEX(PP_Grid[#Data],$DD642,102),0)</f>
        <v/>
      </c>
      <c r="DA642">
        <f>IFERROR(INDEX(PP_Grid[#Data],$DD642,103),0)</f>
        <v/>
      </c>
      <c r="DB642">
        <f>IFERROR(INDEX(PP_Grid[#Data],$DD642,104),0)</f>
        <v/>
      </c>
      <c r="DC642">
        <f>IFERROR(INDEX(PP_Grid[#Data],$DD642,105),0)</f>
        <v/>
      </c>
      <c r="DD642" s="7">
        <f>IFERROR(MATCH($B642,PP_Grid[Intermediate],0),99999)</f>
        <v/>
      </c>
    </row>
    <row r="643">
      <c r="B643" t="inlineStr">
        <is>
          <t>使用量(kg)</t>
        </is>
      </c>
      <c r="C643">
        <f>SUMIFS(M_BOM[RM_Qty_Per_Batch],M_BOM[Intermediate],$B642,M_BOM[Part Name],$A589)</f>
        <v/>
      </c>
      <c r="D643">
        <f>$C643*D642</f>
        <v/>
      </c>
      <c r="E643">
        <f>$C643*E642</f>
        <v/>
      </c>
      <c r="F643">
        <f>$C643*F642</f>
        <v/>
      </c>
      <c r="G643">
        <f>$C643*G642</f>
        <v/>
      </c>
      <c r="H643">
        <f>$C643*H642</f>
        <v/>
      </c>
      <c r="I643">
        <f>$C643*I642</f>
        <v/>
      </c>
      <c r="J643">
        <f>$C643*J642</f>
        <v/>
      </c>
      <c r="K643">
        <f>$C643*K642</f>
        <v/>
      </c>
      <c r="L643">
        <f>$C643*L642</f>
        <v/>
      </c>
      <c r="M643">
        <f>$C643*M642</f>
        <v/>
      </c>
      <c r="N643">
        <f>$C643*N642</f>
        <v/>
      </c>
      <c r="O643">
        <f>$C643*O642</f>
        <v/>
      </c>
      <c r="P643">
        <f>$C643*P642</f>
        <v/>
      </c>
      <c r="Q643">
        <f>$C643*Q642</f>
        <v/>
      </c>
      <c r="R643">
        <f>$C643*R642</f>
        <v/>
      </c>
      <c r="S643">
        <f>$C643*S642</f>
        <v/>
      </c>
      <c r="T643">
        <f>$C643*T642</f>
        <v/>
      </c>
      <c r="U643">
        <f>$C643*U642</f>
        <v/>
      </c>
      <c r="V643">
        <f>$C643*V642</f>
        <v/>
      </c>
      <c r="W643">
        <f>$C643*W642</f>
        <v/>
      </c>
      <c r="X643">
        <f>$C643*X642</f>
        <v/>
      </c>
      <c r="Y643">
        <f>$C643*Y642</f>
        <v/>
      </c>
      <c r="Z643">
        <f>$C643*Z642</f>
        <v/>
      </c>
      <c r="AA643">
        <f>$C643*AA642</f>
        <v/>
      </c>
      <c r="AB643">
        <f>$C643*AB642</f>
        <v/>
      </c>
      <c r="AC643">
        <f>$C643*AC642</f>
        <v/>
      </c>
      <c r="AD643">
        <f>$C643*AD642</f>
        <v/>
      </c>
      <c r="AE643">
        <f>$C643*AE642</f>
        <v/>
      </c>
      <c r="AF643">
        <f>$C643*AF642</f>
        <v/>
      </c>
      <c r="AG643">
        <f>$C643*AG642</f>
        <v/>
      </c>
      <c r="AH643">
        <f>$C643*AH642</f>
        <v/>
      </c>
      <c r="AI643">
        <f>$C643*AI642</f>
        <v/>
      </c>
      <c r="AJ643">
        <f>$C643*AJ642</f>
        <v/>
      </c>
      <c r="AK643">
        <f>$C643*AK642</f>
        <v/>
      </c>
      <c r="AL643">
        <f>$C643*AL642</f>
        <v/>
      </c>
      <c r="AM643">
        <f>$C643*AM642</f>
        <v/>
      </c>
      <c r="AN643">
        <f>$C643*AN642</f>
        <v/>
      </c>
      <c r="AO643">
        <f>$C643*AO642</f>
        <v/>
      </c>
      <c r="AP643">
        <f>$C643*AP642</f>
        <v/>
      </c>
      <c r="AQ643">
        <f>$C643*AQ642</f>
        <v/>
      </c>
      <c r="AR643">
        <f>$C643*AR642</f>
        <v/>
      </c>
      <c r="AS643">
        <f>$C643*AS642</f>
        <v/>
      </c>
      <c r="AT643">
        <f>$C643*AT642</f>
        <v/>
      </c>
      <c r="AU643">
        <f>$C643*AU642</f>
        <v/>
      </c>
      <c r="AV643">
        <f>$C643*AV642</f>
        <v/>
      </c>
      <c r="AW643">
        <f>$C643*AW642</f>
        <v/>
      </c>
      <c r="AX643">
        <f>$C643*AX642</f>
        <v/>
      </c>
      <c r="AY643">
        <f>$C643*AY642</f>
        <v/>
      </c>
      <c r="AZ643">
        <f>$C643*AZ642</f>
        <v/>
      </c>
      <c r="BA643">
        <f>$C643*BA642</f>
        <v/>
      </c>
      <c r="BB643">
        <f>$C643*BB642</f>
        <v/>
      </c>
      <c r="BC643">
        <f>$C643*BC642</f>
        <v/>
      </c>
      <c r="BD643">
        <f>$C643*BD642</f>
        <v/>
      </c>
      <c r="BE643">
        <f>$C643*BE642</f>
        <v/>
      </c>
      <c r="BF643">
        <f>$C643*BF642</f>
        <v/>
      </c>
      <c r="BG643">
        <f>$C643*BG642</f>
        <v/>
      </c>
      <c r="BH643">
        <f>$C643*BH642</f>
        <v/>
      </c>
      <c r="BI643">
        <f>$C643*BI642</f>
        <v/>
      </c>
      <c r="BJ643">
        <f>$C643*BJ642</f>
        <v/>
      </c>
      <c r="BK643">
        <f>$C643*BK642</f>
        <v/>
      </c>
      <c r="BL643">
        <f>$C643*BL642</f>
        <v/>
      </c>
      <c r="BM643">
        <f>$C643*BM642</f>
        <v/>
      </c>
      <c r="BN643">
        <f>$C643*BN642</f>
        <v/>
      </c>
      <c r="BO643">
        <f>$C643*BO642</f>
        <v/>
      </c>
      <c r="BP643">
        <f>$C643*BP642</f>
        <v/>
      </c>
      <c r="BQ643">
        <f>$C643*BQ642</f>
        <v/>
      </c>
      <c r="BR643">
        <f>$C643*BR642</f>
        <v/>
      </c>
      <c r="BS643">
        <f>$C643*BS642</f>
        <v/>
      </c>
      <c r="BT643">
        <f>$C643*BT642</f>
        <v/>
      </c>
      <c r="BU643">
        <f>$C643*BU642</f>
        <v/>
      </c>
      <c r="BV643">
        <f>$C643*BV642</f>
        <v/>
      </c>
      <c r="BW643">
        <f>$C643*BW642</f>
        <v/>
      </c>
      <c r="BX643">
        <f>$C643*BX642</f>
        <v/>
      </c>
      <c r="BY643">
        <f>$C643*BY642</f>
        <v/>
      </c>
      <c r="BZ643">
        <f>$C643*BZ642</f>
        <v/>
      </c>
      <c r="CA643">
        <f>$C643*CA642</f>
        <v/>
      </c>
      <c r="CB643">
        <f>$C643*CB642</f>
        <v/>
      </c>
      <c r="CC643">
        <f>$C643*CC642</f>
        <v/>
      </c>
      <c r="CD643">
        <f>$C643*CD642</f>
        <v/>
      </c>
      <c r="CE643">
        <f>$C643*CE642</f>
        <v/>
      </c>
      <c r="CF643">
        <f>$C643*CF642</f>
        <v/>
      </c>
      <c r="CG643">
        <f>$C643*CG642</f>
        <v/>
      </c>
      <c r="CH643">
        <f>$C643*CH642</f>
        <v/>
      </c>
      <c r="CI643">
        <f>$C643*CI642</f>
        <v/>
      </c>
      <c r="CJ643">
        <f>$C643*CJ642</f>
        <v/>
      </c>
      <c r="CK643">
        <f>$C643*CK642</f>
        <v/>
      </c>
      <c r="CL643">
        <f>$C643*CL642</f>
        <v/>
      </c>
      <c r="CM643">
        <f>$C643*CM642</f>
        <v/>
      </c>
      <c r="CN643">
        <f>$C643*CN642</f>
        <v/>
      </c>
      <c r="CO643">
        <f>$C643*CO642</f>
        <v/>
      </c>
      <c r="CP643">
        <f>$C643*CP642</f>
        <v/>
      </c>
      <c r="CQ643">
        <f>$C643*CQ642</f>
        <v/>
      </c>
      <c r="CR643">
        <f>$C643*CR642</f>
        <v/>
      </c>
      <c r="CS643">
        <f>$C643*CS642</f>
        <v/>
      </c>
      <c r="CT643">
        <f>$C643*CT642</f>
        <v/>
      </c>
      <c r="CU643">
        <f>$C643*CU642</f>
        <v/>
      </c>
      <c r="CV643">
        <f>$C643*CV642</f>
        <v/>
      </c>
      <c r="CW643">
        <f>$C643*CW642</f>
        <v/>
      </c>
      <c r="CX643">
        <f>$C643*CX642</f>
        <v/>
      </c>
      <c r="CY643">
        <f>$C643*CY642</f>
        <v/>
      </c>
      <c r="CZ643">
        <f>$C643*CZ642</f>
        <v/>
      </c>
      <c r="DA643">
        <f>$C643*DA642</f>
        <v/>
      </c>
      <c r="DB643">
        <f>$C643*DB642</f>
        <v/>
      </c>
      <c r="DC643">
        <f>$C643*DC642</f>
        <v/>
      </c>
    </row>
    <row r="644">
      <c r="B644" t="inlineStr">
        <is>
          <t>F2090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Name],$A589)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s="4" t="inlineStr">
        <is>
          <t>合計使用量(kg)/週</t>
        </is>
      </c>
      <c r="D646">
        <f>'Grid_Requirement'!B22</f>
        <v/>
      </c>
      <c r="E646">
        <f>'Grid_Requirement'!C22</f>
        <v/>
      </c>
      <c r="F646">
        <f>'Grid_Requirement'!D22</f>
        <v/>
      </c>
      <c r="G646">
        <f>'Grid_Requirement'!E22</f>
        <v/>
      </c>
      <c r="H646">
        <f>'Grid_Requirement'!F22</f>
        <v/>
      </c>
      <c r="I646">
        <f>'Grid_Requirement'!G22</f>
        <v/>
      </c>
      <c r="J646">
        <f>'Grid_Requirement'!H22</f>
        <v/>
      </c>
      <c r="K646">
        <f>'Grid_Requirement'!I22</f>
        <v/>
      </c>
      <c r="L646">
        <f>'Grid_Requirement'!J22</f>
        <v/>
      </c>
      <c r="M646">
        <f>'Grid_Requirement'!K22</f>
        <v/>
      </c>
      <c r="N646">
        <f>'Grid_Requirement'!L22</f>
        <v/>
      </c>
      <c r="O646">
        <f>'Grid_Requirement'!M22</f>
        <v/>
      </c>
      <c r="P646">
        <f>'Grid_Requirement'!N22</f>
        <v/>
      </c>
      <c r="Q646">
        <f>'Grid_Requirement'!O22</f>
        <v/>
      </c>
      <c r="R646">
        <f>'Grid_Requirement'!P22</f>
        <v/>
      </c>
      <c r="S646">
        <f>'Grid_Requirement'!Q22</f>
        <v/>
      </c>
      <c r="T646">
        <f>'Grid_Requirement'!R22</f>
        <v/>
      </c>
      <c r="U646">
        <f>'Grid_Requirement'!S22</f>
        <v/>
      </c>
      <c r="V646">
        <f>'Grid_Requirement'!T22</f>
        <v/>
      </c>
      <c r="W646">
        <f>'Grid_Requirement'!U22</f>
        <v/>
      </c>
      <c r="X646">
        <f>'Grid_Requirement'!V22</f>
        <v/>
      </c>
      <c r="Y646">
        <f>'Grid_Requirement'!W22</f>
        <v/>
      </c>
      <c r="Z646">
        <f>'Grid_Requirement'!X22</f>
        <v/>
      </c>
      <c r="AA646">
        <f>'Grid_Requirement'!Y22</f>
        <v/>
      </c>
      <c r="AB646">
        <f>'Grid_Requirement'!Z22</f>
        <v/>
      </c>
      <c r="AC646">
        <f>'Grid_Requirement'!AA22</f>
        <v/>
      </c>
      <c r="AD646">
        <f>'Grid_Requirement'!AB22</f>
        <v/>
      </c>
      <c r="AE646">
        <f>'Grid_Requirement'!AC22</f>
        <v/>
      </c>
      <c r="AF646">
        <f>'Grid_Requirement'!AD22</f>
        <v/>
      </c>
      <c r="AG646">
        <f>'Grid_Requirement'!AE22</f>
        <v/>
      </c>
      <c r="AH646">
        <f>'Grid_Requirement'!AF22</f>
        <v/>
      </c>
      <c r="AI646">
        <f>'Grid_Requirement'!AG22</f>
        <v/>
      </c>
      <c r="AJ646">
        <f>'Grid_Requirement'!AH22</f>
        <v/>
      </c>
      <c r="AK646">
        <f>'Grid_Requirement'!AI22</f>
        <v/>
      </c>
      <c r="AL646">
        <f>'Grid_Requirement'!AJ22</f>
        <v/>
      </c>
      <c r="AM646">
        <f>'Grid_Requirement'!AK22</f>
        <v/>
      </c>
      <c r="AN646">
        <f>'Grid_Requirement'!AL22</f>
        <v/>
      </c>
      <c r="AO646">
        <f>'Grid_Requirement'!AM22</f>
        <v/>
      </c>
      <c r="AP646">
        <f>'Grid_Requirement'!AN22</f>
        <v/>
      </c>
      <c r="AQ646">
        <f>'Grid_Requirement'!AO22</f>
        <v/>
      </c>
      <c r="AR646">
        <f>'Grid_Requirement'!AP22</f>
        <v/>
      </c>
      <c r="AS646">
        <f>'Grid_Requirement'!AQ22</f>
        <v/>
      </c>
      <c r="AT646">
        <f>'Grid_Requirement'!AR22</f>
        <v/>
      </c>
      <c r="AU646">
        <f>'Grid_Requirement'!AS22</f>
        <v/>
      </c>
      <c r="AV646">
        <f>'Grid_Requirement'!AT22</f>
        <v/>
      </c>
      <c r="AW646">
        <f>'Grid_Requirement'!AU22</f>
        <v/>
      </c>
      <c r="AX646">
        <f>'Grid_Requirement'!AV22</f>
        <v/>
      </c>
      <c r="AY646">
        <f>'Grid_Requirement'!AW22</f>
        <v/>
      </c>
      <c r="AZ646">
        <f>'Grid_Requirement'!AX22</f>
        <v/>
      </c>
      <c r="BA646">
        <f>'Grid_Requirement'!AY22</f>
        <v/>
      </c>
      <c r="BB646">
        <f>'Grid_Requirement'!AZ22</f>
        <v/>
      </c>
      <c r="BC646">
        <f>'Grid_Requirement'!BA22</f>
        <v/>
      </c>
      <c r="BD646">
        <f>'Grid_Requirement'!BB22</f>
        <v/>
      </c>
      <c r="BE646">
        <f>'Grid_Requirement'!BC22</f>
        <v/>
      </c>
      <c r="BF646">
        <f>'Grid_Requirement'!BD22</f>
        <v/>
      </c>
      <c r="BG646">
        <f>'Grid_Requirement'!BE22</f>
        <v/>
      </c>
      <c r="BH646">
        <f>'Grid_Requirement'!BF22</f>
        <v/>
      </c>
      <c r="BI646">
        <f>'Grid_Requirement'!BG22</f>
        <v/>
      </c>
      <c r="BJ646">
        <f>'Grid_Requirement'!BH22</f>
        <v/>
      </c>
      <c r="BK646">
        <f>'Grid_Requirement'!BI22</f>
        <v/>
      </c>
      <c r="BL646">
        <f>'Grid_Requirement'!BJ22</f>
        <v/>
      </c>
      <c r="BM646">
        <f>'Grid_Requirement'!BK22</f>
        <v/>
      </c>
      <c r="BN646">
        <f>'Grid_Requirement'!BL22</f>
        <v/>
      </c>
      <c r="BO646">
        <f>'Grid_Requirement'!BM22</f>
        <v/>
      </c>
      <c r="BP646">
        <f>'Grid_Requirement'!BN22</f>
        <v/>
      </c>
      <c r="BQ646">
        <f>'Grid_Requirement'!BO22</f>
        <v/>
      </c>
      <c r="BR646">
        <f>'Grid_Requirement'!BP22</f>
        <v/>
      </c>
      <c r="BS646">
        <f>'Grid_Requirement'!BQ22</f>
        <v/>
      </c>
      <c r="BT646">
        <f>'Grid_Requirement'!BR22</f>
        <v/>
      </c>
      <c r="BU646">
        <f>'Grid_Requirement'!BS22</f>
        <v/>
      </c>
      <c r="BV646">
        <f>'Grid_Requirement'!BT22</f>
        <v/>
      </c>
      <c r="BW646">
        <f>'Grid_Requirement'!BU22</f>
        <v/>
      </c>
      <c r="BX646">
        <f>'Grid_Requirement'!BV22</f>
        <v/>
      </c>
      <c r="BY646">
        <f>'Grid_Requirement'!BW22</f>
        <v/>
      </c>
      <c r="BZ646">
        <f>'Grid_Requirement'!BX22</f>
        <v/>
      </c>
      <c r="CA646">
        <f>'Grid_Requirement'!BY22</f>
        <v/>
      </c>
      <c r="CB646">
        <f>'Grid_Requirement'!BZ22</f>
        <v/>
      </c>
      <c r="CC646">
        <f>'Grid_Requirement'!CA22</f>
        <v/>
      </c>
      <c r="CD646">
        <f>'Grid_Requirement'!CB22</f>
        <v/>
      </c>
      <c r="CE646">
        <f>'Grid_Requirement'!CC22</f>
        <v/>
      </c>
      <c r="CF646">
        <f>'Grid_Requirement'!CD22</f>
        <v/>
      </c>
      <c r="CG646">
        <f>'Grid_Requirement'!CE22</f>
        <v/>
      </c>
      <c r="CH646">
        <f>'Grid_Requirement'!CF22</f>
        <v/>
      </c>
      <c r="CI646">
        <f>'Grid_Requirement'!CG22</f>
        <v/>
      </c>
      <c r="CJ646">
        <f>'Grid_Requirement'!CH22</f>
        <v/>
      </c>
      <c r="CK646">
        <f>'Grid_Requirement'!CI22</f>
        <v/>
      </c>
      <c r="CL646">
        <f>'Grid_Requirement'!CJ22</f>
        <v/>
      </c>
      <c r="CM646">
        <f>'Grid_Requirement'!CK22</f>
        <v/>
      </c>
      <c r="CN646">
        <f>'Grid_Requirement'!CL22</f>
        <v/>
      </c>
      <c r="CO646">
        <f>'Grid_Requirement'!CM22</f>
        <v/>
      </c>
      <c r="CP646">
        <f>'Grid_Requirement'!CN22</f>
        <v/>
      </c>
      <c r="CQ646">
        <f>'Grid_Requirement'!CO22</f>
        <v/>
      </c>
      <c r="CR646">
        <f>'Grid_Requirement'!CP22</f>
        <v/>
      </c>
      <c r="CS646">
        <f>'Grid_Requirement'!CQ22</f>
        <v/>
      </c>
      <c r="CT646">
        <f>'Grid_Requirement'!CR22</f>
        <v/>
      </c>
      <c r="CU646">
        <f>'Grid_Requirement'!CS22</f>
        <v/>
      </c>
      <c r="CV646">
        <f>'Grid_Requirement'!CT22</f>
        <v/>
      </c>
      <c r="CW646">
        <f>'Grid_Requirement'!CU22</f>
        <v/>
      </c>
      <c r="CX646">
        <f>'Grid_Requirement'!CV22</f>
        <v/>
      </c>
      <c r="CY646">
        <f>'Grid_Requirement'!CW22</f>
        <v/>
      </c>
      <c r="CZ646">
        <f>'Grid_Requirement'!CX22</f>
        <v/>
      </c>
      <c r="DA646">
        <f>'Grid_Requirement'!CY22</f>
        <v/>
      </c>
      <c r="DB646">
        <f>'Grid_Requirement'!CZ22</f>
        <v/>
      </c>
      <c r="DC646">
        <f>'Grid_Requirement'!DA22</f>
        <v/>
      </c>
    </row>
    <row r="647">
      <c r="B647" t="inlineStr">
        <is>
          <t>TTAF在庫(実績,kg)</t>
        </is>
      </c>
      <c r="D647">
        <f>'T_TTAFStock'!B26</f>
        <v/>
      </c>
      <c r="E647">
        <f>'T_TTAFStock'!C26</f>
        <v/>
      </c>
      <c r="F647">
        <f>'T_TTAFStock'!D26</f>
        <v/>
      </c>
      <c r="G647">
        <f>'T_TTAFStock'!E26</f>
        <v/>
      </c>
      <c r="H647">
        <f>'T_TTAFStock'!F26</f>
        <v/>
      </c>
      <c r="I647">
        <f>'T_TTAFStock'!G26</f>
        <v/>
      </c>
      <c r="J647">
        <f>'T_TTAFStock'!H26</f>
        <v/>
      </c>
      <c r="K647">
        <f>'T_TTAFStock'!I26</f>
        <v/>
      </c>
      <c r="L647">
        <f>'T_TTAFStock'!J26</f>
        <v/>
      </c>
      <c r="M647">
        <f>'T_TTAFStock'!K26</f>
        <v/>
      </c>
      <c r="N647">
        <f>'T_TTAFStock'!L26</f>
        <v/>
      </c>
      <c r="O647">
        <f>'T_TTAFStock'!M26</f>
        <v/>
      </c>
      <c r="P647">
        <f>'T_TTAFStock'!N26</f>
        <v/>
      </c>
      <c r="Q647">
        <f>'T_TTAFStock'!O26</f>
        <v/>
      </c>
      <c r="R647">
        <f>'T_TTAFStock'!P26</f>
        <v/>
      </c>
      <c r="S647">
        <f>'T_TTAFStock'!Q26</f>
        <v/>
      </c>
      <c r="T647">
        <f>'T_TTAFStock'!R26</f>
        <v/>
      </c>
      <c r="U647">
        <f>'T_TTAFStock'!S26</f>
        <v/>
      </c>
      <c r="V647">
        <f>'T_TTAFStock'!T26</f>
        <v/>
      </c>
      <c r="W647">
        <f>'T_TTAFStock'!U26</f>
        <v/>
      </c>
      <c r="X647">
        <f>'T_TTAFStock'!V26</f>
        <v/>
      </c>
      <c r="Y647">
        <f>'T_TTAFStock'!W26</f>
        <v/>
      </c>
      <c r="Z647">
        <f>'T_TTAFStock'!X26</f>
        <v/>
      </c>
      <c r="AA647">
        <f>'T_TTAFStock'!Y26</f>
        <v/>
      </c>
      <c r="AB647">
        <f>'T_TTAFStock'!Z26</f>
        <v/>
      </c>
      <c r="AC647">
        <f>'T_TTAFStock'!AA26</f>
        <v/>
      </c>
      <c r="AD647">
        <f>'T_TTAFStock'!AB26</f>
        <v/>
      </c>
      <c r="AE647">
        <f>'T_TTAFStock'!AC26</f>
        <v/>
      </c>
      <c r="AF647">
        <f>'T_TTAFStock'!AD26</f>
        <v/>
      </c>
      <c r="AG647">
        <f>'T_TTAFStock'!AE26</f>
        <v/>
      </c>
      <c r="AH647">
        <f>'T_TTAFStock'!AF26</f>
        <v/>
      </c>
      <c r="AI647">
        <f>'T_TTAFStock'!AG26</f>
        <v/>
      </c>
      <c r="AJ647">
        <f>'T_TTAFStock'!AH26</f>
        <v/>
      </c>
      <c r="AK647">
        <f>'T_TTAFStock'!AI26</f>
        <v/>
      </c>
      <c r="AL647">
        <f>'T_TTAFStock'!AJ26</f>
        <v/>
      </c>
      <c r="AM647">
        <f>'T_TTAFStock'!AK26</f>
        <v/>
      </c>
      <c r="AN647">
        <f>'T_TTAFStock'!AL26</f>
        <v/>
      </c>
      <c r="AO647">
        <f>'T_TTAFStock'!AM26</f>
        <v/>
      </c>
      <c r="AP647">
        <f>'T_TTAFStock'!AN26</f>
        <v/>
      </c>
      <c r="AQ647">
        <f>'T_TTAFStock'!AO26</f>
        <v/>
      </c>
      <c r="AR647">
        <f>'T_TTAFStock'!AP26</f>
        <v/>
      </c>
      <c r="AS647">
        <f>'T_TTAFStock'!AQ26</f>
        <v/>
      </c>
      <c r="AT647">
        <f>'T_TTAFStock'!AR26</f>
        <v/>
      </c>
      <c r="AU647">
        <f>'T_TTAFStock'!AS26</f>
        <v/>
      </c>
      <c r="AV647">
        <f>'T_TTAFStock'!AT26</f>
        <v/>
      </c>
      <c r="AW647">
        <f>'T_TTAFStock'!AU26</f>
        <v/>
      </c>
      <c r="AX647">
        <f>'T_TTAFStock'!AV26</f>
        <v/>
      </c>
      <c r="AY647">
        <f>'T_TTAFStock'!AW26</f>
        <v/>
      </c>
      <c r="AZ647">
        <f>'T_TTAFStock'!AX26</f>
        <v/>
      </c>
      <c r="BA647">
        <f>'T_TTAFStock'!AY26</f>
        <v/>
      </c>
      <c r="BB647">
        <f>'T_TTAFStock'!AZ26</f>
        <v/>
      </c>
      <c r="BC647">
        <f>'T_TTAFStock'!BA26</f>
        <v/>
      </c>
      <c r="BD647">
        <f>'T_TTAFStock'!BB26</f>
        <v/>
      </c>
      <c r="BE647">
        <f>'T_TTAFStock'!BC26</f>
        <v/>
      </c>
      <c r="BF647">
        <f>'T_TTAFStock'!BD26</f>
        <v/>
      </c>
      <c r="BG647">
        <f>'T_TTAFStock'!BE26</f>
        <v/>
      </c>
      <c r="BH647">
        <f>'T_TTAFStock'!BF26</f>
        <v/>
      </c>
      <c r="BI647">
        <f>'T_TTAFStock'!BG26</f>
        <v/>
      </c>
      <c r="BJ647">
        <f>'T_TTAFStock'!BH26</f>
        <v/>
      </c>
      <c r="BK647">
        <f>'T_TTAFStock'!BI26</f>
        <v/>
      </c>
      <c r="BL647">
        <f>'T_TTAFStock'!BJ26</f>
        <v/>
      </c>
      <c r="BM647">
        <f>'T_TTAFStock'!BK26</f>
        <v/>
      </c>
      <c r="BN647">
        <f>'T_TTAFStock'!BL26</f>
        <v/>
      </c>
      <c r="BO647">
        <f>'T_TTAFStock'!BM26</f>
        <v/>
      </c>
      <c r="BP647">
        <f>'T_TTAFStock'!BN26</f>
        <v/>
      </c>
      <c r="BQ647">
        <f>'T_TTAFStock'!BO26</f>
        <v/>
      </c>
      <c r="BR647">
        <f>'T_TTAFStock'!BP26</f>
        <v/>
      </c>
      <c r="BS647">
        <f>'T_TTAFStock'!BQ26</f>
        <v/>
      </c>
      <c r="BT647">
        <f>'T_TTAFStock'!BR26</f>
        <v/>
      </c>
      <c r="BU647">
        <f>'T_TTAFStock'!BS26</f>
        <v/>
      </c>
      <c r="BV647">
        <f>'T_TTAFStock'!BT26</f>
        <v/>
      </c>
      <c r="BW647">
        <f>'T_TTAFStock'!BU26</f>
        <v/>
      </c>
      <c r="BX647">
        <f>'T_TTAFStock'!BV26</f>
        <v/>
      </c>
      <c r="BY647">
        <f>'T_TTAFStock'!BW26</f>
        <v/>
      </c>
      <c r="BZ647">
        <f>'T_TTAFStock'!BX26</f>
        <v/>
      </c>
      <c r="CA647">
        <f>'T_TTAFStock'!BY26</f>
        <v/>
      </c>
      <c r="CB647">
        <f>'T_TTAFStock'!BZ26</f>
        <v/>
      </c>
      <c r="CC647">
        <f>'T_TTAFStock'!CA26</f>
        <v/>
      </c>
      <c r="CD647">
        <f>'T_TTAFStock'!CB26</f>
        <v/>
      </c>
      <c r="CE647">
        <f>'T_TTAFStock'!CC26</f>
        <v/>
      </c>
      <c r="CF647">
        <f>'T_TTAFStock'!CD26</f>
        <v/>
      </c>
      <c r="CG647">
        <f>'T_TTAFStock'!CE26</f>
        <v/>
      </c>
      <c r="CH647">
        <f>'T_TTAFStock'!CF26</f>
        <v/>
      </c>
      <c r="CI647">
        <f>'T_TTAFStock'!CG26</f>
        <v/>
      </c>
      <c r="CJ647">
        <f>'T_TTAFStock'!CH26</f>
        <v/>
      </c>
      <c r="CK647">
        <f>'T_TTAFStock'!CI26</f>
        <v/>
      </c>
      <c r="CL647">
        <f>'T_TTAFStock'!CJ26</f>
        <v/>
      </c>
      <c r="CM647">
        <f>'T_TTAFStock'!CK26</f>
        <v/>
      </c>
      <c r="CN647">
        <f>'T_TTAFStock'!CL26</f>
        <v/>
      </c>
      <c r="CO647">
        <f>'T_TTAFStock'!CM26</f>
        <v/>
      </c>
      <c r="CP647">
        <f>'T_TTAFStock'!CN26</f>
        <v/>
      </c>
      <c r="CQ647">
        <f>'T_TTAFStock'!CO26</f>
        <v/>
      </c>
      <c r="CR647">
        <f>'T_TTAFStock'!CP26</f>
        <v/>
      </c>
      <c r="CS647">
        <f>'T_TTAFStock'!CQ26</f>
        <v/>
      </c>
      <c r="CT647">
        <f>'T_TTAFStock'!CR26</f>
        <v/>
      </c>
      <c r="CU647">
        <f>'T_TTAFStock'!CS26</f>
        <v/>
      </c>
      <c r="CV647">
        <f>'T_TTAFStock'!CT26</f>
        <v/>
      </c>
      <c r="CW647">
        <f>'T_TTAFStock'!CU26</f>
        <v/>
      </c>
      <c r="CX647">
        <f>'T_TTAFStock'!CV26</f>
        <v/>
      </c>
      <c r="CY647">
        <f>'T_TTAFStock'!CW26</f>
        <v/>
      </c>
      <c r="CZ647">
        <f>'T_TTAFStock'!CX26</f>
        <v/>
      </c>
      <c r="DA647">
        <f>'T_TTAFStock'!CY26</f>
        <v/>
      </c>
      <c r="DB647">
        <f>'T_TTAFStock'!CZ26</f>
        <v/>
      </c>
      <c r="DC647">
        <f>'T_TTAFStock'!DA26</f>
        <v/>
      </c>
    </row>
    <row r="648">
      <c r="B648" t="inlineStr">
        <is>
          <t>自社在庫(実績,kg)</t>
        </is>
      </c>
      <c r="D648">
        <f>'T_SelfStock'!B26</f>
        <v/>
      </c>
      <c r="E648">
        <f>'T_SelfStock'!C26</f>
        <v/>
      </c>
      <c r="F648">
        <f>'T_SelfStock'!D26</f>
        <v/>
      </c>
      <c r="G648">
        <f>'T_SelfStock'!E26</f>
        <v/>
      </c>
      <c r="H648">
        <f>'T_SelfStock'!F26</f>
        <v/>
      </c>
      <c r="I648">
        <f>'T_SelfStock'!G26</f>
        <v/>
      </c>
      <c r="J648">
        <f>'T_SelfStock'!H26</f>
        <v/>
      </c>
      <c r="K648">
        <f>'T_SelfStock'!I26</f>
        <v/>
      </c>
      <c r="L648">
        <f>'T_SelfStock'!J26</f>
        <v/>
      </c>
      <c r="M648">
        <f>'T_SelfStock'!K26</f>
        <v/>
      </c>
      <c r="N648">
        <f>'T_SelfStock'!L26</f>
        <v/>
      </c>
      <c r="O648">
        <f>'T_SelfStock'!M26</f>
        <v/>
      </c>
      <c r="P648">
        <f>'T_SelfStock'!N26</f>
        <v/>
      </c>
      <c r="Q648">
        <f>'T_SelfStock'!O26</f>
        <v/>
      </c>
      <c r="R648">
        <f>'T_SelfStock'!P26</f>
        <v/>
      </c>
      <c r="S648">
        <f>'T_SelfStock'!Q26</f>
        <v/>
      </c>
      <c r="T648">
        <f>'T_SelfStock'!R26</f>
        <v/>
      </c>
      <c r="U648">
        <f>'T_SelfStock'!S26</f>
        <v/>
      </c>
      <c r="V648">
        <f>'T_SelfStock'!T26</f>
        <v/>
      </c>
      <c r="W648">
        <f>'T_SelfStock'!U26</f>
        <v/>
      </c>
      <c r="X648">
        <f>'T_SelfStock'!V26</f>
        <v/>
      </c>
      <c r="Y648">
        <f>'T_SelfStock'!W26</f>
        <v/>
      </c>
      <c r="Z648">
        <f>'T_SelfStock'!X26</f>
        <v/>
      </c>
      <c r="AA648">
        <f>'T_SelfStock'!Y26</f>
        <v/>
      </c>
      <c r="AB648">
        <f>'T_SelfStock'!Z26</f>
        <v/>
      </c>
      <c r="AC648">
        <f>'T_SelfStock'!AA26</f>
        <v/>
      </c>
      <c r="AD648">
        <f>'T_SelfStock'!AB26</f>
        <v/>
      </c>
      <c r="AE648">
        <f>'T_SelfStock'!AC26</f>
        <v/>
      </c>
      <c r="AF648">
        <f>'T_SelfStock'!AD26</f>
        <v/>
      </c>
      <c r="AG648">
        <f>'T_SelfStock'!AE26</f>
        <v/>
      </c>
      <c r="AH648">
        <f>'T_SelfStock'!AF26</f>
        <v/>
      </c>
      <c r="AI648">
        <f>'T_SelfStock'!AG26</f>
        <v/>
      </c>
      <c r="AJ648">
        <f>'T_SelfStock'!AH26</f>
        <v/>
      </c>
      <c r="AK648">
        <f>'T_SelfStock'!AI26</f>
        <v/>
      </c>
      <c r="AL648">
        <f>'T_SelfStock'!AJ26</f>
        <v/>
      </c>
      <c r="AM648">
        <f>'T_SelfStock'!AK26</f>
        <v/>
      </c>
      <c r="AN648">
        <f>'T_SelfStock'!AL26</f>
        <v/>
      </c>
      <c r="AO648">
        <f>'T_SelfStock'!AM26</f>
        <v/>
      </c>
      <c r="AP648">
        <f>'T_SelfStock'!AN26</f>
        <v/>
      </c>
      <c r="AQ648">
        <f>'T_SelfStock'!AO26</f>
        <v/>
      </c>
      <c r="AR648">
        <f>'T_SelfStock'!AP26</f>
        <v/>
      </c>
      <c r="AS648">
        <f>'T_SelfStock'!AQ26</f>
        <v/>
      </c>
      <c r="AT648">
        <f>'T_SelfStock'!AR26</f>
        <v/>
      </c>
      <c r="AU648">
        <f>'T_SelfStock'!AS26</f>
        <v/>
      </c>
      <c r="AV648">
        <f>'T_SelfStock'!AT26</f>
        <v/>
      </c>
      <c r="AW648">
        <f>'T_SelfStock'!AU26</f>
        <v/>
      </c>
      <c r="AX648">
        <f>'T_SelfStock'!AV26</f>
        <v/>
      </c>
      <c r="AY648">
        <f>'T_SelfStock'!AW26</f>
        <v/>
      </c>
      <c r="AZ648">
        <f>'T_SelfStock'!AX26</f>
        <v/>
      </c>
      <c r="BA648">
        <f>'T_SelfStock'!AY26</f>
        <v/>
      </c>
      <c r="BB648">
        <f>'T_SelfStock'!AZ26</f>
        <v/>
      </c>
      <c r="BC648">
        <f>'T_SelfStock'!BA26</f>
        <v/>
      </c>
      <c r="BD648">
        <f>'T_SelfStock'!BB26</f>
        <v/>
      </c>
      <c r="BE648">
        <f>'T_SelfStock'!BC26</f>
        <v/>
      </c>
      <c r="BF648">
        <f>'T_SelfStock'!BD26</f>
        <v/>
      </c>
      <c r="BG648">
        <f>'T_SelfStock'!BE26</f>
        <v/>
      </c>
      <c r="BH648">
        <f>'T_SelfStock'!BF26</f>
        <v/>
      </c>
      <c r="BI648">
        <f>'T_SelfStock'!BG26</f>
        <v/>
      </c>
      <c r="BJ648">
        <f>'T_SelfStock'!BH26</f>
        <v/>
      </c>
      <c r="BK648">
        <f>'T_SelfStock'!BI26</f>
        <v/>
      </c>
      <c r="BL648">
        <f>'T_SelfStock'!BJ26</f>
        <v/>
      </c>
      <c r="BM648">
        <f>'T_SelfStock'!BK26</f>
        <v/>
      </c>
      <c r="BN648">
        <f>'T_SelfStock'!BL26</f>
        <v/>
      </c>
      <c r="BO648">
        <f>'T_SelfStock'!BM26</f>
        <v/>
      </c>
      <c r="BP648">
        <f>'T_SelfStock'!BN26</f>
        <v/>
      </c>
      <c r="BQ648">
        <f>'T_SelfStock'!BO26</f>
        <v/>
      </c>
      <c r="BR648">
        <f>'T_SelfStock'!BP26</f>
        <v/>
      </c>
      <c r="BS648">
        <f>'T_SelfStock'!BQ26</f>
        <v/>
      </c>
      <c r="BT648">
        <f>'T_SelfStock'!BR26</f>
        <v/>
      </c>
      <c r="BU648">
        <f>'T_SelfStock'!BS26</f>
        <v/>
      </c>
      <c r="BV648">
        <f>'T_SelfStock'!BT26</f>
        <v/>
      </c>
      <c r="BW648">
        <f>'T_SelfStock'!BU26</f>
        <v/>
      </c>
      <c r="BX648">
        <f>'T_SelfStock'!BV26</f>
        <v/>
      </c>
      <c r="BY648">
        <f>'T_SelfStock'!BW26</f>
        <v/>
      </c>
      <c r="BZ648">
        <f>'T_SelfStock'!BX26</f>
        <v/>
      </c>
      <c r="CA648">
        <f>'T_SelfStock'!BY26</f>
        <v/>
      </c>
      <c r="CB648">
        <f>'T_SelfStock'!BZ26</f>
        <v/>
      </c>
      <c r="CC648">
        <f>'T_SelfStock'!CA26</f>
        <v/>
      </c>
      <c r="CD648">
        <f>'T_SelfStock'!CB26</f>
        <v/>
      </c>
      <c r="CE648">
        <f>'T_SelfStock'!CC26</f>
        <v/>
      </c>
      <c r="CF648">
        <f>'T_SelfStock'!CD26</f>
        <v/>
      </c>
      <c r="CG648">
        <f>'T_SelfStock'!CE26</f>
        <v/>
      </c>
      <c r="CH648">
        <f>'T_SelfStock'!CF26</f>
        <v/>
      </c>
      <c r="CI648">
        <f>'T_SelfStock'!CG26</f>
        <v/>
      </c>
      <c r="CJ648">
        <f>'T_SelfStock'!CH26</f>
        <v/>
      </c>
      <c r="CK648">
        <f>'T_SelfStock'!CI26</f>
        <v/>
      </c>
      <c r="CL648">
        <f>'T_SelfStock'!CJ26</f>
        <v/>
      </c>
      <c r="CM648">
        <f>'T_SelfStock'!CK26</f>
        <v/>
      </c>
      <c r="CN648">
        <f>'T_SelfStock'!CL26</f>
        <v/>
      </c>
      <c r="CO648">
        <f>'T_SelfStock'!CM26</f>
        <v/>
      </c>
      <c r="CP648">
        <f>'T_SelfStock'!CN26</f>
        <v/>
      </c>
      <c r="CQ648">
        <f>'T_SelfStock'!CO26</f>
        <v/>
      </c>
      <c r="CR648">
        <f>'T_SelfStock'!CP26</f>
        <v/>
      </c>
      <c r="CS648">
        <f>'T_SelfStock'!CQ26</f>
        <v/>
      </c>
      <c r="CT648">
        <f>'T_SelfStock'!CR26</f>
        <v/>
      </c>
      <c r="CU648">
        <f>'T_SelfStock'!CS26</f>
        <v/>
      </c>
      <c r="CV648">
        <f>'T_SelfStock'!CT26</f>
        <v/>
      </c>
      <c r="CW648">
        <f>'T_SelfStock'!CU26</f>
        <v/>
      </c>
      <c r="CX648">
        <f>'T_SelfStock'!CV26</f>
        <v/>
      </c>
      <c r="CY648">
        <f>'T_SelfStock'!CW26</f>
        <v/>
      </c>
      <c r="CZ648">
        <f>'T_SelfStock'!CX26</f>
        <v/>
      </c>
      <c r="DA648">
        <f>'T_SelfStock'!CY26</f>
        <v/>
      </c>
      <c r="DB648">
        <f>'T_SelfStock'!CZ26</f>
        <v/>
      </c>
      <c r="DC648">
        <f>'T_SelfStock'!DA26</f>
        <v/>
      </c>
    </row>
    <row r="649">
      <c r="B649" t="inlineStr">
        <is>
          <t>Order(発注予定,kg)</t>
        </is>
      </c>
      <c r="D649">
        <f>IF(SUMIFS(T_PlannedOrders[EffectiveQty],T_PlannedOrders[Part Name],$A589,T_PlannedOrders[WeekIndex],1)=0,"",SUMIFS(T_PlannedOrders[EffectiveQty],T_PlannedOrders[Part Name],$A589,T_PlannedOrders[WeekIndex],1)&amp;" ("&amp;TEXT(SUMPRODUCT(MAX((T_PlannedOrders[Part Name]=$A589)*(T_PlannedOrders[WeekIndex]=1)*(T_PlannedOrders[EffectiveQty]&gt;0)*T_PlannedOrders[Order_Month])),"m月")&amp;"発注)")</f>
        <v/>
      </c>
      <c r="E649">
        <f>IF(SUMIFS(T_PlannedOrders[EffectiveQty],T_PlannedOrders[Part Name],$A589,T_PlannedOrders[WeekIndex],2)=0,"",SUMIFS(T_PlannedOrders[EffectiveQty],T_PlannedOrders[Part Name],$A589,T_PlannedOrders[WeekIndex],2)&amp;" ("&amp;TEXT(SUMPRODUCT(MAX((T_PlannedOrders[Part Name]=$A589)*(T_PlannedOrders[WeekIndex]=2)*(T_PlannedOrders[EffectiveQty]&gt;0)*T_PlannedOrders[Order_Month])),"m月")&amp;"発注)")</f>
        <v/>
      </c>
      <c r="F649">
        <f>IF(SUMIFS(T_PlannedOrders[EffectiveQty],T_PlannedOrders[Part Name],$A589,T_PlannedOrders[WeekIndex],3)=0,"",SUMIFS(T_PlannedOrders[EffectiveQty],T_PlannedOrders[Part Name],$A589,T_PlannedOrders[WeekIndex],3)&amp;" ("&amp;TEXT(SUMPRODUCT(MAX((T_PlannedOrders[Part Name]=$A589)*(T_PlannedOrders[WeekIndex]=3)*(T_PlannedOrders[EffectiveQty]&gt;0)*T_PlannedOrders[Order_Month])),"m月")&amp;"発注)")</f>
        <v/>
      </c>
      <c r="G649">
        <f>IF(SUMIFS(T_PlannedOrders[EffectiveQty],T_PlannedOrders[Part Name],$A589,T_PlannedOrders[WeekIndex],4)=0,"",SUMIFS(T_PlannedOrders[EffectiveQty],T_PlannedOrders[Part Name],$A589,T_PlannedOrders[WeekIndex],4)&amp;" ("&amp;TEXT(SUMPRODUCT(MAX((T_PlannedOrders[Part Name]=$A589)*(T_PlannedOrders[WeekIndex]=4)*(T_PlannedOrders[EffectiveQty]&gt;0)*T_PlannedOrders[Order_Month])),"m月")&amp;"発注)")</f>
        <v/>
      </c>
      <c r="H649">
        <f>IF(SUMIFS(T_PlannedOrders[EffectiveQty],T_PlannedOrders[Part Name],$A589,T_PlannedOrders[WeekIndex],5)=0,"",SUMIFS(T_PlannedOrders[EffectiveQty],T_PlannedOrders[Part Name],$A589,T_PlannedOrders[WeekIndex],5)&amp;" ("&amp;TEXT(SUMPRODUCT(MAX((T_PlannedOrders[Part Name]=$A589)*(T_PlannedOrders[WeekIndex]=5)*(T_PlannedOrders[EffectiveQty]&gt;0)*T_PlannedOrders[Order_Month])),"m月")&amp;"発注)")</f>
        <v/>
      </c>
      <c r="I649">
        <f>IF(SUMIFS(T_PlannedOrders[EffectiveQty],T_PlannedOrders[Part Name],$A589,T_PlannedOrders[WeekIndex],6)=0,"",SUMIFS(T_PlannedOrders[EffectiveQty],T_PlannedOrders[Part Name],$A589,T_PlannedOrders[WeekIndex],6)&amp;" ("&amp;TEXT(SUMPRODUCT(MAX((T_PlannedOrders[Part Name]=$A589)*(T_PlannedOrders[WeekIndex]=6)*(T_PlannedOrders[EffectiveQty]&gt;0)*T_PlannedOrders[Order_Month])),"m月")&amp;"発注)")</f>
        <v/>
      </c>
      <c r="J649">
        <f>IF(SUMIFS(T_PlannedOrders[EffectiveQty],T_PlannedOrders[Part Name],$A589,T_PlannedOrders[WeekIndex],7)=0,"",SUMIFS(T_PlannedOrders[EffectiveQty],T_PlannedOrders[Part Name],$A589,T_PlannedOrders[WeekIndex],7)&amp;" ("&amp;TEXT(SUMPRODUCT(MAX((T_PlannedOrders[Part Name]=$A589)*(T_PlannedOrders[WeekIndex]=7)*(T_PlannedOrders[EffectiveQty]&gt;0)*T_PlannedOrders[Order_Month])),"m月")&amp;"発注)")</f>
        <v/>
      </c>
      <c r="K649">
        <f>IF(SUMIFS(T_PlannedOrders[EffectiveQty],T_PlannedOrders[Part Name],$A589,T_PlannedOrders[WeekIndex],8)=0,"",SUMIFS(T_PlannedOrders[EffectiveQty],T_PlannedOrders[Part Name],$A589,T_PlannedOrders[WeekIndex],8)&amp;" ("&amp;TEXT(SUMPRODUCT(MAX((T_PlannedOrders[Part Name]=$A589)*(T_PlannedOrders[WeekIndex]=8)*(T_PlannedOrders[EffectiveQty]&gt;0)*T_PlannedOrders[Order_Month])),"m月")&amp;"発注)")</f>
        <v/>
      </c>
      <c r="L649">
        <f>IF(SUMIFS(T_PlannedOrders[EffectiveQty],T_PlannedOrders[Part Name],$A589,T_PlannedOrders[WeekIndex],9)=0,"",SUMIFS(T_PlannedOrders[EffectiveQty],T_PlannedOrders[Part Name],$A589,T_PlannedOrders[WeekIndex],9)&amp;" ("&amp;TEXT(SUMPRODUCT(MAX((T_PlannedOrders[Part Name]=$A589)*(T_PlannedOrders[WeekIndex]=9)*(T_PlannedOrders[EffectiveQty]&gt;0)*T_PlannedOrders[Order_Month])),"m月")&amp;"発注)")</f>
        <v/>
      </c>
      <c r="M649">
        <f>IF(SUMIFS(T_PlannedOrders[EffectiveQty],T_PlannedOrders[Part Name],$A589,T_PlannedOrders[WeekIndex],10)=0,"",SUMIFS(T_PlannedOrders[EffectiveQty],T_PlannedOrders[Part Name],$A589,T_PlannedOrders[WeekIndex],10)&amp;" ("&amp;TEXT(SUMPRODUCT(MAX((T_PlannedOrders[Part Name]=$A589)*(T_PlannedOrders[WeekIndex]=10)*(T_PlannedOrders[EffectiveQty]&gt;0)*T_PlannedOrders[Order_Month])),"m月")&amp;"発注)")</f>
        <v/>
      </c>
      <c r="N649">
        <f>IF(SUMIFS(T_PlannedOrders[EffectiveQty],T_PlannedOrders[Part Name],$A589,T_PlannedOrders[WeekIndex],11)=0,"",SUMIFS(T_PlannedOrders[EffectiveQty],T_PlannedOrders[Part Name],$A589,T_PlannedOrders[WeekIndex],11)&amp;" ("&amp;TEXT(SUMPRODUCT(MAX((T_PlannedOrders[Part Name]=$A589)*(T_PlannedOrders[WeekIndex]=11)*(T_PlannedOrders[EffectiveQty]&gt;0)*T_PlannedOrders[Order_Month])),"m月")&amp;"発注)")</f>
        <v/>
      </c>
      <c r="O649">
        <f>IF(SUMIFS(T_PlannedOrders[EffectiveQty],T_PlannedOrders[Part Name],$A589,T_PlannedOrders[WeekIndex],12)=0,"",SUMIFS(T_PlannedOrders[EffectiveQty],T_PlannedOrders[Part Name],$A589,T_PlannedOrders[WeekIndex],12)&amp;" ("&amp;TEXT(SUMPRODUCT(MAX((T_PlannedOrders[Part Name]=$A589)*(T_PlannedOrders[WeekIndex]=12)*(T_PlannedOrders[EffectiveQty]&gt;0)*T_PlannedOrders[Order_Month])),"m月")&amp;"発注)")</f>
        <v/>
      </c>
      <c r="P649">
        <f>IF(SUMIFS(T_PlannedOrders[EffectiveQty],T_PlannedOrders[Part Name],$A589,T_PlannedOrders[WeekIndex],13)=0,"",SUMIFS(T_PlannedOrders[EffectiveQty],T_PlannedOrders[Part Name],$A589,T_PlannedOrders[WeekIndex],13)&amp;" ("&amp;TEXT(SUMPRODUCT(MAX((T_PlannedOrders[Part Name]=$A589)*(T_PlannedOrders[WeekIndex]=13)*(T_PlannedOrders[EffectiveQty]&gt;0)*T_PlannedOrders[Order_Month])),"m月")&amp;"発注)")</f>
        <v/>
      </c>
      <c r="Q649">
        <f>IF(SUMIFS(T_PlannedOrders[EffectiveQty],T_PlannedOrders[Part Name],$A589,T_PlannedOrders[WeekIndex],14)=0,"",SUMIFS(T_PlannedOrders[EffectiveQty],T_PlannedOrders[Part Name],$A589,T_PlannedOrders[WeekIndex],14)&amp;" ("&amp;TEXT(SUMPRODUCT(MAX((T_PlannedOrders[Part Name]=$A589)*(T_PlannedOrders[WeekIndex]=14)*(T_PlannedOrders[EffectiveQty]&gt;0)*T_PlannedOrders[Order_Month])),"m月")&amp;"発注)")</f>
        <v/>
      </c>
      <c r="R649">
        <f>IF(SUMIFS(T_PlannedOrders[EffectiveQty],T_PlannedOrders[Part Name],$A589,T_PlannedOrders[WeekIndex],15)=0,"",SUMIFS(T_PlannedOrders[EffectiveQty],T_PlannedOrders[Part Name],$A589,T_PlannedOrders[WeekIndex],15)&amp;" ("&amp;TEXT(SUMPRODUCT(MAX((T_PlannedOrders[Part Name]=$A589)*(T_PlannedOrders[WeekIndex]=15)*(T_PlannedOrders[EffectiveQty]&gt;0)*T_PlannedOrders[Order_Month])),"m月")&amp;"発注)")</f>
        <v/>
      </c>
      <c r="S649">
        <f>IF(SUMIFS(T_PlannedOrders[EffectiveQty],T_PlannedOrders[Part Name],$A589,T_PlannedOrders[WeekIndex],16)=0,"",SUMIFS(T_PlannedOrders[EffectiveQty],T_PlannedOrders[Part Name],$A589,T_PlannedOrders[WeekIndex],16)&amp;" ("&amp;TEXT(SUMPRODUCT(MAX((T_PlannedOrders[Part Name]=$A589)*(T_PlannedOrders[WeekIndex]=16)*(T_PlannedOrders[EffectiveQty]&gt;0)*T_PlannedOrders[Order_Month])),"m月")&amp;"発注)")</f>
        <v/>
      </c>
      <c r="T649">
        <f>IF(SUMIFS(T_PlannedOrders[EffectiveQty],T_PlannedOrders[Part Name],$A589,T_PlannedOrders[WeekIndex],17)=0,"",SUMIFS(T_PlannedOrders[EffectiveQty],T_PlannedOrders[Part Name],$A589,T_PlannedOrders[WeekIndex],17)&amp;" ("&amp;TEXT(SUMPRODUCT(MAX((T_PlannedOrders[Part Name]=$A589)*(T_PlannedOrders[WeekIndex]=17)*(T_PlannedOrders[EffectiveQty]&gt;0)*T_PlannedOrders[Order_Month])),"m月")&amp;"発注)")</f>
        <v/>
      </c>
      <c r="U649">
        <f>IF(SUMIFS(T_PlannedOrders[EffectiveQty],T_PlannedOrders[Part Name],$A589,T_PlannedOrders[WeekIndex],18)=0,"",SUMIFS(T_PlannedOrders[EffectiveQty],T_PlannedOrders[Part Name],$A589,T_PlannedOrders[WeekIndex],18)&amp;" ("&amp;TEXT(SUMPRODUCT(MAX((T_PlannedOrders[Part Name]=$A589)*(T_PlannedOrders[WeekIndex]=18)*(T_PlannedOrders[EffectiveQty]&gt;0)*T_PlannedOrders[Order_Month])),"m月")&amp;"発注)")</f>
        <v/>
      </c>
      <c r="V649">
        <f>IF(SUMIFS(T_PlannedOrders[EffectiveQty],T_PlannedOrders[Part Name],$A589,T_PlannedOrders[WeekIndex],19)=0,"",SUMIFS(T_PlannedOrders[EffectiveQty],T_PlannedOrders[Part Name],$A589,T_PlannedOrders[WeekIndex],19)&amp;" ("&amp;TEXT(SUMPRODUCT(MAX((T_PlannedOrders[Part Name]=$A589)*(T_PlannedOrders[WeekIndex]=19)*(T_PlannedOrders[EffectiveQty]&gt;0)*T_PlannedOrders[Order_Month])),"m月")&amp;"発注)")</f>
        <v/>
      </c>
      <c r="W649">
        <f>IF(SUMIFS(T_PlannedOrders[EffectiveQty],T_PlannedOrders[Part Name],$A589,T_PlannedOrders[WeekIndex],20)=0,"",SUMIFS(T_PlannedOrders[EffectiveQty],T_PlannedOrders[Part Name],$A589,T_PlannedOrders[WeekIndex],20)&amp;" ("&amp;TEXT(SUMPRODUCT(MAX((T_PlannedOrders[Part Name]=$A589)*(T_PlannedOrders[WeekIndex]=20)*(T_PlannedOrders[EffectiveQty]&gt;0)*T_PlannedOrders[Order_Month])),"m月")&amp;"発注)")</f>
        <v/>
      </c>
      <c r="X649">
        <f>IF(SUMIFS(T_PlannedOrders[EffectiveQty],T_PlannedOrders[Part Name],$A589,T_PlannedOrders[WeekIndex],21)=0,"",SUMIFS(T_PlannedOrders[EffectiveQty],T_PlannedOrders[Part Name],$A589,T_PlannedOrders[WeekIndex],21)&amp;" ("&amp;TEXT(SUMPRODUCT(MAX((T_PlannedOrders[Part Name]=$A589)*(T_PlannedOrders[WeekIndex]=21)*(T_PlannedOrders[EffectiveQty]&gt;0)*T_PlannedOrders[Order_Month])),"m月")&amp;"発注)")</f>
        <v/>
      </c>
      <c r="Y649">
        <f>IF(SUMIFS(T_PlannedOrders[EffectiveQty],T_PlannedOrders[Part Name],$A589,T_PlannedOrders[WeekIndex],22)=0,"",SUMIFS(T_PlannedOrders[EffectiveQty],T_PlannedOrders[Part Name],$A589,T_PlannedOrders[WeekIndex],22)&amp;" ("&amp;TEXT(SUMPRODUCT(MAX((T_PlannedOrders[Part Name]=$A589)*(T_PlannedOrders[WeekIndex]=22)*(T_PlannedOrders[EffectiveQty]&gt;0)*T_PlannedOrders[Order_Month])),"m月")&amp;"発注)")</f>
        <v/>
      </c>
      <c r="Z649">
        <f>IF(SUMIFS(T_PlannedOrders[EffectiveQty],T_PlannedOrders[Part Name],$A589,T_PlannedOrders[WeekIndex],23)=0,"",SUMIFS(T_PlannedOrders[EffectiveQty],T_PlannedOrders[Part Name],$A589,T_PlannedOrders[WeekIndex],23)&amp;" ("&amp;TEXT(SUMPRODUCT(MAX((T_PlannedOrders[Part Name]=$A589)*(T_PlannedOrders[WeekIndex]=23)*(T_PlannedOrders[EffectiveQty]&gt;0)*T_PlannedOrders[Order_Month])),"m月")&amp;"発注)")</f>
        <v/>
      </c>
      <c r="AA649">
        <f>IF(SUMIFS(T_PlannedOrders[EffectiveQty],T_PlannedOrders[Part Name],$A589,T_PlannedOrders[WeekIndex],24)=0,"",SUMIFS(T_PlannedOrders[EffectiveQty],T_PlannedOrders[Part Name],$A589,T_PlannedOrders[WeekIndex],24)&amp;" ("&amp;TEXT(SUMPRODUCT(MAX((T_PlannedOrders[Part Name]=$A589)*(T_PlannedOrders[WeekIndex]=24)*(T_PlannedOrders[EffectiveQty]&gt;0)*T_PlannedOrders[Order_Month])),"m月")&amp;"発注)")</f>
        <v/>
      </c>
      <c r="AB649">
        <f>IF(SUMIFS(T_PlannedOrders[EffectiveQty],T_PlannedOrders[Part Name],$A589,T_PlannedOrders[WeekIndex],25)=0,"",SUMIFS(T_PlannedOrders[EffectiveQty],T_PlannedOrders[Part Name],$A589,T_PlannedOrders[WeekIndex],25)&amp;" ("&amp;TEXT(SUMPRODUCT(MAX((T_PlannedOrders[Part Name]=$A589)*(T_PlannedOrders[WeekIndex]=25)*(T_PlannedOrders[EffectiveQty]&gt;0)*T_PlannedOrders[Order_Month])),"m月")&amp;"発注)")</f>
        <v/>
      </c>
      <c r="AC649">
        <f>IF(SUMIFS(T_PlannedOrders[EffectiveQty],T_PlannedOrders[Part Name],$A589,T_PlannedOrders[WeekIndex],26)=0,"",SUMIFS(T_PlannedOrders[EffectiveQty],T_PlannedOrders[Part Name],$A589,T_PlannedOrders[WeekIndex],26)&amp;" ("&amp;TEXT(SUMPRODUCT(MAX((T_PlannedOrders[Part Name]=$A589)*(T_PlannedOrders[WeekIndex]=26)*(T_PlannedOrders[EffectiveQty]&gt;0)*T_PlannedOrders[Order_Month])),"m月")&amp;"発注)")</f>
        <v/>
      </c>
      <c r="AD649">
        <f>IF(SUMIFS(T_PlannedOrders[EffectiveQty],T_PlannedOrders[Part Name],$A589,T_PlannedOrders[WeekIndex],27)=0,"",SUMIFS(T_PlannedOrders[EffectiveQty],T_PlannedOrders[Part Name],$A589,T_PlannedOrders[WeekIndex],27)&amp;" ("&amp;TEXT(SUMPRODUCT(MAX((T_PlannedOrders[Part Name]=$A589)*(T_PlannedOrders[WeekIndex]=27)*(T_PlannedOrders[EffectiveQty]&gt;0)*T_PlannedOrders[Order_Month])),"m月")&amp;"発注)")</f>
        <v/>
      </c>
      <c r="AE649">
        <f>IF(SUMIFS(T_PlannedOrders[EffectiveQty],T_PlannedOrders[Part Name],$A589,T_PlannedOrders[WeekIndex],28)=0,"",SUMIFS(T_PlannedOrders[EffectiveQty],T_PlannedOrders[Part Name],$A589,T_PlannedOrders[WeekIndex],28)&amp;" ("&amp;TEXT(SUMPRODUCT(MAX((T_PlannedOrders[Part Name]=$A589)*(T_PlannedOrders[WeekIndex]=28)*(T_PlannedOrders[EffectiveQty]&gt;0)*T_PlannedOrders[Order_Month])),"m月")&amp;"発注)")</f>
        <v/>
      </c>
      <c r="AF649">
        <f>IF(SUMIFS(T_PlannedOrders[EffectiveQty],T_PlannedOrders[Part Name],$A589,T_PlannedOrders[WeekIndex],29)=0,"",SUMIFS(T_PlannedOrders[EffectiveQty],T_PlannedOrders[Part Name],$A589,T_PlannedOrders[WeekIndex],29)&amp;" ("&amp;TEXT(SUMPRODUCT(MAX((T_PlannedOrders[Part Name]=$A589)*(T_PlannedOrders[WeekIndex]=29)*(T_PlannedOrders[EffectiveQty]&gt;0)*T_PlannedOrders[Order_Month])),"m月")&amp;"発注)")</f>
        <v/>
      </c>
      <c r="AG649">
        <f>IF(SUMIFS(T_PlannedOrders[EffectiveQty],T_PlannedOrders[Part Name],$A589,T_PlannedOrders[WeekIndex],30)=0,"",SUMIFS(T_PlannedOrders[EffectiveQty],T_PlannedOrders[Part Name],$A589,T_PlannedOrders[WeekIndex],30)&amp;" ("&amp;TEXT(SUMPRODUCT(MAX((T_PlannedOrders[Part Name]=$A589)*(T_PlannedOrders[WeekIndex]=30)*(T_PlannedOrders[EffectiveQty]&gt;0)*T_PlannedOrders[Order_Month])),"m月")&amp;"発注)")</f>
        <v/>
      </c>
      <c r="AH649">
        <f>IF(SUMIFS(T_PlannedOrders[EffectiveQty],T_PlannedOrders[Part Name],$A589,T_PlannedOrders[WeekIndex],31)=0,"",SUMIFS(T_PlannedOrders[EffectiveQty],T_PlannedOrders[Part Name],$A589,T_PlannedOrders[WeekIndex],31)&amp;" ("&amp;TEXT(SUMPRODUCT(MAX((T_PlannedOrders[Part Name]=$A589)*(T_PlannedOrders[WeekIndex]=31)*(T_PlannedOrders[EffectiveQty]&gt;0)*T_PlannedOrders[Order_Month])),"m月")&amp;"発注)")</f>
        <v/>
      </c>
      <c r="AI649">
        <f>IF(SUMIFS(T_PlannedOrders[EffectiveQty],T_PlannedOrders[Part Name],$A589,T_PlannedOrders[WeekIndex],32)=0,"",SUMIFS(T_PlannedOrders[EffectiveQty],T_PlannedOrders[Part Name],$A589,T_PlannedOrders[WeekIndex],32)&amp;" ("&amp;TEXT(SUMPRODUCT(MAX((T_PlannedOrders[Part Name]=$A589)*(T_PlannedOrders[WeekIndex]=32)*(T_PlannedOrders[EffectiveQty]&gt;0)*T_PlannedOrders[Order_Month])),"m月")&amp;"発注)")</f>
        <v/>
      </c>
      <c r="AJ649">
        <f>IF(SUMIFS(T_PlannedOrders[EffectiveQty],T_PlannedOrders[Part Name],$A589,T_PlannedOrders[WeekIndex],33)=0,"",SUMIFS(T_PlannedOrders[EffectiveQty],T_PlannedOrders[Part Name],$A589,T_PlannedOrders[WeekIndex],33)&amp;" ("&amp;TEXT(SUMPRODUCT(MAX((T_PlannedOrders[Part Name]=$A589)*(T_PlannedOrders[WeekIndex]=33)*(T_PlannedOrders[EffectiveQty]&gt;0)*T_PlannedOrders[Order_Month])),"m月")&amp;"発注)")</f>
        <v/>
      </c>
      <c r="AK649">
        <f>IF(SUMIFS(T_PlannedOrders[EffectiveQty],T_PlannedOrders[Part Name],$A589,T_PlannedOrders[WeekIndex],34)=0,"",SUMIFS(T_PlannedOrders[EffectiveQty],T_PlannedOrders[Part Name],$A589,T_PlannedOrders[WeekIndex],34)&amp;" ("&amp;TEXT(SUMPRODUCT(MAX((T_PlannedOrders[Part Name]=$A589)*(T_PlannedOrders[WeekIndex]=34)*(T_PlannedOrders[EffectiveQty]&gt;0)*T_PlannedOrders[Order_Month])),"m月")&amp;"発注)")</f>
        <v/>
      </c>
      <c r="AL649">
        <f>IF(SUMIFS(T_PlannedOrders[EffectiveQty],T_PlannedOrders[Part Name],$A589,T_PlannedOrders[WeekIndex],35)=0,"",SUMIFS(T_PlannedOrders[EffectiveQty],T_PlannedOrders[Part Name],$A589,T_PlannedOrders[WeekIndex],35)&amp;" ("&amp;TEXT(SUMPRODUCT(MAX((T_PlannedOrders[Part Name]=$A589)*(T_PlannedOrders[WeekIndex]=35)*(T_PlannedOrders[EffectiveQty]&gt;0)*T_PlannedOrders[Order_Month])),"m月")&amp;"発注)")</f>
        <v/>
      </c>
      <c r="AM649">
        <f>IF(SUMIFS(T_PlannedOrders[EffectiveQty],T_PlannedOrders[Part Name],$A589,T_PlannedOrders[WeekIndex],36)=0,"",SUMIFS(T_PlannedOrders[EffectiveQty],T_PlannedOrders[Part Name],$A589,T_PlannedOrders[WeekIndex],36)&amp;" ("&amp;TEXT(SUMPRODUCT(MAX((T_PlannedOrders[Part Name]=$A589)*(T_PlannedOrders[WeekIndex]=36)*(T_PlannedOrders[EffectiveQty]&gt;0)*T_PlannedOrders[Order_Month])),"m月")&amp;"発注)")</f>
        <v/>
      </c>
      <c r="AN649">
        <f>IF(SUMIFS(T_PlannedOrders[EffectiveQty],T_PlannedOrders[Part Name],$A589,T_PlannedOrders[WeekIndex],37)=0,"",SUMIFS(T_PlannedOrders[EffectiveQty],T_PlannedOrders[Part Name],$A589,T_PlannedOrders[WeekIndex],37)&amp;" ("&amp;TEXT(SUMPRODUCT(MAX((T_PlannedOrders[Part Name]=$A589)*(T_PlannedOrders[WeekIndex]=37)*(T_PlannedOrders[EffectiveQty]&gt;0)*T_PlannedOrders[Order_Month])),"m月")&amp;"発注)")</f>
        <v/>
      </c>
      <c r="AO649">
        <f>IF(SUMIFS(T_PlannedOrders[EffectiveQty],T_PlannedOrders[Part Name],$A589,T_PlannedOrders[WeekIndex],38)=0,"",SUMIFS(T_PlannedOrders[EffectiveQty],T_PlannedOrders[Part Name],$A589,T_PlannedOrders[WeekIndex],38)&amp;" ("&amp;TEXT(SUMPRODUCT(MAX((T_PlannedOrders[Part Name]=$A589)*(T_PlannedOrders[WeekIndex]=38)*(T_PlannedOrders[EffectiveQty]&gt;0)*T_PlannedOrders[Order_Month])),"m月")&amp;"発注)")</f>
        <v/>
      </c>
      <c r="AP649">
        <f>IF(SUMIFS(T_PlannedOrders[EffectiveQty],T_PlannedOrders[Part Name],$A589,T_PlannedOrders[WeekIndex],39)=0,"",SUMIFS(T_PlannedOrders[EffectiveQty],T_PlannedOrders[Part Name],$A589,T_PlannedOrders[WeekIndex],39)&amp;" ("&amp;TEXT(SUMPRODUCT(MAX((T_PlannedOrders[Part Name]=$A589)*(T_PlannedOrders[WeekIndex]=39)*(T_PlannedOrders[EffectiveQty]&gt;0)*T_PlannedOrders[Order_Month])),"m月")&amp;"発注)")</f>
        <v/>
      </c>
      <c r="AQ649">
        <f>IF(SUMIFS(T_PlannedOrders[EffectiveQty],T_PlannedOrders[Part Name],$A589,T_PlannedOrders[WeekIndex],40)=0,"",SUMIFS(T_PlannedOrders[EffectiveQty],T_PlannedOrders[Part Name],$A589,T_PlannedOrders[WeekIndex],40)&amp;" ("&amp;TEXT(SUMPRODUCT(MAX((T_PlannedOrders[Part Name]=$A589)*(T_PlannedOrders[WeekIndex]=40)*(T_PlannedOrders[EffectiveQty]&gt;0)*T_PlannedOrders[Order_Month])),"m月")&amp;"発注)")</f>
        <v/>
      </c>
      <c r="AR649">
        <f>IF(SUMIFS(T_PlannedOrders[EffectiveQty],T_PlannedOrders[Part Name],$A589,T_PlannedOrders[WeekIndex],41)=0,"",SUMIFS(T_PlannedOrders[EffectiveQty],T_PlannedOrders[Part Name],$A589,T_PlannedOrders[WeekIndex],41)&amp;" ("&amp;TEXT(SUMPRODUCT(MAX((T_PlannedOrders[Part Name]=$A589)*(T_PlannedOrders[WeekIndex]=41)*(T_PlannedOrders[EffectiveQty]&gt;0)*T_PlannedOrders[Order_Month])),"m月")&amp;"発注)")</f>
        <v/>
      </c>
      <c r="AS649">
        <f>IF(SUMIFS(T_PlannedOrders[EffectiveQty],T_PlannedOrders[Part Name],$A589,T_PlannedOrders[WeekIndex],42)=0,"",SUMIFS(T_PlannedOrders[EffectiveQty],T_PlannedOrders[Part Name],$A589,T_PlannedOrders[WeekIndex],42)&amp;" ("&amp;TEXT(SUMPRODUCT(MAX((T_PlannedOrders[Part Name]=$A589)*(T_PlannedOrders[WeekIndex]=42)*(T_PlannedOrders[EffectiveQty]&gt;0)*T_PlannedOrders[Order_Month])),"m月")&amp;"発注)")</f>
        <v/>
      </c>
      <c r="AT649">
        <f>IF(SUMIFS(T_PlannedOrders[EffectiveQty],T_PlannedOrders[Part Name],$A589,T_PlannedOrders[WeekIndex],43)=0,"",SUMIFS(T_PlannedOrders[EffectiveQty],T_PlannedOrders[Part Name],$A589,T_PlannedOrders[WeekIndex],43)&amp;" ("&amp;TEXT(SUMPRODUCT(MAX((T_PlannedOrders[Part Name]=$A589)*(T_PlannedOrders[WeekIndex]=43)*(T_PlannedOrders[EffectiveQty]&gt;0)*T_PlannedOrders[Order_Month])),"m月")&amp;"発注)")</f>
        <v/>
      </c>
      <c r="AU649">
        <f>IF(SUMIFS(T_PlannedOrders[EffectiveQty],T_PlannedOrders[Part Name],$A589,T_PlannedOrders[WeekIndex],44)=0,"",SUMIFS(T_PlannedOrders[EffectiveQty],T_PlannedOrders[Part Name],$A589,T_PlannedOrders[WeekIndex],44)&amp;" ("&amp;TEXT(SUMPRODUCT(MAX((T_PlannedOrders[Part Name]=$A589)*(T_PlannedOrders[WeekIndex]=44)*(T_PlannedOrders[EffectiveQty]&gt;0)*T_PlannedOrders[Order_Month])),"m月")&amp;"発注)")</f>
        <v/>
      </c>
      <c r="AV649">
        <f>IF(SUMIFS(T_PlannedOrders[EffectiveQty],T_PlannedOrders[Part Name],$A589,T_PlannedOrders[WeekIndex],45)=0,"",SUMIFS(T_PlannedOrders[EffectiveQty],T_PlannedOrders[Part Name],$A589,T_PlannedOrders[WeekIndex],45)&amp;" ("&amp;TEXT(SUMPRODUCT(MAX((T_PlannedOrders[Part Name]=$A589)*(T_PlannedOrders[WeekIndex]=45)*(T_PlannedOrders[EffectiveQty]&gt;0)*T_PlannedOrders[Order_Month])),"m月")&amp;"発注)")</f>
        <v/>
      </c>
      <c r="AW649">
        <f>IF(SUMIFS(T_PlannedOrders[EffectiveQty],T_PlannedOrders[Part Name],$A589,T_PlannedOrders[WeekIndex],46)=0,"",SUMIFS(T_PlannedOrders[EffectiveQty],T_PlannedOrders[Part Name],$A589,T_PlannedOrders[WeekIndex],46)&amp;" ("&amp;TEXT(SUMPRODUCT(MAX((T_PlannedOrders[Part Name]=$A589)*(T_PlannedOrders[WeekIndex]=46)*(T_PlannedOrders[EffectiveQty]&gt;0)*T_PlannedOrders[Order_Month])),"m月")&amp;"発注)")</f>
        <v/>
      </c>
      <c r="AX649">
        <f>IF(SUMIFS(T_PlannedOrders[EffectiveQty],T_PlannedOrders[Part Name],$A589,T_PlannedOrders[WeekIndex],47)=0,"",SUMIFS(T_PlannedOrders[EffectiveQty],T_PlannedOrders[Part Name],$A589,T_PlannedOrders[WeekIndex],47)&amp;" ("&amp;TEXT(SUMPRODUCT(MAX((T_PlannedOrders[Part Name]=$A589)*(T_PlannedOrders[WeekIndex]=47)*(T_PlannedOrders[EffectiveQty]&gt;0)*T_PlannedOrders[Order_Month])),"m月")&amp;"発注)")</f>
        <v/>
      </c>
      <c r="AY649">
        <f>IF(SUMIFS(T_PlannedOrders[EffectiveQty],T_PlannedOrders[Part Name],$A589,T_PlannedOrders[WeekIndex],48)=0,"",SUMIFS(T_PlannedOrders[EffectiveQty],T_PlannedOrders[Part Name],$A589,T_PlannedOrders[WeekIndex],48)&amp;" ("&amp;TEXT(SUMPRODUCT(MAX((T_PlannedOrders[Part Name]=$A589)*(T_PlannedOrders[WeekIndex]=48)*(T_PlannedOrders[EffectiveQty]&gt;0)*T_PlannedOrders[Order_Month])),"m月")&amp;"発注)")</f>
        <v/>
      </c>
      <c r="AZ649">
        <f>IF(SUMIFS(T_PlannedOrders[EffectiveQty],T_PlannedOrders[Part Name],$A589,T_PlannedOrders[WeekIndex],49)=0,"",SUMIFS(T_PlannedOrders[EffectiveQty],T_PlannedOrders[Part Name],$A589,T_PlannedOrders[WeekIndex],49)&amp;" ("&amp;TEXT(SUMPRODUCT(MAX((T_PlannedOrders[Part Name]=$A589)*(T_PlannedOrders[WeekIndex]=49)*(T_PlannedOrders[EffectiveQty]&gt;0)*T_PlannedOrders[Order_Month])),"m月")&amp;"発注)")</f>
        <v/>
      </c>
      <c r="BA649">
        <f>IF(SUMIFS(T_PlannedOrders[EffectiveQty],T_PlannedOrders[Part Name],$A589,T_PlannedOrders[WeekIndex],50)=0,"",SUMIFS(T_PlannedOrders[EffectiveQty],T_PlannedOrders[Part Name],$A589,T_PlannedOrders[WeekIndex],50)&amp;" ("&amp;TEXT(SUMPRODUCT(MAX((T_PlannedOrders[Part Name]=$A589)*(T_PlannedOrders[WeekIndex]=50)*(T_PlannedOrders[EffectiveQty]&gt;0)*T_PlannedOrders[Order_Month])),"m月")&amp;"発注)")</f>
        <v/>
      </c>
      <c r="BB649">
        <f>IF(SUMIFS(T_PlannedOrders[EffectiveQty],T_PlannedOrders[Part Name],$A589,T_PlannedOrders[WeekIndex],51)=0,"",SUMIFS(T_PlannedOrders[EffectiveQty],T_PlannedOrders[Part Name],$A589,T_PlannedOrders[WeekIndex],51)&amp;" ("&amp;TEXT(SUMPRODUCT(MAX((T_PlannedOrders[Part Name]=$A589)*(T_PlannedOrders[WeekIndex]=51)*(T_PlannedOrders[EffectiveQty]&gt;0)*T_PlannedOrders[Order_Month])),"m月")&amp;"発注)")</f>
        <v/>
      </c>
      <c r="BC649">
        <f>IF(SUMIFS(T_PlannedOrders[EffectiveQty],T_PlannedOrders[Part Name],$A589,T_PlannedOrders[WeekIndex],52)=0,"",SUMIFS(T_PlannedOrders[EffectiveQty],T_PlannedOrders[Part Name],$A589,T_PlannedOrders[WeekIndex],52)&amp;" ("&amp;TEXT(SUMPRODUCT(MAX((T_PlannedOrders[Part Name]=$A589)*(T_PlannedOrders[WeekIndex]=52)*(T_PlannedOrders[EffectiveQty]&gt;0)*T_PlannedOrders[Order_Month])),"m月")&amp;"発注)")</f>
        <v/>
      </c>
      <c r="BD649">
        <f>IF(SUMIFS(T_PlannedOrders[EffectiveQty],T_PlannedOrders[Part Name],$A589,T_PlannedOrders[WeekIndex],53)=0,"",SUMIFS(T_PlannedOrders[EffectiveQty],T_PlannedOrders[Part Name],$A589,T_PlannedOrders[WeekIndex],53)&amp;" ("&amp;TEXT(SUMPRODUCT(MAX((T_PlannedOrders[Part Name]=$A589)*(T_PlannedOrders[WeekIndex]=53)*(T_PlannedOrders[EffectiveQty]&gt;0)*T_PlannedOrders[Order_Month])),"m月")&amp;"発注)")</f>
        <v/>
      </c>
      <c r="BE649">
        <f>IF(SUMIFS(T_PlannedOrders[EffectiveQty],T_PlannedOrders[Part Name],$A589,T_PlannedOrders[WeekIndex],54)=0,"",SUMIFS(T_PlannedOrders[EffectiveQty],T_PlannedOrders[Part Name],$A589,T_PlannedOrders[WeekIndex],54)&amp;" ("&amp;TEXT(SUMPRODUCT(MAX((T_PlannedOrders[Part Name]=$A589)*(T_PlannedOrders[WeekIndex]=54)*(T_PlannedOrders[EffectiveQty]&gt;0)*T_PlannedOrders[Order_Month])),"m月")&amp;"発注)")</f>
        <v/>
      </c>
      <c r="BF649">
        <f>IF(SUMIFS(T_PlannedOrders[EffectiveQty],T_PlannedOrders[Part Name],$A589,T_PlannedOrders[WeekIndex],55)=0,"",SUMIFS(T_PlannedOrders[EffectiveQty],T_PlannedOrders[Part Name],$A589,T_PlannedOrders[WeekIndex],55)&amp;" ("&amp;TEXT(SUMPRODUCT(MAX((T_PlannedOrders[Part Name]=$A589)*(T_PlannedOrders[WeekIndex]=55)*(T_PlannedOrders[EffectiveQty]&gt;0)*T_PlannedOrders[Order_Month])),"m月")&amp;"発注)")</f>
        <v/>
      </c>
      <c r="BG649">
        <f>IF(SUMIFS(T_PlannedOrders[EffectiveQty],T_PlannedOrders[Part Name],$A589,T_PlannedOrders[WeekIndex],56)=0,"",SUMIFS(T_PlannedOrders[EffectiveQty],T_PlannedOrders[Part Name],$A589,T_PlannedOrders[WeekIndex],56)&amp;" ("&amp;TEXT(SUMPRODUCT(MAX((T_PlannedOrders[Part Name]=$A589)*(T_PlannedOrders[WeekIndex]=56)*(T_PlannedOrders[EffectiveQty]&gt;0)*T_PlannedOrders[Order_Month])),"m月")&amp;"発注)")</f>
        <v/>
      </c>
      <c r="BH649">
        <f>IF(SUMIFS(T_PlannedOrders[EffectiveQty],T_PlannedOrders[Part Name],$A589,T_PlannedOrders[WeekIndex],57)=0,"",SUMIFS(T_PlannedOrders[EffectiveQty],T_PlannedOrders[Part Name],$A589,T_PlannedOrders[WeekIndex],57)&amp;" ("&amp;TEXT(SUMPRODUCT(MAX((T_PlannedOrders[Part Name]=$A589)*(T_PlannedOrders[WeekIndex]=57)*(T_PlannedOrders[EffectiveQty]&gt;0)*T_PlannedOrders[Order_Month])),"m月")&amp;"発注)")</f>
        <v/>
      </c>
      <c r="BI649">
        <f>IF(SUMIFS(T_PlannedOrders[EffectiveQty],T_PlannedOrders[Part Name],$A589,T_PlannedOrders[WeekIndex],58)=0,"",SUMIFS(T_PlannedOrders[EffectiveQty],T_PlannedOrders[Part Name],$A589,T_PlannedOrders[WeekIndex],58)&amp;" ("&amp;TEXT(SUMPRODUCT(MAX((T_PlannedOrders[Part Name]=$A589)*(T_PlannedOrders[WeekIndex]=58)*(T_PlannedOrders[EffectiveQty]&gt;0)*T_PlannedOrders[Order_Month])),"m月")&amp;"発注)")</f>
        <v/>
      </c>
      <c r="BJ649">
        <f>IF(SUMIFS(T_PlannedOrders[EffectiveQty],T_PlannedOrders[Part Name],$A589,T_PlannedOrders[WeekIndex],59)=0,"",SUMIFS(T_PlannedOrders[EffectiveQty],T_PlannedOrders[Part Name],$A589,T_PlannedOrders[WeekIndex],59)&amp;" ("&amp;TEXT(SUMPRODUCT(MAX((T_PlannedOrders[Part Name]=$A589)*(T_PlannedOrders[WeekIndex]=59)*(T_PlannedOrders[EffectiveQty]&gt;0)*T_PlannedOrders[Order_Month])),"m月")&amp;"発注)")</f>
        <v/>
      </c>
      <c r="BK649">
        <f>IF(SUMIFS(T_PlannedOrders[EffectiveQty],T_PlannedOrders[Part Name],$A589,T_PlannedOrders[WeekIndex],60)=0,"",SUMIFS(T_PlannedOrders[EffectiveQty],T_PlannedOrders[Part Name],$A589,T_PlannedOrders[WeekIndex],60)&amp;" ("&amp;TEXT(SUMPRODUCT(MAX((T_PlannedOrders[Part Name]=$A589)*(T_PlannedOrders[WeekIndex]=60)*(T_PlannedOrders[EffectiveQty]&gt;0)*T_PlannedOrders[Order_Month])),"m月")&amp;"発注)")</f>
        <v/>
      </c>
      <c r="BL649">
        <f>IF(SUMIFS(T_PlannedOrders[EffectiveQty],T_PlannedOrders[Part Name],$A589,T_PlannedOrders[WeekIndex],61)=0,"",SUMIFS(T_PlannedOrders[EffectiveQty],T_PlannedOrders[Part Name],$A589,T_PlannedOrders[WeekIndex],61)&amp;" ("&amp;TEXT(SUMPRODUCT(MAX((T_PlannedOrders[Part Name]=$A589)*(T_PlannedOrders[WeekIndex]=61)*(T_PlannedOrders[EffectiveQty]&gt;0)*T_PlannedOrders[Order_Month])),"m月")&amp;"発注)")</f>
        <v/>
      </c>
      <c r="BM649">
        <f>IF(SUMIFS(T_PlannedOrders[EffectiveQty],T_PlannedOrders[Part Name],$A589,T_PlannedOrders[WeekIndex],62)=0,"",SUMIFS(T_PlannedOrders[EffectiveQty],T_PlannedOrders[Part Name],$A589,T_PlannedOrders[WeekIndex],62)&amp;" ("&amp;TEXT(SUMPRODUCT(MAX((T_PlannedOrders[Part Name]=$A589)*(T_PlannedOrders[WeekIndex]=62)*(T_PlannedOrders[EffectiveQty]&gt;0)*T_PlannedOrders[Order_Month])),"m月")&amp;"発注)")</f>
        <v/>
      </c>
      <c r="BN649">
        <f>IF(SUMIFS(T_PlannedOrders[EffectiveQty],T_PlannedOrders[Part Name],$A589,T_PlannedOrders[WeekIndex],63)=0,"",SUMIFS(T_PlannedOrders[EffectiveQty],T_PlannedOrders[Part Name],$A589,T_PlannedOrders[WeekIndex],63)&amp;" ("&amp;TEXT(SUMPRODUCT(MAX((T_PlannedOrders[Part Name]=$A589)*(T_PlannedOrders[WeekIndex]=63)*(T_PlannedOrders[EffectiveQty]&gt;0)*T_PlannedOrders[Order_Month])),"m月")&amp;"発注)")</f>
        <v/>
      </c>
      <c r="BO649">
        <f>IF(SUMIFS(T_PlannedOrders[EffectiveQty],T_PlannedOrders[Part Name],$A589,T_PlannedOrders[WeekIndex],64)=0,"",SUMIFS(T_PlannedOrders[EffectiveQty],T_PlannedOrders[Part Name],$A589,T_PlannedOrders[WeekIndex],64)&amp;" ("&amp;TEXT(SUMPRODUCT(MAX((T_PlannedOrders[Part Name]=$A589)*(T_PlannedOrders[WeekIndex]=64)*(T_PlannedOrders[EffectiveQty]&gt;0)*T_PlannedOrders[Order_Month])),"m月")&amp;"発注)")</f>
        <v/>
      </c>
      <c r="BP649">
        <f>IF(SUMIFS(T_PlannedOrders[EffectiveQty],T_PlannedOrders[Part Name],$A589,T_PlannedOrders[WeekIndex],65)=0,"",SUMIFS(T_PlannedOrders[EffectiveQty],T_PlannedOrders[Part Name],$A589,T_PlannedOrders[WeekIndex],65)&amp;" ("&amp;TEXT(SUMPRODUCT(MAX((T_PlannedOrders[Part Name]=$A589)*(T_PlannedOrders[WeekIndex]=65)*(T_PlannedOrders[EffectiveQty]&gt;0)*T_PlannedOrders[Order_Month])),"m月")&amp;"発注)")</f>
        <v/>
      </c>
      <c r="BQ649">
        <f>IF(SUMIFS(T_PlannedOrders[EffectiveQty],T_PlannedOrders[Part Name],$A589,T_PlannedOrders[WeekIndex],66)=0,"",SUMIFS(T_PlannedOrders[EffectiveQty],T_PlannedOrders[Part Name],$A589,T_PlannedOrders[WeekIndex],66)&amp;" ("&amp;TEXT(SUMPRODUCT(MAX((T_PlannedOrders[Part Name]=$A589)*(T_PlannedOrders[WeekIndex]=66)*(T_PlannedOrders[EffectiveQty]&gt;0)*T_PlannedOrders[Order_Month])),"m月")&amp;"発注)")</f>
        <v/>
      </c>
      <c r="BR649">
        <f>IF(SUMIFS(T_PlannedOrders[EffectiveQty],T_PlannedOrders[Part Name],$A589,T_PlannedOrders[WeekIndex],67)=0,"",SUMIFS(T_PlannedOrders[EffectiveQty],T_PlannedOrders[Part Name],$A589,T_PlannedOrders[WeekIndex],67)&amp;" ("&amp;TEXT(SUMPRODUCT(MAX((T_PlannedOrders[Part Name]=$A589)*(T_PlannedOrders[WeekIndex]=67)*(T_PlannedOrders[EffectiveQty]&gt;0)*T_PlannedOrders[Order_Month])),"m月")&amp;"発注)")</f>
        <v/>
      </c>
      <c r="BS649">
        <f>IF(SUMIFS(T_PlannedOrders[EffectiveQty],T_PlannedOrders[Part Name],$A589,T_PlannedOrders[WeekIndex],68)=0,"",SUMIFS(T_PlannedOrders[EffectiveQty],T_PlannedOrders[Part Name],$A589,T_PlannedOrders[WeekIndex],68)&amp;" ("&amp;TEXT(SUMPRODUCT(MAX((T_PlannedOrders[Part Name]=$A589)*(T_PlannedOrders[WeekIndex]=68)*(T_PlannedOrders[EffectiveQty]&gt;0)*T_PlannedOrders[Order_Month])),"m月")&amp;"発注)")</f>
        <v/>
      </c>
      <c r="BT649">
        <f>IF(SUMIFS(T_PlannedOrders[EffectiveQty],T_PlannedOrders[Part Name],$A589,T_PlannedOrders[WeekIndex],69)=0,"",SUMIFS(T_PlannedOrders[EffectiveQty],T_PlannedOrders[Part Name],$A589,T_PlannedOrders[WeekIndex],69)&amp;" ("&amp;TEXT(SUMPRODUCT(MAX((T_PlannedOrders[Part Name]=$A589)*(T_PlannedOrders[WeekIndex]=69)*(T_PlannedOrders[EffectiveQty]&gt;0)*T_PlannedOrders[Order_Month])),"m月")&amp;"発注)")</f>
        <v/>
      </c>
      <c r="BU649">
        <f>IF(SUMIFS(T_PlannedOrders[EffectiveQty],T_PlannedOrders[Part Name],$A589,T_PlannedOrders[WeekIndex],70)=0,"",SUMIFS(T_PlannedOrders[EffectiveQty],T_PlannedOrders[Part Name],$A589,T_PlannedOrders[WeekIndex],70)&amp;" ("&amp;TEXT(SUMPRODUCT(MAX((T_PlannedOrders[Part Name]=$A589)*(T_PlannedOrders[WeekIndex]=70)*(T_PlannedOrders[EffectiveQty]&gt;0)*T_PlannedOrders[Order_Month])),"m月")&amp;"発注)")</f>
        <v/>
      </c>
      <c r="BV649">
        <f>IF(SUMIFS(T_PlannedOrders[EffectiveQty],T_PlannedOrders[Part Name],$A589,T_PlannedOrders[WeekIndex],71)=0,"",SUMIFS(T_PlannedOrders[EffectiveQty],T_PlannedOrders[Part Name],$A589,T_PlannedOrders[WeekIndex],71)&amp;" ("&amp;TEXT(SUMPRODUCT(MAX((T_PlannedOrders[Part Name]=$A589)*(T_PlannedOrders[WeekIndex]=71)*(T_PlannedOrders[EffectiveQty]&gt;0)*T_PlannedOrders[Order_Month])),"m月")&amp;"発注)")</f>
        <v/>
      </c>
      <c r="BW649">
        <f>IF(SUMIFS(T_PlannedOrders[EffectiveQty],T_PlannedOrders[Part Name],$A589,T_PlannedOrders[WeekIndex],72)=0,"",SUMIFS(T_PlannedOrders[EffectiveQty],T_PlannedOrders[Part Name],$A589,T_PlannedOrders[WeekIndex],72)&amp;" ("&amp;TEXT(SUMPRODUCT(MAX((T_PlannedOrders[Part Name]=$A589)*(T_PlannedOrders[WeekIndex]=72)*(T_PlannedOrders[EffectiveQty]&gt;0)*T_PlannedOrders[Order_Month])),"m月")&amp;"発注)")</f>
        <v/>
      </c>
      <c r="BX649">
        <f>IF(SUMIFS(T_PlannedOrders[EffectiveQty],T_PlannedOrders[Part Name],$A589,T_PlannedOrders[WeekIndex],73)=0,"",SUMIFS(T_PlannedOrders[EffectiveQty],T_PlannedOrders[Part Name],$A589,T_PlannedOrders[WeekIndex],73)&amp;" ("&amp;TEXT(SUMPRODUCT(MAX((T_PlannedOrders[Part Name]=$A589)*(T_PlannedOrders[WeekIndex]=73)*(T_PlannedOrders[EffectiveQty]&gt;0)*T_PlannedOrders[Order_Month])),"m月")&amp;"発注)")</f>
        <v/>
      </c>
      <c r="BY649">
        <f>IF(SUMIFS(T_PlannedOrders[EffectiveQty],T_PlannedOrders[Part Name],$A589,T_PlannedOrders[WeekIndex],74)=0,"",SUMIFS(T_PlannedOrders[EffectiveQty],T_PlannedOrders[Part Name],$A589,T_PlannedOrders[WeekIndex],74)&amp;" ("&amp;TEXT(SUMPRODUCT(MAX((T_PlannedOrders[Part Name]=$A589)*(T_PlannedOrders[WeekIndex]=74)*(T_PlannedOrders[EffectiveQty]&gt;0)*T_PlannedOrders[Order_Month])),"m月")&amp;"発注)")</f>
        <v/>
      </c>
      <c r="BZ649">
        <f>IF(SUMIFS(T_PlannedOrders[EffectiveQty],T_PlannedOrders[Part Name],$A589,T_PlannedOrders[WeekIndex],75)=0,"",SUMIFS(T_PlannedOrders[EffectiveQty],T_PlannedOrders[Part Name],$A589,T_PlannedOrders[WeekIndex],75)&amp;" ("&amp;TEXT(SUMPRODUCT(MAX((T_PlannedOrders[Part Name]=$A589)*(T_PlannedOrders[WeekIndex]=75)*(T_PlannedOrders[EffectiveQty]&gt;0)*T_PlannedOrders[Order_Month])),"m月")&amp;"発注)")</f>
        <v/>
      </c>
      <c r="CA649">
        <f>IF(SUMIFS(T_PlannedOrders[EffectiveQty],T_PlannedOrders[Part Name],$A589,T_PlannedOrders[WeekIndex],76)=0,"",SUMIFS(T_PlannedOrders[EffectiveQty],T_PlannedOrders[Part Name],$A589,T_PlannedOrders[WeekIndex],76)&amp;" ("&amp;TEXT(SUMPRODUCT(MAX((T_PlannedOrders[Part Name]=$A589)*(T_PlannedOrders[WeekIndex]=76)*(T_PlannedOrders[EffectiveQty]&gt;0)*T_PlannedOrders[Order_Month])),"m月")&amp;"発注)")</f>
        <v/>
      </c>
      <c r="CB649">
        <f>IF(SUMIFS(T_PlannedOrders[EffectiveQty],T_PlannedOrders[Part Name],$A589,T_PlannedOrders[WeekIndex],77)=0,"",SUMIFS(T_PlannedOrders[EffectiveQty],T_PlannedOrders[Part Name],$A589,T_PlannedOrders[WeekIndex],77)&amp;" ("&amp;TEXT(SUMPRODUCT(MAX((T_PlannedOrders[Part Name]=$A589)*(T_PlannedOrders[WeekIndex]=77)*(T_PlannedOrders[EffectiveQty]&gt;0)*T_PlannedOrders[Order_Month])),"m月")&amp;"発注)")</f>
        <v/>
      </c>
      <c r="CC649">
        <f>IF(SUMIFS(T_PlannedOrders[EffectiveQty],T_PlannedOrders[Part Name],$A589,T_PlannedOrders[WeekIndex],78)=0,"",SUMIFS(T_PlannedOrders[EffectiveQty],T_PlannedOrders[Part Name],$A589,T_PlannedOrders[WeekIndex],78)&amp;" ("&amp;TEXT(SUMPRODUCT(MAX((T_PlannedOrders[Part Name]=$A589)*(T_PlannedOrders[WeekIndex]=78)*(T_PlannedOrders[EffectiveQty]&gt;0)*T_PlannedOrders[Order_Month])),"m月")&amp;"発注)")</f>
        <v/>
      </c>
      <c r="CD649">
        <f>IF(SUMIFS(T_PlannedOrders[EffectiveQty],T_PlannedOrders[Part Name],$A589,T_PlannedOrders[WeekIndex],79)=0,"",SUMIFS(T_PlannedOrders[EffectiveQty],T_PlannedOrders[Part Name],$A589,T_PlannedOrders[WeekIndex],79)&amp;" ("&amp;TEXT(SUMPRODUCT(MAX((T_PlannedOrders[Part Name]=$A589)*(T_PlannedOrders[WeekIndex]=79)*(T_PlannedOrders[EffectiveQty]&gt;0)*T_PlannedOrders[Order_Month])),"m月")&amp;"発注)")</f>
        <v/>
      </c>
      <c r="CE649">
        <f>IF(SUMIFS(T_PlannedOrders[EffectiveQty],T_PlannedOrders[Part Name],$A589,T_PlannedOrders[WeekIndex],80)=0,"",SUMIFS(T_PlannedOrders[EffectiveQty],T_PlannedOrders[Part Name],$A589,T_PlannedOrders[WeekIndex],80)&amp;" ("&amp;TEXT(SUMPRODUCT(MAX((T_PlannedOrders[Part Name]=$A589)*(T_PlannedOrders[WeekIndex]=80)*(T_PlannedOrders[EffectiveQty]&gt;0)*T_PlannedOrders[Order_Month])),"m月")&amp;"発注)")</f>
        <v/>
      </c>
      <c r="CF649">
        <f>IF(SUMIFS(T_PlannedOrders[EffectiveQty],T_PlannedOrders[Part Name],$A589,T_PlannedOrders[WeekIndex],81)=0,"",SUMIFS(T_PlannedOrders[EffectiveQty],T_PlannedOrders[Part Name],$A589,T_PlannedOrders[WeekIndex],81)&amp;" ("&amp;TEXT(SUMPRODUCT(MAX((T_PlannedOrders[Part Name]=$A589)*(T_PlannedOrders[WeekIndex]=81)*(T_PlannedOrders[EffectiveQty]&gt;0)*T_PlannedOrders[Order_Month])),"m月")&amp;"発注)")</f>
        <v/>
      </c>
      <c r="CG649">
        <f>IF(SUMIFS(T_PlannedOrders[EffectiveQty],T_PlannedOrders[Part Name],$A589,T_PlannedOrders[WeekIndex],82)=0,"",SUMIFS(T_PlannedOrders[EffectiveQty],T_PlannedOrders[Part Name],$A589,T_PlannedOrders[WeekIndex],82)&amp;" ("&amp;TEXT(SUMPRODUCT(MAX((T_PlannedOrders[Part Name]=$A589)*(T_PlannedOrders[WeekIndex]=82)*(T_PlannedOrders[EffectiveQty]&gt;0)*T_PlannedOrders[Order_Month])),"m月")&amp;"発注)")</f>
        <v/>
      </c>
      <c r="CH649">
        <f>IF(SUMIFS(T_PlannedOrders[EffectiveQty],T_PlannedOrders[Part Name],$A589,T_PlannedOrders[WeekIndex],83)=0,"",SUMIFS(T_PlannedOrders[EffectiveQty],T_PlannedOrders[Part Name],$A589,T_PlannedOrders[WeekIndex],83)&amp;" ("&amp;TEXT(SUMPRODUCT(MAX((T_PlannedOrders[Part Name]=$A589)*(T_PlannedOrders[WeekIndex]=83)*(T_PlannedOrders[EffectiveQty]&gt;0)*T_PlannedOrders[Order_Month])),"m月")&amp;"発注)")</f>
        <v/>
      </c>
      <c r="CI649">
        <f>IF(SUMIFS(T_PlannedOrders[EffectiveQty],T_PlannedOrders[Part Name],$A589,T_PlannedOrders[WeekIndex],84)=0,"",SUMIFS(T_PlannedOrders[EffectiveQty],T_PlannedOrders[Part Name],$A589,T_PlannedOrders[WeekIndex],84)&amp;" ("&amp;TEXT(SUMPRODUCT(MAX((T_PlannedOrders[Part Name]=$A589)*(T_PlannedOrders[WeekIndex]=84)*(T_PlannedOrders[EffectiveQty]&gt;0)*T_PlannedOrders[Order_Month])),"m月")&amp;"発注)")</f>
        <v/>
      </c>
      <c r="CJ649">
        <f>IF(SUMIFS(T_PlannedOrders[EffectiveQty],T_PlannedOrders[Part Name],$A589,T_PlannedOrders[WeekIndex],85)=0,"",SUMIFS(T_PlannedOrders[EffectiveQty],T_PlannedOrders[Part Name],$A589,T_PlannedOrders[WeekIndex],85)&amp;" ("&amp;TEXT(SUMPRODUCT(MAX((T_PlannedOrders[Part Name]=$A589)*(T_PlannedOrders[WeekIndex]=85)*(T_PlannedOrders[EffectiveQty]&gt;0)*T_PlannedOrders[Order_Month])),"m月")&amp;"発注)")</f>
        <v/>
      </c>
      <c r="CK649">
        <f>IF(SUMIFS(T_PlannedOrders[EffectiveQty],T_PlannedOrders[Part Name],$A589,T_PlannedOrders[WeekIndex],86)=0,"",SUMIFS(T_PlannedOrders[EffectiveQty],T_PlannedOrders[Part Name],$A589,T_PlannedOrders[WeekIndex],86)&amp;" ("&amp;TEXT(SUMPRODUCT(MAX((T_PlannedOrders[Part Name]=$A589)*(T_PlannedOrders[WeekIndex]=86)*(T_PlannedOrders[EffectiveQty]&gt;0)*T_PlannedOrders[Order_Month])),"m月")&amp;"発注)")</f>
        <v/>
      </c>
      <c r="CL649">
        <f>IF(SUMIFS(T_PlannedOrders[EffectiveQty],T_PlannedOrders[Part Name],$A589,T_PlannedOrders[WeekIndex],87)=0,"",SUMIFS(T_PlannedOrders[EffectiveQty],T_PlannedOrders[Part Name],$A589,T_PlannedOrders[WeekIndex],87)&amp;" ("&amp;TEXT(SUMPRODUCT(MAX((T_PlannedOrders[Part Name]=$A589)*(T_PlannedOrders[WeekIndex]=87)*(T_PlannedOrders[EffectiveQty]&gt;0)*T_PlannedOrders[Order_Month])),"m月")&amp;"発注)")</f>
        <v/>
      </c>
      <c r="CM649">
        <f>IF(SUMIFS(T_PlannedOrders[EffectiveQty],T_PlannedOrders[Part Name],$A589,T_PlannedOrders[WeekIndex],88)=0,"",SUMIFS(T_PlannedOrders[EffectiveQty],T_PlannedOrders[Part Name],$A589,T_PlannedOrders[WeekIndex],88)&amp;" ("&amp;TEXT(SUMPRODUCT(MAX((T_PlannedOrders[Part Name]=$A589)*(T_PlannedOrders[WeekIndex]=88)*(T_PlannedOrders[EffectiveQty]&gt;0)*T_PlannedOrders[Order_Month])),"m月")&amp;"発注)")</f>
        <v/>
      </c>
      <c r="CN649">
        <f>IF(SUMIFS(T_PlannedOrders[EffectiveQty],T_PlannedOrders[Part Name],$A589,T_PlannedOrders[WeekIndex],89)=0,"",SUMIFS(T_PlannedOrders[EffectiveQty],T_PlannedOrders[Part Name],$A589,T_PlannedOrders[WeekIndex],89)&amp;" ("&amp;TEXT(SUMPRODUCT(MAX((T_PlannedOrders[Part Name]=$A589)*(T_PlannedOrders[WeekIndex]=89)*(T_PlannedOrders[EffectiveQty]&gt;0)*T_PlannedOrders[Order_Month])),"m月")&amp;"発注)")</f>
        <v/>
      </c>
      <c r="CO649">
        <f>IF(SUMIFS(T_PlannedOrders[EffectiveQty],T_PlannedOrders[Part Name],$A589,T_PlannedOrders[WeekIndex],90)=0,"",SUMIFS(T_PlannedOrders[EffectiveQty],T_PlannedOrders[Part Name],$A589,T_PlannedOrders[WeekIndex],90)&amp;" ("&amp;TEXT(SUMPRODUCT(MAX((T_PlannedOrders[Part Name]=$A589)*(T_PlannedOrders[WeekIndex]=90)*(T_PlannedOrders[EffectiveQty]&gt;0)*T_PlannedOrders[Order_Month])),"m月")&amp;"発注)")</f>
        <v/>
      </c>
      <c r="CP649">
        <f>IF(SUMIFS(T_PlannedOrders[EffectiveQty],T_PlannedOrders[Part Name],$A589,T_PlannedOrders[WeekIndex],91)=0,"",SUMIFS(T_PlannedOrders[EffectiveQty],T_PlannedOrders[Part Name],$A589,T_PlannedOrders[WeekIndex],91)&amp;" ("&amp;TEXT(SUMPRODUCT(MAX((T_PlannedOrders[Part Name]=$A589)*(T_PlannedOrders[WeekIndex]=91)*(T_PlannedOrders[EffectiveQty]&gt;0)*T_PlannedOrders[Order_Month])),"m月")&amp;"発注)")</f>
        <v/>
      </c>
      <c r="CQ649">
        <f>IF(SUMIFS(T_PlannedOrders[EffectiveQty],T_PlannedOrders[Part Name],$A589,T_PlannedOrders[WeekIndex],92)=0,"",SUMIFS(T_PlannedOrders[EffectiveQty],T_PlannedOrders[Part Name],$A589,T_PlannedOrders[WeekIndex],92)&amp;" ("&amp;TEXT(SUMPRODUCT(MAX((T_PlannedOrders[Part Name]=$A589)*(T_PlannedOrders[WeekIndex]=92)*(T_PlannedOrders[EffectiveQty]&gt;0)*T_PlannedOrders[Order_Month])),"m月")&amp;"発注)")</f>
        <v/>
      </c>
      <c r="CR649">
        <f>IF(SUMIFS(T_PlannedOrders[EffectiveQty],T_PlannedOrders[Part Name],$A589,T_PlannedOrders[WeekIndex],93)=0,"",SUMIFS(T_PlannedOrders[EffectiveQty],T_PlannedOrders[Part Name],$A589,T_PlannedOrders[WeekIndex],93)&amp;" ("&amp;TEXT(SUMPRODUCT(MAX((T_PlannedOrders[Part Name]=$A589)*(T_PlannedOrders[WeekIndex]=93)*(T_PlannedOrders[EffectiveQty]&gt;0)*T_PlannedOrders[Order_Month])),"m月")&amp;"発注)")</f>
        <v/>
      </c>
      <c r="CS649">
        <f>IF(SUMIFS(T_PlannedOrders[EffectiveQty],T_PlannedOrders[Part Name],$A589,T_PlannedOrders[WeekIndex],94)=0,"",SUMIFS(T_PlannedOrders[EffectiveQty],T_PlannedOrders[Part Name],$A589,T_PlannedOrders[WeekIndex],94)&amp;" ("&amp;TEXT(SUMPRODUCT(MAX((T_PlannedOrders[Part Name]=$A589)*(T_PlannedOrders[WeekIndex]=94)*(T_PlannedOrders[EffectiveQty]&gt;0)*T_PlannedOrders[Order_Month])),"m月")&amp;"発注)")</f>
        <v/>
      </c>
      <c r="CT649">
        <f>IF(SUMIFS(T_PlannedOrders[EffectiveQty],T_PlannedOrders[Part Name],$A589,T_PlannedOrders[WeekIndex],95)=0,"",SUMIFS(T_PlannedOrders[EffectiveQty],T_PlannedOrders[Part Name],$A589,T_PlannedOrders[WeekIndex],95)&amp;" ("&amp;TEXT(SUMPRODUCT(MAX((T_PlannedOrders[Part Name]=$A589)*(T_PlannedOrders[WeekIndex]=95)*(T_PlannedOrders[EffectiveQty]&gt;0)*T_PlannedOrders[Order_Month])),"m月")&amp;"発注)")</f>
        <v/>
      </c>
      <c r="CU649">
        <f>IF(SUMIFS(T_PlannedOrders[EffectiveQty],T_PlannedOrders[Part Name],$A589,T_PlannedOrders[WeekIndex],96)=0,"",SUMIFS(T_PlannedOrders[EffectiveQty],T_PlannedOrders[Part Name],$A589,T_PlannedOrders[WeekIndex],96)&amp;" ("&amp;TEXT(SUMPRODUCT(MAX((T_PlannedOrders[Part Name]=$A589)*(T_PlannedOrders[WeekIndex]=96)*(T_PlannedOrders[EffectiveQty]&gt;0)*T_PlannedOrders[Order_Month])),"m月")&amp;"発注)")</f>
        <v/>
      </c>
      <c r="CV649">
        <f>IF(SUMIFS(T_PlannedOrders[EffectiveQty],T_PlannedOrders[Part Name],$A589,T_PlannedOrders[WeekIndex],97)=0,"",SUMIFS(T_PlannedOrders[EffectiveQty],T_PlannedOrders[Part Name],$A589,T_PlannedOrders[WeekIndex],97)&amp;" ("&amp;TEXT(SUMPRODUCT(MAX((T_PlannedOrders[Part Name]=$A589)*(T_PlannedOrders[WeekIndex]=97)*(T_PlannedOrders[EffectiveQty]&gt;0)*T_PlannedOrders[Order_Month])),"m月")&amp;"発注)")</f>
        <v/>
      </c>
      <c r="CW649">
        <f>IF(SUMIFS(T_PlannedOrders[EffectiveQty],T_PlannedOrders[Part Name],$A589,T_PlannedOrders[WeekIndex],98)=0,"",SUMIFS(T_PlannedOrders[EffectiveQty],T_PlannedOrders[Part Name],$A589,T_PlannedOrders[WeekIndex],98)&amp;" ("&amp;TEXT(SUMPRODUCT(MAX((T_PlannedOrders[Part Name]=$A589)*(T_PlannedOrders[WeekIndex]=98)*(T_PlannedOrders[EffectiveQty]&gt;0)*T_PlannedOrders[Order_Month])),"m月")&amp;"発注)")</f>
        <v/>
      </c>
      <c r="CX649">
        <f>IF(SUMIFS(T_PlannedOrders[EffectiveQty],T_PlannedOrders[Part Name],$A589,T_PlannedOrders[WeekIndex],99)=0,"",SUMIFS(T_PlannedOrders[EffectiveQty],T_PlannedOrders[Part Name],$A589,T_PlannedOrders[WeekIndex],99)&amp;" ("&amp;TEXT(SUMPRODUCT(MAX((T_PlannedOrders[Part Name]=$A589)*(T_PlannedOrders[WeekIndex]=99)*(T_PlannedOrders[EffectiveQty]&gt;0)*T_PlannedOrders[Order_Month])),"m月")&amp;"発注)")</f>
        <v/>
      </c>
      <c r="CY649">
        <f>IF(SUMIFS(T_PlannedOrders[EffectiveQty],T_PlannedOrders[Part Name],$A589,T_PlannedOrders[WeekIndex],100)=0,"",SUMIFS(T_PlannedOrders[EffectiveQty],T_PlannedOrders[Part Name],$A589,T_PlannedOrders[WeekIndex],100)&amp;" ("&amp;TEXT(SUMPRODUCT(MAX((T_PlannedOrders[Part Name]=$A589)*(T_PlannedOrders[WeekIndex]=100)*(T_PlannedOrders[EffectiveQty]&gt;0)*T_PlannedOrders[Order_Month])),"m月")&amp;"発注)")</f>
        <v/>
      </c>
      <c r="CZ649">
        <f>IF(SUMIFS(T_PlannedOrders[EffectiveQty],T_PlannedOrders[Part Name],$A589,T_PlannedOrders[WeekIndex],101)=0,"",SUMIFS(T_PlannedOrders[EffectiveQty],T_PlannedOrders[Part Name],$A589,T_PlannedOrders[WeekIndex],101)&amp;" ("&amp;TEXT(SUMPRODUCT(MAX((T_PlannedOrders[Part Name]=$A589)*(T_PlannedOrders[WeekIndex]=101)*(T_PlannedOrders[EffectiveQty]&gt;0)*T_PlannedOrders[Order_Month])),"m月")&amp;"発注)")</f>
        <v/>
      </c>
      <c r="DA649">
        <f>IF(SUMIFS(T_PlannedOrders[EffectiveQty],T_PlannedOrders[Part Name],$A589,T_PlannedOrders[WeekIndex],102)=0,"",SUMIFS(T_PlannedOrders[EffectiveQty],T_PlannedOrders[Part Name],$A589,T_PlannedOrders[WeekIndex],102)&amp;" ("&amp;TEXT(SUMPRODUCT(MAX((T_PlannedOrders[Part Name]=$A589)*(T_PlannedOrders[WeekIndex]=102)*(T_PlannedOrders[EffectiveQty]&gt;0)*T_PlannedOrders[Order_Month])),"m月")&amp;"発注)")</f>
        <v/>
      </c>
      <c r="DB649">
        <f>IF(SUMIFS(T_PlannedOrders[EffectiveQty],T_PlannedOrders[Part Name],$A589,T_PlannedOrders[WeekIndex],103)=0,"",SUMIFS(T_PlannedOrders[EffectiveQty],T_PlannedOrders[Part Name],$A589,T_PlannedOrders[WeekIndex],103)&amp;" ("&amp;TEXT(SUMPRODUCT(MAX((T_PlannedOrders[Part Name]=$A589)*(T_PlannedOrders[WeekIndex]=103)*(T_PlannedOrders[EffectiveQty]&gt;0)*T_PlannedOrders[Order_Month])),"m月")&amp;"発注)")</f>
        <v/>
      </c>
      <c r="DC649">
        <f>IF(SUMIFS(T_PlannedOrders[EffectiveQty],T_PlannedOrders[Part Name],$A589,T_PlannedOrders[WeekIndex],104)=0,"",SUMIFS(T_PlannedOrders[EffectiveQty],T_PlannedOrders[Part Name],$A589,T_PlannedOrders[WeekIndex],104)&amp;" ("&amp;TEXT(SUMPRODUCT(MAX((T_PlannedOrders[Part Name]=$A589)*(T_PlannedOrders[WeekIndex]=104)*(T_PlannedOrders[EffectiveQty]&gt;0)*T_PlannedOrders[Order_Month])),"m月")&amp;"発注)")</f>
        <v/>
      </c>
    </row>
    <row r="650">
      <c r="B650" s="4" t="inlineStr">
        <is>
          <t>合計在庫(週末時点,kg)</t>
        </is>
      </c>
      <c r="D650">
        <f>'Grid_Stock'!B22</f>
        <v/>
      </c>
      <c r="E650">
        <f>'Grid_Stock'!C22</f>
        <v/>
      </c>
      <c r="F650">
        <f>'Grid_Stock'!D22</f>
        <v/>
      </c>
      <c r="G650">
        <f>'Grid_Stock'!E22</f>
        <v/>
      </c>
      <c r="H650">
        <f>'Grid_Stock'!F22</f>
        <v/>
      </c>
      <c r="I650">
        <f>'Grid_Stock'!G22</f>
        <v/>
      </c>
      <c r="J650">
        <f>'Grid_Stock'!H22</f>
        <v/>
      </c>
      <c r="K650">
        <f>'Grid_Stock'!I22</f>
        <v/>
      </c>
      <c r="L650">
        <f>'Grid_Stock'!J22</f>
        <v/>
      </c>
      <c r="M650">
        <f>'Grid_Stock'!K22</f>
        <v/>
      </c>
      <c r="N650">
        <f>'Grid_Stock'!L22</f>
        <v/>
      </c>
      <c r="O650">
        <f>'Grid_Stock'!M22</f>
        <v/>
      </c>
      <c r="P650">
        <f>'Grid_Stock'!N22</f>
        <v/>
      </c>
      <c r="Q650">
        <f>'Grid_Stock'!O22</f>
        <v/>
      </c>
      <c r="R650">
        <f>'Grid_Stock'!P22</f>
        <v/>
      </c>
      <c r="S650">
        <f>'Grid_Stock'!Q22</f>
        <v/>
      </c>
      <c r="T650">
        <f>'Grid_Stock'!R22</f>
        <v/>
      </c>
      <c r="U650">
        <f>'Grid_Stock'!S22</f>
        <v/>
      </c>
      <c r="V650">
        <f>'Grid_Stock'!T22</f>
        <v/>
      </c>
      <c r="W650">
        <f>'Grid_Stock'!U22</f>
        <v/>
      </c>
      <c r="X650">
        <f>'Grid_Stock'!V22</f>
        <v/>
      </c>
      <c r="Y650">
        <f>'Grid_Stock'!W22</f>
        <v/>
      </c>
      <c r="Z650">
        <f>'Grid_Stock'!X22</f>
        <v/>
      </c>
      <c r="AA650">
        <f>'Grid_Stock'!Y22</f>
        <v/>
      </c>
      <c r="AB650">
        <f>'Grid_Stock'!Z22</f>
        <v/>
      </c>
      <c r="AC650">
        <f>'Grid_Stock'!AA22</f>
        <v/>
      </c>
      <c r="AD650">
        <f>'Grid_Stock'!AB22</f>
        <v/>
      </c>
      <c r="AE650">
        <f>'Grid_Stock'!AC22</f>
        <v/>
      </c>
      <c r="AF650">
        <f>'Grid_Stock'!AD22</f>
        <v/>
      </c>
      <c r="AG650">
        <f>'Grid_Stock'!AE22</f>
        <v/>
      </c>
      <c r="AH650">
        <f>'Grid_Stock'!AF22</f>
        <v/>
      </c>
      <c r="AI650">
        <f>'Grid_Stock'!AG22</f>
        <v/>
      </c>
      <c r="AJ650">
        <f>'Grid_Stock'!AH22</f>
        <v/>
      </c>
      <c r="AK650">
        <f>'Grid_Stock'!AI22</f>
        <v/>
      </c>
      <c r="AL650">
        <f>'Grid_Stock'!AJ22</f>
        <v/>
      </c>
      <c r="AM650">
        <f>'Grid_Stock'!AK22</f>
        <v/>
      </c>
      <c r="AN650">
        <f>'Grid_Stock'!AL22</f>
        <v/>
      </c>
      <c r="AO650">
        <f>'Grid_Stock'!AM22</f>
        <v/>
      </c>
      <c r="AP650">
        <f>'Grid_Stock'!AN22</f>
        <v/>
      </c>
      <c r="AQ650">
        <f>'Grid_Stock'!AO22</f>
        <v/>
      </c>
      <c r="AR650">
        <f>'Grid_Stock'!AP22</f>
        <v/>
      </c>
      <c r="AS650">
        <f>'Grid_Stock'!AQ22</f>
        <v/>
      </c>
      <c r="AT650">
        <f>'Grid_Stock'!AR22</f>
        <v/>
      </c>
      <c r="AU650">
        <f>'Grid_Stock'!AS22</f>
        <v/>
      </c>
      <c r="AV650">
        <f>'Grid_Stock'!AT22</f>
        <v/>
      </c>
      <c r="AW650">
        <f>'Grid_Stock'!AU22</f>
        <v/>
      </c>
      <c r="AX650">
        <f>'Grid_Stock'!AV22</f>
        <v/>
      </c>
      <c r="AY650">
        <f>'Grid_Stock'!AW22</f>
        <v/>
      </c>
      <c r="AZ650">
        <f>'Grid_Stock'!AX22</f>
        <v/>
      </c>
      <c r="BA650">
        <f>'Grid_Stock'!AY22</f>
        <v/>
      </c>
      <c r="BB650">
        <f>'Grid_Stock'!AZ22</f>
        <v/>
      </c>
      <c r="BC650">
        <f>'Grid_Stock'!BA22</f>
        <v/>
      </c>
      <c r="BD650">
        <f>'Grid_Stock'!BB22</f>
        <v/>
      </c>
      <c r="BE650">
        <f>'Grid_Stock'!BC22</f>
        <v/>
      </c>
      <c r="BF650">
        <f>'Grid_Stock'!BD22</f>
        <v/>
      </c>
      <c r="BG650">
        <f>'Grid_Stock'!BE22</f>
        <v/>
      </c>
      <c r="BH650">
        <f>'Grid_Stock'!BF22</f>
        <v/>
      </c>
      <c r="BI650">
        <f>'Grid_Stock'!BG22</f>
        <v/>
      </c>
      <c r="BJ650">
        <f>'Grid_Stock'!BH22</f>
        <v/>
      </c>
      <c r="BK650">
        <f>'Grid_Stock'!BI22</f>
        <v/>
      </c>
      <c r="BL650">
        <f>'Grid_Stock'!BJ22</f>
        <v/>
      </c>
      <c r="BM650">
        <f>'Grid_Stock'!BK22</f>
        <v/>
      </c>
      <c r="BN650">
        <f>'Grid_Stock'!BL22</f>
        <v/>
      </c>
      <c r="BO650">
        <f>'Grid_Stock'!BM22</f>
        <v/>
      </c>
      <c r="BP650">
        <f>'Grid_Stock'!BN22</f>
        <v/>
      </c>
      <c r="BQ650">
        <f>'Grid_Stock'!BO22</f>
        <v/>
      </c>
      <c r="BR650">
        <f>'Grid_Stock'!BP22</f>
        <v/>
      </c>
      <c r="BS650">
        <f>'Grid_Stock'!BQ22</f>
        <v/>
      </c>
      <c r="BT650">
        <f>'Grid_Stock'!BR22</f>
        <v/>
      </c>
      <c r="BU650">
        <f>'Grid_Stock'!BS22</f>
        <v/>
      </c>
      <c r="BV650">
        <f>'Grid_Stock'!BT22</f>
        <v/>
      </c>
      <c r="BW650">
        <f>'Grid_Stock'!BU22</f>
        <v/>
      </c>
      <c r="BX650">
        <f>'Grid_Stock'!BV22</f>
        <v/>
      </c>
      <c r="BY650">
        <f>'Grid_Stock'!BW22</f>
        <v/>
      </c>
      <c r="BZ650">
        <f>'Grid_Stock'!BX22</f>
        <v/>
      </c>
      <c r="CA650">
        <f>'Grid_Stock'!BY22</f>
        <v/>
      </c>
      <c r="CB650">
        <f>'Grid_Stock'!BZ22</f>
        <v/>
      </c>
      <c r="CC650">
        <f>'Grid_Stock'!CA22</f>
        <v/>
      </c>
      <c r="CD650">
        <f>'Grid_Stock'!CB22</f>
        <v/>
      </c>
      <c r="CE650">
        <f>'Grid_Stock'!CC22</f>
        <v/>
      </c>
      <c r="CF650">
        <f>'Grid_Stock'!CD22</f>
        <v/>
      </c>
      <c r="CG650">
        <f>'Grid_Stock'!CE22</f>
        <v/>
      </c>
      <c r="CH650">
        <f>'Grid_Stock'!CF22</f>
        <v/>
      </c>
      <c r="CI650">
        <f>'Grid_Stock'!CG22</f>
        <v/>
      </c>
      <c r="CJ650">
        <f>'Grid_Stock'!CH22</f>
        <v/>
      </c>
      <c r="CK650">
        <f>'Grid_Stock'!CI22</f>
        <v/>
      </c>
      <c r="CL650">
        <f>'Grid_Stock'!CJ22</f>
        <v/>
      </c>
      <c r="CM650">
        <f>'Grid_Stock'!CK22</f>
        <v/>
      </c>
      <c r="CN650">
        <f>'Grid_Stock'!CL22</f>
        <v/>
      </c>
      <c r="CO650">
        <f>'Grid_Stock'!CM22</f>
        <v/>
      </c>
      <c r="CP650">
        <f>'Grid_Stock'!CN22</f>
        <v/>
      </c>
      <c r="CQ650">
        <f>'Grid_Stock'!CO22</f>
        <v/>
      </c>
      <c r="CR650">
        <f>'Grid_Stock'!CP22</f>
        <v/>
      </c>
      <c r="CS650">
        <f>'Grid_Stock'!CQ22</f>
        <v/>
      </c>
      <c r="CT650">
        <f>'Grid_Stock'!CR22</f>
        <v/>
      </c>
      <c r="CU650">
        <f>'Grid_Stock'!CS22</f>
        <v/>
      </c>
      <c r="CV650">
        <f>'Grid_Stock'!CT22</f>
        <v/>
      </c>
      <c r="CW650">
        <f>'Grid_Stock'!CU22</f>
        <v/>
      </c>
      <c r="CX650">
        <f>'Grid_Stock'!CV22</f>
        <v/>
      </c>
      <c r="CY650">
        <f>'Grid_Stock'!CW22</f>
        <v/>
      </c>
      <c r="CZ650">
        <f>'Grid_Stock'!CX22</f>
        <v/>
      </c>
      <c r="DA650">
        <f>'Grid_Stock'!CY22</f>
        <v/>
      </c>
      <c r="DB650">
        <f>'Grid_Stock'!CZ22</f>
        <v/>
      </c>
      <c r="DC650">
        <f>'Grid_Stock'!DA22</f>
        <v/>
      </c>
    </row>
    <row r="651">
      <c r="B651" s="16" t="inlineStr">
        <is>
          <t>（発注の目安はDashboardの基準在庫[下限/上限]と色分けを参照）</t>
        </is>
      </c>
    </row>
    <row r="653">
      <c r="A653" s="14" t="inlineStr">
        <is>
          <t>CHEM-1660</t>
        </is>
      </c>
      <c r="B653" s="14" t="inlineStr">
        <is>
          <t>GW-3394</t>
        </is>
      </c>
      <c r="C653" s="15" t="n"/>
      <c r="D653" s="14" t="n"/>
      <c r="E653" s="14" t="n"/>
      <c r="F653" s="14" t="n"/>
      <c r="G653" s="14" t="n"/>
      <c r="H653" s="14" t="n"/>
      <c r="I653" s="14" t="n"/>
      <c r="J653" s="14" t="n"/>
      <c r="K653" s="14" t="n"/>
      <c r="L653" s="14" t="n"/>
      <c r="M653" s="14" t="n"/>
      <c r="N653" s="14" t="n"/>
      <c r="O653" s="14" t="n"/>
      <c r="P653" s="14" t="n"/>
      <c r="Q653" s="14" t="n"/>
      <c r="R653" s="14" t="n"/>
      <c r="S653" s="14" t="n"/>
      <c r="T653" s="14" t="n"/>
      <c r="U653" s="14" t="n"/>
      <c r="V653" s="14" t="n"/>
      <c r="W653" s="14" t="n"/>
      <c r="X653" s="14" t="n"/>
      <c r="Y653" s="14" t="n"/>
      <c r="Z653" s="14" t="n"/>
      <c r="AA653" s="14" t="n"/>
      <c r="AB653" s="14" t="n"/>
      <c r="AC653" s="14" t="n"/>
      <c r="AD653" s="14" t="n"/>
      <c r="AE653" s="14" t="n"/>
      <c r="AF653" s="14" t="n"/>
      <c r="AG653" s="14" t="n"/>
      <c r="AH653" s="14" t="n"/>
      <c r="AI653" s="14" t="n"/>
      <c r="AJ653" s="14" t="n"/>
      <c r="AK653" s="14" t="n"/>
      <c r="AL653" s="14" t="n"/>
      <c r="AM653" s="14" t="n"/>
      <c r="AN653" s="14" t="n"/>
      <c r="AO653" s="14" t="n"/>
      <c r="AP653" s="14" t="n"/>
      <c r="AQ653" s="14" t="n"/>
      <c r="AR653" s="14" t="n"/>
      <c r="AS653" s="14" t="n"/>
      <c r="AT653" s="14" t="n"/>
      <c r="AU653" s="14" t="n"/>
      <c r="AV653" s="14" t="n"/>
      <c r="AW653" s="14" t="n"/>
      <c r="AX653" s="14" t="n"/>
      <c r="AY653" s="14" t="n"/>
      <c r="AZ653" s="14" t="n"/>
      <c r="BA653" s="14" t="n"/>
      <c r="BB653" s="14" t="n"/>
      <c r="BC653" s="14" t="n"/>
      <c r="BD653" s="14" t="n"/>
      <c r="BE653" s="14" t="n"/>
      <c r="BF653" s="14" t="n"/>
      <c r="BG653" s="14" t="n"/>
      <c r="BH653" s="14" t="n"/>
      <c r="BI653" s="14" t="n"/>
      <c r="BJ653" s="14" t="n"/>
      <c r="BK653" s="14" t="n"/>
      <c r="BL653" s="14" t="n"/>
      <c r="BM653" s="14" t="n"/>
      <c r="BN653" s="14" t="n"/>
      <c r="BO653" s="14" t="n"/>
      <c r="BP653" s="14" t="n"/>
      <c r="BQ653" s="14" t="n"/>
      <c r="BR653" s="14" t="n"/>
      <c r="BS653" s="14" t="n"/>
      <c r="BT653" s="14" t="n"/>
      <c r="BU653" s="14" t="n"/>
      <c r="BV653" s="14" t="n"/>
      <c r="BW653" s="14" t="n"/>
      <c r="BX653" s="14" t="n"/>
      <c r="BY653" s="14" t="n"/>
      <c r="BZ653" s="14" t="n"/>
      <c r="CA653" s="14" t="n"/>
      <c r="CB653" s="14" t="n"/>
      <c r="CC653" s="14" t="n"/>
      <c r="CD653" s="14" t="n"/>
      <c r="CE653" s="14" t="n"/>
      <c r="CF653" s="14" t="n"/>
      <c r="CG653" s="14" t="n"/>
      <c r="CH653" s="14" t="n"/>
      <c r="CI653" s="14" t="n"/>
      <c r="CJ653" s="14" t="n"/>
      <c r="CK653" s="14" t="n"/>
      <c r="CL653" s="14" t="n"/>
      <c r="CM653" s="14" t="n"/>
      <c r="CN653" s="14" t="n"/>
      <c r="CO653" s="14" t="n"/>
      <c r="CP653" s="14" t="n"/>
      <c r="CQ653" s="14" t="n"/>
      <c r="CR653" s="14" t="n"/>
      <c r="CS653" s="14" t="n"/>
      <c r="CT653" s="14" t="n"/>
      <c r="CU653" s="14" t="n"/>
      <c r="CV653" s="14" t="n"/>
      <c r="CW653" s="14" t="n"/>
      <c r="CX653" s="14" t="n"/>
      <c r="CY653" s="14" t="n"/>
      <c r="CZ653" s="14" t="n"/>
      <c r="DA653" s="14" t="n"/>
      <c r="DB653" s="14" t="n"/>
      <c r="DC653" s="14" t="n"/>
    </row>
    <row r="654">
      <c r="B654" t="inlineStr">
        <is>
          <t>TSP-219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Name],$A653)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TSP-655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Name],$A653)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TSP-656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Name],$A653)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VSP-820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Name],$A653)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VSP-822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Name],$A653)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t="inlineStr">
        <is>
          <t>VSP-869</t>
        </is>
      </c>
      <c r="C664" t="inlineStr">
        <is>
          <t>No. of batches</t>
        </is>
      </c>
      <c r="D664">
        <f>IFERROR(INDEX(PP_Grid[#Data],$DD664,2),0)</f>
        <v/>
      </c>
      <c r="E664">
        <f>IFERROR(INDEX(PP_Grid[#Data],$DD664,3),0)</f>
        <v/>
      </c>
      <c r="F664">
        <f>IFERROR(INDEX(PP_Grid[#Data],$DD664,4),0)</f>
        <v/>
      </c>
      <c r="G664">
        <f>IFERROR(INDEX(PP_Grid[#Data],$DD664,5),0)</f>
        <v/>
      </c>
      <c r="H664">
        <f>IFERROR(INDEX(PP_Grid[#Data],$DD664,6),0)</f>
        <v/>
      </c>
      <c r="I664">
        <f>IFERROR(INDEX(PP_Grid[#Data],$DD664,7),0)</f>
        <v/>
      </c>
      <c r="J664">
        <f>IFERROR(INDEX(PP_Grid[#Data],$DD664,8),0)</f>
        <v/>
      </c>
      <c r="K664">
        <f>IFERROR(INDEX(PP_Grid[#Data],$DD664,9),0)</f>
        <v/>
      </c>
      <c r="L664">
        <f>IFERROR(INDEX(PP_Grid[#Data],$DD664,10),0)</f>
        <v/>
      </c>
      <c r="M664">
        <f>IFERROR(INDEX(PP_Grid[#Data],$DD664,11),0)</f>
        <v/>
      </c>
      <c r="N664">
        <f>IFERROR(INDEX(PP_Grid[#Data],$DD664,12),0)</f>
        <v/>
      </c>
      <c r="O664">
        <f>IFERROR(INDEX(PP_Grid[#Data],$DD664,13),0)</f>
        <v/>
      </c>
      <c r="P664">
        <f>IFERROR(INDEX(PP_Grid[#Data],$DD664,14),0)</f>
        <v/>
      </c>
      <c r="Q664">
        <f>IFERROR(INDEX(PP_Grid[#Data],$DD664,15),0)</f>
        <v/>
      </c>
      <c r="R664">
        <f>IFERROR(INDEX(PP_Grid[#Data],$DD664,16),0)</f>
        <v/>
      </c>
      <c r="S664">
        <f>IFERROR(INDEX(PP_Grid[#Data],$DD664,17),0)</f>
        <v/>
      </c>
      <c r="T664">
        <f>IFERROR(INDEX(PP_Grid[#Data],$DD664,18),0)</f>
        <v/>
      </c>
      <c r="U664">
        <f>IFERROR(INDEX(PP_Grid[#Data],$DD664,19),0)</f>
        <v/>
      </c>
      <c r="V664">
        <f>IFERROR(INDEX(PP_Grid[#Data],$DD664,20),0)</f>
        <v/>
      </c>
      <c r="W664">
        <f>IFERROR(INDEX(PP_Grid[#Data],$DD664,21),0)</f>
        <v/>
      </c>
      <c r="X664">
        <f>IFERROR(INDEX(PP_Grid[#Data],$DD664,22),0)</f>
        <v/>
      </c>
      <c r="Y664">
        <f>IFERROR(INDEX(PP_Grid[#Data],$DD664,23),0)</f>
        <v/>
      </c>
      <c r="Z664">
        <f>IFERROR(INDEX(PP_Grid[#Data],$DD664,24),0)</f>
        <v/>
      </c>
      <c r="AA664">
        <f>IFERROR(INDEX(PP_Grid[#Data],$DD664,25),0)</f>
        <v/>
      </c>
      <c r="AB664">
        <f>IFERROR(INDEX(PP_Grid[#Data],$DD664,26),0)</f>
        <v/>
      </c>
      <c r="AC664">
        <f>IFERROR(INDEX(PP_Grid[#Data],$DD664,27),0)</f>
        <v/>
      </c>
      <c r="AD664">
        <f>IFERROR(INDEX(PP_Grid[#Data],$DD664,28),0)</f>
        <v/>
      </c>
      <c r="AE664">
        <f>IFERROR(INDEX(PP_Grid[#Data],$DD664,29),0)</f>
        <v/>
      </c>
      <c r="AF664">
        <f>IFERROR(INDEX(PP_Grid[#Data],$DD664,30),0)</f>
        <v/>
      </c>
      <c r="AG664">
        <f>IFERROR(INDEX(PP_Grid[#Data],$DD664,31),0)</f>
        <v/>
      </c>
      <c r="AH664">
        <f>IFERROR(INDEX(PP_Grid[#Data],$DD664,32),0)</f>
        <v/>
      </c>
      <c r="AI664">
        <f>IFERROR(INDEX(PP_Grid[#Data],$DD664,33),0)</f>
        <v/>
      </c>
      <c r="AJ664">
        <f>IFERROR(INDEX(PP_Grid[#Data],$DD664,34),0)</f>
        <v/>
      </c>
      <c r="AK664">
        <f>IFERROR(INDEX(PP_Grid[#Data],$DD664,35),0)</f>
        <v/>
      </c>
      <c r="AL664">
        <f>IFERROR(INDEX(PP_Grid[#Data],$DD664,36),0)</f>
        <v/>
      </c>
      <c r="AM664">
        <f>IFERROR(INDEX(PP_Grid[#Data],$DD664,37),0)</f>
        <v/>
      </c>
      <c r="AN664">
        <f>IFERROR(INDEX(PP_Grid[#Data],$DD664,38),0)</f>
        <v/>
      </c>
      <c r="AO664">
        <f>IFERROR(INDEX(PP_Grid[#Data],$DD664,39),0)</f>
        <v/>
      </c>
      <c r="AP664">
        <f>IFERROR(INDEX(PP_Grid[#Data],$DD664,40),0)</f>
        <v/>
      </c>
      <c r="AQ664">
        <f>IFERROR(INDEX(PP_Grid[#Data],$DD664,41),0)</f>
        <v/>
      </c>
      <c r="AR664">
        <f>IFERROR(INDEX(PP_Grid[#Data],$DD664,42),0)</f>
        <v/>
      </c>
      <c r="AS664">
        <f>IFERROR(INDEX(PP_Grid[#Data],$DD664,43),0)</f>
        <v/>
      </c>
      <c r="AT664">
        <f>IFERROR(INDEX(PP_Grid[#Data],$DD664,44),0)</f>
        <v/>
      </c>
      <c r="AU664">
        <f>IFERROR(INDEX(PP_Grid[#Data],$DD664,45),0)</f>
        <v/>
      </c>
      <c r="AV664">
        <f>IFERROR(INDEX(PP_Grid[#Data],$DD664,46),0)</f>
        <v/>
      </c>
      <c r="AW664">
        <f>IFERROR(INDEX(PP_Grid[#Data],$DD664,47),0)</f>
        <v/>
      </c>
      <c r="AX664">
        <f>IFERROR(INDEX(PP_Grid[#Data],$DD664,48),0)</f>
        <v/>
      </c>
      <c r="AY664">
        <f>IFERROR(INDEX(PP_Grid[#Data],$DD664,49),0)</f>
        <v/>
      </c>
      <c r="AZ664">
        <f>IFERROR(INDEX(PP_Grid[#Data],$DD664,50),0)</f>
        <v/>
      </c>
      <c r="BA664">
        <f>IFERROR(INDEX(PP_Grid[#Data],$DD664,51),0)</f>
        <v/>
      </c>
      <c r="BB664">
        <f>IFERROR(INDEX(PP_Grid[#Data],$DD664,52),0)</f>
        <v/>
      </c>
      <c r="BC664">
        <f>IFERROR(INDEX(PP_Grid[#Data],$DD664,53),0)</f>
        <v/>
      </c>
      <c r="BD664">
        <f>IFERROR(INDEX(PP_Grid[#Data],$DD664,54),0)</f>
        <v/>
      </c>
      <c r="BE664">
        <f>IFERROR(INDEX(PP_Grid[#Data],$DD664,55),0)</f>
        <v/>
      </c>
      <c r="BF664">
        <f>IFERROR(INDEX(PP_Grid[#Data],$DD664,56),0)</f>
        <v/>
      </c>
      <c r="BG664">
        <f>IFERROR(INDEX(PP_Grid[#Data],$DD664,57),0)</f>
        <v/>
      </c>
      <c r="BH664">
        <f>IFERROR(INDEX(PP_Grid[#Data],$DD664,58),0)</f>
        <v/>
      </c>
      <c r="BI664">
        <f>IFERROR(INDEX(PP_Grid[#Data],$DD664,59),0)</f>
        <v/>
      </c>
      <c r="BJ664">
        <f>IFERROR(INDEX(PP_Grid[#Data],$DD664,60),0)</f>
        <v/>
      </c>
      <c r="BK664">
        <f>IFERROR(INDEX(PP_Grid[#Data],$DD664,61),0)</f>
        <v/>
      </c>
      <c r="BL664">
        <f>IFERROR(INDEX(PP_Grid[#Data],$DD664,62),0)</f>
        <v/>
      </c>
      <c r="BM664">
        <f>IFERROR(INDEX(PP_Grid[#Data],$DD664,63),0)</f>
        <v/>
      </c>
      <c r="BN664">
        <f>IFERROR(INDEX(PP_Grid[#Data],$DD664,64),0)</f>
        <v/>
      </c>
      <c r="BO664">
        <f>IFERROR(INDEX(PP_Grid[#Data],$DD664,65),0)</f>
        <v/>
      </c>
      <c r="BP664">
        <f>IFERROR(INDEX(PP_Grid[#Data],$DD664,66),0)</f>
        <v/>
      </c>
      <c r="BQ664">
        <f>IFERROR(INDEX(PP_Grid[#Data],$DD664,67),0)</f>
        <v/>
      </c>
      <c r="BR664">
        <f>IFERROR(INDEX(PP_Grid[#Data],$DD664,68),0)</f>
        <v/>
      </c>
      <c r="BS664">
        <f>IFERROR(INDEX(PP_Grid[#Data],$DD664,69),0)</f>
        <v/>
      </c>
      <c r="BT664">
        <f>IFERROR(INDEX(PP_Grid[#Data],$DD664,70),0)</f>
        <v/>
      </c>
      <c r="BU664">
        <f>IFERROR(INDEX(PP_Grid[#Data],$DD664,71),0)</f>
        <v/>
      </c>
      <c r="BV664">
        <f>IFERROR(INDEX(PP_Grid[#Data],$DD664,72),0)</f>
        <v/>
      </c>
      <c r="BW664">
        <f>IFERROR(INDEX(PP_Grid[#Data],$DD664,73),0)</f>
        <v/>
      </c>
      <c r="BX664">
        <f>IFERROR(INDEX(PP_Grid[#Data],$DD664,74),0)</f>
        <v/>
      </c>
      <c r="BY664">
        <f>IFERROR(INDEX(PP_Grid[#Data],$DD664,75),0)</f>
        <v/>
      </c>
      <c r="BZ664">
        <f>IFERROR(INDEX(PP_Grid[#Data],$DD664,76),0)</f>
        <v/>
      </c>
      <c r="CA664">
        <f>IFERROR(INDEX(PP_Grid[#Data],$DD664,77),0)</f>
        <v/>
      </c>
      <c r="CB664">
        <f>IFERROR(INDEX(PP_Grid[#Data],$DD664,78),0)</f>
        <v/>
      </c>
      <c r="CC664">
        <f>IFERROR(INDEX(PP_Grid[#Data],$DD664,79),0)</f>
        <v/>
      </c>
      <c r="CD664">
        <f>IFERROR(INDEX(PP_Grid[#Data],$DD664,80),0)</f>
        <v/>
      </c>
      <c r="CE664">
        <f>IFERROR(INDEX(PP_Grid[#Data],$DD664,81),0)</f>
        <v/>
      </c>
      <c r="CF664">
        <f>IFERROR(INDEX(PP_Grid[#Data],$DD664,82),0)</f>
        <v/>
      </c>
      <c r="CG664">
        <f>IFERROR(INDEX(PP_Grid[#Data],$DD664,83),0)</f>
        <v/>
      </c>
      <c r="CH664">
        <f>IFERROR(INDEX(PP_Grid[#Data],$DD664,84),0)</f>
        <v/>
      </c>
      <c r="CI664">
        <f>IFERROR(INDEX(PP_Grid[#Data],$DD664,85),0)</f>
        <v/>
      </c>
      <c r="CJ664">
        <f>IFERROR(INDEX(PP_Grid[#Data],$DD664,86),0)</f>
        <v/>
      </c>
      <c r="CK664">
        <f>IFERROR(INDEX(PP_Grid[#Data],$DD664,87),0)</f>
        <v/>
      </c>
      <c r="CL664">
        <f>IFERROR(INDEX(PP_Grid[#Data],$DD664,88),0)</f>
        <v/>
      </c>
      <c r="CM664">
        <f>IFERROR(INDEX(PP_Grid[#Data],$DD664,89),0)</f>
        <v/>
      </c>
      <c r="CN664">
        <f>IFERROR(INDEX(PP_Grid[#Data],$DD664,90),0)</f>
        <v/>
      </c>
      <c r="CO664">
        <f>IFERROR(INDEX(PP_Grid[#Data],$DD664,91),0)</f>
        <v/>
      </c>
      <c r="CP664">
        <f>IFERROR(INDEX(PP_Grid[#Data],$DD664,92),0)</f>
        <v/>
      </c>
      <c r="CQ664">
        <f>IFERROR(INDEX(PP_Grid[#Data],$DD664,93),0)</f>
        <v/>
      </c>
      <c r="CR664">
        <f>IFERROR(INDEX(PP_Grid[#Data],$DD664,94),0)</f>
        <v/>
      </c>
      <c r="CS664">
        <f>IFERROR(INDEX(PP_Grid[#Data],$DD664,95),0)</f>
        <v/>
      </c>
      <c r="CT664">
        <f>IFERROR(INDEX(PP_Grid[#Data],$DD664,96),0)</f>
        <v/>
      </c>
      <c r="CU664">
        <f>IFERROR(INDEX(PP_Grid[#Data],$DD664,97),0)</f>
        <v/>
      </c>
      <c r="CV664">
        <f>IFERROR(INDEX(PP_Grid[#Data],$DD664,98),0)</f>
        <v/>
      </c>
      <c r="CW664">
        <f>IFERROR(INDEX(PP_Grid[#Data],$DD664,99),0)</f>
        <v/>
      </c>
      <c r="CX664">
        <f>IFERROR(INDEX(PP_Grid[#Data],$DD664,100),0)</f>
        <v/>
      </c>
      <c r="CY664">
        <f>IFERROR(INDEX(PP_Grid[#Data],$DD664,101),0)</f>
        <v/>
      </c>
      <c r="CZ664">
        <f>IFERROR(INDEX(PP_Grid[#Data],$DD664,102),0)</f>
        <v/>
      </c>
      <c r="DA664">
        <f>IFERROR(INDEX(PP_Grid[#Data],$DD664,103),0)</f>
        <v/>
      </c>
      <c r="DB664">
        <f>IFERROR(INDEX(PP_Grid[#Data],$DD664,104),0)</f>
        <v/>
      </c>
      <c r="DC664">
        <f>IFERROR(INDEX(PP_Grid[#Data],$DD664,105),0)</f>
        <v/>
      </c>
      <c r="DD664" s="7">
        <f>IFERROR(MATCH($B664,PP_Grid[Intermediate],0),99999)</f>
        <v/>
      </c>
    </row>
    <row r="665">
      <c r="B665" t="inlineStr">
        <is>
          <t>使用量(kg)</t>
        </is>
      </c>
      <c r="C665">
        <f>SUMIFS(M_BOM[RM_Qty_Per_Batch],M_BOM[Intermediate],$B664,M_BOM[Part Name],$A653)</f>
        <v/>
      </c>
      <c r="D665">
        <f>$C665*D664</f>
        <v/>
      </c>
      <c r="E665">
        <f>$C665*E664</f>
        <v/>
      </c>
      <c r="F665">
        <f>$C665*F664</f>
        <v/>
      </c>
      <c r="G665">
        <f>$C665*G664</f>
        <v/>
      </c>
      <c r="H665">
        <f>$C665*H664</f>
        <v/>
      </c>
      <c r="I665">
        <f>$C665*I664</f>
        <v/>
      </c>
      <c r="J665">
        <f>$C665*J664</f>
        <v/>
      </c>
      <c r="K665">
        <f>$C665*K664</f>
        <v/>
      </c>
      <c r="L665">
        <f>$C665*L664</f>
        <v/>
      </c>
      <c r="M665">
        <f>$C665*M664</f>
        <v/>
      </c>
      <c r="N665">
        <f>$C665*N664</f>
        <v/>
      </c>
      <c r="O665">
        <f>$C665*O664</f>
        <v/>
      </c>
      <c r="P665">
        <f>$C665*P664</f>
        <v/>
      </c>
      <c r="Q665">
        <f>$C665*Q664</f>
        <v/>
      </c>
      <c r="R665">
        <f>$C665*R664</f>
        <v/>
      </c>
      <c r="S665">
        <f>$C665*S664</f>
        <v/>
      </c>
      <c r="T665">
        <f>$C665*T664</f>
        <v/>
      </c>
      <c r="U665">
        <f>$C665*U664</f>
        <v/>
      </c>
      <c r="V665">
        <f>$C665*V664</f>
        <v/>
      </c>
      <c r="W665">
        <f>$C665*W664</f>
        <v/>
      </c>
      <c r="X665">
        <f>$C665*X664</f>
        <v/>
      </c>
      <c r="Y665">
        <f>$C665*Y664</f>
        <v/>
      </c>
      <c r="Z665">
        <f>$C665*Z664</f>
        <v/>
      </c>
      <c r="AA665">
        <f>$C665*AA664</f>
        <v/>
      </c>
      <c r="AB665">
        <f>$C665*AB664</f>
        <v/>
      </c>
      <c r="AC665">
        <f>$C665*AC664</f>
        <v/>
      </c>
      <c r="AD665">
        <f>$C665*AD664</f>
        <v/>
      </c>
      <c r="AE665">
        <f>$C665*AE664</f>
        <v/>
      </c>
      <c r="AF665">
        <f>$C665*AF664</f>
        <v/>
      </c>
      <c r="AG665">
        <f>$C665*AG664</f>
        <v/>
      </c>
      <c r="AH665">
        <f>$C665*AH664</f>
        <v/>
      </c>
      <c r="AI665">
        <f>$C665*AI664</f>
        <v/>
      </c>
      <c r="AJ665">
        <f>$C665*AJ664</f>
        <v/>
      </c>
      <c r="AK665">
        <f>$C665*AK664</f>
        <v/>
      </c>
      <c r="AL665">
        <f>$C665*AL664</f>
        <v/>
      </c>
      <c r="AM665">
        <f>$C665*AM664</f>
        <v/>
      </c>
      <c r="AN665">
        <f>$C665*AN664</f>
        <v/>
      </c>
      <c r="AO665">
        <f>$C665*AO664</f>
        <v/>
      </c>
      <c r="AP665">
        <f>$C665*AP664</f>
        <v/>
      </c>
      <c r="AQ665">
        <f>$C665*AQ664</f>
        <v/>
      </c>
      <c r="AR665">
        <f>$C665*AR664</f>
        <v/>
      </c>
      <c r="AS665">
        <f>$C665*AS664</f>
        <v/>
      </c>
      <c r="AT665">
        <f>$C665*AT664</f>
        <v/>
      </c>
      <c r="AU665">
        <f>$C665*AU664</f>
        <v/>
      </c>
      <c r="AV665">
        <f>$C665*AV664</f>
        <v/>
      </c>
      <c r="AW665">
        <f>$C665*AW664</f>
        <v/>
      </c>
      <c r="AX665">
        <f>$C665*AX664</f>
        <v/>
      </c>
      <c r="AY665">
        <f>$C665*AY664</f>
        <v/>
      </c>
      <c r="AZ665">
        <f>$C665*AZ664</f>
        <v/>
      </c>
      <c r="BA665">
        <f>$C665*BA664</f>
        <v/>
      </c>
      <c r="BB665">
        <f>$C665*BB664</f>
        <v/>
      </c>
      <c r="BC665">
        <f>$C665*BC664</f>
        <v/>
      </c>
      <c r="BD665">
        <f>$C665*BD664</f>
        <v/>
      </c>
      <c r="BE665">
        <f>$C665*BE664</f>
        <v/>
      </c>
      <c r="BF665">
        <f>$C665*BF664</f>
        <v/>
      </c>
      <c r="BG665">
        <f>$C665*BG664</f>
        <v/>
      </c>
      <c r="BH665">
        <f>$C665*BH664</f>
        <v/>
      </c>
      <c r="BI665">
        <f>$C665*BI664</f>
        <v/>
      </c>
      <c r="BJ665">
        <f>$C665*BJ664</f>
        <v/>
      </c>
      <c r="BK665">
        <f>$C665*BK664</f>
        <v/>
      </c>
      <c r="BL665">
        <f>$C665*BL664</f>
        <v/>
      </c>
      <c r="BM665">
        <f>$C665*BM664</f>
        <v/>
      </c>
      <c r="BN665">
        <f>$C665*BN664</f>
        <v/>
      </c>
      <c r="BO665">
        <f>$C665*BO664</f>
        <v/>
      </c>
      <c r="BP665">
        <f>$C665*BP664</f>
        <v/>
      </c>
      <c r="BQ665">
        <f>$C665*BQ664</f>
        <v/>
      </c>
      <c r="BR665">
        <f>$C665*BR664</f>
        <v/>
      </c>
      <c r="BS665">
        <f>$C665*BS664</f>
        <v/>
      </c>
      <c r="BT665">
        <f>$C665*BT664</f>
        <v/>
      </c>
      <c r="BU665">
        <f>$C665*BU664</f>
        <v/>
      </c>
      <c r="BV665">
        <f>$C665*BV664</f>
        <v/>
      </c>
      <c r="BW665">
        <f>$C665*BW664</f>
        <v/>
      </c>
      <c r="BX665">
        <f>$C665*BX664</f>
        <v/>
      </c>
      <c r="BY665">
        <f>$C665*BY664</f>
        <v/>
      </c>
      <c r="BZ665">
        <f>$C665*BZ664</f>
        <v/>
      </c>
      <c r="CA665">
        <f>$C665*CA664</f>
        <v/>
      </c>
      <c r="CB665">
        <f>$C665*CB664</f>
        <v/>
      </c>
      <c r="CC665">
        <f>$C665*CC664</f>
        <v/>
      </c>
      <c r="CD665">
        <f>$C665*CD664</f>
        <v/>
      </c>
      <c r="CE665">
        <f>$C665*CE664</f>
        <v/>
      </c>
      <c r="CF665">
        <f>$C665*CF664</f>
        <v/>
      </c>
      <c r="CG665">
        <f>$C665*CG664</f>
        <v/>
      </c>
      <c r="CH665">
        <f>$C665*CH664</f>
        <v/>
      </c>
      <c r="CI665">
        <f>$C665*CI664</f>
        <v/>
      </c>
      <c r="CJ665">
        <f>$C665*CJ664</f>
        <v/>
      </c>
      <c r="CK665">
        <f>$C665*CK664</f>
        <v/>
      </c>
      <c r="CL665">
        <f>$C665*CL664</f>
        <v/>
      </c>
      <c r="CM665">
        <f>$C665*CM664</f>
        <v/>
      </c>
      <c r="CN665">
        <f>$C665*CN664</f>
        <v/>
      </c>
      <c r="CO665">
        <f>$C665*CO664</f>
        <v/>
      </c>
      <c r="CP665">
        <f>$C665*CP664</f>
        <v/>
      </c>
      <c r="CQ665">
        <f>$C665*CQ664</f>
        <v/>
      </c>
      <c r="CR665">
        <f>$C665*CR664</f>
        <v/>
      </c>
      <c r="CS665">
        <f>$C665*CS664</f>
        <v/>
      </c>
      <c r="CT665">
        <f>$C665*CT664</f>
        <v/>
      </c>
      <c r="CU665">
        <f>$C665*CU664</f>
        <v/>
      </c>
      <c r="CV665">
        <f>$C665*CV664</f>
        <v/>
      </c>
      <c r="CW665">
        <f>$C665*CW664</f>
        <v/>
      </c>
      <c r="CX665">
        <f>$C665*CX664</f>
        <v/>
      </c>
      <c r="CY665">
        <f>$C665*CY664</f>
        <v/>
      </c>
      <c r="CZ665">
        <f>$C665*CZ664</f>
        <v/>
      </c>
      <c r="DA665">
        <f>$C665*DA664</f>
        <v/>
      </c>
      <c r="DB665">
        <f>$C665*DB664</f>
        <v/>
      </c>
      <c r="DC665">
        <f>$C665*DC664</f>
        <v/>
      </c>
    </row>
    <row r="666">
      <c r="B666" t="inlineStr">
        <is>
          <t>VSP-870</t>
        </is>
      </c>
      <c r="C666" t="inlineStr">
        <is>
          <t>No. of batches</t>
        </is>
      </c>
      <c r="D666">
        <f>IFERROR(INDEX(PP_Grid[#Data],$DD666,2),0)</f>
        <v/>
      </c>
      <c r="E666">
        <f>IFERROR(INDEX(PP_Grid[#Data],$DD666,3),0)</f>
        <v/>
      </c>
      <c r="F666">
        <f>IFERROR(INDEX(PP_Grid[#Data],$DD666,4),0)</f>
        <v/>
      </c>
      <c r="G666">
        <f>IFERROR(INDEX(PP_Grid[#Data],$DD666,5),0)</f>
        <v/>
      </c>
      <c r="H666">
        <f>IFERROR(INDEX(PP_Grid[#Data],$DD666,6),0)</f>
        <v/>
      </c>
      <c r="I666">
        <f>IFERROR(INDEX(PP_Grid[#Data],$DD666,7),0)</f>
        <v/>
      </c>
      <c r="J666">
        <f>IFERROR(INDEX(PP_Grid[#Data],$DD666,8),0)</f>
        <v/>
      </c>
      <c r="K666">
        <f>IFERROR(INDEX(PP_Grid[#Data],$DD666,9),0)</f>
        <v/>
      </c>
      <c r="L666">
        <f>IFERROR(INDEX(PP_Grid[#Data],$DD666,10),0)</f>
        <v/>
      </c>
      <c r="M666">
        <f>IFERROR(INDEX(PP_Grid[#Data],$DD666,11),0)</f>
        <v/>
      </c>
      <c r="N666">
        <f>IFERROR(INDEX(PP_Grid[#Data],$DD666,12),0)</f>
        <v/>
      </c>
      <c r="O666">
        <f>IFERROR(INDEX(PP_Grid[#Data],$DD666,13),0)</f>
        <v/>
      </c>
      <c r="P666">
        <f>IFERROR(INDEX(PP_Grid[#Data],$DD666,14),0)</f>
        <v/>
      </c>
      <c r="Q666">
        <f>IFERROR(INDEX(PP_Grid[#Data],$DD666,15),0)</f>
        <v/>
      </c>
      <c r="R666">
        <f>IFERROR(INDEX(PP_Grid[#Data],$DD666,16),0)</f>
        <v/>
      </c>
      <c r="S666">
        <f>IFERROR(INDEX(PP_Grid[#Data],$DD666,17),0)</f>
        <v/>
      </c>
      <c r="T666">
        <f>IFERROR(INDEX(PP_Grid[#Data],$DD666,18),0)</f>
        <v/>
      </c>
      <c r="U666">
        <f>IFERROR(INDEX(PP_Grid[#Data],$DD666,19),0)</f>
        <v/>
      </c>
      <c r="V666">
        <f>IFERROR(INDEX(PP_Grid[#Data],$DD666,20),0)</f>
        <v/>
      </c>
      <c r="W666">
        <f>IFERROR(INDEX(PP_Grid[#Data],$DD666,21),0)</f>
        <v/>
      </c>
      <c r="X666">
        <f>IFERROR(INDEX(PP_Grid[#Data],$DD666,22),0)</f>
        <v/>
      </c>
      <c r="Y666">
        <f>IFERROR(INDEX(PP_Grid[#Data],$DD666,23),0)</f>
        <v/>
      </c>
      <c r="Z666">
        <f>IFERROR(INDEX(PP_Grid[#Data],$DD666,24),0)</f>
        <v/>
      </c>
      <c r="AA666">
        <f>IFERROR(INDEX(PP_Grid[#Data],$DD666,25),0)</f>
        <v/>
      </c>
      <c r="AB666">
        <f>IFERROR(INDEX(PP_Grid[#Data],$DD666,26),0)</f>
        <v/>
      </c>
      <c r="AC666">
        <f>IFERROR(INDEX(PP_Grid[#Data],$DD666,27),0)</f>
        <v/>
      </c>
      <c r="AD666">
        <f>IFERROR(INDEX(PP_Grid[#Data],$DD666,28),0)</f>
        <v/>
      </c>
      <c r="AE666">
        <f>IFERROR(INDEX(PP_Grid[#Data],$DD666,29),0)</f>
        <v/>
      </c>
      <c r="AF666">
        <f>IFERROR(INDEX(PP_Grid[#Data],$DD666,30),0)</f>
        <v/>
      </c>
      <c r="AG666">
        <f>IFERROR(INDEX(PP_Grid[#Data],$DD666,31),0)</f>
        <v/>
      </c>
      <c r="AH666">
        <f>IFERROR(INDEX(PP_Grid[#Data],$DD666,32),0)</f>
        <v/>
      </c>
      <c r="AI666">
        <f>IFERROR(INDEX(PP_Grid[#Data],$DD666,33),0)</f>
        <v/>
      </c>
      <c r="AJ666">
        <f>IFERROR(INDEX(PP_Grid[#Data],$DD666,34),0)</f>
        <v/>
      </c>
      <c r="AK666">
        <f>IFERROR(INDEX(PP_Grid[#Data],$DD666,35),0)</f>
        <v/>
      </c>
      <c r="AL666">
        <f>IFERROR(INDEX(PP_Grid[#Data],$DD666,36),0)</f>
        <v/>
      </c>
      <c r="AM666">
        <f>IFERROR(INDEX(PP_Grid[#Data],$DD666,37),0)</f>
        <v/>
      </c>
      <c r="AN666">
        <f>IFERROR(INDEX(PP_Grid[#Data],$DD666,38),0)</f>
        <v/>
      </c>
      <c r="AO666">
        <f>IFERROR(INDEX(PP_Grid[#Data],$DD666,39),0)</f>
        <v/>
      </c>
      <c r="AP666">
        <f>IFERROR(INDEX(PP_Grid[#Data],$DD666,40),0)</f>
        <v/>
      </c>
      <c r="AQ666">
        <f>IFERROR(INDEX(PP_Grid[#Data],$DD666,41),0)</f>
        <v/>
      </c>
      <c r="AR666">
        <f>IFERROR(INDEX(PP_Grid[#Data],$DD666,42),0)</f>
        <v/>
      </c>
      <c r="AS666">
        <f>IFERROR(INDEX(PP_Grid[#Data],$DD666,43),0)</f>
        <v/>
      </c>
      <c r="AT666">
        <f>IFERROR(INDEX(PP_Grid[#Data],$DD666,44),0)</f>
        <v/>
      </c>
      <c r="AU666">
        <f>IFERROR(INDEX(PP_Grid[#Data],$DD666,45),0)</f>
        <v/>
      </c>
      <c r="AV666">
        <f>IFERROR(INDEX(PP_Grid[#Data],$DD666,46),0)</f>
        <v/>
      </c>
      <c r="AW666">
        <f>IFERROR(INDEX(PP_Grid[#Data],$DD666,47),0)</f>
        <v/>
      </c>
      <c r="AX666">
        <f>IFERROR(INDEX(PP_Grid[#Data],$DD666,48),0)</f>
        <v/>
      </c>
      <c r="AY666">
        <f>IFERROR(INDEX(PP_Grid[#Data],$DD666,49),0)</f>
        <v/>
      </c>
      <c r="AZ666">
        <f>IFERROR(INDEX(PP_Grid[#Data],$DD666,50),0)</f>
        <v/>
      </c>
      <c r="BA666">
        <f>IFERROR(INDEX(PP_Grid[#Data],$DD666,51),0)</f>
        <v/>
      </c>
      <c r="BB666">
        <f>IFERROR(INDEX(PP_Grid[#Data],$DD666,52),0)</f>
        <v/>
      </c>
      <c r="BC666">
        <f>IFERROR(INDEX(PP_Grid[#Data],$DD666,53),0)</f>
        <v/>
      </c>
      <c r="BD666">
        <f>IFERROR(INDEX(PP_Grid[#Data],$DD666,54),0)</f>
        <v/>
      </c>
      <c r="BE666">
        <f>IFERROR(INDEX(PP_Grid[#Data],$DD666,55),0)</f>
        <v/>
      </c>
      <c r="BF666">
        <f>IFERROR(INDEX(PP_Grid[#Data],$DD666,56),0)</f>
        <v/>
      </c>
      <c r="BG666">
        <f>IFERROR(INDEX(PP_Grid[#Data],$DD666,57),0)</f>
        <v/>
      </c>
      <c r="BH666">
        <f>IFERROR(INDEX(PP_Grid[#Data],$DD666,58),0)</f>
        <v/>
      </c>
      <c r="BI666">
        <f>IFERROR(INDEX(PP_Grid[#Data],$DD666,59),0)</f>
        <v/>
      </c>
      <c r="BJ666">
        <f>IFERROR(INDEX(PP_Grid[#Data],$DD666,60),0)</f>
        <v/>
      </c>
      <c r="BK666">
        <f>IFERROR(INDEX(PP_Grid[#Data],$DD666,61),0)</f>
        <v/>
      </c>
      <c r="BL666">
        <f>IFERROR(INDEX(PP_Grid[#Data],$DD666,62),0)</f>
        <v/>
      </c>
      <c r="BM666">
        <f>IFERROR(INDEX(PP_Grid[#Data],$DD666,63),0)</f>
        <v/>
      </c>
      <c r="BN666">
        <f>IFERROR(INDEX(PP_Grid[#Data],$DD666,64),0)</f>
        <v/>
      </c>
      <c r="BO666">
        <f>IFERROR(INDEX(PP_Grid[#Data],$DD666,65),0)</f>
        <v/>
      </c>
      <c r="BP666">
        <f>IFERROR(INDEX(PP_Grid[#Data],$DD666,66),0)</f>
        <v/>
      </c>
      <c r="BQ666">
        <f>IFERROR(INDEX(PP_Grid[#Data],$DD666,67),0)</f>
        <v/>
      </c>
      <c r="BR666">
        <f>IFERROR(INDEX(PP_Grid[#Data],$DD666,68),0)</f>
        <v/>
      </c>
      <c r="BS666">
        <f>IFERROR(INDEX(PP_Grid[#Data],$DD666,69),0)</f>
        <v/>
      </c>
      <c r="BT666">
        <f>IFERROR(INDEX(PP_Grid[#Data],$DD666,70),0)</f>
        <v/>
      </c>
      <c r="BU666">
        <f>IFERROR(INDEX(PP_Grid[#Data],$DD666,71),0)</f>
        <v/>
      </c>
      <c r="BV666">
        <f>IFERROR(INDEX(PP_Grid[#Data],$DD666,72),0)</f>
        <v/>
      </c>
      <c r="BW666">
        <f>IFERROR(INDEX(PP_Grid[#Data],$DD666,73),0)</f>
        <v/>
      </c>
      <c r="BX666">
        <f>IFERROR(INDEX(PP_Grid[#Data],$DD666,74),0)</f>
        <v/>
      </c>
      <c r="BY666">
        <f>IFERROR(INDEX(PP_Grid[#Data],$DD666,75),0)</f>
        <v/>
      </c>
      <c r="BZ666">
        <f>IFERROR(INDEX(PP_Grid[#Data],$DD666,76),0)</f>
        <v/>
      </c>
      <c r="CA666">
        <f>IFERROR(INDEX(PP_Grid[#Data],$DD666,77),0)</f>
        <v/>
      </c>
      <c r="CB666">
        <f>IFERROR(INDEX(PP_Grid[#Data],$DD666,78),0)</f>
        <v/>
      </c>
      <c r="CC666">
        <f>IFERROR(INDEX(PP_Grid[#Data],$DD666,79),0)</f>
        <v/>
      </c>
      <c r="CD666">
        <f>IFERROR(INDEX(PP_Grid[#Data],$DD666,80),0)</f>
        <v/>
      </c>
      <c r="CE666">
        <f>IFERROR(INDEX(PP_Grid[#Data],$DD666,81),0)</f>
        <v/>
      </c>
      <c r="CF666">
        <f>IFERROR(INDEX(PP_Grid[#Data],$DD666,82),0)</f>
        <v/>
      </c>
      <c r="CG666">
        <f>IFERROR(INDEX(PP_Grid[#Data],$DD666,83),0)</f>
        <v/>
      </c>
      <c r="CH666">
        <f>IFERROR(INDEX(PP_Grid[#Data],$DD666,84),0)</f>
        <v/>
      </c>
      <c r="CI666">
        <f>IFERROR(INDEX(PP_Grid[#Data],$DD666,85),0)</f>
        <v/>
      </c>
      <c r="CJ666">
        <f>IFERROR(INDEX(PP_Grid[#Data],$DD666,86),0)</f>
        <v/>
      </c>
      <c r="CK666">
        <f>IFERROR(INDEX(PP_Grid[#Data],$DD666,87),0)</f>
        <v/>
      </c>
      <c r="CL666">
        <f>IFERROR(INDEX(PP_Grid[#Data],$DD666,88),0)</f>
        <v/>
      </c>
      <c r="CM666">
        <f>IFERROR(INDEX(PP_Grid[#Data],$DD666,89),0)</f>
        <v/>
      </c>
      <c r="CN666">
        <f>IFERROR(INDEX(PP_Grid[#Data],$DD666,90),0)</f>
        <v/>
      </c>
      <c r="CO666">
        <f>IFERROR(INDEX(PP_Grid[#Data],$DD666,91),0)</f>
        <v/>
      </c>
      <c r="CP666">
        <f>IFERROR(INDEX(PP_Grid[#Data],$DD666,92),0)</f>
        <v/>
      </c>
      <c r="CQ666">
        <f>IFERROR(INDEX(PP_Grid[#Data],$DD666,93),0)</f>
        <v/>
      </c>
      <c r="CR666">
        <f>IFERROR(INDEX(PP_Grid[#Data],$DD666,94),0)</f>
        <v/>
      </c>
      <c r="CS666">
        <f>IFERROR(INDEX(PP_Grid[#Data],$DD666,95),0)</f>
        <v/>
      </c>
      <c r="CT666">
        <f>IFERROR(INDEX(PP_Grid[#Data],$DD666,96),0)</f>
        <v/>
      </c>
      <c r="CU666">
        <f>IFERROR(INDEX(PP_Grid[#Data],$DD666,97),0)</f>
        <v/>
      </c>
      <c r="CV666">
        <f>IFERROR(INDEX(PP_Grid[#Data],$DD666,98),0)</f>
        <v/>
      </c>
      <c r="CW666">
        <f>IFERROR(INDEX(PP_Grid[#Data],$DD666,99),0)</f>
        <v/>
      </c>
      <c r="CX666">
        <f>IFERROR(INDEX(PP_Grid[#Data],$DD666,100),0)</f>
        <v/>
      </c>
      <c r="CY666">
        <f>IFERROR(INDEX(PP_Grid[#Data],$DD666,101),0)</f>
        <v/>
      </c>
      <c r="CZ666">
        <f>IFERROR(INDEX(PP_Grid[#Data],$DD666,102),0)</f>
        <v/>
      </c>
      <c r="DA666">
        <f>IFERROR(INDEX(PP_Grid[#Data],$DD666,103),0)</f>
        <v/>
      </c>
      <c r="DB666">
        <f>IFERROR(INDEX(PP_Grid[#Data],$DD666,104),0)</f>
        <v/>
      </c>
      <c r="DC666">
        <f>IFERROR(INDEX(PP_Grid[#Data],$DD666,105),0)</f>
        <v/>
      </c>
      <c r="DD666" s="7">
        <f>IFERROR(MATCH($B666,PP_Grid[Intermediate],0),99999)</f>
        <v/>
      </c>
    </row>
    <row r="667">
      <c r="B667" t="inlineStr">
        <is>
          <t>使用量(kg)</t>
        </is>
      </c>
      <c r="C667">
        <f>SUMIFS(M_BOM[RM_Qty_Per_Batch],M_BOM[Intermediate],$B666,M_BOM[Part Name],$A653)</f>
        <v/>
      </c>
      <c r="D667">
        <f>$C667*D666</f>
        <v/>
      </c>
      <c r="E667">
        <f>$C667*E666</f>
        <v/>
      </c>
      <c r="F667">
        <f>$C667*F666</f>
        <v/>
      </c>
      <c r="G667">
        <f>$C667*G666</f>
        <v/>
      </c>
      <c r="H667">
        <f>$C667*H666</f>
        <v/>
      </c>
      <c r="I667">
        <f>$C667*I666</f>
        <v/>
      </c>
      <c r="J667">
        <f>$C667*J666</f>
        <v/>
      </c>
      <c r="K667">
        <f>$C667*K666</f>
        <v/>
      </c>
      <c r="L667">
        <f>$C667*L666</f>
        <v/>
      </c>
      <c r="M667">
        <f>$C667*M666</f>
        <v/>
      </c>
      <c r="N667">
        <f>$C667*N666</f>
        <v/>
      </c>
      <c r="O667">
        <f>$C667*O666</f>
        <v/>
      </c>
      <c r="P667">
        <f>$C667*P666</f>
        <v/>
      </c>
      <c r="Q667">
        <f>$C667*Q666</f>
        <v/>
      </c>
      <c r="R667">
        <f>$C667*R666</f>
        <v/>
      </c>
      <c r="S667">
        <f>$C667*S666</f>
        <v/>
      </c>
      <c r="T667">
        <f>$C667*T666</f>
        <v/>
      </c>
      <c r="U667">
        <f>$C667*U666</f>
        <v/>
      </c>
      <c r="V667">
        <f>$C667*V666</f>
        <v/>
      </c>
      <c r="W667">
        <f>$C667*W666</f>
        <v/>
      </c>
      <c r="X667">
        <f>$C667*X666</f>
        <v/>
      </c>
      <c r="Y667">
        <f>$C667*Y666</f>
        <v/>
      </c>
      <c r="Z667">
        <f>$C667*Z666</f>
        <v/>
      </c>
      <c r="AA667">
        <f>$C667*AA666</f>
        <v/>
      </c>
      <c r="AB667">
        <f>$C667*AB666</f>
        <v/>
      </c>
      <c r="AC667">
        <f>$C667*AC666</f>
        <v/>
      </c>
      <c r="AD667">
        <f>$C667*AD666</f>
        <v/>
      </c>
      <c r="AE667">
        <f>$C667*AE666</f>
        <v/>
      </c>
      <c r="AF667">
        <f>$C667*AF666</f>
        <v/>
      </c>
      <c r="AG667">
        <f>$C667*AG666</f>
        <v/>
      </c>
      <c r="AH667">
        <f>$C667*AH666</f>
        <v/>
      </c>
      <c r="AI667">
        <f>$C667*AI666</f>
        <v/>
      </c>
      <c r="AJ667">
        <f>$C667*AJ666</f>
        <v/>
      </c>
      <c r="AK667">
        <f>$C667*AK666</f>
        <v/>
      </c>
      <c r="AL667">
        <f>$C667*AL666</f>
        <v/>
      </c>
      <c r="AM667">
        <f>$C667*AM666</f>
        <v/>
      </c>
      <c r="AN667">
        <f>$C667*AN666</f>
        <v/>
      </c>
      <c r="AO667">
        <f>$C667*AO666</f>
        <v/>
      </c>
      <c r="AP667">
        <f>$C667*AP666</f>
        <v/>
      </c>
      <c r="AQ667">
        <f>$C667*AQ666</f>
        <v/>
      </c>
      <c r="AR667">
        <f>$C667*AR666</f>
        <v/>
      </c>
      <c r="AS667">
        <f>$C667*AS666</f>
        <v/>
      </c>
      <c r="AT667">
        <f>$C667*AT666</f>
        <v/>
      </c>
      <c r="AU667">
        <f>$C667*AU666</f>
        <v/>
      </c>
      <c r="AV667">
        <f>$C667*AV666</f>
        <v/>
      </c>
      <c r="AW667">
        <f>$C667*AW666</f>
        <v/>
      </c>
      <c r="AX667">
        <f>$C667*AX666</f>
        <v/>
      </c>
      <c r="AY667">
        <f>$C667*AY666</f>
        <v/>
      </c>
      <c r="AZ667">
        <f>$C667*AZ666</f>
        <v/>
      </c>
      <c r="BA667">
        <f>$C667*BA666</f>
        <v/>
      </c>
      <c r="BB667">
        <f>$C667*BB666</f>
        <v/>
      </c>
      <c r="BC667">
        <f>$C667*BC666</f>
        <v/>
      </c>
      <c r="BD667">
        <f>$C667*BD666</f>
        <v/>
      </c>
      <c r="BE667">
        <f>$C667*BE666</f>
        <v/>
      </c>
      <c r="BF667">
        <f>$C667*BF666</f>
        <v/>
      </c>
      <c r="BG667">
        <f>$C667*BG666</f>
        <v/>
      </c>
      <c r="BH667">
        <f>$C667*BH666</f>
        <v/>
      </c>
      <c r="BI667">
        <f>$C667*BI666</f>
        <v/>
      </c>
      <c r="BJ667">
        <f>$C667*BJ666</f>
        <v/>
      </c>
      <c r="BK667">
        <f>$C667*BK666</f>
        <v/>
      </c>
      <c r="BL667">
        <f>$C667*BL666</f>
        <v/>
      </c>
      <c r="BM667">
        <f>$C667*BM666</f>
        <v/>
      </c>
      <c r="BN667">
        <f>$C667*BN666</f>
        <v/>
      </c>
      <c r="BO667">
        <f>$C667*BO666</f>
        <v/>
      </c>
      <c r="BP667">
        <f>$C667*BP666</f>
        <v/>
      </c>
      <c r="BQ667">
        <f>$C667*BQ666</f>
        <v/>
      </c>
      <c r="BR667">
        <f>$C667*BR666</f>
        <v/>
      </c>
      <c r="BS667">
        <f>$C667*BS666</f>
        <v/>
      </c>
      <c r="BT667">
        <f>$C667*BT666</f>
        <v/>
      </c>
      <c r="BU667">
        <f>$C667*BU666</f>
        <v/>
      </c>
      <c r="BV667">
        <f>$C667*BV666</f>
        <v/>
      </c>
      <c r="BW667">
        <f>$C667*BW666</f>
        <v/>
      </c>
      <c r="BX667">
        <f>$C667*BX666</f>
        <v/>
      </c>
      <c r="BY667">
        <f>$C667*BY666</f>
        <v/>
      </c>
      <c r="BZ667">
        <f>$C667*BZ666</f>
        <v/>
      </c>
      <c r="CA667">
        <f>$C667*CA666</f>
        <v/>
      </c>
      <c r="CB667">
        <f>$C667*CB666</f>
        <v/>
      </c>
      <c r="CC667">
        <f>$C667*CC666</f>
        <v/>
      </c>
      <c r="CD667">
        <f>$C667*CD666</f>
        <v/>
      </c>
      <c r="CE667">
        <f>$C667*CE666</f>
        <v/>
      </c>
      <c r="CF667">
        <f>$C667*CF666</f>
        <v/>
      </c>
      <c r="CG667">
        <f>$C667*CG666</f>
        <v/>
      </c>
      <c r="CH667">
        <f>$C667*CH666</f>
        <v/>
      </c>
      <c r="CI667">
        <f>$C667*CI666</f>
        <v/>
      </c>
      <c r="CJ667">
        <f>$C667*CJ666</f>
        <v/>
      </c>
      <c r="CK667">
        <f>$C667*CK666</f>
        <v/>
      </c>
      <c r="CL667">
        <f>$C667*CL666</f>
        <v/>
      </c>
      <c r="CM667">
        <f>$C667*CM666</f>
        <v/>
      </c>
      <c r="CN667">
        <f>$C667*CN666</f>
        <v/>
      </c>
      <c r="CO667">
        <f>$C667*CO666</f>
        <v/>
      </c>
      <c r="CP667">
        <f>$C667*CP666</f>
        <v/>
      </c>
      <c r="CQ667">
        <f>$C667*CQ666</f>
        <v/>
      </c>
      <c r="CR667">
        <f>$C667*CR666</f>
        <v/>
      </c>
      <c r="CS667">
        <f>$C667*CS666</f>
        <v/>
      </c>
      <c r="CT667">
        <f>$C667*CT666</f>
        <v/>
      </c>
      <c r="CU667">
        <f>$C667*CU666</f>
        <v/>
      </c>
      <c r="CV667">
        <f>$C667*CV666</f>
        <v/>
      </c>
      <c r="CW667">
        <f>$C667*CW666</f>
        <v/>
      </c>
      <c r="CX667">
        <f>$C667*CX666</f>
        <v/>
      </c>
      <c r="CY667">
        <f>$C667*CY666</f>
        <v/>
      </c>
      <c r="CZ667">
        <f>$C667*CZ666</f>
        <v/>
      </c>
      <c r="DA667">
        <f>$C667*DA666</f>
        <v/>
      </c>
      <c r="DB667">
        <f>$C667*DB666</f>
        <v/>
      </c>
      <c r="DC667">
        <f>$C667*DC666</f>
        <v/>
      </c>
    </row>
    <row r="668">
      <c r="B668" t="inlineStr">
        <is>
          <t>VSP-910</t>
        </is>
      </c>
      <c r="C668" t="inlineStr">
        <is>
          <t>No. of batches</t>
        </is>
      </c>
      <c r="D668">
        <f>IFERROR(INDEX(PP_Grid[#Data],$DD668,2),0)</f>
        <v/>
      </c>
      <c r="E668">
        <f>IFERROR(INDEX(PP_Grid[#Data],$DD668,3),0)</f>
        <v/>
      </c>
      <c r="F668">
        <f>IFERROR(INDEX(PP_Grid[#Data],$DD668,4),0)</f>
        <v/>
      </c>
      <c r="G668">
        <f>IFERROR(INDEX(PP_Grid[#Data],$DD668,5),0)</f>
        <v/>
      </c>
      <c r="H668">
        <f>IFERROR(INDEX(PP_Grid[#Data],$DD668,6),0)</f>
        <v/>
      </c>
      <c r="I668">
        <f>IFERROR(INDEX(PP_Grid[#Data],$DD668,7),0)</f>
        <v/>
      </c>
      <c r="J668">
        <f>IFERROR(INDEX(PP_Grid[#Data],$DD668,8),0)</f>
        <v/>
      </c>
      <c r="K668">
        <f>IFERROR(INDEX(PP_Grid[#Data],$DD668,9),0)</f>
        <v/>
      </c>
      <c r="L668">
        <f>IFERROR(INDEX(PP_Grid[#Data],$DD668,10),0)</f>
        <v/>
      </c>
      <c r="M668">
        <f>IFERROR(INDEX(PP_Grid[#Data],$DD668,11),0)</f>
        <v/>
      </c>
      <c r="N668">
        <f>IFERROR(INDEX(PP_Grid[#Data],$DD668,12),0)</f>
        <v/>
      </c>
      <c r="O668">
        <f>IFERROR(INDEX(PP_Grid[#Data],$DD668,13),0)</f>
        <v/>
      </c>
      <c r="P668">
        <f>IFERROR(INDEX(PP_Grid[#Data],$DD668,14),0)</f>
        <v/>
      </c>
      <c r="Q668">
        <f>IFERROR(INDEX(PP_Grid[#Data],$DD668,15),0)</f>
        <v/>
      </c>
      <c r="R668">
        <f>IFERROR(INDEX(PP_Grid[#Data],$DD668,16),0)</f>
        <v/>
      </c>
      <c r="S668">
        <f>IFERROR(INDEX(PP_Grid[#Data],$DD668,17),0)</f>
        <v/>
      </c>
      <c r="T668">
        <f>IFERROR(INDEX(PP_Grid[#Data],$DD668,18),0)</f>
        <v/>
      </c>
      <c r="U668">
        <f>IFERROR(INDEX(PP_Grid[#Data],$DD668,19),0)</f>
        <v/>
      </c>
      <c r="V668">
        <f>IFERROR(INDEX(PP_Grid[#Data],$DD668,20),0)</f>
        <v/>
      </c>
      <c r="W668">
        <f>IFERROR(INDEX(PP_Grid[#Data],$DD668,21),0)</f>
        <v/>
      </c>
      <c r="X668">
        <f>IFERROR(INDEX(PP_Grid[#Data],$DD668,22),0)</f>
        <v/>
      </c>
      <c r="Y668">
        <f>IFERROR(INDEX(PP_Grid[#Data],$DD668,23),0)</f>
        <v/>
      </c>
      <c r="Z668">
        <f>IFERROR(INDEX(PP_Grid[#Data],$DD668,24),0)</f>
        <v/>
      </c>
      <c r="AA668">
        <f>IFERROR(INDEX(PP_Grid[#Data],$DD668,25),0)</f>
        <v/>
      </c>
      <c r="AB668">
        <f>IFERROR(INDEX(PP_Grid[#Data],$DD668,26),0)</f>
        <v/>
      </c>
      <c r="AC668">
        <f>IFERROR(INDEX(PP_Grid[#Data],$DD668,27),0)</f>
        <v/>
      </c>
      <c r="AD668">
        <f>IFERROR(INDEX(PP_Grid[#Data],$DD668,28),0)</f>
        <v/>
      </c>
      <c r="AE668">
        <f>IFERROR(INDEX(PP_Grid[#Data],$DD668,29),0)</f>
        <v/>
      </c>
      <c r="AF668">
        <f>IFERROR(INDEX(PP_Grid[#Data],$DD668,30),0)</f>
        <v/>
      </c>
      <c r="AG668">
        <f>IFERROR(INDEX(PP_Grid[#Data],$DD668,31),0)</f>
        <v/>
      </c>
      <c r="AH668">
        <f>IFERROR(INDEX(PP_Grid[#Data],$DD668,32),0)</f>
        <v/>
      </c>
      <c r="AI668">
        <f>IFERROR(INDEX(PP_Grid[#Data],$DD668,33),0)</f>
        <v/>
      </c>
      <c r="AJ668">
        <f>IFERROR(INDEX(PP_Grid[#Data],$DD668,34),0)</f>
        <v/>
      </c>
      <c r="AK668">
        <f>IFERROR(INDEX(PP_Grid[#Data],$DD668,35),0)</f>
        <v/>
      </c>
      <c r="AL668">
        <f>IFERROR(INDEX(PP_Grid[#Data],$DD668,36),0)</f>
        <v/>
      </c>
      <c r="AM668">
        <f>IFERROR(INDEX(PP_Grid[#Data],$DD668,37),0)</f>
        <v/>
      </c>
      <c r="AN668">
        <f>IFERROR(INDEX(PP_Grid[#Data],$DD668,38),0)</f>
        <v/>
      </c>
      <c r="AO668">
        <f>IFERROR(INDEX(PP_Grid[#Data],$DD668,39),0)</f>
        <v/>
      </c>
      <c r="AP668">
        <f>IFERROR(INDEX(PP_Grid[#Data],$DD668,40),0)</f>
        <v/>
      </c>
      <c r="AQ668">
        <f>IFERROR(INDEX(PP_Grid[#Data],$DD668,41),0)</f>
        <v/>
      </c>
      <c r="AR668">
        <f>IFERROR(INDEX(PP_Grid[#Data],$DD668,42),0)</f>
        <v/>
      </c>
      <c r="AS668">
        <f>IFERROR(INDEX(PP_Grid[#Data],$DD668,43),0)</f>
        <v/>
      </c>
      <c r="AT668">
        <f>IFERROR(INDEX(PP_Grid[#Data],$DD668,44),0)</f>
        <v/>
      </c>
      <c r="AU668">
        <f>IFERROR(INDEX(PP_Grid[#Data],$DD668,45),0)</f>
        <v/>
      </c>
      <c r="AV668">
        <f>IFERROR(INDEX(PP_Grid[#Data],$DD668,46),0)</f>
        <v/>
      </c>
      <c r="AW668">
        <f>IFERROR(INDEX(PP_Grid[#Data],$DD668,47),0)</f>
        <v/>
      </c>
      <c r="AX668">
        <f>IFERROR(INDEX(PP_Grid[#Data],$DD668,48),0)</f>
        <v/>
      </c>
      <c r="AY668">
        <f>IFERROR(INDEX(PP_Grid[#Data],$DD668,49),0)</f>
        <v/>
      </c>
      <c r="AZ668">
        <f>IFERROR(INDEX(PP_Grid[#Data],$DD668,50),0)</f>
        <v/>
      </c>
      <c r="BA668">
        <f>IFERROR(INDEX(PP_Grid[#Data],$DD668,51),0)</f>
        <v/>
      </c>
      <c r="BB668">
        <f>IFERROR(INDEX(PP_Grid[#Data],$DD668,52),0)</f>
        <v/>
      </c>
      <c r="BC668">
        <f>IFERROR(INDEX(PP_Grid[#Data],$DD668,53),0)</f>
        <v/>
      </c>
      <c r="BD668">
        <f>IFERROR(INDEX(PP_Grid[#Data],$DD668,54),0)</f>
        <v/>
      </c>
      <c r="BE668">
        <f>IFERROR(INDEX(PP_Grid[#Data],$DD668,55),0)</f>
        <v/>
      </c>
      <c r="BF668">
        <f>IFERROR(INDEX(PP_Grid[#Data],$DD668,56),0)</f>
        <v/>
      </c>
      <c r="BG668">
        <f>IFERROR(INDEX(PP_Grid[#Data],$DD668,57),0)</f>
        <v/>
      </c>
      <c r="BH668">
        <f>IFERROR(INDEX(PP_Grid[#Data],$DD668,58),0)</f>
        <v/>
      </c>
      <c r="BI668">
        <f>IFERROR(INDEX(PP_Grid[#Data],$DD668,59),0)</f>
        <v/>
      </c>
      <c r="BJ668">
        <f>IFERROR(INDEX(PP_Grid[#Data],$DD668,60),0)</f>
        <v/>
      </c>
      <c r="BK668">
        <f>IFERROR(INDEX(PP_Grid[#Data],$DD668,61),0)</f>
        <v/>
      </c>
      <c r="BL668">
        <f>IFERROR(INDEX(PP_Grid[#Data],$DD668,62),0)</f>
        <v/>
      </c>
      <c r="BM668">
        <f>IFERROR(INDEX(PP_Grid[#Data],$DD668,63),0)</f>
        <v/>
      </c>
      <c r="BN668">
        <f>IFERROR(INDEX(PP_Grid[#Data],$DD668,64),0)</f>
        <v/>
      </c>
      <c r="BO668">
        <f>IFERROR(INDEX(PP_Grid[#Data],$DD668,65),0)</f>
        <v/>
      </c>
      <c r="BP668">
        <f>IFERROR(INDEX(PP_Grid[#Data],$DD668,66),0)</f>
        <v/>
      </c>
      <c r="BQ668">
        <f>IFERROR(INDEX(PP_Grid[#Data],$DD668,67),0)</f>
        <v/>
      </c>
      <c r="BR668">
        <f>IFERROR(INDEX(PP_Grid[#Data],$DD668,68),0)</f>
        <v/>
      </c>
      <c r="BS668">
        <f>IFERROR(INDEX(PP_Grid[#Data],$DD668,69),0)</f>
        <v/>
      </c>
      <c r="BT668">
        <f>IFERROR(INDEX(PP_Grid[#Data],$DD668,70),0)</f>
        <v/>
      </c>
      <c r="BU668">
        <f>IFERROR(INDEX(PP_Grid[#Data],$DD668,71),0)</f>
        <v/>
      </c>
      <c r="BV668">
        <f>IFERROR(INDEX(PP_Grid[#Data],$DD668,72),0)</f>
        <v/>
      </c>
      <c r="BW668">
        <f>IFERROR(INDEX(PP_Grid[#Data],$DD668,73),0)</f>
        <v/>
      </c>
      <c r="BX668">
        <f>IFERROR(INDEX(PP_Grid[#Data],$DD668,74),0)</f>
        <v/>
      </c>
      <c r="BY668">
        <f>IFERROR(INDEX(PP_Grid[#Data],$DD668,75),0)</f>
        <v/>
      </c>
      <c r="BZ668">
        <f>IFERROR(INDEX(PP_Grid[#Data],$DD668,76),0)</f>
        <v/>
      </c>
      <c r="CA668">
        <f>IFERROR(INDEX(PP_Grid[#Data],$DD668,77),0)</f>
        <v/>
      </c>
      <c r="CB668">
        <f>IFERROR(INDEX(PP_Grid[#Data],$DD668,78),0)</f>
        <v/>
      </c>
      <c r="CC668">
        <f>IFERROR(INDEX(PP_Grid[#Data],$DD668,79),0)</f>
        <v/>
      </c>
      <c r="CD668">
        <f>IFERROR(INDEX(PP_Grid[#Data],$DD668,80),0)</f>
        <v/>
      </c>
      <c r="CE668">
        <f>IFERROR(INDEX(PP_Grid[#Data],$DD668,81),0)</f>
        <v/>
      </c>
      <c r="CF668">
        <f>IFERROR(INDEX(PP_Grid[#Data],$DD668,82),0)</f>
        <v/>
      </c>
      <c r="CG668">
        <f>IFERROR(INDEX(PP_Grid[#Data],$DD668,83),0)</f>
        <v/>
      </c>
      <c r="CH668">
        <f>IFERROR(INDEX(PP_Grid[#Data],$DD668,84),0)</f>
        <v/>
      </c>
      <c r="CI668">
        <f>IFERROR(INDEX(PP_Grid[#Data],$DD668,85),0)</f>
        <v/>
      </c>
      <c r="CJ668">
        <f>IFERROR(INDEX(PP_Grid[#Data],$DD668,86),0)</f>
        <v/>
      </c>
      <c r="CK668">
        <f>IFERROR(INDEX(PP_Grid[#Data],$DD668,87),0)</f>
        <v/>
      </c>
      <c r="CL668">
        <f>IFERROR(INDEX(PP_Grid[#Data],$DD668,88),0)</f>
        <v/>
      </c>
      <c r="CM668">
        <f>IFERROR(INDEX(PP_Grid[#Data],$DD668,89),0)</f>
        <v/>
      </c>
      <c r="CN668">
        <f>IFERROR(INDEX(PP_Grid[#Data],$DD668,90),0)</f>
        <v/>
      </c>
      <c r="CO668">
        <f>IFERROR(INDEX(PP_Grid[#Data],$DD668,91),0)</f>
        <v/>
      </c>
      <c r="CP668">
        <f>IFERROR(INDEX(PP_Grid[#Data],$DD668,92),0)</f>
        <v/>
      </c>
      <c r="CQ668">
        <f>IFERROR(INDEX(PP_Grid[#Data],$DD668,93),0)</f>
        <v/>
      </c>
      <c r="CR668">
        <f>IFERROR(INDEX(PP_Grid[#Data],$DD668,94),0)</f>
        <v/>
      </c>
      <c r="CS668">
        <f>IFERROR(INDEX(PP_Grid[#Data],$DD668,95),0)</f>
        <v/>
      </c>
      <c r="CT668">
        <f>IFERROR(INDEX(PP_Grid[#Data],$DD668,96),0)</f>
        <v/>
      </c>
      <c r="CU668">
        <f>IFERROR(INDEX(PP_Grid[#Data],$DD668,97),0)</f>
        <v/>
      </c>
      <c r="CV668">
        <f>IFERROR(INDEX(PP_Grid[#Data],$DD668,98),0)</f>
        <v/>
      </c>
      <c r="CW668">
        <f>IFERROR(INDEX(PP_Grid[#Data],$DD668,99),0)</f>
        <v/>
      </c>
      <c r="CX668">
        <f>IFERROR(INDEX(PP_Grid[#Data],$DD668,100),0)</f>
        <v/>
      </c>
      <c r="CY668">
        <f>IFERROR(INDEX(PP_Grid[#Data],$DD668,101),0)</f>
        <v/>
      </c>
      <c r="CZ668">
        <f>IFERROR(INDEX(PP_Grid[#Data],$DD668,102),0)</f>
        <v/>
      </c>
      <c r="DA668">
        <f>IFERROR(INDEX(PP_Grid[#Data],$DD668,103),0)</f>
        <v/>
      </c>
      <c r="DB668">
        <f>IFERROR(INDEX(PP_Grid[#Data],$DD668,104),0)</f>
        <v/>
      </c>
      <c r="DC668">
        <f>IFERROR(INDEX(PP_Grid[#Data],$DD668,105),0)</f>
        <v/>
      </c>
      <c r="DD668" s="7">
        <f>IFERROR(MATCH($B668,PP_Grid[Intermediate],0),99999)</f>
        <v/>
      </c>
    </row>
    <row r="669">
      <c r="B669" t="inlineStr">
        <is>
          <t>使用量(kg)</t>
        </is>
      </c>
      <c r="C669">
        <f>SUMIFS(M_BOM[RM_Qty_Per_Batch],M_BOM[Intermediate],$B668,M_BOM[Part Name],$A653)</f>
        <v/>
      </c>
      <c r="D669">
        <f>$C669*D668</f>
        <v/>
      </c>
      <c r="E669">
        <f>$C669*E668</f>
        <v/>
      </c>
      <c r="F669">
        <f>$C669*F668</f>
        <v/>
      </c>
      <c r="G669">
        <f>$C669*G668</f>
        <v/>
      </c>
      <c r="H669">
        <f>$C669*H668</f>
        <v/>
      </c>
      <c r="I669">
        <f>$C669*I668</f>
        <v/>
      </c>
      <c r="J669">
        <f>$C669*J668</f>
        <v/>
      </c>
      <c r="K669">
        <f>$C669*K668</f>
        <v/>
      </c>
      <c r="L669">
        <f>$C669*L668</f>
        <v/>
      </c>
      <c r="M669">
        <f>$C669*M668</f>
        <v/>
      </c>
      <c r="N669">
        <f>$C669*N668</f>
        <v/>
      </c>
      <c r="O669">
        <f>$C669*O668</f>
        <v/>
      </c>
      <c r="P669">
        <f>$C669*P668</f>
        <v/>
      </c>
      <c r="Q669">
        <f>$C669*Q668</f>
        <v/>
      </c>
      <c r="R669">
        <f>$C669*R668</f>
        <v/>
      </c>
      <c r="S669">
        <f>$C669*S668</f>
        <v/>
      </c>
      <c r="T669">
        <f>$C669*T668</f>
        <v/>
      </c>
      <c r="U669">
        <f>$C669*U668</f>
        <v/>
      </c>
      <c r="V669">
        <f>$C669*V668</f>
        <v/>
      </c>
      <c r="W669">
        <f>$C669*W668</f>
        <v/>
      </c>
      <c r="X669">
        <f>$C669*X668</f>
        <v/>
      </c>
      <c r="Y669">
        <f>$C669*Y668</f>
        <v/>
      </c>
      <c r="Z669">
        <f>$C669*Z668</f>
        <v/>
      </c>
      <c r="AA669">
        <f>$C669*AA668</f>
        <v/>
      </c>
      <c r="AB669">
        <f>$C669*AB668</f>
        <v/>
      </c>
      <c r="AC669">
        <f>$C669*AC668</f>
        <v/>
      </c>
      <c r="AD669">
        <f>$C669*AD668</f>
        <v/>
      </c>
      <c r="AE669">
        <f>$C669*AE668</f>
        <v/>
      </c>
      <c r="AF669">
        <f>$C669*AF668</f>
        <v/>
      </c>
      <c r="AG669">
        <f>$C669*AG668</f>
        <v/>
      </c>
      <c r="AH669">
        <f>$C669*AH668</f>
        <v/>
      </c>
      <c r="AI669">
        <f>$C669*AI668</f>
        <v/>
      </c>
      <c r="AJ669">
        <f>$C669*AJ668</f>
        <v/>
      </c>
      <c r="AK669">
        <f>$C669*AK668</f>
        <v/>
      </c>
      <c r="AL669">
        <f>$C669*AL668</f>
        <v/>
      </c>
      <c r="AM669">
        <f>$C669*AM668</f>
        <v/>
      </c>
      <c r="AN669">
        <f>$C669*AN668</f>
        <v/>
      </c>
      <c r="AO669">
        <f>$C669*AO668</f>
        <v/>
      </c>
      <c r="AP669">
        <f>$C669*AP668</f>
        <v/>
      </c>
      <c r="AQ669">
        <f>$C669*AQ668</f>
        <v/>
      </c>
      <c r="AR669">
        <f>$C669*AR668</f>
        <v/>
      </c>
      <c r="AS669">
        <f>$C669*AS668</f>
        <v/>
      </c>
      <c r="AT669">
        <f>$C669*AT668</f>
        <v/>
      </c>
      <c r="AU669">
        <f>$C669*AU668</f>
        <v/>
      </c>
      <c r="AV669">
        <f>$C669*AV668</f>
        <v/>
      </c>
      <c r="AW669">
        <f>$C669*AW668</f>
        <v/>
      </c>
      <c r="AX669">
        <f>$C669*AX668</f>
        <v/>
      </c>
      <c r="AY669">
        <f>$C669*AY668</f>
        <v/>
      </c>
      <c r="AZ669">
        <f>$C669*AZ668</f>
        <v/>
      </c>
      <c r="BA669">
        <f>$C669*BA668</f>
        <v/>
      </c>
      <c r="BB669">
        <f>$C669*BB668</f>
        <v/>
      </c>
      <c r="BC669">
        <f>$C669*BC668</f>
        <v/>
      </c>
      <c r="BD669">
        <f>$C669*BD668</f>
        <v/>
      </c>
      <c r="BE669">
        <f>$C669*BE668</f>
        <v/>
      </c>
      <c r="BF669">
        <f>$C669*BF668</f>
        <v/>
      </c>
      <c r="BG669">
        <f>$C669*BG668</f>
        <v/>
      </c>
      <c r="BH669">
        <f>$C669*BH668</f>
        <v/>
      </c>
      <c r="BI669">
        <f>$C669*BI668</f>
        <v/>
      </c>
      <c r="BJ669">
        <f>$C669*BJ668</f>
        <v/>
      </c>
      <c r="BK669">
        <f>$C669*BK668</f>
        <v/>
      </c>
      <c r="BL669">
        <f>$C669*BL668</f>
        <v/>
      </c>
      <c r="BM669">
        <f>$C669*BM668</f>
        <v/>
      </c>
      <c r="BN669">
        <f>$C669*BN668</f>
        <v/>
      </c>
      <c r="BO669">
        <f>$C669*BO668</f>
        <v/>
      </c>
      <c r="BP669">
        <f>$C669*BP668</f>
        <v/>
      </c>
      <c r="BQ669">
        <f>$C669*BQ668</f>
        <v/>
      </c>
      <c r="BR669">
        <f>$C669*BR668</f>
        <v/>
      </c>
      <c r="BS669">
        <f>$C669*BS668</f>
        <v/>
      </c>
      <c r="BT669">
        <f>$C669*BT668</f>
        <v/>
      </c>
      <c r="BU669">
        <f>$C669*BU668</f>
        <v/>
      </c>
      <c r="BV669">
        <f>$C669*BV668</f>
        <v/>
      </c>
      <c r="BW669">
        <f>$C669*BW668</f>
        <v/>
      </c>
      <c r="BX669">
        <f>$C669*BX668</f>
        <v/>
      </c>
      <c r="BY669">
        <f>$C669*BY668</f>
        <v/>
      </c>
      <c r="BZ669">
        <f>$C669*BZ668</f>
        <v/>
      </c>
      <c r="CA669">
        <f>$C669*CA668</f>
        <v/>
      </c>
      <c r="CB669">
        <f>$C669*CB668</f>
        <v/>
      </c>
      <c r="CC669">
        <f>$C669*CC668</f>
        <v/>
      </c>
      <c r="CD669">
        <f>$C669*CD668</f>
        <v/>
      </c>
      <c r="CE669">
        <f>$C669*CE668</f>
        <v/>
      </c>
      <c r="CF669">
        <f>$C669*CF668</f>
        <v/>
      </c>
      <c r="CG669">
        <f>$C669*CG668</f>
        <v/>
      </c>
      <c r="CH669">
        <f>$C669*CH668</f>
        <v/>
      </c>
      <c r="CI669">
        <f>$C669*CI668</f>
        <v/>
      </c>
      <c r="CJ669">
        <f>$C669*CJ668</f>
        <v/>
      </c>
      <c r="CK669">
        <f>$C669*CK668</f>
        <v/>
      </c>
      <c r="CL669">
        <f>$C669*CL668</f>
        <v/>
      </c>
      <c r="CM669">
        <f>$C669*CM668</f>
        <v/>
      </c>
      <c r="CN669">
        <f>$C669*CN668</f>
        <v/>
      </c>
      <c r="CO669">
        <f>$C669*CO668</f>
        <v/>
      </c>
      <c r="CP669">
        <f>$C669*CP668</f>
        <v/>
      </c>
      <c r="CQ669">
        <f>$C669*CQ668</f>
        <v/>
      </c>
      <c r="CR669">
        <f>$C669*CR668</f>
        <v/>
      </c>
      <c r="CS669">
        <f>$C669*CS668</f>
        <v/>
      </c>
      <c r="CT669">
        <f>$C669*CT668</f>
        <v/>
      </c>
      <c r="CU669">
        <f>$C669*CU668</f>
        <v/>
      </c>
      <c r="CV669">
        <f>$C669*CV668</f>
        <v/>
      </c>
      <c r="CW669">
        <f>$C669*CW668</f>
        <v/>
      </c>
      <c r="CX669">
        <f>$C669*CX668</f>
        <v/>
      </c>
      <c r="CY669">
        <f>$C669*CY668</f>
        <v/>
      </c>
      <c r="CZ669">
        <f>$C669*CZ668</f>
        <v/>
      </c>
      <c r="DA669">
        <f>$C669*DA668</f>
        <v/>
      </c>
      <c r="DB669">
        <f>$C669*DB668</f>
        <v/>
      </c>
      <c r="DC669">
        <f>$C669*DC668</f>
        <v/>
      </c>
    </row>
    <row r="670">
      <c r="B670" t="inlineStr">
        <is>
          <t>VSP-989</t>
        </is>
      </c>
      <c r="C670" t="inlineStr">
        <is>
          <t>No. of batches</t>
        </is>
      </c>
      <c r="D670">
        <f>IFERROR(INDEX(PP_Grid[#Data],$DD670,2),0)</f>
        <v/>
      </c>
      <c r="E670">
        <f>IFERROR(INDEX(PP_Grid[#Data],$DD670,3),0)</f>
        <v/>
      </c>
      <c r="F670">
        <f>IFERROR(INDEX(PP_Grid[#Data],$DD670,4),0)</f>
        <v/>
      </c>
      <c r="G670">
        <f>IFERROR(INDEX(PP_Grid[#Data],$DD670,5),0)</f>
        <v/>
      </c>
      <c r="H670">
        <f>IFERROR(INDEX(PP_Grid[#Data],$DD670,6),0)</f>
        <v/>
      </c>
      <c r="I670">
        <f>IFERROR(INDEX(PP_Grid[#Data],$DD670,7),0)</f>
        <v/>
      </c>
      <c r="J670">
        <f>IFERROR(INDEX(PP_Grid[#Data],$DD670,8),0)</f>
        <v/>
      </c>
      <c r="K670">
        <f>IFERROR(INDEX(PP_Grid[#Data],$DD670,9),0)</f>
        <v/>
      </c>
      <c r="L670">
        <f>IFERROR(INDEX(PP_Grid[#Data],$DD670,10),0)</f>
        <v/>
      </c>
      <c r="M670">
        <f>IFERROR(INDEX(PP_Grid[#Data],$DD670,11),0)</f>
        <v/>
      </c>
      <c r="N670">
        <f>IFERROR(INDEX(PP_Grid[#Data],$DD670,12),0)</f>
        <v/>
      </c>
      <c r="O670">
        <f>IFERROR(INDEX(PP_Grid[#Data],$DD670,13),0)</f>
        <v/>
      </c>
      <c r="P670">
        <f>IFERROR(INDEX(PP_Grid[#Data],$DD670,14),0)</f>
        <v/>
      </c>
      <c r="Q670">
        <f>IFERROR(INDEX(PP_Grid[#Data],$DD670,15),0)</f>
        <v/>
      </c>
      <c r="R670">
        <f>IFERROR(INDEX(PP_Grid[#Data],$DD670,16),0)</f>
        <v/>
      </c>
      <c r="S670">
        <f>IFERROR(INDEX(PP_Grid[#Data],$DD670,17),0)</f>
        <v/>
      </c>
      <c r="T670">
        <f>IFERROR(INDEX(PP_Grid[#Data],$DD670,18),0)</f>
        <v/>
      </c>
      <c r="U670">
        <f>IFERROR(INDEX(PP_Grid[#Data],$DD670,19),0)</f>
        <v/>
      </c>
      <c r="V670">
        <f>IFERROR(INDEX(PP_Grid[#Data],$DD670,20),0)</f>
        <v/>
      </c>
      <c r="W670">
        <f>IFERROR(INDEX(PP_Grid[#Data],$DD670,21),0)</f>
        <v/>
      </c>
      <c r="X670">
        <f>IFERROR(INDEX(PP_Grid[#Data],$DD670,22),0)</f>
        <v/>
      </c>
      <c r="Y670">
        <f>IFERROR(INDEX(PP_Grid[#Data],$DD670,23),0)</f>
        <v/>
      </c>
      <c r="Z670">
        <f>IFERROR(INDEX(PP_Grid[#Data],$DD670,24),0)</f>
        <v/>
      </c>
      <c r="AA670">
        <f>IFERROR(INDEX(PP_Grid[#Data],$DD670,25),0)</f>
        <v/>
      </c>
      <c r="AB670">
        <f>IFERROR(INDEX(PP_Grid[#Data],$DD670,26),0)</f>
        <v/>
      </c>
      <c r="AC670">
        <f>IFERROR(INDEX(PP_Grid[#Data],$DD670,27),0)</f>
        <v/>
      </c>
      <c r="AD670">
        <f>IFERROR(INDEX(PP_Grid[#Data],$DD670,28),0)</f>
        <v/>
      </c>
      <c r="AE670">
        <f>IFERROR(INDEX(PP_Grid[#Data],$DD670,29),0)</f>
        <v/>
      </c>
      <c r="AF670">
        <f>IFERROR(INDEX(PP_Grid[#Data],$DD670,30),0)</f>
        <v/>
      </c>
      <c r="AG670">
        <f>IFERROR(INDEX(PP_Grid[#Data],$DD670,31),0)</f>
        <v/>
      </c>
      <c r="AH670">
        <f>IFERROR(INDEX(PP_Grid[#Data],$DD670,32),0)</f>
        <v/>
      </c>
      <c r="AI670">
        <f>IFERROR(INDEX(PP_Grid[#Data],$DD670,33),0)</f>
        <v/>
      </c>
      <c r="AJ670">
        <f>IFERROR(INDEX(PP_Grid[#Data],$DD670,34),0)</f>
        <v/>
      </c>
      <c r="AK670">
        <f>IFERROR(INDEX(PP_Grid[#Data],$DD670,35),0)</f>
        <v/>
      </c>
      <c r="AL670">
        <f>IFERROR(INDEX(PP_Grid[#Data],$DD670,36),0)</f>
        <v/>
      </c>
      <c r="AM670">
        <f>IFERROR(INDEX(PP_Grid[#Data],$DD670,37),0)</f>
        <v/>
      </c>
      <c r="AN670">
        <f>IFERROR(INDEX(PP_Grid[#Data],$DD670,38),0)</f>
        <v/>
      </c>
      <c r="AO670">
        <f>IFERROR(INDEX(PP_Grid[#Data],$DD670,39),0)</f>
        <v/>
      </c>
      <c r="AP670">
        <f>IFERROR(INDEX(PP_Grid[#Data],$DD670,40),0)</f>
        <v/>
      </c>
      <c r="AQ670">
        <f>IFERROR(INDEX(PP_Grid[#Data],$DD670,41),0)</f>
        <v/>
      </c>
      <c r="AR670">
        <f>IFERROR(INDEX(PP_Grid[#Data],$DD670,42),0)</f>
        <v/>
      </c>
      <c r="AS670">
        <f>IFERROR(INDEX(PP_Grid[#Data],$DD670,43),0)</f>
        <v/>
      </c>
      <c r="AT670">
        <f>IFERROR(INDEX(PP_Grid[#Data],$DD670,44),0)</f>
        <v/>
      </c>
      <c r="AU670">
        <f>IFERROR(INDEX(PP_Grid[#Data],$DD670,45),0)</f>
        <v/>
      </c>
      <c r="AV670">
        <f>IFERROR(INDEX(PP_Grid[#Data],$DD670,46),0)</f>
        <v/>
      </c>
      <c r="AW670">
        <f>IFERROR(INDEX(PP_Grid[#Data],$DD670,47),0)</f>
        <v/>
      </c>
      <c r="AX670">
        <f>IFERROR(INDEX(PP_Grid[#Data],$DD670,48),0)</f>
        <v/>
      </c>
      <c r="AY670">
        <f>IFERROR(INDEX(PP_Grid[#Data],$DD670,49),0)</f>
        <v/>
      </c>
      <c r="AZ670">
        <f>IFERROR(INDEX(PP_Grid[#Data],$DD670,50),0)</f>
        <v/>
      </c>
      <c r="BA670">
        <f>IFERROR(INDEX(PP_Grid[#Data],$DD670,51),0)</f>
        <v/>
      </c>
      <c r="BB670">
        <f>IFERROR(INDEX(PP_Grid[#Data],$DD670,52),0)</f>
        <v/>
      </c>
      <c r="BC670">
        <f>IFERROR(INDEX(PP_Grid[#Data],$DD670,53),0)</f>
        <v/>
      </c>
      <c r="BD670">
        <f>IFERROR(INDEX(PP_Grid[#Data],$DD670,54),0)</f>
        <v/>
      </c>
      <c r="BE670">
        <f>IFERROR(INDEX(PP_Grid[#Data],$DD670,55),0)</f>
        <v/>
      </c>
      <c r="BF670">
        <f>IFERROR(INDEX(PP_Grid[#Data],$DD670,56),0)</f>
        <v/>
      </c>
      <c r="BG670">
        <f>IFERROR(INDEX(PP_Grid[#Data],$DD670,57),0)</f>
        <v/>
      </c>
      <c r="BH670">
        <f>IFERROR(INDEX(PP_Grid[#Data],$DD670,58),0)</f>
        <v/>
      </c>
      <c r="BI670">
        <f>IFERROR(INDEX(PP_Grid[#Data],$DD670,59),0)</f>
        <v/>
      </c>
      <c r="BJ670">
        <f>IFERROR(INDEX(PP_Grid[#Data],$DD670,60),0)</f>
        <v/>
      </c>
      <c r="BK670">
        <f>IFERROR(INDEX(PP_Grid[#Data],$DD670,61),0)</f>
        <v/>
      </c>
      <c r="BL670">
        <f>IFERROR(INDEX(PP_Grid[#Data],$DD670,62),0)</f>
        <v/>
      </c>
      <c r="BM670">
        <f>IFERROR(INDEX(PP_Grid[#Data],$DD670,63),0)</f>
        <v/>
      </c>
      <c r="BN670">
        <f>IFERROR(INDEX(PP_Grid[#Data],$DD670,64),0)</f>
        <v/>
      </c>
      <c r="BO670">
        <f>IFERROR(INDEX(PP_Grid[#Data],$DD670,65),0)</f>
        <v/>
      </c>
      <c r="BP670">
        <f>IFERROR(INDEX(PP_Grid[#Data],$DD670,66),0)</f>
        <v/>
      </c>
      <c r="BQ670">
        <f>IFERROR(INDEX(PP_Grid[#Data],$DD670,67),0)</f>
        <v/>
      </c>
      <c r="BR670">
        <f>IFERROR(INDEX(PP_Grid[#Data],$DD670,68),0)</f>
        <v/>
      </c>
      <c r="BS670">
        <f>IFERROR(INDEX(PP_Grid[#Data],$DD670,69),0)</f>
        <v/>
      </c>
      <c r="BT670">
        <f>IFERROR(INDEX(PP_Grid[#Data],$DD670,70),0)</f>
        <v/>
      </c>
      <c r="BU670">
        <f>IFERROR(INDEX(PP_Grid[#Data],$DD670,71),0)</f>
        <v/>
      </c>
      <c r="BV670">
        <f>IFERROR(INDEX(PP_Grid[#Data],$DD670,72),0)</f>
        <v/>
      </c>
      <c r="BW670">
        <f>IFERROR(INDEX(PP_Grid[#Data],$DD670,73),0)</f>
        <v/>
      </c>
      <c r="BX670">
        <f>IFERROR(INDEX(PP_Grid[#Data],$DD670,74),0)</f>
        <v/>
      </c>
      <c r="BY670">
        <f>IFERROR(INDEX(PP_Grid[#Data],$DD670,75),0)</f>
        <v/>
      </c>
      <c r="BZ670">
        <f>IFERROR(INDEX(PP_Grid[#Data],$DD670,76),0)</f>
        <v/>
      </c>
      <c r="CA670">
        <f>IFERROR(INDEX(PP_Grid[#Data],$DD670,77),0)</f>
        <v/>
      </c>
      <c r="CB670">
        <f>IFERROR(INDEX(PP_Grid[#Data],$DD670,78),0)</f>
        <v/>
      </c>
      <c r="CC670">
        <f>IFERROR(INDEX(PP_Grid[#Data],$DD670,79),0)</f>
        <v/>
      </c>
      <c r="CD670">
        <f>IFERROR(INDEX(PP_Grid[#Data],$DD670,80),0)</f>
        <v/>
      </c>
      <c r="CE670">
        <f>IFERROR(INDEX(PP_Grid[#Data],$DD670,81),0)</f>
        <v/>
      </c>
      <c r="CF670">
        <f>IFERROR(INDEX(PP_Grid[#Data],$DD670,82),0)</f>
        <v/>
      </c>
      <c r="CG670">
        <f>IFERROR(INDEX(PP_Grid[#Data],$DD670,83),0)</f>
        <v/>
      </c>
      <c r="CH670">
        <f>IFERROR(INDEX(PP_Grid[#Data],$DD670,84),0)</f>
        <v/>
      </c>
      <c r="CI670">
        <f>IFERROR(INDEX(PP_Grid[#Data],$DD670,85),0)</f>
        <v/>
      </c>
      <c r="CJ670">
        <f>IFERROR(INDEX(PP_Grid[#Data],$DD670,86),0)</f>
        <v/>
      </c>
      <c r="CK670">
        <f>IFERROR(INDEX(PP_Grid[#Data],$DD670,87),0)</f>
        <v/>
      </c>
      <c r="CL670">
        <f>IFERROR(INDEX(PP_Grid[#Data],$DD670,88),0)</f>
        <v/>
      </c>
      <c r="CM670">
        <f>IFERROR(INDEX(PP_Grid[#Data],$DD670,89),0)</f>
        <v/>
      </c>
      <c r="CN670">
        <f>IFERROR(INDEX(PP_Grid[#Data],$DD670,90),0)</f>
        <v/>
      </c>
      <c r="CO670">
        <f>IFERROR(INDEX(PP_Grid[#Data],$DD670,91),0)</f>
        <v/>
      </c>
      <c r="CP670">
        <f>IFERROR(INDEX(PP_Grid[#Data],$DD670,92),0)</f>
        <v/>
      </c>
      <c r="CQ670">
        <f>IFERROR(INDEX(PP_Grid[#Data],$DD670,93),0)</f>
        <v/>
      </c>
      <c r="CR670">
        <f>IFERROR(INDEX(PP_Grid[#Data],$DD670,94),0)</f>
        <v/>
      </c>
      <c r="CS670">
        <f>IFERROR(INDEX(PP_Grid[#Data],$DD670,95),0)</f>
        <v/>
      </c>
      <c r="CT670">
        <f>IFERROR(INDEX(PP_Grid[#Data],$DD670,96),0)</f>
        <v/>
      </c>
      <c r="CU670">
        <f>IFERROR(INDEX(PP_Grid[#Data],$DD670,97),0)</f>
        <v/>
      </c>
      <c r="CV670">
        <f>IFERROR(INDEX(PP_Grid[#Data],$DD670,98),0)</f>
        <v/>
      </c>
      <c r="CW670">
        <f>IFERROR(INDEX(PP_Grid[#Data],$DD670,99),0)</f>
        <v/>
      </c>
      <c r="CX670">
        <f>IFERROR(INDEX(PP_Grid[#Data],$DD670,100),0)</f>
        <v/>
      </c>
      <c r="CY670">
        <f>IFERROR(INDEX(PP_Grid[#Data],$DD670,101),0)</f>
        <v/>
      </c>
      <c r="CZ670">
        <f>IFERROR(INDEX(PP_Grid[#Data],$DD670,102),0)</f>
        <v/>
      </c>
      <c r="DA670">
        <f>IFERROR(INDEX(PP_Grid[#Data],$DD670,103),0)</f>
        <v/>
      </c>
      <c r="DB670">
        <f>IFERROR(INDEX(PP_Grid[#Data],$DD670,104),0)</f>
        <v/>
      </c>
      <c r="DC670">
        <f>IFERROR(INDEX(PP_Grid[#Data],$DD670,105),0)</f>
        <v/>
      </c>
      <c r="DD670" s="7">
        <f>IFERROR(MATCH($B670,PP_Grid[Intermediate],0),99999)</f>
        <v/>
      </c>
    </row>
    <row r="671">
      <c r="B671" t="inlineStr">
        <is>
          <t>使用量(kg)</t>
        </is>
      </c>
      <c r="C671">
        <f>SUMIFS(M_BOM[RM_Qty_Per_Batch],M_BOM[Intermediate],$B670,M_BOM[Part Name],$A653)</f>
        <v/>
      </c>
      <c r="D671">
        <f>$C671*D670</f>
        <v/>
      </c>
      <c r="E671">
        <f>$C671*E670</f>
        <v/>
      </c>
      <c r="F671">
        <f>$C671*F670</f>
        <v/>
      </c>
      <c r="G671">
        <f>$C671*G670</f>
        <v/>
      </c>
      <c r="H671">
        <f>$C671*H670</f>
        <v/>
      </c>
      <c r="I671">
        <f>$C671*I670</f>
        <v/>
      </c>
      <c r="J671">
        <f>$C671*J670</f>
        <v/>
      </c>
      <c r="K671">
        <f>$C671*K670</f>
        <v/>
      </c>
      <c r="L671">
        <f>$C671*L670</f>
        <v/>
      </c>
      <c r="M671">
        <f>$C671*M670</f>
        <v/>
      </c>
      <c r="N671">
        <f>$C671*N670</f>
        <v/>
      </c>
      <c r="O671">
        <f>$C671*O670</f>
        <v/>
      </c>
      <c r="P671">
        <f>$C671*P670</f>
        <v/>
      </c>
      <c r="Q671">
        <f>$C671*Q670</f>
        <v/>
      </c>
      <c r="R671">
        <f>$C671*R670</f>
        <v/>
      </c>
      <c r="S671">
        <f>$C671*S670</f>
        <v/>
      </c>
      <c r="T671">
        <f>$C671*T670</f>
        <v/>
      </c>
      <c r="U671">
        <f>$C671*U670</f>
        <v/>
      </c>
      <c r="V671">
        <f>$C671*V670</f>
        <v/>
      </c>
      <c r="W671">
        <f>$C671*W670</f>
        <v/>
      </c>
      <c r="X671">
        <f>$C671*X670</f>
        <v/>
      </c>
      <c r="Y671">
        <f>$C671*Y670</f>
        <v/>
      </c>
      <c r="Z671">
        <f>$C671*Z670</f>
        <v/>
      </c>
      <c r="AA671">
        <f>$C671*AA670</f>
        <v/>
      </c>
      <c r="AB671">
        <f>$C671*AB670</f>
        <v/>
      </c>
      <c r="AC671">
        <f>$C671*AC670</f>
        <v/>
      </c>
      <c r="AD671">
        <f>$C671*AD670</f>
        <v/>
      </c>
      <c r="AE671">
        <f>$C671*AE670</f>
        <v/>
      </c>
      <c r="AF671">
        <f>$C671*AF670</f>
        <v/>
      </c>
      <c r="AG671">
        <f>$C671*AG670</f>
        <v/>
      </c>
      <c r="AH671">
        <f>$C671*AH670</f>
        <v/>
      </c>
      <c r="AI671">
        <f>$C671*AI670</f>
        <v/>
      </c>
      <c r="AJ671">
        <f>$C671*AJ670</f>
        <v/>
      </c>
      <c r="AK671">
        <f>$C671*AK670</f>
        <v/>
      </c>
      <c r="AL671">
        <f>$C671*AL670</f>
        <v/>
      </c>
      <c r="AM671">
        <f>$C671*AM670</f>
        <v/>
      </c>
      <c r="AN671">
        <f>$C671*AN670</f>
        <v/>
      </c>
      <c r="AO671">
        <f>$C671*AO670</f>
        <v/>
      </c>
      <c r="AP671">
        <f>$C671*AP670</f>
        <v/>
      </c>
      <c r="AQ671">
        <f>$C671*AQ670</f>
        <v/>
      </c>
      <c r="AR671">
        <f>$C671*AR670</f>
        <v/>
      </c>
      <c r="AS671">
        <f>$C671*AS670</f>
        <v/>
      </c>
      <c r="AT671">
        <f>$C671*AT670</f>
        <v/>
      </c>
      <c r="AU671">
        <f>$C671*AU670</f>
        <v/>
      </c>
      <c r="AV671">
        <f>$C671*AV670</f>
        <v/>
      </c>
      <c r="AW671">
        <f>$C671*AW670</f>
        <v/>
      </c>
      <c r="AX671">
        <f>$C671*AX670</f>
        <v/>
      </c>
      <c r="AY671">
        <f>$C671*AY670</f>
        <v/>
      </c>
      <c r="AZ671">
        <f>$C671*AZ670</f>
        <v/>
      </c>
      <c r="BA671">
        <f>$C671*BA670</f>
        <v/>
      </c>
      <c r="BB671">
        <f>$C671*BB670</f>
        <v/>
      </c>
      <c r="BC671">
        <f>$C671*BC670</f>
        <v/>
      </c>
      <c r="BD671">
        <f>$C671*BD670</f>
        <v/>
      </c>
      <c r="BE671">
        <f>$C671*BE670</f>
        <v/>
      </c>
      <c r="BF671">
        <f>$C671*BF670</f>
        <v/>
      </c>
      <c r="BG671">
        <f>$C671*BG670</f>
        <v/>
      </c>
      <c r="BH671">
        <f>$C671*BH670</f>
        <v/>
      </c>
      <c r="BI671">
        <f>$C671*BI670</f>
        <v/>
      </c>
      <c r="BJ671">
        <f>$C671*BJ670</f>
        <v/>
      </c>
      <c r="BK671">
        <f>$C671*BK670</f>
        <v/>
      </c>
      <c r="BL671">
        <f>$C671*BL670</f>
        <v/>
      </c>
      <c r="BM671">
        <f>$C671*BM670</f>
        <v/>
      </c>
      <c r="BN671">
        <f>$C671*BN670</f>
        <v/>
      </c>
      <c r="BO671">
        <f>$C671*BO670</f>
        <v/>
      </c>
      <c r="BP671">
        <f>$C671*BP670</f>
        <v/>
      </c>
      <c r="BQ671">
        <f>$C671*BQ670</f>
        <v/>
      </c>
      <c r="BR671">
        <f>$C671*BR670</f>
        <v/>
      </c>
      <c r="BS671">
        <f>$C671*BS670</f>
        <v/>
      </c>
      <c r="BT671">
        <f>$C671*BT670</f>
        <v/>
      </c>
      <c r="BU671">
        <f>$C671*BU670</f>
        <v/>
      </c>
      <c r="BV671">
        <f>$C671*BV670</f>
        <v/>
      </c>
      <c r="BW671">
        <f>$C671*BW670</f>
        <v/>
      </c>
      <c r="BX671">
        <f>$C671*BX670</f>
        <v/>
      </c>
      <c r="BY671">
        <f>$C671*BY670</f>
        <v/>
      </c>
      <c r="BZ671">
        <f>$C671*BZ670</f>
        <v/>
      </c>
      <c r="CA671">
        <f>$C671*CA670</f>
        <v/>
      </c>
      <c r="CB671">
        <f>$C671*CB670</f>
        <v/>
      </c>
      <c r="CC671">
        <f>$C671*CC670</f>
        <v/>
      </c>
      <c r="CD671">
        <f>$C671*CD670</f>
        <v/>
      </c>
      <c r="CE671">
        <f>$C671*CE670</f>
        <v/>
      </c>
      <c r="CF671">
        <f>$C671*CF670</f>
        <v/>
      </c>
      <c r="CG671">
        <f>$C671*CG670</f>
        <v/>
      </c>
      <c r="CH671">
        <f>$C671*CH670</f>
        <v/>
      </c>
      <c r="CI671">
        <f>$C671*CI670</f>
        <v/>
      </c>
      <c r="CJ671">
        <f>$C671*CJ670</f>
        <v/>
      </c>
      <c r="CK671">
        <f>$C671*CK670</f>
        <v/>
      </c>
      <c r="CL671">
        <f>$C671*CL670</f>
        <v/>
      </c>
      <c r="CM671">
        <f>$C671*CM670</f>
        <v/>
      </c>
      <c r="CN671">
        <f>$C671*CN670</f>
        <v/>
      </c>
      <c r="CO671">
        <f>$C671*CO670</f>
        <v/>
      </c>
      <c r="CP671">
        <f>$C671*CP670</f>
        <v/>
      </c>
      <c r="CQ671">
        <f>$C671*CQ670</f>
        <v/>
      </c>
      <c r="CR671">
        <f>$C671*CR670</f>
        <v/>
      </c>
      <c r="CS671">
        <f>$C671*CS670</f>
        <v/>
      </c>
      <c r="CT671">
        <f>$C671*CT670</f>
        <v/>
      </c>
      <c r="CU671">
        <f>$C671*CU670</f>
        <v/>
      </c>
      <c r="CV671">
        <f>$C671*CV670</f>
        <v/>
      </c>
      <c r="CW671">
        <f>$C671*CW670</f>
        <v/>
      </c>
      <c r="CX671">
        <f>$C671*CX670</f>
        <v/>
      </c>
      <c r="CY671">
        <f>$C671*CY670</f>
        <v/>
      </c>
      <c r="CZ671">
        <f>$C671*CZ670</f>
        <v/>
      </c>
      <c r="DA671">
        <f>$C671*DA670</f>
        <v/>
      </c>
      <c r="DB671">
        <f>$C671*DB670</f>
        <v/>
      </c>
      <c r="DC671">
        <f>$C671*DC670</f>
        <v/>
      </c>
    </row>
    <row r="672">
      <c r="B672" t="inlineStr">
        <is>
          <t>VSP-990</t>
        </is>
      </c>
      <c r="C672" t="inlineStr">
        <is>
          <t>No. of batches</t>
        </is>
      </c>
      <c r="D672">
        <f>IFERROR(INDEX(PP_Grid[#Data],$DD672,2),0)</f>
        <v/>
      </c>
      <c r="E672">
        <f>IFERROR(INDEX(PP_Grid[#Data],$DD672,3),0)</f>
        <v/>
      </c>
      <c r="F672">
        <f>IFERROR(INDEX(PP_Grid[#Data],$DD672,4),0)</f>
        <v/>
      </c>
      <c r="G672">
        <f>IFERROR(INDEX(PP_Grid[#Data],$DD672,5),0)</f>
        <v/>
      </c>
      <c r="H672">
        <f>IFERROR(INDEX(PP_Grid[#Data],$DD672,6),0)</f>
        <v/>
      </c>
      <c r="I672">
        <f>IFERROR(INDEX(PP_Grid[#Data],$DD672,7),0)</f>
        <v/>
      </c>
      <c r="J672">
        <f>IFERROR(INDEX(PP_Grid[#Data],$DD672,8),0)</f>
        <v/>
      </c>
      <c r="K672">
        <f>IFERROR(INDEX(PP_Grid[#Data],$DD672,9),0)</f>
        <v/>
      </c>
      <c r="L672">
        <f>IFERROR(INDEX(PP_Grid[#Data],$DD672,10),0)</f>
        <v/>
      </c>
      <c r="M672">
        <f>IFERROR(INDEX(PP_Grid[#Data],$DD672,11),0)</f>
        <v/>
      </c>
      <c r="N672">
        <f>IFERROR(INDEX(PP_Grid[#Data],$DD672,12),0)</f>
        <v/>
      </c>
      <c r="O672">
        <f>IFERROR(INDEX(PP_Grid[#Data],$DD672,13),0)</f>
        <v/>
      </c>
      <c r="P672">
        <f>IFERROR(INDEX(PP_Grid[#Data],$DD672,14),0)</f>
        <v/>
      </c>
      <c r="Q672">
        <f>IFERROR(INDEX(PP_Grid[#Data],$DD672,15),0)</f>
        <v/>
      </c>
      <c r="R672">
        <f>IFERROR(INDEX(PP_Grid[#Data],$DD672,16),0)</f>
        <v/>
      </c>
      <c r="S672">
        <f>IFERROR(INDEX(PP_Grid[#Data],$DD672,17),0)</f>
        <v/>
      </c>
      <c r="T672">
        <f>IFERROR(INDEX(PP_Grid[#Data],$DD672,18),0)</f>
        <v/>
      </c>
      <c r="U672">
        <f>IFERROR(INDEX(PP_Grid[#Data],$DD672,19),0)</f>
        <v/>
      </c>
      <c r="V672">
        <f>IFERROR(INDEX(PP_Grid[#Data],$DD672,20),0)</f>
        <v/>
      </c>
      <c r="W672">
        <f>IFERROR(INDEX(PP_Grid[#Data],$DD672,21),0)</f>
        <v/>
      </c>
      <c r="X672">
        <f>IFERROR(INDEX(PP_Grid[#Data],$DD672,22),0)</f>
        <v/>
      </c>
      <c r="Y672">
        <f>IFERROR(INDEX(PP_Grid[#Data],$DD672,23),0)</f>
        <v/>
      </c>
      <c r="Z672">
        <f>IFERROR(INDEX(PP_Grid[#Data],$DD672,24),0)</f>
        <v/>
      </c>
      <c r="AA672">
        <f>IFERROR(INDEX(PP_Grid[#Data],$DD672,25),0)</f>
        <v/>
      </c>
      <c r="AB672">
        <f>IFERROR(INDEX(PP_Grid[#Data],$DD672,26),0)</f>
        <v/>
      </c>
      <c r="AC672">
        <f>IFERROR(INDEX(PP_Grid[#Data],$DD672,27),0)</f>
        <v/>
      </c>
      <c r="AD672">
        <f>IFERROR(INDEX(PP_Grid[#Data],$DD672,28),0)</f>
        <v/>
      </c>
      <c r="AE672">
        <f>IFERROR(INDEX(PP_Grid[#Data],$DD672,29),0)</f>
        <v/>
      </c>
      <c r="AF672">
        <f>IFERROR(INDEX(PP_Grid[#Data],$DD672,30),0)</f>
        <v/>
      </c>
      <c r="AG672">
        <f>IFERROR(INDEX(PP_Grid[#Data],$DD672,31),0)</f>
        <v/>
      </c>
      <c r="AH672">
        <f>IFERROR(INDEX(PP_Grid[#Data],$DD672,32),0)</f>
        <v/>
      </c>
      <c r="AI672">
        <f>IFERROR(INDEX(PP_Grid[#Data],$DD672,33),0)</f>
        <v/>
      </c>
      <c r="AJ672">
        <f>IFERROR(INDEX(PP_Grid[#Data],$DD672,34),0)</f>
        <v/>
      </c>
      <c r="AK672">
        <f>IFERROR(INDEX(PP_Grid[#Data],$DD672,35),0)</f>
        <v/>
      </c>
      <c r="AL672">
        <f>IFERROR(INDEX(PP_Grid[#Data],$DD672,36),0)</f>
        <v/>
      </c>
      <c r="AM672">
        <f>IFERROR(INDEX(PP_Grid[#Data],$DD672,37),0)</f>
        <v/>
      </c>
      <c r="AN672">
        <f>IFERROR(INDEX(PP_Grid[#Data],$DD672,38),0)</f>
        <v/>
      </c>
      <c r="AO672">
        <f>IFERROR(INDEX(PP_Grid[#Data],$DD672,39),0)</f>
        <v/>
      </c>
      <c r="AP672">
        <f>IFERROR(INDEX(PP_Grid[#Data],$DD672,40),0)</f>
        <v/>
      </c>
      <c r="AQ672">
        <f>IFERROR(INDEX(PP_Grid[#Data],$DD672,41),0)</f>
        <v/>
      </c>
      <c r="AR672">
        <f>IFERROR(INDEX(PP_Grid[#Data],$DD672,42),0)</f>
        <v/>
      </c>
      <c r="AS672">
        <f>IFERROR(INDEX(PP_Grid[#Data],$DD672,43),0)</f>
        <v/>
      </c>
      <c r="AT672">
        <f>IFERROR(INDEX(PP_Grid[#Data],$DD672,44),0)</f>
        <v/>
      </c>
      <c r="AU672">
        <f>IFERROR(INDEX(PP_Grid[#Data],$DD672,45),0)</f>
        <v/>
      </c>
      <c r="AV672">
        <f>IFERROR(INDEX(PP_Grid[#Data],$DD672,46),0)</f>
        <v/>
      </c>
      <c r="AW672">
        <f>IFERROR(INDEX(PP_Grid[#Data],$DD672,47),0)</f>
        <v/>
      </c>
      <c r="AX672">
        <f>IFERROR(INDEX(PP_Grid[#Data],$DD672,48),0)</f>
        <v/>
      </c>
      <c r="AY672">
        <f>IFERROR(INDEX(PP_Grid[#Data],$DD672,49),0)</f>
        <v/>
      </c>
      <c r="AZ672">
        <f>IFERROR(INDEX(PP_Grid[#Data],$DD672,50),0)</f>
        <v/>
      </c>
      <c r="BA672">
        <f>IFERROR(INDEX(PP_Grid[#Data],$DD672,51),0)</f>
        <v/>
      </c>
      <c r="BB672">
        <f>IFERROR(INDEX(PP_Grid[#Data],$DD672,52),0)</f>
        <v/>
      </c>
      <c r="BC672">
        <f>IFERROR(INDEX(PP_Grid[#Data],$DD672,53),0)</f>
        <v/>
      </c>
      <c r="BD672">
        <f>IFERROR(INDEX(PP_Grid[#Data],$DD672,54),0)</f>
        <v/>
      </c>
      <c r="BE672">
        <f>IFERROR(INDEX(PP_Grid[#Data],$DD672,55),0)</f>
        <v/>
      </c>
      <c r="BF672">
        <f>IFERROR(INDEX(PP_Grid[#Data],$DD672,56),0)</f>
        <v/>
      </c>
      <c r="BG672">
        <f>IFERROR(INDEX(PP_Grid[#Data],$DD672,57),0)</f>
        <v/>
      </c>
      <c r="BH672">
        <f>IFERROR(INDEX(PP_Grid[#Data],$DD672,58),0)</f>
        <v/>
      </c>
      <c r="BI672">
        <f>IFERROR(INDEX(PP_Grid[#Data],$DD672,59),0)</f>
        <v/>
      </c>
      <c r="BJ672">
        <f>IFERROR(INDEX(PP_Grid[#Data],$DD672,60),0)</f>
        <v/>
      </c>
      <c r="BK672">
        <f>IFERROR(INDEX(PP_Grid[#Data],$DD672,61),0)</f>
        <v/>
      </c>
      <c r="BL672">
        <f>IFERROR(INDEX(PP_Grid[#Data],$DD672,62),0)</f>
        <v/>
      </c>
      <c r="BM672">
        <f>IFERROR(INDEX(PP_Grid[#Data],$DD672,63),0)</f>
        <v/>
      </c>
      <c r="BN672">
        <f>IFERROR(INDEX(PP_Grid[#Data],$DD672,64),0)</f>
        <v/>
      </c>
      <c r="BO672">
        <f>IFERROR(INDEX(PP_Grid[#Data],$DD672,65),0)</f>
        <v/>
      </c>
      <c r="BP672">
        <f>IFERROR(INDEX(PP_Grid[#Data],$DD672,66),0)</f>
        <v/>
      </c>
      <c r="BQ672">
        <f>IFERROR(INDEX(PP_Grid[#Data],$DD672,67),0)</f>
        <v/>
      </c>
      <c r="BR672">
        <f>IFERROR(INDEX(PP_Grid[#Data],$DD672,68),0)</f>
        <v/>
      </c>
      <c r="BS672">
        <f>IFERROR(INDEX(PP_Grid[#Data],$DD672,69),0)</f>
        <v/>
      </c>
      <c r="BT672">
        <f>IFERROR(INDEX(PP_Grid[#Data],$DD672,70),0)</f>
        <v/>
      </c>
      <c r="BU672">
        <f>IFERROR(INDEX(PP_Grid[#Data],$DD672,71),0)</f>
        <v/>
      </c>
      <c r="BV672">
        <f>IFERROR(INDEX(PP_Grid[#Data],$DD672,72),0)</f>
        <v/>
      </c>
      <c r="BW672">
        <f>IFERROR(INDEX(PP_Grid[#Data],$DD672,73),0)</f>
        <v/>
      </c>
      <c r="BX672">
        <f>IFERROR(INDEX(PP_Grid[#Data],$DD672,74),0)</f>
        <v/>
      </c>
      <c r="BY672">
        <f>IFERROR(INDEX(PP_Grid[#Data],$DD672,75),0)</f>
        <v/>
      </c>
      <c r="BZ672">
        <f>IFERROR(INDEX(PP_Grid[#Data],$DD672,76),0)</f>
        <v/>
      </c>
      <c r="CA672">
        <f>IFERROR(INDEX(PP_Grid[#Data],$DD672,77),0)</f>
        <v/>
      </c>
      <c r="CB672">
        <f>IFERROR(INDEX(PP_Grid[#Data],$DD672,78),0)</f>
        <v/>
      </c>
      <c r="CC672">
        <f>IFERROR(INDEX(PP_Grid[#Data],$DD672,79),0)</f>
        <v/>
      </c>
      <c r="CD672">
        <f>IFERROR(INDEX(PP_Grid[#Data],$DD672,80),0)</f>
        <v/>
      </c>
      <c r="CE672">
        <f>IFERROR(INDEX(PP_Grid[#Data],$DD672,81),0)</f>
        <v/>
      </c>
      <c r="CF672">
        <f>IFERROR(INDEX(PP_Grid[#Data],$DD672,82),0)</f>
        <v/>
      </c>
      <c r="CG672">
        <f>IFERROR(INDEX(PP_Grid[#Data],$DD672,83),0)</f>
        <v/>
      </c>
      <c r="CH672">
        <f>IFERROR(INDEX(PP_Grid[#Data],$DD672,84),0)</f>
        <v/>
      </c>
      <c r="CI672">
        <f>IFERROR(INDEX(PP_Grid[#Data],$DD672,85),0)</f>
        <v/>
      </c>
      <c r="CJ672">
        <f>IFERROR(INDEX(PP_Grid[#Data],$DD672,86),0)</f>
        <v/>
      </c>
      <c r="CK672">
        <f>IFERROR(INDEX(PP_Grid[#Data],$DD672,87),0)</f>
        <v/>
      </c>
      <c r="CL672">
        <f>IFERROR(INDEX(PP_Grid[#Data],$DD672,88),0)</f>
        <v/>
      </c>
      <c r="CM672">
        <f>IFERROR(INDEX(PP_Grid[#Data],$DD672,89),0)</f>
        <v/>
      </c>
      <c r="CN672">
        <f>IFERROR(INDEX(PP_Grid[#Data],$DD672,90),0)</f>
        <v/>
      </c>
      <c r="CO672">
        <f>IFERROR(INDEX(PP_Grid[#Data],$DD672,91),0)</f>
        <v/>
      </c>
      <c r="CP672">
        <f>IFERROR(INDEX(PP_Grid[#Data],$DD672,92),0)</f>
        <v/>
      </c>
      <c r="CQ672">
        <f>IFERROR(INDEX(PP_Grid[#Data],$DD672,93),0)</f>
        <v/>
      </c>
      <c r="CR672">
        <f>IFERROR(INDEX(PP_Grid[#Data],$DD672,94),0)</f>
        <v/>
      </c>
      <c r="CS672">
        <f>IFERROR(INDEX(PP_Grid[#Data],$DD672,95),0)</f>
        <v/>
      </c>
      <c r="CT672">
        <f>IFERROR(INDEX(PP_Grid[#Data],$DD672,96),0)</f>
        <v/>
      </c>
      <c r="CU672">
        <f>IFERROR(INDEX(PP_Grid[#Data],$DD672,97),0)</f>
        <v/>
      </c>
      <c r="CV672">
        <f>IFERROR(INDEX(PP_Grid[#Data],$DD672,98),0)</f>
        <v/>
      </c>
      <c r="CW672">
        <f>IFERROR(INDEX(PP_Grid[#Data],$DD672,99),0)</f>
        <v/>
      </c>
      <c r="CX672">
        <f>IFERROR(INDEX(PP_Grid[#Data],$DD672,100),0)</f>
        <v/>
      </c>
      <c r="CY672">
        <f>IFERROR(INDEX(PP_Grid[#Data],$DD672,101),0)</f>
        <v/>
      </c>
      <c r="CZ672">
        <f>IFERROR(INDEX(PP_Grid[#Data],$DD672,102),0)</f>
        <v/>
      </c>
      <c r="DA672">
        <f>IFERROR(INDEX(PP_Grid[#Data],$DD672,103),0)</f>
        <v/>
      </c>
      <c r="DB672">
        <f>IFERROR(INDEX(PP_Grid[#Data],$DD672,104),0)</f>
        <v/>
      </c>
      <c r="DC672">
        <f>IFERROR(INDEX(PP_Grid[#Data],$DD672,105),0)</f>
        <v/>
      </c>
      <c r="DD672" s="7">
        <f>IFERROR(MATCH($B672,PP_Grid[Intermediate],0),99999)</f>
        <v/>
      </c>
    </row>
    <row r="673">
      <c r="B673" t="inlineStr">
        <is>
          <t>使用量(kg)</t>
        </is>
      </c>
      <c r="C673">
        <f>SUMIFS(M_BOM[RM_Qty_Per_Batch],M_BOM[Intermediate],$B672,M_BOM[Part Name],$A653)</f>
        <v/>
      </c>
      <c r="D673">
        <f>$C673*D672</f>
        <v/>
      </c>
      <c r="E673">
        <f>$C673*E672</f>
        <v/>
      </c>
      <c r="F673">
        <f>$C673*F672</f>
        <v/>
      </c>
      <c r="G673">
        <f>$C673*G672</f>
        <v/>
      </c>
      <c r="H673">
        <f>$C673*H672</f>
        <v/>
      </c>
      <c r="I673">
        <f>$C673*I672</f>
        <v/>
      </c>
      <c r="J673">
        <f>$C673*J672</f>
        <v/>
      </c>
      <c r="K673">
        <f>$C673*K672</f>
        <v/>
      </c>
      <c r="L673">
        <f>$C673*L672</f>
        <v/>
      </c>
      <c r="M673">
        <f>$C673*M672</f>
        <v/>
      </c>
      <c r="N673">
        <f>$C673*N672</f>
        <v/>
      </c>
      <c r="O673">
        <f>$C673*O672</f>
        <v/>
      </c>
      <c r="P673">
        <f>$C673*P672</f>
        <v/>
      </c>
      <c r="Q673">
        <f>$C673*Q672</f>
        <v/>
      </c>
      <c r="R673">
        <f>$C673*R672</f>
        <v/>
      </c>
      <c r="S673">
        <f>$C673*S672</f>
        <v/>
      </c>
      <c r="T673">
        <f>$C673*T672</f>
        <v/>
      </c>
      <c r="U673">
        <f>$C673*U672</f>
        <v/>
      </c>
      <c r="V673">
        <f>$C673*V672</f>
        <v/>
      </c>
      <c r="W673">
        <f>$C673*W672</f>
        <v/>
      </c>
      <c r="X673">
        <f>$C673*X672</f>
        <v/>
      </c>
      <c r="Y673">
        <f>$C673*Y672</f>
        <v/>
      </c>
      <c r="Z673">
        <f>$C673*Z672</f>
        <v/>
      </c>
      <c r="AA673">
        <f>$C673*AA672</f>
        <v/>
      </c>
      <c r="AB673">
        <f>$C673*AB672</f>
        <v/>
      </c>
      <c r="AC673">
        <f>$C673*AC672</f>
        <v/>
      </c>
      <c r="AD673">
        <f>$C673*AD672</f>
        <v/>
      </c>
      <c r="AE673">
        <f>$C673*AE672</f>
        <v/>
      </c>
      <c r="AF673">
        <f>$C673*AF672</f>
        <v/>
      </c>
      <c r="AG673">
        <f>$C673*AG672</f>
        <v/>
      </c>
      <c r="AH673">
        <f>$C673*AH672</f>
        <v/>
      </c>
      <c r="AI673">
        <f>$C673*AI672</f>
        <v/>
      </c>
      <c r="AJ673">
        <f>$C673*AJ672</f>
        <v/>
      </c>
      <c r="AK673">
        <f>$C673*AK672</f>
        <v/>
      </c>
      <c r="AL673">
        <f>$C673*AL672</f>
        <v/>
      </c>
      <c r="AM673">
        <f>$C673*AM672</f>
        <v/>
      </c>
      <c r="AN673">
        <f>$C673*AN672</f>
        <v/>
      </c>
      <c r="AO673">
        <f>$C673*AO672</f>
        <v/>
      </c>
      <c r="AP673">
        <f>$C673*AP672</f>
        <v/>
      </c>
      <c r="AQ673">
        <f>$C673*AQ672</f>
        <v/>
      </c>
      <c r="AR673">
        <f>$C673*AR672</f>
        <v/>
      </c>
      <c r="AS673">
        <f>$C673*AS672</f>
        <v/>
      </c>
      <c r="AT673">
        <f>$C673*AT672</f>
        <v/>
      </c>
      <c r="AU673">
        <f>$C673*AU672</f>
        <v/>
      </c>
      <c r="AV673">
        <f>$C673*AV672</f>
        <v/>
      </c>
      <c r="AW673">
        <f>$C673*AW672</f>
        <v/>
      </c>
      <c r="AX673">
        <f>$C673*AX672</f>
        <v/>
      </c>
      <c r="AY673">
        <f>$C673*AY672</f>
        <v/>
      </c>
      <c r="AZ673">
        <f>$C673*AZ672</f>
        <v/>
      </c>
      <c r="BA673">
        <f>$C673*BA672</f>
        <v/>
      </c>
      <c r="BB673">
        <f>$C673*BB672</f>
        <v/>
      </c>
      <c r="BC673">
        <f>$C673*BC672</f>
        <v/>
      </c>
      <c r="BD673">
        <f>$C673*BD672</f>
        <v/>
      </c>
      <c r="BE673">
        <f>$C673*BE672</f>
        <v/>
      </c>
      <c r="BF673">
        <f>$C673*BF672</f>
        <v/>
      </c>
      <c r="BG673">
        <f>$C673*BG672</f>
        <v/>
      </c>
      <c r="BH673">
        <f>$C673*BH672</f>
        <v/>
      </c>
      <c r="BI673">
        <f>$C673*BI672</f>
        <v/>
      </c>
      <c r="BJ673">
        <f>$C673*BJ672</f>
        <v/>
      </c>
      <c r="BK673">
        <f>$C673*BK672</f>
        <v/>
      </c>
      <c r="BL673">
        <f>$C673*BL672</f>
        <v/>
      </c>
      <c r="BM673">
        <f>$C673*BM672</f>
        <v/>
      </c>
      <c r="BN673">
        <f>$C673*BN672</f>
        <v/>
      </c>
      <c r="BO673">
        <f>$C673*BO672</f>
        <v/>
      </c>
      <c r="BP673">
        <f>$C673*BP672</f>
        <v/>
      </c>
      <c r="BQ673">
        <f>$C673*BQ672</f>
        <v/>
      </c>
      <c r="BR673">
        <f>$C673*BR672</f>
        <v/>
      </c>
      <c r="BS673">
        <f>$C673*BS672</f>
        <v/>
      </c>
      <c r="BT673">
        <f>$C673*BT672</f>
        <v/>
      </c>
      <c r="BU673">
        <f>$C673*BU672</f>
        <v/>
      </c>
      <c r="BV673">
        <f>$C673*BV672</f>
        <v/>
      </c>
      <c r="BW673">
        <f>$C673*BW672</f>
        <v/>
      </c>
      <c r="BX673">
        <f>$C673*BX672</f>
        <v/>
      </c>
      <c r="BY673">
        <f>$C673*BY672</f>
        <v/>
      </c>
      <c r="BZ673">
        <f>$C673*BZ672</f>
        <v/>
      </c>
      <c r="CA673">
        <f>$C673*CA672</f>
        <v/>
      </c>
      <c r="CB673">
        <f>$C673*CB672</f>
        <v/>
      </c>
      <c r="CC673">
        <f>$C673*CC672</f>
        <v/>
      </c>
      <c r="CD673">
        <f>$C673*CD672</f>
        <v/>
      </c>
      <c r="CE673">
        <f>$C673*CE672</f>
        <v/>
      </c>
      <c r="CF673">
        <f>$C673*CF672</f>
        <v/>
      </c>
      <c r="CG673">
        <f>$C673*CG672</f>
        <v/>
      </c>
      <c r="CH673">
        <f>$C673*CH672</f>
        <v/>
      </c>
      <c r="CI673">
        <f>$C673*CI672</f>
        <v/>
      </c>
      <c r="CJ673">
        <f>$C673*CJ672</f>
        <v/>
      </c>
      <c r="CK673">
        <f>$C673*CK672</f>
        <v/>
      </c>
      <c r="CL673">
        <f>$C673*CL672</f>
        <v/>
      </c>
      <c r="CM673">
        <f>$C673*CM672</f>
        <v/>
      </c>
      <c r="CN673">
        <f>$C673*CN672</f>
        <v/>
      </c>
      <c r="CO673">
        <f>$C673*CO672</f>
        <v/>
      </c>
      <c r="CP673">
        <f>$C673*CP672</f>
        <v/>
      </c>
      <c r="CQ673">
        <f>$C673*CQ672</f>
        <v/>
      </c>
      <c r="CR673">
        <f>$C673*CR672</f>
        <v/>
      </c>
      <c r="CS673">
        <f>$C673*CS672</f>
        <v/>
      </c>
      <c r="CT673">
        <f>$C673*CT672</f>
        <v/>
      </c>
      <c r="CU673">
        <f>$C673*CU672</f>
        <v/>
      </c>
      <c r="CV673">
        <f>$C673*CV672</f>
        <v/>
      </c>
      <c r="CW673">
        <f>$C673*CW672</f>
        <v/>
      </c>
      <c r="CX673">
        <f>$C673*CX672</f>
        <v/>
      </c>
      <c r="CY673">
        <f>$C673*CY672</f>
        <v/>
      </c>
      <c r="CZ673">
        <f>$C673*CZ672</f>
        <v/>
      </c>
      <c r="DA673">
        <f>$C673*DA672</f>
        <v/>
      </c>
      <c r="DB673">
        <f>$C673*DB672</f>
        <v/>
      </c>
      <c r="DC673">
        <f>$C673*DC672</f>
        <v/>
      </c>
    </row>
    <row r="674">
      <c r="B674" s="4" t="inlineStr">
        <is>
          <t>合計使用量(kg)/週</t>
        </is>
      </c>
      <c r="D674">
        <f>'Grid_Requirement'!B18</f>
        <v/>
      </c>
      <c r="E674">
        <f>'Grid_Requirement'!C18</f>
        <v/>
      </c>
      <c r="F674">
        <f>'Grid_Requirement'!D18</f>
        <v/>
      </c>
      <c r="G674">
        <f>'Grid_Requirement'!E18</f>
        <v/>
      </c>
      <c r="H674">
        <f>'Grid_Requirement'!F18</f>
        <v/>
      </c>
      <c r="I674">
        <f>'Grid_Requirement'!G18</f>
        <v/>
      </c>
      <c r="J674">
        <f>'Grid_Requirement'!H18</f>
        <v/>
      </c>
      <c r="K674">
        <f>'Grid_Requirement'!I18</f>
        <v/>
      </c>
      <c r="L674">
        <f>'Grid_Requirement'!J18</f>
        <v/>
      </c>
      <c r="M674">
        <f>'Grid_Requirement'!K18</f>
        <v/>
      </c>
      <c r="N674">
        <f>'Grid_Requirement'!L18</f>
        <v/>
      </c>
      <c r="O674">
        <f>'Grid_Requirement'!M18</f>
        <v/>
      </c>
      <c r="P674">
        <f>'Grid_Requirement'!N18</f>
        <v/>
      </c>
      <c r="Q674">
        <f>'Grid_Requirement'!O18</f>
        <v/>
      </c>
      <c r="R674">
        <f>'Grid_Requirement'!P18</f>
        <v/>
      </c>
      <c r="S674">
        <f>'Grid_Requirement'!Q18</f>
        <v/>
      </c>
      <c r="T674">
        <f>'Grid_Requirement'!R18</f>
        <v/>
      </c>
      <c r="U674">
        <f>'Grid_Requirement'!S18</f>
        <v/>
      </c>
      <c r="V674">
        <f>'Grid_Requirement'!T18</f>
        <v/>
      </c>
      <c r="W674">
        <f>'Grid_Requirement'!U18</f>
        <v/>
      </c>
      <c r="X674">
        <f>'Grid_Requirement'!V18</f>
        <v/>
      </c>
      <c r="Y674">
        <f>'Grid_Requirement'!W18</f>
        <v/>
      </c>
      <c r="Z674">
        <f>'Grid_Requirement'!X18</f>
        <v/>
      </c>
      <c r="AA674">
        <f>'Grid_Requirement'!Y18</f>
        <v/>
      </c>
      <c r="AB674">
        <f>'Grid_Requirement'!Z18</f>
        <v/>
      </c>
      <c r="AC674">
        <f>'Grid_Requirement'!AA18</f>
        <v/>
      </c>
      <c r="AD674">
        <f>'Grid_Requirement'!AB18</f>
        <v/>
      </c>
      <c r="AE674">
        <f>'Grid_Requirement'!AC18</f>
        <v/>
      </c>
      <c r="AF674">
        <f>'Grid_Requirement'!AD18</f>
        <v/>
      </c>
      <c r="AG674">
        <f>'Grid_Requirement'!AE18</f>
        <v/>
      </c>
      <c r="AH674">
        <f>'Grid_Requirement'!AF18</f>
        <v/>
      </c>
      <c r="AI674">
        <f>'Grid_Requirement'!AG18</f>
        <v/>
      </c>
      <c r="AJ674">
        <f>'Grid_Requirement'!AH18</f>
        <v/>
      </c>
      <c r="AK674">
        <f>'Grid_Requirement'!AI18</f>
        <v/>
      </c>
      <c r="AL674">
        <f>'Grid_Requirement'!AJ18</f>
        <v/>
      </c>
      <c r="AM674">
        <f>'Grid_Requirement'!AK18</f>
        <v/>
      </c>
      <c r="AN674">
        <f>'Grid_Requirement'!AL18</f>
        <v/>
      </c>
      <c r="AO674">
        <f>'Grid_Requirement'!AM18</f>
        <v/>
      </c>
      <c r="AP674">
        <f>'Grid_Requirement'!AN18</f>
        <v/>
      </c>
      <c r="AQ674">
        <f>'Grid_Requirement'!AO18</f>
        <v/>
      </c>
      <c r="AR674">
        <f>'Grid_Requirement'!AP18</f>
        <v/>
      </c>
      <c r="AS674">
        <f>'Grid_Requirement'!AQ18</f>
        <v/>
      </c>
      <c r="AT674">
        <f>'Grid_Requirement'!AR18</f>
        <v/>
      </c>
      <c r="AU674">
        <f>'Grid_Requirement'!AS18</f>
        <v/>
      </c>
      <c r="AV674">
        <f>'Grid_Requirement'!AT18</f>
        <v/>
      </c>
      <c r="AW674">
        <f>'Grid_Requirement'!AU18</f>
        <v/>
      </c>
      <c r="AX674">
        <f>'Grid_Requirement'!AV18</f>
        <v/>
      </c>
      <c r="AY674">
        <f>'Grid_Requirement'!AW18</f>
        <v/>
      </c>
      <c r="AZ674">
        <f>'Grid_Requirement'!AX18</f>
        <v/>
      </c>
      <c r="BA674">
        <f>'Grid_Requirement'!AY18</f>
        <v/>
      </c>
      <c r="BB674">
        <f>'Grid_Requirement'!AZ18</f>
        <v/>
      </c>
      <c r="BC674">
        <f>'Grid_Requirement'!BA18</f>
        <v/>
      </c>
      <c r="BD674">
        <f>'Grid_Requirement'!BB18</f>
        <v/>
      </c>
      <c r="BE674">
        <f>'Grid_Requirement'!BC18</f>
        <v/>
      </c>
      <c r="BF674">
        <f>'Grid_Requirement'!BD18</f>
        <v/>
      </c>
      <c r="BG674">
        <f>'Grid_Requirement'!BE18</f>
        <v/>
      </c>
      <c r="BH674">
        <f>'Grid_Requirement'!BF18</f>
        <v/>
      </c>
      <c r="BI674">
        <f>'Grid_Requirement'!BG18</f>
        <v/>
      </c>
      <c r="BJ674">
        <f>'Grid_Requirement'!BH18</f>
        <v/>
      </c>
      <c r="BK674">
        <f>'Grid_Requirement'!BI18</f>
        <v/>
      </c>
      <c r="BL674">
        <f>'Grid_Requirement'!BJ18</f>
        <v/>
      </c>
      <c r="BM674">
        <f>'Grid_Requirement'!BK18</f>
        <v/>
      </c>
      <c r="BN674">
        <f>'Grid_Requirement'!BL18</f>
        <v/>
      </c>
      <c r="BO674">
        <f>'Grid_Requirement'!BM18</f>
        <v/>
      </c>
      <c r="BP674">
        <f>'Grid_Requirement'!BN18</f>
        <v/>
      </c>
      <c r="BQ674">
        <f>'Grid_Requirement'!BO18</f>
        <v/>
      </c>
      <c r="BR674">
        <f>'Grid_Requirement'!BP18</f>
        <v/>
      </c>
      <c r="BS674">
        <f>'Grid_Requirement'!BQ18</f>
        <v/>
      </c>
      <c r="BT674">
        <f>'Grid_Requirement'!BR18</f>
        <v/>
      </c>
      <c r="BU674">
        <f>'Grid_Requirement'!BS18</f>
        <v/>
      </c>
      <c r="BV674">
        <f>'Grid_Requirement'!BT18</f>
        <v/>
      </c>
      <c r="BW674">
        <f>'Grid_Requirement'!BU18</f>
        <v/>
      </c>
      <c r="BX674">
        <f>'Grid_Requirement'!BV18</f>
        <v/>
      </c>
      <c r="BY674">
        <f>'Grid_Requirement'!BW18</f>
        <v/>
      </c>
      <c r="BZ674">
        <f>'Grid_Requirement'!BX18</f>
        <v/>
      </c>
      <c r="CA674">
        <f>'Grid_Requirement'!BY18</f>
        <v/>
      </c>
      <c r="CB674">
        <f>'Grid_Requirement'!BZ18</f>
        <v/>
      </c>
      <c r="CC674">
        <f>'Grid_Requirement'!CA18</f>
        <v/>
      </c>
      <c r="CD674">
        <f>'Grid_Requirement'!CB18</f>
        <v/>
      </c>
      <c r="CE674">
        <f>'Grid_Requirement'!CC18</f>
        <v/>
      </c>
      <c r="CF674">
        <f>'Grid_Requirement'!CD18</f>
        <v/>
      </c>
      <c r="CG674">
        <f>'Grid_Requirement'!CE18</f>
        <v/>
      </c>
      <c r="CH674">
        <f>'Grid_Requirement'!CF18</f>
        <v/>
      </c>
      <c r="CI674">
        <f>'Grid_Requirement'!CG18</f>
        <v/>
      </c>
      <c r="CJ674">
        <f>'Grid_Requirement'!CH18</f>
        <v/>
      </c>
      <c r="CK674">
        <f>'Grid_Requirement'!CI18</f>
        <v/>
      </c>
      <c r="CL674">
        <f>'Grid_Requirement'!CJ18</f>
        <v/>
      </c>
      <c r="CM674">
        <f>'Grid_Requirement'!CK18</f>
        <v/>
      </c>
      <c r="CN674">
        <f>'Grid_Requirement'!CL18</f>
        <v/>
      </c>
      <c r="CO674">
        <f>'Grid_Requirement'!CM18</f>
        <v/>
      </c>
      <c r="CP674">
        <f>'Grid_Requirement'!CN18</f>
        <v/>
      </c>
      <c r="CQ674">
        <f>'Grid_Requirement'!CO18</f>
        <v/>
      </c>
      <c r="CR674">
        <f>'Grid_Requirement'!CP18</f>
        <v/>
      </c>
      <c r="CS674">
        <f>'Grid_Requirement'!CQ18</f>
        <v/>
      </c>
      <c r="CT674">
        <f>'Grid_Requirement'!CR18</f>
        <v/>
      </c>
      <c r="CU674">
        <f>'Grid_Requirement'!CS18</f>
        <v/>
      </c>
      <c r="CV674">
        <f>'Grid_Requirement'!CT18</f>
        <v/>
      </c>
      <c r="CW674">
        <f>'Grid_Requirement'!CU18</f>
        <v/>
      </c>
      <c r="CX674">
        <f>'Grid_Requirement'!CV18</f>
        <v/>
      </c>
      <c r="CY674">
        <f>'Grid_Requirement'!CW18</f>
        <v/>
      </c>
      <c r="CZ674">
        <f>'Grid_Requirement'!CX18</f>
        <v/>
      </c>
      <c r="DA674">
        <f>'Grid_Requirement'!CY18</f>
        <v/>
      </c>
      <c r="DB674">
        <f>'Grid_Requirement'!CZ18</f>
        <v/>
      </c>
      <c r="DC674">
        <f>'Grid_Requirement'!DA18</f>
        <v/>
      </c>
    </row>
    <row r="675">
      <c r="B675" t="inlineStr">
        <is>
          <t>TTAF在庫(実績,kg)</t>
        </is>
      </c>
      <c r="D675">
        <f>'T_TTAFStock'!B22</f>
        <v/>
      </c>
      <c r="E675">
        <f>'T_TTAFStock'!C22</f>
        <v/>
      </c>
      <c r="F675">
        <f>'T_TTAFStock'!D22</f>
        <v/>
      </c>
      <c r="G675">
        <f>'T_TTAFStock'!E22</f>
        <v/>
      </c>
      <c r="H675">
        <f>'T_TTAFStock'!F22</f>
        <v/>
      </c>
      <c r="I675">
        <f>'T_TTAFStock'!G22</f>
        <v/>
      </c>
      <c r="J675">
        <f>'T_TTAFStock'!H22</f>
        <v/>
      </c>
      <c r="K675">
        <f>'T_TTAFStock'!I22</f>
        <v/>
      </c>
      <c r="L675">
        <f>'T_TTAFStock'!J22</f>
        <v/>
      </c>
      <c r="M675">
        <f>'T_TTAFStock'!K22</f>
        <v/>
      </c>
      <c r="N675">
        <f>'T_TTAFStock'!L22</f>
        <v/>
      </c>
      <c r="O675">
        <f>'T_TTAFStock'!M22</f>
        <v/>
      </c>
      <c r="P675">
        <f>'T_TTAFStock'!N22</f>
        <v/>
      </c>
      <c r="Q675">
        <f>'T_TTAFStock'!O22</f>
        <v/>
      </c>
      <c r="R675">
        <f>'T_TTAFStock'!P22</f>
        <v/>
      </c>
      <c r="S675">
        <f>'T_TTAFStock'!Q22</f>
        <v/>
      </c>
      <c r="T675">
        <f>'T_TTAFStock'!R22</f>
        <v/>
      </c>
      <c r="U675">
        <f>'T_TTAFStock'!S22</f>
        <v/>
      </c>
      <c r="V675">
        <f>'T_TTAFStock'!T22</f>
        <v/>
      </c>
      <c r="W675">
        <f>'T_TTAFStock'!U22</f>
        <v/>
      </c>
      <c r="X675">
        <f>'T_TTAFStock'!V22</f>
        <v/>
      </c>
      <c r="Y675">
        <f>'T_TTAFStock'!W22</f>
        <v/>
      </c>
      <c r="Z675">
        <f>'T_TTAFStock'!X22</f>
        <v/>
      </c>
      <c r="AA675">
        <f>'T_TTAFStock'!Y22</f>
        <v/>
      </c>
      <c r="AB675">
        <f>'T_TTAFStock'!Z22</f>
        <v/>
      </c>
      <c r="AC675">
        <f>'T_TTAFStock'!AA22</f>
        <v/>
      </c>
      <c r="AD675">
        <f>'T_TTAFStock'!AB22</f>
        <v/>
      </c>
      <c r="AE675">
        <f>'T_TTAFStock'!AC22</f>
        <v/>
      </c>
      <c r="AF675">
        <f>'T_TTAFStock'!AD22</f>
        <v/>
      </c>
      <c r="AG675">
        <f>'T_TTAFStock'!AE22</f>
        <v/>
      </c>
      <c r="AH675">
        <f>'T_TTAFStock'!AF22</f>
        <v/>
      </c>
      <c r="AI675">
        <f>'T_TTAFStock'!AG22</f>
        <v/>
      </c>
      <c r="AJ675">
        <f>'T_TTAFStock'!AH22</f>
        <v/>
      </c>
      <c r="AK675">
        <f>'T_TTAFStock'!AI22</f>
        <v/>
      </c>
      <c r="AL675">
        <f>'T_TTAFStock'!AJ22</f>
        <v/>
      </c>
      <c r="AM675">
        <f>'T_TTAFStock'!AK22</f>
        <v/>
      </c>
      <c r="AN675">
        <f>'T_TTAFStock'!AL22</f>
        <v/>
      </c>
      <c r="AO675">
        <f>'T_TTAFStock'!AM22</f>
        <v/>
      </c>
      <c r="AP675">
        <f>'T_TTAFStock'!AN22</f>
        <v/>
      </c>
      <c r="AQ675">
        <f>'T_TTAFStock'!AO22</f>
        <v/>
      </c>
      <c r="AR675">
        <f>'T_TTAFStock'!AP22</f>
        <v/>
      </c>
      <c r="AS675">
        <f>'T_TTAFStock'!AQ22</f>
        <v/>
      </c>
      <c r="AT675">
        <f>'T_TTAFStock'!AR22</f>
        <v/>
      </c>
      <c r="AU675">
        <f>'T_TTAFStock'!AS22</f>
        <v/>
      </c>
      <c r="AV675">
        <f>'T_TTAFStock'!AT22</f>
        <v/>
      </c>
      <c r="AW675">
        <f>'T_TTAFStock'!AU22</f>
        <v/>
      </c>
      <c r="AX675">
        <f>'T_TTAFStock'!AV22</f>
        <v/>
      </c>
      <c r="AY675">
        <f>'T_TTAFStock'!AW22</f>
        <v/>
      </c>
      <c r="AZ675">
        <f>'T_TTAFStock'!AX22</f>
        <v/>
      </c>
      <c r="BA675">
        <f>'T_TTAFStock'!AY22</f>
        <v/>
      </c>
      <c r="BB675">
        <f>'T_TTAFStock'!AZ22</f>
        <v/>
      </c>
      <c r="BC675">
        <f>'T_TTAFStock'!BA22</f>
        <v/>
      </c>
      <c r="BD675">
        <f>'T_TTAFStock'!BB22</f>
        <v/>
      </c>
      <c r="BE675">
        <f>'T_TTAFStock'!BC22</f>
        <v/>
      </c>
      <c r="BF675">
        <f>'T_TTAFStock'!BD22</f>
        <v/>
      </c>
      <c r="BG675">
        <f>'T_TTAFStock'!BE22</f>
        <v/>
      </c>
      <c r="BH675">
        <f>'T_TTAFStock'!BF22</f>
        <v/>
      </c>
      <c r="BI675">
        <f>'T_TTAFStock'!BG22</f>
        <v/>
      </c>
      <c r="BJ675">
        <f>'T_TTAFStock'!BH22</f>
        <v/>
      </c>
      <c r="BK675">
        <f>'T_TTAFStock'!BI22</f>
        <v/>
      </c>
      <c r="BL675">
        <f>'T_TTAFStock'!BJ22</f>
        <v/>
      </c>
      <c r="BM675">
        <f>'T_TTAFStock'!BK22</f>
        <v/>
      </c>
      <c r="BN675">
        <f>'T_TTAFStock'!BL22</f>
        <v/>
      </c>
      <c r="BO675">
        <f>'T_TTAFStock'!BM22</f>
        <v/>
      </c>
      <c r="BP675">
        <f>'T_TTAFStock'!BN22</f>
        <v/>
      </c>
      <c r="BQ675">
        <f>'T_TTAFStock'!BO22</f>
        <v/>
      </c>
      <c r="BR675">
        <f>'T_TTAFStock'!BP22</f>
        <v/>
      </c>
      <c r="BS675">
        <f>'T_TTAFStock'!BQ22</f>
        <v/>
      </c>
      <c r="BT675">
        <f>'T_TTAFStock'!BR22</f>
        <v/>
      </c>
      <c r="BU675">
        <f>'T_TTAFStock'!BS22</f>
        <v/>
      </c>
      <c r="BV675">
        <f>'T_TTAFStock'!BT22</f>
        <v/>
      </c>
      <c r="BW675">
        <f>'T_TTAFStock'!BU22</f>
        <v/>
      </c>
      <c r="BX675">
        <f>'T_TTAFStock'!BV22</f>
        <v/>
      </c>
      <c r="BY675">
        <f>'T_TTAFStock'!BW22</f>
        <v/>
      </c>
      <c r="BZ675">
        <f>'T_TTAFStock'!BX22</f>
        <v/>
      </c>
      <c r="CA675">
        <f>'T_TTAFStock'!BY22</f>
        <v/>
      </c>
      <c r="CB675">
        <f>'T_TTAFStock'!BZ22</f>
        <v/>
      </c>
      <c r="CC675">
        <f>'T_TTAFStock'!CA22</f>
        <v/>
      </c>
      <c r="CD675">
        <f>'T_TTAFStock'!CB22</f>
        <v/>
      </c>
      <c r="CE675">
        <f>'T_TTAFStock'!CC22</f>
        <v/>
      </c>
      <c r="CF675">
        <f>'T_TTAFStock'!CD22</f>
        <v/>
      </c>
      <c r="CG675">
        <f>'T_TTAFStock'!CE22</f>
        <v/>
      </c>
      <c r="CH675">
        <f>'T_TTAFStock'!CF22</f>
        <v/>
      </c>
      <c r="CI675">
        <f>'T_TTAFStock'!CG22</f>
        <v/>
      </c>
      <c r="CJ675">
        <f>'T_TTAFStock'!CH22</f>
        <v/>
      </c>
      <c r="CK675">
        <f>'T_TTAFStock'!CI22</f>
        <v/>
      </c>
      <c r="CL675">
        <f>'T_TTAFStock'!CJ22</f>
        <v/>
      </c>
      <c r="CM675">
        <f>'T_TTAFStock'!CK22</f>
        <v/>
      </c>
      <c r="CN675">
        <f>'T_TTAFStock'!CL22</f>
        <v/>
      </c>
      <c r="CO675">
        <f>'T_TTAFStock'!CM22</f>
        <v/>
      </c>
      <c r="CP675">
        <f>'T_TTAFStock'!CN22</f>
        <v/>
      </c>
      <c r="CQ675">
        <f>'T_TTAFStock'!CO22</f>
        <v/>
      </c>
      <c r="CR675">
        <f>'T_TTAFStock'!CP22</f>
        <v/>
      </c>
      <c r="CS675">
        <f>'T_TTAFStock'!CQ22</f>
        <v/>
      </c>
      <c r="CT675">
        <f>'T_TTAFStock'!CR22</f>
        <v/>
      </c>
      <c r="CU675">
        <f>'T_TTAFStock'!CS22</f>
        <v/>
      </c>
      <c r="CV675">
        <f>'T_TTAFStock'!CT22</f>
        <v/>
      </c>
      <c r="CW675">
        <f>'T_TTAFStock'!CU22</f>
        <v/>
      </c>
      <c r="CX675">
        <f>'T_TTAFStock'!CV22</f>
        <v/>
      </c>
      <c r="CY675">
        <f>'T_TTAFStock'!CW22</f>
        <v/>
      </c>
      <c r="CZ675">
        <f>'T_TTAFStock'!CX22</f>
        <v/>
      </c>
      <c r="DA675">
        <f>'T_TTAFStock'!CY22</f>
        <v/>
      </c>
      <c r="DB675">
        <f>'T_TTAFStock'!CZ22</f>
        <v/>
      </c>
      <c r="DC675">
        <f>'T_TTAFStock'!DA22</f>
        <v/>
      </c>
    </row>
    <row r="676">
      <c r="B676" t="inlineStr">
        <is>
          <t>自社在庫(実績,kg)</t>
        </is>
      </c>
      <c r="D676">
        <f>'T_SelfStock'!B22</f>
        <v/>
      </c>
      <c r="E676">
        <f>'T_SelfStock'!C22</f>
        <v/>
      </c>
      <c r="F676">
        <f>'T_SelfStock'!D22</f>
        <v/>
      </c>
      <c r="G676">
        <f>'T_SelfStock'!E22</f>
        <v/>
      </c>
      <c r="H676">
        <f>'T_SelfStock'!F22</f>
        <v/>
      </c>
      <c r="I676">
        <f>'T_SelfStock'!G22</f>
        <v/>
      </c>
      <c r="J676">
        <f>'T_SelfStock'!H22</f>
        <v/>
      </c>
      <c r="K676">
        <f>'T_SelfStock'!I22</f>
        <v/>
      </c>
      <c r="L676">
        <f>'T_SelfStock'!J22</f>
        <v/>
      </c>
      <c r="M676">
        <f>'T_SelfStock'!K22</f>
        <v/>
      </c>
      <c r="N676">
        <f>'T_SelfStock'!L22</f>
        <v/>
      </c>
      <c r="O676">
        <f>'T_SelfStock'!M22</f>
        <v/>
      </c>
      <c r="P676">
        <f>'T_SelfStock'!N22</f>
        <v/>
      </c>
      <c r="Q676">
        <f>'T_SelfStock'!O22</f>
        <v/>
      </c>
      <c r="R676">
        <f>'T_SelfStock'!P22</f>
        <v/>
      </c>
      <c r="S676">
        <f>'T_SelfStock'!Q22</f>
        <v/>
      </c>
      <c r="T676">
        <f>'T_SelfStock'!R22</f>
        <v/>
      </c>
      <c r="U676">
        <f>'T_SelfStock'!S22</f>
        <v/>
      </c>
      <c r="V676">
        <f>'T_SelfStock'!T22</f>
        <v/>
      </c>
      <c r="W676">
        <f>'T_SelfStock'!U22</f>
        <v/>
      </c>
      <c r="X676">
        <f>'T_SelfStock'!V22</f>
        <v/>
      </c>
      <c r="Y676">
        <f>'T_SelfStock'!W22</f>
        <v/>
      </c>
      <c r="Z676">
        <f>'T_SelfStock'!X22</f>
        <v/>
      </c>
      <c r="AA676">
        <f>'T_SelfStock'!Y22</f>
        <v/>
      </c>
      <c r="AB676">
        <f>'T_SelfStock'!Z22</f>
        <v/>
      </c>
      <c r="AC676">
        <f>'T_SelfStock'!AA22</f>
        <v/>
      </c>
      <c r="AD676">
        <f>'T_SelfStock'!AB22</f>
        <v/>
      </c>
      <c r="AE676">
        <f>'T_SelfStock'!AC22</f>
        <v/>
      </c>
      <c r="AF676">
        <f>'T_SelfStock'!AD22</f>
        <v/>
      </c>
      <c r="AG676">
        <f>'T_SelfStock'!AE22</f>
        <v/>
      </c>
      <c r="AH676">
        <f>'T_SelfStock'!AF22</f>
        <v/>
      </c>
      <c r="AI676">
        <f>'T_SelfStock'!AG22</f>
        <v/>
      </c>
      <c r="AJ676">
        <f>'T_SelfStock'!AH22</f>
        <v/>
      </c>
      <c r="AK676">
        <f>'T_SelfStock'!AI22</f>
        <v/>
      </c>
      <c r="AL676">
        <f>'T_SelfStock'!AJ22</f>
        <v/>
      </c>
      <c r="AM676">
        <f>'T_SelfStock'!AK22</f>
        <v/>
      </c>
      <c r="AN676">
        <f>'T_SelfStock'!AL22</f>
        <v/>
      </c>
      <c r="AO676">
        <f>'T_SelfStock'!AM22</f>
        <v/>
      </c>
      <c r="AP676">
        <f>'T_SelfStock'!AN22</f>
        <v/>
      </c>
      <c r="AQ676">
        <f>'T_SelfStock'!AO22</f>
        <v/>
      </c>
      <c r="AR676">
        <f>'T_SelfStock'!AP22</f>
        <v/>
      </c>
      <c r="AS676">
        <f>'T_SelfStock'!AQ22</f>
        <v/>
      </c>
      <c r="AT676">
        <f>'T_SelfStock'!AR22</f>
        <v/>
      </c>
      <c r="AU676">
        <f>'T_SelfStock'!AS22</f>
        <v/>
      </c>
      <c r="AV676">
        <f>'T_SelfStock'!AT22</f>
        <v/>
      </c>
      <c r="AW676">
        <f>'T_SelfStock'!AU22</f>
        <v/>
      </c>
      <c r="AX676">
        <f>'T_SelfStock'!AV22</f>
        <v/>
      </c>
      <c r="AY676">
        <f>'T_SelfStock'!AW22</f>
        <v/>
      </c>
      <c r="AZ676">
        <f>'T_SelfStock'!AX22</f>
        <v/>
      </c>
      <c r="BA676">
        <f>'T_SelfStock'!AY22</f>
        <v/>
      </c>
      <c r="BB676">
        <f>'T_SelfStock'!AZ22</f>
        <v/>
      </c>
      <c r="BC676">
        <f>'T_SelfStock'!BA22</f>
        <v/>
      </c>
      <c r="BD676">
        <f>'T_SelfStock'!BB22</f>
        <v/>
      </c>
      <c r="BE676">
        <f>'T_SelfStock'!BC22</f>
        <v/>
      </c>
      <c r="BF676">
        <f>'T_SelfStock'!BD22</f>
        <v/>
      </c>
      <c r="BG676">
        <f>'T_SelfStock'!BE22</f>
        <v/>
      </c>
      <c r="BH676">
        <f>'T_SelfStock'!BF22</f>
        <v/>
      </c>
      <c r="BI676">
        <f>'T_SelfStock'!BG22</f>
        <v/>
      </c>
      <c r="BJ676">
        <f>'T_SelfStock'!BH22</f>
        <v/>
      </c>
      <c r="BK676">
        <f>'T_SelfStock'!BI22</f>
        <v/>
      </c>
      <c r="BL676">
        <f>'T_SelfStock'!BJ22</f>
        <v/>
      </c>
      <c r="BM676">
        <f>'T_SelfStock'!BK22</f>
        <v/>
      </c>
      <c r="BN676">
        <f>'T_SelfStock'!BL22</f>
        <v/>
      </c>
      <c r="BO676">
        <f>'T_SelfStock'!BM22</f>
        <v/>
      </c>
      <c r="BP676">
        <f>'T_SelfStock'!BN22</f>
        <v/>
      </c>
      <c r="BQ676">
        <f>'T_SelfStock'!BO22</f>
        <v/>
      </c>
      <c r="BR676">
        <f>'T_SelfStock'!BP22</f>
        <v/>
      </c>
      <c r="BS676">
        <f>'T_SelfStock'!BQ22</f>
        <v/>
      </c>
      <c r="BT676">
        <f>'T_SelfStock'!BR22</f>
        <v/>
      </c>
      <c r="BU676">
        <f>'T_SelfStock'!BS22</f>
        <v/>
      </c>
      <c r="BV676">
        <f>'T_SelfStock'!BT22</f>
        <v/>
      </c>
      <c r="BW676">
        <f>'T_SelfStock'!BU22</f>
        <v/>
      </c>
      <c r="BX676">
        <f>'T_SelfStock'!BV22</f>
        <v/>
      </c>
      <c r="BY676">
        <f>'T_SelfStock'!BW22</f>
        <v/>
      </c>
      <c r="BZ676">
        <f>'T_SelfStock'!BX22</f>
        <v/>
      </c>
      <c r="CA676">
        <f>'T_SelfStock'!BY22</f>
        <v/>
      </c>
      <c r="CB676">
        <f>'T_SelfStock'!BZ22</f>
        <v/>
      </c>
      <c r="CC676">
        <f>'T_SelfStock'!CA22</f>
        <v/>
      </c>
      <c r="CD676">
        <f>'T_SelfStock'!CB22</f>
        <v/>
      </c>
      <c r="CE676">
        <f>'T_SelfStock'!CC22</f>
        <v/>
      </c>
      <c r="CF676">
        <f>'T_SelfStock'!CD22</f>
        <v/>
      </c>
      <c r="CG676">
        <f>'T_SelfStock'!CE22</f>
        <v/>
      </c>
      <c r="CH676">
        <f>'T_SelfStock'!CF22</f>
        <v/>
      </c>
      <c r="CI676">
        <f>'T_SelfStock'!CG22</f>
        <v/>
      </c>
      <c r="CJ676">
        <f>'T_SelfStock'!CH22</f>
        <v/>
      </c>
      <c r="CK676">
        <f>'T_SelfStock'!CI22</f>
        <v/>
      </c>
      <c r="CL676">
        <f>'T_SelfStock'!CJ22</f>
        <v/>
      </c>
      <c r="CM676">
        <f>'T_SelfStock'!CK22</f>
        <v/>
      </c>
      <c r="CN676">
        <f>'T_SelfStock'!CL22</f>
        <v/>
      </c>
      <c r="CO676">
        <f>'T_SelfStock'!CM22</f>
        <v/>
      </c>
      <c r="CP676">
        <f>'T_SelfStock'!CN22</f>
        <v/>
      </c>
      <c r="CQ676">
        <f>'T_SelfStock'!CO22</f>
        <v/>
      </c>
      <c r="CR676">
        <f>'T_SelfStock'!CP22</f>
        <v/>
      </c>
      <c r="CS676">
        <f>'T_SelfStock'!CQ22</f>
        <v/>
      </c>
      <c r="CT676">
        <f>'T_SelfStock'!CR22</f>
        <v/>
      </c>
      <c r="CU676">
        <f>'T_SelfStock'!CS22</f>
        <v/>
      </c>
      <c r="CV676">
        <f>'T_SelfStock'!CT22</f>
        <v/>
      </c>
      <c r="CW676">
        <f>'T_SelfStock'!CU22</f>
        <v/>
      </c>
      <c r="CX676">
        <f>'T_SelfStock'!CV22</f>
        <v/>
      </c>
      <c r="CY676">
        <f>'T_SelfStock'!CW22</f>
        <v/>
      </c>
      <c r="CZ676">
        <f>'T_SelfStock'!CX22</f>
        <v/>
      </c>
      <c r="DA676">
        <f>'T_SelfStock'!CY22</f>
        <v/>
      </c>
      <c r="DB676">
        <f>'T_SelfStock'!CZ22</f>
        <v/>
      </c>
      <c r="DC676">
        <f>'T_SelfStock'!DA22</f>
        <v/>
      </c>
    </row>
    <row r="677">
      <c r="B677" t="inlineStr">
        <is>
          <t>Order(発注予定,kg)</t>
        </is>
      </c>
      <c r="D677">
        <f>IF(SUMIFS(T_PlannedOrders[EffectiveQty],T_PlannedOrders[Part Name],$A653,T_PlannedOrders[WeekIndex],1)=0,"",SUMIFS(T_PlannedOrders[EffectiveQty],T_PlannedOrders[Part Name],$A653,T_PlannedOrders[WeekIndex],1)&amp;" ("&amp;TEXT(SUMPRODUCT(MAX((T_PlannedOrders[Part Name]=$A653)*(T_PlannedOrders[WeekIndex]=1)*(T_PlannedOrders[EffectiveQty]&gt;0)*T_PlannedOrders[Order_Month])),"m月")&amp;"発注)")</f>
        <v/>
      </c>
      <c r="E677">
        <f>IF(SUMIFS(T_PlannedOrders[EffectiveQty],T_PlannedOrders[Part Name],$A653,T_PlannedOrders[WeekIndex],2)=0,"",SUMIFS(T_PlannedOrders[EffectiveQty],T_PlannedOrders[Part Name],$A653,T_PlannedOrders[WeekIndex],2)&amp;" ("&amp;TEXT(SUMPRODUCT(MAX((T_PlannedOrders[Part Name]=$A653)*(T_PlannedOrders[WeekIndex]=2)*(T_PlannedOrders[EffectiveQty]&gt;0)*T_PlannedOrders[Order_Month])),"m月")&amp;"発注)")</f>
        <v/>
      </c>
      <c r="F677">
        <f>IF(SUMIFS(T_PlannedOrders[EffectiveQty],T_PlannedOrders[Part Name],$A653,T_PlannedOrders[WeekIndex],3)=0,"",SUMIFS(T_PlannedOrders[EffectiveQty],T_PlannedOrders[Part Name],$A653,T_PlannedOrders[WeekIndex],3)&amp;" ("&amp;TEXT(SUMPRODUCT(MAX((T_PlannedOrders[Part Name]=$A653)*(T_PlannedOrders[WeekIndex]=3)*(T_PlannedOrders[EffectiveQty]&gt;0)*T_PlannedOrders[Order_Month])),"m月")&amp;"発注)")</f>
        <v/>
      </c>
      <c r="G677">
        <f>IF(SUMIFS(T_PlannedOrders[EffectiveQty],T_PlannedOrders[Part Name],$A653,T_PlannedOrders[WeekIndex],4)=0,"",SUMIFS(T_PlannedOrders[EffectiveQty],T_PlannedOrders[Part Name],$A653,T_PlannedOrders[WeekIndex],4)&amp;" ("&amp;TEXT(SUMPRODUCT(MAX((T_PlannedOrders[Part Name]=$A653)*(T_PlannedOrders[WeekIndex]=4)*(T_PlannedOrders[EffectiveQty]&gt;0)*T_PlannedOrders[Order_Month])),"m月")&amp;"発注)")</f>
        <v/>
      </c>
      <c r="H677">
        <f>IF(SUMIFS(T_PlannedOrders[EffectiveQty],T_PlannedOrders[Part Name],$A653,T_PlannedOrders[WeekIndex],5)=0,"",SUMIFS(T_PlannedOrders[EffectiveQty],T_PlannedOrders[Part Name],$A653,T_PlannedOrders[WeekIndex],5)&amp;" ("&amp;TEXT(SUMPRODUCT(MAX((T_PlannedOrders[Part Name]=$A653)*(T_PlannedOrders[WeekIndex]=5)*(T_PlannedOrders[EffectiveQty]&gt;0)*T_PlannedOrders[Order_Month])),"m月")&amp;"発注)")</f>
        <v/>
      </c>
      <c r="I677">
        <f>IF(SUMIFS(T_PlannedOrders[EffectiveQty],T_PlannedOrders[Part Name],$A653,T_PlannedOrders[WeekIndex],6)=0,"",SUMIFS(T_PlannedOrders[EffectiveQty],T_PlannedOrders[Part Name],$A653,T_PlannedOrders[WeekIndex],6)&amp;" ("&amp;TEXT(SUMPRODUCT(MAX((T_PlannedOrders[Part Name]=$A653)*(T_PlannedOrders[WeekIndex]=6)*(T_PlannedOrders[EffectiveQty]&gt;0)*T_PlannedOrders[Order_Month])),"m月")&amp;"発注)")</f>
        <v/>
      </c>
      <c r="J677">
        <f>IF(SUMIFS(T_PlannedOrders[EffectiveQty],T_PlannedOrders[Part Name],$A653,T_PlannedOrders[WeekIndex],7)=0,"",SUMIFS(T_PlannedOrders[EffectiveQty],T_PlannedOrders[Part Name],$A653,T_PlannedOrders[WeekIndex],7)&amp;" ("&amp;TEXT(SUMPRODUCT(MAX((T_PlannedOrders[Part Name]=$A653)*(T_PlannedOrders[WeekIndex]=7)*(T_PlannedOrders[EffectiveQty]&gt;0)*T_PlannedOrders[Order_Month])),"m月")&amp;"発注)")</f>
        <v/>
      </c>
      <c r="K677">
        <f>IF(SUMIFS(T_PlannedOrders[EffectiveQty],T_PlannedOrders[Part Name],$A653,T_PlannedOrders[WeekIndex],8)=0,"",SUMIFS(T_PlannedOrders[EffectiveQty],T_PlannedOrders[Part Name],$A653,T_PlannedOrders[WeekIndex],8)&amp;" ("&amp;TEXT(SUMPRODUCT(MAX((T_PlannedOrders[Part Name]=$A653)*(T_PlannedOrders[WeekIndex]=8)*(T_PlannedOrders[EffectiveQty]&gt;0)*T_PlannedOrders[Order_Month])),"m月")&amp;"発注)")</f>
        <v/>
      </c>
      <c r="L677">
        <f>IF(SUMIFS(T_PlannedOrders[EffectiveQty],T_PlannedOrders[Part Name],$A653,T_PlannedOrders[WeekIndex],9)=0,"",SUMIFS(T_PlannedOrders[EffectiveQty],T_PlannedOrders[Part Name],$A653,T_PlannedOrders[WeekIndex],9)&amp;" ("&amp;TEXT(SUMPRODUCT(MAX((T_PlannedOrders[Part Name]=$A653)*(T_PlannedOrders[WeekIndex]=9)*(T_PlannedOrders[EffectiveQty]&gt;0)*T_PlannedOrders[Order_Month])),"m月")&amp;"発注)")</f>
        <v/>
      </c>
      <c r="M677">
        <f>IF(SUMIFS(T_PlannedOrders[EffectiveQty],T_PlannedOrders[Part Name],$A653,T_PlannedOrders[WeekIndex],10)=0,"",SUMIFS(T_PlannedOrders[EffectiveQty],T_PlannedOrders[Part Name],$A653,T_PlannedOrders[WeekIndex],10)&amp;" ("&amp;TEXT(SUMPRODUCT(MAX((T_PlannedOrders[Part Name]=$A653)*(T_PlannedOrders[WeekIndex]=10)*(T_PlannedOrders[EffectiveQty]&gt;0)*T_PlannedOrders[Order_Month])),"m月")&amp;"発注)")</f>
        <v/>
      </c>
      <c r="N677">
        <f>IF(SUMIFS(T_PlannedOrders[EffectiveQty],T_PlannedOrders[Part Name],$A653,T_PlannedOrders[WeekIndex],11)=0,"",SUMIFS(T_PlannedOrders[EffectiveQty],T_PlannedOrders[Part Name],$A653,T_PlannedOrders[WeekIndex],11)&amp;" ("&amp;TEXT(SUMPRODUCT(MAX((T_PlannedOrders[Part Name]=$A653)*(T_PlannedOrders[WeekIndex]=11)*(T_PlannedOrders[EffectiveQty]&gt;0)*T_PlannedOrders[Order_Month])),"m月")&amp;"発注)")</f>
        <v/>
      </c>
      <c r="O677">
        <f>IF(SUMIFS(T_PlannedOrders[EffectiveQty],T_PlannedOrders[Part Name],$A653,T_PlannedOrders[WeekIndex],12)=0,"",SUMIFS(T_PlannedOrders[EffectiveQty],T_PlannedOrders[Part Name],$A653,T_PlannedOrders[WeekIndex],12)&amp;" ("&amp;TEXT(SUMPRODUCT(MAX((T_PlannedOrders[Part Name]=$A653)*(T_PlannedOrders[WeekIndex]=12)*(T_PlannedOrders[EffectiveQty]&gt;0)*T_PlannedOrders[Order_Month])),"m月")&amp;"発注)")</f>
        <v/>
      </c>
      <c r="P677">
        <f>IF(SUMIFS(T_PlannedOrders[EffectiveQty],T_PlannedOrders[Part Name],$A653,T_PlannedOrders[WeekIndex],13)=0,"",SUMIFS(T_PlannedOrders[EffectiveQty],T_PlannedOrders[Part Name],$A653,T_PlannedOrders[WeekIndex],13)&amp;" ("&amp;TEXT(SUMPRODUCT(MAX((T_PlannedOrders[Part Name]=$A653)*(T_PlannedOrders[WeekIndex]=13)*(T_PlannedOrders[EffectiveQty]&gt;0)*T_PlannedOrders[Order_Month])),"m月")&amp;"発注)")</f>
        <v/>
      </c>
      <c r="Q677">
        <f>IF(SUMIFS(T_PlannedOrders[EffectiveQty],T_PlannedOrders[Part Name],$A653,T_PlannedOrders[WeekIndex],14)=0,"",SUMIFS(T_PlannedOrders[EffectiveQty],T_PlannedOrders[Part Name],$A653,T_PlannedOrders[WeekIndex],14)&amp;" ("&amp;TEXT(SUMPRODUCT(MAX((T_PlannedOrders[Part Name]=$A653)*(T_PlannedOrders[WeekIndex]=14)*(T_PlannedOrders[EffectiveQty]&gt;0)*T_PlannedOrders[Order_Month])),"m月")&amp;"発注)")</f>
        <v/>
      </c>
      <c r="R677">
        <f>IF(SUMIFS(T_PlannedOrders[EffectiveQty],T_PlannedOrders[Part Name],$A653,T_PlannedOrders[WeekIndex],15)=0,"",SUMIFS(T_PlannedOrders[EffectiveQty],T_PlannedOrders[Part Name],$A653,T_PlannedOrders[WeekIndex],15)&amp;" ("&amp;TEXT(SUMPRODUCT(MAX((T_PlannedOrders[Part Name]=$A653)*(T_PlannedOrders[WeekIndex]=15)*(T_PlannedOrders[EffectiveQty]&gt;0)*T_PlannedOrders[Order_Month])),"m月")&amp;"発注)")</f>
        <v/>
      </c>
      <c r="S677">
        <f>IF(SUMIFS(T_PlannedOrders[EffectiveQty],T_PlannedOrders[Part Name],$A653,T_PlannedOrders[WeekIndex],16)=0,"",SUMIFS(T_PlannedOrders[EffectiveQty],T_PlannedOrders[Part Name],$A653,T_PlannedOrders[WeekIndex],16)&amp;" ("&amp;TEXT(SUMPRODUCT(MAX((T_PlannedOrders[Part Name]=$A653)*(T_PlannedOrders[WeekIndex]=16)*(T_PlannedOrders[EffectiveQty]&gt;0)*T_PlannedOrders[Order_Month])),"m月")&amp;"発注)")</f>
        <v/>
      </c>
      <c r="T677">
        <f>IF(SUMIFS(T_PlannedOrders[EffectiveQty],T_PlannedOrders[Part Name],$A653,T_PlannedOrders[WeekIndex],17)=0,"",SUMIFS(T_PlannedOrders[EffectiveQty],T_PlannedOrders[Part Name],$A653,T_PlannedOrders[WeekIndex],17)&amp;" ("&amp;TEXT(SUMPRODUCT(MAX((T_PlannedOrders[Part Name]=$A653)*(T_PlannedOrders[WeekIndex]=17)*(T_PlannedOrders[EffectiveQty]&gt;0)*T_PlannedOrders[Order_Month])),"m月")&amp;"発注)")</f>
        <v/>
      </c>
      <c r="U677">
        <f>IF(SUMIFS(T_PlannedOrders[EffectiveQty],T_PlannedOrders[Part Name],$A653,T_PlannedOrders[WeekIndex],18)=0,"",SUMIFS(T_PlannedOrders[EffectiveQty],T_PlannedOrders[Part Name],$A653,T_PlannedOrders[WeekIndex],18)&amp;" ("&amp;TEXT(SUMPRODUCT(MAX((T_PlannedOrders[Part Name]=$A653)*(T_PlannedOrders[WeekIndex]=18)*(T_PlannedOrders[EffectiveQty]&gt;0)*T_PlannedOrders[Order_Month])),"m月")&amp;"発注)")</f>
        <v/>
      </c>
      <c r="V677">
        <f>IF(SUMIFS(T_PlannedOrders[EffectiveQty],T_PlannedOrders[Part Name],$A653,T_PlannedOrders[WeekIndex],19)=0,"",SUMIFS(T_PlannedOrders[EffectiveQty],T_PlannedOrders[Part Name],$A653,T_PlannedOrders[WeekIndex],19)&amp;" ("&amp;TEXT(SUMPRODUCT(MAX((T_PlannedOrders[Part Name]=$A653)*(T_PlannedOrders[WeekIndex]=19)*(T_PlannedOrders[EffectiveQty]&gt;0)*T_PlannedOrders[Order_Month])),"m月")&amp;"発注)")</f>
        <v/>
      </c>
      <c r="W677">
        <f>IF(SUMIFS(T_PlannedOrders[EffectiveQty],T_PlannedOrders[Part Name],$A653,T_PlannedOrders[WeekIndex],20)=0,"",SUMIFS(T_PlannedOrders[EffectiveQty],T_PlannedOrders[Part Name],$A653,T_PlannedOrders[WeekIndex],20)&amp;" ("&amp;TEXT(SUMPRODUCT(MAX((T_PlannedOrders[Part Name]=$A653)*(T_PlannedOrders[WeekIndex]=20)*(T_PlannedOrders[EffectiveQty]&gt;0)*T_PlannedOrders[Order_Month])),"m月")&amp;"発注)")</f>
        <v/>
      </c>
      <c r="X677">
        <f>IF(SUMIFS(T_PlannedOrders[EffectiveQty],T_PlannedOrders[Part Name],$A653,T_PlannedOrders[WeekIndex],21)=0,"",SUMIFS(T_PlannedOrders[EffectiveQty],T_PlannedOrders[Part Name],$A653,T_PlannedOrders[WeekIndex],21)&amp;" ("&amp;TEXT(SUMPRODUCT(MAX((T_PlannedOrders[Part Name]=$A653)*(T_PlannedOrders[WeekIndex]=21)*(T_PlannedOrders[EffectiveQty]&gt;0)*T_PlannedOrders[Order_Month])),"m月")&amp;"発注)")</f>
        <v/>
      </c>
      <c r="Y677">
        <f>IF(SUMIFS(T_PlannedOrders[EffectiveQty],T_PlannedOrders[Part Name],$A653,T_PlannedOrders[WeekIndex],22)=0,"",SUMIFS(T_PlannedOrders[EffectiveQty],T_PlannedOrders[Part Name],$A653,T_PlannedOrders[WeekIndex],22)&amp;" ("&amp;TEXT(SUMPRODUCT(MAX((T_PlannedOrders[Part Name]=$A653)*(T_PlannedOrders[WeekIndex]=22)*(T_PlannedOrders[EffectiveQty]&gt;0)*T_PlannedOrders[Order_Month])),"m月")&amp;"発注)")</f>
        <v/>
      </c>
      <c r="Z677">
        <f>IF(SUMIFS(T_PlannedOrders[EffectiveQty],T_PlannedOrders[Part Name],$A653,T_PlannedOrders[WeekIndex],23)=0,"",SUMIFS(T_PlannedOrders[EffectiveQty],T_PlannedOrders[Part Name],$A653,T_PlannedOrders[WeekIndex],23)&amp;" ("&amp;TEXT(SUMPRODUCT(MAX((T_PlannedOrders[Part Name]=$A653)*(T_PlannedOrders[WeekIndex]=23)*(T_PlannedOrders[EffectiveQty]&gt;0)*T_PlannedOrders[Order_Month])),"m月")&amp;"発注)")</f>
        <v/>
      </c>
      <c r="AA677">
        <f>IF(SUMIFS(T_PlannedOrders[EffectiveQty],T_PlannedOrders[Part Name],$A653,T_PlannedOrders[WeekIndex],24)=0,"",SUMIFS(T_PlannedOrders[EffectiveQty],T_PlannedOrders[Part Name],$A653,T_PlannedOrders[WeekIndex],24)&amp;" ("&amp;TEXT(SUMPRODUCT(MAX((T_PlannedOrders[Part Name]=$A653)*(T_PlannedOrders[WeekIndex]=24)*(T_PlannedOrders[EffectiveQty]&gt;0)*T_PlannedOrders[Order_Month])),"m月")&amp;"発注)")</f>
        <v/>
      </c>
      <c r="AB677">
        <f>IF(SUMIFS(T_PlannedOrders[EffectiveQty],T_PlannedOrders[Part Name],$A653,T_PlannedOrders[WeekIndex],25)=0,"",SUMIFS(T_PlannedOrders[EffectiveQty],T_PlannedOrders[Part Name],$A653,T_PlannedOrders[WeekIndex],25)&amp;" ("&amp;TEXT(SUMPRODUCT(MAX((T_PlannedOrders[Part Name]=$A653)*(T_PlannedOrders[WeekIndex]=25)*(T_PlannedOrders[EffectiveQty]&gt;0)*T_PlannedOrders[Order_Month])),"m月")&amp;"発注)")</f>
        <v/>
      </c>
      <c r="AC677">
        <f>IF(SUMIFS(T_PlannedOrders[EffectiveQty],T_PlannedOrders[Part Name],$A653,T_PlannedOrders[WeekIndex],26)=0,"",SUMIFS(T_PlannedOrders[EffectiveQty],T_PlannedOrders[Part Name],$A653,T_PlannedOrders[WeekIndex],26)&amp;" ("&amp;TEXT(SUMPRODUCT(MAX((T_PlannedOrders[Part Name]=$A653)*(T_PlannedOrders[WeekIndex]=26)*(T_PlannedOrders[EffectiveQty]&gt;0)*T_PlannedOrders[Order_Month])),"m月")&amp;"発注)")</f>
        <v/>
      </c>
      <c r="AD677">
        <f>IF(SUMIFS(T_PlannedOrders[EffectiveQty],T_PlannedOrders[Part Name],$A653,T_PlannedOrders[WeekIndex],27)=0,"",SUMIFS(T_PlannedOrders[EffectiveQty],T_PlannedOrders[Part Name],$A653,T_PlannedOrders[WeekIndex],27)&amp;" ("&amp;TEXT(SUMPRODUCT(MAX((T_PlannedOrders[Part Name]=$A653)*(T_PlannedOrders[WeekIndex]=27)*(T_PlannedOrders[EffectiveQty]&gt;0)*T_PlannedOrders[Order_Month])),"m月")&amp;"発注)")</f>
        <v/>
      </c>
      <c r="AE677">
        <f>IF(SUMIFS(T_PlannedOrders[EffectiveQty],T_PlannedOrders[Part Name],$A653,T_PlannedOrders[WeekIndex],28)=0,"",SUMIFS(T_PlannedOrders[EffectiveQty],T_PlannedOrders[Part Name],$A653,T_PlannedOrders[WeekIndex],28)&amp;" ("&amp;TEXT(SUMPRODUCT(MAX((T_PlannedOrders[Part Name]=$A653)*(T_PlannedOrders[WeekIndex]=28)*(T_PlannedOrders[EffectiveQty]&gt;0)*T_PlannedOrders[Order_Month])),"m月")&amp;"発注)")</f>
        <v/>
      </c>
      <c r="AF677">
        <f>IF(SUMIFS(T_PlannedOrders[EffectiveQty],T_PlannedOrders[Part Name],$A653,T_PlannedOrders[WeekIndex],29)=0,"",SUMIFS(T_PlannedOrders[EffectiveQty],T_PlannedOrders[Part Name],$A653,T_PlannedOrders[WeekIndex],29)&amp;" ("&amp;TEXT(SUMPRODUCT(MAX((T_PlannedOrders[Part Name]=$A653)*(T_PlannedOrders[WeekIndex]=29)*(T_PlannedOrders[EffectiveQty]&gt;0)*T_PlannedOrders[Order_Month])),"m月")&amp;"発注)")</f>
        <v/>
      </c>
      <c r="AG677">
        <f>IF(SUMIFS(T_PlannedOrders[EffectiveQty],T_PlannedOrders[Part Name],$A653,T_PlannedOrders[WeekIndex],30)=0,"",SUMIFS(T_PlannedOrders[EffectiveQty],T_PlannedOrders[Part Name],$A653,T_PlannedOrders[WeekIndex],30)&amp;" ("&amp;TEXT(SUMPRODUCT(MAX((T_PlannedOrders[Part Name]=$A653)*(T_PlannedOrders[WeekIndex]=30)*(T_PlannedOrders[EffectiveQty]&gt;0)*T_PlannedOrders[Order_Month])),"m月")&amp;"発注)")</f>
        <v/>
      </c>
      <c r="AH677">
        <f>IF(SUMIFS(T_PlannedOrders[EffectiveQty],T_PlannedOrders[Part Name],$A653,T_PlannedOrders[WeekIndex],31)=0,"",SUMIFS(T_PlannedOrders[EffectiveQty],T_PlannedOrders[Part Name],$A653,T_PlannedOrders[WeekIndex],31)&amp;" ("&amp;TEXT(SUMPRODUCT(MAX((T_PlannedOrders[Part Name]=$A653)*(T_PlannedOrders[WeekIndex]=31)*(T_PlannedOrders[EffectiveQty]&gt;0)*T_PlannedOrders[Order_Month])),"m月")&amp;"発注)")</f>
        <v/>
      </c>
      <c r="AI677">
        <f>IF(SUMIFS(T_PlannedOrders[EffectiveQty],T_PlannedOrders[Part Name],$A653,T_PlannedOrders[WeekIndex],32)=0,"",SUMIFS(T_PlannedOrders[EffectiveQty],T_PlannedOrders[Part Name],$A653,T_PlannedOrders[WeekIndex],32)&amp;" ("&amp;TEXT(SUMPRODUCT(MAX((T_PlannedOrders[Part Name]=$A653)*(T_PlannedOrders[WeekIndex]=32)*(T_PlannedOrders[EffectiveQty]&gt;0)*T_PlannedOrders[Order_Month])),"m月")&amp;"発注)")</f>
        <v/>
      </c>
      <c r="AJ677">
        <f>IF(SUMIFS(T_PlannedOrders[EffectiveQty],T_PlannedOrders[Part Name],$A653,T_PlannedOrders[WeekIndex],33)=0,"",SUMIFS(T_PlannedOrders[EffectiveQty],T_PlannedOrders[Part Name],$A653,T_PlannedOrders[WeekIndex],33)&amp;" ("&amp;TEXT(SUMPRODUCT(MAX((T_PlannedOrders[Part Name]=$A653)*(T_PlannedOrders[WeekIndex]=33)*(T_PlannedOrders[EffectiveQty]&gt;0)*T_PlannedOrders[Order_Month])),"m月")&amp;"発注)")</f>
        <v/>
      </c>
      <c r="AK677">
        <f>IF(SUMIFS(T_PlannedOrders[EffectiveQty],T_PlannedOrders[Part Name],$A653,T_PlannedOrders[WeekIndex],34)=0,"",SUMIFS(T_PlannedOrders[EffectiveQty],T_PlannedOrders[Part Name],$A653,T_PlannedOrders[WeekIndex],34)&amp;" ("&amp;TEXT(SUMPRODUCT(MAX((T_PlannedOrders[Part Name]=$A653)*(T_PlannedOrders[WeekIndex]=34)*(T_PlannedOrders[EffectiveQty]&gt;0)*T_PlannedOrders[Order_Month])),"m月")&amp;"発注)")</f>
        <v/>
      </c>
      <c r="AL677">
        <f>IF(SUMIFS(T_PlannedOrders[EffectiveQty],T_PlannedOrders[Part Name],$A653,T_PlannedOrders[WeekIndex],35)=0,"",SUMIFS(T_PlannedOrders[EffectiveQty],T_PlannedOrders[Part Name],$A653,T_PlannedOrders[WeekIndex],35)&amp;" ("&amp;TEXT(SUMPRODUCT(MAX((T_PlannedOrders[Part Name]=$A653)*(T_PlannedOrders[WeekIndex]=35)*(T_PlannedOrders[EffectiveQty]&gt;0)*T_PlannedOrders[Order_Month])),"m月")&amp;"発注)")</f>
        <v/>
      </c>
      <c r="AM677">
        <f>IF(SUMIFS(T_PlannedOrders[EffectiveQty],T_PlannedOrders[Part Name],$A653,T_PlannedOrders[WeekIndex],36)=0,"",SUMIFS(T_PlannedOrders[EffectiveQty],T_PlannedOrders[Part Name],$A653,T_PlannedOrders[WeekIndex],36)&amp;" ("&amp;TEXT(SUMPRODUCT(MAX((T_PlannedOrders[Part Name]=$A653)*(T_PlannedOrders[WeekIndex]=36)*(T_PlannedOrders[EffectiveQty]&gt;0)*T_PlannedOrders[Order_Month])),"m月")&amp;"発注)")</f>
        <v/>
      </c>
      <c r="AN677">
        <f>IF(SUMIFS(T_PlannedOrders[EffectiveQty],T_PlannedOrders[Part Name],$A653,T_PlannedOrders[WeekIndex],37)=0,"",SUMIFS(T_PlannedOrders[EffectiveQty],T_PlannedOrders[Part Name],$A653,T_PlannedOrders[WeekIndex],37)&amp;" ("&amp;TEXT(SUMPRODUCT(MAX((T_PlannedOrders[Part Name]=$A653)*(T_PlannedOrders[WeekIndex]=37)*(T_PlannedOrders[EffectiveQty]&gt;0)*T_PlannedOrders[Order_Month])),"m月")&amp;"発注)")</f>
        <v/>
      </c>
      <c r="AO677">
        <f>IF(SUMIFS(T_PlannedOrders[EffectiveQty],T_PlannedOrders[Part Name],$A653,T_PlannedOrders[WeekIndex],38)=0,"",SUMIFS(T_PlannedOrders[EffectiveQty],T_PlannedOrders[Part Name],$A653,T_PlannedOrders[WeekIndex],38)&amp;" ("&amp;TEXT(SUMPRODUCT(MAX((T_PlannedOrders[Part Name]=$A653)*(T_PlannedOrders[WeekIndex]=38)*(T_PlannedOrders[EffectiveQty]&gt;0)*T_PlannedOrders[Order_Month])),"m月")&amp;"発注)")</f>
        <v/>
      </c>
      <c r="AP677">
        <f>IF(SUMIFS(T_PlannedOrders[EffectiveQty],T_PlannedOrders[Part Name],$A653,T_PlannedOrders[WeekIndex],39)=0,"",SUMIFS(T_PlannedOrders[EffectiveQty],T_PlannedOrders[Part Name],$A653,T_PlannedOrders[WeekIndex],39)&amp;" ("&amp;TEXT(SUMPRODUCT(MAX((T_PlannedOrders[Part Name]=$A653)*(T_PlannedOrders[WeekIndex]=39)*(T_PlannedOrders[EffectiveQty]&gt;0)*T_PlannedOrders[Order_Month])),"m月")&amp;"発注)")</f>
        <v/>
      </c>
      <c r="AQ677">
        <f>IF(SUMIFS(T_PlannedOrders[EffectiveQty],T_PlannedOrders[Part Name],$A653,T_PlannedOrders[WeekIndex],40)=0,"",SUMIFS(T_PlannedOrders[EffectiveQty],T_PlannedOrders[Part Name],$A653,T_PlannedOrders[WeekIndex],40)&amp;" ("&amp;TEXT(SUMPRODUCT(MAX((T_PlannedOrders[Part Name]=$A653)*(T_PlannedOrders[WeekIndex]=40)*(T_PlannedOrders[EffectiveQty]&gt;0)*T_PlannedOrders[Order_Month])),"m月")&amp;"発注)")</f>
        <v/>
      </c>
      <c r="AR677">
        <f>IF(SUMIFS(T_PlannedOrders[EffectiveQty],T_PlannedOrders[Part Name],$A653,T_PlannedOrders[WeekIndex],41)=0,"",SUMIFS(T_PlannedOrders[EffectiveQty],T_PlannedOrders[Part Name],$A653,T_PlannedOrders[WeekIndex],41)&amp;" ("&amp;TEXT(SUMPRODUCT(MAX((T_PlannedOrders[Part Name]=$A653)*(T_PlannedOrders[WeekIndex]=41)*(T_PlannedOrders[EffectiveQty]&gt;0)*T_PlannedOrders[Order_Month])),"m月")&amp;"発注)")</f>
        <v/>
      </c>
      <c r="AS677">
        <f>IF(SUMIFS(T_PlannedOrders[EffectiveQty],T_PlannedOrders[Part Name],$A653,T_PlannedOrders[WeekIndex],42)=0,"",SUMIFS(T_PlannedOrders[EffectiveQty],T_PlannedOrders[Part Name],$A653,T_PlannedOrders[WeekIndex],42)&amp;" ("&amp;TEXT(SUMPRODUCT(MAX((T_PlannedOrders[Part Name]=$A653)*(T_PlannedOrders[WeekIndex]=42)*(T_PlannedOrders[EffectiveQty]&gt;0)*T_PlannedOrders[Order_Month])),"m月")&amp;"発注)")</f>
        <v/>
      </c>
      <c r="AT677">
        <f>IF(SUMIFS(T_PlannedOrders[EffectiveQty],T_PlannedOrders[Part Name],$A653,T_PlannedOrders[WeekIndex],43)=0,"",SUMIFS(T_PlannedOrders[EffectiveQty],T_PlannedOrders[Part Name],$A653,T_PlannedOrders[WeekIndex],43)&amp;" ("&amp;TEXT(SUMPRODUCT(MAX((T_PlannedOrders[Part Name]=$A653)*(T_PlannedOrders[WeekIndex]=43)*(T_PlannedOrders[EffectiveQty]&gt;0)*T_PlannedOrders[Order_Month])),"m月")&amp;"発注)")</f>
        <v/>
      </c>
      <c r="AU677">
        <f>IF(SUMIFS(T_PlannedOrders[EffectiveQty],T_PlannedOrders[Part Name],$A653,T_PlannedOrders[WeekIndex],44)=0,"",SUMIFS(T_PlannedOrders[EffectiveQty],T_PlannedOrders[Part Name],$A653,T_PlannedOrders[WeekIndex],44)&amp;" ("&amp;TEXT(SUMPRODUCT(MAX((T_PlannedOrders[Part Name]=$A653)*(T_PlannedOrders[WeekIndex]=44)*(T_PlannedOrders[EffectiveQty]&gt;0)*T_PlannedOrders[Order_Month])),"m月")&amp;"発注)")</f>
        <v/>
      </c>
      <c r="AV677">
        <f>IF(SUMIFS(T_PlannedOrders[EffectiveQty],T_PlannedOrders[Part Name],$A653,T_PlannedOrders[WeekIndex],45)=0,"",SUMIFS(T_PlannedOrders[EffectiveQty],T_PlannedOrders[Part Name],$A653,T_PlannedOrders[WeekIndex],45)&amp;" ("&amp;TEXT(SUMPRODUCT(MAX((T_PlannedOrders[Part Name]=$A653)*(T_PlannedOrders[WeekIndex]=45)*(T_PlannedOrders[EffectiveQty]&gt;0)*T_PlannedOrders[Order_Month])),"m月")&amp;"発注)")</f>
        <v/>
      </c>
      <c r="AW677">
        <f>IF(SUMIFS(T_PlannedOrders[EffectiveQty],T_PlannedOrders[Part Name],$A653,T_PlannedOrders[WeekIndex],46)=0,"",SUMIFS(T_PlannedOrders[EffectiveQty],T_PlannedOrders[Part Name],$A653,T_PlannedOrders[WeekIndex],46)&amp;" ("&amp;TEXT(SUMPRODUCT(MAX((T_PlannedOrders[Part Name]=$A653)*(T_PlannedOrders[WeekIndex]=46)*(T_PlannedOrders[EffectiveQty]&gt;0)*T_PlannedOrders[Order_Month])),"m月")&amp;"発注)")</f>
        <v/>
      </c>
      <c r="AX677">
        <f>IF(SUMIFS(T_PlannedOrders[EffectiveQty],T_PlannedOrders[Part Name],$A653,T_PlannedOrders[WeekIndex],47)=0,"",SUMIFS(T_PlannedOrders[EffectiveQty],T_PlannedOrders[Part Name],$A653,T_PlannedOrders[WeekIndex],47)&amp;" ("&amp;TEXT(SUMPRODUCT(MAX((T_PlannedOrders[Part Name]=$A653)*(T_PlannedOrders[WeekIndex]=47)*(T_PlannedOrders[EffectiveQty]&gt;0)*T_PlannedOrders[Order_Month])),"m月")&amp;"発注)")</f>
        <v/>
      </c>
      <c r="AY677">
        <f>IF(SUMIFS(T_PlannedOrders[EffectiveQty],T_PlannedOrders[Part Name],$A653,T_PlannedOrders[WeekIndex],48)=0,"",SUMIFS(T_PlannedOrders[EffectiveQty],T_PlannedOrders[Part Name],$A653,T_PlannedOrders[WeekIndex],48)&amp;" ("&amp;TEXT(SUMPRODUCT(MAX((T_PlannedOrders[Part Name]=$A653)*(T_PlannedOrders[WeekIndex]=48)*(T_PlannedOrders[EffectiveQty]&gt;0)*T_PlannedOrders[Order_Month])),"m月")&amp;"発注)")</f>
        <v/>
      </c>
      <c r="AZ677">
        <f>IF(SUMIFS(T_PlannedOrders[EffectiveQty],T_PlannedOrders[Part Name],$A653,T_PlannedOrders[WeekIndex],49)=0,"",SUMIFS(T_PlannedOrders[EffectiveQty],T_PlannedOrders[Part Name],$A653,T_PlannedOrders[WeekIndex],49)&amp;" ("&amp;TEXT(SUMPRODUCT(MAX((T_PlannedOrders[Part Name]=$A653)*(T_PlannedOrders[WeekIndex]=49)*(T_PlannedOrders[EffectiveQty]&gt;0)*T_PlannedOrders[Order_Month])),"m月")&amp;"発注)")</f>
        <v/>
      </c>
      <c r="BA677">
        <f>IF(SUMIFS(T_PlannedOrders[EffectiveQty],T_PlannedOrders[Part Name],$A653,T_PlannedOrders[WeekIndex],50)=0,"",SUMIFS(T_PlannedOrders[EffectiveQty],T_PlannedOrders[Part Name],$A653,T_PlannedOrders[WeekIndex],50)&amp;" ("&amp;TEXT(SUMPRODUCT(MAX((T_PlannedOrders[Part Name]=$A653)*(T_PlannedOrders[WeekIndex]=50)*(T_PlannedOrders[EffectiveQty]&gt;0)*T_PlannedOrders[Order_Month])),"m月")&amp;"発注)")</f>
        <v/>
      </c>
      <c r="BB677">
        <f>IF(SUMIFS(T_PlannedOrders[EffectiveQty],T_PlannedOrders[Part Name],$A653,T_PlannedOrders[WeekIndex],51)=0,"",SUMIFS(T_PlannedOrders[EffectiveQty],T_PlannedOrders[Part Name],$A653,T_PlannedOrders[WeekIndex],51)&amp;" ("&amp;TEXT(SUMPRODUCT(MAX((T_PlannedOrders[Part Name]=$A653)*(T_PlannedOrders[WeekIndex]=51)*(T_PlannedOrders[EffectiveQty]&gt;0)*T_PlannedOrders[Order_Month])),"m月")&amp;"発注)")</f>
        <v/>
      </c>
      <c r="BC677">
        <f>IF(SUMIFS(T_PlannedOrders[EffectiveQty],T_PlannedOrders[Part Name],$A653,T_PlannedOrders[WeekIndex],52)=0,"",SUMIFS(T_PlannedOrders[EffectiveQty],T_PlannedOrders[Part Name],$A653,T_PlannedOrders[WeekIndex],52)&amp;" ("&amp;TEXT(SUMPRODUCT(MAX((T_PlannedOrders[Part Name]=$A653)*(T_PlannedOrders[WeekIndex]=52)*(T_PlannedOrders[EffectiveQty]&gt;0)*T_PlannedOrders[Order_Month])),"m月")&amp;"発注)")</f>
        <v/>
      </c>
      <c r="BD677">
        <f>IF(SUMIFS(T_PlannedOrders[EffectiveQty],T_PlannedOrders[Part Name],$A653,T_PlannedOrders[WeekIndex],53)=0,"",SUMIFS(T_PlannedOrders[EffectiveQty],T_PlannedOrders[Part Name],$A653,T_PlannedOrders[WeekIndex],53)&amp;" ("&amp;TEXT(SUMPRODUCT(MAX((T_PlannedOrders[Part Name]=$A653)*(T_PlannedOrders[WeekIndex]=53)*(T_PlannedOrders[EffectiveQty]&gt;0)*T_PlannedOrders[Order_Month])),"m月")&amp;"発注)")</f>
        <v/>
      </c>
      <c r="BE677">
        <f>IF(SUMIFS(T_PlannedOrders[EffectiveQty],T_PlannedOrders[Part Name],$A653,T_PlannedOrders[WeekIndex],54)=0,"",SUMIFS(T_PlannedOrders[EffectiveQty],T_PlannedOrders[Part Name],$A653,T_PlannedOrders[WeekIndex],54)&amp;" ("&amp;TEXT(SUMPRODUCT(MAX((T_PlannedOrders[Part Name]=$A653)*(T_PlannedOrders[WeekIndex]=54)*(T_PlannedOrders[EffectiveQty]&gt;0)*T_PlannedOrders[Order_Month])),"m月")&amp;"発注)")</f>
        <v/>
      </c>
      <c r="BF677">
        <f>IF(SUMIFS(T_PlannedOrders[EffectiveQty],T_PlannedOrders[Part Name],$A653,T_PlannedOrders[WeekIndex],55)=0,"",SUMIFS(T_PlannedOrders[EffectiveQty],T_PlannedOrders[Part Name],$A653,T_PlannedOrders[WeekIndex],55)&amp;" ("&amp;TEXT(SUMPRODUCT(MAX((T_PlannedOrders[Part Name]=$A653)*(T_PlannedOrders[WeekIndex]=55)*(T_PlannedOrders[EffectiveQty]&gt;0)*T_PlannedOrders[Order_Month])),"m月")&amp;"発注)")</f>
        <v/>
      </c>
      <c r="BG677">
        <f>IF(SUMIFS(T_PlannedOrders[EffectiveQty],T_PlannedOrders[Part Name],$A653,T_PlannedOrders[WeekIndex],56)=0,"",SUMIFS(T_PlannedOrders[EffectiveQty],T_PlannedOrders[Part Name],$A653,T_PlannedOrders[WeekIndex],56)&amp;" ("&amp;TEXT(SUMPRODUCT(MAX((T_PlannedOrders[Part Name]=$A653)*(T_PlannedOrders[WeekIndex]=56)*(T_PlannedOrders[EffectiveQty]&gt;0)*T_PlannedOrders[Order_Month])),"m月")&amp;"発注)")</f>
        <v/>
      </c>
      <c r="BH677">
        <f>IF(SUMIFS(T_PlannedOrders[EffectiveQty],T_PlannedOrders[Part Name],$A653,T_PlannedOrders[WeekIndex],57)=0,"",SUMIFS(T_PlannedOrders[EffectiveQty],T_PlannedOrders[Part Name],$A653,T_PlannedOrders[WeekIndex],57)&amp;" ("&amp;TEXT(SUMPRODUCT(MAX((T_PlannedOrders[Part Name]=$A653)*(T_PlannedOrders[WeekIndex]=57)*(T_PlannedOrders[EffectiveQty]&gt;0)*T_PlannedOrders[Order_Month])),"m月")&amp;"発注)")</f>
        <v/>
      </c>
      <c r="BI677">
        <f>IF(SUMIFS(T_PlannedOrders[EffectiveQty],T_PlannedOrders[Part Name],$A653,T_PlannedOrders[WeekIndex],58)=0,"",SUMIFS(T_PlannedOrders[EffectiveQty],T_PlannedOrders[Part Name],$A653,T_PlannedOrders[WeekIndex],58)&amp;" ("&amp;TEXT(SUMPRODUCT(MAX((T_PlannedOrders[Part Name]=$A653)*(T_PlannedOrders[WeekIndex]=58)*(T_PlannedOrders[EffectiveQty]&gt;0)*T_PlannedOrders[Order_Month])),"m月")&amp;"発注)")</f>
        <v/>
      </c>
      <c r="BJ677">
        <f>IF(SUMIFS(T_PlannedOrders[EffectiveQty],T_PlannedOrders[Part Name],$A653,T_PlannedOrders[WeekIndex],59)=0,"",SUMIFS(T_PlannedOrders[EffectiveQty],T_PlannedOrders[Part Name],$A653,T_PlannedOrders[WeekIndex],59)&amp;" ("&amp;TEXT(SUMPRODUCT(MAX((T_PlannedOrders[Part Name]=$A653)*(T_PlannedOrders[WeekIndex]=59)*(T_PlannedOrders[EffectiveQty]&gt;0)*T_PlannedOrders[Order_Month])),"m月")&amp;"発注)")</f>
        <v/>
      </c>
      <c r="BK677">
        <f>IF(SUMIFS(T_PlannedOrders[EffectiveQty],T_PlannedOrders[Part Name],$A653,T_PlannedOrders[WeekIndex],60)=0,"",SUMIFS(T_PlannedOrders[EffectiveQty],T_PlannedOrders[Part Name],$A653,T_PlannedOrders[WeekIndex],60)&amp;" ("&amp;TEXT(SUMPRODUCT(MAX((T_PlannedOrders[Part Name]=$A653)*(T_PlannedOrders[WeekIndex]=60)*(T_PlannedOrders[EffectiveQty]&gt;0)*T_PlannedOrders[Order_Month])),"m月")&amp;"発注)")</f>
        <v/>
      </c>
      <c r="BL677">
        <f>IF(SUMIFS(T_PlannedOrders[EffectiveQty],T_PlannedOrders[Part Name],$A653,T_PlannedOrders[WeekIndex],61)=0,"",SUMIFS(T_PlannedOrders[EffectiveQty],T_PlannedOrders[Part Name],$A653,T_PlannedOrders[WeekIndex],61)&amp;" ("&amp;TEXT(SUMPRODUCT(MAX((T_PlannedOrders[Part Name]=$A653)*(T_PlannedOrders[WeekIndex]=61)*(T_PlannedOrders[EffectiveQty]&gt;0)*T_PlannedOrders[Order_Month])),"m月")&amp;"発注)")</f>
        <v/>
      </c>
      <c r="BM677">
        <f>IF(SUMIFS(T_PlannedOrders[EffectiveQty],T_PlannedOrders[Part Name],$A653,T_PlannedOrders[WeekIndex],62)=0,"",SUMIFS(T_PlannedOrders[EffectiveQty],T_PlannedOrders[Part Name],$A653,T_PlannedOrders[WeekIndex],62)&amp;" ("&amp;TEXT(SUMPRODUCT(MAX((T_PlannedOrders[Part Name]=$A653)*(T_PlannedOrders[WeekIndex]=62)*(T_PlannedOrders[EffectiveQty]&gt;0)*T_PlannedOrders[Order_Month])),"m月")&amp;"発注)")</f>
        <v/>
      </c>
      <c r="BN677">
        <f>IF(SUMIFS(T_PlannedOrders[EffectiveQty],T_PlannedOrders[Part Name],$A653,T_PlannedOrders[WeekIndex],63)=0,"",SUMIFS(T_PlannedOrders[EffectiveQty],T_PlannedOrders[Part Name],$A653,T_PlannedOrders[WeekIndex],63)&amp;" ("&amp;TEXT(SUMPRODUCT(MAX((T_PlannedOrders[Part Name]=$A653)*(T_PlannedOrders[WeekIndex]=63)*(T_PlannedOrders[EffectiveQty]&gt;0)*T_PlannedOrders[Order_Month])),"m月")&amp;"発注)")</f>
        <v/>
      </c>
      <c r="BO677">
        <f>IF(SUMIFS(T_PlannedOrders[EffectiveQty],T_PlannedOrders[Part Name],$A653,T_PlannedOrders[WeekIndex],64)=0,"",SUMIFS(T_PlannedOrders[EffectiveQty],T_PlannedOrders[Part Name],$A653,T_PlannedOrders[WeekIndex],64)&amp;" ("&amp;TEXT(SUMPRODUCT(MAX((T_PlannedOrders[Part Name]=$A653)*(T_PlannedOrders[WeekIndex]=64)*(T_PlannedOrders[EffectiveQty]&gt;0)*T_PlannedOrders[Order_Month])),"m月")&amp;"発注)")</f>
        <v/>
      </c>
      <c r="BP677">
        <f>IF(SUMIFS(T_PlannedOrders[EffectiveQty],T_PlannedOrders[Part Name],$A653,T_PlannedOrders[WeekIndex],65)=0,"",SUMIFS(T_PlannedOrders[EffectiveQty],T_PlannedOrders[Part Name],$A653,T_PlannedOrders[WeekIndex],65)&amp;" ("&amp;TEXT(SUMPRODUCT(MAX((T_PlannedOrders[Part Name]=$A653)*(T_PlannedOrders[WeekIndex]=65)*(T_PlannedOrders[EffectiveQty]&gt;0)*T_PlannedOrders[Order_Month])),"m月")&amp;"発注)")</f>
        <v/>
      </c>
      <c r="BQ677">
        <f>IF(SUMIFS(T_PlannedOrders[EffectiveQty],T_PlannedOrders[Part Name],$A653,T_PlannedOrders[WeekIndex],66)=0,"",SUMIFS(T_PlannedOrders[EffectiveQty],T_PlannedOrders[Part Name],$A653,T_PlannedOrders[WeekIndex],66)&amp;" ("&amp;TEXT(SUMPRODUCT(MAX((T_PlannedOrders[Part Name]=$A653)*(T_PlannedOrders[WeekIndex]=66)*(T_PlannedOrders[EffectiveQty]&gt;0)*T_PlannedOrders[Order_Month])),"m月")&amp;"発注)")</f>
        <v/>
      </c>
      <c r="BR677">
        <f>IF(SUMIFS(T_PlannedOrders[EffectiveQty],T_PlannedOrders[Part Name],$A653,T_PlannedOrders[WeekIndex],67)=0,"",SUMIFS(T_PlannedOrders[EffectiveQty],T_PlannedOrders[Part Name],$A653,T_PlannedOrders[WeekIndex],67)&amp;" ("&amp;TEXT(SUMPRODUCT(MAX((T_PlannedOrders[Part Name]=$A653)*(T_PlannedOrders[WeekIndex]=67)*(T_PlannedOrders[EffectiveQty]&gt;0)*T_PlannedOrders[Order_Month])),"m月")&amp;"発注)")</f>
        <v/>
      </c>
      <c r="BS677">
        <f>IF(SUMIFS(T_PlannedOrders[EffectiveQty],T_PlannedOrders[Part Name],$A653,T_PlannedOrders[WeekIndex],68)=0,"",SUMIFS(T_PlannedOrders[EffectiveQty],T_PlannedOrders[Part Name],$A653,T_PlannedOrders[WeekIndex],68)&amp;" ("&amp;TEXT(SUMPRODUCT(MAX((T_PlannedOrders[Part Name]=$A653)*(T_PlannedOrders[WeekIndex]=68)*(T_PlannedOrders[EffectiveQty]&gt;0)*T_PlannedOrders[Order_Month])),"m月")&amp;"発注)")</f>
        <v/>
      </c>
      <c r="BT677">
        <f>IF(SUMIFS(T_PlannedOrders[EffectiveQty],T_PlannedOrders[Part Name],$A653,T_PlannedOrders[WeekIndex],69)=0,"",SUMIFS(T_PlannedOrders[EffectiveQty],T_PlannedOrders[Part Name],$A653,T_PlannedOrders[WeekIndex],69)&amp;" ("&amp;TEXT(SUMPRODUCT(MAX((T_PlannedOrders[Part Name]=$A653)*(T_PlannedOrders[WeekIndex]=69)*(T_PlannedOrders[EffectiveQty]&gt;0)*T_PlannedOrders[Order_Month])),"m月")&amp;"発注)")</f>
        <v/>
      </c>
      <c r="BU677">
        <f>IF(SUMIFS(T_PlannedOrders[EffectiveQty],T_PlannedOrders[Part Name],$A653,T_PlannedOrders[WeekIndex],70)=0,"",SUMIFS(T_PlannedOrders[EffectiveQty],T_PlannedOrders[Part Name],$A653,T_PlannedOrders[WeekIndex],70)&amp;" ("&amp;TEXT(SUMPRODUCT(MAX((T_PlannedOrders[Part Name]=$A653)*(T_PlannedOrders[WeekIndex]=70)*(T_PlannedOrders[EffectiveQty]&gt;0)*T_PlannedOrders[Order_Month])),"m月")&amp;"発注)")</f>
        <v/>
      </c>
      <c r="BV677">
        <f>IF(SUMIFS(T_PlannedOrders[EffectiveQty],T_PlannedOrders[Part Name],$A653,T_PlannedOrders[WeekIndex],71)=0,"",SUMIFS(T_PlannedOrders[EffectiveQty],T_PlannedOrders[Part Name],$A653,T_PlannedOrders[WeekIndex],71)&amp;" ("&amp;TEXT(SUMPRODUCT(MAX((T_PlannedOrders[Part Name]=$A653)*(T_PlannedOrders[WeekIndex]=71)*(T_PlannedOrders[EffectiveQty]&gt;0)*T_PlannedOrders[Order_Month])),"m月")&amp;"発注)")</f>
        <v/>
      </c>
      <c r="BW677">
        <f>IF(SUMIFS(T_PlannedOrders[EffectiveQty],T_PlannedOrders[Part Name],$A653,T_PlannedOrders[WeekIndex],72)=0,"",SUMIFS(T_PlannedOrders[EffectiveQty],T_PlannedOrders[Part Name],$A653,T_PlannedOrders[WeekIndex],72)&amp;" ("&amp;TEXT(SUMPRODUCT(MAX((T_PlannedOrders[Part Name]=$A653)*(T_PlannedOrders[WeekIndex]=72)*(T_PlannedOrders[EffectiveQty]&gt;0)*T_PlannedOrders[Order_Month])),"m月")&amp;"発注)")</f>
        <v/>
      </c>
      <c r="BX677">
        <f>IF(SUMIFS(T_PlannedOrders[EffectiveQty],T_PlannedOrders[Part Name],$A653,T_PlannedOrders[WeekIndex],73)=0,"",SUMIFS(T_PlannedOrders[EffectiveQty],T_PlannedOrders[Part Name],$A653,T_PlannedOrders[WeekIndex],73)&amp;" ("&amp;TEXT(SUMPRODUCT(MAX((T_PlannedOrders[Part Name]=$A653)*(T_PlannedOrders[WeekIndex]=73)*(T_PlannedOrders[EffectiveQty]&gt;0)*T_PlannedOrders[Order_Month])),"m月")&amp;"発注)")</f>
        <v/>
      </c>
      <c r="BY677">
        <f>IF(SUMIFS(T_PlannedOrders[EffectiveQty],T_PlannedOrders[Part Name],$A653,T_PlannedOrders[WeekIndex],74)=0,"",SUMIFS(T_PlannedOrders[EffectiveQty],T_PlannedOrders[Part Name],$A653,T_PlannedOrders[WeekIndex],74)&amp;" ("&amp;TEXT(SUMPRODUCT(MAX((T_PlannedOrders[Part Name]=$A653)*(T_PlannedOrders[WeekIndex]=74)*(T_PlannedOrders[EffectiveQty]&gt;0)*T_PlannedOrders[Order_Month])),"m月")&amp;"発注)")</f>
        <v/>
      </c>
      <c r="BZ677">
        <f>IF(SUMIFS(T_PlannedOrders[EffectiveQty],T_PlannedOrders[Part Name],$A653,T_PlannedOrders[WeekIndex],75)=0,"",SUMIFS(T_PlannedOrders[EffectiveQty],T_PlannedOrders[Part Name],$A653,T_PlannedOrders[WeekIndex],75)&amp;" ("&amp;TEXT(SUMPRODUCT(MAX((T_PlannedOrders[Part Name]=$A653)*(T_PlannedOrders[WeekIndex]=75)*(T_PlannedOrders[EffectiveQty]&gt;0)*T_PlannedOrders[Order_Month])),"m月")&amp;"発注)")</f>
        <v/>
      </c>
      <c r="CA677">
        <f>IF(SUMIFS(T_PlannedOrders[EffectiveQty],T_PlannedOrders[Part Name],$A653,T_PlannedOrders[WeekIndex],76)=0,"",SUMIFS(T_PlannedOrders[EffectiveQty],T_PlannedOrders[Part Name],$A653,T_PlannedOrders[WeekIndex],76)&amp;" ("&amp;TEXT(SUMPRODUCT(MAX((T_PlannedOrders[Part Name]=$A653)*(T_PlannedOrders[WeekIndex]=76)*(T_PlannedOrders[EffectiveQty]&gt;0)*T_PlannedOrders[Order_Month])),"m月")&amp;"発注)")</f>
        <v/>
      </c>
      <c r="CB677">
        <f>IF(SUMIFS(T_PlannedOrders[EffectiveQty],T_PlannedOrders[Part Name],$A653,T_PlannedOrders[WeekIndex],77)=0,"",SUMIFS(T_PlannedOrders[EffectiveQty],T_PlannedOrders[Part Name],$A653,T_PlannedOrders[WeekIndex],77)&amp;" ("&amp;TEXT(SUMPRODUCT(MAX((T_PlannedOrders[Part Name]=$A653)*(T_PlannedOrders[WeekIndex]=77)*(T_PlannedOrders[EffectiveQty]&gt;0)*T_PlannedOrders[Order_Month])),"m月")&amp;"発注)")</f>
        <v/>
      </c>
      <c r="CC677">
        <f>IF(SUMIFS(T_PlannedOrders[EffectiveQty],T_PlannedOrders[Part Name],$A653,T_PlannedOrders[WeekIndex],78)=0,"",SUMIFS(T_PlannedOrders[EffectiveQty],T_PlannedOrders[Part Name],$A653,T_PlannedOrders[WeekIndex],78)&amp;" ("&amp;TEXT(SUMPRODUCT(MAX((T_PlannedOrders[Part Name]=$A653)*(T_PlannedOrders[WeekIndex]=78)*(T_PlannedOrders[EffectiveQty]&gt;0)*T_PlannedOrders[Order_Month])),"m月")&amp;"発注)")</f>
        <v/>
      </c>
      <c r="CD677">
        <f>IF(SUMIFS(T_PlannedOrders[EffectiveQty],T_PlannedOrders[Part Name],$A653,T_PlannedOrders[WeekIndex],79)=0,"",SUMIFS(T_PlannedOrders[EffectiveQty],T_PlannedOrders[Part Name],$A653,T_PlannedOrders[WeekIndex],79)&amp;" ("&amp;TEXT(SUMPRODUCT(MAX((T_PlannedOrders[Part Name]=$A653)*(T_PlannedOrders[WeekIndex]=79)*(T_PlannedOrders[EffectiveQty]&gt;0)*T_PlannedOrders[Order_Month])),"m月")&amp;"発注)")</f>
        <v/>
      </c>
      <c r="CE677">
        <f>IF(SUMIFS(T_PlannedOrders[EffectiveQty],T_PlannedOrders[Part Name],$A653,T_PlannedOrders[WeekIndex],80)=0,"",SUMIFS(T_PlannedOrders[EffectiveQty],T_PlannedOrders[Part Name],$A653,T_PlannedOrders[WeekIndex],80)&amp;" ("&amp;TEXT(SUMPRODUCT(MAX((T_PlannedOrders[Part Name]=$A653)*(T_PlannedOrders[WeekIndex]=80)*(T_PlannedOrders[EffectiveQty]&gt;0)*T_PlannedOrders[Order_Month])),"m月")&amp;"発注)")</f>
        <v/>
      </c>
      <c r="CF677">
        <f>IF(SUMIFS(T_PlannedOrders[EffectiveQty],T_PlannedOrders[Part Name],$A653,T_PlannedOrders[WeekIndex],81)=0,"",SUMIFS(T_PlannedOrders[EffectiveQty],T_PlannedOrders[Part Name],$A653,T_PlannedOrders[WeekIndex],81)&amp;" ("&amp;TEXT(SUMPRODUCT(MAX((T_PlannedOrders[Part Name]=$A653)*(T_PlannedOrders[WeekIndex]=81)*(T_PlannedOrders[EffectiveQty]&gt;0)*T_PlannedOrders[Order_Month])),"m月")&amp;"発注)")</f>
        <v/>
      </c>
      <c r="CG677">
        <f>IF(SUMIFS(T_PlannedOrders[EffectiveQty],T_PlannedOrders[Part Name],$A653,T_PlannedOrders[WeekIndex],82)=0,"",SUMIFS(T_PlannedOrders[EffectiveQty],T_PlannedOrders[Part Name],$A653,T_PlannedOrders[WeekIndex],82)&amp;" ("&amp;TEXT(SUMPRODUCT(MAX((T_PlannedOrders[Part Name]=$A653)*(T_PlannedOrders[WeekIndex]=82)*(T_PlannedOrders[EffectiveQty]&gt;0)*T_PlannedOrders[Order_Month])),"m月")&amp;"発注)")</f>
        <v/>
      </c>
      <c r="CH677">
        <f>IF(SUMIFS(T_PlannedOrders[EffectiveQty],T_PlannedOrders[Part Name],$A653,T_PlannedOrders[WeekIndex],83)=0,"",SUMIFS(T_PlannedOrders[EffectiveQty],T_PlannedOrders[Part Name],$A653,T_PlannedOrders[WeekIndex],83)&amp;" ("&amp;TEXT(SUMPRODUCT(MAX((T_PlannedOrders[Part Name]=$A653)*(T_PlannedOrders[WeekIndex]=83)*(T_PlannedOrders[EffectiveQty]&gt;0)*T_PlannedOrders[Order_Month])),"m月")&amp;"発注)")</f>
        <v/>
      </c>
      <c r="CI677">
        <f>IF(SUMIFS(T_PlannedOrders[EffectiveQty],T_PlannedOrders[Part Name],$A653,T_PlannedOrders[WeekIndex],84)=0,"",SUMIFS(T_PlannedOrders[EffectiveQty],T_PlannedOrders[Part Name],$A653,T_PlannedOrders[WeekIndex],84)&amp;" ("&amp;TEXT(SUMPRODUCT(MAX((T_PlannedOrders[Part Name]=$A653)*(T_PlannedOrders[WeekIndex]=84)*(T_PlannedOrders[EffectiveQty]&gt;0)*T_PlannedOrders[Order_Month])),"m月")&amp;"発注)")</f>
        <v/>
      </c>
      <c r="CJ677">
        <f>IF(SUMIFS(T_PlannedOrders[EffectiveQty],T_PlannedOrders[Part Name],$A653,T_PlannedOrders[WeekIndex],85)=0,"",SUMIFS(T_PlannedOrders[EffectiveQty],T_PlannedOrders[Part Name],$A653,T_PlannedOrders[WeekIndex],85)&amp;" ("&amp;TEXT(SUMPRODUCT(MAX((T_PlannedOrders[Part Name]=$A653)*(T_PlannedOrders[WeekIndex]=85)*(T_PlannedOrders[EffectiveQty]&gt;0)*T_PlannedOrders[Order_Month])),"m月")&amp;"発注)")</f>
        <v/>
      </c>
      <c r="CK677">
        <f>IF(SUMIFS(T_PlannedOrders[EffectiveQty],T_PlannedOrders[Part Name],$A653,T_PlannedOrders[WeekIndex],86)=0,"",SUMIFS(T_PlannedOrders[EffectiveQty],T_PlannedOrders[Part Name],$A653,T_PlannedOrders[WeekIndex],86)&amp;" ("&amp;TEXT(SUMPRODUCT(MAX((T_PlannedOrders[Part Name]=$A653)*(T_PlannedOrders[WeekIndex]=86)*(T_PlannedOrders[EffectiveQty]&gt;0)*T_PlannedOrders[Order_Month])),"m月")&amp;"発注)")</f>
        <v/>
      </c>
      <c r="CL677">
        <f>IF(SUMIFS(T_PlannedOrders[EffectiveQty],T_PlannedOrders[Part Name],$A653,T_PlannedOrders[WeekIndex],87)=0,"",SUMIFS(T_PlannedOrders[EffectiveQty],T_PlannedOrders[Part Name],$A653,T_PlannedOrders[WeekIndex],87)&amp;" ("&amp;TEXT(SUMPRODUCT(MAX((T_PlannedOrders[Part Name]=$A653)*(T_PlannedOrders[WeekIndex]=87)*(T_PlannedOrders[EffectiveQty]&gt;0)*T_PlannedOrders[Order_Month])),"m月")&amp;"発注)")</f>
        <v/>
      </c>
      <c r="CM677">
        <f>IF(SUMIFS(T_PlannedOrders[EffectiveQty],T_PlannedOrders[Part Name],$A653,T_PlannedOrders[WeekIndex],88)=0,"",SUMIFS(T_PlannedOrders[EffectiveQty],T_PlannedOrders[Part Name],$A653,T_PlannedOrders[WeekIndex],88)&amp;" ("&amp;TEXT(SUMPRODUCT(MAX((T_PlannedOrders[Part Name]=$A653)*(T_PlannedOrders[WeekIndex]=88)*(T_PlannedOrders[EffectiveQty]&gt;0)*T_PlannedOrders[Order_Month])),"m月")&amp;"発注)")</f>
        <v/>
      </c>
      <c r="CN677">
        <f>IF(SUMIFS(T_PlannedOrders[EffectiveQty],T_PlannedOrders[Part Name],$A653,T_PlannedOrders[WeekIndex],89)=0,"",SUMIFS(T_PlannedOrders[EffectiveQty],T_PlannedOrders[Part Name],$A653,T_PlannedOrders[WeekIndex],89)&amp;" ("&amp;TEXT(SUMPRODUCT(MAX((T_PlannedOrders[Part Name]=$A653)*(T_PlannedOrders[WeekIndex]=89)*(T_PlannedOrders[EffectiveQty]&gt;0)*T_PlannedOrders[Order_Month])),"m月")&amp;"発注)")</f>
        <v/>
      </c>
      <c r="CO677">
        <f>IF(SUMIFS(T_PlannedOrders[EffectiveQty],T_PlannedOrders[Part Name],$A653,T_PlannedOrders[WeekIndex],90)=0,"",SUMIFS(T_PlannedOrders[EffectiveQty],T_PlannedOrders[Part Name],$A653,T_PlannedOrders[WeekIndex],90)&amp;" ("&amp;TEXT(SUMPRODUCT(MAX((T_PlannedOrders[Part Name]=$A653)*(T_PlannedOrders[WeekIndex]=90)*(T_PlannedOrders[EffectiveQty]&gt;0)*T_PlannedOrders[Order_Month])),"m月")&amp;"発注)")</f>
        <v/>
      </c>
      <c r="CP677">
        <f>IF(SUMIFS(T_PlannedOrders[EffectiveQty],T_PlannedOrders[Part Name],$A653,T_PlannedOrders[WeekIndex],91)=0,"",SUMIFS(T_PlannedOrders[EffectiveQty],T_PlannedOrders[Part Name],$A653,T_PlannedOrders[WeekIndex],91)&amp;" ("&amp;TEXT(SUMPRODUCT(MAX((T_PlannedOrders[Part Name]=$A653)*(T_PlannedOrders[WeekIndex]=91)*(T_PlannedOrders[EffectiveQty]&gt;0)*T_PlannedOrders[Order_Month])),"m月")&amp;"発注)")</f>
        <v/>
      </c>
      <c r="CQ677">
        <f>IF(SUMIFS(T_PlannedOrders[EffectiveQty],T_PlannedOrders[Part Name],$A653,T_PlannedOrders[WeekIndex],92)=0,"",SUMIFS(T_PlannedOrders[EffectiveQty],T_PlannedOrders[Part Name],$A653,T_PlannedOrders[WeekIndex],92)&amp;" ("&amp;TEXT(SUMPRODUCT(MAX((T_PlannedOrders[Part Name]=$A653)*(T_PlannedOrders[WeekIndex]=92)*(T_PlannedOrders[EffectiveQty]&gt;0)*T_PlannedOrders[Order_Month])),"m月")&amp;"発注)")</f>
        <v/>
      </c>
      <c r="CR677">
        <f>IF(SUMIFS(T_PlannedOrders[EffectiveQty],T_PlannedOrders[Part Name],$A653,T_PlannedOrders[WeekIndex],93)=0,"",SUMIFS(T_PlannedOrders[EffectiveQty],T_PlannedOrders[Part Name],$A653,T_PlannedOrders[WeekIndex],93)&amp;" ("&amp;TEXT(SUMPRODUCT(MAX((T_PlannedOrders[Part Name]=$A653)*(T_PlannedOrders[WeekIndex]=93)*(T_PlannedOrders[EffectiveQty]&gt;0)*T_PlannedOrders[Order_Month])),"m月")&amp;"発注)")</f>
        <v/>
      </c>
      <c r="CS677">
        <f>IF(SUMIFS(T_PlannedOrders[EffectiveQty],T_PlannedOrders[Part Name],$A653,T_PlannedOrders[WeekIndex],94)=0,"",SUMIFS(T_PlannedOrders[EffectiveQty],T_PlannedOrders[Part Name],$A653,T_PlannedOrders[WeekIndex],94)&amp;" ("&amp;TEXT(SUMPRODUCT(MAX((T_PlannedOrders[Part Name]=$A653)*(T_PlannedOrders[WeekIndex]=94)*(T_PlannedOrders[EffectiveQty]&gt;0)*T_PlannedOrders[Order_Month])),"m月")&amp;"発注)")</f>
        <v/>
      </c>
      <c r="CT677">
        <f>IF(SUMIFS(T_PlannedOrders[EffectiveQty],T_PlannedOrders[Part Name],$A653,T_PlannedOrders[WeekIndex],95)=0,"",SUMIFS(T_PlannedOrders[EffectiveQty],T_PlannedOrders[Part Name],$A653,T_PlannedOrders[WeekIndex],95)&amp;" ("&amp;TEXT(SUMPRODUCT(MAX((T_PlannedOrders[Part Name]=$A653)*(T_PlannedOrders[WeekIndex]=95)*(T_PlannedOrders[EffectiveQty]&gt;0)*T_PlannedOrders[Order_Month])),"m月")&amp;"発注)")</f>
        <v/>
      </c>
      <c r="CU677">
        <f>IF(SUMIFS(T_PlannedOrders[EffectiveQty],T_PlannedOrders[Part Name],$A653,T_PlannedOrders[WeekIndex],96)=0,"",SUMIFS(T_PlannedOrders[EffectiveQty],T_PlannedOrders[Part Name],$A653,T_PlannedOrders[WeekIndex],96)&amp;" ("&amp;TEXT(SUMPRODUCT(MAX((T_PlannedOrders[Part Name]=$A653)*(T_PlannedOrders[WeekIndex]=96)*(T_PlannedOrders[EffectiveQty]&gt;0)*T_PlannedOrders[Order_Month])),"m月")&amp;"発注)")</f>
        <v/>
      </c>
      <c r="CV677">
        <f>IF(SUMIFS(T_PlannedOrders[EffectiveQty],T_PlannedOrders[Part Name],$A653,T_PlannedOrders[WeekIndex],97)=0,"",SUMIFS(T_PlannedOrders[EffectiveQty],T_PlannedOrders[Part Name],$A653,T_PlannedOrders[WeekIndex],97)&amp;" ("&amp;TEXT(SUMPRODUCT(MAX((T_PlannedOrders[Part Name]=$A653)*(T_PlannedOrders[WeekIndex]=97)*(T_PlannedOrders[EffectiveQty]&gt;0)*T_PlannedOrders[Order_Month])),"m月")&amp;"発注)")</f>
        <v/>
      </c>
      <c r="CW677">
        <f>IF(SUMIFS(T_PlannedOrders[EffectiveQty],T_PlannedOrders[Part Name],$A653,T_PlannedOrders[WeekIndex],98)=0,"",SUMIFS(T_PlannedOrders[EffectiveQty],T_PlannedOrders[Part Name],$A653,T_PlannedOrders[WeekIndex],98)&amp;" ("&amp;TEXT(SUMPRODUCT(MAX((T_PlannedOrders[Part Name]=$A653)*(T_PlannedOrders[WeekIndex]=98)*(T_PlannedOrders[EffectiveQty]&gt;0)*T_PlannedOrders[Order_Month])),"m月")&amp;"発注)")</f>
        <v/>
      </c>
      <c r="CX677">
        <f>IF(SUMIFS(T_PlannedOrders[EffectiveQty],T_PlannedOrders[Part Name],$A653,T_PlannedOrders[WeekIndex],99)=0,"",SUMIFS(T_PlannedOrders[EffectiveQty],T_PlannedOrders[Part Name],$A653,T_PlannedOrders[WeekIndex],99)&amp;" ("&amp;TEXT(SUMPRODUCT(MAX((T_PlannedOrders[Part Name]=$A653)*(T_PlannedOrders[WeekIndex]=99)*(T_PlannedOrders[EffectiveQty]&gt;0)*T_PlannedOrders[Order_Month])),"m月")&amp;"発注)")</f>
        <v/>
      </c>
      <c r="CY677">
        <f>IF(SUMIFS(T_PlannedOrders[EffectiveQty],T_PlannedOrders[Part Name],$A653,T_PlannedOrders[WeekIndex],100)=0,"",SUMIFS(T_PlannedOrders[EffectiveQty],T_PlannedOrders[Part Name],$A653,T_PlannedOrders[WeekIndex],100)&amp;" ("&amp;TEXT(SUMPRODUCT(MAX((T_PlannedOrders[Part Name]=$A653)*(T_PlannedOrders[WeekIndex]=100)*(T_PlannedOrders[EffectiveQty]&gt;0)*T_PlannedOrders[Order_Month])),"m月")&amp;"発注)")</f>
        <v/>
      </c>
      <c r="CZ677">
        <f>IF(SUMIFS(T_PlannedOrders[EffectiveQty],T_PlannedOrders[Part Name],$A653,T_PlannedOrders[WeekIndex],101)=0,"",SUMIFS(T_PlannedOrders[EffectiveQty],T_PlannedOrders[Part Name],$A653,T_PlannedOrders[WeekIndex],101)&amp;" ("&amp;TEXT(SUMPRODUCT(MAX((T_PlannedOrders[Part Name]=$A653)*(T_PlannedOrders[WeekIndex]=101)*(T_PlannedOrders[EffectiveQty]&gt;0)*T_PlannedOrders[Order_Month])),"m月")&amp;"発注)")</f>
        <v/>
      </c>
      <c r="DA677">
        <f>IF(SUMIFS(T_PlannedOrders[EffectiveQty],T_PlannedOrders[Part Name],$A653,T_PlannedOrders[WeekIndex],102)=0,"",SUMIFS(T_PlannedOrders[EffectiveQty],T_PlannedOrders[Part Name],$A653,T_PlannedOrders[WeekIndex],102)&amp;" ("&amp;TEXT(SUMPRODUCT(MAX((T_PlannedOrders[Part Name]=$A653)*(T_PlannedOrders[WeekIndex]=102)*(T_PlannedOrders[EffectiveQty]&gt;0)*T_PlannedOrders[Order_Month])),"m月")&amp;"発注)")</f>
        <v/>
      </c>
      <c r="DB677">
        <f>IF(SUMIFS(T_PlannedOrders[EffectiveQty],T_PlannedOrders[Part Name],$A653,T_PlannedOrders[WeekIndex],103)=0,"",SUMIFS(T_PlannedOrders[EffectiveQty],T_PlannedOrders[Part Name],$A653,T_PlannedOrders[WeekIndex],103)&amp;" ("&amp;TEXT(SUMPRODUCT(MAX((T_PlannedOrders[Part Name]=$A653)*(T_PlannedOrders[WeekIndex]=103)*(T_PlannedOrders[EffectiveQty]&gt;0)*T_PlannedOrders[Order_Month])),"m月")&amp;"発注)")</f>
        <v/>
      </c>
      <c r="DC677">
        <f>IF(SUMIFS(T_PlannedOrders[EffectiveQty],T_PlannedOrders[Part Name],$A653,T_PlannedOrders[WeekIndex],104)=0,"",SUMIFS(T_PlannedOrders[EffectiveQty],T_PlannedOrders[Part Name],$A653,T_PlannedOrders[WeekIndex],104)&amp;" ("&amp;TEXT(SUMPRODUCT(MAX((T_PlannedOrders[Part Name]=$A653)*(T_PlannedOrders[WeekIndex]=104)*(T_PlannedOrders[EffectiveQty]&gt;0)*T_PlannedOrders[Order_Month])),"m月")&amp;"発注)")</f>
        <v/>
      </c>
    </row>
    <row r="678">
      <c r="B678" s="4" t="inlineStr">
        <is>
          <t>合計在庫(週末時点,kg)</t>
        </is>
      </c>
      <c r="D678">
        <f>'Grid_Stock'!B18</f>
        <v/>
      </c>
      <c r="E678">
        <f>'Grid_Stock'!C18</f>
        <v/>
      </c>
      <c r="F678">
        <f>'Grid_Stock'!D18</f>
        <v/>
      </c>
      <c r="G678">
        <f>'Grid_Stock'!E18</f>
        <v/>
      </c>
      <c r="H678">
        <f>'Grid_Stock'!F18</f>
        <v/>
      </c>
      <c r="I678">
        <f>'Grid_Stock'!G18</f>
        <v/>
      </c>
      <c r="J678">
        <f>'Grid_Stock'!H18</f>
        <v/>
      </c>
      <c r="K678">
        <f>'Grid_Stock'!I18</f>
        <v/>
      </c>
      <c r="L678">
        <f>'Grid_Stock'!J18</f>
        <v/>
      </c>
      <c r="M678">
        <f>'Grid_Stock'!K18</f>
        <v/>
      </c>
      <c r="N678">
        <f>'Grid_Stock'!L18</f>
        <v/>
      </c>
      <c r="O678">
        <f>'Grid_Stock'!M18</f>
        <v/>
      </c>
      <c r="P678">
        <f>'Grid_Stock'!N18</f>
        <v/>
      </c>
      <c r="Q678">
        <f>'Grid_Stock'!O18</f>
        <v/>
      </c>
      <c r="R678">
        <f>'Grid_Stock'!P18</f>
        <v/>
      </c>
      <c r="S678">
        <f>'Grid_Stock'!Q18</f>
        <v/>
      </c>
      <c r="T678">
        <f>'Grid_Stock'!R18</f>
        <v/>
      </c>
      <c r="U678">
        <f>'Grid_Stock'!S18</f>
        <v/>
      </c>
      <c r="V678">
        <f>'Grid_Stock'!T18</f>
        <v/>
      </c>
      <c r="W678">
        <f>'Grid_Stock'!U18</f>
        <v/>
      </c>
      <c r="X678">
        <f>'Grid_Stock'!V18</f>
        <v/>
      </c>
      <c r="Y678">
        <f>'Grid_Stock'!W18</f>
        <v/>
      </c>
      <c r="Z678">
        <f>'Grid_Stock'!X18</f>
        <v/>
      </c>
      <c r="AA678">
        <f>'Grid_Stock'!Y18</f>
        <v/>
      </c>
      <c r="AB678">
        <f>'Grid_Stock'!Z18</f>
        <v/>
      </c>
      <c r="AC678">
        <f>'Grid_Stock'!AA18</f>
        <v/>
      </c>
      <c r="AD678">
        <f>'Grid_Stock'!AB18</f>
        <v/>
      </c>
      <c r="AE678">
        <f>'Grid_Stock'!AC18</f>
        <v/>
      </c>
      <c r="AF678">
        <f>'Grid_Stock'!AD18</f>
        <v/>
      </c>
      <c r="AG678">
        <f>'Grid_Stock'!AE18</f>
        <v/>
      </c>
      <c r="AH678">
        <f>'Grid_Stock'!AF18</f>
        <v/>
      </c>
      <c r="AI678">
        <f>'Grid_Stock'!AG18</f>
        <v/>
      </c>
      <c r="AJ678">
        <f>'Grid_Stock'!AH18</f>
        <v/>
      </c>
      <c r="AK678">
        <f>'Grid_Stock'!AI18</f>
        <v/>
      </c>
      <c r="AL678">
        <f>'Grid_Stock'!AJ18</f>
        <v/>
      </c>
      <c r="AM678">
        <f>'Grid_Stock'!AK18</f>
        <v/>
      </c>
      <c r="AN678">
        <f>'Grid_Stock'!AL18</f>
        <v/>
      </c>
      <c r="AO678">
        <f>'Grid_Stock'!AM18</f>
        <v/>
      </c>
      <c r="AP678">
        <f>'Grid_Stock'!AN18</f>
        <v/>
      </c>
      <c r="AQ678">
        <f>'Grid_Stock'!AO18</f>
        <v/>
      </c>
      <c r="AR678">
        <f>'Grid_Stock'!AP18</f>
        <v/>
      </c>
      <c r="AS678">
        <f>'Grid_Stock'!AQ18</f>
        <v/>
      </c>
      <c r="AT678">
        <f>'Grid_Stock'!AR18</f>
        <v/>
      </c>
      <c r="AU678">
        <f>'Grid_Stock'!AS18</f>
        <v/>
      </c>
      <c r="AV678">
        <f>'Grid_Stock'!AT18</f>
        <v/>
      </c>
      <c r="AW678">
        <f>'Grid_Stock'!AU18</f>
        <v/>
      </c>
      <c r="AX678">
        <f>'Grid_Stock'!AV18</f>
        <v/>
      </c>
      <c r="AY678">
        <f>'Grid_Stock'!AW18</f>
        <v/>
      </c>
      <c r="AZ678">
        <f>'Grid_Stock'!AX18</f>
        <v/>
      </c>
      <c r="BA678">
        <f>'Grid_Stock'!AY18</f>
        <v/>
      </c>
      <c r="BB678">
        <f>'Grid_Stock'!AZ18</f>
        <v/>
      </c>
      <c r="BC678">
        <f>'Grid_Stock'!BA18</f>
        <v/>
      </c>
      <c r="BD678">
        <f>'Grid_Stock'!BB18</f>
        <v/>
      </c>
      <c r="BE678">
        <f>'Grid_Stock'!BC18</f>
        <v/>
      </c>
      <c r="BF678">
        <f>'Grid_Stock'!BD18</f>
        <v/>
      </c>
      <c r="BG678">
        <f>'Grid_Stock'!BE18</f>
        <v/>
      </c>
      <c r="BH678">
        <f>'Grid_Stock'!BF18</f>
        <v/>
      </c>
      <c r="BI678">
        <f>'Grid_Stock'!BG18</f>
        <v/>
      </c>
      <c r="BJ678">
        <f>'Grid_Stock'!BH18</f>
        <v/>
      </c>
      <c r="BK678">
        <f>'Grid_Stock'!BI18</f>
        <v/>
      </c>
      <c r="BL678">
        <f>'Grid_Stock'!BJ18</f>
        <v/>
      </c>
      <c r="BM678">
        <f>'Grid_Stock'!BK18</f>
        <v/>
      </c>
      <c r="BN678">
        <f>'Grid_Stock'!BL18</f>
        <v/>
      </c>
      <c r="BO678">
        <f>'Grid_Stock'!BM18</f>
        <v/>
      </c>
      <c r="BP678">
        <f>'Grid_Stock'!BN18</f>
        <v/>
      </c>
      <c r="BQ678">
        <f>'Grid_Stock'!BO18</f>
        <v/>
      </c>
      <c r="BR678">
        <f>'Grid_Stock'!BP18</f>
        <v/>
      </c>
      <c r="BS678">
        <f>'Grid_Stock'!BQ18</f>
        <v/>
      </c>
      <c r="BT678">
        <f>'Grid_Stock'!BR18</f>
        <v/>
      </c>
      <c r="BU678">
        <f>'Grid_Stock'!BS18</f>
        <v/>
      </c>
      <c r="BV678">
        <f>'Grid_Stock'!BT18</f>
        <v/>
      </c>
      <c r="BW678">
        <f>'Grid_Stock'!BU18</f>
        <v/>
      </c>
      <c r="BX678">
        <f>'Grid_Stock'!BV18</f>
        <v/>
      </c>
      <c r="BY678">
        <f>'Grid_Stock'!BW18</f>
        <v/>
      </c>
      <c r="BZ678">
        <f>'Grid_Stock'!BX18</f>
        <v/>
      </c>
      <c r="CA678">
        <f>'Grid_Stock'!BY18</f>
        <v/>
      </c>
      <c r="CB678">
        <f>'Grid_Stock'!BZ18</f>
        <v/>
      </c>
      <c r="CC678">
        <f>'Grid_Stock'!CA18</f>
        <v/>
      </c>
      <c r="CD678">
        <f>'Grid_Stock'!CB18</f>
        <v/>
      </c>
      <c r="CE678">
        <f>'Grid_Stock'!CC18</f>
        <v/>
      </c>
      <c r="CF678">
        <f>'Grid_Stock'!CD18</f>
        <v/>
      </c>
      <c r="CG678">
        <f>'Grid_Stock'!CE18</f>
        <v/>
      </c>
      <c r="CH678">
        <f>'Grid_Stock'!CF18</f>
        <v/>
      </c>
      <c r="CI678">
        <f>'Grid_Stock'!CG18</f>
        <v/>
      </c>
      <c r="CJ678">
        <f>'Grid_Stock'!CH18</f>
        <v/>
      </c>
      <c r="CK678">
        <f>'Grid_Stock'!CI18</f>
        <v/>
      </c>
      <c r="CL678">
        <f>'Grid_Stock'!CJ18</f>
        <v/>
      </c>
      <c r="CM678">
        <f>'Grid_Stock'!CK18</f>
        <v/>
      </c>
      <c r="CN678">
        <f>'Grid_Stock'!CL18</f>
        <v/>
      </c>
      <c r="CO678">
        <f>'Grid_Stock'!CM18</f>
        <v/>
      </c>
      <c r="CP678">
        <f>'Grid_Stock'!CN18</f>
        <v/>
      </c>
      <c r="CQ678">
        <f>'Grid_Stock'!CO18</f>
        <v/>
      </c>
      <c r="CR678">
        <f>'Grid_Stock'!CP18</f>
        <v/>
      </c>
      <c r="CS678">
        <f>'Grid_Stock'!CQ18</f>
        <v/>
      </c>
      <c r="CT678">
        <f>'Grid_Stock'!CR18</f>
        <v/>
      </c>
      <c r="CU678">
        <f>'Grid_Stock'!CS18</f>
        <v/>
      </c>
      <c r="CV678">
        <f>'Grid_Stock'!CT18</f>
        <v/>
      </c>
      <c r="CW678">
        <f>'Grid_Stock'!CU18</f>
        <v/>
      </c>
      <c r="CX678">
        <f>'Grid_Stock'!CV18</f>
        <v/>
      </c>
      <c r="CY678">
        <f>'Grid_Stock'!CW18</f>
        <v/>
      </c>
      <c r="CZ678">
        <f>'Grid_Stock'!CX18</f>
        <v/>
      </c>
      <c r="DA678">
        <f>'Grid_Stock'!CY18</f>
        <v/>
      </c>
      <c r="DB678">
        <f>'Grid_Stock'!CZ18</f>
        <v/>
      </c>
      <c r="DC678">
        <f>'Grid_Stock'!DA18</f>
        <v/>
      </c>
    </row>
    <row r="679">
      <c r="B679" s="16" t="inlineStr">
        <is>
          <t>（発注の目安はDashboardの基準在庫[下限/上限]と色分けを参照）</t>
        </is>
      </c>
    </row>
    <row r="681">
      <c r="A681" s="14" t="inlineStr">
        <is>
          <t>CHEM-1240</t>
        </is>
      </c>
      <c r="B681" s="14" t="inlineStr">
        <is>
          <t>Alumina SOL(AS200)</t>
        </is>
      </c>
      <c r="C681" s="15" t="n"/>
      <c r="D681" s="14" t="n"/>
      <c r="E681" s="14" t="n"/>
      <c r="F681" s="14" t="n"/>
      <c r="G681" s="14" t="n"/>
      <c r="H681" s="14" t="n"/>
      <c r="I681" s="14" t="n"/>
      <c r="J681" s="14" t="n"/>
      <c r="K681" s="14" t="n"/>
      <c r="L681" s="14" t="n"/>
      <c r="M681" s="14" t="n"/>
      <c r="N681" s="14" t="n"/>
      <c r="O681" s="14" t="n"/>
      <c r="P681" s="14" t="n"/>
      <c r="Q681" s="14" t="n"/>
      <c r="R681" s="14" t="n"/>
      <c r="S681" s="14" t="n"/>
      <c r="T681" s="14" t="n"/>
      <c r="U681" s="14" t="n"/>
      <c r="V681" s="14" t="n"/>
      <c r="W681" s="14" t="n"/>
      <c r="X681" s="14" t="n"/>
      <c r="Y681" s="14" t="n"/>
      <c r="Z681" s="14" t="n"/>
      <c r="AA681" s="14" t="n"/>
      <c r="AB681" s="14" t="n"/>
      <c r="AC681" s="14" t="n"/>
      <c r="AD681" s="14" t="n"/>
      <c r="AE681" s="14" t="n"/>
      <c r="AF681" s="14" t="n"/>
      <c r="AG681" s="14" t="n"/>
      <c r="AH681" s="14" t="n"/>
      <c r="AI681" s="14" t="n"/>
      <c r="AJ681" s="14" t="n"/>
      <c r="AK681" s="14" t="n"/>
      <c r="AL681" s="14" t="n"/>
      <c r="AM681" s="14" t="n"/>
      <c r="AN681" s="14" t="n"/>
      <c r="AO681" s="14" t="n"/>
      <c r="AP681" s="14" t="n"/>
      <c r="AQ681" s="14" t="n"/>
      <c r="AR681" s="14" t="n"/>
      <c r="AS681" s="14" t="n"/>
      <c r="AT681" s="14" t="n"/>
      <c r="AU681" s="14" t="n"/>
      <c r="AV681" s="14" t="n"/>
      <c r="AW681" s="14" t="n"/>
      <c r="AX681" s="14" t="n"/>
      <c r="AY681" s="14" t="n"/>
      <c r="AZ681" s="14" t="n"/>
      <c r="BA681" s="14" t="n"/>
      <c r="BB681" s="14" t="n"/>
      <c r="BC681" s="14" t="n"/>
      <c r="BD681" s="14" t="n"/>
      <c r="BE681" s="14" t="n"/>
      <c r="BF681" s="14" t="n"/>
      <c r="BG681" s="14" t="n"/>
      <c r="BH681" s="14" t="n"/>
      <c r="BI681" s="14" t="n"/>
      <c r="BJ681" s="14" t="n"/>
      <c r="BK681" s="14" t="n"/>
      <c r="BL681" s="14" t="n"/>
      <c r="BM681" s="14" t="n"/>
      <c r="BN681" s="14" t="n"/>
      <c r="BO681" s="14" t="n"/>
      <c r="BP681" s="14" t="n"/>
      <c r="BQ681" s="14" t="n"/>
      <c r="BR681" s="14" t="n"/>
      <c r="BS681" s="14" t="n"/>
      <c r="BT681" s="14" t="n"/>
      <c r="BU681" s="14" t="n"/>
      <c r="BV681" s="14" t="n"/>
      <c r="BW681" s="14" t="n"/>
      <c r="BX681" s="14" t="n"/>
      <c r="BY681" s="14" t="n"/>
      <c r="BZ681" s="14" t="n"/>
      <c r="CA681" s="14" t="n"/>
      <c r="CB681" s="14" t="n"/>
      <c r="CC681" s="14" t="n"/>
      <c r="CD681" s="14" t="n"/>
      <c r="CE681" s="14" t="n"/>
      <c r="CF681" s="14" t="n"/>
      <c r="CG681" s="14" t="n"/>
      <c r="CH681" s="14" t="n"/>
      <c r="CI681" s="14" t="n"/>
      <c r="CJ681" s="14" t="n"/>
      <c r="CK681" s="14" t="n"/>
      <c r="CL681" s="14" t="n"/>
      <c r="CM681" s="14" t="n"/>
      <c r="CN681" s="14" t="n"/>
      <c r="CO681" s="14" t="n"/>
      <c r="CP681" s="14" t="n"/>
      <c r="CQ681" s="14" t="n"/>
      <c r="CR681" s="14" t="n"/>
      <c r="CS681" s="14" t="n"/>
      <c r="CT681" s="14" t="n"/>
      <c r="CU681" s="14" t="n"/>
      <c r="CV681" s="14" t="n"/>
      <c r="CW681" s="14" t="n"/>
      <c r="CX681" s="14" t="n"/>
      <c r="CY681" s="14" t="n"/>
      <c r="CZ681" s="14" t="n"/>
      <c r="DA681" s="14" t="n"/>
      <c r="DB681" s="14" t="n"/>
      <c r="DC681" s="14" t="n"/>
    </row>
    <row r="682">
      <c r="B682" t="inlineStr">
        <is>
          <t>TSP-224</t>
        </is>
      </c>
      <c r="C682" t="inlineStr">
        <is>
          <t>No. of batches</t>
        </is>
      </c>
      <c r="D682">
        <f>IFERROR(INDEX(PP_Grid[#Data],$DD682,2),0)</f>
        <v/>
      </c>
      <c r="E682">
        <f>IFERROR(INDEX(PP_Grid[#Data],$DD682,3),0)</f>
        <v/>
      </c>
      <c r="F682">
        <f>IFERROR(INDEX(PP_Grid[#Data],$DD682,4),0)</f>
        <v/>
      </c>
      <c r="G682">
        <f>IFERROR(INDEX(PP_Grid[#Data],$DD682,5),0)</f>
        <v/>
      </c>
      <c r="H682">
        <f>IFERROR(INDEX(PP_Grid[#Data],$DD682,6),0)</f>
        <v/>
      </c>
      <c r="I682">
        <f>IFERROR(INDEX(PP_Grid[#Data],$DD682,7),0)</f>
        <v/>
      </c>
      <c r="J682">
        <f>IFERROR(INDEX(PP_Grid[#Data],$DD682,8),0)</f>
        <v/>
      </c>
      <c r="K682">
        <f>IFERROR(INDEX(PP_Grid[#Data],$DD682,9),0)</f>
        <v/>
      </c>
      <c r="L682">
        <f>IFERROR(INDEX(PP_Grid[#Data],$DD682,10),0)</f>
        <v/>
      </c>
      <c r="M682">
        <f>IFERROR(INDEX(PP_Grid[#Data],$DD682,11),0)</f>
        <v/>
      </c>
      <c r="N682">
        <f>IFERROR(INDEX(PP_Grid[#Data],$DD682,12),0)</f>
        <v/>
      </c>
      <c r="O682">
        <f>IFERROR(INDEX(PP_Grid[#Data],$DD682,13),0)</f>
        <v/>
      </c>
      <c r="P682">
        <f>IFERROR(INDEX(PP_Grid[#Data],$DD682,14),0)</f>
        <v/>
      </c>
      <c r="Q682">
        <f>IFERROR(INDEX(PP_Grid[#Data],$DD682,15),0)</f>
        <v/>
      </c>
      <c r="R682">
        <f>IFERROR(INDEX(PP_Grid[#Data],$DD682,16),0)</f>
        <v/>
      </c>
      <c r="S682">
        <f>IFERROR(INDEX(PP_Grid[#Data],$DD682,17),0)</f>
        <v/>
      </c>
      <c r="T682">
        <f>IFERROR(INDEX(PP_Grid[#Data],$DD682,18),0)</f>
        <v/>
      </c>
      <c r="U682">
        <f>IFERROR(INDEX(PP_Grid[#Data],$DD682,19),0)</f>
        <v/>
      </c>
      <c r="V682">
        <f>IFERROR(INDEX(PP_Grid[#Data],$DD682,20),0)</f>
        <v/>
      </c>
      <c r="W682">
        <f>IFERROR(INDEX(PP_Grid[#Data],$DD682,21),0)</f>
        <v/>
      </c>
      <c r="X682">
        <f>IFERROR(INDEX(PP_Grid[#Data],$DD682,22),0)</f>
        <v/>
      </c>
      <c r="Y682">
        <f>IFERROR(INDEX(PP_Grid[#Data],$DD682,23),0)</f>
        <v/>
      </c>
      <c r="Z682">
        <f>IFERROR(INDEX(PP_Grid[#Data],$DD682,24),0)</f>
        <v/>
      </c>
      <c r="AA682">
        <f>IFERROR(INDEX(PP_Grid[#Data],$DD682,25),0)</f>
        <v/>
      </c>
      <c r="AB682">
        <f>IFERROR(INDEX(PP_Grid[#Data],$DD682,26),0)</f>
        <v/>
      </c>
      <c r="AC682">
        <f>IFERROR(INDEX(PP_Grid[#Data],$DD682,27),0)</f>
        <v/>
      </c>
      <c r="AD682">
        <f>IFERROR(INDEX(PP_Grid[#Data],$DD682,28),0)</f>
        <v/>
      </c>
      <c r="AE682">
        <f>IFERROR(INDEX(PP_Grid[#Data],$DD682,29),0)</f>
        <v/>
      </c>
      <c r="AF682">
        <f>IFERROR(INDEX(PP_Grid[#Data],$DD682,30),0)</f>
        <v/>
      </c>
      <c r="AG682">
        <f>IFERROR(INDEX(PP_Grid[#Data],$DD682,31),0)</f>
        <v/>
      </c>
      <c r="AH682">
        <f>IFERROR(INDEX(PP_Grid[#Data],$DD682,32),0)</f>
        <v/>
      </c>
      <c r="AI682">
        <f>IFERROR(INDEX(PP_Grid[#Data],$DD682,33),0)</f>
        <v/>
      </c>
      <c r="AJ682">
        <f>IFERROR(INDEX(PP_Grid[#Data],$DD682,34),0)</f>
        <v/>
      </c>
      <c r="AK682">
        <f>IFERROR(INDEX(PP_Grid[#Data],$DD682,35),0)</f>
        <v/>
      </c>
      <c r="AL682">
        <f>IFERROR(INDEX(PP_Grid[#Data],$DD682,36),0)</f>
        <v/>
      </c>
      <c r="AM682">
        <f>IFERROR(INDEX(PP_Grid[#Data],$DD682,37),0)</f>
        <v/>
      </c>
      <c r="AN682">
        <f>IFERROR(INDEX(PP_Grid[#Data],$DD682,38),0)</f>
        <v/>
      </c>
      <c r="AO682">
        <f>IFERROR(INDEX(PP_Grid[#Data],$DD682,39),0)</f>
        <v/>
      </c>
      <c r="AP682">
        <f>IFERROR(INDEX(PP_Grid[#Data],$DD682,40),0)</f>
        <v/>
      </c>
      <c r="AQ682">
        <f>IFERROR(INDEX(PP_Grid[#Data],$DD682,41),0)</f>
        <v/>
      </c>
      <c r="AR682">
        <f>IFERROR(INDEX(PP_Grid[#Data],$DD682,42),0)</f>
        <v/>
      </c>
      <c r="AS682">
        <f>IFERROR(INDEX(PP_Grid[#Data],$DD682,43),0)</f>
        <v/>
      </c>
      <c r="AT682">
        <f>IFERROR(INDEX(PP_Grid[#Data],$DD682,44),0)</f>
        <v/>
      </c>
      <c r="AU682">
        <f>IFERROR(INDEX(PP_Grid[#Data],$DD682,45),0)</f>
        <v/>
      </c>
      <c r="AV682">
        <f>IFERROR(INDEX(PP_Grid[#Data],$DD682,46),0)</f>
        <v/>
      </c>
      <c r="AW682">
        <f>IFERROR(INDEX(PP_Grid[#Data],$DD682,47),0)</f>
        <v/>
      </c>
      <c r="AX682">
        <f>IFERROR(INDEX(PP_Grid[#Data],$DD682,48),0)</f>
        <v/>
      </c>
      <c r="AY682">
        <f>IFERROR(INDEX(PP_Grid[#Data],$DD682,49),0)</f>
        <v/>
      </c>
      <c r="AZ682">
        <f>IFERROR(INDEX(PP_Grid[#Data],$DD682,50),0)</f>
        <v/>
      </c>
      <c r="BA682">
        <f>IFERROR(INDEX(PP_Grid[#Data],$DD682,51),0)</f>
        <v/>
      </c>
      <c r="BB682">
        <f>IFERROR(INDEX(PP_Grid[#Data],$DD682,52),0)</f>
        <v/>
      </c>
      <c r="BC682">
        <f>IFERROR(INDEX(PP_Grid[#Data],$DD682,53),0)</f>
        <v/>
      </c>
      <c r="BD682">
        <f>IFERROR(INDEX(PP_Grid[#Data],$DD682,54),0)</f>
        <v/>
      </c>
      <c r="BE682">
        <f>IFERROR(INDEX(PP_Grid[#Data],$DD682,55),0)</f>
        <v/>
      </c>
      <c r="BF682">
        <f>IFERROR(INDEX(PP_Grid[#Data],$DD682,56),0)</f>
        <v/>
      </c>
      <c r="BG682">
        <f>IFERROR(INDEX(PP_Grid[#Data],$DD682,57),0)</f>
        <v/>
      </c>
      <c r="BH682">
        <f>IFERROR(INDEX(PP_Grid[#Data],$DD682,58),0)</f>
        <v/>
      </c>
      <c r="BI682">
        <f>IFERROR(INDEX(PP_Grid[#Data],$DD682,59),0)</f>
        <v/>
      </c>
      <c r="BJ682">
        <f>IFERROR(INDEX(PP_Grid[#Data],$DD682,60),0)</f>
        <v/>
      </c>
      <c r="BK682">
        <f>IFERROR(INDEX(PP_Grid[#Data],$DD682,61),0)</f>
        <v/>
      </c>
      <c r="BL682">
        <f>IFERROR(INDEX(PP_Grid[#Data],$DD682,62),0)</f>
        <v/>
      </c>
      <c r="BM682">
        <f>IFERROR(INDEX(PP_Grid[#Data],$DD682,63),0)</f>
        <v/>
      </c>
      <c r="BN682">
        <f>IFERROR(INDEX(PP_Grid[#Data],$DD682,64),0)</f>
        <v/>
      </c>
      <c r="BO682">
        <f>IFERROR(INDEX(PP_Grid[#Data],$DD682,65),0)</f>
        <v/>
      </c>
      <c r="BP682">
        <f>IFERROR(INDEX(PP_Grid[#Data],$DD682,66),0)</f>
        <v/>
      </c>
      <c r="BQ682">
        <f>IFERROR(INDEX(PP_Grid[#Data],$DD682,67),0)</f>
        <v/>
      </c>
      <c r="BR682">
        <f>IFERROR(INDEX(PP_Grid[#Data],$DD682,68),0)</f>
        <v/>
      </c>
      <c r="BS682">
        <f>IFERROR(INDEX(PP_Grid[#Data],$DD682,69),0)</f>
        <v/>
      </c>
      <c r="BT682">
        <f>IFERROR(INDEX(PP_Grid[#Data],$DD682,70),0)</f>
        <v/>
      </c>
      <c r="BU682">
        <f>IFERROR(INDEX(PP_Grid[#Data],$DD682,71),0)</f>
        <v/>
      </c>
      <c r="BV682">
        <f>IFERROR(INDEX(PP_Grid[#Data],$DD682,72),0)</f>
        <v/>
      </c>
      <c r="BW682">
        <f>IFERROR(INDEX(PP_Grid[#Data],$DD682,73),0)</f>
        <v/>
      </c>
      <c r="BX682">
        <f>IFERROR(INDEX(PP_Grid[#Data],$DD682,74),0)</f>
        <v/>
      </c>
      <c r="BY682">
        <f>IFERROR(INDEX(PP_Grid[#Data],$DD682,75),0)</f>
        <v/>
      </c>
      <c r="BZ682">
        <f>IFERROR(INDEX(PP_Grid[#Data],$DD682,76),0)</f>
        <v/>
      </c>
      <c r="CA682">
        <f>IFERROR(INDEX(PP_Grid[#Data],$DD682,77),0)</f>
        <v/>
      </c>
      <c r="CB682">
        <f>IFERROR(INDEX(PP_Grid[#Data],$DD682,78),0)</f>
        <v/>
      </c>
      <c r="CC682">
        <f>IFERROR(INDEX(PP_Grid[#Data],$DD682,79),0)</f>
        <v/>
      </c>
      <c r="CD682">
        <f>IFERROR(INDEX(PP_Grid[#Data],$DD682,80),0)</f>
        <v/>
      </c>
      <c r="CE682">
        <f>IFERROR(INDEX(PP_Grid[#Data],$DD682,81),0)</f>
        <v/>
      </c>
      <c r="CF682">
        <f>IFERROR(INDEX(PP_Grid[#Data],$DD682,82),0)</f>
        <v/>
      </c>
      <c r="CG682">
        <f>IFERROR(INDEX(PP_Grid[#Data],$DD682,83),0)</f>
        <v/>
      </c>
      <c r="CH682">
        <f>IFERROR(INDEX(PP_Grid[#Data],$DD682,84),0)</f>
        <v/>
      </c>
      <c r="CI682">
        <f>IFERROR(INDEX(PP_Grid[#Data],$DD682,85),0)</f>
        <v/>
      </c>
      <c r="CJ682">
        <f>IFERROR(INDEX(PP_Grid[#Data],$DD682,86),0)</f>
        <v/>
      </c>
      <c r="CK682">
        <f>IFERROR(INDEX(PP_Grid[#Data],$DD682,87),0)</f>
        <v/>
      </c>
      <c r="CL682">
        <f>IFERROR(INDEX(PP_Grid[#Data],$DD682,88),0)</f>
        <v/>
      </c>
      <c r="CM682">
        <f>IFERROR(INDEX(PP_Grid[#Data],$DD682,89),0)</f>
        <v/>
      </c>
      <c r="CN682">
        <f>IFERROR(INDEX(PP_Grid[#Data],$DD682,90),0)</f>
        <v/>
      </c>
      <c r="CO682">
        <f>IFERROR(INDEX(PP_Grid[#Data],$DD682,91),0)</f>
        <v/>
      </c>
      <c r="CP682">
        <f>IFERROR(INDEX(PP_Grid[#Data],$DD682,92),0)</f>
        <v/>
      </c>
      <c r="CQ682">
        <f>IFERROR(INDEX(PP_Grid[#Data],$DD682,93),0)</f>
        <v/>
      </c>
      <c r="CR682">
        <f>IFERROR(INDEX(PP_Grid[#Data],$DD682,94),0)</f>
        <v/>
      </c>
      <c r="CS682">
        <f>IFERROR(INDEX(PP_Grid[#Data],$DD682,95),0)</f>
        <v/>
      </c>
      <c r="CT682">
        <f>IFERROR(INDEX(PP_Grid[#Data],$DD682,96),0)</f>
        <v/>
      </c>
      <c r="CU682">
        <f>IFERROR(INDEX(PP_Grid[#Data],$DD682,97),0)</f>
        <v/>
      </c>
      <c r="CV682">
        <f>IFERROR(INDEX(PP_Grid[#Data],$DD682,98),0)</f>
        <v/>
      </c>
      <c r="CW682">
        <f>IFERROR(INDEX(PP_Grid[#Data],$DD682,99),0)</f>
        <v/>
      </c>
      <c r="CX682">
        <f>IFERROR(INDEX(PP_Grid[#Data],$DD682,100),0)</f>
        <v/>
      </c>
      <c r="CY682">
        <f>IFERROR(INDEX(PP_Grid[#Data],$DD682,101),0)</f>
        <v/>
      </c>
      <c r="CZ682">
        <f>IFERROR(INDEX(PP_Grid[#Data],$DD682,102),0)</f>
        <v/>
      </c>
      <c r="DA682">
        <f>IFERROR(INDEX(PP_Grid[#Data],$DD682,103),0)</f>
        <v/>
      </c>
      <c r="DB682">
        <f>IFERROR(INDEX(PP_Grid[#Data],$DD682,104),0)</f>
        <v/>
      </c>
      <c r="DC682">
        <f>IFERROR(INDEX(PP_Grid[#Data],$DD682,105),0)</f>
        <v/>
      </c>
      <c r="DD682" s="7">
        <f>IFERROR(MATCH($B682,PP_Grid[Intermediate],0),99999)</f>
        <v/>
      </c>
    </row>
    <row r="683">
      <c r="B683" t="inlineStr">
        <is>
          <t>使用量(kg)</t>
        </is>
      </c>
      <c r="C683">
        <f>SUMIFS(M_BOM[RM_Qty_Per_Batch],M_BOM[Intermediate],$B682,M_BOM[Part Name],$A681)</f>
        <v/>
      </c>
      <c r="D683">
        <f>$C683*D682</f>
        <v/>
      </c>
      <c r="E683">
        <f>$C683*E682</f>
        <v/>
      </c>
      <c r="F683">
        <f>$C683*F682</f>
        <v/>
      </c>
      <c r="G683">
        <f>$C683*G682</f>
        <v/>
      </c>
      <c r="H683">
        <f>$C683*H682</f>
        <v/>
      </c>
      <c r="I683">
        <f>$C683*I682</f>
        <v/>
      </c>
      <c r="J683">
        <f>$C683*J682</f>
        <v/>
      </c>
      <c r="K683">
        <f>$C683*K682</f>
        <v/>
      </c>
      <c r="L683">
        <f>$C683*L682</f>
        <v/>
      </c>
      <c r="M683">
        <f>$C683*M682</f>
        <v/>
      </c>
      <c r="N683">
        <f>$C683*N682</f>
        <v/>
      </c>
      <c r="O683">
        <f>$C683*O682</f>
        <v/>
      </c>
      <c r="P683">
        <f>$C683*P682</f>
        <v/>
      </c>
      <c r="Q683">
        <f>$C683*Q682</f>
        <v/>
      </c>
      <c r="R683">
        <f>$C683*R682</f>
        <v/>
      </c>
      <c r="S683">
        <f>$C683*S682</f>
        <v/>
      </c>
      <c r="T683">
        <f>$C683*T682</f>
        <v/>
      </c>
      <c r="U683">
        <f>$C683*U682</f>
        <v/>
      </c>
      <c r="V683">
        <f>$C683*V682</f>
        <v/>
      </c>
      <c r="W683">
        <f>$C683*W682</f>
        <v/>
      </c>
      <c r="X683">
        <f>$C683*X682</f>
        <v/>
      </c>
      <c r="Y683">
        <f>$C683*Y682</f>
        <v/>
      </c>
      <c r="Z683">
        <f>$C683*Z682</f>
        <v/>
      </c>
      <c r="AA683">
        <f>$C683*AA682</f>
        <v/>
      </c>
      <c r="AB683">
        <f>$C683*AB682</f>
        <v/>
      </c>
      <c r="AC683">
        <f>$C683*AC682</f>
        <v/>
      </c>
      <c r="AD683">
        <f>$C683*AD682</f>
        <v/>
      </c>
      <c r="AE683">
        <f>$C683*AE682</f>
        <v/>
      </c>
      <c r="AF683">
        <f>$C683*AF682</f>
        <v/>
      </c>
      <c r="AG683">
        <f>$C683*AG682</f>
        <v/>
      </c>
      <c r="AH683">
        <f>$C683*AH682</f>
        <v/>
      </c>
      <c r="AI683">
        <f>$C683*AI682</f>
        <v/>
      </c>
      <c r="AJ683">
        <f>$C683*AJ682</f>
        <v/>
      </c>
      <c r="AK683">
        <f>$C683*AK682</f>
        <v/>
      </c>
      <c r="AL683">
        <f>$C683*AL682</f>
        <v/>
      </c>
      <c r="AM683">
        <f>$C683*AM682</f>
        <v/>
      </c>
      <c r="AN683">
        <f>$C683*AN682</f>
        <v/>
      </c>
      <c r="AO683">
        <f>$C683*AO682</f>
        <v/>
      </c>
      <c r="AP683">
        <f>$C683*AP682</f>
        <v/>
      </c>
      <c r="AQ683">
        <f>$C683*AQ682</f>
        <v/>
      </c>
      <c r="AR683">
        <f>$C683*AR682</f>
        <v/>
      </c>
      <c r="AS683">
        <f>$C683*AS682</f>
        <v/>
      </c>
      <c r="AT683">
        <f>$C683*AT682</f>
        <v/>
      </c>
      <c r="AU683">
        <f>$C683*AU682</f>
        <v/>
      </c>
      <c r="AV683">
        <f>$C683*AV682</f>
        <v/>
      </c>
      <c r="AW683">
        <f>$C683*AW682</f>
        <v/>
      </c>
      <c r="AX683">
        <f>$C683*AX682</f>
        <v/>
      </c>
      <c r="AY683">
        <f>$C683*AY682</f>
        <v/>
      </c>
      <c r="AZ683">
        <f>$C683*AZ682</f>
        <v/>
      </c>
      <c r="BA683">
        <f>$C683*BA682</f>
        <v/>
      </c>
      <c r="BB683">
        <f>$C683*BB682</f>
        <v/>
      </c>
      <c r="BC683">
        <f>$C683*BC682</f>
        <v/>
      </c>
      <c r="BD683">
        <f>$C683*BD682</f>
        <v/>
      </c>
      <c r="BE683">
        <f>$C683*BE682</f>
        <v/>
      </c>
      <c r="BF683">
        <f>$C683*BF682</f>
        <v/>
      </c>
      <c r="BG683">
        <f>$C683*BG682</f>
        <v/>
      </c>
      <c r="BH683">
        <f>$C683*BH682</f>
        <v/>
      </c>
      <c r="BI683">
        <f>$C683*BI682</f>
        <v/>
      </c>
      <c r="BJ683">
        <f>$C683*BJ682</f>
        <v/>
      </c>
      <c r="BK683">
        <f>$C683*BK682</f>
        <v/>
      </c>
      <c r="BL683">
        <f>$C683*BL682</f>
        <v/>
      </c>
      <c r="BM683">
        <f>$C683*BM682</f>
        <v/>
      </c>
      <c r="BN683">
        <f>$C683*BN682</f>
        <v/>
      </c>
      <c r="BO683">
        <f>$C683*BO682</f>
        <v/>
      </c>
      <c r="BP683">
        <f>$C683*BP682</f>
        <v/>
      </c>
      <c r="BQ683">
        <f>$C683*BQ682</f>
        <v/>
      </c>
      <c r="BR683">
        <f>$C683*BR682</f>
        <v/>
      </c>
      <c r="BS683">
        <f>$C683*BS682</f>
        <v/>
      </c>
      <c r="BT683">
        <f>$C683*BT682</f>
        <v/>
      </c>
      <c r="BU683">
        <f>$C683*BU682</f>
        <v/>
      </c>
      <c r="BV683">
        <f>$C683*BV682</f>
        <v/>
      </c>
      <c r="BW683">
        <f>$C683*BW682</f>
        <v/>
      </c>
      <c r="BX683">
        <f>$C683*BX682</f>
        <v/>
      </c>
      <c r="BY683">
        <f>$C683*BY682</f>
        <v/>
      </c>
      <c r="BZ683">
        <f>$C683*BZ682</f>
        <v/>
      </c>
      <c r="CA683">
        <f>$C683*CA682</f>
        <v/>
      </c>
      <c r="CB683">
        <f>$C683*CB682</f>
        <v/>
      </c>
      <c r="CC683">
        <f>$C683*CC682</f>
        <v/>
      </c>
      <c r="CD683">
        <f>$C683*CD682</f>
        <v/>
      </c>
      <c r="CE683">
        <f>$C683*CE682</f>
        <v/>
      </c>
      <c r="CF683">
        <f>$C683*CF682</f>
        <v/>
      </c>
      <c r="CG683">
        <f>$C683*CG682</f>
        <v/>
      </c>
      <c r="CH683">
        <f>$C683*CH682</f>
        <v/>
      </c>
      <c r="CI683">
        <f>$C683*CI682</f>
        <v/>
      </c>
      <c r="CJ683">
        <f>$C683*CJ682</f>
        <v/>
      </c>
      <c r="CK683">
        <f>$C683*CK682</f>
        <v/>
      </c>
      <c r="CL683">
        <f>$C683*CL682</f>
        <v/>
      </c>
      <c r="CM683">
        <f>$C683*CM682</f>
        <v/>
      </c>
      <c r="CN683">
        <f>$C683*CN682</f>
        <v/>
      </c>
      <c r="CO683">
        <f>$C683*CO682</f>
        <v/>
      </c>
      <c r="CP683">
        <f>$C683*CP682</f>
        <v/>
      </c>
      <c r="CQ683">
        <f>$C683*CQ682</f>
        <v/>
      </c>
      <c r="CR683">
        <f>$C683*CR682</f>
        <v/>
      </c>
      <c r="CS683">
        <f>$C683*CS682</f>
        <v/>
      </c>
      <c r="CT683">
        <f>$C683*CT682</f>
        <v/>
      </c>
      <c r="CU683">
        <f>$C683*CU682</f>
        <v/>
      </c>
      <c r="CV683">
        <f>$C683*CV682</f>
        <v/>
      </c>
      <c r="CW683">
        <f>$C683*CW682</f>
        <v/>
      </c>
      <c r="CX683">
        <f>$C683*CX682</f>
        <v/>
      </c>
      <c r="CY683">
        <f>$C683*CY682</f>
        <v/>
      </c>
      <c r="CZ683">
        <f>$C683*CZ682</f>
        <v/>
      </c>
      <c r="DA683">
        <f>$C683*DA682</f>
        <v/>
      </c>
      <c r="DB683">
        <f>$C683*DB682</f>
        <v/>
      </c>
      <c r="DC683">
        <f>$C683*DC682</f>
        <v/>
      </c>
    </row>
    <row r="684">
      <c r="B684" t="inlineStr">
        <is>
          <t>TSP-390</t>
        </is>
      </c>
      <c r="C684" t="inlineStr">
        <is>
          <t>No. of batches</t>
        </is>
      </c>
      <c r="D684">
        <f>IFERROR(INDEX(PP_Grid[#Data],$DD684,2),0)</f>
        <v/>
      </c>
      <c r="E684">
        <f>IFERROR(INDEX(PP_Grid[#Data],$DD684,3),0)</f>
        <v/>
      </c>
      <c r="F684">
        <f>IFERROR(INDEX(PP_Grid[#Data],$DD684,4),0)</f>
        <v/>
      </c>
      <c r="G684">
        <f>IFERROR(INDEX(PP_Grid[#Data],$DD684,5),0)</f>
        <v/>
      </c>
      <c r="H684">
        <f>IFERROR(INDEX(PP_Grid[#Data],$DD684,6),0)</f>
        <v/>
      </c>
      <c r="I684">
        <f>IFERROR(INDEX(PP_Grid[#Data],$DD684,7),0)</f>
        <v/>
      </c>
      <c r="J684">
        <f>IFERROR(INDEX(PP_Grid[#Data],$DD684,8),0)</f>
        <v/>
      </c>
      <c r="K684">
        <f>IFERROR(INDEX(PP_Grid[#Data],$DD684,9),0)</f>
        <v/>
      </c>
      <c r="L684">
        <f>IFERROR(INDEX(PP_Grid[#Data],$DD684,10),0)</f>
        <v/>
      </c>
      <c r="M684">
        <f>IFERROR(INDEX(PP_Grid[#Data],$DD684,11),0)</f>
        <v/>
      </c>
      <c r="N684">
        <f>IFERROR(INDEX(PP_Grid[#Data],$DD684,12),0)</f>
        <v/>
      </c>
      <c r="O684">
        <f>IFERROR(INDEX(PP_Grid[#Data],$DD684,13),0)</f>
        <v/>
      </c>
      <c r="P684">
        <f>IFERROR(INDEX(PP_Grid[#Data],$DD684,14),0)</f>
        <v/>
      </c>
      <c r="Q684">
        <f>IFERROR(INDEX(PP_Grid[#Data],$DD684,15),0)</f>
        <v/>
      </c>
      <c r="R684">
        <f>IFERROR(INDEX(PP_Grid[#Data],$DD684,16),0)</f>
        <v/>
      </c>
      <c r="S684">
        <f>IFERROR(INDEX(PP_Grid[#Data],$DD684,17),0)</f>
        <v/>
      </c>
      <c r="T684">
        <f>IFERROR(INDEX(PP_Grid[#Data],$DD684,18),0)</f>
        <v/>
      </c>
      <c r="U684">
        <f>IFERROR(INDEX(PP_Grid[#Data],$DD684,19),0)</f>
        <v/>
      </c>
      <c r="V684">
        <f>IFERROR(INDEX(PP_Grid[#Data],$DD684,20),0)</f>
        <v/>
      </c>
      <c r="W684">
        <f>IFERROR(INDEX(PP_Grid[#Data],$DD684,21),0)</f>
        <v/>
      </c>
      <c r="X684">
        <f>IFERROR(INDEX(PP_Grid[#Data],$DD684,22),0)</f>
        <v/>
      </c>
      <c r="Y684">
        <f>IFERROR(INDEX(PP_Grid[#Data],$DD684,23),0)</f>
        <v/>
      </c>
      <c r="Z684">
        <f>IFERROR(INDEX(PP_Grid[#Data],$DD684,24),0)</f>
        <v/>
      </c>
      <c r="AA684">
        <f>IFERROR(INDEX(PP_Grid[#Data],$DD684,25),0)</f>
        <v/>
      </c>
      <c r="AB684">
        <f>IFERROR(INDEX(PP_Grid[#Data],$DD684,26),0)</f>
        <v/>
      </c>
      <c r="AC684">
        <f>IFERROR(INDEX(PP_Grid[#Data],$DD684,27),0)</f>
        <v/>
      </c>
      <c r="AD684">
        <f>IFERROR(INDEX(PP_Grid[#Data],$DD684,28),0)</f>
        <v/>
      </c>
      <c r="AE684">
        <f>IFERROR(INDEX(PP_Grid[#Data],$DD684,29),0)</f>
        <v/>
      </c>
      <c r="AF684">
        <f>IFERROR(INDEX(PP_Grid[#Data],$DD684,30),0)</f>
        <v/>
      </c>
      <c r="AG684">
        <f>IFERROR(INDEX(PP_Grid[#Data],$DD684,31),0)</f>
        <v/>
      </c>
      <c r="AH684">
        <f>IFERROR(INDEX(PP_Grid[#Data],$DD684,32),0)</f>
        <v/>
      </c>
      <c r="AI684">
        <f>IFERROR(INDEX(PP_Grid[#Data],$DD684,33),0)</f>
        <v/>
      </c>
      <c r="AJ684">
        <f>IFERROR(INDEX(PP_Grid[#Data],$DD684,34),0)</f>
        <v/>
      </c>
      <c r="AK684">
        <f>IFERROR(INDEX(PP_Grid[#Data],$DD684,35),0)</f>
        <v/>
      </c>
      <c r="AL684">
        <f>IFERROR(INDEX(PP_Grid[#Data],$DD684,36),0)</f>
        <v/>
      </c>
      <c r="AM684">
        <f>IFERROR(INDEX(PP_Grid[#Data],$DD684,37),0)</f>
        <v/>
      </c>
      <c r="AN684">
        <f>IFERROR(INDEX(PP_Grid[#Data],$DD684,38),0)</f>
        <v/>
      </c>
      <c r="AO684">
        <f>IFERROR(INDEX(PP_Grid[#Data],$DD684,39),0)</f>
        <v/>
      </c>
      <c r="AP684">
        <f>IFERROR(INDEX(PP_Grid[#Data],$DD684,40),0)</f>
        <v/>
      </c>
      <c r="AQ684">
        <f>IFERROR(INDEX(PP_Grid[#Data],$DD684,41),0)</f>
        <v/>
      </c>
      <c r="AR684">
        <f>IFERROR(INDEX(PP_Grid[#Data],$DD684,42),0)</f>
        <v/>
      </c>
      <c r="AS684">
        <f>IFERROR(INDEX(PP_Grid[#Data],$DD684,43),0)</f>
        <v/>
      </c>
      <c r="AT684">
        <f>IFERROR(INDEX(PP_Grid[#Data],$DD684,44),0)</f>
        <v/>
      </c>
      <c r="AU684">
        <f>IFERROR(INDEX(PP_Grid[#Data],$DD684,45),0)</f>
        <v/>
      </c>
      <c r="AV684">
        <f>IFERROR(INDEX(PP_Grid[#Data],$DD684,46),0)</f>
        <v/>
      </c>
      <c r="AW684">
        <f>IFERROR(INDEX(PP_Grid[#Data],$DD684,47),0)</f>
        <v/>
      </c>
      <c r="AX684">
        <f>IFERROR(INDEX(PP_Grid[#Data],$DD684,48),0)</f>
        <v/>
      </c>
      <c r="AY684">
        <f>IFERROR(INDEX(PP_Grid[#Data],$DD684,49),0)</f>
        <v/>
      </c>
      <c r="AZ684">
        <f>IFERROR(INDEX(PP_Grid[#Data],$DD684,50),0)</f>
        <v/>
      </c>
      <c r="BA684">
        <f>IFERROR(INDEX(PP_Grid[#Data],$DD684,51),0)</f>
        <v/>
      </c>
      <c r="BB684">
        <f>IFERROR(INDEX(PP_Grid[#Data],$DD684,52),0)</f>
        <v/>
      </c>
      <c r="BC684">
        <f>IFERROR(INDEX(PP_Grid[#Data],$DD684,53),0)</f>
        <v/>
      </c>
      <c r="BD684">
        <f>IFERROR(INDEX(PP_Grid[#Data],$DD684,54),0)</f>
        <v/>
      </c>
      <c r="BE684">
        <f>IFERROR(INDEX(PP_Grid[#Data],$DD684,55),0)</f>
        <v/>
      </c>
      <c r="BF684">
        <f>IFERROR(INDEX(PP_Grid[#Data],$DD684,56),0)</f>
        <v/>
      </c>
      <c r="BG684">
        <f>IFERROR(INDEX(PP_Grid[#Data],$DD684,57),0)</f>
        <v/>
      </c>
      <c r="BH684">
        <f>IFERROR(INDEX(PP_Grid[#Data],$DD684,58),0)</f>
        <v/>
      </c>
      <c r="BI684">
        <f>IFERROR(INDEX(PP_Grid[#Data],$DD684,59),0)</f>
        <v/>
      </c>
      <c r="BJ684">
        <f>IFERROR(INDEX(PP_Grid[#Data],$DD684,60),0)</f>
        <v/>
      </c>
      <c r="BK684">
        <f>IFERROR(INDEX(PP_Grid[#Data],$DD684,61),0)</f>
        <v/>
      </c>
      <c r="BL684">
        <f>IFERROR(INDEX(PP_Grid[#Data],$DD684,62),0)</f>
        <v/>
      </c>
      <c r="BM684">
        <f>IFERROR(INDEX(PP_Grid[#Data],$DD684,63),0)</f>
        <v/>
      </c>
      <c r="BN684">
        <f>IFERROR(INDEX(PP_Grid[#Data],$DD684,64),0)</f>
        <v/>
      </c>
      <c r="BO684">
        <f>IFERROR(INDEX(PP_Grid[#Data],$DD684,65),0)</f>
        <v/>
      </c>
      <c r="BP684">
        <f>IFERROR(INDEX(PP_Grid[#Data],$DD684,66),0)</f>
        <v/>
      </c>
      <c r="BQ684">
        <f>IFERROR(INDEX(PP_Grid[#Data],$DD684,67),0)</f>
        <v/>
      </c>
      <c r="BR684">
        <f>IFERROR(INDEX(PP_Grid[#Data],$DD684,68),0)</f>
        <v/>
      </c>
      <c r="BS684">
        <f>IFERROR(INDEX(PP_Grid[#Data],$DD684,69),0)</f>
        <v/>
      </c>
      <c r="BT684">
        <f>IFERROR(INDEX(PP_Grid[#Data],$DD684,70),0)</f>
        <v/>
      </c>
      <c r="BU684">
        <f>IFERROR(INDEX(PP_Grid[#Data],$DD684,71),0)</f>
        <v/>
      </c>
      <c r="BV684">
        <f>IFERROR(INDEX(PP_Grid[#Data],$DD684,72),0)</f>
        <v/>
      </c>
      <c r="BW684">
        <f>IFERROR(INDEX(PP_Grid[#Data],$DD684,73),0)</f>
        <v/>
      </c>
      <c r="BX684">
        <f>IFERROR(INDEX(PP_Grid[#Data],$DD684,74),0)</f>
        <v/>
      </c>
      <c r="BY684">
        <f>IFERROR(INDEX(PP_Grid[#Data],$DD684,75),0)</f>
        <v/>
      </c>
      <c r="BZ684">
        <f>IFERROR(INDEX(PP_Grid[#Data],$DD684,76),0)</f>
        <v/>
      </c>
      <c r="CA684">
        <f>IFERROR(INDEX(PP_Grid[#Data],$DD684,77),0)</f>
        <v/>
      </c>
      <c r="CB684">
        <f>IFERROR(INDEX(PP_Grid[#Data],$DD684,78),0)</f>
        <v/>
      </c>
      <c r="CC684">
        <f>IFERROR(INDEX(PP_Grid[#Data],$DD684,79),0)</f>
        <v/>
      </c>
      <c r="CD684">
        <f>IFERROR(INDEX(PP_Grid[#Data],$DD684,80),0)</f>
        <v/>
      </c>
      <c r="CE684">
        <f>IFERROR(INDEX(PP_Grid[#Data],$DD684,81),0)</f>
        <v/>
      </c>
      <c r="CF684">
        <f>IFERROR(INDEX(PP_Grid[#Data],$DD684,82),0)</f>
        <v/>
      </c>
      <c r="CG684">
        <f>IFERROR(INDEX(PP_Grid[#Data],$DD684,83),0)</f>
        <v/>
      </c>
      <c r="CH684">
        <f>IFERROR(INDEX(PP_Grid[#Data],$DD684,84),0)</f>
        <v/>
      </c>
      <c r="CI684">
        <f>IFERROR(INDEX(PP_Grid[#Data],$DD684,85),0)</f>
        <v/>
      </c>
      <c r="CJ684">
        <f>IFERROR(INDEX(PP_Grid[#Data],$DD684,86),0)</f>
        <v/>
      </c>
      <c r="CK684">
        <f>IFERROR(INDEX(PP_Grid[#Data],$DD684,87),0)</f>
        <v/>
      </c>
      <c r="CL684">
        <f>IFERROR(INDEX(PP_Grid[#Data],$DD684,88),0)</f>
        <v/>
      </c>
      <c r="CM684">
        <f>IFERROR(INDEX(PP_Grid[#Data],$DD684,89),0)</f>
        <v/>
      </c>
      <c r="CN684">
        <f>IFERROR(INDEX(PP_Grid[#Data],$DD684,90),0)</f>
        <v/>
      </c>
      <c r="CO684">
        <f>IFERROR(INDEX(PP_Grid[#Data],$DD684,91),0)</f>
        <v/>
      </c>
      <c r="CP684">
        <f>IFERROR(INDEX(PP_Grid[#Data],$DD684,92),0)</f>
        <v/>
      </c>
      <c r="CQ684">
        <f>IFERROR(INDEX(PP_Grid[#Data],$DD684,93),0)</f>
        <v/>
      </c>
      <c r="CR684">
        <f>IFERROR(INDEX(PP_Grid[#Data],$DD684,94),0)</f>
        <v/>
      </c>
      <c r="CS684">
        <f>IFERROR(INDEX(PP_Grid[#Data],$DD684,95),0)</f>
        <v/>
      </c>
      <c r="CT684">
        <f>IFERROR(INDEX(PP_Grid[#Data],$DD684,96),0)</f>
        <v/>
      </c>
      <c r="CU684">
        <f>IFERROR(INDEX(PP_Grid[#Data],$DD684,97),0)</f>
        <v/>
      </c>
      <c r="CV684">
        <f>IFERROR(INDEX(PP_Grid[#Data],$DD684,98),0)</f>
        <v/>
      </c>
      <c r="CW684">
        <f>IFERROR(INDEX(PP_Grid[#Data],$DD684,99),0)</f>
        <v/>
      </c>
      <c r="CX684">
        <f>IFERROR(INDEX(PP_Grid[#Data],$DD684,100),0)</f>
        <v/>
      </c>
      <c r="CY684">
        <f>IFERROR(INDEX(PP_Grid[#Data],$DD684,101),0)</f>
        <v/>
      </c>
      <c r="CZ684">
        <f>IFERROR(INDEX(PP_Grid[#Data],$DD684,102),0)</f>
        <v/>
      </c>
      <c r="DA684">
        <f>IFERROR(INDEX(PP_Grid[#Data],$DD684,103),0)</f>
        <v/>
      </c>
      <c r="DB684">
        <f>IFERROR(INDEX(PP_Grid[#Data],$DD684,104),0)</f>
        <v/>
      </c>
      <c r="DC684">
        <f>IFERROR(INDEX(PP_Grid[#Data],$DD684,105),0)</f>
        <v/>
      </c>
      <c r="DD684" s="7">
        <f>IFERROR(MATCH($B684,PP_Grid[Intermediate],0),99999)</f>
        <v/>
      </c>
    </row>
    <row r="685">
      <c r="B685" t="inlineStr">
        <is>
          <t>使用量(kg)</t>
        </is>
      </c>
      <c r="C685">
        <f>SUMIFS(M_BOM[RM_Qty_Per_Batch],M_BOM[Intermediate],$B684,M_BOM[Part Name],$A681)</f>
        <v/>
      </c>
      <c r="D685">
        <f>$C685*D684</f>
        <v/>
      </c>
      <c r="E685">
        <f>$C685*E684</f>
        <v/>
      </c>
      <c r="F685">
        <f>$C685*F684</f>
        <v/>
      </c>
      <c r="G685">
        <f>$C685*G684</f>
        <v/>
      </c>
      <c r="H685">
        <f>$C685*H684</f>
        <v/>
      </c>
      <c r="I685">
        <f>$C685*I684</f>
        <v/>
      </c>
      <c r="J685">
        <f>$C685*J684</f>
        <v/>
      </c>
      <c r="K685">
        <f>$C685*K684</f>
        <v/>
      </c>
      <c r="L685">
        <f>$C685*L684</f>
        <v/>
      </c>
      <c r="M685">
        <f>$C685*M684</f>
        <v/>
      </c>
      <c r="N685">
        <f>$C685*N684</f>
        <v/>
      </c>
      <c r="O685">
        <f>$C685*O684</f>
        <v/>
      </c>
      <c r="P685">
        <f>$C685*P684</f>
        <v/>
      </c>
      <c r="Q685">
        <f>$C685*Q684</f>
        <v/>
      </c>
      <c r="R685">
        <f>$C685*R684</f>
        <v/>
      </c>
      <c r="S685">
        <f>$C685*S684</f>
        <v/>
      </c>
      <c r="T685">
        <f>$C685*T684</f>
        <v/>
      </c>
      <c r="U685">
        <f>$C685*U684</f>
        <v/>
      </c>
      <c r="V685">
        <f>$C685*V684</f>
        <v/>
      </c>
      <c r="W685">
        <f>$C685*W684</f>
        <v/>
      </c>
      <c r="X685">
        <f>$C685*X684</f>
        <v/>
      </c>
      <c r="Y685">
        <f>$C685*Y684</f>
        <v/>
      </c>
      <c r="Z685">
        <f>$C685*Z684</f>
        <v/>
      </c>
      <c r="AA685">
        <f>$C685*AA684</f>
        <v/>
      </c>
      <c r="AB685">
        <f>$C685*AB684</f>
        <v/>
      </c>
      <c r="AC685">
        <f>$C685*AC684</f>
        <v/>
      </c>
      <c r="AD685">
        <f>$C685*AD684</f>
        <v/>
      </c>
      <c r="AE685">
        <f>$C685*AE684</f>
        <v/>
      </c>
      <c r="AF685">
        <f>$C685*AF684</f>
        <v/>
      </c>
      <c r="AG685">
        <f>$C685*AG684</f>
        <v/>
      </c>
      <c r="AH685">
        <f>$C685*AH684</f>
        <v/>
      </c>
      <c r="AI685">
        <f>$C685*AI684</f>
        <v/>
      </c>
      <c r="AJ685">
        <f>$C685*AJ684</f>
        <v/>
      </c>
      <c r="AK685">
        <f>$C685*AK684</f>
        <v/>
      </c>
      <c r="AL685">
        <f>$C685*AL684</f>
        <v/>
      </c>
      <c r="AM685">
        <f>$C685*AM684</f>
        <v/>
      </c>
      <c r="AN685">
        <f>$C685*AN684</f>
        <v/>
      </c>
      <c r="AO685">
        <f>$C685*AO684</f>
        <v/>
      </c>
      <c r="AP685">
        <f>$C685*AP684</f>
        <v/>
      </c>
      <c r="AQ685">
        <f>$C685*AQ684</f>
        <v/>
      </c>
      <c r="AR685">
        <f>$C685*AR684</f>
        <v/>
      </c>
      <c r="AS685">
        <f>$C685*AS684</f>
        <v/>
      </c>
      <c r="AT685">
        <f>$C685*AT684</f>
        <v/>
      </c>
      <c r="AU685">
        <f>$C685*AU684</f>
        <v/>
      </c>
      <c r="AV685">
        <f>$C685*AV684</f>
        <v/>
      </c>
      <c r="AW685">
        <f>$C685*AW684</f>
        <v/>
      </c>
      <c r="AX685">
        <f>$C685*AX684</f>
        <v/>
      </c>
      <c r="AY685">
        <f>$C685*AY684</f>
        <v/>
      </c>
      <c r="AZ685">
        <f>$C685*AZ684</f>
        <v/>
      </c>
      <c r="BA685">
        <f>$C685*BA684</f>
        <v/>
      </c>
      <c r="BB685">
        <f>$C685*BB684</f>
        <v/>
      </c>
      <c r="BC685">
        <f>$C685*BC684</f>
        <v/>
      </c>
      <c r="BD685">
        <f>$C685*BD684</f>
        <v/>
      </c>
      <c r="BE685">
        <f>$C685*BE684</f>
        <v/>
      </c>
      <c r="BF685">
        <f>$C685*BF684</f>
        <v/>
      </c>
      <c r="BG685">
        <f>$C685*BG684</f>
        <v/>
      </c>
      <c r="BH685">
        <f>$C685*BH684</f>
        <v/>
      </c>
      <c r="BI685">
        <f>$C685*BI684</f>
        <v/>
      </c>
      <c r="BJ685">
        <f>$C685*BJ684</f>
        <v/>
      </c>
      <c r="BK685">
        <f>$C685*BK684</f>
        <v/>
      </c>
      <c r="BL685">
        <f>$C685*BL684</f>
        <v/>
      </c>
      <c r="BM685">
        <f>$C685*BM684</f>
        <v/>
      </c>
      <c r="BN685">
        <f>$C685*BN684</f>
        <v/>
      </c>
      <c r="BO685">
        <f>$C685*BO684</f>
        <v/>
      </c>
      <c r="BP685">
        <f>$C685*BP684</f>
        <v/>
      </c>
      <c r="BQ685">
        <f>$C685*BQ684</f>
        <v/>
      </c>
      <c r="BR685">
        <f>$C685*BR684</f>
        <v/>
      </c>
      <c r="BS685">
        <f>$C685*BS684</f>
        <v/>
      </c>
      <c r="BT685">
        <f>$C685*BT684</f>
        <v/>
      </c>
      <c r="BU685">
        <f>$C685*BU684</f>
        <v/>
      </c>
      <c r="BV685">
        <f>$C685*BV684</f>
        <v/>
      </c>
      <c r="BW685">
        <f>$C685*BW684</f>
        <v/>
      </c>
      <c r="BX685">
        <f>$C685*BX684</f>
        <v/>
      </c>
      <c r="BY685">
        <f>$C685*BY684</f>
        <v/>
      </c>
      <c r="BZ685">
        <f>$C685*BZ684</f>
        <v/>
      </c>
      <c r="CA685">
        <f>$C685*CA684</f>
        <v/>
      </c>
      <c r="CB685">
        <f>$C685*CB684</f>
        <v/>
      </c>
      <c r="CC685">
        <f>$C685*CC684</f>
        <v/>
      </c>
      <c r="CD685">
        <f>$C685*CD684</f>
        <v/>
      </c>
      <c r="CE685">
        <f>$C685*CE684</f>
        <v/>
      </c>
      <c r="CF685">
        <f>$C685*CF684</f>
        <v/>
      </c>
      <c r="CG685">
        <f>$C685*CG684</f>
        <v/>
      </c>
      <c r="CH685">
        <f>$C685*CH684</f>
        <v/>
      </c>
      <c r="CI685">
        <f>$C685*CI684</f>
        <v/>
      </c>
      <c r="CJ685">
        <f>$C685*CJ684</f>
        <v/>
      </c>
      <c r="CK685">
        <f>$C685*CK684</f>
        <v/>
      </c>
      <c r="CL685">
        <f>$C685*CL684</f>
        <v/>
      </c>
      <c r="CM685">
        <f>$C685*CM684</f>
        <v/>
      </c>
      <c r="CN685">
        <f>$C685*CN684</f>
        <v/>
      </c>
      <c r="CO685">
        <f>$C685*CO684</f>
        <v/>
      </c>
      <c r="CP685">
        <f>$C685*CP684</f>
        <v/>
      </c>
      <c r="CQ685">
        <f>$C685*CQ684</f>
        <v/>
      </c>
      <c r="CR685">
        <f>$C685*CR684</f>
        <v/>
      </c>
      <c r="CS685">
        <f>$C685*CS684</f>
        <v/>
      </c>
      <c r="CT685">
        <f>$C685*CT684</f>
        <v/>
      </c>
      <c r="CU685">
        <f>$C685*CU684</f>
        <v/>
      </c>
      <c r="CV685">
        <f>$C685*CV684</f>
        <v/>
      </c>
      <c r="CW685">
        <f>$C685*CW684</f>
        <v/>
      </c>
      <c r="CX685">
        <f>$C685*CX684</f>
        <v/>
      </c>
      <c r="CY685">
        <f>$C685*CY684</f>
        <v/>
      </c>
      <c r="CZ685">
        <f>$C685*CZ684</f>
        <v/>
      </c>
      <c r="DA685">
        <f>$C685*DA684</f>
        <v/>
      </c>
      <c r="DB685">
        <f>$C685*DB684</f>
        <v/>
      </c>
      <c r="DC685">
        <f>$C685*DC684</f>
        <v/>
      </c>
    </row>
    <row r="686">
      <c r="B686" t="inlineStr">
        <is>
          <t>TSP-399</t>
        </is>
      </c>
      <c r="C686" t="inlineStr">
        <is>
          <t>No. of batches</t>
        </is>
      </c>
      <c r="D686">
        <f>IFERROR(INDEX(PP_Grid[#Data],$DD686,2),0)</f>
        <v/>
      </c>
      <c r="E686">
        <f>IFERROR(INDEX(PP_Grid[#Data],$DD686,3),0)</f>
        <v/>
      </c>
      <c r="F686">
        <f>IFERROR(INDEX(PP_Grid[#Data],$DD686,4),0)</f>
        <v/>
      </c>
      <c r="G686">
        <f>IFERROR(INDEX(PP_Grid[#Data],$DD686,5),0)</f>
        <v/>
      </c>
      <c r="H686">
        <f>IFERROR(INDEX(PP_Grid[#Data],$DD686,6),0)</f>
        <v/>
      </c>
      <c r="I686">
        <f>IFERROR(INDEX(PP_Grid[#Data],$DD686,7),0)</f>
        <v/>
      </c>
      <c r="J686">
        <f>IFERROR(INDEX(PP_Grid[#Data],$DD686,8),0)</f>
        <v/>
      </c>
      <c r="K686">
        <f>IFERROR(INDEX(PP_Grid[#Data],$DD686,9),0)</f>
        <v/>
      </c>
      <c r="L686">
        <f>IFERROR(INDEX(PP_Grid[#Data],$DD686,10),0)</f>
        <v/>
      </c>
      <c r="M686">
        <f>IFERROR(INDEX(PP_Grid[#Data],$DD686,11),0)</f>
        <v/>
      </c>
      <c r="N686">
        <f>IFERROR(INDEX(PP_Grid[#Data],$DD686,12),0)</f>
        <v/>
      </c>
      <c r="O686">
        <f>IFERROR(INDEX(PP_Grid[#Data],$DD686,13),0)</f>
        <v/>
      </c>
      <c r="P686">
        <f>IFERROR(INDEX(PP_Grid[#Data],$DD686,14),0)</f>
        <v/>
      </c>
      <c r="Q686">
        <f>IFERROR(INDEX(PP_Grid[#Data],$DD686,15),0)</f>
        <v/>
      </c>
      <c r="R686">
        <f>IFERROR(INDEX(PP_Grid[#Data],$DD686,16),0)</f>
        <v/>
      </c>
      <c r="S686">
        <f>IFERROR(INDEX(PP_Grid[#Data],$DD686,17),0)</f>
        <v/>
      </c>
      <c r="T686">
        <f>IFERROR(INDEX(PP_Grid[#Data],$DD686,18),0)</f>
        <v/>
      </c>
      <c r="U686">
        <f>IFERROR(INDEX(PP_Grid[#Data],$DD686,19),0)</f>
        <v/>
      </c>
      <c r="V686">
        <f>IFERROR(INDEX(PP_Grid[#Data],$DD686,20),0)</f>
        <v/>
      </c>
      <c r="W686">
        <f>IFERROR(INDEX(PP_Grid[#Data],$DD686,21),0)</f>
        <v/>
      </c>
      <c r="X686">
        <f>IFERROR(INDEX(PP_Grid[#Data],$DD686,22),0)</f>
        <v/>
      </c>
      <c r="Y686">
        <f>IFERROR(INDEX(PP_Grid[#Data],$DD686,23),0)</f>
        <v/>
      </c>
      <c r="Z686">
        <f>IFERROR(INDEX(PP_Grid[#Data],$DD686,24),0)</f>
        <v/>
      </c>
      <c r="AA686">
        <f>IFERROR(INDEX(PP_Grid[#Data],$DD686,25),0)</f>
        <v/>
      </c>
      <c r="AB686">
        <f>IFERROR(INDEX(PP_Grid[#Data],$DD686,26),0)</f>
        <v/>
      </c>
      <c r="AC686">
        <f>IFERROR(INDEX(PP_Grid[#Data],$DD686,27),0)</f>
        <v/>
      </c>
      <c r="AD686">
        <f>IFERROR(INDEX(PP_Grid[#Data],$DD686,28),0)</f>
        <v/>
      </c>
      <c r="AE686">
        <f>IFERROR(INDEX(PP_Grid[#Data],$DD686,29),0)</f>
        <v/>
      </c>
      <c r="AF686">
        <f>IFERROR(INDEX(PP_Grid[#Data],$DD686,30),0)</f>
        <v/>
      </c>
      <c r="AG686">
        <f>IFERROR(INDEX(PP_Grid[#Data],$DD686,31),0)</f>
        <v/>
      </c>
      <c r="AH686">
        <f>IFERROR(INDEX(PP_Grid[#Data],$DD686,32),0)</f>
        <v/>
      </c>
      <c r="AI686">
        <f>IFERROR(INDEX(PP_Grid[#Data],$DD686,33),0)</f>
        <v/>
      </c>
      <c r="AJ686">
        <f>IFERROR(INDEX(PP_Grid[#Data],$DD686,34),0)</f>
        <v/>
      </c>
      <c r="AK686">
        <f>IFERROR(INDEX(PP_Grid[#Data],$DD686,35),0)</f>
        <v/>
      </c>
      <c r="AL686">
        <f>IFERROR(INDEX(PP_Grid[#Data],$DD686,36),0)</f>
        <v/>
      </c>
      <c r="AM686">
        <f>IFERROR(INDEX(PP_Grid[#Data],$DD686,37),0)</f>
        <v/>
      </c>
      <c r="AN686">
        <f>IFERROR(INDEX(PP_Grid[#Data],$DD686,38),0)</f>
        <v/>
      </c>
      <c r="AO686">
        <f>IFERROR(INDEX(PP_Grid[#Data],$DD686,39),0)</f>
        <v/>
      </c>
      <c r="AP686">
        <f>IFERROR(INDEX(PP_Grid[#Data],$DD686,40),0)</f>
        <v/>
      </c>
      <c r="AQ686">
        <f>IFERROR(INDEX(PP_Grid[#Data],$DD686,41),0)</f>
        <v/>
      </c>
      <c r="AR686">
        <f>IFERROR(INDEX(PP_Grid[#Data],$DD686,42),0)</f>
        <v/>
      </c>
      <c r="AS686">
        <f>IFERROR(INDEX(PP_Grid[#Data],$DD686,43),0)</f>
        <v/>
      </c>
      <c r="AT686">
        <f>IFERROR(INDEX(PP_Grid[#Data],$DD686,44),0)</f>
        <v/>
      </c>
      <c r="AU686">
        <f>IFERROR(INDEX(PP_Grid[#Data],$DD686,45),0)</f>
        <v/>
      </c>
      <c r="AV686">
        <f>IFERROR(INDEX(PP_Grid[#Data],$DD686,46),0)</f>
        <v/>
      </c>
      <c r="AW686">
        <f>IFERROR(INDEX(PP_Grid[#Data],$DD686,47),0)</f>
        <v/>
      </c>
      <c r="AX686">
        <f>IFERROR(INDEX(PP_Grid[#Data],$DD686,48),0)</f>
        <v/>
      </c>
      <c r="AY686">
        <f>IFERROR(INDEX(PP_Grid[#Data],$DD686,49),0)</f>
        <v/>
      </c>
      <c r="AZ686">
        <f>IFERROR(INDEX(PP_Grid[#Data],$DD686,50),0)</f>
        <v/>
      </c>
      <c r="BA686">
        <f>IFERROR(INDEX(PP_Grid[#Data],$DD686,51),0)</f>
        <v/>
      </c>
      <c r="BB686">
        <f>IFERROR(INDEX(PP_Grid[#Data],$DD686,52),0)</f>
        <v/>
      </c>
      <c r="BC686">
        <f>IFERROR(INDEX(PP_Grid[#Data],$DD686,53),0)</f>
        <v/>
      </c>
      <c r="BD686">
        <f>IFERROR(INDEX(PP_Grid[#Data],$DD686,54),0)</f>
        <v/>
      </c>
      <c r="BE686">
        <f>IFERROR(INDEX(PP_Grid[#Data],$DD686,55),0)</f>
        <v/>
      </c>
      <c r="BF686">
        <f>IFERROR(INDEX(PP_Grid[#Data],$DD686,56),0)</f>
        <v/>
      </c>
      <c r="BG686">
        <f>IFERROR(INDEX(PP_Grid[#Data],$DD686,57),0)</f>
        <v/>
      </c>
      <c r="BH686">
        <f>IFERROR(INDEX(PP_Grid[#Data],$DD686,58),0)</f>
        <v/>
      </c>
      <c r="BI686">
        <f>IFERROR(INDEX(PP_Grid[#Data],$DD686,59),0)</f>
        <v/>
      </c>
      <c r="BJ686">
        <f>IFERROR(INDEX(PP_Grid[#Data],$DD686,60),0)</f>
        <v/>
      </c>
      <c r="BK686">
        <f>IFERROR(INDEX(PP_Grid[#Data],$DD686,61),0)</f>
        <v/>
      </c>
      <c r="BL686">
        <f>IFERROR(INDEX(PP_Grid[#Data],$DD686,62),0)</f>
        <v/>
      </c>
      <c r="BM686">
        <f>IFERROR(INDEX(PP_Grid[#Data],$DD686,63),0)</f>
        <v/>
      </c>
      <c r="BN686">
        <f>IFERROR(INDEX(PP_Grid[#Data],$DD686,64),0)</f>
        <v/>
      </c>
      <c r="BO686">
        <f>IFERROR(INDEX(PP_Grid[#Data],$DD686,65),0)</f>
        <v/>
      </c>
      <c r="BP686">
        <f>IFERROR(INDEX(PP_Grid[#Data],$DD686,66),0)</f>
        <v/>
      </c>
      <c r="BQ686">
        <f>IFERROR(INDEX(PP_Grid[#Data],$DD686,67),0)</f>
        <v/>
      </c>
      <c r="BR686">
        <f>IFERROR(INDEX(PP_Grid[#Data],$DD686,68),0)</f>
        <v/>
      </c>
      <c r="BS686">
        <f>IFERROR(INDEX(PP_Grid[#Data],$DD686,69),0)</f>
        <v/>
      </c>
      <c r="BT686">
        <f>IFERROR(INDEX(PP_Grid[#Data],$DD686,70),0)</f>
        <v/>
      </c>
      <c r="BU686">
        <f>IFERROR(INDEX(PP_Grid[#Data],$DD686,71),0)</f>
        <v/>
      </c>
      <c r="BV686">
        <f>IFERROR(INDEX(PP_Grid[#Data],$DD686,72),0)</f>
        <v/>
      </c>
      <c r="BW686">
        <f>IFERROR(INDEX(PP_Grid[#Data],$DD686,73),0)</f>
        <v/>
      </c>
      <c r="BX686">
        <f>IFERROR(INDEX(PP_Grid[#Data],$DD686,74),0)</f>
        <v/>
      </c>
      <c r="BY686">
        <f>IFERROR(INDEX(PP_Grid[#Data],$DD686,75),0)</f>
        <v/>
      </c>
      <c r="BZ686">
        <f>IFERROR(INDEX(PP_Grid[#Data],$DD686,76),0)</f>
        <v/>
      </c>
      <c r="CA686">
        <f>IFERROR(INDEX(PP_Grid[#Data],$DD686,77),0)</f>
        <v/>
      </c>
      <c r="CB686">
        <f>IFERROR(INDEX(PP_Grid[#Data],$DD686,78),0)</f>
        <v/>
      </c>
      <c r="CC686">
        <f>IFERROR(INDEX(PP_Grid[#Data],$DD686,79),0)</f>
        <v/>
      </c>
      <c r="CD686">
        <f>IFERROR(INDEX(PP_Grid[#Data],$DD686,80),0)</f>
        <v/>
      </c>
      <c r="CE686">
        <f>IFERROR(INDEX(PP_Grid[#Data],$DD686,81),0)</f>
        <v/>
      </c>
      <c r="CF686">
        <f>IFERROR(INDEX(PP_Grid[#Data],$DD686,82),0)</f>
        <v/>
      </c>
      <c r="CG686">
        <f>IFERROR(INDEX(PP_Grid[#Data],$DD686,83),0)</f>
        <v/>
      </c>
      <c r="CH686">
        <f>IFERROR(INDEX(PP_Grid[#Data],$DD686,84),0)</f>
        <v/>
      </c>
      <c r="CI686">
        <f>IFERROR(INDEX(PP_Grid[#Data],$DD686,85),0)</f>
        <v/>
      </c>
      <c r="CJ686">
        <f>IFERROR(INDEX(PP_Grid[#Data],$DD686,86),0)</f>
        <v/>
      </c>
      <c r="CK686">
        <f>IFERROR(INDEX(PP_Grid[#Data],$DD686,87),0)</f>
        <v/>
      </c>
      <c r="CL686">
        <f>IFERROR(INDEX(PP_Grid[#Data],$DD686,88),0)</f>
        <v/>
      </c>
      <c r="CM686">
        <f>IFERROR(INDEX(PP_Grid[#Data],$DD686,89),0)</f>
        <v/>
      </c>
      <c r="CN686">
        <f>IFERROR(INDEX(PP_Grid[#Data],$DD686,90),0)</f>
        <v/>
      </c>
      <c r="CO686">
        <f>IFERROR(INDEX(PP_Grid[#Data],$DD686,91),0)</f>
        <v/>
      </c>
      <c r="CP686">
        <f>IFERROR(INDEX(PP_Grid[#Data],$DD686,92),0)</f>
        <v/>
      </c>
      <c r="CQ686">
        <f>IFERROR(INDEX(PP_Grid[#Data],$DD686,93),0)</f>
        <v/>
      </c>
      <c r="CR686">
        <f>IFERROR(INDEX(PP_Grid[#Data],$DD686,94),0)</f>
        <v/>
      </c>
      <c r="CS686">
        <f>IFERROR(INDEX(PP_Grid[#Data],$DD686,95),0)</f>
        <v/>
      </c>
      <c r="CT686">
        <f>IFERROR(INDEX(PP_Grid[#Data],$DD686,96),0)</f>
        <v/>
      </c>
      <c r="CU686">
        <f>IFERROR(INDEX(PP_Grid[#Data],$DD686,97),0)</f>
        <v/>
      </c>
      <c r="CV686">
        <f>IFERROR(INDEX(PP_Grid[#Data],$DD686,98),0)</f>
        <v/>
      </c>
      <c r="CW686">
        <f>IFERROR(INDEX(PP_Grid[#Data],$DD686,99),0)</f>
        <v/>
      </c>
      <c r="CX686">
        <f>IFERROR(INDEX(PP_Grid[#Data],$DD686,100),0)</f>
        <v/>
      </c>
      <c r="CY686">
        <f>IFERROR(INDEX(PP_Grid[#Data],$DD686,101),0)</f>
        <v/>
      </c>
      <c r="CZ686">
        <f>IFERROR(INDEX(PP_Grid[#Data],$DD686,102),0)</f>
        <v/>
      </c>
      <c r="DA686">
        <f>IFERROR(INDEX(PP_Grid[#Data],$DD686,103),0)</f>
        <v/>
      </c>
      <c r="DB686">
        <f>IFERROR(INDEX(PP_Grid[#Data],$DD686,104),0)</f>
        <v/>
      </c>
      <c r="DC686">
        <f>IFERROR(INDEX(PP_Grid[#Data],$DD686,105),0)</f>
        <v/>
      </c>
      <c r="DD686" s="7">
        <f>IFERROR(MATCH($B686,PP_Grid[Intermediate],0),99999)</f>
        <v/>
      </c>
    </row>
    <row r="687">
      <c r="B687" t="inlineStr">
        <is>
          <t>使用量(kg)</t>
        </is>
      </c>
      <c r="C687">
        <f>SUMIFS(M_BOM[RM_Qty_Per_Batch],M_BOM[Intermediate],$B686,M_BOM[Part Name],$A681)</f>
        <v/>
      </c>
      <c r="D687">
        <f>$C687*D686</f>
        <v/>
      </c>
      <c r="E687">
        <f>$C687*E686</f>
        <v/>
      </c>
      <c r="F687">
        <f>$C687*F686</f>
        <v/>
      </c>
      <c r="G687">
        <f>$C687*G686</f>
        <v/>
      </c>
      <c r="H687">
        <f>$C687*H686</f>
        <v/>
      </c>
      <c r="I687">
        <f>$C687*I686</f>
        <v/>
      </c>
      <c r="J687">
        <f>$C687*J686</f>
        <v/>
      </c>
      <c r="K687">
        <f>$C687*K686</f>
        <v/>
      </c>
      <c r="L687">
        <f>$C687*L686</f>
        <v/>
      </c>
      <c r="M687">
        <f>$C687*M686</f>
        <v/>
      </c>
      <c r="N687">
        <f>$C687*N686</f>
        <v/>
      </c>
      <c r="O687">
        <f>$C687*O686</f>
        <v/>
      </c>
      <c r="P687">
        <f>$C687*P686</f>
        <v/>
      </c>
      <c r="Q687">
        <f>$C687*Q686</f>
        <v/>
      </c>
      <c r="R687">
        <f>$C687*R686</f>
        <v/>
      </c>
      <c r="S687">
        <f>$C687*S686</f>
        <v/>
      </c>
      <c r="T687">
        <f>$C687*T686</f>
        <v/>
      </c>
      <c r="U687">
        <f>$C687*U686</f>
        <v/>
      </c>
      <c r="V687">
        <f>$C687*V686</f>
        <v/>
      </c>
      <c r="W687">
        <f>$C687*W686</f>
        <v/>
      </c>
      <c r="X687">
        <f>$C687*X686</f>
        <v/>
      </c>
      <c r="Y687">
        <f>$C687*Y686</f>
        <v/>
      </c>
      <c r="Z687">
        <f>$C687*Z686</f>
        <v/>
      </c>
      <c r="AA687">
        <f>$C687*AA686</f>
        <v/>
      </c>
      <c r="AB687">
        <f>$C687*AB686</f>
        <v/>
      </c>
      <c r="AC687">
        <f>$C687*AC686</f>
        <v/>
      </c>
      <c r="AD687">
        <f>$C687*AD686</f>
        <v/>
      </c>
      <c r="AE687">
        <f>$C687*AE686</f>
        <v/>
      </c>
      <c r="AF687">
        <f>$C687*AF686</f>
        <v/>
      </c>
      <c r="AG687">
        <f>$C687*AG686</f>
        <v/>
      </c>
      <c r="AH687">
        <f>$C687*AH686</f>
        <v/>
      </c>
      <c r="AI687">
        <f>$C687*AI686</f>
        <v/>
      </c>
      <c r="AJ687">
        <f>$C687*AJ686</f>
        <v/>
      </c>
      <c r="AK687">
        <f>$C687*AK686</f>
        <v/>
      </c>
      <c r="AL687">
        <f>$C687*AL686</f>
        <v/>
      </c>
      <c r="AM687">
        <f>$C687*AM686</f>
        <v/>
      </c>
      <c r="AN687">
        <f>$C687*AN686</f>
        <v/>
      </c>
      <c r="AO687">
        <f>$C687*AO686</f>
        <v/>
      </c>
      <c r="AP687">
        <f>$C687*AP686</f>
        <v/>
      </c>
      <c r="AQ687">
        <f>$C687*AQ686</f>
        <v/>
      </c>
      <c r="AR687">
        <f>$C687*AR686</f>
        <v/>
      </c>
      <c r="AS687">
        <f>$C687*AS686</f>
        <v/>
      </c>
      <c r="AT687">
        <f>$C687*AT686</f>
        <v/>
      </c>
      <c r="AU687">
        <f>$C687*AU686</f>
        <v/>
      </c>
      <c r="AV687">
        <f>$C687*AV686</f>
        <v/>
      </c>
      <c r="AW687">
        <f>$C687*AW686</f>
        <v/>
      </c>
      <c r="AX687">
        <f>$C687*AX686</f>
        <v/>
      </c>
      <c r="AY687">
        <f>$C687*AY686</f>
        <v/>
      </c>
      <c r="AZ687">
        <f>$C687*AZ686</f>
        <v/>
      </c>
      <c r="BA687">
        <f>$C687*BA686</f>
        <v/>
      </c>
      <c r="BB687">
        <f>$C687*BB686</f>
        <v/>
      </c>
      <c r="BC687">
        <f>$C687*BC686</f>
        <v/>
      </c>
      <c r="BD687">
        <f>$C687*BD686</f>
        <v/>
      </c>
      <c r="BE687">
        <f>$C687*BE686</f>
        <v/>
      </c>
      <c r="BF687">
        <f>$C687*BF686</f>
        <v/>
      </c>
      <c r="BG687">
        <f>$C687*BG686</f>
        <v/>
      </c>
      <c r="BH687">
        <f>$C687*BH686</f>
        <v/>
      </c>
      <c r="BI687">
        <f>$C687*BI686</f>
        <v/>
      </c>
      <c r="BJ687">
        <f>$C687*BJ686</f>
        <v/>
      </c>
      <c r="BK687">
        <f>$C687*BK686</f>
        <v/>
      </c>
      <c r="BL687">
        <f>$C687*BL686</f>
        <v/>
      </c>
      <c r="BM687">
        <f>$C687*BM686</f>
        <v/>
      </c>
      <c r="BN687">
        <f>$C687*BN686</f>
        <v/>
      </c>
      <c r="BO687">
        <f>$C687*BO686</f>
        <v/>
      </c>
      <c r="BP687">
        <f>$C687*BP686</f>
        <v/>
      </c>
      <c r="BQ687">
        <f>$C687*BQ686</f>
        <v/>
      </c>
      <c r="BR687">
        <f>$C687*BR686</f>
        <v/>
      </c>
      <c r="BS687">
        <f>$C687*BS686</f>
        <v/>
      </c>
      <c r="BT687">
        <f>$C687*BT686</f>
        <v/>
      </c>
      <c r="BU687">
        <f>$C687*BU686</f>
        <v/>
      </c>
      <c r="BV687">
        <f>$C687*BV686</f>
        <v/>
      </c>
      <c r="BW687">
        <f>$C687*BW686</f>
        <v/>
      </c>
      <c r="BX687">
        <f>$C687*BX686</f>
        <v/>
      </c>
      <c r="BY687">
        <f>$C687*BY686</f>
        <v/>
      </c>
      <c r="BZ687">
        <f>$C687*BZ686</f>
        <v/>
      </c>
      <c r="CA687">
        <f>$C687*CA686</f>
        <v/>
      </c>
      <c r="CB687">
        <f>$C687*CB686</f>
        <v/>
      </c>
      <c r="CC687">
        <f>$C687*CC686</f>
        <v/>
      </c>
      <c r="CD687">
        <f>$C687*CD686</f>
        <v/>
      </c>
      <c r="CE687">
        <f>$C687*CE686</f>
        <v/>
      </c>
      <c r="CF687">
        <f>$C687*CF686</f>
        <v/>
      </c>
      <c r="CG687">
        <f>$C687*CG686</f>
        <v/>
      </c>
      <c r="CH687">
        <f>$C687*CH686</f>
        <v/>
      </c>
      <c r="CI687">
        <f>$C687*CI686</f>
        <v/>
      </c>
      <c r="CJ687">
        <f>$C687*CJ686</f>
        <v/>
      </c>
      <c r="CK687">
        <f>$C687*CK686</f>
        <v/>
      </c>
      <c r="CL687">
        <f>$C687*CL686</f>
        <v/>
      </c>
      <c r="CM687">
        <f>$C687*CM686</f>
        <v/>
      </c>
      <c r="CN687">
        <f>$C687*CN686</f>
        <v/>
      </c>
      <c r="CO687">
        <f>$C687*CO686</f>
        <v/>
      </c>
      <c r="CP687">
        <f>$C687*CP686</f>
        <v/>
      </c>
      <c r="CQ687">
        <f>$C687*CQ686</f>
        <v/>
      </c>
      <c r="CR687">
        <f>$C687*CR686</f>
        <v/>
      </c>
      <c r="CS687">
        <f>$C687*CS686</f>
        <v/>
      </c>
      <c r="CT687">
        <f>$C687*CT686</f>
        <v/>
      </c>
      <c r="CU687">
        <f>$C687*CU686</f>
        <v/>
      </c>
      <c r="CV687">
        <f>$C687*CV686</f>
        <v/>
      </c>
      <c r="CW687">
        <f>$C687*CW686</f>
        <v/>
      </c>
      <c r="CX687">
        <f>$C687*CX686</f>
        <v/>
      </c>
      <c r="CY687">
        <f>$C687*CY686</f>
        <v/>
      </c>
      <c r="CZ687">
        <f>$C687*CZ686</f>
        <v/>
      </c>
      <c r="DA687">
        <f>$C687*DA686</f>
        <v/>
      </c>
      <c r="DB687">
        <f>$C687*DB686</f>
        <v/>
      </c>
      <c r="DC687">
        <f>$C687*DC686</f>
        <v/>
      </c>
    </row>
    <row r="688">
      <c r="B688" t="inlineStr">
        <is>
          <t>TSP-668</t>
        </is>
      </c>
      <c r="C688" t="inlineStr">
        <is>
          <t>No. of batches</t>
        </is>
      </c>
      <c r="D688">
        <f>IFERROR(INDEX(PP_Grid[#Data],$DD688,2),0)</f>
        <v/>
      </c>
      <c r="E688">
        <f>IFERROR(INDEX(PP_Grid[#Data],$DD688,3),0)</f>
        <v/>
      </c>
      <c r="F688">
        <f>IFERROR(INDEX(PP_Grid[#Data],$DD688,4),0)</f>
        <v/>
      </c>
      <c r="G688">
        <f>IFERROR(INDEX(PP_Grid[#Data],$DD688,5),0)</f>
        <v/>
      </c>
      <c r="H688">
        <f>IFERROR(INDEX(PP_Grid[#Data],$DD688,6),0)</f>
        <v/>
      </c>
      <c r="I688">
        <f>IFERROR(INDEX(PP_Grid[#Data],$DD688,7),0)</f>
        <v/>
      </c>
      <c r="J688">
        <f>IFERROR(INDEX(PP_Grid[#Data],$DD688,8),0)</f>
        <v/>
      </c>
      <c r="K688">
        <f>IFERROR(INDEX(PP_Grid[#Data],$DD688,9),0)</f>
        <v/>
      </c>
      <c r="L688">
        <f>IFERROR(INDEX(PP_Grid[#Data],$DD688,10),0)</f>
        <v/>
      </c>
      <c r="M688">
        <f>IFERROR(INDEX(PP_Grid[#Data],$DD688,11),0)</f>
        <v/>
      </c>
      <c r="N688">
        <f>IFERROR(INDEX(PP_Grid[#Data],$DD688,12),0)</f>
        <v/>
      </c>
      <c r="O688">
        <f>IFERROR(INDEX(PP_Grid[#Data],$DD688,13),0)</f>
        <v/>
      </c>
      <c r="P688">
        <f>IFERROR(INDEX(PP_Grid[#Data],$DD688,14),0)</f>
        <v/>
      </c>
      <c r="Q688">
        <f>IFERROR(INDEX(PP_Grid[#Data],$DD688,15),0)</f>
        <v/>
      </c>
      <c r="R688">
        <f>IFERROR(INDEX(PP_Grid[#Data],$DD688,16),0)</f>
        <v/>
      </c>
      <c r="S688">
        <f>IFERROR(INDEX(PP_Grid[#Data],$DD688,17),0)</f>
        <v/>
      </c>
      <c r="T688">
        <f>IFERROR(INDEX(PP_Grid[#Data],$DD688,18),0)</f>
        <v/>
      </c>
      <c r="U688">
        <f>IFERROR(INDEX(PP_Grid[#Data],$DD688,19),0)</f>
        <v/>
      </c>
      <c r="V688">
        <f>IFERROR(INDEX(PP_Grid[#Data],$DD688,20),0)</f>
        <v/>
      </c>
      <c r="W688">
        <f>IFERROR(INDEX(PP_Grid[#Data],$DD688,21),0)</f>
        <v/>
      </c>
      <c r="X688">
        <f>IFERROR(INDEX(PP_Grid[#Data],$DD688,22),0)</f>
        <v/>
      </c>
      <c r="Y688">
        <f>IFERROR(INDEX(PP_Grid[#Data],$DD688,23),0)</f>
        <v/>
      </c>
      <c r="Z688">
        <f>IFERROR(INDEX(PP_Grid[#Data],$DD688,24),0)</f>
        <v/>
      </c>
      <c r="AA688">
        <f>IFERROR(INDEX(PP_Grid[#Data],$DD688,25),0)</f>
        <v/>
      </c>
      <c r="AB688">
        <f>IFERROR(INDEX(PP_Grid[#Data],$DD688,26),0)</f>
        <v/>
      </c>
      <c r="AC688">
        <f>IFERROR(INDEX(PP_Grid[#Data],$DD688,27),0)</f>
        <v/>
      </c>
      <c r="AD688">
        <f>IFERROR(INDEX(PP_Grid[#Data],$DD688,28),0)</f>
        <v/>
      </c>
      <c r="AE688">
        <f>IFERROR(INDEX(PP_Grid[#Data],$DD688,29),0)</f>
        <v/>
      </c>
      <c r="AF688">
        <f>IFERROR(INDEX(PP_Grid[#Data],$DD688,30),0)</f>
        <v/>
      </c>
      <c r="AG688">
        <f>IFERROR(INDEX(PP_Grid[#Data],$DD688,31),0)</f>
        <v/>
      </c>
      <c r="AH688">
        <f>IFERROR(INDEX(PP_Grid[#Data],$DD688,32),0)</f>
        <v/>
      </c>
      <c r="AI688">
        <f>IFERROR(INDEX(PP_Grid[#Data],$DD688,33),0)</f>
        <v/>
      </c>
      <c r="AJ688">
        <f>IFERROR(INDEX(PP_Grid[#Data],$DD688,34),0)</f>
        <v/>
      </c>
      <c r="AK688">
        <f>IFERROR(INDEX(PP_Grid[#Data],$DD688,35),0)</f>
        <v/>
      </c>
      <c r="AL688">
        <f>IFERROR(INDEX(PP_Grid[#Data],$DD688,36),0)</f>
        <v/>
      </c>
      <c r="AM688">
        <f>IFERROR(INDEX(PP_Grid[#Data],$DD688,37),0)</f>
        <v/>
      </c>
      <c r="AN688">
        <f>IFERROR(INDEX(PP_Grid[#Data],$DD688,38),0)</f>
        <v/>
      </c>
      <c r="AO688">
        <f>IFERROR(INDEX(PP_Grid[#Data],$DD688,39),0)</f>
        <v/>
      </c>
      <c r="AP688">
        <f>IFERROR(INDEX(PP_Grid[#Data],$DD688,40),0)</f>
        <v/>
      </c>
      <c r="AQ688">
        <f>IFERROR(INDEX(PP_Grid[#Data],$DD688,41),0)</f>
        <v/>
      </c>
      <c r="AR688">
        <f>IFERROR(INDEX(PP_Grid[#Data],$DD688,42),0)</f>
        <v/>
      </c>
      <c r="AS688">
        <f>IFERROR(INDEX(PP_Grid[#Data],$DD688,43),0)</f>
        <v/>
      </c>
      <c r="AT688">
        <f>IFERROR(INDEX(PP_Grid[#Data],$DD688,44),0)</f>
        <v/>
      </c>
      <c r="AU688">
        <f>IFERROR(INDEX(PP_Grid[#Data],$DD688,45),0)</f>
        <v/>
      </c>
      <c r="AV688">
        <f>IFERROR(INDEX(PP_Grid[#Data],$DD688,46),0)</f>
        <v/>
      </c>
      <c r="AW688">
        <f>IFERROR(INDEX(PP_Grid[#Data],$DD688,47),0)</f>
        <v/>
      </c>
      <c r="AX688">
        <f>IFERROR(INDEX(PP_Grid[#Data],$DD688,48),0)</f>
        <v/>
      </c>
      <c r="AY688">
        <f>IFERROR(INDEX(PP_Grid[#Data],$DD688,49),0)</f>
        <v/>
      </c>
      <c r="AZ688">
        <f>IFERROR(INDEX(PP_Grid[#Data],$DD688,50),0)</f>
        <v/>
      </c>
      <c r="BA688">
        <f>IFERROR(INDEX(PP_Grid[#Data],$DD688,51),0)</f>
        <v/>
      </c>
      <c r="BB688">
        <f>IFERROR(INDEX(PP_Grid[#Data],$DD688,52),0)</f>
        <v/>
      </c>
      <c r="BC688">
        <f>IFERROR(INDEX(PP_Grid[#Data],$DD688,53),0)</f>
        <v/>
      </c>
      <c r="BD688">
        <f>IFERROR(INDEX(PP_Grid[#Data],$DD688,54),0)</f>
        <v/>
      </c>
      <c r="BE688">
        <f>IFERROR(INDEX(PP_Grid[#Data],$DD688,55),0)</f>
        <v/>
      </c>
      <c r="BF688">
        <f>IFERROR(INDEX(PP_Grid[#Data],$DD688,56),0)</f>
        <v/>
      </c>
      <c r="BG688">
        <f>IFERROR(INDEX(PP_Grid[#Data],$DD688,57),0)</f>
        <v/>
      </c>
      <c r="BH688">
        <f>IFERROR(INDEX(PP_Grid[#Data],$DD688,58),0)</f>
        <v/>
      </c>
      <c r="BI688">
        <f>IFERROR(INDEX(PP_Grid[#Data],$DD688,59),0)</f>
        <v/>
      </c>
      <c r="BJ688">
        <f>IFERROR(INDEX(PP_Grid[#Data],$DD688,60),0)</f>
        <v/>
      </c>
      <c r="BK688">
        <f>IFERROR(INDEX(PP_Grid[#Data],$DD688,61),0)</f>
        <v/>
      </c>
      <c r="BL688">
        <f>IFERROR(INDEX(PP_Grid[#Data],$DD688,62),0)</f>
        <v/>
      </c>
      <c r="BM688">
        <f>IFERROR(INDEX(PP_Grid[#Data],$DD688,63),0)</f>
        <v/>
      </c>
      <c r="BN688">
        <f>IFERROR(INDEX(PP_Grid[#Data],$DD688,64),0)</f>
        <v/>
      </c>
      <c r="BO688">
        <f>IFERROR(INDEX(PP_Grid[#Data],$DD688,65),0)</f>
        <v/>
      </c>
      <c r="BP688">
        <f>IFERROR(INDEX(PP_Grid[#Data],$DD688,66),0)</f>
        <v/>
      </c>
      <c r="BQ688">
        <f>IFERROR(INDEX(PP_Grid[#Data],$DD688,67),0)</f>
        <v/>
      </c>
      <c r="BR688">
        <f>IFERROR(INDEX(PP_Grid[#Data],$DD688,68),0)</f>
        <v/>
      </c>
      <c r="BS688">
        <f>IFERROR(INDEX(PP_Grid[#Data],$DD688,69),0)</f>
        <v/>
      </c>
      <c r="BT688">
        <f>IFERROR(INDEX(PP_Grid[#Data],$DD688,70),0)</f>
        <v/>
      </c>
      <c r="BU688">
        <f>IFERROR(INDEX(PP_Grid[#Data],$DD688,71),0)</f>
        <v/>
      </c>
      <c r="BV688">
        <f>IFERROR(INDEX(PP_Grid[#Data],$DD688,72),0)</f>
        <v/>
      </c>
      <c r="BW688">
        <f>IFERROR(INDEX(PP_Grid[#Data],$DD688,73),0)</f>
        <v/>
      </c>
      <c r="BX688">
        <f>IFERROR(INDEX(PP_Grid[#Data],$DD688,74),0)</f>
        <v/>
      </c>
      <c r="BY688">
        <f>IFERROR(INDEX(PP_Grid[#Data],$DD688,75),0)</f>
        <v/>
      </c>
      <c r="BZ688">
        <f>IFERROR(INDEX(PP_Grid[#Data],$DD688,76),0)</f>
        <v/>
      </c>
      <c r="CA688">
        <f>IFERROR(INDEX(PP_Grid[#Data],$DD688,77),0)</f>
        <v/>
      </c>
      <c r="CB688">
        <f>IFERROR(INDEX(PP_Grid[#Data],$DD688,78),0)</f>
        <v/>
      </c>
      <c r="CC688">
        <f>IFERROR(INDEX(PP_Grid[#Data],$DD688,79),0)</f>
        <v/>
      </c>
      <c r="CD688">
        <f>IFERROR(INDEX(PP_Grid[#Data],$DD688,80),0)</f>
        <v/>
      </c>
      <c r="CE688">
        <f>IFERROR(INDEX(PP_Grid[#Data],$DD688,81),0)</f>
        <v/>
      </c>
      <c r="CF688">
        <f>IFERROR(INDEX(PP_Grid[#Data],$DD688,82),0)</f>
        <v/>
      </c>
      <c r="CG688">
        <f>IFERROR(INDEX(PP_Grid[#Data],$DD688,83),0)</f>
        <v/>
      </c>
      <c r="CH688">
        <f>IFERROR(INDEX(PP_Grid[#Data],$DD688,84),0)</f>
        <v/>
      </c>
      <c r="CI688">
        <f>IFERROR(INDEX(PP_Grid[#Data],$DD688,85),0)</f>
        <v/>
      </c>
      <c r="CJ688">
        <f>IFERROR(INDEX(PP_Grid[#Data],$DD688,86),0)</f>
        <v/>
      </c>
      <c r="CK688">
        <f>IFERROR(INDEX(PP_Grid[#Data],$DD688,87),0)</f>
        <v/>
      </c>
      <c r="CL688">
        <f>IFERROR(INDEX(PP_Grid[#Data],$DD688,88),0)</f>
        <v/>
      </c>
      <c r="CM688">
        <f>IFERROR(INDEX(PP_Grid[#Data],$DD688,89),0)</f>
        <v/>
      </c>
      <c r="CN688">
        <f>IFERROR(INDEX(PP_Grid[#Data],$DD688,90),0)</f>
        <v/>
      </c>
      <c r="CO688">
        <f>IFERROR(INDEX(PP_Grid[#Data],$DD688,91),0)</f>
        <v/>
      </c>
      <c r="CP688">
        <f>IFERROR(INDEX(PP_Grid[#Data],$DD688,92),0)</f>
        <v/>
      </c>
      <c r="CQ688">
        <f>IFERROR(INDEX(PP_Grid[#Data],$DD688,93),0)</f>
        <v/>
      </c>
      <c r="CR688">
        <f>IFERROR(INDEX(PP_Grid[#Data],$DD688,94),0)</f>
        <v/>
      </c>
      <c r="CS688">
        <f>IFERROR(INDEX(PP_Grid[#Data],$DD688,95),0)</f>
        <v/>
      </c>
      <c r="CT688">
        <f>IFERROR(INDEX(PP_Grid[#Data],$DD688,96),0)</f>
        <v/>
      </c>
      <c r="CU688">
        <f>IFERROR(INDEX(PP_Grid[#Data],$DD688,97),0)</f>
        <v/>
      </c>
      <c r="CV688">
        <f>IFERROR(INDEX(PP_Grid[#Data],$DD688,98),0)</f>
        <v/>
      </c>
      <c r="CW688">
        <f>IFERROR(INDEX(PP_Grid[#Data],$DD688,99),0)</f>
        <v/>
      </c>
      <c r="CX688">
        <f>IFERROR(INDEX(PP_Grid[#Data],$DD688,100),0)</f>
        <v/>
      </c>
      <c r="CY688">
        <f>IFERROR(INDEX(PP_Grid[#Data],$DD688,101),0)</f>
        <v/>
      </c>
      <c r="CZ688">
        <f>IFERROR(INDEX(PP_Grid[#Data],$DD688,102),0)</f>
        <v/>
      </c>
      <c r="DA688">
        <f>IFERROR(INDEX(PP_Grid[#Data],$DD688,103),0)</f>
        <v/>
      </c>
      <c r="DB688">
        <f>IFERROR(INDEX(PP_Grid[#Data],$DD688,104),0)</f>
        <v/>
      </c>
      <c r="DC688">
        <f>IFERROR(INDEX(PP_Grid[#Data],$DD688,105),0)</f>
        <v/>
      </c>
      <c r="DD688" s="7">
        <f>IFERROR(MATCH($B688,PP_Grid[Intermediate],0),99999)</f>
        <v/>
      </c>
    </row>
    <row r="689">
      <c r="B689" t="inlineStr">
        <is>
          <t>使用量(kg)</t>
        </is>
      </c>
      <c r="C689">
        <f>SUMIFS(M_BOM[RM_Qty_Per_Batch],M_BOM[Intermediate],$B688,M_BOM[Part Name],$A681)</f>
        <v/>
      </c>
      <c r="D689">
        <f>$C689*D688</f>
        <v/>
      </c>
      <c r="E689">
        <f>$C689*E688</f>
        <v/>
      </c>
      <c r="F689">
        <f>$C689*F688</f>
        <v/>
      </c>
      <c r="G689">
        <f>$C689*G688</f>
        <v/>
      </c>
      <c r="H689">
        <f>$C689*H688</f>
        <v/>
      </c>
      <c r="I689">
        <f>$C689*I688</f>
        <v/>
      </c>
      <c r="J689">
        <f>$C689*J688</f>
        <v/>
      </c>
      <c r="K689">
        <f>$C689*K688</f>
        <v/>
      </c>
      <c r="L689">
        <f>$C689*L688</f>
        <v/>
      </c>
      <c r="M689">
        <f>$C689*M688</f>
        <v/>
      </c>
      <c r="N689">
        <f>$C689*N688</f>
        <v/>
      </c>
      <c r="O689">
        <f>$C689*O688</f>
        <v/>
      </c>
      <c r="P689">
        <f>$C689*P688</f>
        <v/>
      </c>
      <c r="Q689">
        <f>$C689*Q688</f>
        <v/>
      </c>
      <c r="R689">
        <f>$C689*R688</f>
        <v/>
      </c>
      <c r="S689">
        <f>$C689*S688</f>
        <v/>
      </c>
      <c r="T689">
        <f>$C689*T688</f>
        <v/>
      </c>
      <c r="U689">
        <f>$C689*U688</f>
        <v/>
      </c>
      <c r="V689">
        <f>$C689*V688</f>
        <v/>
      </c>
      <c r="W689">
        <f>$C689*W688</f>
        <v/>
      </c>
      <c r="X689">
        <f>$C689*X688</f>
        <v/>
      </c>
      <c r="Y689">
        <f>$C689*Y688</f>
        <v/>
      </c>
      <c r="Z689">
        <f>$C689*Z688</f>
        <v/>
      </c>
      <c r="AA689">
        <f>$C689*AA688</f>
        <v/>
      </c>
      <c r="AB689">
        <f>$C689*AB688</f>
        <v/>
      </c>
      <c r="AC689">
        <f>$C689*AC688</f>
        <v/>
      </c>
      <c r="AD689">
        <f>$C689*AD688</f>
        <v/>
      </c>
      <c r="AE689">
        <f>$C689*AE688</f>
        <v/>
      </c>
      <c r="AF689">
        <f>$C689*AF688</f>
        <v/>
      </c>
      <c r="AG689">
        <f>$C689*AG688</f>
        <v/>
      </c>
      <c r="AH689">
        <f>$C689*AH688</f>
        <v/>
      </c>
      <c r="AI689">
        <f>$C689*AI688</f>
        <v/>
      </c>
      <c r="AJ689">
        <f>$C689*AJ688</f>
        <v/>
      </c>
      <c r="AK689">
        <f>$C689*AK688</f>
        <v/>
      </c>
      <c r="AL689">
        <f>$C689*AL688</f>
        <v/>
      </c>
      <c r="AM689">
        <f>$C689*AM688</f>
        <v/>
      </c>
      <c r="AN689">
        <f>$C689*AN688</f>
        <v/>
      </c>
      <c r="AO689">
        <f>$C689*AO688</f>
        <v/>
      </c>
      <c r="AP689">
        <f>$C689*AP688</f>
        <v/>
      </c>
      <c r="AQ689">
        <f>$C689*AQ688</f>
        <v/>
      </c>
      <c r="AR689">
        <f>$C689*AR688</f>
        <v/>
      </c>
      <c r="AS689">
        <f>$C689*AS688</f>
        <v/>
      </c>
      <c r="AT689">
        <f>$C689*AT688</f>
        <v/>
      </c>
      <c r="AU689">
        <f>$C689*AU688</f>
        <v/>
      </c>
      <c r="AV689">
        <f>$C689*AV688</f>
        <v/>
      </c>
      <c r="AW689">
        <f>$C689*AW688</f>
        <v/>
      </c>
      <c r="AX689">
        <f>$C689*AX688</f>
        <v/>
      </c>
      <c r="AY689">
        <f>$C689*AY688</f>
        <v/>
      </c>
      <c r="AZ689">
        <f>$C689*AZ688</f>
        <v/>
      </c>
      <c r="BA689">
        <f>$C689*BA688</f>
        <v/>
      </c>
      <c r="BB689">
        <f>$C689*BB688</f>
        <v/>
      </c>
      <c r="BC689">
        <f>$C689*BC688</f>
        <v/>
      </c>
      <c r="BD689">
        <f>$C689*BD688</f>
        <v/>
      </c>
      <c r="BE689">
        <f>$C689*BE688</f>
        <v/>
      </c>
      <c r="BF689">
        <f>$C689*BF688</f>
        <v/>
      </c>
      <c r="BG689">
        <f>$C689*BG688</f>
        <v/>
      </c>
      <c r="BH689">
        <f>$C689*BH688</f>
        <v/>
      </c>
      <c r="BI689">
        <f>$C689*BI688</f>
        <v/>
      </c>
      <c r="BJ689">
        <f>$C689*BJ688</f>
        <v/>
      </c>
      <c r="BK689">
        <f>$C689*BK688</f>
        <v/>
      </c>
      <c r="BL689">
        <f>$C689*BL688</f>
        <v/>
      </c>
      <c r="BM689">
        <f>$C689*BM688</f>
        <v/>
      </c>
      <c r="BN689">
        <f>$C689*BN688</f>
        <v/>
      </c>
      <c r="BO689">
        <f>$C689*BO688</f>
        <v/>
      </c>
      <c r="BP689">
        <f>$C689*BP688</f>
        <v/>
      </c>
      <c r="BQ689">
        <f>$C689*BQ688</f>
        <v/>
      </c>
      <c r="BR689">
        <f>$C689*BR688</f>
        <v/>
      </c>
      <c r="BS689">
        <f>$C689*BS688</f>
        <v/>
      </c>
      <c r="BT689">
        <f>$C689*BT688</f>
        <v/>
      </c>
      <c r="BU689">
        <f>$C689*BU688</f>
        <v/>
      </c>
      <c r="BV689">
        <f>$C689*BV688</f>
        <v/>
      </c>
      <c r="BW689">
        <f>$C689*BW688</f>
        <v/>
      </c>
      <c r="BX689">
        <f>$C689*BX688</f>
        <v/>
      </c>
      <c r="BY689">
        <f>$C689*BY688</f>
        <v/>
      </c>
      <c r="BZ689">
        <f>$C689*BZ688</f>
        <v/>
      </c>
      <c r="CA689">
        <f>$C689*CA688</f>
        <v/>
      </c>
      <c r="CB689">
        <f>$C689*CB688</f>
        <v/>
      </c>
      <c r="CC689">
        <f>$C689*CC688</f>
        <v/>
      </c>
      <c r="CD689">
        <f>$C689*CD688</f>
        <v/>
      </c>
      <c r="CE689">
        <f>$C689*CE688</f>
        <v/>
      </c>
      <c r="CF689">
        <f>$C689*CF688</f>
        <v/>
      </c>
      <c r="CG689">
        <f>$C689*CG688</f>
        <v/>
      </c>
      <c r="CH689">
        <f>$C689*CH688</f>
        <v/>
      </c>
      <c r="CI689">
        <f>$C689*CI688</f>
        <v/>
      </c>
      <c r="CJ689">
        <f>$C689*CJ688</f>
        <v/>
      </c>
      <c r="CK689">
        <f>$C689*CK688</f>
        <v/>
      </c>
      <c r="CL689">
        <f>$C689*CL688</f>
        <v/>
      </c>
      <c r="CM689">
        <f>$C689*CM688</f>
        <v/>
      </c>
      <c r="CN689">
        <f>$C689*CN688</f>
        <v/>
      </c>
      <c r="CO689">
        <f>$C689*CO688</f>
        <v/>
      </c>
      <c r="CP689">
        <f>$C689*CP688</f>
        <v/>
      </c>
      <c r="CQ689">
        <f>$C689*CQ688</f>
        <v/>
      </c>
      <c r="CR689">
        <f>$C689*CR688</f>
        <v/>
      </c>
      <c r="CS689">
        <f>$C689*CS688</f>
        <v/>
      </c>
      <c r="CT689">
        <f>$C689*CT688</f>
        <v/>
      </c>
      <c r="CU689">
        <f>$C689*CU688</f>
        <v/>
      </c>
      <c r="CV689">
        <f>$C689*CV688</f>
        <v/>
      </c>
      <c r="CW689">
        <f>$C689*CW688</f>
        <v/>
      </c>
      <c r="CX689">
        <f>$C689*CX688</f>
        <v/>
      </c>
      <c r="CY689">
        <f>$C689*CY688</f>
        <v/>
      </c>
      <c r="CZ689">
        <f>$C689*CZ688</f>
        <v/>
      </c>
      <c r="DA689">
        <f>$C689*DA688</f>
        <v/>
      </c>
      <c r="DB689">
        <f>$C689*DB688</f>
        <v/>
      </c>
      <c r="DC689">
        <f>$C689*DC688</f>
        <v/>
      </c>
    </row>
    <row r="690">
      <c r="B690" t="inlineStr">
        <is>
          <t>TSP-669</t>
        </is>
      </c>
      <c r="C690" t="inlineStr">
        <is>
          <t>No. of batches</t>
        </is>
      </c>
      <c r="D690">
        <f>IFERROR(INDEX(PP_Grid[#Data],$DD690,2),0)</f>
        <v/>
      </c>
      <c r="E690">
        <f>IFERROR(INDEX(PP_Grid[#Data],$DD690,3),0)</f>
        <v/>
      </c>
      <c r="F690">
        <f>IFERROR(INDEX(PP_Grid[#Data],$DD690,4),0)</f>
        <v/>
      </c>
      <c r="G690">
        <f>IFERROR(INDEX(PP_Grid[#Data],$DD690,5),0)</f>
        <v/>
      </c>
      <c r="H690">
        <f>IFERROR(INDEX(PP_Grid[#Data],$DD690,6),0)</f>
        <v/>
      </c>
      <c r="I690">
        <f>IFERROR(INDEX(PP_Grid[#Data],$DD690,7),0)</f>
        <v/>
      </c>
      <c r="J690">
        <f>IFERROR(INDEX(PP_Grid[#Data],$DD690,8),0)</f>
        <v/>
      </c>
      <c r="K690">
        <f>IFERROR(INDEX(PP_Grid[#Data],$DD690,9),0)</f>
        <v/>
      </c>
      <c r="L690">
        <f>IFERROR(INDEX(PP_Grid[#Data],$DD690,10),0)</f>
        <v/>
      </c>
      <c r="M690">
        <f>IFERROR(INDEX(PP_Grid[#Data],$DD690,11),0)</f>
        <v/>
      </c>
      <c r="N690">
        <f>IFERROR(INDEX(PP_Grid[#Data],$DD690,12),0)</f>
        <v/>
      </c>
      <c r="O690">
        <f>IFERROR(INDEX(PP_Grid[#Data],$DD690,13),0)</f>
        <v/>
      </c>
      <c r="P690">
        <f>IFERROR(INDEX(PP_Grid[#Data],$DD690,14),0)</f>
        <v/>
      </c>
      <c r="Q690">
        <f>IFERROR(INDEX(PP_Grid[#Data],$DD690,15),0)</f>
        <v/>
      </c>
      <c r="R690">
        <f>IFERROR(INDEX(PP_Grid[#Data],$DD690,16),0)</f>
        <v/>
      </c>
      <c r="S690">
        <f>IFERROR(INDEX(PP_Grid[#Data],$DD690,17),0)</f>
        <v/>
      </c>
      <c r="T690">
        <f>IFERROR(INDEX(PP_Grid[#Data],$DD690,18),0)</f>
        <v/>
      </c>
      <c r="U690">
        <f>IFERROR(INDEX(PP_Grid[#Data],$DD690,19),0)</f>
        <v/>
      </c>
      <c r="V690">
        <f>IFERROR(INDEX(PP_Grid[#Data],$DD690,20),0)</f>
        <v/>
      </c>
      <c r="W690">
        <f>IFERROR(INDEX(PP_Grid[#Data],$DD690,21),0)</f>
        <v/>
      </c>
      <c r="X690">
        <f>IFERROR(INDEX(PP_Grid[#Data],$DD690,22),0)</f>
        <v/>
      </c>
      <c r="Y690">
        <f>IFERROR(INDEX(PP_Grid[#Data],$DD690,23),0)</f>
        <v/>
      </c>
      <c r="Z690">
        <f>IFERROR(INDEX(PP_Grid[#Data],$DD690,24),0)</f>
        <v/>
      </c>
      <c r="AA690">
        <f>IFERROR(INDEX(PP_Grid[#Data],$DD690,25),0)</f>
        <v/>
      </c>
      <c r="AB690">
        <f>IFERROR(INDEX(PP_Grid[#Data],$DD690,26),0)</f>
        <v/>
      </c>
      <c r="AC690">
        <f>IFERROR(INDEX(PP_Grid[#Data],$DD690,27),0)</f>
        <v/>
      </c>
      <c r="AD690">
        <f>IFERROR(INDEX(PP_Grid[#Data],$DD690,28),0)</f>
        <v/>
      </c>
      <c r="AE690">
        <f>IFERROR(INDEX(PP_Grid[#Data],$DD690,29),0)</f>
        <v/>
      </c>
      <c r="AF690">
        <f>IFERROR(INDEX(PP_Grid[#Data],$DD690,30),0)</f>
        <v/>
      </c>
      <c r="AG690">
        <f>IFERROR(INDEX(PP_Grid[#Data],$DD690,31),0)</f>
        <v/>
      </c>
      <c r="AH690">
        <f>IFERROR(INDEX(PP_Grid[#Data],$DD690,32),0)</f>
        <v/>
      </c>
      <c r="AI690">
        <f>IFERROR(INDEX(PP_Grid[#Data],$DD690,33),0)</f>
        <v/>
      </c>
      <c r="AJ690">
        <f>IFERROR(INDEX(PP_Grid[#Data],$DD690,34),0)</f>
        <v/>
      </c>
      <c r="AK690">
        <f>IFERROR(INDEX(PP_Grid[#Data],$DD690,35),0)</f>
        <v/>
      </c>
      <c r="AL690">
        <f>IFERROR(INDEX(PP_Grid[#Data],$DD690,36),0)</f>
        <v/>
      </c>
      <c r="AM690">
        <f>IFERROR(INDEX(PP_Grid[#Data],$DD690,37),0)</f>
        <v/>
      </c>
      <c r="AN690">
        <f>IFERROR(INDEX(PP_Grid[#Data],$DD690,38),0)</f>
        <v/>
      </c>
      <c r="AO690">
        <f>IFERROR(INDEX(PP_Grid[#Data],$DD690,39),0)</f>
        <v/>
      </c>
      <c r="AP690">
        <f>IFERROR(INDEX(PP_Grid[#Data],$DD690,40),0)</f>
        <v/>
      </c>
      <c r="AQ690">
        <f>IFERROR(INDEX(PP_Grid[#Data],$DD690,41),0)</f>
        <v/>
      </c>
      <c r="AR690">
        <f>IFERROR(INDEX(PP_Grid[#Data],$DD690,42),0)</f>
        <v/>
      </c>
      <c r="AS690">
        <f>IFERROR(INDEX(PP_Grid[#Data],$DD690,43),0)</f>
        <v/>
      </c>
      <c r="AT690">
        <f>IFERROR(INDEX(PP_Grid[#Data],$DD690,44),0)</f>
        <v/>
      </c>
      <c r="AU690">
        <f>IFERROR(INDEX(PP_Grid[#Data],$DD690,45),0)</f>
        <v/>
      </c>
      <c r="AV690">
        <f>IFERROR(INDEX(PP_Grid[#Data],$DD690,46),0)</f>
        <v/>
      </c>
      <c r="AW690">
        <f>IFERROR(INDEX(PP_Grid[#Data],$DD690,47),0)</f>
        <v/>
      </c>
      <c r="AX690">
        <f>IFERROR(INDEX(PP_Grid[#Data],$DD690,48),0)</f>
        <v/>
      </c>
      <c r="AY690">
        <f>IFERROR(INDEX(PP_Grid[#Data],$DD690,49),0)</f>
        <v/>
      </c>
      <c r="AZ690">
        <f>IFERROR(INDEX(PP_Grid[#Data],$DD690,50),0)</f>
        <v/>
      </c>
      <c r="BA690">
        <f>IFERROR(INDEX(PP_Grid[#Data],$DD690,51),0)</f>
        <v/>
      </c>
      <c r="BB690">
        <f>IFERROR(INDEX(PP_Grid[#Data],$DD690,52),0)</f>
        <v/>
      </c>
      <c r="BC690">
        <f>IFERROR(INDEX(PP_Grid[#Data],$DD690,53),0)</f>
        <v/>
      </c>
      <c r="BD690">
        <f>IFERROR(INDEX(PP_Grid[#Data],$DD690,54),0)</f>
        <v/>
      </c>
      <c r="BE690">
        <f>IFERROR(INDEX(PP_Grid[#Data],$DD690,55),0)</f>
        <v/>
      </c>
      <c r="BF690">
        <f>IFERROR(INDEX(PP_Grid[#Data],$DD690,56),0)</f>
        <v/>
      </c>
      <c r="BG690">
        <f>IFERROR(INDEX(PP_Grid[#Data],$DD690,57),0)</f>
        <v/>
      </c>
      <c r="BH690">
        <f>IFERROR(INDEX(PP_Grid[#Data],$DD690,58),0)</f>
        <v/>
      </c>
      <c r="BI690">
        <f>IFERROR(INDEX(PP_Grid[#Data],$DD690,59),0)</f>
        <v/>
      </c>
      <c r="BJ690">
        <f>IFERROR(INDEX(PP_Grid[#Data],$DD690,60),0)</f>
        <v/>
      </c>
      <c r="BK690">
        <f>IFERROR(INDEX(PP_Grid[#Data],$DD690,61),0)</f>
        <v/>
      </c>
      <c r="BL690">
        <f>IFERROR(INDEX(PP_Grid[#Data],$DD690,62),0)</f>
        <v/>
      </c>
      <c r="BM690">
        <f>IFERROR(INDEX(PP_Grid[#Data],$DD690,63),0)</f>
        <v/>
      </c>
      <c r="BN690">
        <f>IFERROR(INDEX(PP_Grid[#Data],$DD690,64),0)</f>
        <v/>
      </c>
      <c r="BO690">
        <f>IFERROR(INDEX(PP_Grid[#Data],$DD690,65),0)</f>
        <v/>
      </c>
      <c r="BP690">
        <f>IFERROR(INDEX(PP_Grid[#Data],$DD690,66),0)</f>
        <v/>
      </c>
      <c r="BQ690">
        <f>IFERROR(INDEX(PP_Grid[#Data],$DD690,67),0)</f>
        <v/>
      </c>
      <c r="BR690">
        <f>IFERROR(INDEX(PP_Grid[#Data],$DD690,68),0)</f>
        <v/>
      </c>
      <c r="BS690">
        <f>IFERROR(INDEX(PP_Grid[#Data],$DD690,69),0)</f>
        <v/>
      </c>
      <c r="BT690">
        <f>IFERROR(INDEX(PP_Grid[#Data],$DD690,70),0)</f>
        <v/>
      </c>
      <c r="BU690">
        <f>IFERROR(INDEX(PP_Grid[#Data],$DD690,71),0)</f>
        <v/>
      </c>
      <c r="BV690">
        <f>IFERROR(INDEX(PP_Grid[#Data],$DD690,72),0)</f>
        <v/>
      </c>
      <c r="BW690">
        <f>IFERROR(INDEX(PP_Grid[#Data],$DD690,73),0)</f>
        <v/>
      </c>
      <c r="BX690">
        <f>IFERROR(INDEX(PP_Grid[#Data],$DD690,74),0)</f>
        <v/>
      </c>
      <c r="BY690">
        <f>IFERROR(INDEX(PP_Grid[#Data],$DD690,75),0)</f>
        <v/>
      </c>
      <c r="BZ690">
        <f>IFERROR(INDEX(PP_Grid[#Data],$DD690,76),0)</f>
        <v/>
      </c>
      <c r="CA690">
        <f>IFERROR(INDEX(PP_Grid[#Data],$DD690,77),0)</f>
        <v/>
      </c>
      <c r="CB690">
        <f>IFERROR(INDEX(PP_Grid[#Data],$DD690,78),0)</f>
        <v/>
      </c>
      <c r="CC690">
        <f>IFERROR(INDEX(PP_Grid[#Data],$DD690,79),0)</f>
        <v/>
      </c>
      <c r="CD690">
        <f>IFERROR(INDEX(PP_Grid[#Data],$DD690,80),0)</f>
        <v/>
      </c>
      <c r="CE690">
        <f>IFERROR(INDEX(PP_Grid[#Data],$DD690,81),0)</f>
        <v/>
      </c>
      <c r="CF690">
        <f>IFERROR(INDEX(PP_Grid[#Data],$DD690,82),0)</f>
        <v/>
      </c>
      <c r="CG690">
        <f>IFERROR(INDEX(PP_Grid[#Data],$DD690,83),0)</f>
        <v/>
      </c>
      <c r="CH690">
        <f>IFERROR(INDEX(PP_Grid[#Data],$DD690,84),0)</f>
        <v/>
      </c>
      <c r="CI690">
        <f>IFERROR(INDEX(PP_Grid[#Data],$DD690,85),0)</f>
        <v/>
      </c>
      <c r="CJ690">
        <f>IFERROR(INDEX(PP_Grid[#Data],$DD690,86),0)</f>
        <v/>
      </c>
      <c r="CK690">
        <f>IFERROR(INDEX(PP_Grid[#Data],$DD690,87),0)</f>
        <v/>
      </c>
      <c r="CL690">
        <f>IFERROR(INDEX(PP_Grid[#Data],$DD690,88),0)</f>
        <v/>
      </c>
      <c r="CM690">
        <f>IFERROR(INDEX(PP_Grid[#Data],$DD690,89),0)</f>
        <v/>
      </c>
      <c r="CN690">
        <f>IFERROR(INDEX(PP_Grid[#Data],$DD690,90),0)</f>
        <v/>
      </c>
      <c r="CO690">
        <f>IFERROR(INDEX(PP_Grid[#Data],$DD690,91),0)</f>
        <v/>
      </c>
      <c r="CP690">
        <f>IFERROR(INDEX(PP_Grid[#Data],$DD690,92),0)</f>
        <v/>
      </c>
      <c r="CQ690">
        <f>IFERROR(INDEX(PP_Grid[#Data],$DD690,93),0)</f>
        <v/>
      </c>
      <c r="CR690">
        <f>IFERROR(INDEX(PP_Grid[#Data],$DD690,94),0)</f>
        <v/>
      </c>
      <c r="CS690">
        <f>IFERROR(INDEX(PP_Grid[#Data],$DD690,95),0)</f>
        <v/>
      </c>
      <c r="CT690">
        <f>IFERROR(INDEX(PP_Grid[#Data],$DD690,96),0)</f>
        <v/>
      </c>
      <c r="CU690">
        <f>IFERROR(INDEX(PP_Grid[#Data],$DD690,97),0)</f>
        <v/>
      </c>
      <c r="CV690">
        <f>IFERROR(INDEX(PP_Grid[#Data],$DD690,98),0)</f>
        <v/>
      </c>
      <c r="CW690">
        <f>IFERROR(INDEX(PP_Grid[#Data],$DD690,99),0)</f>
        <v/>
      </c>
      <c r="CX690">
        <f>IFERROR(INDEX(PP_Grid[#Data],$DD690,100),0)</f>
        <v/>
      </c>
      <c r="CY690">
        <f>IFERROR(INDEX(PP_Grid[#Data],$DD690,101),0)</f>
        <v/>
      </c>
      <c r="CZ690">
        <f>IFERROR(INDEX(PP_Grid[#Data],$DD690,102),0)</f>
        <v/>
      </c>
      <c r="DA690">
        <f>IFERROR(INDEX(PP_Grid[#Data],$DD690,103),0)</f>
        <v/>
      </c>
      <c r="DB690">
        <f>IFERROR(INDEX(PP_Grid[#Data],$DD690,104),0)</f>
        <v/>
      </c>
      <c r="DC690">
        <f>IFERROR(INDEX(PP_Grid[#Data],$DD690,105),0)</f>
        <v/>
      </c>
      <c r="DD690" s="7">
        <f>IFERROR(MATCH($B690,PP_Grid[Intermediate],0),99999)</f>
        <v/>
      </c>
    </row>
    <row r="691">
      <c r="B691" t="inlineStr">
        <is>
          <t>使用量(kg)</t>
        </is>
      </c>
      <c r="C691">
        <f>SUMIFS(M_BOM[RM_Qty_Per_Batch],M_BOM[Intermediate],$B690,M_BOM[Part Name],$A681)</f>
        <v/>
      </c>
      <c r="D691">
        <f>$C691*D690</f>
        <v/>
      </c>
      <c r="E691">
        <f>$C691*E690</f>
        <v/>
      </c>
      <c r="F691">
        <f>$C691*F690</f>
        <v/>
      </c>
      <c r="G691">
        <f>$C691*G690</f>
        <v/>
      </c>
      <c r="H691">
        <f>$C691*H690</f>
        <v/>
      </c>
      <c r="I691">
        <f>$C691*I690</f>
        <v/>
      </c>
      <c r="J691">
        <f>$C691*J690</f>
        <v/>
      </c>
      <c r="K691">
        <f>$C691*K690</f>
        <v/>
      </c>
      <c r="L691">
        <f>$C691*L690</f>
        <v/>
      </c>
      <c r="M691">
        <f>$C691*M690</f>
        <v/>
      </c>
      <c r="N691">
        <f>$C691*N690</f>
        <v/>
      </c>
      <c r="O691">
        <f>$C691*O690</f>
        <v/>
      </c>
      <c r="P691">
        <f>$C691*P690</f>
        <v/>
      </c>
      <c r="Q691">
        <f>$C691*Q690</f>
        <v/>
      </c>
      <c r="R691">
        <f>$C691*R690</f>
        <v/>
      </c>
      <c r="S691">
        <f>$C691*S690</f>
        <v/>
      </c>
      <c r="T691">
        <f>$C691*T690</f>
        <v/>
      </c>
      <c r="U691">
        <f>$C691*U690</f>
        <v/>
      </c>
      <c r="V691">
        <f>$C691*V690</f>
        <v/>
      </c>
      <c r="W691">
        <f>$C691*W690</f>
        <v/>
      </c>
      <c r="X691">
        <f>$C691*X690</f>
        <v/>
      </c>
      <c r="Y691">
        <f>$C691*Y690</f>
        <v/>
      </c>
      <c r="Z691">
        <f>$C691*Z690</f>
        <v/>
      </c>
      <c r="AA691">
        <f>$C691*AA690</f>
        <v/>
      </c>
      <c r="AB691">
        <f>$C691*AB690</f>
        <v/>
      </c>
      <c r="AC691">
        <f>$C691*AC690</f>
        <v/>
      </c>
      <c r="AD691">
        <f>$C691*AD690</f>
        <v/>
      </c>
      <c r="AE691">
        <f>$C691*AE690</f>
        <v/>
      </c>
      <c r="AF691">
        <f>$C691*AF690</f>
        <v/>
      </c>
      <c r="AG691">
        <f>$C691*AG690</f>
        <v/>
      </c>
      <c r="AH691">
        <f>$C691*AH690</f>
        <v/>
      </c>
      <c r="AI691">
        <f>$C691*AI690</f>
        <v/>
      </c>
      <c r="AJ691">
        <f>$C691*AJ690</f>
        <v/>
      </c>
      <c r="AK691">
        <f>$C691*AK690</f>
        <v/>
      </c>
      <c r="AL691">
        <f>$C691*AL690</f>
        <v/>
      </c>
      <c r="AM691">
        <f>$C691*AM690</f>
        <v/>
      </c>
      <c r="AN691">
        <f>$C691*AN690</f>
        <v/>
      </c>
      <c r="AO691">
        <f>$C691*AO690</f>
        <v/>
      </c>
      <c r="AP691">
        <f>$C691*AP690</f>
        <v/>
      </c>
      <c r="AQ691">
        <f>$C691*AQ690</f>
        <v/>
      </c>
      <c r="AR691">
        <f>$C691*AR690</f>
        <v/>
      </c>
      <c r="AS691">
        <f>$C691*AS690</f>
        <v/>
      </c>
      <c r="AT691">
        <f>$C691*AT690</f>
        <v/>
      </c>
      <c r="AU691">
        <f>$C691*AU690</f>
        <v/>
      </c>
      <c r="AV691">
        <f>$C691*AV690</f>
        <v/>
      </c>
      <c r="AW691">
        <f>$C691*AW690</f>
        <v/>
      </c>
      <c r="AX691">
        <f>$C691*AX690</f>
        <v/>
      </c>
      <c r="AY691">
        <f>$C691*AY690</f>
        <v/>
      </c>
      <c r="AZ691">
        <f>$C691*AZ690</f>
        <v/>
      </c>
      <c r="BA691">
        <f>$C691*BA690</f>
        <v/>
      </c>
      <c r="BB691">
        <f>$C691*BB690</f>
        <v/>
      </c>
      <c r="BC691">
        <f>$C691*BC690</f>
        <v/>
      </c>
      <c r="BD691">
        <f>$C691*BD690</f>
        <v/>
      </c>
      <c r="BE691">
        <f>$C691*BE690</f>
        <v/>
      </c>
      <c r="BF691">
        <f>$C691*BF690</f>
        <v/>
      </c>
      <c r="BG691">
        <f>$C691*BG690</f>
        <v/>
      </c>
      <c r="BH691">
        <f>$C691*BH690</f>
        <v/>
      </c>
      <c r="BI691">
        <f>$C691*BI690</f>
        <v/>
      </c>
      <c r="BJ691">
        <f>$C691*BJ690</f>
        <v/>
      </c>
      <c r="BK691">
        <f>$C691*BK690</f>
        <v/>
      </c>
      <c r="BL691">
        <f>$C691*BL690</f>
        <v/>
      </c>
      <c r="BM691">
        <f>$C691*BM690</f>
        <v/>
      </c>
      <c r="BN691">
        <f>$C691*BN690</f>
        <v/>
      </c>
      <c r="BO691">
        <f>$C691*BO690</f>
        <v/>
      </c>
      <c r="BP691">
        <f>$C691*BP690</f>
        <v/>
      </c>
      <c r="BQ691">
        <f>$C691*BQ690</f>
        <v/>
      </c>
      <c r="BR691">
        <f>$C691*BR690</f>
        <v/>
      </c>
      <c r="BS691">
        <f>$C691*BS690</f>
        <v/>
      </c>
      <c r="BT691">
        <f>$C691*BT690</f>
        <v/>
      </c>
      <c r="BU691">
        <f>$C691*BU690</f>
        <v/>
      </c>
      <c r="BV691">
        <f>$C691*BV690</f>
        <v/>
      </c>
      <c r="BW691">
        <f>$C691*BW690</f>
        <v/>
      </c>
      <c r="BX691">
        <f>$C691*BX690</f>
        <v/>
      </c>
      <c r="BY691">
        <f>$C691*BY690</f>
        <v/>
      </c>
      <c r="BZ691">
        <f>$C691*BZ690</f>
        <v/>
      </c>
      <c r="CA691">
        <f>$C691*CA690</f>
        <v/>
      </c>
      <c r="CB691">
        <f>$C691*CB690</f>
        <v/>
      </c>
      <c r="CC691">
        <f>$C691*CC690</f>
        <v/>
      </c>
      <c r="CD691">
        <f>$C691*CD690</f>
        <v/>
      </c>
      <c r="CE691">
        <f>$C691*CE690</f>
        <v/>
      </c>
      <c r="CF691">
        <f>$C691*CF690</f>
        <v/>
      </c>
      <c r="CG691">
        <f>$C691*CG690</f>
        <v/>
      </c>
      <c r="CH691">
        <f>$C691*CH690</f>
        <v/>
      </c>
      <c r="CI691">
        <f>$C691*CI690</f>
        <v/>
      </c>
      <c r="CJ691">
        <f>$C691*CJ690</f>
        <v/>
      </c>
      <c r="CK691">
        <f>$C691*CK690</f>
        <v/>
      </c>
      <c r="CL691">
        <f>$C691*CL690</f>
        <v/>
      </c>
      <c r="CM691">
        <f>$C691*CM690</f>
        <v/>
      </c>
      <c r="CN691">
        <f>$C691*CN690</f>
        <v/>
      </c>
      <c r="CO691">
        <f>$C691*CO690</f>
        <v/>
      </c>
      <c r="CP691">
        <f>$C691*CP690</f>
        <v/>
      </c>
      <c r="CQ691">
        <f>$C691*CQ690</f>
        <v/>
      </c>
      <c r="CR691">
        <f>$C691*CR690</f>
        <v/>
      </c>
      <c r="CS691">
        <f>$C691*CS690</f>
        <v/>
      </c>
      <c r="CT691">
        <f>$C691*CT690</f>
        <v/>
      </c>
      <c r="CU691">
        <f>$C691*CU690</f>
        <v/>
      </c>
      <c r="CV691">
        <f>$C691*CV690</f>
        <v/>
      </c>
      <c r="CW691">
        <f>$C691*CW690</f>
        <v/>
      </c>
      <c r="CX691">
        <f>$C691*CX690</f>
        <v/>
      </c>
      <c r="CY691">
        <f>$C691*CY690</f>
        <v/>
      </c>
      <c r="CZ691">
        <f>$C691*CZ690</f>
        <v/>
      </c>
      <c r="DA691">
        <f>$C691*DA690</f>
        <v/>
      </c>
      <c r="DB691">
        <f>$C691*DB690</f>
        <v/>
      </c>
      <c r="DC691">
        <f>$C691*DC690</f>
        <v/>
      </c>
    </row>
    <row r="692">
      <c r="B692" t="inlineStr">
        <is>
          <t>TSP-670</t>
        </is>
      </c>
      <c r="C692" t="inlineStr">
        <is>
          <t>No. of batches</t>
        </is>
      </c>
      <c r="D692">
        <f>IFERROR(INDEX(PP_Grid[#Data],$DD692,2),0)</f>
        <v/>
      </c>
      <c r="E692">
        <f>IFERROR(INDEX(PP_Grid[#Data],$DD692,3),0)</f>
        <v/>
      </c>
      <c r="F692">
        <f>IFERROR(INDEX(PP_Grid[#Data],$DD692,4),0)</f>
        <v/>
      </c>
      <c r="G692">
        <f>IFERROR(INDEX(PP_Grid[#Data],$DD692,5),0)</f>
        <v/>
      </c>
      <c r="H692">
        <f>IFERROR(INDEX(PP_Grid[#Data],$DD692,6),0)</f>
        <v/>
      </c>
      <c r="I692">
        <f>IFERROR(INDEX(PP_Grid[#Data],$DD692,7),0)</f>
        <v/>
      </c>
      <c r="J692">
        <f>IFERROR(INDEX(PP_Grid[#Data],$DD692,8),0)</f>
        <v/>
      </c>
      <c r="K692">
        <f>IFERROR(INDEX(PP_Grid[#Data],$DD692,9),0)</f>
        <v/>
      </c>
      <c r="L692">
        <f>IFERROR(INDEX(PP_Grid[#Data],$DD692,10),0)</f>
        <v/>
      </c>
      <c r="M692">
        <f>IFERROR(INDEX(PP_Grid[#Data],$DD692,11),0)</f>
        <v/>
      </c>
      <c r="N692">
        <f>IFERROR(INDEX(PP_Grid[#Data],$DD692,12),0)</f>
        <v/>
      </c>
      <c r="O692">
        <f>IFERROR(INDEX(PP_Grid[#Data],$DD692,13),0)</f>
        <v/>
      </c>
      <c r="P692">
        <f>IFERROR(INDEX(PP_Grid[#Data],$DD692,14),0)</f>
        <v/>
      </c>
      <c r="Q692">
        <f>IFERROR(INDEX(PP_Grid[#Data],$DD692,15),0)</f>
        <v/>
      </c>
      <c r="R692">
        <f>IFERROR(INDEX(PP_Grid[#Data],$DD692,16),0)</f>
        <v/>
      </c>
      <c r="S692">
        <f>IFERROR(INDEX(PP_Grid[#Data],$DD692,17),0)</f>
        <v/>
      </c>
      <c r="T692">
        <f>IFERROR(INDEX(PP_Grid[#Data],$DD692,18),0)</f>
        <v/>
      </c>
      <c r="U692">
        <f>IFERROR(INDEX(PP_Grid[#Data],$DD692,19),0)</f>
        <v/>
      </c>
      <c r="V692">
        <f>IFERROR(INDEX(PP_Grid[#Data],$DD692,20),0)</f>
        <v/>
      </c>
      <c r="W692">
        <f>IFERROR(INDEX(PP_Grid[#Data],$DD692,21),0)</f>
        <v/>
      </c>
      <c r="X692">
        <f>IFERROR(INDEX(PP_Grid[#Data],$DD692,22),0)</f>
        <v/>
      </c>
      <c r="Y692">
        <f>IFERROR(INDEX(PP_Grid[#Data],$DD692,23),0)</f>
        <v/>
      </c>
      <c r="Z692">
        <f>IFERROR(INDEX(PP_Grid[#Data],$DD692,24),0)</f>
        <v/>
      </c>
      <c r="AA692">
        <f>IFERROR(INDEX(PP_Grid[#Data],$DD692,25),0)</f>
        <v/>
      </c>
      <c r="AB692">
        <f>IFERROR(INDEX(PP_Grid[#Data],$DD692,26),0)</f>
        <v/>
      </c>
      <c r="AC692">
        <f>IFERROR(INDEX(PP_Grid[#Data],$DD692,27),0)</f>
        <v/>
      </c>
      <c r="AD692">
        <f>IFERROR(INDEX(PP_Grid[#Data],$DD692,28),0)</f>
        <v/>
      </c>
      <c r="AE692">
        <f>IFERROR(INDEX(PP_Grid[#Data],$DD692,29),0)</f>
        <v/>
      </c>
      <c r="AF692">
        <f>IFERROR(INDEX(PP_Grid[#Data],$DD692,30),0)</f>
        <v/>
      </c>
      <c r="AG692">
        <f>IFERROR(INDEX(PP_Grid[#Data],$DD692,31),0)</f>
        <v/>
      </c>
      <c r="AH692">
        <f>IFERROR(INDEX(PP_Grid[#Data],$DD692,32),0)</f>
        <v/>
      </c>
      <c r="AI692">
        <f>IFERROR(INDEX(PP_Grid[#Data],$DD692,33),0)</f>
        <v/>
      </c>
      <c r="AJ692">
        <f>IFERROR(INDEX(PP_Grid[#Data],$DD692,34),0)</f>
        <v/>
      </c>
      <c r="AK692">
        <f>IFERROR(INDEX(PP_Grid[#Data],$DD692,35),0)</f>
        <v/>
      </c>
      <c r="AL692">
        <f>IFERROR(INDEX(PP_Grid[#Data],$DD692,36),0)</f>
        <v/>
      </c>
      <c r="AM692">
        <f>IFERROR(INDEX(PP_Grid[#Data],$DD692,37),0)</f>
        <v/>
      </c>
      <c r="AN692">
        <f>IFERROR(INDEX(PP_Grid[#Data],$DD692,38),0)</f>
        <v/>
      </c>
      <c r="AO692">
        <f>IFERROR(INDEX(PP_Grid[#Data],$DD692,39),0)</f>
        <v/>
      </c>
      <c r="AP692">
        <f>IFERROR(INDEX(PP_Grid[#Data],$DD692,40),0)</f>
        <v/>
      </c>
      <c r="AQ692">
        <f>IFERROR(INDEX(PP_Grid[#Data],$DD692,41),0)</f>
        <v/>
      </c>
      <c r="AR692">
        <f>IFERROR(INDEX(PP_Grid[#Data],$DD692,42),0)</f>
        <v/>
      </c>
      <c r="AS692">
        <f>IFERROR(INDEX(PP_Grid[#Data],$DD692,43),0)</f>
        <v/>
      </c>
      <c r="AT692">
        <f>IFERROR(INDEX(PP_Grid[#Data],$DD692,44),0)</f>
        <v/>
      </c>
      <c r="AU692">
        <f>IFERROR(INDEX(PP_Grid[#Data],$DD692,45),0)</f>
        <v/>
      </c>
      <c r="AV692">
        <f>IFERROR(INDEX(PP_Grid[#Data],$DD692,46),0)</f>
        <v/>
      </c>
      <c r="AW692">
        <f>IFERROR(INDEX(PP_Grid[#Data],$DD692,47),0)</f>
        <v/>
      </c>
      <c r="AX692">
        <f>IFERROR(INDEX(PP_Grid[#Data],$DD692,48),0)</f>
        <v/>
      </c>
      <c r="AY692">
        <f>IFERROR(INDEX(PP_Grid[#Data],$DD692,49),0)</f>
        <v/>
      </c>
      <c r="AZ692">
        <f>IFERROR(INDEX(PP_Grid[#Data],$DD692,50),0)</f>
        <v/>
      </c>
      <c r="BA692">
        <f>IFERROR(INDEX(PP_Grid[#Data],$DD692,51),0)</f>
        <v/>
      </c>
      <c r="BB692">
        <f>IFERROR(INDEX(PP_Grid[#Data],$DD692,52),0)</f>
        <v/>
      </c>
      <c r="BC692">
        <f>IFERROR(INDEX(PP_Grid[#Data],$DD692,53),0)</f>
        <v/>
      </c>
      <c r="BD692">
        <f>IFERROR(INDEX(PP_Grid[#Data],$DD692,54),0)</f>
        <v/>
      </c>
      <c r="BE692">
        <f>IFERROR(INDEX(PP_Grid[#Data],$DD692,55),0)</f>
        <v/>
      </c>
      <c r="BF692">
        <f>IFERROR(INDEX(PP_Grid[#Data],$DD692,56),0)</f>
        <v/>
      </c>
      <c r="BG692">
        <f>IFERROR(INDEX(PP_Grid[#Data],$DD692,57),0)</f>
        <v/>
      </c>
      <c r="BH692">
        <f>IFERROR(INDEX(PP_Grid[#Data],$DD692,58),0)</f>
        <v/>
      </c>
      <c r="BI692">
        <f>IFERROR(INDEX(PP_Grid[#Data],$DD692,59),0)</f>
        <v/>
      </c>
      <c r="BJ692">
        <f>IFERROR(INDEX(PP_Grid[#Data],$DD692,60),0)</f>
        <v/>
      </c>
      <c r="BK692">
        <f>IFERROR(INDEX(PP_Grid[#Data],$DD692,61),0)</f>
        <v/>
      </c>
      <c r="BL692">
        <f>IFERROR(INDEX(PP_Grid[#Data],$DD692,62),0)</f>
        <v/>
      </c>
      <c r="BM692">
        <f>IFERROR(INDEX(PP_Grid[#Data],$DD692,63),0)</f>
        <v/>
      </c>
      <c r="BN692">
        <f>IFERROR(INDEX(PP_Grid[#Data],$DD692,64),0)</f>
        <v/>
      </c>
      <c r="BO692">
        <f>IFERROR(INDEX(PP_Grid[#Data],$DD692,65),0)</f>
        <v/>
      </c>
      <c r="BP692">
        <f>IFERROR(INDEX(PP_Grid[#Data],$DD692,66),0)</f>
        <v/>
      </c>
      <c r="BQ692">
        <f>IFERROR(INDEX(PP_Grid[#Data],$DD692,67),0)</f>
        <v/>
      </c>
      <c r="BR692">
        <f>IFERROR(INDEX(PP_Grid[#Data],$DD692,68),0)</f>
        <v/>
      </c>
      <c r="BS692">
        <f>IFERROR(INDEX(PP_Grid[#Data],$DD692,69),0)</f>
        <v/>
      </c>
      <c r="BT692">
        <f>IFERROR(INDEX(PP_Grid[#Data],$DD692,70),0)</f>
        <v/>
      </c>
      <c r="BU692">
        <f>IFERROR(INDEX(PP_Grid[#Data],$DD692,71),0)</f>
        <v/>
      </c>
      <c r="BV692">
        <f>IFERROR(INDEX(PP_Grid[#Data],$DD692,72),0)</f>
        <v/>
      </c>
      <c r="BW692">
        <f>IFERROR(INDEX(PP_Grid[#Data],$DD692,73),0)</f>
        <v/>
      </c>
      <c r="BX692">
        <f>IFERROR(INDEX(PP_Grid[#Data],$DD692,74),0)</f>
        <v/>
      </c>
      <c r="BY692">
        <f>IFERROR(INDEX(PP_Grid[#Data],$DD692,75),0)</f>
        <v/>
      </c>
      <c r="BZ692">
        <f>IFERROR(INDEX(PP_Grid[#Data],$DD692,76),0)</f>
        <v/>
      </c>
      <c r="CA692">
        <f>IFERROR(INDEX(PP_Grid[#Data],$DD692,77),0)</f>
        <v/>
      </c>
      <c r="CB692">
        <f>IFERROR(INDEX(PP_Grid[#Data],$DD692,78),0)</f>
        <v/>
      </c>
      <c r="CC692">
        <f>IFERROR(INDEX(PP_Grid[#Data],$DD692,79),0)</f>
        <v/>
      </c>
      <c r="CD692">
        <f>IFERROR(INDEX(PP_Grid[#Data],$DD692,80),0)</f>
        <v/>
      </c>
      <c r="CE692">
        <f>IFERROR(INDEX(PP_Grid[#Data],$DD692,81),0)</f>
        <v/>
      </c>
      <c r="CF692">
        <f>IFERROR(INDEX(PP_Grid[#Data],$DD692,82),0)</f>
        <v/>
      </c>
      <c r="CG692">
        <f>IFERROR(INDEX(PP_Grid[#Data],$DD692,83),0)</f>
        <v/>
      </c>
      <c r="CH692">
        <f>IFERROR(INDEX(PP_Grid[#Data],$DD692,84),0)</f>
        <v/>
      </c>
      <c r="CI692">
        <f>IFERROR(INDEX(PP_Grid[#Data],$DD692,85),0)</f>
        <v/>
      </c>
      <c r="CJ692">
        <f>IFERROR(INDEX(PP_Grid[#Data],$DD692,86),0)</f>
        <v/>
      </c>
      <c r="CK692">
        <f>IFERROR(INDEX(PP_Grid[#Data],$DD692,87),0)</f>
        <v/>
      </c>
      <c r="CL692">
        <f>IFERROR(INDEX(PP_Grid[#Data],$DD692,88),0)</f>
        <v/>
      </c>
      <c r="CM692">
        <f>IFERROR(INDEX(PP_Grid[#Data],$DD692,89),0)</f>
        <v/>
      </c>
      <c r="CN692">
        <f>IFERROR(INDEX(PP_Grid[#Data],$DD692,90),0)</f>
        <v/>
      </c>
      <c r="CO692">
        <f>IFERROR(INDEX(PP_Grid[#Data],$DD692,91),0)</f>
        <v/>
      </c>
      <c r="CP692">
        <f>IFERROR(INDEX(PP_Grid[#Data],$DD692,92),0)</f>
        <v/>
      </c>
      <c r="CQ692">
        <f>IFERROR(INDEX(PP_Grid[#Data],$DD692,93),0)</f>
        <v/>
      </c>
      <c r="CR692">
        <f>IFERROR(INDEX(PP_Grid[#Data],$DD692,94),0)</f>
        <v/>
      </c>
      <c r="CS692">
        <f>IFERROR(INDEX(PP_Grid[#Data],$DD692,95),0)</f>
        <v/>
      </c>
      <c r="CT692">
        <f>IFERROR(INDEX(PP_Grid[#Data],$DD692,96),0)</f>
        <v/>
      </c>
      <c r="CU692">
        <f>IFERROR(INDEX(PP_Grid[#Data],$DD692,97),0)</f>
        <v/>
      </c>
      <c r="CV692">
        <f>IFERROR(INDEX(PP_Grid[#Data],$DD692,98),0)</f>
        <v/>
      </c>
      <c r="CW692">
        <f>IFERROR(INDEX(PP_Grid[#Data],$DD692,99),0)</f>
        <v/>
      </c>
      <c r="CX692">
        <f>IFERROR(INDEX(PP_Grid[#Data],$DD692,100),0)</f>
        <v/>
      </c>
      <c r="CY692">
        <f>IFERROR(INDEX(PP_Grid[#Data],$DD692,101),0)</f>
        <v/>
      </c>
      <c r="CZ692">
        <f>IFERROR(INDEX(PP_Grid[#Data],$DD692,102),0)</f>
        <v/>
      </c>
      <c r="DA692">
        <f>IFERROR(INDEX(PP_Grid[#Data],$DD692,103),0)</f>
        <v/>
      </c>
      <c r="DB692">
        <f>IFERROR(INDEX(PP_Grid[#Data],$DD692,104),0)</f>
        <v/>
      </c>
      <c r="DC692">
        <f>IFERROR(INDEX(PP_Grid[#Data],$DD692,105),0)</f>
        <v/>
      </c>
      <c r="DD692" s="7">
        <f>IFERROR(MATCH($B692,PP_Grid[Intermediate],0),99999)</f>
        <v/>
      </c>
    </row>
    <row r="693">
      <c r="B693" t="inlineStr">
        <is>
          <t>使用量(kg)</t>
        </is>
      </c>
      <c r="C693">
        <f>SUMIFS(M_BOM[RM_Qty_Per_Batch],M_BOM[Intermediate],$B692,M_BOM[Part Name],$A681)</f>
        <v/>
      </c>
      <c r="D693">
        <f>$C693*D692</f>
        <v/>
      </c>
      <c r="E693">
        <f>$C693*E692</f>
        <v/>
      </c>
      <c r="F693">
        <f>$C693*F692</f>
        <v/>
      </c>
      <c r="G693">
        <f>$C693*G692</f>
        <v/>
      </c>
      <c r="H693">
        <f>$C693*H692</f>
        <v/>
      </c>
      <c r="I693">
        <f>$C693*I692</f>
        <v/>
      </c>
      <c r="J693">
        <f>$C693*J692</f>
        <v/>
      </c>
      <c r="K693">
        <f>$C693*K692</f>
        <v/>
      </c>
      <c r="L693">
        <f>$C693*L692</f>
        <v/>
      </c>
      <c r="M693">
        <f>$C693*M692</f>
        <v/>
      </c>
      <c r="N693">
        <f>$C693*N692</f>
        <v/>
      </c>
      <c r="O693">
        <f>$C693*O692</f>
        <v/>
      </c>
      <c r="P693">
        <f>$C693*P692</f>
        <v/>
      </c>
      <c r="Q693">
        <f>$C693*Q692</f>
        <v/>
      </c>
      <c r="R693">
        <f>$C693*R692</f>
        <v/>
      </c>
      <c r="S693">
        <f>$C693*S692</f>
        <v/>
      </c>
      <c r="T693">
        <f>$C693*T692</f>
        <v/>
      </c>
      <c r="U693">
        <f>$C693*U692</f>
        <v/>
      </c>
      <c r="V693">
        <f>$C693*V692</f>
        <v/>
      </c>
      <c r="W693">
        <f>$C693*W692</f>
        <v/>
      </c>
      <c r="X693">
        <f>$C693*X692</f>
        <v/>
      </c>
      <c r="Y693">
        <f>$C693*Y692</f>
        <v/>
      </c>
      <c r="Z693">
        <f>$C693*Z692</f>
        <v/>
      </c>
      <c r="AA693">
        <f>$C693*AA692</f>
        <v/>
      </c>
      <c r="AB693">
        <f>$C693*AB692</f>
        <v/>
      </c>
      <c r="AC693">
        <f>$C693*AC692</f>
        <v/>
      </c>
      <c r="AD693">
        <f>$C693*AD692</f>
        <v/>
      </c>
      <c r="AE693">
        <f>$C693*AE692</f>
        <v/>
      </c>
      <c r="AF693">
        <f>$C693*AF692</f>
        <v/>
      </c>
      <c r="AG693">
        <f>$C693*AG692</f>
        <v/>
      </c>
      <c r="AH693">
        <f>$C693*AH692</f>
        <v/>
      </c>
      <c r="AI693">
        <f>$C693*AI692</f>
        <v/>
      </c>
      <c r="AJ693">
        <f>$C693*AJ692</f>
        <v/>
      </c>
      <c r="AK693">
        <f>$C693*AK692</f>
        <v/>
      </c>
      <c r="AL693">
        <f>$C693*AL692</f>
        <v/>
      </c>
      <c r="AM693">
        <f>$C693*AM692</f>
        <v/>
      </c>
      <c r="AN693">
        <f>$C693*AN692</f>
        <v/>
      </c>
      <c r="AO693">
        <f>$C693*AO692</f>
        <v/>
      </c>
      <c r="AP693">
        <f>$C693*AP692</f>
        <v/>
      </c>
      <c r="AQ693">
        <f>$C693*AQ692</f>
        <v/>
      </c>
      <c r="AR693">
        <f>$C693*AR692</f>
        <v/>
      </c>
      <c r="AS693">
        <f>$C693*AS692</f>
        <v/>
      </c>
      <c r="AT693">
        <f>$C693*AT692</f>
        <v/>
      </c>
      <c r="AU693">
        <f>$C693*AU692</f>
        <v/>
      </c>
      <c r="AV693">
        <f>$C693*AV692</f>
        <v/>
      </c>
      <c r="AW693">
        <f>$C693*AW692</f>
        <v/>
      </c>
      <c r="AX693">
        <f>$C693*AX692</f>
        <v/>
      </c>
      <c r="AY693">
        <f>$C693*AY692</f>
        <v/>
      </c>
      <c r="AZ693">
        <f>$C693*AZ692</f>
        <v/>
      </c>
      <c r="BA693">
        <f>$C693*BA692</f>
        <v/>
      </c>
      <c r="BB693">
        <f>$C693*BB692</f>
        <v/>
      </c>
      <c r="BC693">
        <f>$C693*BC692</f>
        <v/>
      </c>
      <c r="BD693">
        <f>$C693*BD692</f>
        <v/>
      </c>
      <c r="BE693">
        <f>$C693*BE692</f>
        <v/>
      </c>
      <c r="BF693">
        <f>$C693*BF692</f>
        <v/>
      </c>
      <c r="BG693">
        <f>$C693*BG692</f>
        <v/>
      </c>
      <c r="BH693">
        <f>$C693*BH692</f>
        <v/>
      </c>
      <c r="BI693">
        <f>$C693*BI692</f>
        <v/>
      </c>
      <c r="BJ693">
        <f>$C693*BJ692</f>
        <v/>
      </c>
      <c r="BK693">
        <f>$C693*BK692</f>
        <v/>
      </c>
      <c r="BL693">
        <f>$C693*BL692</f>
        <v/>
      </c>
      <c r="BM693">
        <f>$C693*BM692</f>
        <v/>
      </c>
      <c r="BN693">
        <f>$C693*BN692</f>
        <v/>
      </c>
      <c r="BO693">
        <f>$C693*BO692</f>
        <v/>
      </c>
      <c r="BP693">
        <f>$C693*BP692</f>
        <v/>
      </c>
      <c r="BQ693">
        <f>$C693*BQ692</f>
        <v/>
      </c>
      <c r="BR693">
        <f>$C693*BR692</f>
        <v/>
      </c>
      <c r="BS693">
        <f>$C693*BS692</f>
        <v/>
      </c>
      <c r="BT693">
        <f>$C693*BT692</f>
        <v/>
      </c>
      <c r="BU693">
        <f>$C693*BU692</f>
        <v/>
      </c>
      <c r="BV693">
        <f>$C693*BV692</f>
        <v/>
      </c>
      <c r="BW693">
        <f>$C693*BW692</f>
        <v/>
      </c>
      <c r="BX693">
        <f>$C693*BX692</f>
        <v/>
      </c>
      <c r="BY693">
        <f>$C693*BY692</f>
        <v/>
      </c>
      <c r="BZ693">
        <f>$C693*BZ692</f>
        <v/>
      </c>
      <c r="CA693">
        <f>$C693*CA692</f>
        <v/>
      </c>
      <c r="CB693">
        <f>$C693*CB692</f>
        <v/>
      </c>
      <c r="CC693">
        <f>$C693*CC692</f>
        <v/>
      </c>
      <c r="CD693">
        <f>$C693*CD692</f>
        <v/>
      </c>
      <c r="CE693">
        <f>$C693*CE692</f>
        <v/>
      </c>
      <c r="CF693">
        <f>$C693*CF692</f>
        <v/>
      </c>
      <c r="CG693">
        <f>$C693*CG692</f>
        <v/>
      </c>
      <c r="CH693">
        <f>$C693*CH692</f>
        <v/>
      </c>
      <c r="CI693">
        <f>$C693*CI692</f>
        <v/>
      </c>
      <c r="CJ693">
        <f>$C693*CJ692</f>
        <v/>
      </c>
      <c r="CK693">
        <f>$C693*CK692</f>
        <v/>
      </c>
      <c r="CL693">
        <f>$C693*CL692</f>
        <v/>
      </c>
      <c r="CM693">
        <f>$C693*CM692</f>
        <v/>
      </c>
      <c r="CN693">
        <f>$C693*CN692</f>
        <v/>
      </c>
      <c r="CO693">
        <f>$C693*CO692</f>
        <v/>
      </c>
      <c r="CP693">
        <f>$C693*CP692</f>
        <v/>
      </c>
      <c r="CQ693">
        <f>$C693*CQ692</f>
        <v/>
      </c>
      <c r="CR693">
        <f>$C693*CR692</f>
        <v/>
      </c>
      <c r="CS693">
        <f>$C693*CS692</f>
        <v/>
      </c>
      <c r="CT693">
        <f>$C693*CT692</f>
        <v/>
      </c>
      <c r="CU693">
        <f>$C693*CU692</f>
        <v/>
      </c>
      <c r="CV693">
        <f>$C693*CV692</f>
        <v/>
      </c>
      <c r="CW693">
        <f>$C693*CW692</f>
        <v/>
      </c>
      <c r="CX693">
        <f>$C693*CX692</f>
        <v/>
      </c>
      <c r="CY693">
        <f>$C693*CY692</f>
        <v/>
      </c>
      <c r="CZ693">
        <f>$C693*CZ692</f>
        <v/>
      </c>
      <c r="DA693">
        <f>$C693*DA692</f>
        <v/>
      </c>
      <c r="DB693">
        <f>$C693*DB692</f>
        <v/>
      </c>
      <c r="DC693">
        <f>$C693*DC692</f>
        <v/>
      </c>
    </row>
    <row r="694">
      <c r="B694" t="inlineStr">
        <is>
          <t>TSP-699</t>
        </is>
      </c>
      <c r="C694" t="inlineStr">
        <is>
          <t>No. of batches</t>
        </is>
      </c>
      <c r="D694">
        <f>IFERROR(INDEX(PP_Grid[#Data],$DD694,2),0)</f>
        <v/>
      </c>
      <c r="E694">
        <f>IFERROR(INDEX(PP_Grid[#Data],$DD694,3),0)</f>
        <v/>
      </c>
      <c r="F694">
        <f>IFERROR(INDEX(PP_Grid[#Data],$DD694,4),0)</f>
        <v/>
      </c>
      <c r="G694">
        <f>IFERROR(INDEX(PP_Grid[#Data],$DD694,5),0)</f>
        <v/>
      </c>
      <c r="H694">
        <f>IFERROR(INDEX(PP_Grid[#Data],$DD694,6),0)</f>
        <v/>
      </c>
      <c r="I694">
        <f>IFERROR(INDEX(PP_Grid[#Data],$DD694,7),0)</f>
        <v/>
      </c>
      <c r="J694">
        <f>IFERROR(INDEX(PP_Grid[#Data],$DD694,8),0)</f>
        <v/>
      </c>
      <c r="K694">
        <f>IFERROR(INDEX(PP_Grid[#Data],$DD694,9),0)</f>
        <v/>
      </c>
      <c r="L694">
        <f>IFERROR(INDEX(PP_Grid[#Data],$DD694,10),0)</f>
        <v/>
      </c>
      <c r="M694">
        <f>IFERROR(INDEX(PP_Grid[#Data],$DD694,11),0)</f>
        <v/>
      </c>
      <c r="N694">
        <f>IFERROR(INDEX(PP_Grid[#Data],$DD694,12),0)</f>
        <v/>
      </c>
      <c r="O694">
        <f>IFERROR(INDEX(PP_Grid[#Data],$DD694,13),0)</f>
        <v/>
      </c>
      <c r="P694">
        <f>IFERROR(INDEX(PP_Grid[#Data],$DD694,14),0)</f>
        <v/>
      </c>
      <c r="Q694">
        <f>IFERROR(INDEX(PP_Grid[#Data],$DD694,15),0)</f>
        <v/>
      </c>
      <c r="R694">
        <f>IFERROR(INDEX(PP_Grid[#Data],$DD694,16),0)</f>
        <v/>
      </c>
      <c r="S694">
        <f>IFERROR(INDEX(PP_Grid[#Data],$DD694,17),0)</f>
        <v/>
      </c>
      <c r="T694">
        <f>IFERROR(INDEX(PP_Grid[#Data],$DD694,18),0)</f>
        <v/>
      </c>
      <c r="U694">
        <f>IFERROR(INDEX(PP_Grid[#Data],$DD694,19),0)</f>
        <v/>
      </c>
      <c r="V694">
        <f>IFERROR(INDEX(PP_Grid[#Data],$DD694,20),0)</f>
        <v/>
      </c>
      <c r="W694">
        <f>IFERROR(INDEX(PP_Grid[#Data],$DD694,21),0)</f>
        <v/>
      </c>
      <c r="X694">
        <f>IFERROR(INDEX(PP_Grid[#Data],$DD694,22),0)</f>
        <v/>
      </c>
      <c r="Y694">
        <f>IFERROR(INDEX(PP_Grid[#Data],$DD694,23),0)</f>
        <v/>
      </c>
      <c r="Z694">
        <f>IFERROR(INDEX(PP_Grid[#Data],$DD694,24),0)</f>
        <v/>
      </c>
      <c r="AA694">
        <f>IFERROR(INDEX(PP_Grid[#Data],$DD694,25),0)</f>
        <v/>
      </c>
      <c r="AB694">
        <f>IFERROR(INDEX(PP_Grid[#Data],$DD694,26),0)</f>
        <v/>
      </c>
      <c r="AC694">
        <f>IFERROR(INDEX(PP_Grid[#Data],$DD694,27),0)</f>
        <v/>
      </c>
      <c r="AD694">
        <f>IFERROR(INDEX(PP_Grid[#Data],$DD694,28),0)</f>
        <v/>
      </c>
      <c r="AE694">
        <f>IFERROR(INDEX(PP_Grid[#Data],$DD694,29),0)</f>
        <v/>
      </c>
      <c r="AF694">
        <f>IFERROR(INDEX(PP_Grid[#Data],$DD694,30),0)</f>
        <v/>
      </c>
      <c r="AG694">
        <f>IFERROR(INDEX(PP_Grid[#Data],$DD694,31),0)</f>
        <v/>
      </c>
      <c r="AH694">
        <f>IFERROR(INDEX(PP_Grid[#Data],$DD694,32),0)</f>
        <v/>
      </c>
      <c r="AI694">
        <f>IFERROR(INDEX(PP_Grid[#Data],$DD694,33),0)</f>
        <v/>
      </c>
      <c r="AJ694">
        <f>IFERROR(INDEX(PP_Grid[#Data],$DD694,34),0)</f>
        <v/>
      </c>
      <c r="AK694">
        <f>IFERROR(INDEX(PP_Grid[#Data],$DD694,35),0)</f>
        <v/>
      </c>
      <c r="AL694">
        <f>IFERROR(INDEX(PP_Grid[#Data],$DD694,36),0)</f>
        <v/>
      </c>
      <c r="AM694">
        <f>IFERROR(INDEX(PP_Grid[#Data],$DD694,37),0)</f>
        <v/>
      </c>
      <c r="AN694">
        <f>IFERROR(INDEX(PP_Grid[#Data],$DD694,38),0)</f>
        <v/>
      </c>
      <c r="AO694">
        <f>IFERROR(INDEX(PP_Grid[#Data],$DD694,39),0)</f>
        <v/>
      </c>
      <c r="AP694">
        <f>IFERROR(INDEX(PP_Grid[#Data],$DD694,40),0)</f>
        <v/>
      </c>
      <c r="AQ694">
        <f>IFERROR(INDEX(PP_Grid[#Data],$DD694,41),0)</f>
        <v/>
      </c>
      <c r="AR694">
        <f>IFERROR(INDEX(PP_Grid[#Data],$DD694,42),0)</f>
        <v/>
      </c>
      <c r="AS694">
        <f>IFERROR(INDEX(PP_Grid[#Data],$DD694,43),0)</f>
        <v/>
      </c>
      <c r="AT694">
        <f>IFERROR(INDEX(PP_Grid[#Data],$DD694,44),0)</f>
        <v/>
      </c>
      <c r="AU694">
        <f>IFERROR(INDEX(PP_Grid[#Data],$DD694,45),0)</f>
        <v/>
      </c>
      <c r="AV694">
        <f>IFERROR(INDEX(PP_Grid[#Data],$DD694,46),0)</f>
        <v/>
      </c>
      <c r="AW694">
        <f>IFERROR(INDEX(PP_Grid[#Data],$DD694,47),0)</f>
        <v/>
      </c>
      <c r="AX694">
        <f>IFERROR(INDEX(PP_Grid[#Data],$DD694,48),0)</f>
        <v/>
      </c>
      <c r="AY694">
        <f>IFERROR(INDEX(PP_Grid[#Data],$DD694,49),0)</f>
        <v/>
      </c>
      <c r="AZ694">
        <f>IFERROR(INDEX(PP_Grid[#Data],$DD694,50),0)</f>
        <v/>
      </c>
      <c r="BA694">
        <f>IFERROR(INDEX(PP_Grid[#Data],$DD694,51),0)</f>
        <v/>
      </c>
      <c r="BB694">
        <f>IFERROR(INDEX(PP_Grid[#Data],$DD694,52),0)</f>
        <v/>
      </c>
      <c r="BC694">
        <f>IFERROR(INDEX(PP_Grid[#Data],$DD694,53),0)</f>
        <v/>
      </c>
      <c r="BD694">
        <f>IFERROR(INDEX(PP_Grid[#Data],$DD694,54),0)</f>
        <v/>
      </c>
      <c r="BE694">
        <f>IFERROR(INDEX(PP_Grid[#Data],$DD694,55),0)</f>
        <v/>
      </c>
      <c r="BF694">
        <f>IFERROR(INDEX(PP_Grid[#Data],$DD694,56),0)</f>
        <v/>
      </c>
      <c r="BG694">
        <f>IFERROR(INDEX(PP_Grid[#Data],$DD694,57),0)</f>
        <v/>
      </c>
      <c r="BH694">
        <f>IFERROR(INDEX(PP_Grid[#Data],$DD694,58),0)</f>
        <v/>
      </c>
      <c r="BI694">
        <f>IFERROR(INDEX(PP_Grid[#Data],$DD694,59),0)</f>
        <v/>
      </c>
      <c r="BJ694">
        <f>IFERROR(INDEX(PP_Grid[#Data],$DD694,60),0)</f>
        <v/>
      </c>
      <c r="BK694">
        <f>IFERROR(INDEX(PP_Grid[#Data],$DD694,61),0)</f>
        <v/>
      </c>
      <c r="BL694">
        <f>IFERROR(INDEX(PP_Grid[#Data],$DD694,62),0)</f>
        <v/>
      </c>
      <c r="BM694">
        <f>IFERROR(INDEX(PP_Grid[#Data],$DD694,63),0)</f>
        <v/>
      </c>
      <c r="BN694">
        <f>IFERROR(INDEX(PP_Grid[#Data],$DD694,64),0)</f>
        <v/>
      </c>
      <c r="BO694">
        <f>IFERROR(INDEX(PP_Grid[#Data],$DD694,65),0)</f>
        <v/>
      </c>
      <c r="BP694">
        <f>IFERROR(INDEX(PP_Grid[#Data],$DD694,66),0)</f>
        <v/>
      </c>
      <c r="BQ694">
        <f>IFERROR(INDEX(PP_Grid[#Data],$DD694,67),0)</f>
        <v/>
      </c>
      <c r="BR694">
        <f>IFERROR(INDEX(PP_Grid[#Data],$DD694,68),0)</f>
        <v/>
      </c>
      <c r="BS694">
        <f>IFERROR(INDEX(PP_Grid[#Data],$DD694,69),0)</f>
        <v/>
      </c>
      <c r="BT694">
        <f>IFERROR(INDEX(PP_Grid[#Data],$DD694,70),0)</f>
        <v/>
      </c>
      <c r="BU694">
        <f>IFERROR(INDEX(PP_Grid[#Data],$DD694,71),0)</f>
        <v/>
      </c>
      <c r="BV694">
        <f>IFERROR(INDEX(PP_Grid[#Data],$DD694,72),0)</f>
        <v/>
      </c>
      <c r="BW694">
        <f>IFERROR(INDEX(PP_Grid[#Data],$DD694,73),0)</f>
        <v/>
      </c>
      <c r="BX694">
        <f>IFERROR(INDEX(PP_Grid[#Data],$DD694,74),0)</f>
        <v/>
      </c>
      <c r="BY694">
        <f>IFERROR(INDEX(PP_Grid[#Data],$DD694,75),0)</f>
        <v/>
      </c>
      <c r="BZ694">
        <f>IFERROR(INDEX(PP_Grid[#Data],$DD694,76),0)</f>
        <v/>
      </c>
      <c r="CA694">
        <f>IFERROR(INDEX(PP_Grid[#Data],$DD694,77),0)</f>
        <v/>
      </c>
      <c r="CB694">
        <f>IFERROR(INDEX(PP_Grid[#Data],$DD694,78),0)</f>
        <v/>
      </c>
      <c r="CC694">
        <f>IFERROR(INDEX(PP_Grid[#Data],$DD694,79),0)</f>
        <v/>
      </c>
      <c r="CD694">
        <f>IFERROR(INDEX(PP_Grid[#Data],$DD694,80),0)</f>
        <v/>
      </c>
      <c r="CE694">
        <f>IFERROR(INDEX(PP_Grid[#Data],$DD694,81),0)</f>
        <v/>
      </c>
      <c r="CF694">
        <f>IFERROR(INDEX(PP_Grid[#Data],$DD694,82),0)</f>
        <v/>
      </c>
      <c r="CG694">
        <f>IFERROR(INDEX(PP_Grid[#Data],$DD694,83),0)</f>
        <v/>
      </c>
      <c r="CH694">
        <f>IFERROR(INDEX(PP_Grid[#Data],$DD694,84),0)</f>
        <v/>
      </c>
      <c r="CI694">
        <f>IFERROR(INDEX(PP_Grid[#Data],$DD694,85),0)</f>
        <v/>
      </c>
      <c r="CJ694">
        <f>IFERROR(INDEX(PP_Grid[#Data],$DD694,86),0)</f>
        <v/>
      </c>
      <c r="CK694">
        <f>IFERROR(INDEX(PP_Grid[#Data],$DD694,87),0)</f>
        <v/>
      </c>
      <c r="CL694">
        <f>IFERROR(INDEX(PP_Grid[#Data],$DD694,88),0)</f>
        <v/>
      </c>
      <c r="CM694">
        <f>IFERROR(INDEX(PP_Grid[#Data],$DD694,89),0)</f>
        <v/>
      </c>
      <c r="CN694">
        <f>IFERROR(INDEX(PP_Grid[#Data],$DD694,90),0)</f>
        <v/>
      </c>
      <c r="CO694">
        <f>IFERROR(INDEX(PP_Grid[#Data],$DD694,91),0)</f>
        <v/>
      </c>
      <c r="CP694">
        <f>IFERROR(INDEX(PP_Grid[#Data],$DD694,92),0)</f>
        <v/>
      </c>
      <c r="CQ694">
        <f>IFERROR(INDEX(PP_Grid[#Data],$DD694,93),0)</f>
        <v/>
      </c>
      <c r="CR694">
        <f>IFERROR(INDEX(PP_Grid[#Data],$DD694,94),0)</f>
        <v/>
      </c>
      <c r="CS694">
        <f>IFERROR(INDEX(PP_Grid[#Data],$DD694,95),0)</f>
        <v/>
      </c>
      <c r="CT694">
        <f>IFERROR(INDEX(PP_Grid[#Data],$DD694,96),0)</f>
        <v/>
      </c>
      <c r="CU694">
        <f>IFERROR(INDEX(PP_Grid[#Data],$DD694,97),0)</f>
        <v/>
      </c>
      <c r="CV694">
        <f>IFERROR(INDEX(PP_Grid[#Data],$DD694,98),0)</f>
        <v/>
      </c>
      <c r="CW694">
        <f>IFERROR(INDEX(PP_Grid[#Data],$DD694,99),0)</f>
        <v/>
      </c>
      <c r="CX694">
        <f>IFERROR(INDEX(PP_Grid[#Data],$DD694,100),0)</f>
        <v/>
      </c>
      <c r="CY694">
        <f>IFERROR(INDEX(PP_Grid[#Data],$DD694,101),0)</f>
        <v/>
      </c>
      <c r="CZ694">
        <f>IFERROR(INDEX(PP_Grid[#Data],$DD694,102),0)</f>
        <v/>
      </c>
      <c r="DA694">
        <f>IFERROR(INDEX(PP_Grid[#Data],$DD694,103),0)</f>
        <v/>
      </c>
      <c r="DB694">
        <f>IFERROR(INDEX(PP_Grid[#Data],$DD694,104),0)</f>
        <v/>
      </c>
      <c r="DC694">
        <f>IFERROR(INDEX(PP_Grid[#Data],$DD694,105),0)</f>
        <v/>
      </c>
      <c r="DD694" s="7">
        <f>IFERROR(MATCH($B694,PP_Grid[Intermediate],0),99999)</f>
        <v/>
      </c>
    </row>
    <row r="695">
      <c r="B695" t="inlineStr">
        <is>
          <t>使用量(kg)</t>
        </is>
      </c>
      <c r="C695">
        <f>SUMIFS(M_BOM[RM_Qty_Per_Batch],M_BOM[Intermediate],$B694,M_BOM[Part Name],$A681)</f>
        <v/>
      </c>
      <c r="D695">
        <f>$C695*D694</f>
        <v/>
      </c>
      <c r="E695">
        <f>$C695*E694</f>
        <v/>
      </c>
      <c r="F695">
        <f>$C695*F694</f>
        <v/>
      </c>
      <c r="G695">
        <f>$C695*G694</f>
        <v/>
      </c>
      <c r="H695">
        <f>$C695*H694</f>
        <v/>
      </c>
      <c r="I695">
        <f>$C695*I694</f>
        <v/>
      </c>
      <c r="J695">
        <f>$C695*J694</f>
        <v/>
      </c>
      <c r="K695">
        <f>$C695*K694</f>
        <v/>
      </c>
      <c r="L695">
        <f>$C695*L694</f>
        <v/>
      </c>
      <c r="M695">
        <f>$C695*M694</f>
        <v/>
      </c>
      <c r="N695">
        <f>$C695*N694</f>
        <v/>
      </c>
      <c r="O695">
        <f>$C695*O694</f>
        <v/>
      </c>
      <c r="P695">
        <f>$C695*P694</f>
        <v/>
      </c>
      <c r="Q695">
        <f>$C695*Q694</f>
        <v/>
      </c>
      <c r="R695">
        <f>$C695*R694</f>
        <v/>
      </c>
      <c r="S695">
        <f>$C695*S694</f>
        <v/>
      </c>
      <c r="T695">
        <f>$C695*T694</f>
        <v/>
      </c>
      <c r="U695">
        <f>$C695*U694</f>
        <v/>
      </c>
      <c r="V695">
        <f>$C695*V694</f>
        <v/>
      </c>
      <c r="W695">
        <f>$C695*W694</f>
        <v/>
      </c>
      <c r="X695">
        <f>$C695*X694</f>
        <v/>
      </c>
      <c r="Y695">
        <f>$C695*Y694</f>
        <v/>
      </c>
      <c r="Z695">
        <f>$C695*Z694</f>
        <v/>
      </c>
      <c r="AA695">
        <f>$C695*AA694</f>
        <v/>
      </c>
      <c r="AB695">
        <f>$C695*AB694</f>
        <v/>
      </c>
      <c r="AC695">
        <f>$C695*AC694</f>
        <v/>
      </c>
      <c r="AD695">
        <f>$C695*AD694</f>
        <v/>
      </c>
      <c r="AE695">
        <f>$C695*AE694</f>
        <v/>
      </c>
      <c r="AF695">
        <f>$C695*AF694</f>
        <v/>
      </c>
      <c r="AG695">
        <f>$C695*AG694</f>
        <v/>
      </c>
      <c r="AH695">
        <f>$C695*AH694</f>
        <v/>
      </c>
      <c r="AI695">
        <f>$C695*AI694</f>
        <v/>
      </c>
      <c r="AJ695">
        <f>$C695*AJ694</f>
        <v/>
      </c>
      <c r="AK695">
        <f>$C695*AK694</f>
        <v/>
      </c>
      <c r="AL695">
        <f>$C695*AL694</f>
        <v/>
      </c>
      <c r="AM695">
        <f>$C695*AM694</f>
        <v/>
      </c>
      <c r="AN695">
        <f>$C695*AN694</f>
        <v/>
      </c>
      <c r="AO695">
        <f>$C695*AO694</f>
        <v/>
      </c>
      <c r="AP695">
        <f>$C695*AP694</f>
        <v/>
      </c>
      <c r="AQ695">
        <f>$C695*AQ694</f>
        <v/>
      </c>
      <c r="AR695">
        <f>$C695*AR694</f>
        <v/>
      </c>
      <c r="AS695">
        <f>$C695*AS694</f>
        <v/>
      </c>
      <c r="AT695">
        <f>$C695*AT694</f>
        <v/>
      </c>
      <c r="AU695">
        <f>$C695*AU694</f>
        <v/>
      </c>
      <c r="AV695">
        <f>$C695*AV694</f>
        <v/>
      </c>
      <c r="AW695">
        <f>$C695*AW694</f>
        <v/>
      </c>
      <c r="AX695">
        <f>$C695*AX694</f>
        <v/>
      </c>
      <c r="AY695">
        <f>$C695*AY694</f>
        <v/>
      </c>
      <c r="AZ695">
        <f>$C695*AZ694</f>
        <v/>
      </c>
      <c r="BA695">
        <f>$C695*BA694</f>
        <v/>
      </c>
      <c r="BB695">
        <f>$C695*BB694</f>
        <v/>
      </c>
      <c r="BC695">
        <f>$C695*BC694</f>
        <v/>
      </c>
      <c r="BD695">
        <f>$C695*BD694</f>
        <v/>
      </c>
      <c r="BE695">
        <f>$C695*BE694</f>
        <v/>
      </c>
      <c r="BF695">
        <f>$C695*BF694</f>
        <v/>
      </c>
      <c r="BG695">
        <f>$C695*BG694</f>
        <v/>
      </c>
      <c r="BH695">
        <f>$C695*BH694</f>
        <v/>
      </c>
      <c r="BI695">
        <f>$C695*BI694</f>
        <v/>
      </c>
      <c r="BJ695">
        <f>$C695*BJ694</f>
        <v/>
      </c>
      <c r="BK695">
        <f>$C695*BK694</f>
        <v/>
      </c>
      <c r="BL695">
        <f>$C695*BL694</f>
        <v/>
      </c>
      <c r="BM695">
        <f>$C695*BM694</f>
        <v/>
      </c>
      <c r="BN695">
        <f>$C695*BN694</f>
        <v/>
      </c>
      <c r="BO695">
        <f>$C695*BO694</f>
        <v/>
      </c>
      <c r="BP695">
        <f>$C695*BP694</f>
        <v/>
      </c>
      <c r="BQ695">
        <f>$C695*BQ694</f>
        <v/>
      </c>
      <c r="BR695">
        <f>$C695*BR694</f>
        <v/>
      </c>
      <c r="BS695">
        <f>$C695*BS694</f>
        <v/>
      </c>
      <c r="BT695">
        <f>$C695*BT694</f>
        <v/>
      </c>
      <c r="BU695">
        <f>$C695*BU694</f>
        <v/>
      </c>
      <c r="BV695">
        <f>$C695*BV694</f>
        <v/>
      </c>
      <c r="BW695">
        <f>$C695*BW694</f>
        <v/>
      </c>
      <c r="BX695">
        <f>$C695*BX694</f>
        <v/>
      </c>
      <c r="BY695">
        <f>$C695*BY694</f>
        <v/>
      </c>
      <c r="BZ695">
        <f>$C695*BZ694</f>
        <v/>
      </c>
      <c r="CA695">
        <f>$C695*CA694</f>
        <v/>
      </c>
      <c r="CB695">
        <f>$C695*CB694</f>
        <v/>
      </c>
      <c r="CC695">
        <f>$C695*CC694</f>
        <v/>
      </c>
      <c r="CD695">
        <f>$C695*CD694</f>
        <v/>
      </c>
      <c r="CE695">
        <f>$C695*CE694</f>
        <v/>
      </c>
      <c r="CF695">
        <f>$C695*CF694</f>
        <v/>
      </c>
      <c r="CG695">
        <f>$C695*CG694</f>
        <v/>
      </c>
      <c r="CH695">
        <f>$C695*CH694</f>
        <v/>
      </c>
      <c r="CI695">
        <f>$C695*CI694</f>
        <v/>
      </c>
      <c r="CJ695">
        <f>$C695*CJ694</f>
        <v/>
      </c>
      <c r="CK695">
        <f>$C695*CK694</f>
        <v/>
      </c>
      <c r="CL695">
        <f>$C695*CL694</f>
        <v/>
      </c>
      <c r="CM695">
        <f>$C695*CM694</f>
        <v/>
      </c>
      <c r="CN695">
        <f>$C695*CN694</f>
        <v/>
      </c>
      <c r="CO695">
        <f>$C695*CO694</f>
        <v/>
      </c>
      <c r="CP695">
        <f>$C695*CP694</f>
        <v/>
      </c>
      <c r="CQ695">
        <f>$C695*CQ694</f>
        <v/>
      </c>
      <c r="CR695">
        <f>$C695*CR694</f>
        <v/>
      </c>
      <c r="CS695">
        <f>$C695*CS694</f>
        <v/>
      </c>
      <c r="CT695">
        <f>$C695*CT694</f>
        <v/>
      </c>
      <c r="CU695">
        <f>$C695*CU694</f>
        <v/>
      </c>
      <c r="CV695">
        <f>$C695*CV694</f>
        <v/>
      </c>
      <c r="CW695">
        <f>$C695*CW694</f>
        <v/>
      </c>
      <c r="CX695">
        <f>$C695*CX694</f>
        <v/>
      </c>
      <c r="CY695">
        <f>$C695*CY694</f>
        <v/>
      </c>
      <c r="CZ695">
        <f>$C695*CZ694</f>
        <v/>
      </c>
      <c r="DA695">
        <f>$C695*DA694</f>
        <v/>
      </c>
      <c r="DB695">
        <f>$C695*DB694</f>
        <v/>
      </c>
      <c r="DC695">
        <f>$C695*DC694</f>
        <v/>
      </c>
    </row>
    <row r="696">
      <c r="B696" t="inlineStr">
        <is>
          <t>TSP-1448</t>
        </is>
      </c>
      <c r="C696" t="inlineStr">
        <is>
          <t>No. of batches</t>
        </is>
      </c>
      <c r="D696">
        <f>IFERROR(INDEX(PP_Grid[#Data],$DD696,2),0)</f>
        <v/>
      </c>
      <c r="E696">
        <f>IFERROR(INDEX(PP_Grid[#Data],$DD696,3),0)</f>
        <v/>
      </c>
      <c r="F696">
        <f>IFERROR(INDEX(PP_Grid[#Data],$DD696,4),0)</f>
        <v/>
      </c>
      <c r="G696">
        <f>IFERROR(INDEX(PP_Grid[#Data],$DD696,5),0)</f>
        <v/>
      </c>
      <c r="H696">
        <f>IFERROR(INDEX(PP_Grid[#Data],$DD696,6),0)</f>
        <v/>
      </c>
      <c r="I696">
        <f>IFERROR(INDEX(PP_Grid[#Data],$DD696,7),0)</f>
        <v/>
      </c>
      <c r="J696">
        <f>IFERROR(INDEX(PP_Grid[#Data],$DD696,8),0)</f>
        <v/>
      </c>
      <c r="K696">
        <f>IFERROR(INDEX(PP_Grid[#Data],$DD696,9),0)</f>
        <v/>
      </c>
      <c r="L696">
        <f>IFERROR(INDEX(PP_Grid[#Data],$DD696,10),0)</f>
        <v/>
      </c>
      <c r="M696">
        <f>IFERROR(INDEX(PP_Grid[#Data],$DD696,11),0)</f>
        <v/>
      </c>
      <c r="N696">
        <f>IFERROR(INDEX(PP_Grid[#Data],$DD696,12),0)</f>
        <v/>
      </c>
      <c r="O696">
        <f>IFERROR(INDEX(PP_Grid[#Data],$DD696,13),0)</f>
        <v/>
      </c>
      <c r="P696">
        <f>IFERROR(INDEX(PP_Grid[#Data],$DD696,14),0)</f>
        <v/>
      </c>
      <c r="Q696">
        <f>IFERROR(INDEX(PP_Grid[#Data],$DD696,15),0)</f>
        <v/>
      </c>
      <c r="R696">
        <f>IFERROR(INDEX(PP_Grid[#Data],$DD696,16),0)</f>
        <v/>
      </c>
      <c r="S696">
        <f>IFERROR(INDEX(PP_Grid[#Data],$DD696,17),0)</f>
        <v/>
      </c>
      <c r="T696">
        <f>IFERROR(INDEX(PP_Grid[#Data],$DD696,18),0)</f>
        <v/>
      </c>
      <c r="U696">
        <f>IFERROR(INDEX(PP_Grid[#Data],$DD696,19),0)</f>
        <v/>
      </c>
      <c r="V696">
        <f>IFERROR(INDEX(PP_Grid[#Data],$DD696,20),0)</f>
        <v/>
      </c>
      <c r="W696">
        <f>IFERROR(INDEX(PP_Grid[#Data],$DD696,21),0)</f>
        <v/>
      </c>
      <c r="X696">
        <f>IFERROR(INDEX(PP_Grid[#Data],$DD696,22),0)</f>
        <v/>
      </c>
      <c r="Y696">
        <f>IFERROR(INDEX(PP_Grid[#Data],$DD696,23),0)</f>
        <v/>
      </c>
      <c r="Z696">
        <f>IFERROR(INDEX(PP_Grid[#Data],$DD696,24),0)</f>
        <v/>
      </c>
      <c r="AA696">
        <f>IFERROR(INDEX(PP_Grid[#Data],$DD696,25),0)</f>
        <v/>
      </c>
      <c r="AB696">
        <f>IFERROR(INDEX(PP_Grid[#Data],$DD696,26),0)</f>
        <v/>
      </c>
      <c r="AC696">
        <f>IFERROR(INDEX(PP_Grid[#Data],$DD696,27),0)</f>
        <v/>
      </c>
      <c r="AD696">
        <f>IFERROR(INDEX(PP_Grid[#Data],$DD696,28),0)</f>
        <v/>
      </c>
      <c r="AE696">
        <f>IFERROR(INDEX(PP_Grid[#Data],$DD696,29),0)</f>
        <v/>
      </c>
      <c r="AF696">
        <f>IFERROR(INDEX(PP_Grid[#Data],$DD696,30),0)</f>
        <v/>
      </c>
      <c r="AG696">
        <f>IFERROR(INDEX(PP_Grid[#Data],$DD696,31),0)</f>
        <v/>
      </c>
      <c r="AH696">
        <f>IFERROR(INDEX(PP_Grid[#Data],$DD696,32),0)</f>
        <v/>
      </c>
      <c r="AI696">
        <f>IFERROR(INDEX(PP_Grid[#Data],$DD696,33),0)</f>
        <v/>
      </c>
      <c r="AJ696">
        <f>IFERROR(INDEX(PP_Grid[#Data],$DD696,34),0)</f>
        <v/>
      </c>
      <c r="AK696">
        <f>IFERROR(INDEX(PP_Grid[#Data],$DD696,35),0)</f>
        <v/>
      </c>
      <c r="AL696">
        <f>IFERROR(INDEX(PP_Grid[#Data],$DD696,36),0)</f>
        <v/>
      </c>
      <c r="AM696">
        <f>IFERROR(INDEX(PP_Grid[#Data],$DD696,37),0)</f>
        <v/>
      </c>
      <c r="AN696">
        <f>IFERROR(INDEX(PP_Grid[#Data],$DD696,38),0)</f>
        <v/>
      </c>
      <c r="AO696">
        <f>IFERROR(INDEX(PP_Grid[#Data],$DD696,39),0)</f>
        <v/>
      </c>
      <c r="AP696">
        <f>IFERROR(INDEX(PP_Grid[#Data],$DD696,40),0)</f>
        <v/>
      </c>
      <c r="AQ696">
        <f>IFERROR(INDEX(PP_Grid[#Data],$DD696,41),0)</f>
        <v/>
      </c>
      <c r="AR696">
        <f>IFERROR(INDEX(PP_Grid[#Data],$DD696,42),0)</f>
        <v/>
      </c>
      <c r="AS696">
        <f>IFERROR(INDEX(PP_Grid[#Data],$DD696,43),0)</f>
        <v/>
      </c>
      <c r="AT696">
        <f>IFERROR(INDEX(PP_Grid[#Data],$DD696,44),0)</f>
        <v/>
      </c>
      <c r="AU696">
        <f>IFERROR(INDEX(PP_Grid[#Data],$DD696,45),0)</f>
        <v/>
      </c>
      <c r="AV696">
        <f>IFERROR(INDEX(PP_Grid[#Data],$DD696,46),0)</f>
        <v/>
      </c>
      <c r="AW696">
        <f>IFERROR(INDEX(PP_Grid[#Data],$DD696,47),0)</f>
        <v/>
      </c>
      <c r="AX696">
        <f>IFERROR(INDEX(PP_Grid[#Data],$DD696,48),0)</f>
        <v/>
      </c>
      <c r="AY696">
        <f>IFERROR(INDEX(PP_Grid[#Data],$DD696,49),0)</f>
        <v/>
      </c>
      <c r="AZ696">
        <f>IFERROR(INDEX(PP_Grid[#Data],$DD696,50),0)</f>
        <v/>
      </c>
      <c r="BA696">
        <f>IFERROR(INDEX(PP_Grid[#Data],$DD696,51),0)</f>
        <v/>
      </c>
      <c r="BB696">
        <f>IFERROR(INDEX(PP_Grid[#Data],$DD696,52),0)</f>
        <v/>
      </c>
      <c r="BC696">
        <f>IFERROR(INDEX(PP_Grid[#Data],$DD696,53),0)</f>
        <v/>
      </c>
      <c r="BD696">
        <f>IFERROR(INDEX(PP_Grid[#Data],$DD696,54),0)</f>
        <v/>
      </c>
      <c r="BE696">
        <f>IFERROR(INDEX(PP_Grid[#Data],$DD696,55),0)</f>
        <v/>
      </c>
      <c r="BF696">
        <f>IFERROR(INDEX(PP_Grid[#Data],$DD696,56),0)</f>
        <v/>
      </c>
      <c r="BG696">
        <f>IFERROR(INDEX(PP_Grid[#Data],$DD696,57),0)</f>
        <v/>
      </c>
      <c r="BH696">
        <f>IFERROR(INDEX(PP_Grid[#Data],$DD696,58),0)</f>
        <v/>
      </c>
      <c r="BI696">
        <f>IFERROR(INDEX(PP_Grid[#Data],$DD696,59),0)</f>
        <v/>
      </c>
      <c r="BJ696">
        <f>IFERROR(INDEX(PP_Grid[#Data],$DD696,60),0)</f>
        <v/>
      </c>
      <c r="BK696">
        <f>IFERROR(INDEX(PP_Grid[#Data],$DD696,61),0)</f>
        <v/>
      </c>
      <c r="BL696">
        <f>IFERROR(INDEX(PP_Grid[#Data],$DD696,62),0)</f>
        <v/>
      </c>
      <c r="BM696">
        <f>IFERROR(INDEX(PP_Grid[#Data],$DD696,63),0)</f>
        <v/>
      </c>
      <c r="BN696">
        <f>IFERROR(INDEX(PP_Grid[#Data],$DD696,64),0)</f>
        <v/>
      </c>
      <c r="BO696">
        <f>IFERROR(INDEX(PP_Grid[#Data],$DD696,65),0)</f>
        <v/>
      </c>
      <c r="BP696">
        <f>IFERROR(INDEX(PP_Grid[#Data],$DD696,66),0)</f>
        <v/>
      </c>
      <c r="BQ696">
        <f>IFERROR(INDEX(PP_Grid[#Data],$DD696,67),0)</f>
        <v/>
      </c>
      <c r="BR696">
        <f>IFERROR(INDEX(PP_Grid[#Data],$DD696,68),0)</f>
        <v/>
      </c>
      <c r="BS696">
        <f>IFERROR(INDEX(PP_Grid[#Data],$DD696,69),0)</f>
        <v/>
      </c>
      <c r="BT696">
        <f>IFERROR(INDEX(PP_Grid[#Data],$DD696,70),0)</f>
        <v/>
      </c>
      <c r="BU696">
        <f>IFERROR(INDEX(PP_Grid[#Data],$DD696,71),0)</f>
        <v/>
      </c>
      <c r="BV696">
        <f>IFERROR(INDEX(PP_Grid[#Data],$DD696,72),0)</f>
        <v/>
      </c>
      <c r="BW696">
        <f>IFERROR(INDEX(PP_Grid[#Data],$DD696,73),0)</f>
        <v/>
      </c>
      <c r="BX696">
        <f>IFERROR(INDEX(PP_Grid[#Data],$DD696,74),0)</f>
        <v/>
      </c>
      <c r="BY696">
        <f>IFERROR(INDEX(PP_Grid[#Data],$DD696,75),0)</f>
        <v/>
      </c>
      <c r="BZ696">
        <f>IFERROR(INDEX(PP_Grid[#Data],$DD696,76),0)</f>
        <v/>
      </c>
      <c r="CA696">
        <f>IFERROR(INDEX(PP_Grid[#Data],$DD696,77),0)</f>
        <v/>
      </c>
      <c r="CB696">
        <f>IFERROR(INDEX(PP_Grid[#Data],$DD696,78),0)</f>
        <v/>
      </c>
      <c r="CC696">
        <f>IFERROR(INDEX(PP_Grid[#Data],$DD696,79),0)</f>
        <v/>
      </c>
      <c r="CD696">
        <f>IFERROR(INDEX(PP_Grid[#Data],$DD696,80),0)</f>
        <v/>
      </c>
      <c r="CE696">
        <f>IFERROR(INDEX(PP_Grid[#Data],$DD696,81),0)</f>
        <v/>
      </c>
      <c r="CF696">
        <f>IFERROR(INDEX(PP_Grid[#Data],$DD696,82),0)</f>
        <v/>
      </c>
      <c r="CG696">
        <f>IFERROR(INDEX(PP_Grid[#Data],$DD696,83),0)</f>
        <v/>
      </c>
      <c r="CH696">
        <f>IFERROR(INDEX(PP_Grid[#Data],$DD696,84),0)</f>
        <v/>
      </c>
      <c r="CI696">
        <f>IFERROR(INDEX(PP_Grid[#Data],$DD696,85),0)</f>
        <v/>
      </c>
      <c r="CJ696">
        <f>IFERROR(INDEX(PP_Grid[#Data],$DD696,86),0)</f>
        <v/>
      </c>
      <c r="CK696">
        <f>IFERROR(INDEX(PP_Grid[#Data],$DD696,87),0)</f>
        <v/>
      </c>
      <c r="CL696">
        <f>IFERROR(INDEX(PP_Grid[#Data],$DD696,88),0)</f>
        <v/>
      </c>
      <c r="CM696">
        <f>IFERROR(INDEX(PP_Grid[#Data],$DD696,89),0)</f>
        <v/>
      </c>
      <c r="CN696">
        <f>IFERROR(INDEX(PP_Grid[#Data],$DD696,90),0)</f>
        <v/>
      </c>
      <c r="CO696">
        <f>IFERROR(INDEX(PP_Grid[#Data],$DD696,91),0)</f>
        <v/>
      </c>
      <c r="CP696">
        <f>IFERROR(INDEX(PP_Grid[#Data],$DD696,92),0)</f>
        <v/>
      </c>
      <c r="CQ696">
        <f>IFERROR(INDEX(PP_Grid[#Data],$DD696,93),0)</f>
        <v/>
      </c>
      <c r="CR696">
        <f>IFERROR(INDEX(PP_Grid[#Data],$DD696,94),0)</f>
        <v/>
      </c>
      <c r="CS696">
        <f>IFERROR(INDEX(PP_Grid[#Data],$DD696,95),0)</f>
        <v/>
      </c>
      <c r="CT696">
        <f>IFERROR(INDEX(PP_Grid[#Data],$DD696,96),0)</f>
        <v/>
      </c>
      <c r="CU696">
        <f>IFERROR(INDEX(PP_Grid[#Data],$DD696,97),0)</f>
        <v/>
      </c>
      <c r="CV696">
        <f>IFERROR(INDEX(PP_Grid[#Data],$DD696,98),0)</f>
        <v/>
      </c>
      <c r="CW696">
        <f>IFERROR(INDEX(PP_Grid[#Data],$DD696,99),0)</f>
        <v/>
      </c>
      <c r="CX696">
        <f>IFERROR(INDEX(PP_Grid[#Data],$DD696,100),0)</f>
        <v/>
      </c>
      <c r="CY696">
        <f>IFERROR(INDEX(PP_Grid[#Data],$DD696,101),0)</f>
        <v/>
      </c>
      <c r="CZ696">
        <f>IFERROR(INDEX(PP_Grid[#Data],$DD696,102),0)</f>
        <v/>
      </c>
      <c r="DA696">
        <f>IFERROR(INDEX(PP_Grid[#Data],$DD696,103),0)</f>
        <v/>
      </c>
      <c r="DB696">
        <f>IFERROR(INDEX(PP_Grid[#Data],$DD696,104),0)</f>
        <v/>
      </c>
      <c r="DC696">
        <f>IFERROR(INDEX(PP_Grid[#Data],$DD696,105),0)</f>
        <v/>
      </c>
      <c r="DD696" s="7">
        <f>IFERROR(MATCH($B696,PP_Grid[Intermediate],0),99999)</f>
        <v/>
      </c>
    </row>
    <row r="697">
      <c r="B697" t="inlineStr">
        <is>
          <t>使用量(kg)</t>
        </is>
      </c>
      <c r="C697">
        <f>SUMIFS(M_BOM[RM_Qty_Per_Batch],M_BOM[Intermediate],$B696,M_BOM[Part Name],$A681)</f>
        <v/>
      </c>
      <c r="D697">
        <f>$C697*D696</f>
        <v/>
      </c>
      <c r="E697">
        <f>$C697*E696</f>
        <v/>
      </c>
      <c r="F697">
        <f>$C697*F696</f>
        <v/>
      </c>
      <c r="G697">
        <f>$C697*G696</f>
        <v/>
      </c>
      <c r="H697">
        <f>$C697*H696</f>
        <v/>
      </c>
      <c r="I697">
        <f>$C697*I696</f>
        <v/>
      </c>
      <c r="J697">
        <f>$C697*J696</f>
        <v/>
      </c>
      <c r="K697">
        <f>$C697*K696</f>
        <v/>
      </c>
      <c r="L697">
        <f>$C697*L696</f>
        <v/>
      </c>
      <c r="M697">
        <f>$C697*M696</f>
        <v/>
      </c>
      <c r="N697">
        <f>$C697*N696</f>
        <v/>
      </c>
      <c r="O697">
        <f>$C697*O696</f>
        <v/>
      </c>
      <c r="P697">
        <f>$C697*P696</f>
        <v/>
      </c>
      <c r="Q697">
        <f>$C697*Q696</f>
        <v/>
      </c>
      <c r="R697">
        <f>$C697*R696</f>
        <v/>
      </c>
      <c r="S697">
        <f>$C697*S696</f>
        <v/>
      </c>
      <c r="T697">
        <f>$C697*T696</f>
        <v/>
      </c>
      <c r="U697">
        <f>$C697*U696</f>
        <v/>
      </c>
      <c r="V697">
        <f>$C697*V696</f>
        <v/>
      </c>
      <c r="W697">
        <f>$C697*W696</f>
        <v/>
      </c>
      <c r="X697">
        <f>$C697*X696</f>
        <v/>
      </c>
      <c r="Y697">
        <f>$C697*Y696</f>
        <v/>
      </c>
      <c r="Z697">
        <f>$C697*Z696</f>
        <v/>
      </c>
      <c r="AA697">
        <f>$C697*AA696</f>
        <v/>
      </c>
      <c r="AB697">
        <f>$C697*AB696</f>
        <v/>
      </c>
      <c r="AC697">
        <f>$C697*AC696</f>
        <v/>
      </c>
      <c r="AD697">
        <f>$C697*AD696</f>
        <v/>
      </c>
      <c r="AE697">
        <f>$C697*AE696</f>
        <v/>
      </c>
      <c r="AF697">
        <f>$C697*AF696</f>
        <v/>
      </c>
      <c r="AG697">
        <f>$C697*AG696</f>
        <v/>
      </c>
      <c r="AH697">
        <f>$C697*AH696</f>
        <v/>
      </c>
      <c r="AI697">
        <f>$C697*AI696</f>
        <v/>
      </c>
      <c r="AJ697">
        <f>$C697*AJ696</f>
        <v/>
      </c>
      <c r="AK697">
        <f>$C697*AK696</f>
        <v/>
      </c>
      <c r="AL697">
        <f>$C697*AL696</f>
        <v/>
      </c>
      <c r="AM697">
        <f>$C697*AM696</f>
        <v/>
      </c>
      <c r="AN697">
        <f>$C697*AN696</f>
        <v/>
      </c>
      <c r="AO697">
        <f>$C697*AO696</f>
        <v/>
      </c>
      <c r="AP697">
        <f>$C697*AP696</f>
        <v/>
      </c>
      <c r="AQ697">
        <f>$C697*AQ696</f>
        <v/>
      </c>
      <c r="AR697">
        <f>$C697*AR696</f>
        <v/>
      </c>
      <c r="AS697">
        <f>$C697*AS696</f>
        <v/>
      </c>
      <c r="AT697">
        <f>$C697*AT696</f>
        <v/>
      </c>
      <c r="AU697">
        <f>$C697*AU696</f>
        <v/>
      </c>
      <c r="AV697">
        <f>$C697*AV696</f>
        <v/>
      </c>
      <c r="AW697">
        <f>$C697*AW696</f>
        <v/>
      </c>
      <c r="AX697">
        <f>$C697*AX696</f>
        <v/>
      </c>
      <c r="AY697">
        <f>$C697*AY696</f>
        <v/>
      </c>
      <c r="AZ697">
        <f>$C697*AZ696</f>
        <v/>
      </c>
      <c r="BA697">
        <f>$C697*BA696</f>
        <v/>
      </c>
      <c r="BB697">
        <f>$C697*BB696</f>
        <v/>
      </c>
      <c r="BC697">
        <f>$C697*BC696</f>
        <v/>
      </c>
      <c r="BD697">
        <f>$C697*BD696</f>
        <v/>
      </c>
      <c r="BE697">
        <f>$C697*BE696</f>
        <v/>
      </c>
      <c r="BF697">
        <f>$C697*BF696</f>
        <v/>
      </c>
      <c r="BG697">
        <f>$C697*BG696</f>
        <v/>
      </c>
      <c r="BH697">
        <f>$C697*BH696</f>
        <v/>
      </c>
      <c r="BI697">
        <f>$C697*BI696</f>
        <v/>
      </c>
      <c r="BJ697">
        <f>$C697*BJ696</f>
        <v/>
      </c>
      <c r="BK697">
        <f>$C697*BK696</f>
        <v/>
      </c>
      <c r="BL697">
        <f>$C697*BL696</f>
        <v/>
      </c>
      <c r="BM697">
        <f>$C697*BM696</f>
        <v/>
      </c>
      <c r="BN697">
        <f>$C697*BN696</f>
        <v/>
      </c>
      <c r="BO697">
        <f>$C697*BO696</f>
        <v/>
      </c>
      <c r="BP697">
        <f>$C697*BP696</f>
        <v/>
      </c>
      <c r="BQ697">
        <f>$C697*BQ696</f>
        <v/>
      </c>
      <c r="BR697">
        <f>$C697*BR696</f>
        <v/>
      </c>
      <c r="BS697">
        <f>$C697*BS696</f>
        <v/>
      </c>
      <c r="BT697">
        <f>$C697*BT696</f>
        <v/>
      </c>
      <c r="BU697">
        <f>$C697*BU696</f>
        <v/>
      </c>
      <c r="BV697">
        <f>$C697*BV696</f>
        <v/>
      </c>
      <c r="BW697">
        <f>$C697*BW696</f>
        <v/>
      </c>
      <c r="BX697">
        <f>$C697*BX696</f>
        <v/>
      </c>
      <c r="BY697">
        <f>$C697*BY696</f>
        <v/>
      </c>
      <c r="BZ697">
        <f>$C697*BZ696</f>
        <v/>
      </c>
      <c r="CA697">
        <f>$C697*CA696</f>
        <v/>
      </c>
      <c r="CB697">
        <f>$C697*CB696</f>
        <v/>
      </c>
      <c r="CC697">
        <f>$C697*CC696</f>
        <v/>
      </c>
      <c r="CD697">
        <f>$C697*CD696</f>
        <v/>
      </c>
      <c r="CE697">
        <f>$C697*CE696</f>
        <v/>
      </c>
      <c r="CF697">
        <f>$C697*CF696</f>
        <v/>
      </c>
      <c r="CG697">
        <f>$C697*CG696</f>
        <v/>
      </c>
      <c r="CH697">
        <f>$C697*CH696</f>
        <v/>
      </c>
      <c r="CI697">
        <f>$C697*CI696</f>
        <v/>
      </c>
      <c r="CJ697">
        <f>$C697*CJ696</f>
        <v/>
      </c>
      <c r="CK697">
        <f>$C697*CK696</f>
        <v/>
      </c>
      <c r="CL697">
        <f>$C697*CL696</f>
        <v/>
      </c>
      <c r="CM697">
        <f>$C697*CM696</f>
        <v/>
      </c>
      <c r="CN697">
        <f>$C697*CN696</f>
        <v/>
      </c>
      <c r="CO697">
        <f>$C697*CO696</f>
        <v/>
      </c>
      <c r="CP697">
        <f>$C697*CP696</f>
        <v/>
      </c>
      <c r="CQ697">
        <f>$C697*CQ696</f>
        <v/>
      </c>
      <c r="CR697">
        <f>$C697*CR696</f>
        <v/>
      </c>
      <c r="CS697">
        <f>$C697*CS696</f>
        <v/>
      </c>
      <c r="CT697">
        <f>$C697*CT696</f>
        <v/>
      </c>
      <c r="CU697">
        <f>$C697*CU696</f>
        <v/>
      </c>
      <c r="CV697">
        <f>$C697*CV696</f>
        <v/>
      </c>
      <c r="CW697">
        <f>$C697*CW696</f>
        <v/>
      </c>
      <c r="CX697">
        <f>$C697*CX696</f>
        <v/>
      </c>
      <c r="CY697">
        <f>$C697*CY696</f>
        <v/>
      </c>
      <c r="CZ697">
        <f>$C697*CZ696</f>
        <v/>
      </c>
      <c r="DA697">
        <f>$C697*DA696</f>
        <v/>
      </c>
      <c r="DB697">
        <f>$C697*DB696</f>
        <v/>
      </c>
      <c r="DC697">
        <f>$C697*DC696</f>
        <v/>
      </c>
    </row>
    <row r="698">
      <c r="B698" t="inlineStr">
        <is>
          <t>TSP-1449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Name],$A681)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TSP-1558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Name],$A681)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s="4" t="inlineStr">
        <is>
          <t>合計使用量(kg)/週</t>
        </is>
      </c>
      <c r="D702">
        <f>'Grid_Requirement'!B21</f>
        <v/>
      </c>
      <c r="E702">
        <f>'Grid_Requirement'!C21</f>
        <v/>
      </c>
      <c r="F702">
        <f>'Grid_Requirement'!D21</f>
        <v/>
      </c>
      <c r="G702">
        <f>'Grid_Requirement'!E21</f>
        <v/>
      </c>
      <c r="H702">
        <f>'Grid_Requirement'!F21</f>
        <v/>
      </c>
      <c r="I702">
        <f>'Grid_Requirement'!G21</f>
        <v/>
      </c>
      <c r="J702">
        <f>'Grid_Requirement'!H21</f>
        <v/>
      </c>
      <c r="K702">
        <f>'Grid_Requirement'!I21</f>
        <v/>
      </c>
      <c r="L702">
        <f>'Grid_Requirement'!J21</f>
        <v/>
      </c>
      <c r="M702">
        <f>'Grid_Requirement'!K21</f>
        <v/>
      </c>
      <c r="N702">
        <f>'Grid_Requirement'!L21</f>
        <v/>
      </c>
      <c r="O702">
        <f>'Grid_Requirement'!M21</f>
        <v/>
      </c>
      <c r="P702">
        <f>'Grid_Requirement'!N21</f>
        <v/>
      </c>
      <c r="Q702">
        <f>'Grid_Requirement'!O21</f>
        <v/>
      </c>
      <c r="R702">
        <f>'Grid_Requirement'!P21</f>
        <v/>
      </c>
      <c r="S702">
        <f>'Grid_Requirement'!Q21</f>
        <v/>
      </c>
      <c r="T702">
        <f>'Grid_Requirement'!R21</f>
        <v/>
      </c>
      <c r="U702">
        <f>'Grid_Requirement'!S21</f>
        <v/>
      </c>
      <c r="V702">
        <f>'Grid_Requirement'!T21</f>
        <v/>
      </c>
      <c r="W702">
        <f>'Grid_Requirement'!U21</f>
        <v/>
      </c>
      <c r="X702">
        <f>'Grid_Requirement'!V21</f>
        <v/>
      </c>
      <c r="Y702">
        <f>'Grid_Requirement'!W21</f>
        <v/>
      </c>
      <c r="Z702">
        <f>'Grid_Requirement'!X21</f>
        <v/>
      </c>
      <c r="AA702">
        <f>'Grid_Requirement'!Y21</f>
        <v/>
      </c>
      <c r="AB702">
        <f>'Grid_Requirement'!Z21</f>
        <v/>
      </c>
      <c r="AC702">
        <f>'Grid_Requirement'!AA21</f>
        <v/>
      </c>
      <c r="AD702">
        <f>'Grid_Requirement'!AB21</f>
        <v/>
      </c>
      <c r="AE702">
        <f>'Grid_Requirement'!AC21</f>
        <v/>
      </c>
      <c r="AF702">
        <f>'Grid_Requirement'!AD21</f>
        <v/>
      </c>
      <c r="AG702">
        <f>'Grid_Requirement'!AE21</f>
        <v/>
      </c>
      <c r="AH702">
        <f>'Grid_Requirement'!AF21</f>
        <v/>
      </c>
      <c r="AI702">
        <f>'Grid_Requirement'!AG21</f>
        <v/>
      </c>
      <c r="AJ702">
        <f>'Grid_Requirement'!AH21</f>
        <v/>
      </c>
      <c r="AK702">
        <f>'Grid_Requirement'!AI21</f>
        <v/>
      </c>
      <c r="AL702">
        <f>'Grid_Requirement'!AJ21</f>
        <v/>
      </c>
      <c r="AM702">
        <f>'Grid_Requirement'!AK21</f>
        <v/>
      </c>
      <c r="AN702">
        <f>'Grid_Requirement'!AL21</f>
        <v/>
      </c>
      <c r="AO702">
        <f>'Grid_Requirement'!AM21</f>
        <v/>
      </c>
      <c r="AP702">
        <f>'Grid_Requirement'!AN21</f>
        <v/>
      </c>
      <c r="AQ702">
        <f>'Grid_Requirement'!AO21</f>
        <v/>
      </c>
      <c r="AR702">
        <f>'Grid_Requirement'!AP21</f>
        <v/>
      </c>
      <c r="AS702">
        <f>'Grid_Requirement'!AQ21</f>
        <v/>
      </c>
      <c r="AT702">
        <f>'Grid_Requirement'!AR21</f>
        <v/>
      </c>
      <c r="AU702">
        <f>'Grid_Requirement'!AS21</f>
        <v/>
      </c>
      <c r="AV702">
        <f>'Grid_Requirement'!AT21</f>
        <v/>
      </c>
      <c r="AW702">
        <f>'Grid_Requirement'!AU21</f>
        <v/>
      </c>
      <c r="AX702">
        <f>'Grid_Requirement'!AV21</f>
        <v/>
      </c>
      <c r="AY702">
        <f>'Grid_Requirement'!AW21</f>
        <v/>
      </c>
      <c r="AZ702">
        <f>'Grid_Requirement'!AX21</f>
        <v/>
      </c>
      <c r="BA702">
        <f>'Grid_Requirement'!AY21</f>
        <v/>
      </c>
      <c r="BB702">
        <f>'Grid_Requirement'!AZ21</f>
        <v/>
      </c>
      <c r="BC702">
        <f>'Grid_Requirement'!BA21</f>
        <v/>
      </c>
      <c r="BD702">
        <f>'Grid_Requirement'!BB21</f>
        <v/>
      </c>
      <c r="BE702">
        <f>'Grid_Requirement'!BC21</f>
        <v/>
      </c>
      <c r="BF702">
        <f>'Grid_Requirement'!BD21</f>
        <v/>
      </c>
      <c r="BG702">
        <f>'Grid_Requirement'!BE21</f>
        <v/>
      </c>
      <c r="BH702">
        <f>'Grid_Requirement'!BF21</f>
        <v/>
      </c>
      <c r="BI702">
        <f>'Grid_Requirement'!BG21</f>
        <v/>
      </c>
      <c r="BJ702">
        <f>'Grid_Requirement'!BH21</f>
        <v/>
      </c>
      <c r="BK702">
        <f>'Grid_Requirement'!BI21</f>
        <v/>
      </c>
      <c r="BL702">
        <f>'Grid_Requirement'!BJ21</f>
        <v/>
      </c>
      <c r="BM702">
        <f>'Grid_Requirement'!BK21</f>
        <v/>
      </c>
      <c r="BN702">
        <f>'Grid_Requirement'!BL21</f>
        <v/>
      </c>
      <c r="BO702">
        <f>'Grid_Requirement'!BM21</f>
        <v/>
      </c>
      <c r="BP702">
        <f>'Grid_Requirement'!BN21</f>
        <v/>
      </c>
      <c r="BQ702">
        <f>'Grid_Requirement'!BO21</f>
        <v/>
      </c>
      <c r="BR702">
        <f>'Grid_Requirement'!BP21</f>
        <v/>
      </c>
      <c r="BS702">
        <f>'Grid_Requirement'!BQ21</f>
        <v/>
      </c>
      <c r="BT702">
        <f>'Grid_Requirement'!BR21</f>
        <v/>
      </c>
      <c r="BU702">
        <f>'Grid_Requirement'!BS21</f>
        <v/>
      </c>
      <c r="BV702">
        <f>'Grid_Requirement'!BT21</f>
        <v/>
      </c>
      <c r="BW702">
        <f>'Grid_Requirement'!BU21</f>
        <v/>
      </c>
      <c r="BX702">
        <f>'Grid_Requirement'!BV21</f>
        <v/>
      </c>
      <c r="BY702">
        <f>'Grid_Requirement'!BW21</f>
        <v/>
      </c>
      <c r="BZ702">
        <f>'Grid_Requirement'!BX21</f>
        <v/>
      </c>
      <c r="CA702">
        <f>'Grid_Requirement'!BY21</f>
        <v/>
      </c>
      <c r="CB702">
        <f>'Grid_Requirement'!BZ21</f>
        <v/>
      </c>
      <c r="CC702">
        <f>'Grid_Requirement'!CA21</f>
        <v/>
      </c>
      <c r="CD702">
        <f>'Grid_Requirement'!CB21</f>
        <v/>
      </c>
      <c r="CE702">
        <f>'Grid_Requirement'!CC21</f>
        <v/>
      </c>
      <c r="CF702">
        <f>'Grid_Requirement'!CD21</f>
        <v/>
      </c>
      <c r="CG702">
        <f>'Grid_Requirement'!CE21</f>
        <v/>
      </c>
      <c r="CH702">
        <f>'Grid_Requirement'!CF21</f>
        <v/>
      </c>
      <c r="CI702">
        <f>'Grid_Requirement'!CG21</f>
        <v/>
      </c>
      <c r="CJ702">
        <f>'Grid_Requirement'!CH21</f>
        <v/>
      </c>
      <c r="CK702">
        <f>'Grid_Requirement'!CI21</f>
        <v/>
      </c>
      <c r="CL702">
        <f>'Grid_Requirement'!CJ21</f>
        <v/>
      </c>
      <c r="CM702">
        <f>'Grid_Requirement'!CK21</f>
        <v/>
      </c>
      <c r="CN702">
        <f>'Grid_Requirement'!CL21</f>
        <v/>
      </c>
      <c r="CO702">
        <f>'Grid_Requirement'!CM21</f>
        <v/>
      </c>
      <c r="CP702">
        <f>'Grid_Requirement'!CN21</f>
        <v/>
      </c>
      <c r="CQ702">
        <f>'Grid_Requirement'!CO21</f>
        <v/>
      </c>
      <c r="CR702">
        <f>'Grid_Requirement'!CP21</f>
        <v/>
      </c>
      <c r="CS702">
        <f>'Grid_Requirement'!CQ21</f>
        <v/>
      </c>
      <c r="CT702">
        <f>'Grid_Requirement'!CR21</f>
        <v/>
      </c>
      <c r="CU702">
        <f>'Grid_Requirement'!CS21</f>
        <v/>
      </c>
      <c r="CV702">
        <f>'Grid_Requirement'!CT21</f>
        <v/>
      </c>
      <c r="CW702">
        <f>'Grid_Requirement'!CU21</f>
        <v/>
      </c>
      <c r="CX702">
        <f>'Grid_Requirement'!CV21</f>
        <v/>
      </c>
      <c r="CY702">
        <f>'Grid_Requirement'!CW21</f>
        <v/>
      </c>
      <c r="CZ702">
        <f>'Grid_Requirement'!CX21</f>
        <v/>
      </c>
      <c r="DA702">
        <f>'Grid_Requirement'!CY21</f>
        <v/>
      </c>
      <c r="DB702">
        <f>'Grid_Requirement'!CZ21</f>
        <v/>
      </c>
      <c r="DC702">
        <f>'Grid_Requirement'!DA21</f>
        <v/>
      </c>
    </row>
    <row r="703">
      <c r="B703" t="inlineStr">
        <is>
          <t>TTAF在庫(実績,kg)</t>
        </is>
      </c>
      <c r="D703">
        <f>'T_TTAFStock'!B25</f>
        <v/>
      </c>
      <c r="E703">
        <f>'T_TTAFStock'!C25</f>
        <v/>
      </c>
      <c r="F703">
        <f>'T_TTAFStock'!D25</f>
        <v/>
      </c>
      <c r="G703">
        <f>'T_TTAFStock'!E25</f>
        <v/>
      </c>
      <c r="H703">
        <f>'T_TTAFStock'!F25</f>
        <v/>
      </c>
      <c r="I703">
        <f>'T_TTAFStock'!G25</f>
        <v/>
      </c>
      <c r="J703">
        <f>'T_TTAFStock'!H25</f>
        <v/>
      </c>
      <c r="K703">
        <f>'T_TTAFStock'!I25</f>
        <v/>
      </c>
      <c r="L703">
        <f>'T_TTAFStock'!J25</f>
        <v/>
      </c>
      <c r="M703">
        <f>'T_TTAFStock'!K25</f>
        <v/>
      </c>
      <c r="N703">
        <f>'T_TTAFStock'!L25</f>
        <v/>
      </c>
      <c r="O703">
        <f>'T_TTAFStock'!M25</f>
        <v/>
      </c>
      <c r="P703">
        <f>'T_TTAFStock'!N25</f>
        <v/>
      </c>
      <c r="Q703">
        <f>'T_TTAFStock'!O25</f>
        <v/>
      </c>
      <c r="R703">
        <f>'T_TTAFStock'!P25</f>
        <v/>
      </c>
      <c r="S703">
        <f>'T_TTAFStock'!Q25</f>
        <v/>
      </c>
      <c r="T703">
        <f>'T_TTAFStock'!R25</f>
        <v/>
      </c>
      <c r="U703">
        <f>'T_TTAFStock'!S25</f>
        <v/>
      </c>
      <c r="V703">
        <f>'T_TTAFStock'!T25</f>
        <v/>
      </c>
      <c r="W703">
        <f>'T_TTAFStock'!U25</f>
        <v/>
      </c>
      <c r="X703">
        <f>'T_TTAFStock'!V25</f>
        <v/>
      </c>
      <c r="Y703">
        <f>'T_TTAFStock'!W25</f>
        <v/>
      </c>
      <c r="Z703">
        <f>'T_TTAFStock'!X25</f>
        <v/>
      </c>
      <c r="AA703">
        <f>'T_TTAFStock'!Y25</f>
        <v/>
      </c>
      <c r="AB703">
        <f>'T_TTAFStock'!Z25</f>
        <v/>
      </c>
      <c r="AC703">
        <f>'T_TTAFStock'!AA25</f>
        <v/>
      </c>
      <c r="AD703">
        <f>'T_TTAFStock'!AB25</f>
        <v/>
      </c>
      <c r="AE703">
        <f>'T_TTAFStock'!AC25</f>
        <v/>
      </c>
      <c r="AF703">
        <f>'T_TTAFStock'!AD25</f>
        <v/>
      </c>
      <c r="AG703">
        <f>'T_TTAFStock'!AE25</f>
        <v/>
      </c>
      <c r="AH703">
        <f>'T_TTAFStock'!AF25</f>
        <v/>
      </c>
      <c r="AI703">
        <f>'T_TTAFStock'!AG25</f>
        <v/>
      </c>
      <c r="AJ703">
        <f>'T_TTAFStock'!AH25</f>
        <v/>
      </c>
      <c r="AK703">
        <f>'T_TTAFStock'!AI25</f>
        <v/>
      </c>
      <c r="AL703">
        <f>'T_TTAFStock'!AJ25</f>
        <v/>
      </c>
      <c r="AM703">
        <f>'T_TTAFStock'!AK25</f>
        <v/>
      </c>
      <c r="AN703">
        <f>'T_TTAFStock'!AL25</f>
        <v/>
      </c>
      <c r="AO703">
        <f>'T_TTAFStock'!AM25</f>
        <v/>
      </c>
      <c r="AP703">
        <f>'T_TTAFStock'!AN25</f>
        <v/>
      </c>
      <c r="AQ703">
        <f>'T_TTAFStock'!AO25</f>
        <v/>
      </c>
      <c r="AR703">
        <f>'T_TTAFStock'!AP25</f>
        <v/>
      </c>
      <c r="AS703">
        <f>'T_TTAFStock'!AQ25</f>
        <v/>
      </c>
      <c r="AT703">
        <f>'T_TTAFStock'!AR25</f>
        <v/>
      </c>
      <c r="AU703">
        <f>'T_TTAFStock'!AS25</f>
        <v/>
      </c>
      <c r="AV703">
        <f>'T_TTAFStock'!AT25</f>
        <v/>
      </c>
      <c r="AW703">
        <f>'T_TTAFStock'!AU25</f>
        <v/>
      </c>
      <c r="AX703">
        <f>'T_TTAFStock'!AV25</f>
        <v/>
      </c>
      <c r="AY703">
        <f>'T_TTAFStock'!AW25</f>
        <v/>
      </c>
      <c r="AZ703">
        <f>'T_TTAFStock'!AX25</f>
        <v/>
      </c>
      <c r="BA703">
        <f>'T_TTAFStock'!AY25</f>
        <v/>
      </c>
      <c r="BB703">
        <f>'T_TTAFStock'!AZ25</f>
        <v/>
      </c>
      <c r="BC703">
        <f>'T_TTAFStock'!BA25</f>
        <v/>
      </c>
      <c r="BD703">
        <f>'T_TTAFStock'!BB25</f>
        <v/>
      </c>
      <c r="BE703">
        <f>'T_TTAFStock'!BC25</f>
        <v/>
      </c>
      <c r="BF703">
        <f>'T_TTAFStock'!BD25</f>
        <v/>
      </c>
      <c r="BG703">
        <f>'T_TTAFStock'!BE25</f>
        <v/>
      </c>
      <c r="BH703">
        <f>'T_TTAFStock'!BF25</f>
        <v/>
      </c>
      <c r="BI703">
        <f>'T_TTAFStock'!BG25</f>
        <v/>
      </c>
      <c r="BJ703">
        <f>'T_TTAFStock'!BH25</f>
        <v/>
      </c>
      <c r="BK703">
        <f>'T_TTAFStock'!BI25</f>
        <v/>
      </c>
      <c r="BL703">
        <f>'T_TTAFStock'!BJ25</f>
        <v/>
      </c>
      <c r="BM703">
        <f>'T_TTAFStock'!BK25</f>
        <v/>
      </c>
      <c r="BN703">
        <f>'T_TTAFStock'!BL25</f>
        <v/>
      </c>
      <c r="BO703">
        <f>'T_TTAFStock'!BM25</f>
        <v/>
      </c>
      <c r="BP703">
        <f>'T_TTAFStock'!BN25</f>
        <v/>
      </c>
      <c r="BQ703">
        <f>'T_TTAFStock'!BO25</f>
        <v/>
      </c>
      <c r="BR703">
        <f>'T_TTAFStock'!BP25</f>
        <v/>
      </c>
      <c r="BS703">
        <f>'T_TTAFStock'!BQ25</f>
        <v/>
      </c>
      <c r="BT703">
        <f>'T_TTAFStock'!BR25</f>
        <v/>
      </c>
      <c r="BU703">
        <f>'T_TTAFStock'!BS25</f>
        <v/>
      </c>
      <c r="BV703">
        <f>'T_TTAFStock'!BT25</f>
        <v/>
      </c>
      <c r="BW703">
        <f>'T_TTAFStock'!BU25</f>
        <v/>
      </c>
      <c r="BX703">
        <f>'T_TTAFStock'!BV25</f>
        <v/>
      </c>
      <c r="BY703">
        <f>'T_TTAFStock'!BW25</f>
        <v/>
      </c>
      <c r="BZ703">
        <f>'T_TTAFStock'!BX25</f>
        <v/>
      </c>
      <c r="CA703">
        <f>'T_TTAFStock'!BY25</f>
        <v/>
      </c>
      <c r="CB703">
        <f>'T_TTAFStock'!BZ25</f>
        <v/>
      </c>
      <c r="CC703">
        <f>'T_TTAFStock'!CA25</f>
        <v/>
      </c>
      <c r="CD703">
        <f>'T_TTAFStock'!CB25</f>
        <v/>
      </c>
      <c r="CE703">
        <f>'T_TTAFStock'!CC25</f>
        <v/>
      </c>
      <c r="CF703">
        <f>'T_TTAFStock'!CD25</f>
        <v/>
      </c>
      <c r="CG703">
        <f>'T_TTAFStock'!CE25</f>
        <v/>
      </c>
      <c r="CH703">
        <f>'T_TTAFStock'!CF25</f>
        <v/>
      </c>
      <c r="CI703">
        <f>'T_TTAFStock'!CG25</f>
        <v/>
      </c>
      <c r="CJ703">
        <f>'T_TTAFStock'!CH25</f>
        <v/>
      </c>
      <c r="CK703">
        <f>'T_TTAFStock'!CI25</f>
        <v/>
      </c>
      <c r="CL703">
        <f>'T_TTAFStock'!CJ25</f>
        <v/>
      </c>
      <c r="CM703">
        <f>'T_TTAFStock'!CK25</f>
        <v/>
      </c>
      <c r="CN703">
        <f>'T_TTAFStock'!CL25</f>
        <v/>
      </c>
      <c r="CO703">
        <f>'T_TTAFStock'!CM25</f>
        <v/>
      </c>
      <c r="CP703">
        <f>'T_TTAFStock'!CN25</f>
        <v/>
      </c>
      <c r="CQ703">
        <f>'T_TTAFStock'!CO25</f>
        <v/>
      </c>
      <c r="CR703">
        <f>'T_TTAFStock'!CP25</f>
        <v/>
      </c>
      <c r="CS703">
        <f>'T_TTAFStock'!CQ25</f>
        <v/>
      </c>
      <c r="CT703">
        <f>'T_TTAFStock'!CR25</f>
        <v/>
      </c>
      <c r="CU703">
        <f>'T_TTAFStock'!CS25</f>
        <v/>
      </c>
      <c r="CV703">
        <f>'T_TTAFStock'!CT25</f>
        <v/>
      </c>
      <c r="CW703">
        <f>'T_TTAFStock'!CU25</f>
        <v/>
      </c>
      <c r="CX703">
        <f>'T_TTAFStock'!CV25</f>
        <v/>
      </c>
      <c r="CY703">
        <f>'T_TTAFStock'!CW25</f>
        <v/>
      </c>
      <c r="CZ703">
        <f>'T_TTAFStock'!CX25</f>
        <v/>
      </c>
      <c r="DA703">
        <f>'T_TTAFStock'!CY25</f>
        <v/>
      </c>
      <c r="DB703">
        <f>'T_TTAFStock'!CZ25</f>
        <v/>
      </c>
      <c r="DC703">
        <f>'T_TTAFStock'!DA25</f>
        <v/>
      </c>
    </row>
    <row r="704">
      <c r="B704" t="inlineStr">
        <is>
          <t>自社在庫(実績,kg)</t>
        </is>
      </c>
      <c r="D704">
        <f>'T_SelfStock'!B25</f>
        <v/>
      </c>
      <c r="E704">
        <f>'T_SelfStock'!C25</f>
        <v/>
      </c>
      <c r="F704">
        <f>'T_SelfStock'!D25</f>
        <v/>
      </c>
      <c r="G704">
        <f>'T_SelfStock'!E25</f>
        <v/>
      </c>
      <c r="H704">
        <f>'T_SelfStock'!F25</f>
        <v/>
      </c>
      <c r="I704">
        <f>'T_SelfStock'!G25</f>
        <v/>
      </c>
      <c r="J704">
        <f>'T_SelfStock'!H25</f>
        <v/>
      </c>
      <c r="K704">
        <f>'T_SelfStock'!I25</f>
        <v/>
      </c>
      <c r="L704">
        <f>'T_SelfStock'!J25</f>
        <v/>
      </c>
      <c r="M704">
        <f>'T_SelfStock'!K25</f>
        <v/>
      </c>
      <c r="N704">
        <f>'T_SelfStock'!L25</f>
        <v/>
      </c>
      <c r="O704">
        <f>'T_SelfStock'!M25</f>
        <v/>
      </c>
      <c r="P704">
        <f>'T_SelfStock'!N25</f>
        <v/>
      </c>
      <c r="Q704">
        <f>'T_SelfStock'!O25</f>
        <v/>
      </c>
      <c r="R704">
        <f>'T_SelfStock'!P25</f>
        <v/>
      </c>
      <c r="S704">
        <f>'T_SelfStock'!Q25</f>
        <v/>
      </c>
      <c r="T704">
        <f>'T_SelfStock'!R25</f>
        <v/>
      </c>
      <c r="U704">
        <f>'T_SelfStock'!S25</f>
        <v/>
      </c>
      <c r="V704">
        <f>'T_SelfStock'!T25</f>
        <v/>
      </c>
      <c r="W704">
        <f>'T_SelfStock'!U25</f>
        <v/>
      </c>
      <c r="X704">
        <f>'T_SelfStock'!V25</f>
        <v/>
      </c>
      <c r="Y704">
        <f>'T_SelfStock'!W25</f>
        <v/>
      </c>
      <c r="Z704">
        <f>'T_SelfStock'!X25</f>
        <v/>
      </c>
      <c r="AA704">
        <f>'T_SelfStock'!Y25</f>
        <v/>
      </c>
      <c r="AB704">
        <f>'T_SelfStock'!Z25</f>
        <v/>
      </c>
      <c r="AC704">
        <f>'T_SelfStock'!AA25</f>
        <v/>
      </c>
      <c r="AD704">
        <f>'T_SelfStock'!AB25</f>
        <v/>
      </c>
      <c r="AE704">
        <f>'T_SelfStock'!AC25</f>
        <v/>
      </c>
      <c r="AF704">
        <f>'T_SelfStock'!AD25</f>
        <v/>
      </c>
      <c r="AG704">
        <f>'T_SelfStock'!AE25</f>
        <v/>
      </c>
      <c r="AH704">
        <f>'T_SelfStock'!AF25</f>
        <v/>
      </c>
      <c r="AI704">
        <f>'T_SelfStock'!AG25</f>
        <v/>
      </c>
      <c r="AJ704">
        <f>'T_SelfStock'!AH25</f>
        <v/>
      </c>
      <c r="AK704">
        <f>'T_SelfStock'!AI25</f>
        <v/>
      </c>
      <c r="AL704">
        <f>'T_SelfStock'!AJ25</f>
        <v/>
      </c>
      <c r="AM704">
        <f>'T_SelfStock'!AK25</f>
        <v/>
      </c>
      <c r="AN704">
        <f>'T_SelfStock'!AL25</f>
        <v/>
      </c>
      <c r="AO704">
        <f>'T_SelfStock'!AM25</f>
        <v/>
      </c>
      <c r="AP704">
        <f>'T_SelfStock'!AN25</f>
        <v/>
      </c>
      <c r="AQ704">
        <f>'T_SelfStock'!AO25</f>
        <v/>
      </c>
      <c r="AR704">
        <f>'T_SelfStock'!AP25</f>
        <v/>
      </c>
      <c r="AS704">
        <f>'T_SelfStock'!AQ25</f>
        <v/>
      </c>
      <c r="AT704">
        <f>'T_SelfStock'!AR25</f>
        <v/>
      </c>
      <c r="AU704">
        <f>'T_SelfStock'!AS25</f>
        <v/>
      </c>
      <c r="AV704">
        <f>'T_SelfStock'!AT25</f>
        <v/>
      </c>
      <c r="AW704">
        <f>'T_SelfStock'!AU25</f>
        <v/>
      </c>
      <c r="AX704">
        <f>'T_SelfStock'!AV25</f>
        <v/>
      </c>
      <c r="AY704">
        <f>'T_SelfStock'!AW25</f>
        <v/>
      </c>
      <c r="AZ704">
        <f>'T_SelfStock'!AX25</f>
        <v/>
      </c>
      <c r="BA704">
        <f>'T_SelfStock'!AY25</f>
        <v/>
      </c>
      <c r="BB704">
        <f>'T_SelfStock'!AZ25</f>
        <v/>
      </c>
      <c r="BC704">
        <f>'T_SelfStock'!BA25</f>
        <v/>
      </c>
      <c r="BD704">
        <f>'T_SelfStock'!BB25</f>
        <v/>
      </c>
      <c r="BE704">
        <f>'T_SelfStock'!BC25</f>
        <v/>
      </c>
      <c r="BF704">
        <f>'T_SelfStock'!BD25</f>
        <v/>
      </c>
      <c r="BG704">
        <f>'T_SelfStock'!BE25</f>
        <v/>
      </c>
      <c r="BH704">
        <f>'T_SelfStock'!BF25</f>
        <v/>
      </c>
      <c r="BI704">
        <f>'T_SelfStock'!BG25</f>
        <v/>
      </c>
      <c r="BJ704">
        <f>'T_SelfStock'!BH25</f>
        <v/>
      </c>
      <c r="BK704">
        <f>'T_SelfStock'!BI25</f>
        <v/>
      </c>
      <c r="BL704">
        <f>'T_SelfStock'!BJ25</f>
        <v/>
      </c>
      <c r="BM704">
        <f>'T_SelfStock'!BK25</f>
        <v/>
      </c>
      <c r="BN704">
        <f>'T_SelfStock'!BL25</f>
        <v/>
      </c>
      <c r="BO704">
        <f>'T_SelfStock'!BM25</f>
        <v/>
      </c>
      <c r="BP704">
        <f>'T_SelfStock'!BN25</f>
        <v/>
      </c>
      <c r="BQ704">
        <f>'T_SelfStock'!BO25</f>
        <v/>
      </c>
      <c r="BR704">
        <f>'T_SelfStock'!BP25</f>
        <v/>
      </c>
      <c r="BS704">
        <f>'T_SelfStock'!BQ25</f>
        <v/>
      </c>
      <c r="BT704">
        <f>'T_SelfStock'!BR25</f>
        <v/>
      </c>
      <c r="BU704">
        <f>'T_SelfStock'!BS25</f>
        <v/>
      </c>
      <c r="BV704">
        <f>'T_SelfStock'!BT25</f>
        <v/>
      </c>
      <c r="BW704">
        <f>'T_SelfStock'!BU25</f>
        <v/>
      </c>
      <c r="BX704">
        <f>'T_SelfStock'!BV25</f>
        <v/>
      </c>
      <c r="BY704">
        <f>'T_SelfStock'!BW25</f>
        <v/>
      </c>
      <c r="BZ704">
        <f>'T_SelfStock'!BX25</f>
        <v/>
      </c>
      <c r="CA704">
        <f>'T_SelfStock'!BY25</f>
        <v/>
      </c>
      <c r="CB704">
        <f>'T_SelfStock'!BZ25</f>
        <v/>
      </c>
      <c r="CC704">
        <f>'T_SelfStock'!CA25</f>
        <v/>
      </c>
      <c r="CD704">
        <f>'T_SelfStock'!CB25</f>
        <v/>
      </c>
      <c r="CE704">
        <f>'T_SelfStock'!CC25</f>
        <v/>
      </c>
      <c r="CF704">
        <f>'T_SelfStock'!CD25</f>
        <v/>
      </c>
      <c r="CG704">
        <f>'T_SelfStock'!CE25</f>
        <v/>
      </c>
      <c r="CH704">
        <f>'T_SelfStock'!CF25</f>
        <v/>
      </c>
      <c r="CI704">
        <f>'T_SelfStock'!CG25</f>
        <v/>
      </c>
      <c r="CJ704">
        <f>'T_SelfStock'!CH25</f>
        <v/>
      </c>
      <c r="CK704">
        <f>'T_SelfStock'!CI25</f>
        <v/>
      </c>
      <c r="CL704">
        <f>'T_SelfStock'!CJ25</f>
        <v/>
      </c>
      <c r="CM704">
        <f>'T_SelfStock'!CK25</f>
        <v/>
      </c>
      <c r="CN704">
        <f>'T_SelfStock'!CL25</f>
        <v/>
      </c>
      <c r="CO704">
        <f>'T_SelfStock'!CM25</f>
        <v/>
      </c>
      <c r="CP704">
        <f>'T_SelfStock'!CN25</f>
        <v/>
      </c>
      <c r="CQ704">
        <f>'T_SelfStock'!CO25</f>
        <v/>
      </c>
      <c r="CR704">
        <f>'T_SelfStock'!CP25</f>
        <v/>
      </c>
      <c r="CS704">
        <f>'T_SelfStock'!CQ25</f>
        <v/>
      </c>
      <c r="CT704">
        <f>'T_SelfStock'!CR25</f>
        <v/>
      </c>
      <c r="CU704">
        <f>'T_SelfStock'!CS25</f>
        <v/>
      </c>
      <c r="CV704">
        <f>'T_SelfStock'!CT25</f>
        <v/>
      </c>
      <c r="CW704">
        <f>'T_SelfStock'!CU25</f>
        <v/>
      </c>
      <c r="CX704">
        <f>'T_SelfStock'!CV25</f>
        <v/>
      </c>
      <c r="CY704">
        <f>'T_SelfStock'!CW25</f>
        <v/>
      </c>
      <c r="CZ704">
        <f>'T_SelfStock'!CX25</f>
        <v/>
      </c>
      <c r="DA704">
        <f>'T_SelfStock'!CY25</f>
        <v/>
      </c>
      <c r="DB704">
        <f>'T_SelfStock'!CZ25</f>
        <v/>
      </c>
      <c r="DC704">
        <f>'T_SelfStock'!DA25</f>
        <v/>
      </c>
    </row>
    <row r="705">
      <c r="B705" t="inlineStr">
        <is>
          <t>Order(発注予定,kg)</t>
        </is>
      </c>
      <c r="D705">
        <f>IF(SUMIFS(T_PlannedOrders[EffectiveQty],T_PlannedOrders[Part Name],$A681,T_PlannedOrders[WeekIndex],1)=0,"",SUMIFS(T_PlannedOrders[EffectiveQty],T_PlannedOrders[Part Name],$A681,T_PlannedOrders[WeekIndex],1)&amp;" ("&amp;TEXT(SUMPRODUCT(MAX((T_PlannedOrders[Part Name]=$A681)*(T_PlannedOrders[WeekIndex]=1)*(T_PlannedOrders[EffectiveQty]&gt;0)*T_PlannedOrders[Order_Month])),"m月")&amp;"発注)")</f>
        <v/>
      </c>
      <c r="E705">
        <f>IF(SUMIFS(T_PlannedOrders[EffectiveQty],T_PlannedOrders[Part Name],$A681,T_PlannedOrders[WeekIndex],2)=0,"",SUMIFS(T_PlannedOrders[EffectiveQty],T_PlannedOrders[Part Name],$A681,T_PlannedOrders[WeekIndex],2)&amp;" ("&amp;TEXT(SUMPRODUCT(MAX((T_PlannedOrders[Part Name]=$A681)*(T_PlannedOrders[WeekIndex]=2)*(T_PlannedOrders[EffectiveQty]&gt;0)*T_PlannedOrders[Order_Month])),"m月")&amp;"発注)")</f>
        <v/>
      </c>
      <c r="F705">
        <f>IF(SUMIFS(T_PlannedOrders[EffectiveQty],T_PlannedOrders[Part Name],$A681,T_PlannedOrders[WeekIndex],3)=0,"",SUMIFS(T_PlannedOrders[EffectiveQty],T_PlannedOrders[Part Name],$A681,T_PlannedOrders[WeekIndex],3)&amp;" ("&amp;TEXT(SUMPRODUCT(MAX((T_PlannedOrders[Part Name]=$A681)*(T_PlannedOrders[WeekIndex]=3)*(T_PlannedOrders[EffectiveQty]&gt;0)*T_PlannedOrders[Order_Month])),"m月")&amp;"発注)")</f>
        <v/>
      </c>
      <c r="G705">
        <f>IF(SUMIFS(T_PlannedOrders[EffectiveQty],T_PlannedOrders[Part Name],$A681,T_PlannedOrders[WeekIndex],4)=0,"",SUMIFS(T_PlannedOrders[EffectiveQty],T_PlannedOrders[Part Name],$A681,T_PlannedOrders[WeekIndex],4)&amp;" ("&amp;TEXT(SUMPRODUCT(MAX((T_PlannedOrders[Part Name]=$A681)*(T_PlannedOrders[WeekIndex]=4)*(T_PlannedOrders[EffectiveQty]&gt;0)*T_PlannedOrders[Order_Month])),"m月")&amp;"発注)")</f>
        <v/>
      </c>
      <c r="H705">
        <f>IF(SUMIFS(T_PlannedOrders[EffectiveQty],T_PlannedOrders[Part Name],$A681,T_PlannedOrders[WeekIndex],5)=0,"",SUMIFS(T_PlannedOrders[EffectiveQty],T_PlannedOrders[Part Name],$A681,T_PlannedOrders[WeekIndex],5)&amp;" ("&amp;TEXT(SUMPRODUCT(MAX((T_PlannedOrders[Part Name]=$A681)*(T_PlannedOrders[WeekIndex]=5)*(T_PlannedOrders[EffectiveQty]&gt;0)*T_PlannedOrders[Order_Month])),"m月")&amp;"発注)")</f>
        <v/>
      </c>
      <c r="I705">
        <f>IF(SUMIFS(T_PlannedOrders[EffectiveQty],T_PlannedOrders[Part Name],$A681,T_PlannedOrders[WeekIndex],6)=0,"",SUMIFS(T_PlannedOrders[EffectiveQty],T_PlannedOrders[Part Name],$A681,T_PlannedOrders[WeekIndex],6)&amp;" ("&amp;TEXT(SUMPRODUCT(MAX((T_PlannedOrders[Part Name]=$A681)*(T_PlannedOrders[WeekIndex]=6)*(T_PlannedOrders[EffectiveQty]&gt;0)*T_PlannedOrders[Order_Month])),"m月")&amp;"発注)")</f>
        <v/>
      </c>
      <c r="J705">
        <f>IF(SUMIFS(T_PlannedOrders[EffectiveQty],T_PlannedOrders[Part Name],$A681,T_PlannedOrders[WeekIndex],7)=0,"",SUMIFS(T_PlannedOrders[EffectiveQty],T_PlannedOrders[Part Name],$A681,T_PlannedOrders[WeekIndex],7)&amp;" ("&amp;TEXT(SUMPRODUCT(MAX((T_PlannedOrders[Part Name]=$A681)*(T_PlannedOrders[WeekIndex]=7)*(T_PlannedOrders[EffectiveQty]&gt;0)*T_PlannedOrders[Order_Month])),"m月")&amp;"発注)")</f>
        <v/>
      </c>
      <c r="K705">
        <f>IF(SUMIFS(T_PlannedOrders[EffectiveQty],T_PlannedOrders[Part Name],$A681,T_PlannedOrders[WeekIndex],8)=0,"",SUMIFS(T_PlannedOrders[EffectiveQty],T_PlannedOrders[Part Name],$A681,T_PlannedOrders[WeekIndex],8)&amp;" ("&amp;TEXT(SUMPRODUCT(MAX((T_PlannedOrders[Part Name]=$A681)*(T_PlannedOrders[WeekIndex]=8)*(T_PlannedOrders[EffectiveQty]&gt;0)*T_PlannedOrders[Order_Month])),"m月")&amp;"発注)")</f>
        <v/>
      </c>
      <c r="L705">
        <f>IF(SUMIFS(T_PlannedOrders[EffectiveQty],T_PlannedOrders[Part Name],$A681,T_PlannedOrders[WeekIndex],9)=0,"",SUMIFS(T_PlannedOrders[EffectiveQty],T_PlannedOrders[Part Name],$A681,T_PlannedOrders[WeekIndex],9)&amp;" ("&amp;TEXT(SUMPRODUCT(MAX((T_PlannedOrders[Part Name]=$A681)*(T_PlannedOrders[WeekIndex]=9)*(T_PlannedOrders[EffectiveQty]&gt;0)*T_PlannedOrders[Order_Month])),"m月")&amp;"発注)")</f>
        <v/>
      </c>
      <c r="M705">
        <f>IF(SUMIFS(T_PlannedOrders[EffectiveQty],T_PlannedOrders[Part Name],$A681,T_PlannedOrders[WeekIndex],10)=0,"",SUMIFS(T_PlannedOrders[EffectiveQty],T_PlannedOrders[Part Name],$A681,T_PlannedOrders[WeekIndex],10)&amp;" ("&amp;TEXT(SUMPRODUCT(MAX((T_PlannedOrders[Part Name]=$A681)*(T_PlannedOrders[WeekIndex]=10)*(T_PlannedOrders[EffectiveQty]&gt;0)*T_PlannedOrders[Order_Month])),"m月")&amp;"発注)")</f>
        <v/>
      </c>
      <c r="N705">
        <f>IF(SUMIFS(T_PlannedOrders[EffectiveQty],T_PlannedOrders[Part Name],$A681,T_PlannedOrders[WeekIndex],11)=0,"",SUMIFS(T_PlannedOrders[EffectiveQty],T_PlannedOrders[Part Name],$A681,T_PlannedOrders[WeekIndex],11)&amp;" ("&amp;TEXT(SUMPRODUCT(MAX((T_PlannedOrders[Part Name]=$A681)*(T_PlannedOrders[WeekIndex]=11)*(T_PlannedOrders[EffectiveQty]&gt;0)*T_PlannedOrders[Order_Month])),"m月")&amp;"発注)")</f>
        <v/>
      </c>
      <c r="O705">
        <f>IF(SUMIFS(T_PlannedOrders[EffectiveQty],T_PlannedOrders[Part Name],$A681,T_PlannedOrders[WeekIndex],12)=0,"",SUMIFS(T_PlannedOrders[EffectiveQty],T_PlannedOrders[Part Name],$A681,T_PlannedOrders[WeekIndex],12)&amp;" ("&amp;TEXT(SUMPRODUCT(MAX((T_PlannedOrders[Part Name]=$A681)*(T_PlannedOrders[WeekIndex]=12)*(T_PlannedOrders[EffectiveQty]&gt;0)*T_PlannedOrders[Order_Month])),"m月")&amp;"発注)")</f>
        <v/>
      </c>
      <c r="P705">
        <f>IF(SUMIFS(T_PlannedOrders[EffectiveQty],T_PlannedOrders[Part Name],$A681,T_PlannedOrders[WeekIndex],13)=0,"",SUMIFS(T_PlannedOrders[EffectiveQty],T_PlannedOrders[Part Name],$A681,T_PlannedOrders[WeekIndex],13)&amp;" ("&amp;TEXT(SUMPRODUCT(MAX((T_PlannedOrders[Part Name]=$A681)*(T_PlannedOrders[WeekIndex]=13)*(T_PlannedOrders[EffectiveQty]&gt;0)*T_PlannedOrders[Order_Month])),"m月")&amp;"発注)")</f>
        <v/>
      </c>
      <c r="Q705">
        <f>IF(SUMIFS(T_PlannedOrders[EffectiveQty],T_PlannedOrders[Part Name],$A681,T_PlannedOrders[WeekIndex],14)=0,"",SUMIFS(T_PlannedOrders[EffectiveQty],T_PlannedOrders[Part Name],$A681,T_PlannedOrders[WeekIndex],14)&amp;" ("&amp;TEXT(SUMPRODUCT(MAX((T_PlannedOrders[Part Name]=$A681)*(T_PlannedOrders[WeekIndex]=14)*(T_PlannedOrders[EffectiveQty]&gt;0)*T_PlannedOrders[Order_Month])),"m月")&amp;"発注)")</f>
        <v/>
      </c>
      <c r="R705">
        <f>IF(SUMIFS(T_PlannedOrders[EffectiveQty],T_PlannedOrders[Part Name],$A681,T_PlannedOrders[WeekIndex],15)=0,"",SUMIFS(T_PlannedOrders[EffectiveQty],T_PlannedOrders[Part Name],$A681,T_PlannedOrders[WeekIndex],15)&amp;" ("&amp;TEXT(SUMPRODUCT(MAX((T_PlannedOrders[Part Name]=$A681)*(T_PlannedOrders[WeekIndex]=15)*(T_PlannedOrders[EffectiveQty]&gt;0)*T_PlannedOrders[Order_Month])),"m月")&amp;"発注)")</f>
        <v/>
      </c>
      <c r="S705">
        <f>IF(SUMIFS(T_PlannedOrders[EffectiveQty],T_PlannedOrders[Part Name],$A681,T_PlannedOrders[WeekIndex],16)=0,"",SUMIFS(T_PlannedOrders[EffectiveQty],T_PlannedOrders[Part Name],$A681,T_PlannedOrders[WeekIndex],16)&amp;" ("&amp;TEXT(SUMPRODUCT(MAX((T_PlannedOrders[Part Name]=$A681)*(T_PlannedOrders[WeekIndex]=16)*(T_PlannedOrders[EffectiveQty]&gt;0)*T_PlannedOrders[Order_Month])),"m月")&amp;"発注)")</f>
        <v/>
      </c>
      <c r="T705">
        <f>IF(SUMIFS(T_PlannedOrders[EffectiveQty],T_PlannedOrders[Part Name],$A681,T_PlannedOrders[WeekIndex],17)=0,"",SUMIFS(T_PlannedOrders[EffectiveQty],T_PlannedOrders[Part Name],$A681,T_PlannedOrders[WeekIndex],17)&amp;" ("&amp;TEXT(SUMPRODUCT(MAX((T_PlannedOrders[Part Name]=$A681)*(T_PlannedOrders[WeekIndex]=17)*(T_PlannedOrders[EffectiveQty]&gt;0)*T_PlannedOrders[Order_Month])),"m月")&amp;"発注)")</f>
        <v/>
      </c>
      <c r="U705">
        <f>IF(SUMIFS(T_PlannedOrders[EffectiveQty],T_PlannedOrders[Part Name],$A681,T_PlannedOrders[WeekIndex],18)=0,"",SUMIFS(T_PlannedOrders[EffectiveQty],T_PlannedOrders[Part Name],$A681,T_PlannedOrders[WeekIndex],18)&amp;" ("&amp;TEXT(SUMPRODUCT(MAX((T_PlannedOrders[Part Name]=$A681)*(T_PlannedOrders[WeekIndex]=18)*(T_PlannedOrders[EffectiveQty]&gt;0)*T_PlannedOrders[Order_Month])),"m月")&amp;"発注)")</f>
        <v/>
      </c>
      <c r="V705">
        <f>IF(SUMIFS(T_PlannedOrders[EffectiveQty],T_PlannedOrders[Part Name],$A681,T_PlannedOrders[WeekIndex],19)=0,"",SUMIFS(T_PlannedOrders[EffectiveQty],T_PlannedOrders[Part Name],$A681,T_PlannedOrders[WeekIndex],19)&amp;" ("&amp;TEXT(SUMPRODUCT(MAX((T_PlannedOrders[Part Name]=$A681)*(T_PlannedOrders[WeekIndex]=19)*(T_PlannedOrders[EffectiveQty]&gt;0)*T_PlannedOrders[Order_Month])),"m月")&amp;"発注)")</f>
        <v/>
      </c>
      <c r="W705">
        <f>IF(SUMIFS(T_PlannedOrders[EffectiveQty],T_PlannedOrders[Part Name],$A681,T_PlannedOrders[WeekIndex],20)=0,"",SUMIFS(T_PlannedOrders[EffectiveQty],T_PlannedOrders[Part Name],$A681,T_PlannedOrders[WeekIndex],20)&amp;" ("&amp;TEXT(SUMPRODUCT(MAX((T_PlannedOrders[Part Name]=$A681)*(T_PlannedOrders[WeekIndex]=20)*(T_PlannedOrders[EffectiveQty]&gt;0)*T_PlannedOrders[Order_Month])),"m月")&amp;"発注)")</f>
        <v/>
      </c>
      <c r="X705">
        <f>IF(SUMIFS(T_PlannedOrders[EffectiveQty],T_PlannedOrders[Part Name],$A681,T_PlannedOrders[WeekIndex],21)=0,"",SUMIFS(T_PlannedOrders[EffectiveQty],T_PlannedOrders[Part Name],$A681,T_PlannedOrders[WeekIndex],21)&amp;" ("&amp;TEXT(SUMPRODUCT(MAX((T_PlannedOrders[Part Name]=$A681)*(T_PlannedOrders[WeekIndex]=21)*(T_PlannedOrders[EffectiveQty]&gt;0)*T_PlannedOrders[Order_Month])),"m月")&amp;"発注)")</f>
        <v/>
      </c>
      <c r="Y705">
        <f>IF(SUMIFS(T_PlannedOrders[EffectiveQty],T_PlannedOrders[Part Name],$A681,T_PlannedOrders[WeekIndex],22)=0,"",SUMIFS(T_PlannedOrders[EffectiveQty],T_PlannedOrders[Part Name],$A681,T_PlannedOrders[WeekIndex],22)&amp;" ("&amp;TEXT(SUMPRODUCT(MAX((T_PlannedOrders[Part Name]=$A681)*(T_PlannedOrders[WeekIndex]=22)*(T_PlannedOrders[EffectiveQty]&gt;0)*T_PlannedOrders[Order_Month])),"m月")&amp;"発注)")</f>
        <v/>
      </c>
      <c r="Z705">
        <f>IF(SUMIFS(T_PlannedOrders[EffectiveQty],T_PlannedOrders[Part Name],$A681,T_PlannedOrders[WeekIndex],23)=0,"",SUMIFS(T_PlannedOrders[EffectiveQty],T_PlannedOrders[Part Name],$A681,T_PlannedOrders[WeekIndex],23)&amp;" ("&amp;TEXT(SUMPRODUCT(MAX((T_PlannedOrders[Part Name]=$A681)*(T_PlannedOrders[WeekIndex]=23)*(T_PlannedOrders[EffectiveQty]&gt;0)*T_PlannedOrders[Order_Month])),"m月")&amp;"発注)")</f>
        <v/>
      </c>
      <c r="AA705">
        <f>IF(SUMIFS(T_PlannedOrders[EffectiveQty],T_PlannedOrders[Part Name],$A681,T_PlannedOrders[WeekIndex],24)=0,"",SUMIFS(T_PlannedOrders[EffectiveQty],T_PlannedOrders[Part Name],$A681,T_PlannedOrders[WeekIndex],24)&amp;" ("&amp;TEXT(SUMPRODUCT(MAX((T_PlannedOrders[Part Name]=$A681)*(T_PlannedOrders[WeekIndex]=24)*(T_PlannedOrders[EffectiveQty]&gt;0)*T_PlannedOrders[Order_Month])),"m月")&amp;"発注)")</f>
        <v/>
      </c>
      <c r="AB705">
        <f>IF(SUMIFS(T_PlannedOrders[EffectiveQty],T_PlannedOrders[Part Name],$A681,T_PlannedOrders[WeekIndex],25)=0,"",SUMIFS(T_PlannedOrders[EffectiveQty],T_PlannedOrders[Part Name],$A681,T_PlannedOrders[WeekIndex],25)&amp;" ("&amp;TEXT(SUMPRODUCT(MAX((T_PlannedOrders[Part Name]=$A681)*(T_PlannedOrders[WeekIndex]=25)*(T_PlannedOrders[EffectiveQty]&gt;0)*T_PlannedOrders[Order_Month])),"m月")&amp;"発注)")</f>
        <v/>
      </c>
      <c r="AC705">
        <f>IF(SUMIFS(T_PlannedOrders[EffectiveQty],T_PlannedOrders[Part Name],$A681,T_PlannedOrders[WeekIndex],26)=0,"",SUMIFS(T_PlannedOrders[EffectiveQty],T_PlannedOrders[Part Name],$A681,T_PlannedOrders[WeekIndex],26)&amp;" ("&amp;TEXT(SUMPRODUCT(MAX((T_PlannedOrders[Part Name]=$A681)*(T_PlannedOrders[WeekIndex]=26)*(T_PlannedOrders[EffectiveQty]&gt;0)*T_PlannedOrders[Order_Month])),"m月")&amp;"発注)")</f>
        <v/>
      </c>
      <c r="AD705">
        <f>IF(SUMIFS(T_PlannedOrders[EffectiveQty],T_PlannedOrders[Part Name],$A681,T_PlannedOrders[WeekIndex],27)=0,"",SUMIFS(T_PlannedOrders[EffectiveQty],T_PlannedOrders[Part Name],$A681,T_PlannedOrders[WeekIndex],27)&amp;" ("&amp;TEXT(SUMPRODUCT(MAX((T_PlannedOrders[Part Name]=$A681)*(T_PlannedOrders[WeekIndex]=27)*(T_PlannedOrders[EffectiveQty]&gt;0)*T_PlannedOrders[Order_Month])),"m月")&amp;"発注)")</f>
        <v/>
      </c>
      <c r="AE705">
        <f>IF(SUMIFS(T_PlannedOrders[EffectiveQty],T_PlannedOrders[Part Name],$A681,T_PlannedOrders[WeekIndex],28)=0,"",SUMIFS(T_PlannedOrders[EffectiveQty],T_PlannedOrders[Part Name],$A681,T_PlannedOrders[WeekIndex],28)&amp;" ("&amp;TEXT(SUMPRODUCT(MAX((T_PlannedOrders[Part Name]=$A681)*(T_PlannedOrders[WeekIndex]=28)*(T_PlannedOrders[EffectiveQty]&gt;0)*T_PlannedOrders[Order_Month])),"m月")&amp;"発注)")</f>
        <v/>
      </c>
      <c r="AF705">
        <f>IF(SUMIFS(T_PlannedOrders[EffectiveQty],T_PlannedOrders[Part Name],$A681,T_PlannedOrders[WeekIndex],29)=0,"",SUMIFS(T_PlannedOrders[EffectiveQty],T_PlannedOrders[Part Name],$A681,T_PlannedOrders[WeekIndex],29)&amp;" ("&amp;TEXT(SUMPRODUCT(MAX((T_PlannedOrders[Part Name]=$A681)*(T_PlannedOrders[WeekIndex]=29)*(T_PlannedOrders[EffectiveQty]&gt;0)*T_PlannedOrders[Order_Month])),"m月")&amp;"発注)")</f>
        <v/>
      </c>
      <c r="AG705">
        <f>IF(SUMIFS(T_PlannedOrders[EffectiveQty],T_PlannedOrders[Part Name],$A681,T_PlannedOrders[WeekIndex],30)=0,"",SUMIFS(T_PlannedOrders[EffectiveQty],T_PlannedOrders[Part Name],$A681,T_PlannedOrders[WeekIndex],30)&amp;" ("&amp;TEXT(SUMPRODUCT(MAX((T_PlannedOrders[Part Name]=$A681)*(T_PlannedOrders[WeekIndex]=30)*(T_PlannedOrders[EffectiveQty]&gt;0)*T_PlannedOrders[Order_Month])),"m月")&amp;"発注)")</f>
        <v/>
      </c>
      <c r="AH705">
        <f>IF(SUMIFS(T_PlannedOrders[EffectiveQty],T_PlannedOrders[Part Name],$A681,T_PlannedOrders[WeekIndex],31)=0,"",SUMIFS(T_PlannedOrders[EffectiveQty],T_PlannedOrders[Part Name],$A681,T_PlannedOrders[WeekIndex],31)&amp;" ("&amp;TEXT(SUMPRODUCT(MAX((T_PlannedOrders[Part Name]=$A681)*(T_PlannedOrders[WeekIndex]=31)*(T_PlannedOrders[EffectiveQty]&gt;0)*T_PlannedOrders[Order_Month])),"m月")&amp;"発注)")</f>
        <v/>
      </c>
      <c r="AI705">
        <f>IF(SUMIFS(T_PlannedOrders[EffectiveQty],T_PlannedOrders[Part Name],$A681,T_PlannedOrders[WeekIndex],32)=0,"",SUMIFS(T_PlannedOrders[EffectiveQty],T_PlannedOrders[Part Name],$A681,T_PlannedOrders[WeekIndex],32)&amp;" ("&amp;TEXT(SUMPRODUCT(MAX((T_PlannedOrders[Part Name]=$A681)*(T_PlannedOrders[WeekIndex]=32)*(T_PlannedOrders[EffectiveQty]&gt;0)*T_PlannedOrders[Order_Month])),"m月")&amp;"発注)")</f>
        <v/>
      </c>
      <c r="AJ705">
        <f>IF(SUMIFS(T_PlannedOrders[EffectiveQty],T_PlannedOrders[Part Name],$A681,T_PlannedOrders[WeekIndex],33)=0,"",SUMIFS(T_PlannedOrders[EffectiveQty],T_PlannedOrders[Part Name],$A681,T_PlannedOrders[WeekIndex],33)&amp;" ("&amp;TEXT(SUMPRODUCT(MAX((T_PlannedOrders[Part Name]=$A681)*(T_PlannedOrders[WeekIndex]=33)*(T_PlannedOrders[EffectiveQty]&gt;0)*T_PlannedOrders[Order_Month])),"m月")&amp;"発注)")</f>
        <v/>
      </c>
      <c r="AK705">
        <f>IF(SUMIFS(T_PlannedOrders[EffectiveQty],T_PlannedOrders[Part Name],$A681,T_PlannedOrders[WeekIndex],34)=0,"",SUMIFS(T_PlannedOrders[EffectiveQty],T_PlannedOrders[Part Name],$A681,T_PlannedOrders[WeekIndex],34)&amp;" ("&amp;TEXT(SUMPRODUCT(MAX((T_PlannedOrders[Part Name]=$A681)*(T_PlannedOrders[WeekIndex]=34)*(T_PlannedOrders[EffectiveQty]&gt;0)*T_PlannedOrders[Order_Month])),"m月")&amp;"発注)")</f>
        <v/>
      </c>
      <c r="AL705">
        <f>IF(SUMIFS(T_PlannedOrders[EffectiveQty],T_PlannedOrders[Part Name],$A681,T_PlannedOrders[WeekIndex],35)=0,"",SUMIFS(T_PlannedOrders[EffectiveQty],T_PlannedOrders[Part Name],$A681,T_PlannedOrders[WeekIndex],35)&amp;" ("&amp;TEXT(SUMPRODUCT(MAX((T_PlannedOrders[Part Name]=$A681)*(T_PlannedOrders[WeekIndex]=35)*(T_PlannedOrders[EffectiveQty]&gt;0)*T_PlannedOrders[Order_Month])),"m月")&amp;"発注)")</f>
        <v/>
      </c>
      <c r="AM705">
        <f>IF(SUMIFS(T_PlannedOrders[EffectiveQty],T_PlannedOrders[Part Name],$A681,T_PlannedOrders[WeekIndex],36)=0,"",SUMIFS(T_PlannedOrders[EffectiveQty],T_PlannedOrders[Part Name],$A681,T_PlannedOrders[WeekIndex],36)&amp;" ("&amp;TEXT(SUMPRODUCT(MAX((T_PlannedOrders[Part Name]=$A681)*(T_PlannedOrders[WeekIndex]=36)*(T_PlannedOrders[EffectiveQty]&gt;0)*T_PlannedOrders[Order_Month])),"m月")&amp;"発注)")</f>
        <v/>
      </c>
      <c r="AN705">
        <f>IF(SUMIFS(T_PlannedOrders[EffectiveQty],T_PlannedOrders[Part Name],$A681,T_PlannedOrders[WeekIndex],37)=0,"",SUMIFS(T_PlannedOrders[EffectiveQty],T_PlannedOrders[Part Name],$A681,T_PlannedOrders[WeekIndex],37)&amp;" ("&amp;TEXT(SUMPRODUCT(MAX((T_PlannedOrders[Part Name]=$A681)*(T_PlannedOrders[WeekIndex]=37)*(T_PlannedOrders[EffectiveQty]&gt;0)*T_PlannedOrders[Order_Month])),"m月")&amp;"発注)")</f>
        <v/>
      </c>
      <c r="AO705">
        <f>IF(SUMIFS(T_PlannedOrders[EffectiveQty],T_PlannedOrders[Part Name],$A681,T_PlannedOrders[WeekIndex],38)=0,"",SUMIFS(T_PlannedOrders[EffectiveQty],T_PlannedOrders[Part Name],$A681,T_PlannedOrders[WeekIndex],38)&amp;" ("&amp;TEXT(SUMPRODUCT(MAX((T_PlannedOrders[Part Name]=$A681)*(T_PlannedOrders[WeekIndex]=38)*(T_PlannedOrders[EffectiveQty]&gt;0)*T_PlannedOrders[Order_Month])),"m月")&amp;"発注)")</f>
        <v/>
      </c>
      <c r="AP705">
        <f>IF(SUMIFS(T_PlannedOrders[EffectiveQty],T_PlannedOrders[Part Name],$A681,T_PlannedOrders[WeekIndex],39)=0,"",SUMIFS(T_PlannedOrders[EffectiveQty],T_PlannedOrders[Part Name],$A681,T_PlannedOrders[WeekIndex],39)&amp;" ("&amp;TEXT(SUMPRODUCT(MAX((T_PlannedOrders[Part Name]=$A681)*(T_PlannedOrders[WeekIndex]=39)*(T_PlannedOrders[EffectiveQty]&gt;0)*T_PlannedOrders[Order_Month])),"m月")&amp;"発注)")</f>
        <v/>
      </c>
      <c r="AQ705">
        <f>IF(SUMIFS(T_PlannedOrders[EffectiveQty],T_PlannedOrders[Part Name],$A681,T_PlannedOrders[WeekIndex],40)=0,"",SUMIFS(T_PlannedOrders[EffectiveQty],T_PlannedOrders[Part Name],$A681,T_PlannedOrders[WeekIndex],40)&amp;" ("&amp;TEXT(SUMPRODUCT(MAX((T_PlannedOrders[Part Name]=$A681)*(T_PlannedOrders[WeekIndex]=40)*(T_PlannedOrders[EffectiveQty]&gt;0)*T_PlannedOrders[Order_Month])),"m月")&amp;"発注)")</f>
        <v/>
      </c>
      <c r="AR705">
        <f>IF(SUMIFS(T_PlannedOrders[EffectiveQty],T_PlannedOrders[Part Name],$A681,T_PlannedOrders[WeekIndex],41)=0,"",SUMIFS(T_PlannedOrders[EffectiveQty],T_PlannedOrders[Part Name],$A681,T_PlannedOrders[WeekIndex],41)&amp;" ("&amp;TEXT(SUMPRODUCT(MAX((T_PlannedOrders[Part Name]=$A681)*(T_PlannedOrders[WeekIndex]=41)*(T_PlannedOrders[EffectiveQty]&gt;0)*T_PlannedOrders[Order_Month])),"m月")&amp;"発注)")</f>
        <v/>
      </c>
      <c r="AS705">
        <f>IF(SUMIFS(T_PlannedOrders[EffectiveQty],T_PlannedOrders[Part Name],$A681,T_PlannedOrders[WeekIndex],42)=0,"",SUMIFS(T_PlannedOrders[EffectiveQty],T_PlannedOrders[Part Name],$A681,T_PlannedOrders[WeekIndex],42)&amp;" ("&amp;TEXT(SUMPRODUCT(MAX((T_PlannedOrders[Part Name]=$A681)*(T_PlannedOrders[WeekIndex]=42)*(T_PlannedOrders[EffectiveQty]&gt;0)*T_PlannedOrders[Order_Month])),"m月")&amp;"発注)")</f>
        <v/>
      </c>
      <c r="AT705">
        <f>IF(SUMIFS(T_PlannedOrders[EffectiveQty],T_PlannedOrders[Part Name],$A681,T_PlannedOrders[WeekIndex],43)=0,"",SUMIFS(T_PlannedOrders[EffectiveQty],T_PlannedOrders[Part Name],$A681,T_PlannedOrders[WeekIndex],43)&amp;" ("&amp;TEXT(SUMPRODUCT(MAX((T_PlannedOrders[Part Name]=$A681)*(T_PlannedOrders[WeekIndex]=43)*(T_PlannedOrders[EffectiveQty]&gt;0)*T_PlannedOrders[Order_Month])),"m月")&amp;"発注)")</f>
        <v/>
      </c>
      <c r="AU705">
        <f>IF(SUMIFS(T_PlannedOrders[EffectiveQty],T_PlannedOrders[Part Name],$A681,T_PlannedOrders[WeekIndex],44)=0,"",SUMIFS(T_PlannedOrders[EffectiveQty],T_PlannedOrders[Part Name],$A681,T_PlannedOrders[WeekIndex],44)&amp;" ("&amp;TEXT(SUMPRODUCT(MAX((T_PlannedOrders[Part Name]=$A681)*(T_PlannedOrders[WeekIndex]=44)*(T_PlannedOrders[EffectiveQty]&gt;0)*T_PlannedOrders[Order_Month])),"m月")&amp;"発注)")</f>
        <v/>
      </c>
      <c r="AV705">
        <f>IF(SUMIFS(T_PlannedOrders[EffectiveQty],T_PlannedOrders[Part Name],$A681,T_PlannedOrders[WeekIndex],45)=0,"",SUMIFS(T_PlannedOrders[EffectiveQty],T_PlannedOrders[Part Name],$A681,T_PlannedOrders[WeekIndex],45)&amp;" ("&amp;TEXT(SUMPRODUCT(MAX((T_PlannedOrders[Part Name]=$A681)*(T_PlannedOrders[WeekIndex]=45)*(T_PlannedOrders[EffectiveQty]&gt;0)*T_PlannedOrders[Order_Month])),"m月")&amp;"発注)")</f>
        <v/>
      </c>
      <c r="AW705">
        <f>IF(SUMIFS(T_PlannedOrders[EffectiveQty],T_PlannedOrders[Part Name],$A681,T_PlannedOrders[WeekIndex],46)=0,"",SUMIFS(T_PlannedOrders[EffectiveQty],T_PlannedOrders[Part Name],$A681,T_PlannedOrders[WeekIndex],46)&amp;" ("&amp;TEXT(SUMPRODUCT(MAX((T_PlannedOrders[Part Name]=$A681)*(T_PlannedOrders[WeekIndex]=46)*(T_PlannedOrders[EffectiveQty]&gt;0)*T_PlannedOrders[Order_Month])),"m月")&amp;"発注)")</f>
        <v/>
      </c>
      <c r="AX705">
        <f>IF(SUMIFS(T_PlannedOrders[EffectiveQty],T_PlannedOrders[Part Name],$A681,T_PlannedOrders[WeekIndex],47)=0,"",SUMIFS(T_PlannedOrders[EffectiveQty],T_PlannedOrders[Part Name],$A681,T_PlannedOrders[WeekIndex],47)&amp;" ("&amp;TEXT(SUMPRODUCT(MAX((T_PlannedOrders[Part Name]=$A681)*(T_PlannedOrders[WeekIndex]=47)*(T_PlannedOrders[EffectiveQty]&gt;0)*T_PlannedOrders[Order_Month])),"m月")&amp;"発注)")</f>
        <v/>
      </c>
      <c r="AY705">
        <f>IF(SUMIFS(T_PlannedOrders[EffectiveQty],T_PlannedOrders[Part Name],$A681,T_PlannedOrders[WeekIndex],48)=0,"",SUMIFS(T_PlannedOrders[EffectiveQty],T_PlannedOrders[Part Name],$A681,T_PlannedOrders[WeekIndex],48)&amp;" ("&amp;TEXT(SUMPRODUCT(MAX((T_PlannedOrders[Part Name]=$A681)*(T_PlannedOrders[WeekIndex]=48)*(T_PlannedOrders[EffectiveQty]&gt;0)*T_PlannedOrders[Order_Month])),"m月")&amp;"発注)")</f>
        <v/>
      </c>
      <c r="AZ705">
        <f>IF(SUMIFS(T_PlannedOrders[EffectiveQty],T_PlannedOrders[Part Name],$A681,T_PlannedOrders[WeekIndex],49)=0,"",SUMIFS(T_PlannedOrders[EffectiveQty],T_PlannedOrders[Part Name],$A681,T_PlannedOrders[WeekIndex],49)&amp;" ("&amp;TEXT(SUMPRODUCT(MAX((T_PlannedOrders[Part Name]=$A681)*(T_PlannedOrders[WeekIndex]=49)*(T_PlannedOrders[EffectiveQty]&gt;0)*T_PlannedOrders[Order_Month])),"m月")&amp;"発注)")</f>
        <v/>
      </c>
      <c r="BA705">
        <f>IF(SUMIFS(T_PlannedOrders[EffectiveQty],T_PlannedOrders[Part Name],$A681,T_PlannedOrders[WeekIndex],50)=0,"",SUMIFS(T_PlannedOrders[EffectiveQty],T_PlannedOrders[Part Name],$A681,T_PlannedOrders[WeekIndex],50)&amp;" ("&amp;TEXT(SUMPRODUCT(MAX((T_PlannedOrders[Part Name]=$A681)*(T_PlannedOrders[WeekIndex]=50)*(T_PlannedOrders[EffectiveQty]&gt;0)*T_PlannedOrders[Order_Month])),"m月")&amp;"発注)")</f>
        <v/>
      </c>
      <c r="BB705">
        <f>IF(SUMIFS(T_PlannedOrders[EffectiveQty],T_PlannedOrders[Part Name],$A681,T_PlannedOrders[WeekIndex],51)=0,"",SUMIFS(T_PlannedOrders[EffectiveQty],T_PlannedOrders[Part Name],$A681,T_PlannedOrders[WeekIndex],51)&amp;" ("&amp;TEXT(SUMPRODUCT(MAX((T_PlannedOrders[Part Name]=$A681)*(T_PlannedOrders[WeekIndex]=51)*(T_PlannedOrders[EffectiveQty]&gt;0)*T_PlannedOrders[Order_Month])),"m月")&amp;"発注)")</f>
        <v/>
      </c>
      <c r="BC705">
        <f>IF(SUMIFS(T_PlannedOrders[EffectiveQty],T_PlannedOrders[Part Name],$A681,T_PlannedOrders[WeekIndex],52)=0,"",SUMIFS(T_PlannedOrders[EffectiveQty],T_PlannedOrders[Part Name],$A681,T_PlannedOrders[WeekIndex],52)&amp;" ("&amp;TEXT(SUMPRODUCT(MAX((T_PlannedOrders[Part Name]=$A681)*(T_PlannedOrders[WeekIndex]=52)*(T_PlannedOrders[EffectiveQty]&gt;0)*T_PlannedOrders[Order_Month])),"m月")&amp;"発注)")</f>
        <v/>
      </c>
      <c r="BD705">
        <f>IF(SUMIFS(T_PlannedOrders[EffectiveQty],T_PlannedOrders[Part Name],$A681,T_PlannedOrders[WeekIndex],53)=0,"",SUMIFS(T_PlannedOrders[EffectiveQty],T_PlannedOrders[Part Name],$A681,T_PlannedOrders[WeekIndex],53)&amp;" ("&amp;TEXT(SUMPRODUCT(MAX((T_PlannedOrders[Part Name]=$A681)*(T_PlannedOrders[WeekIndex]=53)*(T_PlannedOrders[EffectiveQty]&gt;0)*T_PlannedOrders[Order_Month])),"m月")&amp;"発注)")</f>
        <v/>
      </c>
      <c r="BE705">
        <f>IF(SUMIFS(T_PlannedOrders[EffectiveQty],T_PlannedOrders[Part Name],$A681,T_PlannedOrders[WeekIndex],54)=0,"",SUMIFS(T_PlannedOrders[EffectiveQty],T_PlannedOrders[Part Name],$A681,T_PlannedOrders[WeekIndex],54)&amp;" ("&amp;TEXT(SUMPRODUCT(MAX((T_PlannedOrders[Part Name]=$A681)*(T_PlannedOrders[WeekIndex]=54)*(T_PlannedOrders[EffectiveQty]&gt;0)*T_PlannedOrders[Order_Month])),"m月")&amp;"発注)")</f>
        <v/>
      </c>
      <c r="BF705">
        <f>IF(SUMIFS(T_PlannedOrders[EffectiveQty],T_PlannedOrders[Part Name],$A681,T_PlannedOrders[WeekIndex],55)=0,"",SUMIFS(T_PlannedOrders[EffectiveQty],T_PlannedOrders[Part Name],$A681,T_PlannedOrders[WeekIndex],55)&amp;" ("&amp;TEXT(SUMPRODUCT(MAX((T_PlannedOrders[Part Name]=$A681)*(T_PlannedOrders[WeekIndex]=55)*(T_PlannedOrders[EffectiveQty]&gt;0)*T_PlannedOrders[Order_Month])),"m月")&amp;"発注)")</f>
        <v/>
      </c>
      <c r="BG705">
        <f>IF(SUMIFS(T_PlannedOrders[EffectiveQty],T_PlannedOrders[Part Name],$A681,T_PlannedOrders[WeekIndex],56)=0,"",SUMIFS(T_PlannedOrders[EffectiveQty],T_PlannedOrders[Part Name],$A681,T_PlannedOrders[WeekIndex],56)&amp;" ("&amp;TEXT(SUMPRODUCT(MAX((T_PlannedOrders[Part Name]=$A681)*(T_PlannedOrders[WeekIndex]=56)*(T_PlannedOrders[EffectiveQty]&gt;0)*T_PlannedOrders[Order_Month])),"m月")&amp;"発注)")</f>
        <v/>
      </c>
      <c r="BH705">
        <f>IF(SUMIFS(T_PlannedOrders[EffectiveQty],T_PlannedOrders[Part Name],$A681,T_PlannedOrders[WeekIndex],57)=0,"",SUMIFS(T_PlannedOrders[EffectiveQty],T_PlannedOrders[Part Name],$A681,T_PlannedOrders[WeekIndex],57)&amp;" ("&amp;TEXT(SUMPRODUCT(MAX((T_PlannedOrders[Part Name]=$A681)*(T_PlannedOrders[WeekIndex]=57)*(T_PlannedOrders[EffectiveQty]&gt;0)*T_PlannedOrders[Order_Month])),"m月")&amp;"発注)")</f>
        <v/>
      </c>
      <c r="BI705">
        <f>IF(SUMIFS(T_PlannedOrders[EffectiveQty],T_PlannedOrders[Part Name],$A681,T_PlannedOrders[WeekIndex],58)=0,"",SUMIFS(T_PlannedOrders[EffectiveQty],T_PlannedOrders[Part Name],$A681,T_PlannedOrders[WeekIndex],58)&amp;" ("&amp;TEXT(SUMPRODUCT(MAX((T_PlannedOrders[Part Name]=$A681)*(T_PlannedOrders[WeekIndex]=58)*(T_PlannedOrders[EffectiveQty]&gt;0)*T_PlannedOrders[Order_Month])),"m月")&amp;"発注)")</f>
        <v/>
      </c>
      <c r="BJ705">
        <f>IF(SUMIFS(T_PlannedOrders[EffectiveQty],T_PlannedOrders[Part Name],$A681,T_PlannedOrders[WeekIndex],59)=0,"",SUMIFS(T_PlannedOrders[EffectiveQty],T_PlannedOrders[Part Name],$A681,T_PlannedOrders[WeekIndex],59)&amp;" ("&amp;TEXT(SUMPRODUCT(MAX((T_PlannedOrders[Part Name]=$A681)*(T_PlannedOrders[WeekIndex]=59)*(T_PlannedOrders[EffectiveQty]&gt;0)*T_PlannedOrders[Order_Month])),"m月")&amp;"発注)")</f>
        <v/>
      </c>
      <c r="BK705">
        <f>IF(SUMIFS(T_PlannedOrders[EffectiveQty],T_PlannedOrders[Part Name],$A681,T_PlannedOrders[WeekIndex],60)=0,"",SUMIFS(T_PlannedOrders[EffectiveQty],T_PlannedOrders[Part Name],$A681,T_PlannedOrders[WeekIndex],60)&amp;" ("&amp;TEXT(SUMPRODUCT(MAX((T_PlannedOrders[Part Name]=$A681)*(T_PlannedOrders[WeekIndex]=60)*(T_PlannedOrders[EffectiveQty]&gt;0)*T_PlannedOrders[Order_Month])),"m月")&amp;"発注)")</f>
        <v/>
      </c>
      <c r="BL705">
        <f>IF(SUMIFS(T_PlannedOrders[EffectiveQty],T_PlannedOrders[Part Name],$A681,T_PlannedOrders[WeekIndex],61)=0,"",SUMIFS(T_PlannedOrders[EffectiveQty],T_PlannedOrders[Part Name],$A681,T_PlannedOrders[WeekIndex],61)&amp;" ("&amp;TEXT(SUMPRODUCT(MAX((T_PlannedOrders[Part Name]=$A681)*(T_PlannedOrders[WeekIndex]=61)*(T_PlannedOrders[EffectiveQty]&gt;0)*T_PlannedOrders[Order_Month])),"m月")&amp;"発注)")</f>
        <v/>
      </c>
      <c r="BM705">
        <f>IF(SUMIFS(T_PlannedOrders[EffectiveQty],T_PlannedOrders[Part Name],$A681,T_PlannedOrders[WeekIndex],62)=0,"",SUMIFS(T_PlannedOrders[EffectiveQty],T_PlannedOrders[Part Name],$A681,T_PlannedOrders[WeekIndex],62)&amp;" ("&amp;TEXT(SUMPRODUCT(MAX((T_PlannedOrders[Part Name]=$A681)*(T_PlannedOrders[WeekIndex]=62)*(T_PlannedOrders[EffectiveQty]&gt;0)*T_PlannedOrders[Order_Month])),"m月")&amp;"発注)")</f>
        <v/>
      </c>
      <c r="BN705">
        <f>IF(SUMIFS(T_PlannedOrders[EffectiveQty],T_PlannedOrders[Part Name],$A681,T_PlannedOrders[WeekIndex],63)=0,"",SUMIFS(T_PlannedOrders[EffectiveQty],T_PlannedOrders[Part Name],$A681,T_PlannedOrders[WeekIndex],63)&amp;" ("&amp;TEXT(SUMPRODUCT(MAX((T_PlannedOrders[Part Name]=$A681)*(T_PlannedOrders[WeekIndex]=63)*(T_PlannedOrders[EffectiveQty]&gt;0)*T_PlannedOrders[Order_Month])),"m月")&amp;"発注)")</f>
        <v/>
      </c>
      <c r="BO705">
        <f>IF(SUMIFS(T_PlannedOrders[EffectiveQty],T_PlannedOrders[Part Name],$A681,T_PlannedOrders[WeekIndex],64)=0,"",SUMIFS(T_PlannedOrders[EffectiveQty],T_PlannedOrders[Part Name],$A681,T_PlannedOrders[WeekIndex],64)&amp;" ("&amp;TEXT(SUMPRODUCT(MAX((T_PlannedOrders[Part Name]=$A681)*(T_PlannedOrders[WeekIndex]=64)*(T_PlannedOrders[EffectiveQty]&gt;0)*T_PlannedOrders[Order_Month])),"m月")&amp;"発注)")</f>
        <v/>
      </c>
      <c r="BP705">
        <f>IF(SUMIFS(T_PlannedOrders[EffectiveQty],T_PlannedOrders[Part Name],$A681,T_PlannedOrders[WeekIndex],65)=0,"",SUMIFS(T_PlannedOrders[EffectiveQty],T_PlannedOrders[Part Name],$A681,T_PlannedOrders[WeekIndex],65)&amp;" ("&amp;TEXT(SUMPRODUCT(MAX((T_PlannedOrders[Part Name]=$A681)*(T_PlannedOrders[WeekIndex]=65)*(T_PlannedOrders[EffectiveQty]&gt;0)*T_PlannedOrders[Order_Month])),"m月")&amp;"発注)")</f>
        <v/>
      </c>
      <c r="BQ705">
        <f>IF(SUMIFS(T_PlannedOrders[EffectiveQty],T_PlannedOrders[Part Name],$A681,T_PlannedOrders[WeekIndex],66)=0,"",SUMIFS(T_PlannedOrders[EffectiveQty],T_PlannedOrders[Part Name],$A681,T_PlannedOrders[WeekIndex],66)&amp;" ("&amp;TEXT(SUMPRODUCT(MAX((T_PlannedOrders[Part Name]=$A681)*(T_PlannedOrders[WeekIndex]=66)*(T_PlannedOrders[EffectiveQty]&gt;0)*T_PlannedOrders[Order_Month])),"m月")&amp;"発注)")</f>
        <v/>
      </c>
      <c r="BR705">
        <f>IF(SUMIFS(T_PlannedOrders[EffectiveQty],T_PlannedOrders[Part Name],$A681,T_PlannedOrders[WeekIndex],67)=0,"",SUMIFS(T_PlannedOrders[EffectiveQty],T_PlannedOrders[Part Name],$A681,T_PlannedOrders[WeekIndex],67)&amp;" ("&amp;TEXT(SUMPRODUCT(MAX((T_PlannedOrders[Part Name]=$A681)*(T_PlannedOrders[WeekIndex]=67)*(T_PlannedOrders[EffectiveQty]&gt;0)*T_PlannedOrders[Order_Month])),"m月")&amp;"発注)")</f>
        <v/>
      </c>
      <c r="BS705">
        <f>IF(SUMIFS(T_PlannedOrders[EffectiveQty],T_PlannedOrders[Part Name],$A681,T_PlannedOrders[WeekIndex],68)=0,"",SUMIFS(T_PlannedOrders[EffectiveQty],T_PlannedOrders[Part Name],$A681,T_PlannedOrders[WeekIndex],68)&amp;" ("&amp;TEXT(SUMPRODUCT(MAX((T_PlannedOrders[Part Name]=$A681)*(T_PlannedOrders[WeekIndex]=68)*(T_PlannedOrders[EffectiveQty]&gt;0)*T_PlannedOrders[Order_Month])),"m月")&amp;"発注)")</f>
        <v/>
      </c>
      <c r="BT705">
        <f>IF(SUMIFS(T_PlannedOrders[EffectiveQty],T_PlannedOrders[Part Name],$A681,T_PlannedOrders[WeekIndex],69)=0,"",SUMIFS(T_PlannedOrders[EffectiveQty],T_PlannedOrders[Part Name],$A681,T_PlannedOrders[WeekIndex],69)&amp;" ("&amp;TEXT(SUMPRODUCT(MAX((T_PlannedOrders[Part Name]=$A681)*(T_PlannedOrders[WeekIndex]=69)*(T_PlannedOrders[EffectiveQty]&gt;0)*T_PlannedOrders[Order_Month])),"m月")&amp;"発注)")</f>
        <v/>
      </c>
      <c r="BU705">
        <f>IF(SUMIFS(T_PlannedOrders[EffectiveQty],T_PlannedOrders[Part Name],$A681,T_PlannedOrders[WeekIndex],70)=0,"",SUMIFS(T_PlannedOrders[EffectiveQty],T_PlannedOrders[Part Name],$A681,T_PlannedOrders[WeekIndex],70)&amp;" ("&amp;TEXT(SUMPRODUCT(MAX((T_PlannedOrders[Part Name]=$A681)*(T_PlannedOrders[WeekIndex]=70)*(T_PlannedOrders[EffectiveQty]&gt;0)*T_PlannedOrders[Order_Month])),"m月")&amp;"発注)")</f>
        <v/>
      </c>
      <c r="BV705">
        <f>IF(SUMIFS(T_PlannedOrders[EffectiveQty],T_PlannedOrders[Part Name],$A681,T_PlannedOrders[WeekIndex],71)=0,"",SUMIFS(T_PlannedOrders[EffectiveQty],T_PlannedOrders[Part Name],$A681,T_PlannedOrders[WeekIndex],71)&amp;" ("&amp;TEXT(SUMPRODUCT(MAX((T_PlannedOrders[Part Name]=$A681)*(T_PlannedOrders[WeekIndex]=71)*(T_PlannedOrders[EffectiveQty]&gt;0)*T_PlannedOrders[Order_Month])),"m月")&amp;"発注)")</f>
        <v/>
      </c>
      <c r="BW705">
        <f>IF(SUMIFS(T_PlannedOrders[EffectiveQty],T_PlannedOrders[Part Name],$A681,T_PlannedOrders[WeekIndex],72)=0,"",SUMIFS(T_PlannedOrders[EffectiveQty],T_PlannedOrders[Part Name],$A681,T_PlannedOrders[WeekIndex],72)&amp;" ("&amp;TEXT(SUMPRODUCT(MAX((T_PlannedOrders[Part Name]=$A681)*(T_PlannedOrders[WeekIndex]=72)*(T_PlannedOrders[EffectiveQty]&gt;0)*T_PlannedOrders[Order_Month])),"m月")&amp;"発注)")</f>
        <v/>
      </c>
      <c r="BX705">
        <f>IF(SUMIFS(T_PlannedOrders[EffectiveQty],T_PlannedOrders[Part Name],$A681,T_PlannedOrders[WeekIndex],73)=0,"",SUMIFS(T_PlannedOrders[EffectiveQty],T_PlannedOrders[Part Name],$A681,T_PlannedOrders[WeekIndex],73)&amp;" ("&amp;TEXT(SUMPRODUCT(MAX((T_PlannedOrders[Part Name]=$A681)*(T_PlannedOrders[WeekIndex]=73)*(T_PlannedOrders[EffectiveQty]&gt;0)*T_PlannedOrders[Order_Month])),"m月")&amp;"発注)")</f>
        <v/>
      </c>
      <c r="BY705">
        <f>IF(SUMIFS(T_PlannedOrders[EffectiveQty],T_PlannedOrders[Part Name],$A681,T_PlannedOrders[WeekIndex],74)=0,"",SUMIFS(T_PlannedOrders[EffectiveQty],T_PlannedOrders[Part Name],$A681,T_PlannedOrders[WeekIndex],74)&amp;" ("&amp;TEXT(SUMPRODUCT(MAX((T_PlannedOrders[Part Name]=$A681)*(T_PlannedOrders[WeekIndex]=74)*(T_PlannedOrders[EffectiveQty]&gt;0)*T_PlannedOrders[Order_Month])),"m月")&amp;"発注)")</f>
        <v/>
      </c>
      <c r="BZ705">
        <f>IF(SUMIFS(T_PlannedOrders[EffectiveQty],T_PlannedOrders[Part Name],$A681,T_PlannedOrders[WeekIndex],75)=0,"",SUMIFS(T_PlannedOrders[EffectiveQty],T_PlannedOrders[Part Name],$A681,T_PlannedOrders[WeekIndex],75)&amp;" ("&amp;TEXT(SUMPRODUCT(MAX((T_PlannedOrders[Part Name]=$A681)*(T_PlannedOrders[WeekIndex]=75)*(T_PlannedOrders[EffectiveQty]&gt;0)*T_PlannedOrders[Order_Month])),"m月")&amp;"発注)")</f>
        <v/>
      </c>
      <c r="CA705">
        <f>IF(SUMIFS(T_PlannedOrders[EffectiveQty],T_PlannedOrders[Part Name],$A681,T_PlannedOrders[WeekIndex],76)=0,"",SUMIFS(T_PlannedOrders[EffectiveQty],T_PlannedOrders[Part Name],$A681,T_PlannedOrders[WeekIndex],76)&amp;" ("&amp;TEXT(SUMPRODUCT(MAX((T_PlannedOrders[Part Name]=$A681)*(T_PlannedOrders[WeekIndex]=76)*(T_PlannedOrders[EffectiveQty]&gt;0)*T_PlannedOrders[Order_Month])),"m月")&amp;"発注)")</f>
        <v/>
      </c>
      <c r="CB705">
        <f>IF(SUMIFS(T_PlannedOrders[EffectiveQty],T_PlannedOrders[Part Name],$A681,T_PlannedOrders[WeekIndex],77)=0,"",SUMIFS(T_PlannedOrders[EffectiveQty],T_PlannedOrders[Part Name],$A681,T_PlannedOrders[WeekIndex],77)&amp;" ("&amp;TEXT(SUMPRODUCT(MAX((T_PlannedOrders[Part Name]=$A681)*(T_PlannedOrders[WeekIndex]=77)*(T_PlannedOrders[EffectiveQty]&gt;0)*T_PlannedOrders[Order_Month])),"m月")&amp;"発注)")</f>
        <v/>
      </c>
      <c r="CC705">
        <f>IF(SUMIFS(T_PlannedOrders[EffectiveQty],T_PlannedOrders[Part Name],$A681,T_PlannedOrders[WeekIndex],78)=0,"",SUMIFS(T_PlannedOrders[EffectiveQty],T_PlannedOrders[Part Name],$A681,T_PlannedOrders[WeekIndex],78)&amp;" ("&amp;TEXT(SUMPRODUCT(MAX((T_PlannedOrders[Part Name]=$A681)*(T_PlannedOrders[WeekIndex]=78)*(T_PlannedOrders[EffectiveQty]&gt;0)*T_PlannedOrders[Order_Month])),"m月")&amp;"発注)")</f>
        <v/>
      </c>
      <c r="CD705">
        <f>IF(SUMIFS(T_PlannedOrders[EffectiveQty],T_PlannedOrders[Part Name],$A681,T_PlannedOrders[WeekIndex],79)=0,"",SUMIFS(T_PlannedOrders[EffectiveQty],T_PlannedOrders[Part Name],$A681,T_PlannedOrders[WeekIndex],79)&amp;" ("&amp;TEXT(SUMPRODUCT(MAX((T_PlannedOrders[Part Name]=$A681)*(T_PlannedOrders[WeekIndex]=79)*(T_PlannedOrders[EffectiveQty]&gt;0)*T_PlannedOrders[Order_Month])),"m月")&amp;"発注)")</f>
        <v/>
      </c>
      <c r="CE705">
        <f>IF(SUMIFS(T_PlannedOrders[EffectiveQty],T_PlannedOrders[Part Name],$A681,T_PlannedOrders[WeekIndex],80)=0,"",SUMIFS(T_PlannedOrders[EffectiveQty],T_PlannedOrders[Part Name],$A681,T_PlannedOrders[WeekIndex],80)&amp;" ("&amp;TEXT(SUMPRODUCT(MAX((T_PlannedOrders[Part Name]=$A681)*(T_PlannedOrders[WeekIndex]=80)*(T_PlannedOrders[EffectiveQty]&gt;0)*T_PlannedOrders[Order_Month])),"m月")&amp;"発注)")</f>
        <v/>
      </c>
      <c r="CF705">
        <f>IF(SUMIFS(T_PlannedOrders[EffectiveQty],T_PlannedOrders[Part Name],$A681,T_PlannedOrders[WeekIndex],81)=0,"",SUMIFS(T_PlannedOrders[EffectiveQty],T_PlannedOrders[Part Name],$A681,T_PlannedOrders[WeekIndex],81)&amp;" ("&amp;TEXT(SUMPRODUCT(MAX((T_PlannedOrders[Part Name]=$A681)*(T_PlannedOrders[WeekIndex]=81)*(T_PlannedOrders[EffectiveQty]&gt;0)*T_PlannedOrders[Order_Month])),"m月")&amp;"発注)")</f>
        <v/>
      </c>
      <c r="CG705">
        <f>IF(SUMIFS(T_PlannedOrders[EffectiveQty],T_PlannedOrders[Part Name],$A681,T_PlannedOrders[WeekIndex],82)=0,"",SUMIFS(T_PlannedOrders[EffectiveQty],T_PlannedOrders[Part Name],$A681,T_PlannedOrders[WeekIndex],82)&amp;" ("&amp;TEXT(SUMPRODUCT(MAX((T_PlannedOrders[Part Name]=$A681)*(T_PlannedOrders[WeekIndex]=82)*(T_PlannedOrders[EffectiveQty]&gt;0)*T_PlannedOrders[Order_Month])),"m月")&amp;"発注)")</f>
        <v/>
      </c>
      <c r="CH705">
        <f>IF(SUMIFS(T_PlannedOrders[EffectiveQty],T_PlannedOrders[Part Name],$A681,T_PlannedOrders[WeekIndex],83)=0,"",SUMIFS(T_PlannedOrders[EffectiveQty],T_PlannedOrders[Part Name],$A681,T_PlannedOrders[WeekIndex],83)&amp;" ("&amp;TEXT(SUMPRODUCT(MAX((T_PlannedOrders[Part Name]=$A681)*(T_PlannedOrders[WeekIndex]=83)*(T_PlannedOrders[EffectiveQty]&gt;0)*T_PlannedOrders[Order_Month])),"m月")&amp;"発注)")</f>
        <v/>
      </c>
      <c r="CI705">
        <f>IF(SUMIFS(T_PlannedOrders[EffectiveQty],T_PlannedOrders[Part Name],$A681,T_PlannedOrders[WeekIndex],84)=0,"",SUMIFS(T_PlannedOrders[EffectiveQty],T_PlannedOrders[Part Name],$A681,T_PlannedOrders[WeekIndex],84)&amp;" ("&amp;TEXT(SUMPRODUCT(MAX((T_PlannedOrders[Part Name]=$A681)*(T_PlannedOrders[WeekIndex]=84)*(T_PlannedOrders[EffectiveQty]&gt;0)*T_PlannedOrders[Order_Month])),"m月")&amp;"発注)")</f>
        <v/>
      </c>
      <c r="CJ705">
        <f>IF(SUMIFS(T_PlannedOrders[EffectiveQty],T_PlannedOrders[Part Name],$A681,T_PlannedOrders[WeekIndex],85)=0,"",SUMIFS(T_PlannedOrders[EffectiveQty],T_PlannedOrders[Part Name],$A681,T_PlannedOrders[WeekIndex],85)&amp;" ("&amp;TEXT(SUMPRODUCT(MAX((T_PlannedOrders[Part Name]=$A681)*(T_PlannedOrders[WeekIndex]=85)*(T_PlannedOrders[EffectiveQty]&gt;0)*T_PlannedOrders[Order_Month])),"m月")&amp;"発注)")</f>
        <v/>
      </c>
      <c r="CK705">
        <f>IF(SUMIFS(T_PlannedOrders[EffectiveQty],T_PlannedOrders[Part Name],$A681,T_PlannedOrders[WeekIndex],86)=0,"",SUMIFS(T_PlannedOrders[EffectiveQty],T_PlannedOrders[Part Name],$A681,T_PlannedOrders[WeekIndex],86)&amp;" ("&amp;TEXT(SUMPRODUCT(MAX((T_PlannedOrders[Part Name]=$A681)*(T_PlannedOrders[WeekIndex]=86)*(T_PlannedOrders[EffectiveQty]&gt;0)*T_PlannedOrders[Order_Month])),"m月")&amp;"発注)")</f>
        <v/>
      </c>
      <c r="CL705">
        <f>IF(SUMIFS(T_PlannedOrders[EffectiveQty],T_PlannedOrders[Part Name],$A681,T_PlannedOrders[WeekIndex],87)=0,"",SUMIFS(T_PlannedOrders[EffectiveQty],T_PlannedOrders[Part Name],$A681,T_PlannedOrders[WeekIndex],87)&amp;" ("&amp;TEXT(SUMPRODUCT(MAX((T_PlannedOrders[Part Name]=$A681)*(T_PlannedOrders[WeekIndex]=87)*(T_PlannedOrders[EffectiveQty]&gt;0)*T_PlannedOrders[Order_Month])),"m月")&amp;"発注)")</f>
        <v/>
      </c>
      <c r="CM705">
        <f>IF(SUMIFS(T_PlannedOrders[EffectiveQty],T_PlannedOrders[Part Name],$A681,T_PlannedOrders[WeekIndex],88)=0,"",SUMIFS(T_PlannedOrders[EffectiveQty],T_PlannedOrders[Part Name],$A681,T_PlannedOrders[WeekIndex],88)&amp;" ("&amp;TEXT(SUMPRODUCT(MAX((T_PlannedOrders[Part Name]=$A681)*(T_PlannedOrders[WeekIndex]=88)*(T_PlannedOrders[EffectiveQty]&gt;0)*T_PlannedOrders[Order_Month])),"m月")&amp;"発注)")</f>
        <v/>
      </c>
      <c r="CN705">
        <f>IF(SUMIFS(T_PlannedOrders[EffectiveQty],T_PlannedOrders[Part Name],$A681,T_PlannedOrders[WeekIndex],89)=0,"",SUMIFS(T_PlannedOrders[EffectiveQty],T_PlannedOrders[Part Name],$A681,T_PlannedOrders[WeekIndex],89)&amp;" ("&amp;TEXT(SUMPRODUCT(MAX((T_PlannedOrders[Part Name]=$A681)*(T_PlannedOrders[WeekIndex]=89)*(T_PlannedOrders[EffectiveQty]&gt;0)*T_PlannedOrders[Order_Month])),"m月")&amp;"発注)")</f>
        <v/>
      </c>
      <c r="CO705">
        <f>IF(SUMIFS(T_PlannedOrders[EffectiveQty],T_PlannedOrders[Part Name],$A681,T_PlannedOrders[WeekIndex],90)=0,"",SUMIFS(T_PlannedOrders[EffectiveQty],T_PlannedOrders[Part Name],$A681,T_PlannedOrders[WeekIndex],90)&amp;" ("&amp;TEXT(SUMPRODUCT(MAX((T_PlannedOrders[Part Name]=$A681)*(T_PlannedOrders[WeekIndex]=90)*(T_PlannedOrders[EffectiveQty]&gt;0)*T_PlannedOrders[Order_Month])),"m月")&amp;"発注)")</f>
        <v/>
      </c>
      <c r="CP705">
        <f>IF(SUMIFS(T_PlannedOrders[EffectiveQty],T_PlannedOrders[Part Name],$A681,T_PlannedOrders[WeekIndex],91)=0,"",SUMIFS(T_PlannedOrders[EffectiveQty],T_PlannedOrders[Part Name],$A681,T_PlannedOrders[WeekIndex],91)&amp;" ("&amp;TEXT(SUMPRODUCT(MAX((T_PlannedOrders[Part Name]=$A681)*(T_PlannedOrders[WeekIndex]=91)*(T_PlannedOrders[EffectiveQty]&gt;0)*T_PlannedOrders[Order_Month])),"m月")&amp;"発注)")</f>
        <v/>
      </c>
      <c r="CQ705">
        <f>IF(SUMIFS(T_PlannedOrders[EffectiveQty],T_PlannedOrders[Part Name],$A681,T_PlannedOrders[WeekIndex],92)=0,"",SUMIFS(T_PlannedOrders[EffectiveQty],T_PlannedOrders[Part Name],$A681,T_PlannedOrders[WeekIndex],92)&amp;" ("&amp;TEXT(SUMPRODUCT(MAX((T_PlannedOrders[Part Name]=$A681)*(T_PlannedOrders[WeekIndex]=92)*(T_PlannedOrders[EffectiveQty]&gt;0)*T_PlannedOrders[Order_Month])),"m月")&amp;"発注)")</f>
        <v/>
      </c>
      <c r="CR705">
        <f>IF(SUMIFS(T_PlannedOrders[EffectiveQty],T_PlannedOrders[Part Name],$A681,T_PlannedOrders[WeekIndex],93)=0,"",SUMIFS(T_PlannedOrders[EffectiveQty],T_PlannedOrders[Part Name],$A681,T_PlannedOrders[WeekIndex],93)&amp;" ("&amp;TEXT(SUMPRODUCT(MAX((T_PlannedOrders[Part Name]=$A681)*(T_PlannedOrders[WeekIndex]=93)*(T_PlannedOrders[EffectiveQty]&gt;0)*T_PlannedOrders[Order_Month])),"m月")&amp;"発注)")</f>
        <v/>
      </c>
      <c r="CS705">
        <f>IF(SUMIFS(T_PlannedOrders[EffectiveQty],T_PlannedOrders[Part Name],$A681,T_PlannedOrders[WeekIndex],94)=0,"",SUMIFS(T_PlannedOrders[EffectiveQty],T_PlannedOrders[Part Name],$A681,T_PlannedOrders[WeekIndex],94)&amp;" ("&amp;TEXT(SUMPRODUCT(MAX((T_PlannedOrders[Part Name]=$A681)*(T_PlannedOrders[WeekIndex]=94)*(T_PlannedOrders[EffectiveQty]&gt;0)*T_PlannedOrders[Order_Month])),"m月")&amp;"発注)")</f>
        <v/>
      </c>
      <c r="CT705">
        <f>IF(SUMIFS(T_PlannedOrders[EffectiveQty],T_PlannedOrders[Part Name],$A681,T_PlannedOrders[WeekIndex],95)=0,"",SUMIFS(T_PlannedOrders[EffectiveQty],T_PlannedOrders[Part Name],$A681,T_PlannedOrders[WeekIndex],95)&amp;" ("&amp;TEXT(SUMPRODUCT(MAX((T_PlannedOrders[Part Name]=$A681)*(T_PlannedOrders[WeekIndex]=95)*(T_PlannedOrders[EffectiveQty]&gt;0)*T_PlannedOrders[Order_Month])),"m月")&amp;"発注)")</f>
        <v/>
      </c>
      <c r="CU705">
        <f>IF(SUMIFS(T_PlannedOrders[EffectiveQty],T_PlannedOrders[Part Name],$A681,T_PlannedOrders[WeekIndex],96)=0,"",SUMIFS(T_PlannedOrders[EffectiveQty],T_PlannedOrders[Part Name],$A681,T_PlannedOrders[WeekIndex],96)&amp;" ("&amp;TEXT(SUMPRODUCT(MAX((T_PlannedOrders[Part Name]=$A681)*(T_PlannedOrders[WeekIndex]=96)*(T_PlannedOrders[EffectiveQty]&gt;0)*T_PlannedOrders[Order_Month])),"m月")&amp;"発注)")</f>
        <v/>
      </c>
      <c r="CV705">
        <f>IF(SUMIFS(T_PlannedOrders[EffectiveQty],T_PlannedOrders[Part Name],$A681,T_PlannedOrders[WeekIndex],97)=0,"",SUMIFS(T_PlannedOrders[EffectiveQty],T_PlannedOrders[Part Name],$A681,T_PlannedOrders[WeekIndex],97)&amp;" ("&amp;TEXT(SUMPRODUCT(MAX((T_PlannedOrders[Part Name]=$A681)*(T_PlannedOrders[WeekIndex]=97)*(T_PlannedOrders[EffectiveQty]&gt;0)*T_PlannedOrders[Order_Month])),"m月")&amp;"発注)")</f>
        <v/>
      </c>
      <c r="CW705">
        <f>IF(SUMIFS(T_PlannedOrders[EffectiveQty],T_PlannedOrders[Part Name],$A681,T_PlannedOrders[WeekIndex],98)=0,"",SUMIFS(T_PlannedOrders[EffectiveQty],T_PlannedOrders[Part Name],$A681,T_PlannedOrders[WeekIndex],98)&amp;" ("&amp;TEXT(SUMPRODUCT(MAX((T_PlannedOrders[Part Name]=$A681)*(T_PlannedOrders[WeekIndex]=98)*(T_PlannedOrders[EffectiveQty]&gt;0)*T_PlannedOrders[Order_Month])),"m月")&amp;"発注)")</f>
        <v/>
      </c>
      <c r="CX705">
        <f>IF(SUMIFS(T_PlannedOrders[EffectiveQty],T_PlannedOrders[Part Name],$A681,T_PlannedOrders[WeekIndex],99)=0,"",SUMIFS(T_PlannedOrders[EffectiveQty],T_PlannedOrders[Part Name],$A681,T_PlannedOrders[WeekIndex],99)&amp;" ("&amp;TEXT(SUMPRODUCT(MAX((T_PlannedOrders[Part Name]=$A681)*(T_PlannedOrders[WeekIndex]=99)*(T_PlannedOrders[EffectiveQty]&gt;0)*T_PlannedOrders[Order_Month])),"m月")&amp;"発注)")</f>
        <v/>
      </c>
      <c r="CY705">
        <f>IF(SUMIFS(T_PlannedOrders[EffectiveQty],T_PlannedOrders[Part Name],$A681,T_PlannedOrders[WeekIndex],100)=0,"",SUMIFS(T_PlannedOrders[EffectiveQty],T_PlannedOrders[Part Name],$A681,T_PlannedOrders[WeekIndex],100)&amp;" ("&amp;TEXT(SUMPRODUCT(MAX((T_PlannedOrders[Part Name]=$A681)*(T_PlannedOrders[WeekIndex]=100)*(T_PlannedOrders[EffectiveQty]&gt;0)*T_PlannedOrders[Order_Month])),"m月")&amp;"発注)")</f>
        <v/>
      </c>
      <c r="CZ705">
        <f>IF(SUMIFS(T_PlannedOrders[EffectiveQty],T_PlannedOrders[Part Name],$A681,T_PlannedOrders[WeekIndex],101)=0,"",SUMIFS(T_PlannedOrders[EffectiveQty],T_PlannedOrders[Part Name],$A681,T_PlannedOrders[WeekIndex],101)&amp;" ("&amp;TEXT(SUMPRODUCT(MAX((T_PlannedOrders[Part Name]=$A681)*(T_PlannedOrders[WeekIndex]=101)*(T_PlannedOrders[EffectiveQty]&gt;0)*T_PlannedOrders[Order_Month])),"m月")&amp;"発注)")</f>
        <v/>
      </c>
      <c r="DA705">
        <f>IF(SUMIFS(T_PlannedOrders[EffectiveQty],T_PlannedOrders[Part Name],$A681,T_PlannedOrders[WeekIndex],102)=0,"",SUMIFS(T_PlannedOrders[EffectiveQty],T_PlannedOrders[Part Name],$A681,T_PlannedOrders[WeekIndex],102)&amp;" ("&amp;TEXT(SUMPRODUCT(MAX((T_PlannedOrders[Part Name]=$A681)*(T_PlannedOrders[WeekIndex]=102)*(T_PlannedOrders[EffectiveQty]&gt;0)*T_PlannedOrders[Order_Month])),"m月")&amp;"発注)")</f>
        <v/>
      </c>
      <c r="DB705">
        <f>IF(SUMIFS(T_PlannedOrders[EffectiveQty],T_PlannedOrders[Part Name],$A681,T_PlannedOrders[WeekIndex],103)=0,"",SUMIFS(T_PlannedOrders[EffectiveQty],T_PlannedOrders[Part Name],$A681,T_PlannedOrders[WeekIndex],103)&amp;" ("&amp;TEXT(SUMPRODUCT(MAX((T_PlannedOrders[Part Name]=$A681)*(T_PlannedOrders[WeekIndex]=103)*(T_PlannedOrders[EffectiveQty]&gt;0)*T_PlannedOrders[Order_Month])),"m月")&amp;"発注)")</f>
        <v/>
      </c>
      <c r="DC705">
        <f>IF(SUMIFS(T_PlannedOrders[EffectiveQty],T_PlannedOrders[Part Name],$A681,T_PlannedOrders[WeekIndex],104)=0,"",SUMIFS(T_PlannedOrders[EffectiveQty],T_PlannedOrders[Part Name],$A681,T_PlannedOrders[WeekIndex],104)&amp;" ("&amp;TEXT(SUMPRODUCT(MAX((T_PlannedOrders[Part Name]=$A681)*(T_PlannedOrders[WeekIndex]=104)*(T_PlannedOrders[EffectiveQty]&gt;0)*T_PlannedOrders[Order_Month])),"m月")&amp;"発注)")</f>
        <v/>
      </c>
    </row>
    <row r="706">
      <c r="B706" s="4" t="inlineStr">
        <is>
          <t>合計在庫(週末時点,kg)</t>
        </is>
      </c>
      <c r="D706">
        <f>'Grid_Stock'!B21</f>
        <v/>
      </c>
      <c r="E706">
        <f>'Grid_Stock'!C21</f>
        <v/>
      </c>
      <c r="F706">
        <f>'Grid_Stock'!D21</f>
        <v/>
      </c>
      <c r="G706">
        <f>'Grid_Stock'!E21</f>
        <v/>
      </c>
      <c r="H706">
        <f>'Grid_Stock'!F21</f>
        <v/>
      </c>
      <c r="I706">
        <f>'Grid_Stock'!G21</f>
        <v/>
      </c>
      <c r="J706">
        <f>'Grid_Stock'!H21</f>
        <v/>
      </c>
      <c r="K706">
        <f>'Grid_Stock'!I21</f>
        <v/>
      </c>
      <c r="L706">
        <f>'Grid_Stock'!J21</f>
        <v/>
      </c>
      <c r="M706">
        <f>'Grid_Stock'!K21</f>
        <v/>
      </c>
      <c r="N706">
        <f>'Grid_Stock'!L21</f>
        <v/>
      </c>
      <c r="O706">
        <f>'Grid_Stock'!M21</f>
        <v/>
      </c>
      <c r="P706">
        <f>'Grid_Stock'!N21</f>
        <v/>
      </c>
      <c r="Q706">
        <f>'Grid_Stock'!O21</f>
        <v/>
      </c>
      <c r="R706">
        <f>'Grid_Stock'!P21</f>
        <v/>
      </c>
      <c r="S706">
        <f>'Grid_Stock'!Q21</f>
        <v/>
      </c>
      <c r="T706">
        <f>'Grid_Stock'!R21</f>
        <v/>
      </c>
      <c r="U706">
        <f>'Grid_Stock'!S21</f>
        <v/>
      </c>
      <c r="V706">
        <f>'Grid_Stock'!T21</f>
        <v/>
      </c>
      <c r="W706">
        <f>'Grid_Stock'!U21</f>
        <v/>
      </c>
      <c r="X706">
        <f>'Grid_Stock'!V21</f>
        <v/>
      </c>
      <c r="Y706">
        <f>'Grid_Stock'!W21</f>
        <v/>
      </c>
      <c r="Z706">
        <f>'Grid_Stock'!X21</f>
        <v/>
      </c>
      <c r="AA706">
        <f>'Grid_Stock'!Y21</f>
        <v/>
      </c>
      <c r="AB706">
        <f>'Grid_Stock'!Z21</f>
        <v/>
      </c>
      <c r="AC706">
        <f>'Grid_Stock'!AA21</f>
        <v/>
      </c>
      <c r="AD706">
        <f>'Grid_Stock'!AB21</f>
        <v/>
      </c>
      <c r="AE706">
        <f>'Grid_Stock'!AC21</f>
        <v/>
      </c>
      <c r="AF706">
        <f>'Grid_Stock'!AD21</f>
        <v/>
      </c>
      <c r="AG706">
        <f>'Grid_Stock'!AE21</f>
        <v/>
      </c>
      <c r="AH706">
        <f>'Grid_Stock'!AF21</f>
        <v/>
      </c>
      <c r="AI706">
        <f>'Grid_Stock'!AG21</f>
        <v/>
      </c>
      <c r="AJ706">
        <f>'Grid_Stock'!AH21</f>
        <v/>
      </c>
      <c r="AK706">
        <f>'Grid_Stock'!AI21</f>
        <v/>
      </c>
      <c r="AL706">
        <f>'Grid_Stock'!AJ21</f>
        <v/>
      </c>
      <c r="AM706">
        <f>'Grid_Stock'!AK21</f>
        <v/>
      </c>
      <c r="AN706">
        <f>'Grid_Stock'!AL21</f>
        <v/>
      </c>
      <c r="AO706">
        <f>'Grid_Stock'!AM21</f>
        <v/>
      </c>
      <c r="AP706">
        <f>'Grid_Stock'!AN21</f>
        <v/>
      </c>
      <c r="AQ706">
        <f>'Grid_Stock'!AO21</f>
        <v/>
      </c>
      <c r="AR706">
        <f>'Grid_Stock'!AP21</f>
        <v/>
      </c>
      <c r="AS706">
        <f>'Grid_Stock'!AQ21</f>
        <v/>
      </c>
      <c r="AT706">
        <f>'Grid_Stock'!AR21</f>
        <v/>
      </c>
      <c r="AU706">
        <f>'Grid_Stock'!AS21</f>
        <v/>
      </c>
      <c r="AV706">
        <f>'Grid_Stock'!AT21</f>
        <v/>
      </c>
      <c r="AW706">
        <f>'Grid_Stock'!AU21</f>
        <v/>
      </c>
      <c r="AX706">
        <f>'Grid_Stock'!AV21</f>
        <v/>
      </c>
      <c r="AY706">
        <f>'Grid_Stock'!AW21</f>
        <v/>
      </c>
      <c r="AZ706">
        <f>'Grid_Stock'!AX21</f>
        <v/>
      </c>
      <c r="BA706">
        <f>'Grid_Stock'!AY21</f>
        <v/>
      </c>
      <c r="BB706">
        <f>'Grid_Stock'!AZ21</f>
        <v/>
      </c>
      <c r="BC706">
        <f>'Grid_Stock'!BA21</f>
        <v/>
      </c>
      <c r="BD706">
        <f>'Grid_Stock'!BB21</f>
        <v/>
      </c>
      <c r="BE706">
        <f>'Grid_Stock'!BC21</f>
        <v/>
      </c>
      <c r="BF706">
        <f>'Grid_Stock'!BD21</f>
        <v/>
      </c>
      <c r="BG706">
        <f>'Grid_Stock'!BE21</f>
        <v/>
      </c>
      <c r="BH706">
        <f>'Grid_Stock'!BF21</f>
        <v/>
      </c>
      <c r="BI706">
        <f>'Grid_Stock'!BG21</f>
        <v/>
      </c>
      <c r="BJ706">
        <f>'Grid_Stock'!BH21</f>
        <v/>
      </c>
      <c r="BK706">
        <f>'Grid_Stock'!BI21</f>
        <v/>
      </c>
      <c r="BL706">
        <f>'Grid_Stock'!BJ21</f>
        <v/>
      </c>
      <c r="BM706">
        <f>'Grid_Stock'!BK21</f>
        <v/>
      </c>
      <c r="BN706">
        <f>'Grid_Stock'!BL21</f>
        <v/>
      </c>
      <c r="BO706">
        <f>'Grid_Stock'!BM21</f>
        <v/>
      </c>
      <c r="BP706">
        <f>'Grid_Stock'!BN21</f>
        <v/>
      </c>
      <c r="BQ706">
        <f>'Grid_Stock'!BO21</f>
        <v/>
      </c>
      <c r="BR706">
        <f>'Grid_Stock'!BP21</f>
        <v/>
      </c>
      <c r="BS706">
        <f>'Grid_Stock'!BQ21</f>
        <v/>
      </c>
      <c r="BT706">
        <f>'Grid_Stock'!BR21</f>
        <v/>
      </c>
      <c r="BU706">
        <f>'Grid_Stock'!BS21</f>
        <v/>
      </c>
      <c r="BV706">
        <f>'Grid_Stock'!BT21</f>
        <v/>
      </c>
      <c r="BW706">
        <f>'Grid_Stock'!BU21</f>
        <v/>
      </c>
      <c r="BX706">
        <f>'Grid_Stock'!BV21</f>
        <v/>
      </c>
      <c r="BY706">
        <f>'Grid_Stock'!BW21</f>
        <v/>
      </c>
      <c r="BZ706">
        <f>'Grid_Stock'!BX21</f>
        <v/>
      </c>
      <c r="CA706">
        <f>'Grid_Stock'!BY21</f>
        <v/>
      </c>
      <c r="CB706">
        <f>'Grid_Stock'!BZ21</f>
        <v/>
      </c>
      <c r="CC706">
        <f>'Grid_Stock'!CA21</f>
        <v/>
      </c>
      <c r="CD706">
        <f>'Grid_Stock'!CB21</f>
        <v/>
      </c>
      <c r="CE706">
        <f>'Grid_Stock'!CC21</f>
        <v/>
      </c>
      <c r="CF706">
        <f>'Grid_Stock'!CD21</f>
        <v/>
      </c>
      <c r="CG706">
        <f>'Grid_Stock'!CE21</f>
        <v/>
      </c>
      <c r="CH706">
        <f>'Grid_Stock'!CF21</f>
        <v/>
      </c>
      <c r="CI706">
        <f>'Grid_Stock'!CG21</f>
        <v/>
      </c>
      <c r="CJ706">
        <f>'Grid_Stock'!CH21</f>
        <v/>
      </c>
      <c r="CK706">
        <f>'Grid_Stock'!CI21</f>
        <v/>
      </c>
      <c r="CL706">
        <f>'Grid_Stock'!CJ21</f>
        <v/>
      </c>
      <c r="CM706">
        <f>'Grid_Stock'!CK21</f>
        <v/>
      </c>
      <c r="CN706">
        <f>'Grid_Stock'!CL21</f>
        <v/>
      </c>
      <c r="CO706">
        <f>'Grid_Stock'!CM21</f>
        <v/>
      </c>
      <c r="CP706">
        <f>'Grid_Stock'!CN21</f>
        <v/>
      </c>
      <c r="CQ706">
        <f>'Grid_Stock'!CO21</f>
        <v/>
      </c>
      <c r="CR706">
        <f>'Grid_Stock'!CP21</f>
        <v/>
      </c>
      <c r="CS706">
        <f>'Grid_Stock'!CQ21</f>
        <v/>
      </c>
      <c r="CT706">
        <f>'Grid_Stock'!CR21</f>
        <v/>
      </c>
      <c r="CU706">
        <f>'Grid_Stock'!CS21</f>
        <v/>
      </c>
      <c r="CV706">
        <f>'Grid_Stock'!CT21</f>
        <v/>
      </c>
      <c r="CW706">
        <f>'Grid_Stock'!CU21</f>
        <v/>
      </c>
      <c r="CX706">
        <f>'Grid_Stock'!CV21</f>
        <v/>
      </c>
      <c r="CY706">
        <f>'Grid_Stock'!CW21</f>
        <v/>
      </c>
      <c r="CZ706">
        <f>'Grid_Stock'!CX21</f>
        <v/>
      </c>
      <c r="DA706">
        <f>'Grid_Stock'!CY21</f>
        <v/>
      </c>
      <c r="DB706">
        <f>'Grid_Stock'!CZ21</f>
        <v/>
      </c>
      <c r="DC706">
        <f>'Grid_Stock'!DA21</f>
        <v/>
      </c>
    </row>
    <row r="707">
      <c r="B707" s="16" t="inlineStr">
        <is>
          <t>（発注の目安はDashboardの基準在庫[下限/上限]と色分けを参照）</t>
        </is>
      </c>
    </row>
    <row r="709">
      <c r="A709" s="14" t="inlineStr">
        <is>
          <t>CHEM-1560</t>
        </is>
      </c>
      <c r="B709" s="14" t="inlineStr">
        <is>
          <t>TPZ-511</t>
        </is>
      </c>
      <c r="C709" s="15" t="n"/>
      <c r="D709" s="14" t="n"/>
      <c r="E709" s="14" t="n"/>
      <c r="F709" s="14" t="n"/>
      <c r="G709" s="14" t="n"/>
      <c r="H709" s="14" t="n"/>
      <c r="I709" s="14" t="n"/>
      <c r="J709" s="14" t="n"/>
      <c r="K709" s="14" t="n"/>
      <c r="L709" s="14" t="n"/>
      <c r="M709" s="14" t="n"/>
      <c r="N709" s="14" t="n"/>
      <c r="O709" s="14" t="n"/>
      <c r="P709" s="14" t="n"/>
      <c r="Q709" s="14" t="n"/>
      <c r="R709" s="14" t="n"/>
      <c r="S709" s="14" t="n"/>
      <c r="T709" s="14" t="n"/>
      <c r="U709" s="14" t="n"/>
      <c r="V709" s="14" t="n"/>
      <c r="W709" s="14" t="n"/>
      <c r="X709" s="14" t="n"/>
      <c r="Y709" s="14" t="n"/>
      <c r="Z709" s="14" t="n"/>
      <c r="AA709" s="14" t="n"/>
      <c r="AB709" s="14" t="n"/>
      <c r="AC709" s="14" t="n"/>
      <c r="AD709" s="14" t="n"/>
      <c r="AE709" s="14" t="n"/>
      <c r="AF709" s="14" t="n"/>
      <c r="AG709" s="14" t="n"/>
      <c r="AH709" s="14" t="n"/>
      <c r="AI709" s="14" t="n"/>
      <c r="AJ709" s="14" t="n"/>
      <c r="AK709" s="14" t="n"/>
      <c r="AL709" s="14" t="n"/>
      <c r="AM709" s="14" t="n"/>
      <c r="AN709" s="14" t="n"/>
      <c r="AO709" s="14" t="n"/>
      <c r="AP709" s="14" t="n"/>
      <c r="AQ709" s="14" t="n"/>
      <c r="AR709" s="14" t="n"/>
      <c r="AS709" s="14" t="n"/>
      <c r="AT709" s="14" t="n"/>
      <c r="AU709" s="14" t="n"/>
      <c r="AV709" s="14" t="n"/>
      <c r="AW709" s="14" t="n"/>
      <c r="AX709" s="14" t="n"/>
      <c r="AY709" s="14" t="n"/>
      <c r="AZ709" s="14" t="n"/>
      <c r="BA709" s="14" t="n"/>
      <c r="BB709" s="14" t="n"/>
      <c r="BC709" s="14" t="n"/>
      <c r="BD709" s="14" t="n"/>
      <c r="BE709" s="14" t="n"/>
      <c r="BF709" s="14" t="n"/>
      <c r="BG709" s="14" t="n"/>
      <c r="BH709" s="14" t="n"/>
      <c r="BI709" s="14" t="n"/>
      <c r="BJ709" s="14" t="n"/>
      <c r="BK709" s="14" t="n"/>
      <c r="BL709" s="14" t="n"/>
      <c r="BM709" s="14" t="n"/>
      <c r="BN709" s="14" t="n"/>
      <c r="BO709" s="14" t="n"/>
      <c r="BP709" s="14" t="n"/>
      <c r="BQ709" s="14" t="n"/>
      <c r="BR709" s="14" t="n"/>
      <c r="BS709" s="14" t="n"/>
      <c r="BT709" s="14" t="n"/>
      <c r="BU709" s="14" t="n"/>
      <c r="BV709" s="14" t="n"/>
      <c r="BW709" s="14" t="n"/>
      <c r="BX709" s="14" t="n"/>
      <c r="BY709" s="14" t="n"/>
      <c r="BZ709" s="14" t="n"/>
      <c r="CA709" s="14" t="n"/>
      <c r="CB709" s="14" t="n"/>
      <c r="CC709" s="14" t="n"/>
      <c r="CD709" s="14" t="n"/>
      <c r="CE709" s="14" t="n"/>
      <c r="CF709" s="14" t="n"/>
      <c r="CG709" s="14" t="n"/>
      <c r="CH709" s="14" t="n"/>
      <c r="CI709" s="14" t="n"/>
      <c r="CJ709" s="14" t="n"/>
      <c r="CK709" s="14" t="n"/>
      <c r="CL709" s="14" t="n"/>
      <c r="CM709" s="14" t="n"/>
      <c r="CN709" s="14" t="n"/>
      <c r="CO709" s="14" t="n"/>
      <c r="CP709" s="14" t="n"/>
      <c r="CQ709" s="14" t="n"/>
      <c r="CR709" s="14" t="n"/>
      <c r="CS709" s="14" t="n"/>
      <c r="CT709" s="14" t="n"/>
      <c r="CU709" s="14" t="n"/>
      <c r="CV709" s="14" t="n"/>
      <c r="CW709" s="14" t="n"/>
      <c r="CX709" s="14" t="n"/>
      <c r="CY709" s="14" t="n"/>
      <c r="CZ709" s="14" t="n"/>
      <c r="DA709" s="14" t="n"/>
      <c r="DB709" s="14" t="n"/>
      <c r="DC709" s="14" t="n"/>
    </row>
    <row r="710">
      <c r="B710" t="inlineStr">
        <is>
          <t>TSP-360</t>
        </is>
      </c>
      <c r="C710" t="inlineStr">
        <is>
          <t>No. of batches</t>
        </is>
      </c>
      <c r="D710">
        <f>IFERROR(INDEX(PP_Grid[#Data],$DD710,2),0)</f>
        <v/>
      </c>
      <c r="E710">
        <f>IFERROR(INDEX(PP_Grid[#Data],$DD710,3),0)</f>
        <v/>
      </c>
      <c r="F710">
        <f>IFERROR(INDEX(PP_Grid[#Data],$DD710,4),0)</f>
        <v/>
      </c>
      <c r="G710">
        <f>IFERROR(INDEX(PP_Grid[#Data],$DD710,5),0)</f>
        <v/>
      </c>
      <c r="H710">
        <f>IFERROR(INDEX(PP_Grid[#Data],$DD710,6),0)</f>
        <v/>
      </c>
      <c r="I710">
        <f>IFERROR(INDEX(PP_Grid[#Data],$DD710,7),0)</f>
        <v/>
      </c>
      <c r="J710">
        <f>IFERROR(INDEX(PP_Grid[#Data],$DD710,8),0)</f>
        <v/>
      </c>
      <c r="K710">
        <f>IFERROR(INDEX(PP_Grid[#Data],$DD710,9),0)</f>
        <v/>
      </c>
      <c r="L710">
        <f>IFERROR(INDEX(PP_Grid[#Data],$DD710,10),0)</f>
        <v/>
      </c>
      <c r="M710">
        <f>IFERROR(INDEX(PP_Grid[#Data],$DD710,11),0)</f>
        <v/>
      </c>
      <c r="N710">
        <f>IFERROR(INDEX(PP_Grid[#Data],$DD710,12),0)</f>
        <v/>
      </c>
      <c r="O710">
        <f>IFERROR(INDEX(PP_Grid[#Data],$DD710,13),0)</f>
        <v/>
      </c>
      <c r="P710">
        <f>IFERROR(INDEX(PP_Grid[#Data],$DD710,14),0)</f>
        <v/>
      </c>
      <c r="Q710">
        <f>IFERROR(INDEX(PP_Grid[#Data],$DD710,15),0)</f>
        <v/>
      </c>
      <c r="R710">
        <f>IFERROR(INDEX(PP_Grid[#Data],$DD710,16),0)</f>
        <v/>
      </c>
      <c r="S710">
        <f>IFERROR(INDEX(PP_Grid[#Data],$DD710,17),0)</f>
        <v/>
      </c>
      <c r="T710">
        <f>IFERROR(INDEX(PP_Grid[#Data],$DD710,18),0)</f>
        <v/>
      </c>
      <c r="U710">
        <f>IFERROR(INDEX(PP_Grid[#Data],$DD710,19),0)</f>
        <v/>
      </c>
      <c r="V710">
        <f>IFERROR(INDEX(PP_Grid[#Data],$DD710,20),0)</f>
        <v/>
      </c>
      <c r="W710">
        <f>IFERROR(INDEX(PP_Grid[#Data],$DD710,21),0)</f>
        <v/>
      </c>
      <c r="X710">
        <f>IFERROR(INDEX(PP_Grid[#Data],$DD710,22),0)</f>
        <v/>
      </c>
      <c r="Y710">
        <f>IFERROR(INDEX(PP_Grid[#Data],$DD710,23),0)</f>
        <v/>
      </c>
      <c r="Z710">
        <f>IFERROR(INDEX(PP_Grid[#Data],$DD710,24),0)</f>
        <v/>
      </c>
      <c r="AA710">
        <f>IFERROR(INDEX(PP_Grid[#Data],$DD710,25),0)</f>
        <v/>
      </c>
      <c r="AB710">
        <f>IFERROR(INDEX(PP_Grid[#Data],$DD710,26),0)</f>
        <v/>
      </c>
      <c r="AC710">
        <f>IFERROR(INDEX(PP_Grid[#Data],$DD710,27),0)</f>
        <v/>
      </c>
      <c r="AD710">
        <f>IFERROR(INDEX(PP_Grid[#Data],$DD710,28),0)</f>
        <v/>
      </c>
      <c r="AE710">
        <f>IFERROR(INDEX(PP_Grid[#Data],$DD710,29),0)</f>
        <v/>
      </c>
      <c r="AF710">
        <f>IFERROR(INDEX(PP_Grid[#Data],$DD710,30),0)</f>
        <v/>
      </c>
      <c r="AG710">
        <f>IFERROR(INDEX(PP_Grid[#Data],$DD710,31),0)</f>
        <v/>
      </c>
      <c r="AH710">
        <f>IFERROR(INDEX(PP_Grid[#Data],$DD710,32),0)</f>
        <v/>
      </c>
      <c r="AI710">
        <f>IFERROR(INDEX(PP_Grid[#Data],$DD710,33),0)</f>
        <v/>
      </c>
      <c r="AJ710">
        <f>IFERROR(INDEX(PP_Grid[#Data],$DD710,34),0)</f>
        <v/>
      </c>
      <c r="AK710">
        <f>IFERROR(INDEX(PP_Grid[#Data],$DD710,35),0)</f>
        <v/>
      </c>
      <c r="AL710">
        <f>IFERROR(INDEX(PP_Grid[#Data],$DD710,36),0)</f>
        <v/>
      </c>
      <c r="AM710">
        <f>IFERROR(INDEX(PP_Grid[#Data],$DD710,37),0)</f>
        <v/>
      </c>
      <c r="AN710">
        <f>IFERROR(INDEX(PP_Grid[#Data],$DD710,38),0)</f>
        <v/>
      </c>
      <c r="AO710">
        <f>IFERROR(INDEX(PP_Grid[#Data],$DD710,39),0)</f>
        <v/>
      </c>
      <c r="AP710">
        <f>IFERROR(INDEX(PP_Grid[#Data],$DD710,40),0)</f>
        <v/>
      </c>
      <c r="AQ710">
        <f>IFERROR(INDEX(PP_Grid[#Data],$DD710,41),0)</f>
        <v/>
      </c>
      <c r="AR710">
        <f>IFERROR(INDEX(PP_Grid[#Data],$DD710,42),0)</f>
        <v/>
      </c>
      <c r="AS710">
        <f>IFERROR(INDEX(PP_Grid[#Data],$DD710,43),0)</f>
        <v/>
      </c>
      <c r="AT710">
        <f>IFERROR(INDEX(PP_Grid[#Data],$DD710,44),0)</f>
        <v/>
      </c>
      <c r="AU710">
        <f>IFERROR(INDEX(PP_Grid[#Data],$DD710,45),0)</f>
        <v/>
      </c>
      <c r="AV710">
        <f>IFERROR(INDEX(PP_Grid[#Data],$DD710,46),0)</f>
        <v/>
      </c>
      <c r="AW710">
        <f>IFERROR(INDEX(PP_Grid[#Data],$DD710,47),0)</f>
        <v/>
      </c>
      <c r="AX710">
        <f>IFERROR(INDEX(PP_Grid[#Data],$DD710,48),0)</f>
        <v/>
      </c>
      <c r="AY710">
        <f>IFERROR(INDEX(PP_Grid[#Data],$DD710,49),0)</f>
        <v/>
      </c>
      <c r="AZ710">
        <f>IFERROR(INDEX(PP_Grid[#Data],$DD710,50),0)</f>
        <v/>
      </c>
      <c r="BA710">
        <f>IFERROR(INDEX(PP_Grid[#Data],$DD710,51),0)</f>
        <v/>
      </c>
      <c r="BB710">
        <f>IFERROR(INDEX(PP_Grid[#Data],$DD710,52),0)</f>
        <v/>
      </c>
      <c r="BC710">
        <f>IFERROR(INDEX(PP_Grid[#Data],$DD710,53),0)</f>
        <v/>
      </c>
      <c r="BD710">
        <f>IFERROR(INDEX(PP_Grid[#Data],$DD710,54),0)</f>
        <v/>
      </c>
      <c r="BE710">
        <f>IFERROR(INDEX(PP_Grid[#Data],$DD710,55),0)</f>
        <v/>
      </c>
      <c r="BF710">
        <f>IFERROR(INDEX(PP_Grid[#Data],$DD710,56),0)</f>
        <v/>
      </c>
      <c r="BG710">
        <f>IFERROR(INDEX(PP_Grid[#Data],$DD710,57),0)</f>
        <v/>
      </c>
      <c r="BH710">
        <f>IFERROR(INDEX(PP_Grid[#Data],$DD710,58),0)</f>
        <v/>
      </c>
      <c r="BI710">
        <f>IFERROR(INDEX(PP_Grid[#Data],$DD710,59),0)</f>
        <v/>
      </c>
      <c r="BJ710">
        <f>IFERROR(INDEX(PP_Grid[#Data],$DD710,60),0)</f>
        <v/>
      </c>
      <c r="BK710">
        <f>IFERROR(INDEX(PP_Grid[#Data],$DD710,61),0)</f>
        <v/>
      </c>
      <c r="BL710">
        <f>IFERROR(INDEX(PP_Grid[#Data],$DD710,62),0)</f>
        <v/>
      </c>
      <c r="BM710">
        <f>IFERROR(INDEX(PP_Grid[#Data],$DD710,63),0)</f>
        <v/>
      </c>
      <c r="BN710">
        <f>IFERROR(INDEX(PP_Grid[#Data],$DD710,64),0)</f>
        <v/>
      </c>
      <c r="BO710">
        <f>IFERROR(INDEX(PP_Grid[#Data],$DD710,65),0)</f>
        <v/>
      </c>
      <c r="BP710">
        <f>IFERROR(INDEX(PP_Grid[#Data],$DD710,66),0)</f>
        <v/>
      </c>
      <c r="BQ710">
        <f>IFERROR(INDEX(PP_Grid[#Data],$DD710,67),0)</f>
        <v/>
      </c>
      <c r="BR710">
        <f>IFERROR(INDEX(PP_Grid[#Data],$DD710,68),0)</f>
        <v/>
      </c>
      <c r="BS710">
        <f>IFERROR(INDEX(PP_Grid[#Data],$DD710,69),0)</f>
        <v/>
      </c>
      <c r="BT710">
        <f>IFERROR(INDEX(PP_Grid[#Data],$DD710,70),0)</f>
        <v/>
      </c>
      <c r="BU710">
        <f>IFERROR(INDEX(PP_Grid[#Data],$DD710,71),0)</f>
        <v/>
      </c>
      <c r="BV710">
        <f>IFERROR(INDEX(PP_Grid[#Data],$DD710,72),0)</f>
        <v/>
      </c>
      <c r="BW710">
        <f>IFERROR(INDEX(PP_Grid[#Data],$DD710,73),0)</f>
        <v/>
      </c>
      <c r="BX710">
        <f>IFERROR(INDEX(PP_Grid[#Data],$DD710,74),0)</f>
        <v/>
      </c>
      <c r="BY710">
        <f>IFERROR(INDEX(PP_Grid[#Data],$DD710,75),0)</f>
        <v/>
      </c>
      <c r="BZ710">
        <f>IFERROR(INDEX(PP_Grid[#Data],$DD710,76),0)</f>
        <v/>
      </c>
      <c r="CA710">
        <f>IFERROR(INDEX(PP_Grid[#Data],$DD710,77),0)</f>
        <v/>
      </c>
      <c r="CB710">
        <f>IFERROR(INDEX(PP_Grid[#Data],$DD710,78),0)</f>
        <v/>
      </c>
      <c r="CC710">
        <f>IFERROR(INDEX(PP_Grid[#Data],$DD710,79),0)</f>
        <v/>
      </c>
      <c r="CD710">
        <f>IFERROR(INDEX(PP_Grid[#Data],$DD710,80),0)</f>
        <v/>
      </c>
      <c r="CE710">
        <f>IFERROR(INDEX(PP_Grid[#Data],$DD710,81),0)</f>
        <v/>
      </c>
      <c r="CF710">
        <f>IFERROR(INDEX(PP_Grid[#Data],$DD710,82),0)</f>
        <v/>
      </c>
      <c r="CG710">
        <f>IFERROR(INDEX(PP_Grid[#Data],$DD710,83),0)</f>
        <v/>
      </c>
      <c r="CH710">
        <f>IFERROR(INDEX(PP_Grid[#Data],$DD710,84),0)</f>
        <v/>
      </c>
      <c r="CI710">
        <f>IFERROR(INDEX(PP_Grid[#Data],$DD710,85),0)</f>
        <v/>
      </c>
      <c r="CJ710">
        <f>IFERROR(INDEX(PP_Grid[#Data],$DD710,86),0)</f>
        <v/>
      </c>
      <c r="CK710">
        <f>IFERROR(INDEX(PP_Grid[#Data],$DD710,87),0)</f>
        <v/>
      </c>
      <c r="CL710">
        <f>IFERROR(INDEX(PP_Grid[#Data],$DD710,88),0)</f>
        <v/>
      </c>
      <c r="CM710">
        <f>IFERROR(INDEX(PP_Grid[#Data],$DD710,89),0)</f>
        <v/>
      </c>
      <c r="CN710">
        <f>IFERROR(INDEX(PP_Grid[#Data],$DD710,90),0)</f>
        <v/>
      </c>
      <c r="CO710">
        <f>IFERROR(INDEX(PP_Grid[#Data],$DD710,91),0)</f>
        <v/>
      </c>
      <c r="CP710">
        <f>IFERROR(INDEX(PP_Grid[#Data],$DD710,92),0)</f>
        <v/>
      </c>
      <c r="CQ710">
        <f>IFERROR(INDEX(PP_Grid[#Data],$DD710,93),0)</f>
        <v/>
      </c>
      <c r="CR710">
        <f>IFERROR(INDEX(PP_Grid[#Data],$DD710,94),0)</f>
        <v/>
      </c>
      <c r="CS710">
        <f>IFERROR(INDEX(PP_Grid[#Data],$DD710,95),0)</f>
        <v/>
      </c>
      <c r="CT710">
        <f>IFERROR(INDEX(PP_Grid[#Data],$DD710,96),0)</f>
        <v/>
      </c>
      <c r="CU710">
        <f>IFERROR(INDEX(PP_Grid[#Data],$DD710,97),0)</f>
        <v/>
      </c>
      <c r="CV710">
        <f>IFERROR(INDEX(PP_Grid[#Data],$DD710,98),0)</f>
        <v/>
      </c>
      <c r="CW710">
        <f>IFERROR(INDEX(PP_Grid[#Data],$DD710,99),0)</f>
        <v/>
      </c>
      <c r="CX710">
        <f>IFERROR(INDEX(PP_Grid[#Data],$DD710,100),0)</f>
        <v/>
      </c>
      <c r="CY710">
        <f>IFERROR(INDEX(PP_Grid[#Data],$DD710,101),0)</f>
        <v/>
      </c>
      <c r="CZ710">
        <f>IFERROR(INDEX(PP_Grid[#Data],$DD710,102),0)</f>
        <v/>
      </c>
      <c r="DA710">
        <f>IFERROR(INDEX(PP_Grid[#Data],$DD710,103),0)</f>
        <v/>
      </c>
      <c r="DB710">
        <f>IFERROR(INDEX(PP_Grid[#Data],$DD710,104),0)</f>
        <v/>
      </c>
      <c r="DC710">
        <f>IFERROR(INDEX(PP_Grid[#Data],$DD710,105),0)</f>
        <v/>
      </c>
      <c r="DD710" s="7">
        <f>IFERROR(MATCH($B710,PP_Grid[Intermediate],0),99999)</f>
        <v/>
      </c>
    </row>
    <row r="711">
      <c r="B711" t="inlineStr">
        <is>
          <t>使用量(kg)</t>
        </is>
      </c>
      <c r="C711">
        <f>SUMIFS(M_BOM[RM_Qty_Per_Batch],M_BOM[Intermediate],$B710,M_BOM[Part Name],$A709)</f>
        <v/>
      </c>
      <c r="D711">
        <f>$C711*D710</f>
        <v/>
      </c>
      <c r="E711">
        <f>$C711*E710</f>
        <v/>
      </c>
      <c r="F711">
        <f>$C711*F710</f>
        <v/>
      </c>
      <c r="G711">
        <f>$C711*G710</f>
        <v/>
      </c>
      <c r="H711">
        <f>$C711*H710</f>
        <v/>
      </c>
      <c r="I711">
        <f>$C711*I710</f>
        <v/>
      </c>
      <c r="J711">
        <f>$C711*J710</f>
        <v/>
      </c>
      <c r="K711">
        <f>$C711*K710</f>
        <v/>
      </c>
      <c r="L711">
        <f>$C711*L710</f>
        <v/>
      </c>
      <c r="M711">
        <f>$C711*M710</f>
        <v/>
      </c>
      <c r="N711">
        <f>$C711*N710</f>
        <v/>
      </c>
      <c r="O711">
        <f>$C711*O710</f>
        <v/>
      </c>
      <c r="P711">
        <f>$C711*P710</f>
        <v/>
      </c>
      <c r="Q711">
        <f>$C711*Q710</f>
        <v/>
      </c>
      <c r="R711">
        <f>$C711*R710</f>
        <v/>
      </c>
      <c r="S711">
        <f>$C711*S710</f>
        <v/>
      </c>
      <c r="T711">
        <f>$C711*T710</f>
        <v/>
      </c>
      <c r="U711">
        <f>$C711*U710</f>
        <v/>
      </c>
      <c r="V711">
        <f>$C711*V710</f>
        <v/>
      </c>
      <c r="W711">
        <f>$C711*W710</f>
        <v/>
      </c>
      <c r="X711">
        <f>$C711*X710</f>
        <v/>
      </c>
      <c r="Y711">
        <f>$C711*Y710</f>
        <v/>
      </c>
      <c r="Z711">
        <f>$C711*Z710</f>
        <v/>
      </c>
      <c r="AA711">
        <f>$C711*AA710</f>
        <v/>
      </c>
      <c r="AB711">
        <f>$C711*AB710</f>
        <v/>
      </c>
      <c r="AC711">
        <f>$C711*AC710</f>
        <v/>
      </c>
      <c r="AD711">
        <f>$C711*AD710</f>
        <v/>
      </c>
      <c r="AE711">
        <f>$C711*AE710</f>
        <v/>
      </c>
      <c r="AF711">
        <f>$C711*AF710</f>
        <v/>
      </c>
      <c r="AG711">
        <f>$C711*AG710</f>
        <v/>
      </c>
      <c r="AH711">
        <f>$C711*AH710</f>
        <v/>
      </c>
      <c r="AI711">
        <f>$C711*AI710</f>
        <v/>
      </c>
      <c r="AJ711">
        <f>$C711*AJ710</f>
        <v/>
      </c>
      <c r="AK711">
        <f>$C711*AK710</f>
        <v/>
      </c>
      <c r="AL711">
        <f>$C711*AL710</f>
        <v/>
      </c>
      <c r="AM711">
        <f>$C711*AM710</f>
        <v/>
      </c>
      <c r="AN711">
        <f>$C711*AN710</f>
        <v/>
      </c>
      <c r="AO711">
        <f>$C711*AO710</f>
        <v/>
      </c>
      <c r="AP711">
        <f>$C711*AP710</f>
        <v/>
      </c>
      <c r="AQ711">
        <f>$C711*AQ710</f>
        <v/>
      </c>
      <c r="AR711">
        <f>$C711*AR710</f>
        <v/>
      </c>
      <c r="AS711">
        <f>$C711*AS710</f>
        <v/>
      </c>
      <c r="AT711">
        <f>$C711*AT710</f>
        <v/>
      </c>
      <c r="AU711">
        <f>$C711*AU710</f>
        <v/>
      </c>
      <c r="AV711">
        <f>$C711*AV710</f>
        <v/>
      </c>
      <c r="AW711">
        <f>$C711*AW710</f>
        <v/>
      </c>
      <c r="AX711">
        <f>$C711*AX710</f>
        <v/>
      </c>
      <c r="AY711">
        <f>$C711*AY710</f>
        <v/>
      </c>
      <c r="AZ711">
        <f>$C711*AZ710</f>
        <v/>
      </c>
      <c r="BA711">
        <f>$C711*BA710</f>
        <v/>
      </c>
      <c r="BB711">
        <f>$C711*BB710</f>
        <v/>
      </c>
      <c r="BC711">
        <f>$C711*BC710</f>
        <v/>
      </c>
      <c r="BD711">
        <f>$C711*BD710</f>
        <v/>
      </c>
      <c r="BE711">
        <f>$C711*BE710</f>
        <v/>
      </c>
      <c r="BF711">
        <f>$C711*BF710</f>
        <v/>
      </c>
      <c r="BG711">
        <f>$C711*BG710</f>
        <v/>
      </c>
      <c r="BH711">
        <f>$C711*BH710</f>
        <v/>
      </c>
      <c r="BI711">
        <f>$C711*BI710</f>
        <v/>
      </c>
      <c r="BJ711">
        <f>$C711*BJ710</f>
        <v/>
      </c>
      <c r="BK711">
        <f>$C711*BK710</f>
        <v/>
      </c>
      <c r="BL711">
        <f>$C711*BL710</f>
        <v/>
      </c>
      <c r="BM711">
        <f>$C711*BM710</f>
        <v/>
      </c>
      <c r="BN711">
        <f>$C711*BN710</f>
        <v/>
      </c>
      <c r="BO711">
        <f>$C711*BO710</f>
        <v/>
      </c>
      <c r="BP711">
        <f>$C711*BP710</f>
        <v/>
      </c>
      <c r="BQ711">
        <f>$C711*BQ710</f>
        <v/>
      </c>
      <c r="BR711">
        <f>$C711*BR710</f>
        <v/>
      </c>
      <c r="BS711">
        <f>$C711*BS710</f>
        <v/>
      </c>
      <c r="BT711">
        <f>$C711*BT710</f>
        <v/>
      </c>
      <c r="BU711">
        <f>$C711*BU710</f>
        <v/>
      </c>
      <c r="BV711">
        <f>$C711*BV710</f>
        <v/>
      </c>
      <c r="BW711">
        <f>$C711*BW710</f>
        <v/>
      </c>
      <c r="BX711">
        <f>$C711*BX710</f>
        <v/>
      </c>
      <c r="BY711">
        <f>$C711*BY710</f>
        <v/>
      </c>
      <c r="BZ711">
        <f>$C711*BZ710</f>
        <v/>
      </c>
      <c r="CA711">
        <f>$C711*CA710</f>
        <v/>
      </c>
      <c r="CB711">
        <f>$C711*CB710</f>
        <v/>
      </c>
      <c r="CC711">
        <f>$C711*CC710</f>
        <v/>
      </c>
      <c r="CD711">
        <f>$C711*CD710</f>
        <v/>
      </c>
      <c r="CE711">
        <f>$C711*CE710</f>
        <v/>
      </c>
      <c r="CF711">
        <f>$C711*CF710</f>
        <v/>
      </c>
      <c r="CG711">
        <f>$C711*CG710</f>
        <v/>
      </c>
      <c r="CH711">
        <f>$C711*CH710</f>
        <v/>
      </c>
      <c r="CI711">
        <f>$C711*CI710</f>
        <v/>
      </c>
      <c r="CJ711">
        <f>$C711*CJ710</f>
        <v/>
      </c>
      <c r="CK711">
        <f>$C711*CK710</f>
        <v/>
      </c>
      <c r="CL711">
        <f>$C711*CL710</f>
        <v/>
      </c>
      <c r="CM711">
        <f>$C711*CM710</f>
        <v/>
      </c>
      <c r="CN711">
        <f>$C711*CN710</f>
        <v/>
      </c>
      <c r="CO711">
        <f>$C711*CO710</f>
        <v/>
      </c>
      <c r="CP711">
        <f>$C711*CP710</f>
        <v/>
      </c>
      <c r="CQ711">
        <f>$C711*CQ710</f>
        <v/>
      </c>
      <c r="CR711">
        <f>$C711*CR710</f>
        <v/>
      </c>
      <c r="CS711">
        <f>$C711*CS710</f>
        <v/>
      </c>
      <c r="CT711">
        <f>$C711*CT710</f>
        <v/>
      </c>
      <c r="CU711">
        <f>$C711*CU710</f>
        <v/>
      </c>
      <c r="CV711">
        <f>$C711*CV710</f>
        <v/>
      </c>
      <c r="CW711">
        <f>$C711*CW710</f>
        <v/>
      </c>
      <c r="CX711">
        <f>$C711*CX710</f>
        <v/>
      </c>
      <c r="CY711">
        <f>$C711*CY710</f>
        <v/>
      </c>
      <c r="CZ711">
        <f>$C711*CZ710</f>
        <v/>
      </c>
      <c r="DA711">
        <f>$C711*DA710</f>
        <v/>
      </c>
      <c r="DB711">
        <f>$C711*DB710</f>
        <v/>
      </c>
      <c r="DC711">
        <f>$C711*DC710</f>
        <v/>
      </c>
    </row>
    <row r="712">
      <c r="B712" t="inlineStr">
        <is>
          <t>TSP-544</t>
        </is>
      </c>
      <c r="C712" t="inlineStr">
        <is>
          <t>No. of batches</t>
        </is>
      </c>
      <c r="D712">
        <f>IFERROR(INDEX(PP_Grid[#Data],$DD712,2),0)</f>
        <v/>
      </c>
      <c r="E712">
        <f>IFERROR(INDEX(PP_Grid[#Data],$DD712,3),0)</f>
        <v/>
      </c>
      <c r="F712">
        <f>IFERROR(INDEX(PP_Grid[#Data],$DD712,4),0)</f>
        <v/>
      </c>
      <c r="G712">
        <f>IFERROR(INDEX(PP_Grid[#Data],$DD712,5),0)</f>
        <v/>
      </c>
      <c r="H712">
        <f>IFERROR(INDEX(PP_Grid[#Data],$DD712,6),0)</f>
        <v/>
      </c>
      <c r="I712">
        <f>IFERROR(INDEX(PP_Grid[#Data],$DD712,7),0)</f>
        <v/>
      </c>
      <c r="J712">
        <f>IFERROR(INDEX(PP_Grid[#Data],$DD712,8),0)</f>
        <v/>
      </c>
      <c r="K712">
        <f>IFERROR(INDEX(PP_Grid[#Data],$DD712,9),0)</f>
        <v/>
      </c>
      <c r="L712">
        <f>IFERROR(INDEX(PP_Grid[#Data],$DD712,10),0)</f>
        <v/>
      </c>
      <c r="M712">
        <f>IFERROR(INDEX(PP_Grid[#Data],$DD712,11),0)</f>
        <v/>
      </c>
      <c r="N712">
        <f>IFERROR(INDEX(PP_Grid[#Data],$DD712,12),0)</f>
        <v/>
      </c>
      <c r="O712">
        <f>IFERROR(INDEX(PP_Grid[#Data],$DD712,13),0)</f>
        <v/>
      </c>
      <c r="P712">
        <f>IFERROR(INDEX(PP_Grid[#Data],$DD712,14),0)</f>
        <v/>
      </c>
      <c r="Q712">
        <f>IFERROR(INDEX(PP_Grid[#Data],$DD712,15),0)</f>
        <v/>
      </c>
      <c r="R712">
        <f>IFERROR(INDEX(PP_Grid[#Data],$DD712,16),0)</f>
        <v/>
      </c>
      <c r="S712">
        <f>IFERROR(INDEX(PP_Grid[#Data],$DD712,17),0)</f>
        <v/>
      </c>
      <c r="T712">
        <f>IFERROR(INDEX(PP_Grid[#Data],$DD712,18),0)</f>
        <v/>
      </c>
      <c r="U712">
        <f>IFERROR(INDEX(PP_Grid[#Data],$DD712,19),0)</f>
        <v/>
      </c>
      <c r="V712">
        <f>IFERROR(INDEX(PP_Grid[#Data],$DD712,20),0)</f>
        <v/>
      </c>
      <c r="W712">
        <f>IFERROR(INDEX(PP_Grid[#Data],$DD712,21),0)</f>
        <v/>
      </c>
      <c r="X712">
        <f>IFERROR(INDEX(PP_Grid[#Data],$DD712,22),0)</f>
        <v/>
      </c>
      <c r="Y712">
        <f>IFERROR(INDEX(PP_Grid[#Data],$DD712,23),0)</f>
        <v/>
      </c>
      <c r="Z712">
        <f>IFERROR(INDEX(PP_Grid[#Data],$DD712,24),0)</f>
        <v/>
      </c>
      <c r="AA712">
        <f>IFERROR(INDEX(PP_Grid[#Data],$DD712,25),0)</f>
        <v/>
      </c>
      <c r="AB712">
        <f>IFERROR(INDEX(PP_Grid[#Data],$DD712,26),0)</f>
        <v/>
      </c>
      <c r="AC712">
        <f>IFERROR(INDEX(PP_Grid[#Data],$DD712,27),0)</f>
        <v/>
      </c>
      <c r="AD712">
        <f>IFERROR(INDEX(PP_Grid[#Data],$DD712,28),0)</f>
        <v/>
      </c>
      <c r="AE712">
        <f>IFERROR(INDEX(PP_Grid[#Data],$DD712,29),0)</f>
        <v/>
      </c>
      <c r="AF712">
        <f>IFERROR(INDEX(PP_Grid[#Data],$DD712,30),0)</f>
        <v/>
      </c>
      <c r="AG712">
        <f>IFERROR(INDEX(PP_Grid[#Data],$DD712,31),0)</f>
        <v/>
      </c>
      <c r="AH712">
        <f>IFERROR(INDEX(PP_Grid[#Data],$DD712,32),0)</f>
        <v/>
      </c>
      <c r="AI712">
        <f>IFERROR(INDEX(PP_Grid[#Data],$DD712,33),0)</f>
        <v/>
      </c>
      <c r="AJ712">
        <f>IFERROR(INDEX(PP_Grid[#Data],$DD712,34),0)</f>
        <v/>
      </c>
      <c r="AK712">
        <f>IFERROR(INDEX(PP_Grid[#Data],$DD712,35),0)</f>
        <v/>
      </c>
      <c r="AL712">
        <f>IFERROR(INDEX(PP_Grid[#Data],$DD712,36),0)</f>
        <v/>
      </c>
      <c r="AM712">
        <f>IFERROR(INDEX(PP_Grid[#Data],$DD712,37),0)</f>
        <v/>
      </c>
      <c r="AN712">
        <f>IFERROR(INDEX(PP_Grid[#Data],$DD712,38),0)</f>
        <v/>
      </c>
      <c r="AO712">
        <f>IFERROR(INDEX(PP_Grid[#Data],$DD712,39),0)</f>
        <v/>
      </c>
      <c r="AP712">
        <f>IFERROR(INDEX(PP_Grid[#Data],$DD712,40),0)</f>
        <v/>
      </c>
      <c r="AQ712">
        <f>IFERROR(INDEX(PP_Grid[#Data],$DD712,41),0)</f>
        <v/>
      </c>
      <c r="AR712">
        <f>IFERROR(INDEX(PP_Grid[#Data],$DD712,42),0)</f>
        <v/>
      </c>
      <c r="AS712">
        <f>IFERROR(INDEX(PP_Grid[#Data],$DD712,43),0)</f>
        <v/>
      </c>
      <c r="AT712">
        <f>IFERROR(INDEX(PP_Grid[#Data],$DD712,44),0)</f>
        <v/>
      </c>
      <c r="AU712">
        <f>IFERROR(INDEX(PP_Grid[#Data],$DD712,45),0)</f>
        <v/>
      </c>
      <c r="AV712">
        <f>IFERROR(INDEX(PP_Grid[#Data],$DD712,46),0)</f>
        <v/>
      </c>
      <c r="AW712">
        <f>IFERROR(INDEX(PP_Grid[#Data],$DD712,47),0)</f>
        <v/>
      </c>
      <c r="AX712">
        <f>IFERROR(INDEX(PP_Grid[#Data],$DD712,48),0)</f>
        <v/>
      </c>
      <c r="AY712">
        <f>IFERROR(INDEX(PP_Grid[#Data],$DD712,49),0)</f>
        <v/>
      </c>
      <c r="AZ712">
        <f>IFERROR(INDEX(PP_Grid[#Data],$DD712,50),0)</f>
        <v/>
      </c>
      <c r="BA712">
        <f>IFERROR(INDEX(PP_Grid[#Data],$DD712,51),0)</f>
        <v/>
      </c>
      <c r="BB712">
        <f>IFERROR(INDEX(PP_Grid[#Data],$DD712,52),0)</f>
        <v/>
      </c>
      <c r="BC712">
        <f>IFERROR(INDEX(PP_Grid[#Data],$DD712,53),0)</f>
        <v/>
      </c>
      <c r="BD712">
        <f>IFERROR(INDEX(PP_Grid[#Data],$DD712,54),0)</f>
        <v/>
      </c>
      <c r="BE712">
        <f>IFERROR(INDEX(PP_Grid[#Data],$DD712,55),0)</f>
        <v/>
      </c>
      <c r="BF712">
        <f>IFERROR(INDEX(PP_Grid[#Data],$DD712,56),0)</f>
        <v/>
      </c>
      <c r="BG712">
        <f>IFERROR(INDEX(PP_Grid[#Data],$DD712,57),0)</f>
        <v/>
      </c>
      <c r="BH712">
        <f>IFERROR(INDEX(PP_Grid[#Data],$DD712,58),0)</f>
        <v/>
      </c>
      <c r="BI712">
        <f>IFERROR(INDEX(PP_Grid[#Data],$DD712,59),0)</f>
        <v/>
      </c>
      <c r="BJ712">
        <f>IFERROR(INDEX(PP_Grid[#Data],$DD712,60),0)</f>
        <v/>
      </c>
      <c r="BK712">
        <f>IFERROR(INDEX(PP_Grid[#Data],$DD712,61),0)</f>
        <v/>
      </c>
      <c r="BL712">
        <f>IFERROR(INDEX(PP_Grid[#Data],$DD712,62),0)</f>
        <v/>
      </c>
      <c r="BM712">
        <f>IFERROR(INDEX(PP_Grid[#Data],$DD712,63),0)</f>
        <v/>
      </c>
      <c r="BN712">
        <f>IFERROR(INDEX(PP_Grid[#Data],$DD712,64),0)</f>
        <v/>
      </c>
      <c r="BO712">
        <f>IFERROR(INDEX(PP_Grid[#Data],$DD712,65),0)</f>
        <v/>
      </c>
      <c r="BP712">
        <f>IFERROR(INDEX(PP_Grid[#Data],$DD712,66),0)</f>
        <v/>
      </c>
      <c r="BQ712">
        <f>IFERROR(INDEX(PP_Grid[#Data],$DD712,67),0)</f>
        <v/>
      </c>
      <c r="BR712">
        <f>IFERROR(INDEX(PP_Grid[#Data],$DD712,68),0)</f>
        <v/>
      </c>
      <c r="BS712">
        <f>IFERROR(INDEX(PP_Grid[#Data],$DD712,69),0)</f>
        <v/>
      </c>
      <c r="BT712">
        <f>IFERROR(INDEX(PP_Grid[#Data],$DD712,70),0)</f>
        <v/>
      </c>
      <c r="BU712">
        <f>IFERROR(INDEX(PP_Grid[#Data],$DD712,71),0)</f>
        <v/>
      </c>
      <c r="BV712">
        <f>IFERROR(INDEX(PP_Grid[#Data],$DD712,72),0)</f>
        <v/>
      </c>
      <c r="BW712">
        <f>IFERROR(INDEX(PP_Grid[#Data],$DD712,73),0)</f>
        <v/>
      </c>
      <c r="BX712">
        <f>IFERROR(INDEX(PP_Grid[#Data],$DD712,74),0)</f>
        <v/>
      </c>
      <c r="BY712">
        <f>IFERROR(INDEX(PP_Grid[#Data],$DD712,75),0)</f>
        <v/>
      </c>
      <c r="BZ712">
        <f>IFERROR(INDEX(PP_Grid[#Data],$DD712,76),0)</f>
        <v/>
      </c>
      <c r="CA712">
        <f>IFERROR(INDEX(PP_Grid[#Data],$DD712,77),0)</f>
        <v/>
      </c>
      <c r="CB712">
        <f>IFERROR(INDEX(PP_Grid[#Data],$DD712,78),0)</f>
        <v/>
      </c>
      <c r="CC712">
        <f>IFERROR(INDEX(PP_Grid[#Data],$DD712,79),0)</f>
        <v/>
      </c>
      <c r="CD712">
        <f>IFERROR(INDEX(PP_Grid[#Data],$DD712,80),0)</f>
        <v/>
      </c>
      <c r="CE712">
        <f>IFERROR(INDEX(PP_Grid[#Data],$DD712,81),0)</f>
        <v/>
      </c>
      <c r="CF712">
        <f>IFERROR(INDEX(PP_Grid[#Data],$DD712,82),0)</f>
        <v/>
      </c>
      <c r="CG712">
        <f>IFERROR(INDEX(PP_Grid[#Data],$DD712,83),0)</f>
        <v/>
      </c>
      <c r="CH712">
        <f>IFERROR(INDEX(PP_Grid[#Data],$DD712,84),0)</f>
        <v/>
      </c>
      <c r="CI712">
        <f>IFERROR(INDEX(PP_Grid[#Data],$DD712,85),0)</f>
        <v/>
      </c>
      <c r="CJ712">
        <f>IFERROR(INDEX(PP_Grid[#Data],$DD712,86),0)</f>
        <v/>
      </c>
      <c r="CK712">
        <f>IFERROR(INDEX(PP_Grid[#Data],$DD712,87),0)</f>
        <v/>
      </c>
      <c r="CL712">
        <f>IFERROR(INDEX(PP_Grid[#Data],$DD712,88),0)</f>
        <v/>
      </c>
      <c r="CM712">
        <f>IFERROR(INDEX(PP_Grid[#Data],$DD712,89),0)</f>
        <v/>
      </c>
      <c r="CN712">
        <f>IFERROR(INDEX(PP_Grid[#Data],$DD712,90),0)</f>
        <v/>
      </c>
      <c r="CO712">
        <f>IFERROR(INDEX(PP_Grid[#Data],$DD712,91),0)</f>
        <v/>
      </c>
      <c r="CP712">
        <f>IFERROR(INDEX(PP_Grid[#Data],$DD712,92),0)</f>
        <v/>
      </c>
      <c r="CQ712">
        <f>IFERROR(INDEX(PP_Grid[#Data],$DD712,93),0)</f>
        <v/>
      </c>
      <c r="CR712">
        <f>IFERROR(INDEX(PP_Grid[#Data],$DD712,94),0)</f>
        <v/>
      </c>
      <c r="CS712">
        <f>IFERROR(INDEX(PP_Grid[#Data],$DD712,95),0)</f>
        <v/>
      </c>
      <c r="CT712">
        <f>IFERROR(INDEX(PP_Grid[#Data],$DD712,96),0)</f>
        <v/>
      </c>
      <c r="CU712">
        <f>IFERROR(INDEX(PP_Grid[#Data],$DD712,97),0)</f>
        <v/>
      </c>
      <c r="CV712">
        <f>IFERROR(INDEX(PP_Grid[#Data],$DD712,98),0)</f>
        <v/>
      </c>
      <c r="CW712">
        <f>IFERROR(INDEX(PP_Grid[#Data],$DD712,99),0)</f>
        <v/>
      </c>
      <c r="CX712">
        <f>IFERROR(INDEX(PP_Grid[#Data],$DD712,100),0)</f>
        <v/>
      </c>
      <c r="CY712">
        <f>IFERROR(INDEX(PP_Grid[#Data],$DD712,101),0)</f>
        <v/>
      </c>
      <c r="CZ712">
        <f>IFERROR(INDEX(PP_Grid[#Data],$DD712,102),0)</f>
        <v/>
      </c>
      <c r="DA712">
        <f>IFERROR(INDEX(PP_Grid[#Data],$DD712,103),0)</f>
        <v/>
      </c>
      <c r="DB712">
        <f>IFERROR(INDEX(PP_Grid[#Data],$DD712,104),0)</f>
        <v/>
      </c>
      <c r="DC712">
        <f>IFERROR(INDEX(PP_Grid[#Data],$DD712,105),0)</f>
        <v/>
      </c>
      <c r="DD712" s="7">
        <f>IFERROR(MATCH($B712,PP_Grid[Intermediate],0),99999)</f>
        <v/>
      </c>
    </row>
    <row r="713">
      <c r="B713" t="inlineStr">
        <is>
          <t>使用量(kg)</t>
        </is>
      </c>
      <c r="C713">
        <f>SUMIFS(M_BOM[RM_Qty_Per_Batch],M_BOM[Intermediate],$B712,M_BOM[Part Name],$A709)</f>
        <v/>
      </c>
      <c r="D713">
        <f>$C713*D712</f>
        <v/>
      </c>
      <c r="E713">
        <f>$C713*E712</f>
        <v/>
      </c>
      <c r="F713">
        <f>$C713*F712</f>
        <v/>
      </c>
      <c r="G713">
        <f>$C713*G712</f>
        <v/>
      </c>
      <c r="H713">
        <f>$C713*H712</f>
        <v/>
      </c>
      <c r="I713">
        <f>$C713*I712</f>
        <v/>
      </c>
      <c r="J713">
        <f>$C713*J712</f>
        <v/>
      </c>
      <c r="K713">
        <f>$C713*K712</f>
        <v/>
      </c>
      <c r="L713">
        <f>$C713*L712</f>
        <v/>
      </c>
      <c r="M713">
        <f>$C713*M712</f>
        <v/>
      </c>
      <c r="N713">
        <f>$C713*N712</f>
        <v/>
      </c>
      <c r="O713">
        <f>$C713*O712</f>
        <v/>
      </c>
      <c r="P713">
        <f>$C713*P712</f>
        <v/>
      </c>
      <c r="Q713">
        <f>$C713*Q712</f>
        <v/>
      </c>
      <c r="R713">
        <f>$C713*R712</f>
        <v/>
      </c>
      <c r="S713">
        <f>$C713*S712</f>
        <v/>
      </c>
      <c r="T713">
        <f>$C713*T712</f>
        <v/>
      </c>
      <c r="U713">
        <f>$C713*U712</f>
        <v/>
      </c>
      <c r="V713">
        <f>$C713*V712</f>
        <v/>
      </c>
      <c r="W713">
        <f>$C713*W712</f>
        <v/>
      </c>
      <c r="X713">
        <f>$C713*X712</f>
        <v/>
      </c>
      <c r="Y713">
        <f>$C713*Y712</f>
        <v/>
      </c>
      <c r="Z713">
        <f>$C713*Z712</f>
        <v/>
      </c>
      <c r="AA713">
        <f>$C713*AA712</f>
        <v/>
      </c>
      <c r="AB713">
        <f>$C713*AB712</f>
        <v/>
      </c>
      <c r="AC713">
        <f>$C713*AC712</f>
        <v/>
      </c>
      <c r="AD713">
        <f>$C713*AD712</f>
        <v/>
      </c>
      <c r="AE713">
        <f>$C713*AE712</f>
        <v/>
      </c>
      <c r="AF713">
        <f>$C713*AF712</f>
        <v/>
      </c>
      <c r="AG713">
        <f>$C713*AG712</f>
        <v/>
      </c>
      <c r="AH713">
        <f>$C713*AH712</f>
        <v/>
      </c>
      <c r="AI713">
        <f>$C713*AI712</f>
        <v/>
      </c>
      <c r="AJ713">
        <f>$C713*AJ712</f>
        <v/>
      </c>
      <c r="AK713">
        <f>$C713*AK712</f>
        <v/>
      </c>
      <c r="AL713">
        <f>$C713*AL712</f>
        <v/>
      </c>
      <c r="AM713">
        <f>$C713*AM712</f>
        <v/>
      </c>
      <c r="AN713">
        <f>$C713*AN712</f>
        <v/>
      </c>
      <c r="AO713">
        <f>$C713*AO712</f>
        <v/>
      </c>
      <c r="AP713">
        <f>$C713*AP712</f>
        <v/>
      </c>
      <c r="AQ713">
        <f>$C713*AQ712</f>
        <v/>
      </c>
      <c r="AR713">
        <f>$C713*AR712</f>
        <v/>
      </c>
      <c r="AS713">
        <f>$C713*AS712</f>
        <v/>
      </c>
      <c r="AT713">
        <f>$C713*AT712</f>
        <v/>
      </c>
      <c r="AU713">
        <f>$C713*AU712</f>
        <v/>
      </c>
      <c r="AV713">
        <f>$C713*AV712</f>
        <v/>
      </c>
      <c r="AW713">
        <f>$C713*AW712</f>
        <v/>
      </c>
      <c r="AX713">
        <f>$C713*AX712</f>
        <v/>
      </c>
      <c r="AY713">
        <f>$C713*AY712</f>
        <v/>
      </c>
      <c r="AZ713">
        <f>$C713*AZ712</f>
        <v/>
      </c>
      <c r="BA713">
        <f>$C713*BA712</f>
        <v/>
      </c>
      <c r="BB713">
        <f>$C713*BB712</f>
        <v/>
      </c>
      <c r="BC713">
        <f>$C713*BC712</f>
        <v/>
      </c>
      <c r="BD713">
        <f>$C713*BD712</f>
        <v/>
      </c>
      <c r="BE713">
        <f>$C713*BE712</f>
        <v/>
      </c>
      <c r="BF713">
        <f>$C713*BF712</f>
        <v/>
      </c>
      <c r="BG713">
        <f>$C713*BG712</f>
        <v/>
      </c>
      <c r="BH713">
        <f>$C713*BH712</f>
        <v/>
      </c>
      <c r="BI713">
        <f>$C713*BI712</f>
        <v/>
      </c>
      <c r="BJ713">
        <f>$C713*BJ712</f>
        <v/>
      </c>
      <c r="BK713">
        <f>$C713*BK712</f>
        <v/>
      </c>
      <c r="BL713">
        <f>$C713*BL712</f>
        <v/>
      </c>
      <c r="BM713">
        <f>$C713*BM712</f>
        <v/>
      </c>
      <c r="BN713">
        <f>$C713*BN712</f>
        <v/>
      </c>
      <c r="BO713">
        <f>$C713*BO712</f>
        <v/>
      </c>
      <c r="BP713">
        <f>$C713*BP712</f>
        <v/>
      </c>
      <c r="BQ713">
        <f>$C713*BQ712</f>
        <v/>
      </c>
      <c r="BR713">
        <f>$C713*BR712</f>
        <v/>
      </c>
      <c r="BS713">
        <f>$C713*BS712</f>
        <v/>
      </c>
      <c r="BT713">
        <f>$C713*BT712</f>
        <v/>
      </c>
      <c r="BU713">
        <f>$C713*BU712</f>
        <v/>
      </c>
      <c r="BV713">
        <f>$C713*BV712</f>
        <v/>
      </c>
      <c r="BW713">
        <f>$C713*BW712</f>
        <v/>
      </c>
      <c r="BX713">
        <f>$C713*BX712</f>
        <v/>
      </c>
      <c r="BY713">
        <f>$C713*BY712</f>
        <v/>
      </c>
      <c r="BZ713">
        <f>$C713*BZ712</f>
        <v/>
      </c>
      <c r="CA713">
        <f>$C713*CA712</f>
        <v/>
      </c>
      <c r="CB713">
        <f>$C713*CB712</f>
        <v/>
      </c>
      <c r="CC713">
        <f>$C713*CC712</f>
        <v/>
      </c>
      <c r="CD713">
        <f>$C713*CD712</f>
        <v/>
      </c>
      <c r="CE713">
        <f>$C713*CE712</f>
        <v/>
      </c>
      <c r="CF713">
        <f>$C713*CF712</f>
        <v/>
      </c>
      <c r="CG713">
        <f>$C713*CG712</f>
        <v/>
      </c>
      <c r="CH713">
        <f>$C713*CH712</f>
        <v/>
      </c>
      <c r="CI713">
        <f>$C713*CI712</f>
        <v/>
      </c>
      <c r="CJ713">
        <f>$C713*CJ712</f>
        <v/>
      </c>
      <c r="CK713">
        <f>$C713*CK712</f>
        <v/>
      </c>
      <c r="CL713">
        <f>$C713*CL712</f>
        <v/>
      </c>
      <c r="CM713">
        <f>$C713*CM712</f>
        <v/>
      </c>
      <c r="CN713">
        <f>$C713*CN712</f>
        <v/>
      </c>
      <c r="CO713">
        <f>$C713*CO712</f>
        <v/>
      </c>
      <c r="CP713">
        <f>$C713*CP712</f>
        <v/>
      </c>
      <c r="CQ713">
        <f>$C713*CQ712</f>
        <v/>
      </c>
      <c r="CR713">
        <f>$C713*CR712</f>
        <v/>
      </c>
      <c r="CS713">
        <f>$C713*CS712</f>
        <v/>
      </c>
      <c r="CT713">
        <f>$C713*CT712</f>
        <v/>
      </c>
      <c r="CU713">
        <f>$C713*CU712</f>
        <v/>
      </c>
      <c r="CV713">
        <f>$C713*CV712</f>
        <v/>
      </c>
      <c r="CW713">
        <f>$C713*CW712</f>
        <v/>
      </c>
      <c r="CX713">
        <f>$C713*CX712</f>
        <v/>
      </c>
      <c r="CY713">
        <f>$C713*CY712</f>
        <v/>
      </c>
      <c r="CZ713">
        <f>$C713*CZ712</f>
        <v/>
      </c>
      <c r="DA713">
        <f>$C713*DA712</f>
        <v/>
      </c>
      <c r="DB713">
        <f>$C713*DB712</f>
        <v/>
      </c>
      <c r="DC713">
        <f>$C713*DC712</f>
        <v/>
      </c>
    </row>
    <row r="714">
      <c r="B714" t="inlineStr">
        <is>
          <t>TSP-710</t>
        </is>
      </c>
      <c r="C714" t="inlineStr">
        <is>
          <t>No. of batches</t>
        </is>
      </c>
      <c r="D714">
        <f>IFERROR(INDEX(PP_Grid[#Data],$DD714,2),0)</f>
        <v/>
      </c>
      <c r="E714">
        <f>IFERROR(INDEX(PP_Grid[#Data],$DD714,3),0)</f>
        <v/>
      </c>
      <c r="F714">
        <f>IFERROR(INDEX(PP_Grid[#Data],$DD714,4),0)</f>
        <v/>
      </c>
      <c r="G714">
        <f>IFERROR(INDEX(PP_Grid[#Data],$DD714,5),0)</f>
        <v/>
      </c>
      <c r="H714">
        <f>IFERROR(INDEX(PP_Grid[#Data],$DD714,6),0)</f>
        <v/>
      </c>
      <c r="I714">
        <f>IFERROR(INDEX(PP_Grid[#Data],$DD714,7),0)</f>
        <v/>
      </c>
      <c r="J714">
        <f>IFERROR(INDEX(PP_Grid[#Data],$DD714,8),0)</f>
        <v/>
      </c>
      <c r="K714">
        <f>IFERROR(INDEX(PP_Grid[#Data],$DD714,9),0)</f>
        <v/>
      </c>
      <c r="L714">
        <f>IFERROR(INDEX(PP_Grid[#Data],$DD714,10),0)</f>
        <v/>
      </c>
      <c r="M714">
        <f>IFERROR(INDEX(PP_Grid[#Data],$DD714,11),0)</f>
        <v/>
      </c>
      <c r="N714">
        <f>IFERROR(INDEX(PP_Grid[#Data],$DD714,12),0)</f>
        <v/>
      </c>
      <c r="O714">
        <f>IFERROR(INDEX(PP_Grid[#Data],$DD714,13),0)</f>
        <v/>
      </c>
      <c r="P714">
        <f>IFERROR(INDEX(PP_Grid[#Data],$DD714,14),0)</f>
        <v/>
      </c>
      <c r="Q714">
        <f>IFERROR(INDEX(PP_Grid[#Data],$DD714,15),0)</f>
        <v/>
      </c>
      <c r="R714">
        <f>IFERROR(INDEX(PP_Grid[#Data],$DD714,16),0)</f>
        <v/>
      </c>
      <c r="S714">
        <f>IFERROR(INDEX(PP_Grid[#Data],$DD714,17),0)</f>
        <v/>
      </c>
      <c r="T714">
        <f>IFERROR(INDEX(PP_Grid[#Data],$DD714,18),0)</f>
        <v/>
      </c>
      <c r="U714">
        <f>IFERROR(INDEX(PP_Grid[#Data],$DD714,19),0)</f>
        <v/>
      </c>
      <c r="V714">
        <f>IFERROR(INDEX(PP_Grid[#Data],$DD714,20),0)</f>
        <v/>
      </c>
      <c r="W714">
        <f>IFERROR(INDEX(PP_Grid[#Data],$DD714,21),0)</f>
        <v/>
      </c>
      <c r="X714">
        <f>IFERROR(INDEX(PP_Grid[#Data],$DD714,22),0)</f>
        <v/>
      </c>
      <c r="Y714">
        <f>IFERROR(INDEX(PP_Grid[#Data],$DD714,23),0)</f>
        <v/>
      </c>
      <c r="Z714">
        <f>IFERROR(INDEX(PP_Grid[#Data],$DD714,24),0)</f>
        <v/>
      </c>
      <c r="AA714">
        <f>IFERROR(INDEX(PP_Grid[#Data],$DD714,25),0)</f>
        <v/>
      </c>
      <c r="AB714">
        <f>IFERROR(INDEX(PP_Grid[#Data],$DD714,26),0)</f>
        <v/>
      </c>
      <c r="AC714">
        <f>IFERROR(INDEX(PP_Grid[#Data],$DD714,27),0)</f>
        <v/>
      </c>
      <c r="AD714">
        <f>IFERROR(INDEX(PP_Grid[#Data],$DD714,28),0)</f>
        <v/>
      </c>
      <c r="AE714">
        <f>IFERROR(INDEX(PP_Grid[#Data],$DD714,29),0)</f>
        <v/>
      </c>
      <c r="AF714">
        <f>IFERROR(INDEX(PP_Grid[#Data],$DD714,30),0)</f>
        <v/>
      </c>
      <c r="AG714">
        <f>IFERROR(INDEX(PP_Grid[#Data],$DD714,31),0)</f>
        <v/>
      </c>
      <c r="AH714">
        <f>IFERROR(INDEX(PP_Grid[#Data],$DD714,32),0)</f>
        <v/>
      </c>
      <c r="AI714">
        <f>IFERROR(INDEX(PP_Grid[#Data],$DD714,33),0)</f>
        <v/>
      </c>
      <c r="AJ714">
        <f>IFERROR(INDEX(PP_Grid[#Data],$DD714,34),0)</f>
        <v/>
      </c>
      <c r="AK714">
        <f>IFERROR(INDEX(PP_Grid[#Data],$DD714,35),0)</f>
        <v/>
      </c>
      <c r="AL714">
        <f>IFERROR(INDEX(PP_Grid[#Data],$DD714,36),0)</f>
        <v/>
      </c>
      <c r="AM714">
        <f>IFERROR(INDEX(PP_Grid[#Data],$DD714,37),0)</f>
        <v/>
      </c>
      <c r="AN714">
        <f>IFERROR(INDEX(PP_Grid[#Data],$DD714,38),0)</f>
        <v/>
      </c>
      <c r="AO714">
        <f>IFERROR(INDEX(PP_Grid[#Data],$DD714,39),0)</f>
        <v/>
      </c>
      <c r="AP714">
        <f>IFERROR(INDEX(PP_Grid[#Data],$DD714,40),0)</f>
        <v/>
      </c>
      <c r="AQ714">
        <f>IFERROR(INDEX(PP_Grid[#Data],$DD714,41),0)</f>
        <v/>
      </c>
      <c r="AR714">
        <f>IFERROR(INDEX(PP_Grid[#Data],$DD714,42),0)</f>
        <v/>
      </c>
      <c r="AS714">
        <f>IFERROR(INDEX(PP_Grid[#Data],$DD714,43),0)</f>
        <v/>
      </c>
      <c r="AT714">
        <f>IFERROR(INDEX(PP_Grid[#Data],$DD714,44),0)</f>
        <v/>
      </c>
      <c r="AU714">
        <f>IFERROR(INDEX(PP_Grid[#Data],$DD714,45),0)</f>
        <v/>
      </c>
      <c r="AV714">
        <f>IFERROR(INDEX(PP_Grid[#Data],$DD714,46),0)</f>
        <v/>
      </c>
      <c r="AW714">
        <f>IFERROR(INDEX(PP_Grid[#Data],$DD714,47),0)</f>
        <v/>
      </c>
      <c r="AX714">
        <f>IFERROR(INDEX(PP_Grid[#Data],$DD714,48),0)</f>
        <v/>
      </c>
      <c r="AY714">
        <f>IFERROR(INDEX(PP_Grid[#Data],$DD714,49),0)</f>
        <v/>
      </c>
      <c r="AZ714">
        <f>IFERROR(INDEX(PP_Grid[#Data],$DD714,50),0)</f>
        <v/>
      </c>
      <c r="BA714">
        <f>IFERROR(INDEX(PP_Grid[#Data],$DD714,51),0)</f>
        <v/>
      </c>
      <c r="BB714">
        <f>IFERROR(INDEX(PP_Grid[#Data],$DD714,52),0)</f>
        <v/>
      </c>
      <c r="BC714">
        <f>IFERROR(INDEX(PP_Grid[#Data],$DD714,53),0)</f>
        <v/>
      </c>
      <c r="BD714">
        <f>IFERROR(INDEX(PP_Grid[#Data],$DD714,54),0)</f>
        <v/>
      </c>
      <c r="BE714">
        <f>IFERROR(INDEX(PP_Grid[#Data],$DD714,55),0)</f>
        <v/>
      </c>
      <c r="BF714">
        <f>IFERROR(INDEX(PP_Grid[#Data],$DD714,56),0)</f>
        <v/>
      </c>
      <c r="BG714">
        <f>IFERROR(INDEX(PP_Grid[#Data],$DD714,57),0)</f>
        <v/>
      </c>
      <c r="BH714">
        <f>IFERROR(INDEX(PP_Grid[#Data],$DD714,58),0)</f>
        <v/>
      </c>
      <c r="BI714">
        <f>IFERROR(INDEX(PP_Grid[#Data],$DD714,59),0)</f>
        <v/>
      </c>
      <c r="BJ714">
        <f>IFERROR(INDEX(PP_Grid[#Data],$DD714,60),0)</f>
        <v/>
      </c>
      <c r="BK714">
        <f>IFERROR(INDEX(PP_Grid[#Data],$DD714,61),0)</f>
        <v/>
      </c>
      <c r="BL714">
        <f>IFERROR(INDEX(PP_Grid[#Data],$DD714,62),0)</f>
        <v/>
      </c>
      <c r="BM714">
        <f>IFERROR(INDEX(PP_Grid[#Data],$DD714,63),0)</f>
        <v/>
      </c>
      <c r="BN714">
        <f>IFERROR(INDEX(PP_Grid[#Data],$DD714,64),0)</f>
        <v/>
      </c>
      <c r="BO714">
        <f>IFERROR(INDEX(PP_Grid[#Data],$DD714,65),0)</f>
        <v/>
      </c>
      <c r="BP714">
        <f>IFERROR(INDEX(PP_Grid[#Data],$DD714,66),0)</f>
        <v/>
      </c>
      <c r="BQ714">
        <f>IFERROR(INDEX(PP_Grid[#Data],$DD714,67),0)</f>
        <v/>
      </c>
      <c r="BR714">
        <f>IFERROR(INDEX(PP_Grid[#Data],$DD714,68),0)</f>
        <v/>
      </c>
      <c r="BS714">
        <f>IFERROR(INDEX(PP_Grid[#Data],$DD714,69),0)</f>
        <v/>
      </c>
      <c r="BT714">
        <f>IFERROR(INDEX(PP_Grid[#Data],$DD714,70),0)</f>
        <v/>
      </c>
      <c r="BU714">
        <f>IFERROR(INDEX(PP_Grid[#Data],$DD714,71),0)</f>
        <v/>
      </c>
      <c r="BV714">
        <f>IFERROR(INDEX(PP_Grid[#Data],$DD714,72),0)</f>
        <v/>
      </c>
      <c r="BW714">
        <f>IFERROR(INDEX(PP_Grid[#Data],$DD714,73),0)</f>
        <v/>
      </c>
      <c r="BX714">
        <f>IFERROR(INDEX(PP_Grid[#Data],$DD714,74),0)</f>
        <v/>
      </c>
      <c r="BY714">
        <f>IFERROR(INDEX(PP_Grid[#Data],$DD714,75),0)</f>
        <v/>
      </c>
      <c r="BZ714">
        <f>IFERROR(INDEX(PP_Grid[#Data],$DD714,76),0)</f>
        <v/>
      </c>
      <c r="CA714">
        <f>IFERROR(INDEX(PP_Grid[#Data],$DD714,77),0)</f>
        <v/>
      </c>
      <c r="CB714">
        <f>IFERROR(INDEX(PP_Grid[#Data],$DD714,78),0)</f>
        <v/>
      </c>
      <c r="CC714">
        <f>IFERROR(INDEX(PP_Grid[#Data],$DD714,79),0)</f>
        <v/>
      </c>
      <c r="CD714">
        <f>IFERROR(INDEX(PP_Grid[#Data],$DD714,80),0)</f>
        <v/>
      </c>
      <c r="CE714">
        <f>IFERROR(INDEX(PP_Grid[#Data],$DD714,81),0)</f>
        <v/>
      </c>
      <c r="CF714">
        <f>IFERROR(INDEX(PP_Grid[#Data],$DD714,82),0)</f>
        <v/>
      </c>
      <c r="CG714">
        <f>IFERROR(INDEX(PP_Grid[#Data],$DD714,83),0)</f>
        <v/>
      </c>
      <c r="CH714">
        <f>IFERROR(INDEX(PP_Grid[#Data],$DD714,84),0)</f>
        <v/>
      </c>
      <c r="CI714">
        <f>IFERROR(INDEX(PP_Grid[#Data],$DD714,85),0)</f>
        <v/>
      </c>
      <c r="CJ714">
        <f>IFERROR(INDEX(PP_Grid[#Data],$DD714,86),0)</f>
        <v/>
      </c>
      <c r="CK714">
        <f>IFERROR(INDEX(PP_Grid[#Data],$DD714,87),0)</f>
        <v/>
      </c>
      <c r="CL714">
        <f>IFERROR(INDEX(PP_Grid[#Data],$DD714,88),0)</f>
        <v/>
      </c>
      <c r="CM714">
        <f>IFERROR(INDEX(PP_Grid[#Data],$DD714,89),0)</f>
        <v/>
      </c>
      <c r="CN714">
        <f>IFERROR(INDEX(PP_Grid[#Data],$DD714,90),0)</f>
        <v/>
      </c>
      <c r="CO714">
        <f>IFERROR(INDEX(PP_Grid[#Data],$DD714,91),0)</f>
        <v/>
      </c>
      <c r="CP714">
        <f>IFERROR(INDEX(PP_Grid[#Data],$DD714,92),0)</f>
        <v/>
      </c>
      <c r="CQ714">
        <f>IFERROR(INDEX(PP_Grid[#Data],$DD714,93),0)</f>
        <v/>
      </c>
      <c r="CR714">
        <f>IFERROR(INDEX(PP_Grid[#Data],$DD714,94),0)</f>
        <v/>
      </c>
      <c r="CS714">
        <f>IFERROR(INDEX(PP_Grid[#Data],$DD714,95),0)</f>
        <v/>
      </c>
      <c r="CT714">
        <f>IFERROR(INDEX(PP_Grid[#Data],$DD714,96),0)</f>
        <v/>
      </c>
      <c r="CU714">
        <f>IFERROR(INDEX(PP_Grid[#Data],$DD714,97),0)</f>
        <v/>
      </c>
      <c r="CV714">
        <f>IFERROR(INDEX(PP_Grid[#Data],$DD714,98),0)</f>
        <v/>
      </c>
      <c r="CW714">
        <f>IFERROR(INDEX(PP_Grid[#Data],$DD714,99),0)</f>
        <v/>
      </c>
      <c r="CX714">
        <f>IFERROR(INDEX(PP_Grid[#Data],$DD714,100),0)</f>
        <v/>
      </c>
      <c r="CY714">
        <f>IFERROR(INDEX(PP_Grid[#Data],$DD714,101),0)</f>
        <v/>
      </c>
      <c r="CZ714">
        <f>IFERROR(INDEX(PP_Grid[#Data],$DD714,102),0)</f>
        <v/>
      </c>
      <c r="DA714">
        <f>IFERROR(INDEX(PP_Grid[#Data],$DD714,103),0)</f>
        <v/>
      </c>
      <c r="DB714">
        <f>IFERROR(INDEX(PP_Grid[#Data],$DD714,104),0)</f>
        <v/>
      </c>
      <c r="DC714">
        <f>IFERROR(INDEX(PP_Grid[#Data],$DD714,105),0)</f>
        <v/>
      </c>
      <c r="DD714" s="7">
        <f>IFERROR(MATCH($B714,PP_Grid[Intermediate],0),99999)</f>
        <v/>
      </c>
    </row>
    <row r="715">
      <c r="B715" t="inlineStr">
        <is>
          <t>使用量(kg)</t>
        </is>
      </c>
      <c r="C715">
        <f>SUMIFS(M_BOM[RM_Qty_Per_Batch],M_BOM[Intermediate],$B714,M_BOM[Part Name],$A709)</f>
        <v/>
      </c>
      <c r="D715">
        <f>$C715*D714</f>
        <v/>
      </c>
      <c r="E715">
        <f>$C715*E714</f>
        <v/>
      </c>
      <c r="F715">
        <f>$C715*F714</f>
        <v/>
      </c>
      <c r="G715">
        <f>$C715*G714</f>
        <v/>
      </c>
      <c r="H715">
        <f>$C715*H714</f>
        <v/>
      </c>
      <c r="I715">
        <f>$C715*I714</f>
        <v/>
      </c>
      <c r="J715">
        <f>$C715*J714</f>
        <v/>
      </c>
      <c r="K715">
        <f>$C715*K714</f>
        <v/>
      </c>
      <c r="L715">
        <f>$C715*L714</f>
        <v/>
      </c>
      <c r="M715">
        <f>$C715*M714</f>
        <v/>
      </c>
      <c r="N715">
        <f>$C715*N714</f>
        <v/>
      </c>
      <c r="O715">
        <f>$C715*O714</f>
        <v/>
      </c>
      <c r="P715">
        <f>$C715*P714</f>
        <v/>
      </c>
      <c r="Q715">
        <f>$C715*Q714</f>
        <v/>
      </c>
      <c r="R715">
        <f>$C715*R714</f>
        <v/>
      </c>
      <c r="S715">
        <f>$C715*S714</f>
        <v/>
      </c>
      <c r="T715">
        <f>$C715*T714</f>
        <v/>
      </c>
      <c r="U715">
        <f>$C715*U714</f>
        <v/>
      </c>
      <c r="V715">
        <f>$C715*V714</f>
        <v/>
      </c>
      <c r="W715">
        <f>$C715*W714</f>
        <v/>
      </c>
      <c r="X715">
        <f>$C715*X714</f>
        <v/>
      </c>
      <c r="Y715">
        <f>$C715*Y714</f>
        <v/>
      </c>
      <c r="Z715">
        <f>$C715*Z714</f>
        <v/>
      </c>
      <c r="AA715">
        <f>$C715*AA714</f>
        <v/>
      </c>
      <c r="AB715">
        <f>$C715*AB714</f>
        <v/>
      </c>
      <c r="AC715">
        <f>$C715*AC714</f>
        <v/>
      </c>
      <c r="AD715">
        <f>$C715*AD714</f>
        <v/>
      </c>
      <c r="AE715">
        <f>$C715*AE714</f>
        <v/>
      </c>
      <c r="AF715">
        <f>$C715*AF714</f>
        <v/>
      </c>
      <c r="AG715">
        <f>$C715*AG714</f>
        <v/>
      </c>
      <c r="AH715">
        <f>$C715*AH714</f>
        <v/>
      </c>
      <c r="AI715">
        <f>$C715*AI714</f>
        <v/>
      </c>
      <c r="AJ715">
        <f>$C715*AJ714</f>
        <v/>
      </c>
      <c r="AK715">
        <f>$C715*AK714</f>
        <v/>
      </c>
      <c r="AL715">
        <f>$C715*AL714</f>
        <v/>
      </c>
      <c r="AM715">
        <f>$C715*AM714</f>
        <v/>
      </c>
      <c r="AN715">
        <f>$C715*AN714</f>
        <v/>
      </c>
      <c r="AO715">
        <f>$C715*AO714</f>
        <v/>
      </c>
      <c r="AP715">
        <f>$C715*AP714</f>
        <v/>
      </c>
      <c r="AQ715">
        <f>$C715*AQ714</f>
        <v/>
      </c>
      <c r="AR715">
        <f>$C715*AR714</f>
        <v/>
      </c>
      <c r="AS715">
        <f>$C715*AS714</f>
        <v/>
      </c>
      <c r="AT715">
        <f>$C715*AT714</f>
        <v/>
      </c>
      <c r="AU715">
        <f>$C715*AU714</f>
        <v/>
      </c>
      <c r="AV715">
        <f>$C715*AV714</f>
        <v/>
      </c>
      <c r="AW715">
        <f>$C715*AW714</f>
        <v/>
      </c>
      <c r="AX715">
        <f>$C715*AX714</f>
        <v/>
      </c>
      <c r="AY715">
        <f>$C715*AY714</f>
        <v/>
      </c>
      <c r="AZ715">
        <f>$C715*AZ714</f>
        <v/>
      </c>
      <c r="BA715">
        <f>$C715*BA714</f>
        <v/>
      </c>
      <c r="BB715">
        <f>$C715*BB714</f>
        <v/>
      </c>
      <c r="BC715">
        <f>$C715*BC714</f>
        <v/>
      </c>
      <c r="BD715">
        <f>$C715*BD714</f>
        <v/>
      </c>
      <c r="BE715">
        <f>$C715*BE714</f>
        <v/>
      </c>
      <c r="BF715">
        <f>$C715*BF714</f>
        <v/>
      </c>
      <c r="BG715">
        <f>$C715*BG714</f>
        <v/>
      </c>
      <c r="BH715">
        <f>$C715*BH714</f>
        <v/>
      </c>
      <c r="BI715">
        <f>$C715*BI714</f>
        <v/>
      </c>
      <c r="BJ715">
        <f>$C715*BJ714</f>
        <v/>
      </c>
      <c r="BK715">
        <f>$C715*BK714</f>
        <v/>
      </c>
      <c r="BL715">
        <f>$C715*BL714</f>
        <v/>
      </c>
      <c r="BM715">
        <f>$C715*BM714</f>
        <v/>
      </c>
      <c r="BN715">
        <f>$C715*BN714</f>
        <v/>
      </c>
      <c r="BO715">
        <f>$C715*BO714</f>
        <v/>
      </c>
      <c r="BP715">
        <f>$C715*BP714</f>
        <v/>
      </c>
      <c r="BQ715">
        <f>$C715*BQ714</f>
        <v/>
      </c>
      <c r="BR715">
        <f>$C715*BR714</f>
        <v/>
      </c>
      <c r="BS715">
        <f>$C715*BS714</f>
        <v/>
      </c>
      <c r="BT715">
        <f>$C715*BT714</f>
        <v/>
      </c>
      <c r="BU715">
        <f>$C715*BU714</f>
        <v/>
      </c>
      <c r="BV715">
        <f>$C715*BV714</f>
        <v/>
      </c>
      <c r="BW715">
        <f>$C715*BW714</f>
        <v/>
      </c>
      <c r="BX715">
        <f>$C715*BX714</f>
        <v/>
      </c>
      <c r="BY715">
        <f>$C715*BY714</f>
        <v/>
      </c>
      <c r="BZ715">
        <f>$C715*BZ714</f>
        <v/>
      </c>
      <c r="CA715">
        <f>$C715*CA714</f>
        <v/>
      </c>
      <c r="CB715">
        <f>$C715*CB714</f>
        <v/>
      </c>
      <c r="CC715">
        <f>$C715*CC714</f>
        <v/>
      </c>
      <c r="CD715">
        <f>$C715*CD714</f>
        <v/>
      </c>
      <c r="CE715">
        <f>$C715*CE714</f>
        <v/>
      </c>
      <c r="CF715">
        <f>$C715*CF714</f>
        <v/>
      </c>
      <c r="CG715">
        <f>$C715*CG714</f>
        <v/>
      </c>
      <c r="CH715">
        <f>$C715*CH714</f>
        <v/>
      </c>
      <c r="CI715">
        <f>$C715*CI714</f>
        <v/>
      </c>
      <c r="CJ715">
        <f>$C715*CJ714</f>
        <v/>
      </c>
      <c r="CK715">
        <f>$C715*CK714</f>
        <v/>
      </c>
      <c r="CL715">
        <f>$C715*CL714</f>
        <v/>
      </c>
      <c r="CM715">
        <f>$C715*CM714</f>
        <v/>
      </c>
      <c r="CN715">
        <f>$C715*CN714</f>
        <v/>
      </c>
      <c r="CO715">
        <f>$C715*CO714</f>
        <v/>
      </c>
      <c r="CP715">
        <f>$C715*CP714</f>
        <v/>
      </c>
      <c r="CQ715">
        <f>$C715*CQ714</f>
        <v/>
      </c>
      <c r="CR715">
        <f>$C715*CR714</f>
        <v/>
      </c>
      <c r="CS715">
        <f>$C715*CS714</f>
        <v/>
      </c>
      <c r="CT715">
        <f>$C715*CT714</f>
        <v/>
      </c>
      <c r="CU715">
        <f>$C715*CU714</f>
        <v/>
      </c>
      <c r="CV715">
        <f>$C715*CV714</f>
        <v/>
      </c>
      <c r="CW715">
        <f>$C715*CW714</f>
        <v/>
      </c>
      <c r="CX715">
        <f>$C715*CX714</f>
        <v/>
      </c>
      <c r="CY715">
        <f>$C715*CY714</f>
        <v/>
      </c>
      <c r="CZ715">
        <f>$C715*CZ714</f>
        <v/>
      </c>
      <c r="DA715">
        <f>$C715*DA714</f>
        <v/>
      </c>
      <c r="DB715">
        <f>$C715*DB714</f>
        <v/>
      </c>
      <c r="DC715">
        <f>$C715*DC714</f>
        <v/>
      </c>
    </row>
    <row r="716">
      <c r="B716" s="4" t="inlineStr">
        <is>
          <t>合計使用量(kg)/週</t>
        </is>
      </c>
      <c r="D716">
        <f>'Grid_Requirement'!B34</f>
        <v/>
      </c>
      <c r="E716">
        <f>'Grid_Requirement'!C34</f>
        <v/>
      </c>
      <c r="F716">
        <f>'Grid_Requirement'!D34</f>
        <v/>
      </c>
      <c r="G716">
        <f>'Grid_Requirement'!E34</f>
        <v/>
      </c>
      <c r="H716">
        <f>'Grid_Requirement'!F34</f>
        <v/>
      </c>
      <c r="I716">
        <f>'Grid_Requirement'!G34</f>
        <v/>
      </c>
      <c r="J716">
        <f>'Grid_Requirement'!H34</f>
        <v/>
      </c>
      <c r="K716">
        <f>'Grid_Requirement'!I34</f>
        <v/>
      </c>
      <c r="L716">
        <f>'Grid_Requirement'!J34</f>
        <v/>
      </c>
      <c r="M716">
        <f>'Grid_Requirement'!K34</f>
        <v/>
      </c>
      <c r="N716">
        <f>'Grid_Requirement'!L34</f>
        <v/>
      </c>
      <c r="O716">
        <f>'Grid_Requirement'!M34</f>
        <v/>
      </c>
      <c r="P716">
        <f>'Grid_Requirement'!N34</f>
        <v/>
      </c>
      <c r="Q716">
        <f>'Grid_Requirement'!O34</f>
        <v/>
      </c>
      <c r="R716">
        <f>'Grid_Requirement'!P34</f>
        <v/>
      </c>
      <c r="S716">
        <f>'Grid_Requirement'!Q34</f>
        <v/>
      </c>
      <c r="T716">
        <f>'Grid_Requirement'!R34</f>
        <v/>
      </c>
      <c r="U716">
        <f>'Grid_Requirement'!S34</f>
        <v/>
      </c>
      <c r="V716">
        <f>'Grid_Requirement'!T34</f>
        <v/>
      </c>
      <c r="W716">
        <f>'Grid_Requirement'!U34</f>
        <v/>
      </c>
      <c r="X716">
        <f>'Grid_Requirement'!V34</f>
        <v/>
      </c>
      <c r="Y716">
        <f>'Grid_Requirement'!W34</f>
        <v/>
      </c>
      <c r="Z716">
        <f>'Grid_Requirement'!X34</f>
        <v/>
      </c>
      <c r="AA716">
        <f>'Grid_Requirement'!Y34</f>
        <v/>
      </c>
      <c r="AB716">
        <f>'Grid_Requirement'!Z34</f>
        <v/>
      </c>
      <c r="AC716">
        <f>'Grid_Requirement'!AA34</f>
        <v/>
      </c>
      <c r="AD716">
        <f>'Grid_Requirement'!AB34</f>
        <v/>
      </c>
      <c r="AE716">
        <f>'Grid_Requirement'!AC34</f>
        <v/>
      </c>
      <c r="AF716">
        <f>'Grid_Requirement'!AD34</f>
        <v/>
      </c>
      <c r="AG716">
        <f>'Grid_Requirement'!AE34</f>
        <v/>
      </c>
      <c r="AH716">
        <f>'Grid_Requirement'!AF34</f>
        <v/>
      </c>
      <c r="AI716">
        <f>'Grid_Requirement'!AG34</f>
        <v/>
      </c>
      <c r="AJ716">
        <f>'Grid_Requirement'!AH34</f>
        <v/>
      </c>
      <c r="AK716">
        <f>'Grid_Requirement'!AI34</f>
        <v/>
      </c>
      <c r="AL716">
        <f>'Grid_Requirement'!AJ34</f>
        <v/>
      </c>
      <c r="AM716">
        <f>'Grid_Requirement'!AK34</f>
        <v/>
      </c>
      <c r="AN716">
        <f>'Grid_Requirement'!AL34</f>
        <v/>
      </c>
      <c r="AO716">
        <f>'Grid_Requirement'!AM34</f>
        <v/>
      </c>
      <c r="AP716">
        <f>'Grid_Requirement'!AN34</f>
        <v/>
      </c>
      <c r="AQ716">
        <f>'Grid_Requirement'!AO34</f>
        <v/>
      </c>
      <c r="AR716">
        <f>'Grid_Requirement'!AP34</f>
        <v/>
      </c>
      <c r="AS716">
        <f>'Grid_Requirement'!AQ34</f>
        <v/>
      </c>
      <c r="AT716">
        <f>'Grid_Requirement'!AR34</f>
        <v/>
      </c>
      <c r="AU716">
        <f>'Grid_Requirement'!AS34</f>
        <v/>
      </c>
      <c r="AV716">
        <f>'Grid_Requirement'!AT34</f>
        <v/>
      </c>
      <c r="AW716">
        <f>'Grid_Requirement'!AU34</f>
        <v/>
      </c>
      <c r="AX716">
        <f>'Grid_Requirement'!AV34</f>
        <v/>
      </c>
      <c r="AY716">
        <f>'Grid_Requirement'!AW34</f>
        <v/>
      </c>
      <c r="AZ716">
        <f>'Grid_Requirement'!AX34</f>
        <v/>
      </c>
      <c r="BA716">
        <f>'Grid_Requirement'!AY34</f>
        <v/>
      </c>
      <c r="BB716">
        <f>'Grid_Requirement'!AZ34</f>
        <v/>
      </c>
      <c r="BC716">
        <f>'Grid_Requirement'!BA34</f>
        <v/>
      </c>
      <c r="BD716">
        <f>'Grid_Requirement'!BB34</f>
        <v/>
      </c>
      <c r="BE716">
        <f>'Grid_Requirement'!BC34</f>
        <v/>
      </c>
      <c r="BF716">
        <f>'Grid_Requirement'!BD34</f>
        <v/>
      </c>
      <c r="BG716">
        <f>'Grid_Requirement'!BE34</f>
        <v/>
      </c>
      <c r="BH716">
        <f>'Grid_Requirement'!BF34</f>
        <v/>
      </c>
      <c r="BI716">
        <f>'Grid_Requirement'!BG34</f>
        <v/>
      </c>
      <c r="BJ716">
        <f>'Grid_Requirement'!BH34</f>
        <v/>
      </c>
      <c r="BK716">
        <f>'Grid_Requirement'!BI34</f>
        <v/>
      </c>
      <c r="BL716">
        <f>'Grid_Requirement'!BJ34</f>
        <v/>
      </c>
      <c r="BM716">
        <f>'Grid_Requirement'!BK34</f>
        <v/>
      </c>
      <c r="BN716">
        <f>'Grid_Requirement'!BL34</f>
        <v/>
      </c>
      <c r="BO716">
        <f>'Grid_Requirement'!BM34</f>
        <v/>
      </c>
      <c r="BP716">
        <f>'Grid_Requirement'!BN34</f>
        <v/>
      </c>
      <c r="BQ716">
        <f>'Grid_Requirement'!BO34</f>
        <v/>
      </c>
      <c r="BR716">
        <f>'Grid_Requirement'!BP34</f>
        <v/>
      </c>
      <c r="BS716">
        <f>'Grid_Requirement'!BQ34</f>
        <v/>
      </c>
      <c r="BT716">
        <f>'Grid_Requirement'!BR34</f>
        <v/>
      </c>
      <c r="BU716">
        <f>'Grid_Requirement'!BS34</f>
        <v/>
      </c>
      <c r="BV716">
        <f>'Grid_Requirement'!BT34</f>
        <v/>
      </c>
      <c r="BW716">
        <f>'Grid_Requirement'!BU34</f>
        <v/>
      </c>
      <c r="BX716">
        <f>'Grid_Requirement'!BV34</f>
        <v/>
      </c>
      <c r="BY716">
        <f>'Grid_Requirement'!BW34</f>
        <v/>
      </c>
      <c r="BZ716">
        <f>'Grid_Requirement'!BX34</f>
        <v/>
      </c>
      <c r="CA716">
        <f>'Grid_Requirement'!BY34</f>
        <v/>
      </c>
      <c r="CB716">
        <f>'Grid_Requirement'!BZ34</f>
        <v/>
      </c>
      <c r="CC716">
        <f>'Grid_Requirement'!CA34</f>
        <v/>
      </c>
      <c r="CD716">
        <f>'Grid_Requirement'!CB34</f>
        <v/>
      </c>
      <c r="CE716">
        <f>'Grid_Requirement'!CC34</f>
        <v/>
      </c>
      <c r="CF716">
        <f>'Grid_Requirement'!CD34</f>
        <v/>
      </c>
      <c r="CG716">
        <f>'Grid_Requirement'!CE34</f>
        <v/>
      </c>
      <c r="CH716">
        <f>'Grid_Requirement'!CF34</f>
        <v/>
      </c>
      <c r="CI716">
        <f>'Grid_Requirement'!CG34</f>
        <v/>
      </c>
      <c r="CJ716">
        <f>'Grid_Requirement'!CH34</f>
        <v/>
      </c>
      <c r="CK716">
        <f>'Grid_Requirement'!CI34</f>
        <v/>
      </c>
      <c r="CL716">
        <f>'Grid_Requirement'!CJ34</f>
        <v/>
      </c>
      <c r="CM716">
        <f>'Grid_Requirement'!CK34</f>
        <v/>
      </c>
      <c r="CN716">
        <f>'Grid_Requirement'!CL34</f>
        <v/>
      </c>
      <c r="CO716">
        <f>'Grid_Requirement'!CM34</f>
        <v/>
      </c>
      <c r="CP716">
        <f>'Grid_Requirement'!CN34</f>
        <v/>
      </c>
      <c r="CQ716">
        <f>'Grid_Requirement'!CO34</f>
        <v/>
      </c>
      <c r="CR716">
        <f>'Grid_Requirement'!CP34</f>
        <v/>
      </c>
      <c r="CS716">
        <f>'Grid_Requirement'!CQ34</f>
        <v/>
      </c>
      <c r="CT716">
        <f>'Grid_Requirement'!CR34</f>
        <v/>
      </c>
      <c r="CU716">
        <f>'Grid_Requirement'!CS34</f>
        <v/>
      </c>
      <c r="CV716">
        <f>'Grid_Requirement'!CT34</f>
        <v/>
      </c>
      <c r="CW716">
        <f>'Grid_Requirement'!CU34</f>
        <v/>
      </c>
      <c r="CX716">
        <f>'Grid_Requirement'!CV34</f>
        <v/>
      </c>
      <c r="CY716">
        <f>'Grid_Requirement'!CW34</f>
        <v/>
      </c>
      <c r="CZ716">
        <f>'Grid_Requirement'!CX34</f>
        <v/>
      </c>
      <c r="DA716">
        <f>'Grid_Requirement'!CY34</f>
        <v/>
      </c>
      <c r="DB716">
        <f>'Grid_Requirement'!CZ34</f>
        <v/>
      </c>
      <c r="DC716">
        <f>'Grid_Requirement'!DA34</f>
        <v/>
      </c>
    </row>
    <row r="717">
      <c r="B717" t="inlineStr">
        <is>
          <t>TTAF在庫(実績,kg)</t>
        </is>
      </c>
      <c r="D717">
        <f>'T_TTAFStock'!B38</f>
        <v/>
      </c>
      <c r="E717">
        <f>'T_TTAFStock'!C38</f>
        <v/>
      </c>
      <c r="F717">
        <f>'T_TTAFStock'!D38</f>
        <v/>
      </c>
      <c r="G717">
        <f>'T_TTAFStock'!E38</f>
        <v/>
      </c>
      <c r="H717">
        <f>'T_TTAFStock'!F38</f>
        <v/>
      </c>
      <c r="I717">
        <f>'T_TTAFStock'!G38</f>
        <v/>
      </c>
      <c r="J717">
        <f>'T_TTAFStock'!H38</f>
        <v/>
      </c>
      <c r="K717">
        <f>'T_TTAFStock'!I38</f>
        <v/>
      </c>
      <c r="L717">
        <f>'T_TTAFStock'!J38</f>
        <v/>
      </c>
      <c r="M717">
        <f>'T_TTAFStock'!K38</f>
        <v/>
      </c>
      <c r="N717">
        <f>'T_TTAFStock'!L38</f>
        <v/>
      </c>
      <c r="O717">
        <f>'T_TTAFStock'!M38</f>
        <v/>
      </c>
      <c r="P717">
        <f>'T_TTAFStock'!N38</f>
        <v/>
      </c>
      <c r="Q717">
        <f>'T_TTAFStock'!O38</f>
        <v/>
      </c>
      <c r="R717">
        <f>'T_TTAFStock'!P38</f>
        <v/>
      </c>
      <c r="S717">
        <f>'T_TTAFStock'!Q38</f>
        <v/>
      </c>
      <c r="T717">
        <f>'T_TTAFStock'!R38</f>
        <v/>
      </c>
      <c r="U717">
        <f>'T_TTAFStock'!S38</f>
        <v/>
      </c>
      <c r="V717">
        <f>'T_TTAFStock'!T38</f>
        <v/>
      </c>
      <c r="W717">
        <f>'T_TTAFStock'!U38</f>
        <v/>
      </c>
      <c r="X717">
        <f>'T_TTAFStock'!V38</f>
        <v/>
      </c>
      <c r="Y717">
        <f>'T_TTAFStock'!W38</f>
        <v/>
      </c>
      <c r="Z717">
        <f>'T_TTAFStock'!X38</f>
        <v/>
      </c>
      <c r="AA717">
        <f>'T_TTAFStock'!Y38</f>
        <v/>
      </c>
      <c r="AB717">
        <f>'T_TTAFStock'!Z38</f>
        <v/>
      </c>
      <c r="AC717">
        <f>'T_TTAFStock'!AA38</f>
        <v/>
      </c>
      <c r="AD717">
        <f>'T_TTAFStock'!AB38</f>
        <v/>
      </c>
      <c r="AE717">
        <f>'T_TTAFStock'!AC38</f>
        <v/>
      </c>
      <c r="AF717">
        <f>'T_TTAFStock'!AD38</f>
        <v/>
      </c>
      <c r="AG717">
        <f>'T_TTAFStock'!AE38</f>
        <v/>
      </c>
      <c r="AH717">
        <f>'T_TTAFStock'!AF38</f>
        <v/>
      </c>
      <c r="AI717">
        <f>'T_TTAFStock'!AG38</f>
        <v/>
      </c>
      <c r="AJ717">
        <f>'T_TTAFStock'!AH38</f>
        <v/>
      </c>
      <c r="AK717">
        <f>'T_TTAFStock'!AI38</f>
        <v/>
      </c>
      <c r="AL717">
        <f>'T_TTAFStock'!AJ38</f>
        <v/>
      </c>
      <c r="AM717">
        <f>'T_TTAFStock'!AK38</f>
        <v/>
      </c>
      <c r="AN717">
        <f>'T_TTAFStock'!AL38</f>
        <v/>
      </c>
      <c r="AO717">
        <f>'T_TTAFStock'!AM38</f>
        <v/>
      </c>
      <c r="AP717">
        <f>'T_TTAFStock'!AN38</f>
        <v/>
      </c>
      <c r="AQ717">
        <f>'T_TTAFStock'!AO38</f>
        <v/>
      </c>
      <c r="AR717">
        <f>'T_TTAFStock'!AP38</f>
        <v/>
      </c>
      <c r="AS717">
        <f>'T_TTAFStock'!AQ38</f>
        <v/>
      </c>
      <c r="AT717">
        <f>'T_TTAFStock'!AR38</f>
        <v/>
      </c>
      <c r="AU717">
        <f>'T_TTAFStock'!AS38</f>
        <v/>
      </c>
      <c r="AV717">
        <f>'T_TTAFStock'!AT38</f>
        <v/>
      </c>
      <c r="AW717">
        <f>'T_TTAFStock'!AU38</f>
        <v/>
      </c>
      <c r="AX717">
        <f>'T_TTAFStock'!AV38</f>
        <v/>
      </c>
      <c r="AY717">
        <f>'T_TTAFStock'!AW38</f>
        <v/>
      </c>
      <c r="AZ717">
        <f>'T_TTAFStock'!AX38</f>
        <v/>
      </c>
      <c r="BA717">
        <f>'T_TTAFStock'!AY38</f>
        <v/>
      </c>
      <c r="BB717">
        <f>'T_TTAFStock'!AZ38</f>
        <v/>
      </c>
      <c r="BC717">
        <f>'T_TTAFStock'!BA38</f>
        <v/>
      </c>
      <c r="BD717">
        <f>'T_TTAFStock'!BB38</f>
        <v/>
      </c>
      <c r="BE717">
        <f>'T_TTAFStock'!BC38</f>
        <v/>
      </c>
      <c r="BF717">
        <f>'T_TTAFStock'!BD38</f>
        <v/>
      </c>
      <c r="BG717">
        <f>'T_TTAFStock'!BE38</f>
        <v/>
      </c>
      <c r="BH717">
        <f>'T_TTAFStock'!BF38</f>
        <v/>
      </c>
      <c r="BI717">
        <f>'T_TTAFStock'!BG38</f>
        <v/>
      </c>
      <c r="BJ717">
        <f>'T_TTAFStock'!BH38</f>
        <v/>
      </c>
      <c r="BK717">
        <f>'T_TTAFStock'!BI38</f>
        <v/>
      </c>
      <c r="BL717">
        <f>'T_TTAFStock'!BJ38</f>
        <v/>
      </c>
      <c r="BM717">
        <f>'T_TTAFStock'!BK38</f>
        <v/>
      </c>
      <c r="BN717">
        <f>'T_TTAFStock'!BL38</f>
        <v/>
      </c>
      <c r="BO717">
        <f>'T_TTAFStock'!BM38</f>
        <v/>
      </c>
      <c r="BP717">
        <f>'T_TTAFStock'!BN38</f>
        <v/>
      </c>
      <c r="BQ717">
        <f>'T_TTAFStock'!BO38</f>
        <v/>
      </c>
      <c r="BR717">
        <f>'T_TTAFStock'!BP38</f>
        <v/>
      </c>
      <c r="BS717">
        <f>'T_TTAFStock'!BQ38</f>
        <v/>
      </c>
      <c r="BT717">
        <f>'T_TTAFStock'!BR38</f>
        <v/>
      </c>
      <c r="BU717">
        <f>'T_TTAFStock'!BS38</f>
        <v/>
      </c>
      <c r="BV717">
        <f>'T_TTAFStock'!BT38</f>
        <v/>
      </c>
      <c r="BW717">
        <f>'T_TTAFStock'!BU38</f>
        <v/>
      </c>
      <c r="BX717">
        <f>'T_TTAFStock'!BV38</f>
        <v/>
      </c>
      <c r="BY717">
        <f>'T_TTAFStock'!BW38</f>
        <v/>
      </c>
      <c r="BZ717">
        <f>'T_TTAFStock'!BX38</f>
        <v/>
      </c>
      <c r="CA717">
        <f>'T_TTAFStock'!BY38</f>
        <v/>
      </c>
      <c r="CB717">
        <f>'T_TTAFStock'!BZ38</f>
        <v/>
      </c>
      <c r="CC717">
        <f>'T_TTAFStock'!CA38</f>
        <v/>
      </c>
      <c r="CD717">
        <f>'T_TTAFStock'!CB38</f>
        <v/>
      </c>
      <c r="CE717">
        <f>'T_TTAFStock'!CC38</f>
        <v/>
      </c>
      <c r="CF717">
        <f>'T_TTAFStock'!CD38</f>
        <v/>
      </c>
      <c r="CG717">
        <f>'T_TTAFStock'!CE38</f>
        <v/>
      </c>
      <c r="CH717">
        <f>'T_TTAFStock'!CF38</f>
        <v/>
      </c>
      <c r="CI717">
        <f>'T_TTAFStock'!CG38</f>
        <v/>
      </c>
      <c r="CJ717">
        <f>'T_TTAFStock'!CH38</f>
        <v/>
      </c>
      <c r="CK717">
        <f>'T_TTAFStock'!CI38</f>
        <v/>
      </c>
      <c r="CL717">
        <f>'T_TTAFStock'!CJ38</f>
        <v/>
      </c>
      <c r="CM717">
        <f>'T_TTAFStock'!CK38</f>
        <v/>
      </c>
      <c r="CN717">
        <f>'T_TTAFStock'!CL38</f>
        <v/>
      </c>
      <c r="CO717">
        <f>'T_TTAFStock'!CM38</f>
        <v/>
      </c>
      <c r="CP717">
        <f>'T_TTAFStock'!CN38</f>
        <v/>
      </c>
      <c r="CQ717">
        <f>'T_TTAFStock'!CO38</f>
        <v/>
      </c>
      <c r="CR717">
        <f>'T_TTAFStock'!CP38</f>
        <v/>
      </c>
      <c r="CS717">
        <f>'T_TTAFStock'!CQ38</f>
        <v/>
      </c>
      <c r="CT717">
        <f>'T_TTAFStock'!CR38</f>
        <v/>
      </c>
      <c r="CU717">
        <f>'T_TTAFStock'!CS38</f>
        <v/>
      </c>
      <c r="CV717">
        <f>'T_TTAFStock'!CT38</f>
        <v/>
      </c>
      <c r="CW717">
        <f>'T_TTAFStock'!CU38</f>
        <v/>
      </c>
      <c r="CX717">
        <f>'T_TTAFStock'!CV38</f>
        <v/>
      </c>
      <c r="CY717">
        <f>'T_TTAFStock'!CW38</f>
        <v/>
      </c>
      <c r="CZ717">
        <f>'T_TTAFStock'!CX38</f>
        <v/>
      </c>
      <c r="DA717">
        <f>'T_TTAFStock'!CY38</f>
        <v/>
      </c>
      <c r="DB717">
        <f>'T_TTAFStock'!CZ38</f>
        <v/>
      </c>
      <c r="DC717">
        <f>'T_TTAFStock'!DA38</f>
        <v/>
      </c>
    </row>
    <row r="718">
      <c r="B718" t="inlineStr">
        <is>
          <t>自社在庫(実績,kg)</t>
        </is>
      </c>
      <c r="D718">
        <f>'T_SelfStock'!B38</f>
        <v/>
      </c>
      <c r="E718">
        <f>'T_SelfStock'!C38</f>
        <v/>
      </c>
      <c r="F718">
        <f>'T_SelfStock'!D38</f>
        <v/>
      </c>
      <c r="G718">
        <f>'T_SelfStock'!E38</f>
        <v/>
      </c>
      <c r="H718">
        <f>'T_SelfStock'!F38</f>
        <v/>
      </c>
      <c r="I718">
        <f>'T_SelfStock'!G38</f>
        <v/>
      </c>
      <c r="J718">
        <f>'T_SelfStock'!H38</f>
        <v/>
      </c>
      <c r="K718">
        <f>'T_SelfStock'!I38</f>
        <v/>
      </c>
      <c r="L718">
        <f>'T_SelfStock'!J38</f>
        <v/>
      </c>
      <c r="M718">
        <f>'T_SelfStock'!K38</f>
        <v/>
      </c>
      <c r="N718">
        <f>'T_SelfStock'!L38</f>
        <v/>
      </c>
      <c r="O718">
        <f>'T_SelfStock'!M38</f>
        <v/>
      </c>
      <c r="P718">
        <f>'T_SelfStock'!N38</f>
        <v/>
      </c>
      <c r="Q718">
        <f>'T_SelfStock'!O38</f>
        <v/>
      </c>
      <c r="R718">
        <f>'T_SelfStock'!P38</f>
        <v/>
      </c>
      <c r="S718">
        <f>'T_SelfStock'!Q38</f>
        <v/>
      </c>
      <c r="T718">
        <f>'T_SelfStock'!R38</f>
        <v/>
      </c>
      <c r="U718">
        <f>'T_SelfStock'!S38</f>
        <v/>
      </c>
      <c r="V718">
        <f>'T_SelfStock'!T38</f>
        <v/>
      </c>
      <c r="W718">
        <f>'T_SelfStock'!U38</f>
        <v/>
      </c>
      <c r="X718">
        <f>'T_SelfStock'!V38</f>
        <v/>
      </c>
      <c r="Y718">
        <f>'T_SelfStock'!W38</f>
        <v/>
      </c>
      <c r="Z718">
        <f>'T_SelfStock'!X38</f>
        <v/>
      </c>
      <c r="AA718">
        <f>'T_SelfStock'!Y38</f>
        <v/>
      </c>
      <c r="AB718">
        <f>'T_SelfStock'!Z38</f>
        <v/>
      </c>
      <c r="AC718">
        <f>'T_SelfStock'!AA38</f>
        <v/>
      </c>
      <c r="AD718">
        <f>'T_SelfStock'!AB38</f>
        <v/>
      </c>
      <c r="AE718">
        <f>'T_SelfStock'!AC38</f>
        <v/>
      </c>
      <c r="AF718">
        <f>'T_SelfStock'!AD38</f>
        <v/>
      </c>
      <c r="AG718">
        <f>'T_SelfStock'!AE38</f>
        <v/>
      </c>
      <c r="AH718">
        <f>'T_SelfStock'!AF38</f>
        <v/>
      </c>
      <c r="AI718">
        <f>'T_SelfStock'!AG38</f>
        <v/>
      </c>
      <c r="AJ718">
        <f>'T_SelfStock'!AH38</f>
        <v/>
      </c>
      <c r="AK718">
        <f>'T_SelfStock'!AI38</f>
        <v/>
      </c>
      <c r="AL718">
        <f>'T_SelfStock'!AJ38</f>
        <v/>
      </c>
      <c r="AM718">
        <f>'T_SelfStock'!AK38</f>
        <v/>
      </c>
      <c r="AN718">
        <f>'T_SelfStock'!AL38</f>
        <v/>
      </c>
      <c r="AO718">
        <f>'T_SelfStock'!AM38</f>
        <v/>
      </c>
      <c r="AP718">
        <f>'T_SelfStock'!AN38</f>
        <v/>
      </c>
      <c r="AQ718">
        <f>'T_SelfStock'!AO38</f>
        <v/>
      </c>
      <c r="AR718">
        <f>'T_SelfStock'!AP38</f>
        <v/>
      </c>
      <c r="AS718">
        <f>'T_SelfStock'!AQ38</f>
        <v/>
      </c>
      <c r="AT718">
        <f>'T_SelfStock'!AR38</f>
        <v/>
      </c>
      <c r="AU718">
        <f>'T_SelfStock'!AS38</f>
        <v/>
      </c>
      <c r="AV718">
        <f>'T_SelfStock'!AT38</f>
        <v/>
      </c>
      <c r="AW718">
        <f>'T_SelfStock'!AU38</f>
        <v/>
      </c>
      <c r="AX718">
        <f>'T_SelfStock'!AV38</f>
        <v/>
      </c>
      <c r="AY718">
        <f>'T_SelfStock'!AW38</f>
        <v/>
      </c>
      <c r="AZ718">
        <f>'T_SelfStock'!AX38</f>
        <v/>
      </c>
      <c r="BA718">
        <f>'T_SelfStock'!AY38</f>
        <v/>
      </c>
      <c r="BB718">
        <f>'T_SelfStock'!AZ38</f>
        <v/>
      </c>
      <c r="BC718">
        <f>'T_SelfStock'!BA38</f>
        <v/>
      </c>
      <c r="BD718">
        <f>'T_SelfStock'!BB38</f>
        <v/>
      </c>
      <c r="BE718">
        <f>'T_SelfStock'!BC38</f>
        <v/>
      </c>
      <c r="BF718">
        <f>'T_SelfStock'!BD38</f>
        <v/>
      </c>
      <c r="BG718">
        <f>'T_SelfStock'!BE38</f>
        <v/>
      </c>
      <c r="BH718">
        <f>'T_SelfStock'!BF38</f>
        <v/>
      </c>
      <c r="BI718">
        <f>'T_SelfStock'!BG38</f>
        <v/>
      </c>
      <c r="BJ718">
        <f>'T_SelfStock'!BH38</f>
        <v/>
      </c>
      <c r="BK718">
        <f>'T_SelfStock'!BI38</f>
        <v/>
      </c>
      <c r="BL718">
        <f>'T_SelfStock'!BJ38</f>
        <v/>
      </c>
      <c r="BM718">
        <f>'T_SelfStock'!BK38</f>
        <v/>
      </c>
      <c r="BN718">
        <f>'T_SelfStock'!BL38</f>
        <v/>
      </c>
      <c r="BO718">
        <f>'T_SelfStock'!BM38</f>
        <v/>
      </c>
      <c r="BP718">
        <f>'T_SelfStock'!BN38</f>
        <v/>
      </c>
      <c r="BQ718">
        <f>'T_SelfStock'!BO38</f>
        <v/>
      </c>
      <c r="BR718">
        <f>'T_SelfStock'!BP38</f>
        <v/>
      </c>
      <c r="BS718">
        <f>'T_SelfStock'!BQ38</f>
        <v/>
      </c>
      <c r="BT718">
        <f>'T_SelfStock'!BR38</f>
        <v/>
      </c>
      <c r="BU718">
        <f>'T_SelfStock'!BS38</f>
        <v/>
      </c>
      <c r="BV718">
        <f>'T_SelfStock'!BT38</f>
        <v/>
      </c>
      <c r="BW718">
        <f>'T_SelfStock'!BU38</f>
        <v/>
      </c>
      <c r="BX718">
        <f>'T_SelfStock'!BV38</f>
        <v/>
      </c>
      <c r="BY718">
        <f>'T_SelfStock'!BW38</f>
        <v/>
      </c>
      <c r="BZ718">
        <f>'T_SelfStock'!BX38</f>
        <v/>
      </c>
      <c r="CA718">
        <f>'T_SelfStock'!BY38</f>
        <v/>
      </c>
      <c r="CB718">
        <f>'T_SelfStock'!BZ38</f>
        <v/>
      </c>
      <c r="CC718">
        <f>'T_SelfStock'!CA38</f>
        <v/>
      </c>
      <c r="CD718">
        <f>'T_SelfStock'!CB38</f>
        <v/>
      </c>
      <c r="CE718">
        <f>'T_SelfStock'!CC38</f>
        <v/>
      </c>
      <c r="CF718">
        <f>'T_SelfStock'!CD38</f>
        <v/>
      </c>
      <c r="CG718">
        <f>'T_SelfStock'!CE38</f>
        <v/>
      </c>
      <c r="CH718">
        <f>'T_SelfStock'!CF38</f>
        <v/>
      </c>
      <c r="CI718">
        <f>'T_SelfStock'!CG38</f>
        <v/>
      </c>
      <c r="CJ718">
        <f>'T_SelfStock'!CH38</f>
        <v/>
      </c>
      <c r="CK718">
        <f>'T_SelfStock'!CI38</f>
        <v/>
      </c>
      <c r="CL718">
        <f>'T_SelfStock'!CJ38</f>
        <v/>
      </c>
      <c r="CM718">
        <f>'T_SelfStock'!CK38</f>
        <v/>
      </c>
      <c r="CN718">
        <f>'T_SelfStock'!CL38</f>
        <v/>
      </c>
      <c r="CO718">
        <f>'T_SelfStock'!CM38</f>
        <v/>
      </c>
      <c r="CP718">
        <f>'T_SelfStock'!CN38</f>
        <v/>
      </c>
      <c r="CQ718">
        <f>'T_SelfStock'!CO38</f>
        <v/>
      </c>
      <c r="CR718">
        <f>'T_SelfStock'!CP38</f>
        <v/>
      </c>
      <c r="CS718">
        <f>'T_SelfStock'!CQ38</f>
        <v/>
      </c>
      <c r="CT718">
        <f>'T_SelfStock'!CR38</f>
        <v/>
      </c>
      <c r="CU718">
        <f>'T_SelfStock'!CS38</f>
        <v/>
      </c>
      <c r="CV718">
        <f>'T_SelfStock'!CT38</f>
        <v/>
      </c>
      <c r="CW718">
        <f>'T_SelfStock'!CU38</f>
        <v/>
      </c>
      <c r="CX718">
        <f>'T_SelfStock'!CV38</f>
        <v/>
      </c>
      <c r="CY718">
        <f>'T_SelfStock'!CW38</f>
        <v/>
      </c>
      <c r="CZ718">
        <f>'T_SelfStock'!CX38</f>
        <v/>
      </c>
      <c r="DA718">
        <f>'T_SelfStock'!CY38</f>
        <v/>
      </c>
      <c r="DB718">
        <f>'T_SelfStock'!CZ38</f>
        <v/>
      </c>
      <c r="DC718">
        <f>'T_SelfStock'!DA38</f>
        <v/>
      </c>
    </row>
    <row r="719">
      <c r="B719" t="inlineStr">
        <is>
          <t>Order(発注予定,kg)</t>
        </is>
      </c>
      <c r="D719">
        <f>IF(SUMIFS(T_PlannedOrders[EffectiveQty],T_PlannedOrders[Part Name],$A709,T_PlannedOrders[WeekIndex],1)=0,"",SUMIFS(T_PlannedOrders[EffectiveQty],T_PlannedOrders[Part Name],$A709,T_PlannedOrders[WeekIndex],1)&amp;" ("&amp;TEXT(SUMPRODUCT(MAX((T_PlannedOrders[Part Name]=$A709)*(T_PlannedOrders[WeekIndex]=1)*(T_PlannedOrders[EffectiveQty]&gt;0)*T_PlannedOrders[Order_Month])),"m月")&amp;"発注)")</f>
        <v/>
      </c>
      <c r="E719">
        <f>IF(SUMIFS(T_PlannedOrders[EffectiveQty],T_PlannedOrders[Part Name],$A709,T_PlannedOrders[WeekIndex],2)=0,"",SUMIFS(T_PlannedOrders[EffectiveQty],T_PlannedOrders[Part Name],$A709,T_PlannedOrders[WeekIndex],2)&amp;" ("&amp;TEXT(SUMPRODUCT(MAX((T_PlannedOrders[Part Name]=$A709)*(T_PlannedOrders[WeekIndex]=2)*(T_PlannedOrders[EffectiveQty]&gt;0)*T_PlannedOrders[Order_Month])),"m月")&amp;"発注)")</f>
        <v/>
      </c>
      <c r="F719">
        <f>IF(SUMIFS(T_PlannedOrders[EffectiveQty],T_PlannedOrders[Part Name],$A709,T_PlannedOrders[WeekIndex],3)=0,"",SUMIFS(T_PlannedOrders[EffectiveQty],T_PlannedOrders[Part Name],$A709,T_PlannedOrders[WeekIndex],3)&amp;" ("&amp;TEXT(SUMPRODUCT(MAX((T_PlannedOrders[Part Name]=$A709)*(T_PlannedOrders[WeekIndex]=3)*(T_PlannedOrders[EffectiveQty]&gt;0)*T_PlannedOrders[Order_Month])),"m月")&amp;"発注)")</f>
        <v/>
      </c>
      <c r="G719">
        <f>IF(SUMIFS(T_PlannedOrders[EffectiveQty],T_PlannedOrders[Part Name],$A709,T_PlannedOrders[WeekIndex],4)=0,"",SUMIFS(T_PlannedOrders[EffectiveQty],T_PlannedOrders[Part Name],$A709,T_PlannedOrders[WeekIndex],4)&amp;" ("&amp;TEXT(SUMPRODUCT(MAX((T_PlannedOrders[Part Name]=$A709)*(T_PlannedOrders[WeekIndex]=4)*(T_PlannedOrders[EffectiveQty]&gt;0)*T_PlannedOrders[Order_Month])),"m月")&amp;"発注)")</f>
        <v/>
      </c>
      <c r="H719">
        <f>IF(SUMIFS(T_PlannedOrders[EffectiveQty],T_PlannedOrders[Part Name],$A709,T_PlannedOrders[WeekIndex],5)=0,"",SUMIFS(T_PlannedOrders[EffectiveQty],T_PlannedOrders[Part Name],$A709,T_PlannedOrders[WeekIndex],5)&amp;" ("&amp;TEXT(SUMPRODUCT(MAX((T_PlannedOrders[Part Name]=$A709)*(T_PlannedOrders[WeekIndex]=5)*(T_PlannedOrders[EffectiveQty]&gt;0)*T_PlannedOrders[Order_Month])),"m月")&amp;"発注)")</f>
        <v/>
      </c>
      <c r="I719">
        <f>IF(SUMIFS(T_PlannedOrders[EffectiveQty],T_PlannedOrders[Part Name],$A709,T_PlannedOrders[WeekIndex],6)=0,"",SUMIFS(T_PlannedOrders[EffectiveQty],T_PlannedOrders[Part Name],$A709,T_PlannedOrders[WeekIndex],6)&amp;" ("&amp;TEXT(SUMPRODUCT(MAX((T_PlannedOrders[Part Name]=$A709)*(T_PlannedOrders[WeekIndex]=6)*(T_PlannedOrders[EffectiveQty]&gt;0)*T_PlannedOrders[Order_Month])),"m月")&amp;"発注)")</f>
        <v/>
      </c>
      <c r="J719">
        <f>IF(SUMIFS(T_PlannedOrders[EffectiveQty],T_PlannedOrders[Part Name],$A709,T_PlannedOrders[WeekIndex],7)=0,"",SUMIFS(T_PlannedOrders[EffectiveQty],T_PlannedOrders[Part Name],$A709,T_PlannedOrders[WeekIndex],7)&amp;" ("&amp;TEXT(SUMPRODUCT(MAX((T_PlannedOrders[Part Name]=$A709)*(T_PlannedOrders[WeekIndex]=7)*(T_PlannedOrders[EffectiveQty]&gt;0)*T_PlannedOrders[Order_Month])),"m月")&amp;"発注)")</f>
        <v/>
      </c>
      <c r="K719">
        <f>IF(SUMIFS(T_PlannedOrders[EffectiveQty],T_PlannedOrders[Part Name],$A709,T_PlannedOrders[WeekIndex],8)=0,"",SUMIFS(T_PlannedOrders[EffectiveQty],T_PlannedOrders[Part Name],$A709,T_PlannedOrders[WeekIndex],8)&amp;" ("&amp;TEXT(SUMPRODUCT(MAX((T_PlannedOrders[Part Name]=$A709)*(T_PlannedOrders[WeekIndex]=8)*(T_PlannedOrders[EffectiveQty]&gt;0)*T_PlannedOrders[Order_Month])),"m月")&amp;"発注)")</f>
        <v/>
      </c>
      <c r="L719">
        <f>IF(SUMIFS(T_PlannedOrders[EffectiveQty],T_PlannedOrders[Part Name],$A709,T_PlannedOrders[WeekIndex],9)=0,"",SUMIFS(T_PlannedOrders[EffectiveQty],T_PlannedOrders[Part Name],$A709,T_PlannedOrders[WeekIndex],9)&amp;" ("&amp;TEXT(SUMPRODUCT(MAX((T_PlannedOrders[Part Name]=$A709)*(T_PlannedOrders[WeekIndex]=9)*(T_PlannedOrders[EffectiveQty]&gt;0)*T_PlannedOrders[Order_Month])),"m月")&amp;"発注)")</f>
        <v/>
      </c>
      <c r="M719">
        <f>IF(SUMIFS(T_PlannedOrders[EffectiveQty],T_PlannedOrders[Part Name],$A709,T_PlannedOrders[WeekIndex],10)=0,"",SUMIFS(T_PlannedOrders[EffectiveQty],T_PlannedOrders[Part Name],$A709,T_PlannedOrders[WeekIndex],10)&amp;" ("&amp;TEXT(SUMPRODUCT(MAX((T_PlannedOrders[Part Name]=$A709)*(T_PlannedOrders[WeekIndex]=10)*(T_PlannedOrders[EffectiveQty]&gt;0)*T_PlannedOrders[Order_Month])),"m月")&amp;"発注)")</f>
        <v/>
      </c>
      <c r="N719">
        <f>IF(SUMIFS(T_PlannedOrders[EffectiveQty],T_PlannedOrders[Part Name],$A709,T_PlannedOrders[WeekIndex],11)=0,"",SUMIFS(T_PlannedOrders[EffectiveQty],T_PlannedOrders[Part Name],$A709,T_PlannedOrders[WeekIndex],11)&amp;" ("&amp;TEXT(SUMPRODUCT(MAX((T_PlannedOrders[Part Name]=$A709)*(T_PlannedOrders[WeekIndex]=11)*(T_PlannedOrders[EffectiveQty]&gt;0)*T_PlannedOrders[Order_Month])),"m月")&amp;"発注)")</f>
        <v/>
      </c>
      <c r="O719">
        <f>IF(SUMIFS(T_PlannedOrders[EffectiveQty],T_PlannedOrders[Part Name],$A709,T_PlannedOrders[WeekIndex],12)=0,"",SUMIFS(T_PlannedOrders[EffectiveQty],T_PlannedOrders[Part Name],$A709,T_PlannedOrders[WeekIndex],12)&amp;" ("&amp;TEXT(SUMPRODUCT(MAX((T_PlannedOrders[Part Name]=$A709)*(T_PlannedOrders[WeekIndex]=12)*(T_PlannedOrders[EffectiveQty]&gt;0)*T_PlannedOrders[Order_Month])),"m月")&amp;"発注)")</f>
        <v/>
      </c>
      <c r="P719">
        <f>IF(SUMIFS(T_PlannedOrders[EffectiveQty],T_PlannedOrders[Part Name],$A709,T_PlannedOrders[WeekIndex],13)=0,"",SUMIFS(T_PlannedOrders[EffectiveQty],T_PlannedOrders[Part Name],$A709,T_PlannedOrders[WeekIndex],13)&amp;" ("&amp;TEXT(SUMPRODUCT(MAX((T_PlannedOrders[Part Name]=$A709)*(T_PlannedOrders[WeekIndex]=13)*(T_PlannedOrders[EffectiveQty]&gt;0)*T_PlannedOrders[Order_Month])),"m月")&amp;"発注)")</f>
        <v/>
      </c>
      <c r="Q719">
        <f>IF(SUMIFS(T_PlannedOrders[EffectiveQty],T_PlannedOrders[Part Name],$A709,T_PlannedOrders[WeekIndex],14)=0,"",SUMIFS(T_PlannedOrders[EffectiveQty],T_PlannedOrders[Part Name],$A709,T_PlannedOrders[WeekIndex],14)&amp;" ("&amp;TEXT(SUMPRODUCT(MAX((T_PlannedOrders[Part Name]=$A709)*(T_PlannedOrders[WeekIndex]=14)*(T_PlannedOrders[EffectiveQty]&gt;0)*T_PlannedOrders[Order_Month])),"m月")&amp;"発注)")</f>
        <v/>
      </c>
      <c r="R719">
        <f>IF(SUMIFS(T_PlannedOrders[EffectiveQty],T_PlannedOrders[Part Name],$A709,T_PlannedOrders[WeekIndex],15)=0,"",SUMIFS(T_PlannedOrders[EffectiveQty],T_PlannedOrders[Part Name],$A709,T_PlannedOrders[WeekIndex],15)&amp;" ("&amp;TEXT(SUMPRODUCT(MAX((T_PlannedOrders[Part Name]=$A709)*(T_PlannedOrders[WeekIndex]=15)*(T_PlannedOrders[EffectiveQty]&gt;0)*T_PlannedOrders[Order_Month])),"m月")&amp;"発注)")</f>
        <v/>
      </c>
      <c r="S719">
        <f>IF(SUMIFS(T_PlannedOrders[EffectiveQty],T_PlannedOrders[Part Name],$A709,T_PlannedOrders[WeekIndex],16)=0,"",SUMIFS(T_PlannedOrders[EffectiveQty],T_PlannedOrders[Part Name],$A709,T_PlannedOrders[WeekIndex],16)&amp;" ("&amp;TEXT(SUMPRODUCT(MAX((T_PlannedOrders[Part Name]=$A709)*(T_PlannedOrders[WeekIndex]=16)*(T_PlannedOrders[EffectiveQty]&gt;0)*T_PlannedOrders[Order_Month])),"m月")&amp;"発注)")</f>
        <v/>
      </c>
      <c r="T719">
        <f>IF(SUMIFS(T_PlannedOrders[EffectiveQty],T_PlannedOrders[Part Name],$A709,T_PlannedOrders[WeekIndex],17)=0,"",SUMIFS(T_PlannedOrders[EffectiveQty],T_PlannedOrders[Part Name],$A709,T_PlannedOrders[WeekIndex],17)&amp;" ("&amp;TEXT(SUMPRODUCT(MAX((T_PlannedOrders[Part Name]=$A709)*(T_PlannedOrders[WeekIndex]=17)*(T_PlannedOrders[EffectiveQty]&gt;0)*T_PlannedOrders[Order_Month])),"m月")&amp;"発注)")</f>
        <v/>
      </c>
      <c r="U719">
        <f>IF(SUMIFS(T_PlannedOrders[EffectiveQty],T_PlannedOrders[Part Name],$A709,T_PlannedOrders[WeekIndex],18)=0,"",SUMIFS(T_PlannedOrders[EffectiveQty],T_PlannedOrders[Part Name],$A709,T_PlannedOrders[WeekIndex],18)&amp;" ("&amp;TEXT(SUMPRODUCT(MAX((T_PlannedOrders[Part Name]=$A709)*(T_PlannedOrders[WeekIndex]=18)*(T_PlannedOrders[EffectiveQty]&gt;0)*T_PlannedOrders[Order_Month])),"m月")&amp;"発注)")</f>
        <v/>
      </c>
      <c r="V719">
        <f>IF(SUMIFS(T_PlannedOrders[EffectiveQty],T_PlannedOrders[Part Name],$A709,T_PlannedOrders[WeekIndex],19)=0,"",SUMIFS(T_PlannedOrders[EffectiveQty],T_PlannedOrders[Part Name],$A709,T_PlannedOrders[WeekIndex],19)&amp;" ("&amp;TEXT(SUMPRODUCT(MAX((T_PlannedOrders[Part Name]=$A709)*(T_PlannedOrders[WeekIndex]=19)*(T_PlannedOrders[EffectiveQty]&gt;0)*T_PlannedOrders[Order_Month])),"m月")&amp;"発注)")</f>
        <v/>
      </c>
      <c r="W719">
        <f>IF(SUMIFS(T_PlannedOrders[EffectiveQty],T_PlannedOrders[Part Name],$A709,T_PlannedOrders[WeekIndex],20)=0,"",SUMIFS(T_PlannedOrders[EffectiveQty],T_PlannedOrders[Part Name],$A709,T_PlannedOrders[WeekIndex],20)&amp;" ("&amp;TEXT(SUMPRODUCT(MAX((T_PlannedOrders[Part Name]=$A709)*(T_PlannedOrders[WeekIndex]=20)*(T_PlannedOrders[EffectiveQty]&gt;0)*T_PlannedOrders[Order_Month])),"m月")&amp;"発注)")</f>
        <v/>
      </c>
      <c r="X719">
        <f>IF(SUMIFS(T_PlannedOrders[EffectiveQty],T_PlannedOrders[Part Name],$A709,T_PlannedOrders[WeekIndex],21)=0,"",SUMIFS(T_PlannedOrders[EffectiveQty],T_PlannedOrders[Part Name],$A709,T_PlannedOrders[WeekIndex],21)&amp;" ("&amp;TEXT(SUMPRODUCT(MAX((T_PlannedOrders[Part Name]=$A709)*(T_PlannedOrders[WeekIndex]=21)*(T_PlannedOrders[EffectiveQty]&gt;0)*T_PlannedOrders[Order_Month])),"m月")&amp;"発注)")</f>
        <v/>
      </c>
      <c r="Y719">
        <f>IF(SUMIFS(T_PlannedOrders[EffectiveQty],T_PlannedOrders[Part Name],$A709,T_PlannedOrders[WeekIndex],22)=0,"",SUMIFS(T_PlannedOrders[EffectiveQty],T_PlannedOrders[Part Name],$A709,T_PlannedOrders[WeekIndex],22)&amp;" ("&amp;TEXT(SUMPRODUCT(MAX((T_PlannedOrders[Part Name]=$A709)*(T_PlannedOrders[WeekIndex]=22)*(T_PlannedOrders[EffectiveQty]&gt;0)*T_PlannedOrders[Order_Month])),"m月")&amp;"発注)")</f>
        <v/>
      </c>
      <c r="Z719">
        <f>IF(SUMIFS(T_PlannedOrders[EffectiveQty],T_PlannedOrders[Part Name],$A709,T_PlannedOrders[WeekIndex],23)=0,"",SUMIFS(T_PlannedOrders[EffectiveQty],T_PlannedOrders[Part Name],$A709,T_PlannedOrders[WeekIndex],23)&amp;" ("&amp;TEXT(SUMPRODUCT(MAX((T_PlannedOrders[Part Name]=$A709)*(T_PlannedOrders[WeekIndex]=23)*(T_PlannedOrders[EffectiveQty]&gt;0)*T_PlannedOrders[Order_Month])),"m月")&amp;"発注)")</f>
        <v/>
      </c>
      <c r="AA719">
        <f>IF(SUMIFS(T_PlannedOrders[EffectiveQty],T_PlannedOrders[Part Name],$A709,T_PlannedOrders[WeekIndex],24)=0,"",SUMIFS(T_PlannedOrders[EffectiveQty],T_PlannedOrders[Part Name],$A709,T_PlannedOrders[WeekIndex],24)&amp;" ("&amp;TEXT(SUMPRODUCT(MAX((T_PlannedOrders[Part Name]=$A709)*(T_PlannedOrders[WeekIndex]=24)*(T_PlannedOrders[EffectiveQty]&gt;0)*T_PlannedOrders[Order_Month])),"m月")&amp;"発注)")</f>
        <v/>
      </c>
      <c r="AB719">
        <f>IF(SUMIFS(T_PlannedOrders[EffectiveQty],T_PlannedOrders[Part Name],$A709,T_PlannedOrders[WeekIndex],25)=0,"",SUMIFS(T_PlannedOrders[EffectiveQty],T_PlannedOrders[Part Name],$A709,T_PlannedOrders[WeekIndex],25)&amp;" ("&amp;TEXT(SUMPRODUCT(MAX((T_PlannedOrders[Part Name]=$A709)*(T_PlannedOrders[WeekIndex]=25)*(T_PlannedOrders[EffectiveQty]&gt;0)*T_PlannedOrders[Order_Month])),"m月")&amp;"発注)")</f>
        <v/>
      </c>
      <c r="AC719">
        <f>IF(SUMIFS(T_PlannedOrders[EffectiveQty],T_PlannedOrders[Part Name],$A709,T_PlannedOrders[WeekIndex],26)=0,"",SUMIFS(T_PlannedOrders[EffectiveQty],T_PlannedOrders[Part Name],$A709,T_PlannedOrders[WeekIndex],26)&amp;" ("&amp;TEXT(SUMPRODUCT(MAX((T_PlannedOrders[Part Name]=$A709)*(T_PlannedOrders[WeekIndex]=26)*(T_PlannedOrders[EffectiveQty]&gt;0)*T_PlannedOrders[Order_Month])),"m月")&amp;"発注)")</f>
        <v/>
      </c>
      <c r="AD719">
        <f>IF(SUMIFS(T_PlannedOrders[EffectiveQty],T_PlannedOrders[Part Name],$A709,T_PlannedOrders[WeekIndex],27)=0,"",SUMIFS(T_PlannedOrders[EffectiveQty],T_PlannedOrders[Part Name],$A709,T_PlannedOrders[WeekIndex],27)&amp;" ("&amp;TEXT(SUMPRODUCT(MAX((T_PlannedOrders[Part Name]=$A709)*(T_PlannedOrders[WeekIndex]=27)*(T_PlannedOrders[EffectiveQty]&gt;0)*T_PlannedOrders[Order_Month])),"m月")&amp;"発注)")</f>
        <v/>
      </c>
      <c r="AE719">
        <f>IF(SUMIFS(T_PlannedOrders[EffectiveQty],T_PlannedOrders[Part Name],$A709,T_PlannedOrders[WeekIndex],28)=0,"",SUMIFS(T_PlannedOrders[EffectiveQty],T_PlannedOrders[Part Name],$A709,T_PlannedOrders[WeekIndex],28)&amp;" ("&amp;TEXT(SUMPRODUCT(MAX((T_PlannedOrders[Part Name]=$A709)*(T_PlannedOrders[WeekIndex]=28)*(T_PlannedOrders[EffectiveQty]&gt;0)*T_PlannedOrders[Order_Month])),"m月")&amp;"発注)")</f>
        <v/>
      </c>
      <c r="AF719">
        <f>IF(SUMIFS(T_PlannedOrders[EffectiveQty],T_PlannedOrders[Part Name],$A709,T_PlannedOrders[WeekIndex],29)=0,"",SUMIFS(T_PlannedOrders[EffectiveQty],T_PlannedOrders[Part Name],$A709,T_PlannedOrders[WeekIndex],29)&amp;" ("&amp;TEXT(SUMPRODUCT(MAX((T_PlannedOrders[Part Name]=$A709)*(T_PlannedOrders[WeekIndex]=29)*(T_PlannedOrders[EffectiveQty]&gt;0)*T_PlannedOrders[Order_Month])),"m月")&amp;"発注)")</f>
        <v/>
      </c>
      <c r="AG719">
        <f>IF(SUMIFS(T_PlannedOrders[EffectiveQty],T_PlannedOrders[Part Name],$A709,T_PlannedOrders[WeekIndex],30)=0,"",SUMIFS(T_PlannedOrders[EffectiveQty],T_PlannedOrders[Part Name],$A709,T_PlannedOrders[WeekIndex],30)&amp;" ("&amp;TEXT(SUMPRODUCT(MAX((T_PlannedOrders[Part Name]=$A709)*(T_PlannedOrders[WeekIndex]=30)*(T_PlannedOrders[EffectiveQty]&gt;0)*T_PlannedOrders[Order_Month])),"m月")&amp;"発注)")</f>
        <v/>
      </c>
      <c r="AH719">
        <f>IF(SUMIFS(T_PlannedOrders[EffectiveQty],T_PlannedOrders[Part Name],$A709,T_PlannedOrders[WeekIndex],31)=0,"",SUMIFS(T_PlannedOrders[EffectiveQty],T_PlannedOrders[Part Name],$A709,T_PlannedOrders[WeekIndex],31)&amp;" ("&amp;TEXT(SUMPRODUCT(MAX((T_PlannedOrders[Part Name]=$A709)*(T_PlannedOrders[WeekIndex]=31)*(T_PlannedOrders[EffectiveQty]&gt;0)*T_PlannedOrders[Order_Month])),"m月")&amp;"発注)")</f>
        <v/>
      </c>
      <c r="AI719">
        <f>IF(SUMIFS(T_PlannedOrders[EffectiveQty],T_PlannedOrders[Part Name],$A709,T_PlannedOrders[WeekIndex],32)=0,"",SUMIFS(T_PlannedOrders[EffectiveQty],T_PlannedOrders[Part Name],$A709,T_PlannedOrders[WeekIndex],32)&amp;" ("&amp;TEXT(SUMPRODUCT(MAX((T_PlannedOrders[Part Name]=$A709)*(T_PlannedOrders[WeekIndex]=32)*(T_PlannedOrders[EffectiveQty]&gt;0)*T_PlannedOrders[Order_Month])),"m月")&amp;"発注)")</f>
        <v/>
      </c>
      <c r="AJ719">
        <f>IF(SUMIFS(T_PlannedOrders[EffectiveQty],T_PlannedOrders[Part Name],$A709,T_PlannedOrders[WeekIndex],33)=0,"",SUMIFS(T_PlannedOrders[EffectiveQty],T_PlannedOrders[Part Name],$A709,T_PlannedOrders[WeekIndex],33)&amp;" ("&amp;TEXT(SUMPRODUCT(MAX((T_PlannedOrders[Part Name]=$A709)*(T_PlannedOrders[WeekIndex]=33)*(T_PlannedOrders[EffectiveQty]&gt;0)*T_PlannedOrders[Order_Month])),"m月")&amp;"発注)")</f>
        <v/>
      </c>
      <c r="AK719">
        <f>IF(SUMIFS(T_PlannedOrders[EffectiveQty],T_PlannedOrders[Part Name],$A709,T_PlannedOrders[WeekIndex],34)=0,"",SUMIFS(T_PlannedOrders[EffectiveQty],T_PlannedOrders[Part Name],$A709,T_PlannedOrders[WeekIndex],34)&amp;" ("&amp;TEXT(SUMPRODUCT(MAX((T_PlannedOrders[Part Name]=$A709)*(T_PlannedOrders[WeekIndex]=34)*(T_PlannedOrders[EffectiveQty]&gt;0)*T_PlannedOrders[Order_Month])),"m月")&amp;"発注)")</f>
        <v/>
      </c>
      <c r="AL719">
        <f>IF(SUMIFS(T_PlannedOrders[EffectiveQty],T_PlannedOrders[Part Name],$A709,T_PlannedOrders[WeekIndex],35)=0,"",SUMIFS(T_PlannedOrders[EffectiveQty],T_PlannedOrders[Part Name],$A709,T_PlannedOrders[WeekIndex],35)&amp;" ("&amp;TEXT(SUMPRODUCT(MAX((T_PlannedOrders[Part Name]=$A709)*(T_PlannedOrders[WeekIndex]=35)*(T_PlannedOrders[EffectiveQty]&gt;0)*T_PlannedOrders[Order_Month])),"m月")&amp;"発注)")</f>
        <v/>
      </c>
      <c r="AM719">
        <f>IF(SUMIFS(T_PlannedOrders[EffectiveQty],T_PlannedOrders[Part Name],$A709,T_PlannedOrders[WeekIndex],36)=0,"",SUMIFS(T_PlannedOrders[EffectiveQty],T_PlannedOrders[Part Name],$A709,T_PlannedOrders[WeekIndex],36)&amp;" ("&amp;TEXT(SUMPRODUCT(MAX((T_PlannedOrders[Part Name]=$A709)*(T_PlannedOrders[WeekIndex]=36)*(T_PlannedOrders[EffectiveQty]&gt;0)*T_PlannedOrders[Order_Month])),"m月")&amp;"発注)")</f>
        <v/>
      </c>
      <c r="AN719">
        <f>IF(SUMIFS(T_PlannedOrders[EffectiveQty],T_PlannedOrders[Part Name],$A709,T_PlannedOrders[WeekIndex],37)=0,"",SUMIFS(T_PlannedOrders[EffectiveQty],T_PlannedOrders[Part Name],$A709,T_PlannedOrders[WeekIndex],37)&amp;" ("&amp;TEXT(SUMPRODUCT(MAX((T_PlannedOrders[Part Name]=$A709)*(T_PlannedOrders[WeekIndex]=37)*(T_PlannedOrders[EffectiveQty]&gt;0)*T_PlannedOrders[Order_Month])),"m月")&amp;"発注)")</f>
        <v/>
      </c>
      <c r="AO719">
        <f>IF(SUMIFS(T_PlannedOrders[EffectiveQty],T_PlannedOrders[Part Name],$A709,T_PlannedOrders[WeekIndex],38)=0,"",SUMIFS(T_PlannedOrders[EffectiveQty],T_PlannedOrders[Part Name],$A709,T_PlannedOrders[WeekIndex],38)&amp;" ("&amp;TEXT(SUMPRODUCT(MAX((T_PlannedOrders[Part Name]=$A709)*(T_PlannedOrders[WeekIndex]=38)*(T_PlannedOrders[EffectiveQty]&gt;0)*T_PlannedOrders[Order_Month])),"m月")&amp;"発注)")</f>
        <v/>
      </c>
      <c r="AP719">
        <f>IF(SUMIFS(T_PlannedOrders[EffectiveQty],T_PlannedOrders[Part Name],$A709,T_PlannedOrders[WeekIndex],39)=0,"",SUMIFS(T_PlannedOrders[EffectiveQty],T_PlannedOrders[Part Name],$A709,T_PlannedOrders[WeekIndex],39)&amp;" ("&amp;TEXT(SUMPRODUCT(MAX((T_PlannedOrders[Part Name]=$A709)*(T_PlannedOrders[WeekIndex]=39)*(T_PlannedOrders[EffectiveQty]&gt;0)*T_PlannedOrders[Order_Month])),"m月")&amp;"発注)")</f>
        <v/>
      </c>
      <c r="AQ719">
        <f>IF(SUMIFS(T_PlannedOrders[EffectiveQty],T_PlannedOrders[Part Name],$A709,T_PlannedOrders[WeekIndex],40)=0,"",SUMIFS(T_PlannedOrders[EffectiveQty],T_PlannedOrders[Part Name],$A709,T_PlannedOrders[WeekIndex],40)&amp;" ("&amp;TEXT(SUMPRODUCT(MAX((T_PlannedOrders[Part Name]=$A709)*(T_PlannedOrders[WeekIndex]=40)*(T_PlannedOrders[EffectiveQty]&gt;0)*T_PlannedOrders[Order_Month])),"m月")&amp;"発注)")</f>
        <v/>
      </c>
      <c r="AR719">
        <f>IF(SUMIFS(T_PlannedOrders[EffectiveQty],T_PlannedOrders[Part Name],$A709,T_PlannedOrders[WeekIndex],41)=0,"",SUMIFS(T_PlannedOrders[EffectiveQty],T_PlannedOrders[Part Name],$A709,T_PlannedOrders[WeekIndex],41)&amp;" ("&amp;TEXT(SUMPRODUCT(MAX((T_PlannedOrders[Part Name]=$A709)*(T_PlannedOrders[WeekIndex]=41)*(T_PlannedOrders[EffectiveQty]&gt;0)*T_PlannedOrders[Order_Month])),"m月")&amp;"発注)")</f>
        <v/>
      </c>
      <c r="AS719">
        <f>IF(SUMIFS(T_PlannedOrders[EffectiveQty],T_PlannedOrders[Part Name],$A709,T_PlannedOrders[WeekIndex],42)=0,"",SUMIFS(T_PlannedOrders[EffectiveQty],T_PlannedOrders[Part Name],$A709,T_PlannedOrders[WeekIndex],42)&amp;" ("&amp;TEXT(SUMPRODUCT(MAX((T_PlannedOrders[Part Name]=$A709)*(T_PlannedOrders[WeekIndex]=42)*(T_PlannedOrders[EffectiveQty]&gt;0)*T_PlannedOrders[Order_Month])),"m月")&amp;"発注)")</f>
        <v/>
      </c>
      <c r="AT719">
        <f>IF(SUMIFS(T_PlannedOrders[EffectiveQty],T_PlannedOrders[Part Name],$A709,T_PlannedOrders[WeekIndex],43)=0,"",SUMIFS(T_PlannedOrders[EffectiveQty],T_PlannedOrders[Part Name],$A709,T_PlannedOrders[WeekIndex],43)&amp;" ("&amp;TEXT(SUMPRODUCT(MAX((T_PlannedOrders[Part Name]=$A709)*(T_PlannedOrders[WeekIndex]=43)*(T_PlannedOrders[EffectiveQty]&gt;0)*T_PlannedOrders[Order_Month])),"m月")&amp;"発注)")</f>
        <v/>
      </c>
      <c r="AU719">
        <f>IF(SUMIFS(T_PlannedOrders[EffectiveQty],T_PlannedOrders[Part Name],$A709,T_PlannedOrders[WeekIndex],44)=0,"",SUMIFS(T_PlannedOrders[EffectiveQty],T_PlannedOrders[Part Name],$A709,T_PlannedOrders[WeekIndex],44)&amp;" ("&amp;TEXT(SUMPRODUCT(MAX((T_PlannedOrders[Part Name]=$A709)*(T_PlannedOrders[WeekIndex]=44)*(T_PlannedOrders[EffectiveQty]&gt;0)*T_PlannedOrders[Order_Month])),"m月")&amp;"発注)")</f>
        <v/>
      </c>
      <c r="AV719">
        <f>IF(SUMIFS(T_PlannedOrders[EffectiveQty],T_PlannedOrders[Part Name],$A709,T_PlannedOrders[WeekIndex],45)=0,"",SUMIFS(T_PlannedOrders[EffectiveQty],T_PlannedOrders[Part Name],$A709,T_PlannedOrders[WeekIndex],45)&amp;" ("&amp;TEXT(SUMPRODUCT(MAX((T_PlannedOrders[Part Name]=$A709)*(T_PlannedOrders[WeekIndex]=45)*(T_PlannedOrders[EffectiveQty]&gt;0)*T_PlannedOrders[Order_Month])),"m月")&amp;"発注)")</f>
        <v/>
      </c>
      <c r="AW719">
        <f>IF(SUMIFS(T_PlannedOrders[EffectiveQty],T_PlannedOrders[Part Name],$A709,T_PlannedOrders[WeekIndex],46)=0,"",SUMIFS(T_PlannedOrders[EffectiveQty],T_PlannedOrders[Part Name],$A709,T_PlannedOrders[WeekIndex],46)&amp;" ("&amp;TEXT(SUMPRODUCT(MAX((T_PlannedOrders[Part Name]=$A709)*(T_PlannedOrders[WeekIndex]=46)*(T_PlannedOrders[EffectiveQty]&gt;0)*T_PlannedOrders[Order_Month])),"m月")&amp;"発注)")</f>
        <v/>
      </c>
      <c r="AX719">
        <f>IF(SUMIFS(T_PlannedOrders[EffectiveQty],T_PlannedOrders[Part Name],$A709,T_PlannedOrders[WeekIndex],47)=0,"",SUMIFS(T_PlannedOrders[EffectiveQty],T_PlannedOrders[Part Name],$A709,T_PlannedOrders[WeekIndex],47)&amp;" ("&amp;TEXT(SUMPRODUCT(MAX((T_PlannedOrders[Part Name]=$A709)*(T_PlannedOrders[WeekIndex]=47)*(T_PlannedOrders[EffectiveQty]&gt;0)*T_PlannedOrders[Order_Month])),"m月")&amp;"発注)")</f>
        <v/>
      </c>
      <c r="AY719">
        <f>IF(SUMIFS(T_PlannedOrders[EffectiveQty],T_PlannedOrders[Part Name],$A709,T_PlannedOrders[WeekIndex],48)=0,"",SUMIFS(T_PlannedOrders[EffectiveQty],T_PlannedOrders[Part Name],$A709,T_PlannedOrders[WeekIndex],48)&amp;" ("&amp;TEXT(SUMPRODUCT(MAX((T_PlannedOrders[Part Name]=$A709)*(T_PlannedOrders[WeekIndex]=48)*(T_PlannedOrders[EffectiveQty]&gt;0)*T_PlannedOrders[Order_Month])),"m月")&amp;"発注)")</f>
        <v/>
      </c>
      <c r="AZ719">
        <f>IF(SUMIFS(T_PlannedOrders[EffectiveQty],T_PlannedOrders[Part Name],$A709,T_PlannedOrders[WeekIndex],49)=0,"",SUMIFS(T_PlannedOrders[EffectiveQty],T_PlannedOrders[Part Name],$A709,T_PlannedOrders[WeekIndex],49)&amp;" ("&amp;TEXT(SUMPRODUCT(MAX((T_PlannedOrders[Part Name]=$A709)*(T_PlannedOrders[WeekIndex]=49)*(T_PlannedOrders[EffectiveQty]&gt;0)*T_PlannedOrders[Order_Month])),"m月")&amp;"発注)")</f>
        <v/>
      </c>
      <c r="BA719">
        <f>IF(SUMIFS(T_PlannedOrders[EffectiveQty],T_PlannedOrders[Part Name],$A709,T_PlannedOrders[WeekIndex],50)=0,"",SUMIFS(T_PlannedOrders[EffectiveQty],T_PlannedOrders[Part Name],$A709,T_PlannedOrders[WeekIndex],50)&amp;" ("&amp;TEXT(SUMPRODUCT(MAX((T_PlannedOrders[Part Name]=$A709)*(T_PlannedOrders[WeekIndex]=50)*(T_PlannedOrders[EffectiveQty]&gt;0)*T_PlannedOrders[Order_Month])),"m月")&amp;"発注)")</f>
        <v/>
      </c>
      <c r="BB719">
        <f>IF(SUMIFS(T_PlannedOrders[EffectiveQty],T_PlannedOrders[Part Name],$A709,T_PlannedOrders[WeekIndex],51)=0,"",SUMIFS(T_PlannedOrders[EffectiveQty],T_PlannedOrders[Part Name],$A709,T_PlannedOrders[WeekIndex],51)&amp;" ("&amp;TEXT(SUMPRODUCT(MAX((T_PlannedOrders[Part Name]=$A709)*(T_PlannedOrders[WeekIndex]=51)*(T_PlannedOrders[EffectiveQty]&gt;0)*T_PlannedOrders[Order_Month])),"m月")&amp;"発注)")</f>
        <v/>
      </c>
      <c r="BC719">
        <f>IF(SUMIFS(T_PlannedOrders[EffectiveQty],T_PlannedOrders[Part Name],$A709,T_PlannedOrders[WeekIndex],52)=0,"",SUMIFS(T_PlannedOrders[EffectiveQty],T_PlannedOrders[Part Name],$A709,T_PlannedOrders[WeekIndex],52)&amp;" ("&amp;TEXT(SUMPRODUCT(MAX((T_PlannedOrders[Part Name]=$A709)*(T_PlannedOrders[WeekIndex]=52)*(T_PlannedOrders[EffectiveQty]&gt;0)*T_PlannedOrders[Order_Month])),"m月")&amp;"発注)")</f>
        <v/>
      </c>
      <c r="BD719">
        <f>IF(SUMIFS(T_PlannedOrders[EffectiveQty],T_PlannedOrders[Part Name],$A709,T_PlannedOrders[WeekIndex],53)=0,"",SUMIFS(T_PlannedOrders[EffectiveQty],T_PlannedOrders[Part Name],$A709,T_PlannedOrders[WeekIndex],53)&amp;" ("&amp;TEXT(SUMPRODUCT(MAX((T_PlannedOrders[Part Name]=$A709)*(T_PlannedOrders[WeekIndex]=53)*(T_PlannedOrders[EffectiveQty]&gt;0)*T_PlannedOrders[Order_Month])),"m月")&amp;"発注)")</f>
        <v/>
      </c>
      <c r="BE719">
        <f>IF(SUMIFS(T_PlannedOrders[EffectiveQty],T_PlannedOrders[Part Name],$A709,T_PlannedOrders[WeekIndex],54)=0,"",SUMIFS(T_PlannedOrders[EffectiveQty],T_PlannedOrders[Part Name],$A709,T_PlannedOrders[WeekIndex],54)&amp;" ("&amp;TEXT(SUMPRODUCT(MAX((T_PlannedOrders[Part Name]=$A709)*(T_PlannedOrders[WeekIndex]=54)*(T_PlannedOrders[EffectiveQty]&gt;0)*T_PlannedOrders[Order_Month])),"m月")&amp;"発注)")</f>
        <v/>
      </c>
      <c r="BF719">
        <f>IF(SUMIFS(T_PlannedOrders[EffectiveQty],T_PlannedOrders[Part Name],$A709,T_PlannedOrders[WeekIndex],55)=0,"",SUMIFS(T_PlannedOrders[EffectiveQty],T_PlannedOrders[Part Name],$A709,T_PlannedOrders[WeekIndex],55)&amp;" ("&amp;TEXT(SUMPRODUCT(MAX((T_PlannedOrders[Part Name]=$A709)*(T_PlannedOrders[WeekIndex]=55)*(T_PlannedOrders[EffectiveQty]&gt;0)*T_PlannedOrders[Order_Month])),"m月")&amp;"発注)")</f>
        <v/>
      </c>
      <c r="BG719">
        <f>IF(SUMIFS(T_PlannedOrders[EffectiveQty],T_PlannedOrders[Part Name],$A709,T_PlannedOrders[WeekIndex],56)=0,"",SUMIFS(T_PlannedOrders[EffectiveQty],T_PlannedOrders[Part Name],$A709,T_PlannedOrders[WeekIndex],56)&amp;" ("&amp;TEXT(SUMPRODUCT(MAX((T_PlannedOrders[Part Name]=$A709)*(T_PlannedOrders[WeekIndex]=56)*(T_PlannedOrders[EffectiveQty]&gt;0)*T_PlannedOrders[Order_Month])),"m月")&amp;"発注)")</f>
        <v/>
      </c>
      <c r="BH719">
        <f>IF(SUMIFS(T_PlannedOrders[EffectiveQty],T_PlannedOrders[Part Name],$A709,T_PlannedOrders[WeekIndex],57)=0,"",SUMIFS(T_PlannedOrders[EffectiveQty],T_PlannedOrders[Part Name],$A709,T_PlannedOrders[WeekIndex],57)&amp;" ("&amp;TEXT(SUMPRODUCT(MAX((T_PlannedOrders[Part Name]=$A709)*(T_PlannedOrders[WeekIndex]=57)*(T_PlannedOrders[EffectiveQty]&gt;0)*T_PlannedOrders[Order_Month])),"m月")&amp;"発注)")</f>
        <v/>
      </c>
      <c r="BI719">
        <f>IF(SUMIFS(T_PlannedOrders[EffectiveQty],T_PlannedOrders[Part Name],$A709,T_PlannedOrders[WeekIndex],58)=0,"",SUMIFS(T_PlannedOrders[EffectiveQty],T_PlannedOrders[Part Name],$A709,T_PlannedOrders[WeekIndex],58)&amp;" ("&amp;TEXT(SUMPRODUCT(MAX((T_PlannedOrders[Part Name]=$A709)*(T_PlannedOrders[WeekIndex]=58)*(T_PlannedOrders[EffectiveQty]&gt;0)*T_PlannedOrders[Order_Month])),"m月")&amp;"発注)")</f>
        <v/>
      </c>
      <c r="BJ719">
        <f>IF(SUMIFS(T_PlannedOrders[EffectiveQty],T_PlannedOrders[Part Name],$A709,T_PlannedOrders[WeekIndex],59)=0,"",SUMIFS(T_PlannedOrders[EffectiveQty],T_PlannedOrders[Part Name],$A709,T_PlannedOrders[WeekIndex],59)&amp;" ("&amp;TEXT(SUMPRODUCT(MAX((T_PlannedOrders[Part Name]=$A709)*(T_PlannedOrders[WeekIndex]=59)*(T_PlannedOrders[EffectiveQty]&gt;0)*T_PlannedOrders[Order_Month])),"m月")&amp;"発注)")</f>
        <v/>
      </c>
      <c r="BK719">
        <f>IF(SUMIFS(T_PlannedOrders[EffectiveQty],T_PlannedOrders[Part Name],$A709,T_PlannedOrders[WeekIndex],60)=0,"",SUMIFS(T_PlannedOrders[EffectiveQty],T_PlannedOrders[Part Name],$A709,T_PlannedOrders[WeekIndex],60)&amp;" ("&amp;TEXT(SUMPRODUCT(MAX((T_PlannedOrders[Part Name]=$A709)*(T_PlannedOrders[WeekIndex]=60)*(T_PlannedOrders[EffectiveQty]&gt;0)*T_PlannedOrders[Order_Month])),"m月")&amp;"発注)")</f>
        <v/>
      </c>
      <c r="BL719">
        <f>IF(SUMIFS(T_PlannedOrders[EffectiveQty],T_PlannedOrders[Part Name],$A709,T_PlannedOrders[WeekIndex],61)=0,"",SUMIFS(T_PlannedOrders[EffectiveQty],T_PlannedOrders[Part Name],$A709,T_PlannedOrders[WeekIndex],61)&amp;" ("&amp;TEXT(SUMPRODUCT(MAX((T_PlannedOrders[Part Name]=$A709)*(T_PlannedOrders[WeekIndex]=61)*(T_PlannedOrders[EffectiveQty]&gt;0)*T_PlannedOrders[Order_Month])),"m月")&amp;"発注)")</f>
        <v/>
      </c>
      <c r="BM719">
        <f>IF(SUMIFS(T_PlannedOrders[EffectiveQty],T_PlannedOrders[Part Name],$A709,T_PlannedOrders[WeekIndex],62)=0,"",SUMIFS(T_PlannedOrders[EffectiveQty],T_PlannedOrders[Part Name],$A709,T_PlannedOrders[WeekIndex],62)&amp;" ("&amp;TEXT(SUMPRODUCT(MAX((T_PlannedOrders[Part Name]=$A709)*(T_PlannedOrders[WeekIndex]=62)*(T_PlannedOrders[EffectiveQty]&gt;0)*T_PlannedOrders[Order_Month])),"m月")&amp;"発注)")</f>
        <v/>
      </c>
      <c r="BN719">
        <f>IF(SUMIFS(T_PlannedOrders[EffectiveQty],T_PlannedOrders[Part Name],$A709,T_PlannedOrders[WeekIndex],63)=0,"",SUMIFS(T_PlannedOrders[EffectiveQty],T_PlannedOrders[Part Name],$A709,T_PlannedOrders[WeekIndex],63)&amp;" ("&amp;TEXT(SUMPRODUCT(MAX((T_PlannedOrders[Part Name]=$A709)*(T_PlannedOrders[WeekIndex]=63)*(T_PlannedOrders[EffectiveQty]&gt;0)*T_PlannedOrders[Order_Month])),"m月")&amp;"発注)")</f>
        <v/>
      </c>
      <c r="BO719">
        <f>IF(SUMIFS(T_PlannedOrders[EffectiveQty],T_PlannedOrders[Part Name],$A709,T_PlannedOrders[WeekIndex],64)=0,"",SUMIFS(T_PlannedOrders[EffectiveQty],T_PlannedOrders[Part Name],$A709,T_PlannedOrders[WeekIndex],64)&amp;" ("&amp;TEXT(SUMPRODUCT(MAX((T_PlannedOrders[Part Name]=$A709)*(T_PlannedOrders[WeekIndex]=64)*(T_PlannedOrders[EffectiveQty]&gt;0)*T_PlannedOrders[Order_Month])),"m月")&amp;"発注)")</f>
        <v/>
      </c>
      <c r="BP719">
        <f>IF(SUMIFS(T_PlannedOrders[EffectiveQty],T_PlannedOrders[Part Name],$A709,T_PlannedOrders[WeekIndex],65)=0,"",SUMIFS(T_PlannedOrders[EffectiveQty],T_PlannedOrders[Part Name],$A709,T_PlannedOrders[WeekIndex],65)&amp;" ("&amp;TEXT(SUMPRODUCT(MAX((T_PlannedOrders[Part Name]=$A709)*(T_PlannedOrders[WeekIndex]=65)*(T_PlannedOrders[EffectiveQty]&gt;0)*T_PlannedOrders[Order_Month])),"m月")&amp;"発注)")</f>
        <v/>
      </c>
      <c r="BQ719">
        <f>IF(SUMIFS(T_PlannedOrders[EffectiveQty],T_PlannedOrders[Part Name],$A709,T_PlannedOrders[WeekIndex],66)=0,"",SUMIFS(T_PlannedOrders[EffectiveQty],T_PlannedOrders[Part Name],$A709,T_PlannedOrders[WeekIndex],66)&amp;" ("&amp;TEXT(SUMPRODUCT(MAX((T_PlannedOrders[Part Name]=$A709)*(T_PlannedOrders[WeekIndex]=66)*(T_PlannedOrders[EffectiveQty]&gt;0)*T_PlannedOrders[Order_Month])),"m月")&amp;"発注)")</f>
        <v/>
      </c>
      <c r="BR719">
        <f>IF(SUMIFS(T_PlannedOrders[EffectiveQty],T_PlannedOrders[Part Name],$A709,T_PlannedOrders[WeekIndex],67)=0,"",SUMIFS(T_PlannedOrders[EffectiveQty],T_PlannedOrders[Part Name],$A709,T_PlannedOrders[WeekIndex],67)&amp;" ("&amp;TEXT(SUMPRODUCT(MAX((T_PlannedOrders[Part Name]=$A709)*(T_PlannedOrders[WeekIndex]=67)*(T_PlannedOrders[EffectiveQty]&gt;0)*T_PlannedOrders[Order_Month])),"m月")&amp;"発注)")</f>
        <v/>
      </c>
      <c r="BS719">
        <f>IF(SUMIFS(T_PlannedOrders[EffectiveQty],T_PlannedOrders[Part Name],$A709,T_PlannedOrders[WeekIndex],68)=0,"",SUMIFS(T_PlannedOrders[EffectiveQty],T_PlannedOrders[Part Name],$A709,T_PlannedOrders[WeekIndex],68)&amp;" ("&amp;TEXT(SUMPRODUCT(MAX((T_PlannedOrders[Part Name]=$A709)*(T_PlannedOrders[WeekIndex]=68)*(T_PlannedOrders[EffectiveQty]&gt;0)*T_PlannedOrders[Order_Month])),"m月")&amp;"発注)")</f>
        <v/>
      </c>
      <c r="BT719">
        <f>IF(SUMIFS(T_PlannedOrders[EffectiveQty],T_PlannedOrders[Part Name],$A709,T_PlannedOrders[WeekIndex],69)=0,"",SUMIFS(T_PlannedOrders[EffectiveQty],T_PlannedOrders[Part Name],$A709,T_PlannedOrders[WeekIndex],69)&amp;" ("&amp;TEXT(SUMPRODUCT(MAX((T_PlannedOrders[Part Name]=$A709)*(T_PlannedOrders[WeekIndex]=69)*(T_PlannedOrders[EffectiveQty]&gt;0)*T_PlannedOrders[Order_Month])),"m月")&amp;"発注)")</f>
        <v/>
      </c>
      <c r="BU719">
        <f>IF(SUMIFS(T_PlannedOrders[EffectiveQty],T_PlannedOrders[Part Name],$A709,T_PlannedOrders[WeekIndex],70)=0,"",SUMIFS(T_PlannedOrders[EffectiveQty],T_PlannedOrders[Part Name],$A709,T_PlannedOrders[WeekIndex],70)&amp;" ("&amp;TEXT(SUMPRODUCT(MAX((T_PlannedOrders[Part Name]=$A709)*(T_PlannedOrders[WeekIndex]=70)*(T_PlannedOrders[EffectiveQty]&gt;0)*T_PlannedOrders[Order_Month])),"m月")&amp;"発注)")</f>
        <v/>
      </c>
      <c r="BV719">
        <f>IF(SUMIFS(T_PlannedOrders[EffectiveQty],T_PlannedOrders[Part Name],$A709,T_PlannedOrders[WeekIndex],71)=0,"",SUMIFS(T_PlannedOrders[EffectiveQty],T_PlannedOrders[Part Name],$A709,T_PlannedOrders[WeekIndex],71)&amp;" ("&amp;TEXT(SUMPRODUCT(MAX((T_PlannedOrders[Part Name]=$A709)*(T_PlannedOrders[WeekIndex]=71)*(T_PlannedOrders[EffectiveQty]&gt;0)*T_PlannedOrders[Order_Month])),"m月")&amp;"発注)")</f>
        <v/>
      </c>
      <c r="BW719">
        <f>IF(SUMIFS(T_PlannedOrders[EffectiveQty],T_PlannedOrders[Part Name],$A709,T_PlannedOrders[WeekIndex],72)=0,"",SUMIFS(T_PlannedOrders[EffectiveQty],T_PlannedOrders[Part Name],$A709,T_PlannedOrders[WeekIndex],72)&amp;" ("&amp;TEXT(SUMPRODUCT(MAX((T_PlannedOrders[Part Name]=$A709)*(T_PlannedOrders[WeekIndex]=72)*(T_PlannedOrders[EffectiveQty]&gt;0)*T_PlannedOrders[Order_Month])),"m月")&amp;"発注)")</f>
        <v/>
      </c>
      <c r="BX719">
        <f>IF(SUMIFS(T_PlannedOrders[EffectiveQty],T_PlannedOrders[Part Name],$A709,T_PlannedOrders[WeekIndex],73)=0,"",SUMIFS(T_PlannedOrders[EffectiveQty],T_PlannedOrders[Part Name],$A709,T_PlannedOrders[WeekIndex],73)&amp;" ("&amp;TEXT(SUMPRODUCT(MAX((T_PlannedOrders[Part Name]=$A709)*(T_PlannedOrders[WeekIndex]=73)*(T_PlannedOrders[EffectiveQty]&gt;0)*T_PlannedOrders[Order_Month])),"m月")&amp;"発注)")</f>
        <v/>
      </c>
      <c r="BY719">
        <f>IF(SUMIFS(T_PlannedOrders[EffectiveQty],T_PlannedOrders[Part Name],$A709,T_PlannedOrders[WeekIndex],74)=0,"",SUMIFS(T_PlannedOrders[EffectiveQty],T_PlannedOrders[Part Name],$A709,T_PlannedOrders[WeekIndex],74)&amp;" ("&amp;TEXT(SUMPRODUCT(MAX((T_PlannedOrders[Part Name]=$A709)*(T_PlannedOrders[WeekIndex]=74)*(T_PlannedOrders[EffectiveQty]&gt;0)*T_PlannedOrders[Order_Month])),"m月")&amp;"発注)")</f>
        <v/>
      </c>
      <c r="BZ719">
        <f>IF(SUMIFS(T_PlannedOrders[EffectiveQty],T_PlannedOrders[Part Name],$A709,T_PlannedOrders[WeekIndex],75)=0,"",SUMIFS(T_PlannedOrders[EffectiveQty],T_PlannedOrders[Part Name],$A709,T_PlannedOrders[WeekIndex],75)&amp;" ("&amp;TEXT(SUMPRODUCT(MAX((T_PlannedOrders[Part Name]=$A709)*(T_PlannedOrders[WeekIndex]=75)*(T_PlannedOrders[EffectiveQty]&gt;0)*T_PlannedOrders[Order_Month])),"m月")&amp;"発注)")</f>
        <v/>
      </c>
      <c r="CA719">
        <f>IF(SUMIFS(T_PlannedOrders[EffectiveQty],T_PlannedOrders[Part Name],$A709,T_PlannedOrders[WeekIndex],76)=0,"",SUMIFS(T_PlannedOrders[EffectiveQty],T_PlannedOrders[Part Name],$A709,T_PlannedOrders[WeekIndex],76)&amp;" ("&amp;TEXT(SUMPRODUCT(MAX((T_PlannedOrders[Part Name]=$A709)*(T_PlannedOrders[WeekIndex]=76)*(T_PlannedOrders[EffectiveQty]&gt;0)*T_PlannedOrders[Order_Month])),"m月")&amp;"発注)")</f>
        <v/>
      </c>
      <c r="CB719">
        <f>IF(SUMIFS(T_PlannedOrders[EffectiveQty],T_PlannedOrders[Part Name],$A709,T_PlannedOrders[WeekIndex],77)=0,"",SUMIFS(T_PlannedOrders[EffectiveQty],T_PlannedOrders[Part Name],$A709,T_PlannedOrders[WeekIndex],77)&amp;" ("&amp;TEXT(SUMPRODUCT(MAX((T_PlannedOrders[Part Name]=$A709)*(T_PlannedOrders[WeekIndex]=77)*(T_PlannedOrders[EffectiveQty]&gt;0)*T_PlannedOrders[Order_Month])),"m月")&amp;"発注)")</f>
        <v/>
      </c>
      <c r="CC719">
        <f>IF(SUMIFS(T_PlannedOrders[EffectiveQty],T_PlannedOrders[Part Name],$A709,T_PlannedOrders[WeekIndex],78)=0,"",SUMIFS(T_PlannedOrders[EffectiveQty],T_PlannedOrders[Part Name],$A709,T_PlannedOrders[WeekIndex],78)&amp;" ("&amp;TEXT(SUMPRODUCT(MAX((T_PlannedOrders[Part Name]=$A709)*(T_PlannedOrders[WeekIndex]=78)*(T_PlannedOrders[EffectiveQty]&gt;0)*T_PlannedOrders[Order_Month])),"m月")&amp;"発注)")</f>
        <v/>
      </c>
      <c r="CD719">
        <f>IF(SUMIFS(T_PlannedOrders[EffectiveQty],T_PlannedOrders[Part Name],$A709,T_PlannedOrders[WeekIndex],79)=0,"",SUMIFS(T_PlannedOrders[EffectiveQty],T_PlannedOrders[Part Name],$A709,T_PlannedOrders[WeekIndex],79)&amp;" ("&amp;TEXT(SUMPRODUCT(MAX((T_PlannedOrders[Part Name]=$A709)*(T_PlannedOrders[WeekIndex]=79)*(T_PlannedOrders[EffectiveQty]&gt;0)*T_PlannedOrders[Order_Month])),"m月")&amp;"発注)")</f>
        <v/>
      </c>
      <c r="CE719">
        <f>IF(SUMIFS(T_PlannedOrders[EffectiveQty],T_PlannedOrders[Part Name],$A709,T_PlannedOrders[WeekIndex],80)=0,"",SUMIFS(T_PlannedOrders[EffectiveQty],T_PlannedOrders[Part Name],$A709,T_PlannedOrders[WeekIndex],80)&amp;" ("&amp;TEXT(SUMPRODUCT(MAX((T_PlannedOrders[Part Name]=$A709)*(T_PlannedOrders[WeekIndex]=80)*(T_PlannedOrders[EffectiveQty]&gt;0)*T_PlannedOrders[Order_Month])),"m月")&amp;"発注)")</f>
        <v/>
      </c>
      <c r="CF719">
        <f>IF(SUMIFS(T_PlannedOrders[EffectiveQty],T_PlannedOrders[Part Name],$A709,T_PlannedOrders[WeekIndex],81)=0,"",SUMIFS(T_PlannedOrders[EffectiveQty],T_PlannedOrders[Part Name],$A709,T_PlannedOrders[WeekIndex],81)&amp;" ("&amp;TEXT(SUMPRODUCT(MAX((T_PlannedOrders[Part Name]=$A709)*(T_PlannedOrders[WeekIndex]=81)*(T_PlannedOrders[EffectiveQty]&gt;0)*T_PlannedOrders[Order_Month])),"m月")&amp;"発注)")</f>
        <v/>
      </c>
      <c r="CG719">
        <f>IF(SUMIFS(T_PlannedOrders[EffectiveQty],T_PlannedOrders[Part Name],$A709,T_PlannedOrders[WeekIndex],82)=0,"",SUMIFS(T_PlannedOrders[EffectiveQty],T_PlannedOrders[Part Name],$A709,T_PlannedOrders[WeekIndex],82)&amp;" ("&amp;TEXT(SUMPRODUCT(MAX((T_PlannedOrders[Part Name]=$A709)*(T_PlannedOrders[WeekIndex]=82)*(T_PlannedOrders[EffectiveQty]&gt;0)*T_PlannedOrders[Order_Month])),"m月")&amp;"発注)")</f>
        <v/>
      </c>
      <c r="CH719">
        <f>IF(SUMIFS(T_PlannedOrders[EffectiveQty],T_PlannedOrders[Part Name],$A709,T_PlannedOrders[WeekIndex],83)=0,"",SUMIFS(T_PlannedOrders[EffectiveQty],T_PlannedOrders[Part Name],$A709,T_PlannedOrders[WeekIndex],83)&amp;" ("&amp;TEXT(SUMPRODUCT(MAX((T_PlannedOrders[Part Name]=$A709)*(T_PlannedOrders[WeekIndex]=83)*(T_PlannedOrders[EffectiveQty]&gt;0)*T_PlannedOrders[Order_Month])),"m月")&amp;"発注)")</f>
        <v/>
      </c>
      <c r="CI719">
        <f>IF(SUMIFS(T_PlannedOrders[EffectiveQty],T_PlannedOrders[Part Name],$A709,T_PlannedOrders[WeekIndex],84)=0,"",SUMIFS(T_PlannedOrders[EffectiveQty],T_PlannedOrders[Part Name],$A709,T_PlannedOrders[WeekIndex],84)&amp;" ("&amp;TEXT(SUMPRODUCT(MAX((T_PlannedOrders[Part Name]=$A709)*(T_PlannedOrders[WeekIndex]=84)*(T_PlannedOrders[EffectiveQty]&gt;0)*T_PlannedOrders[Order_Month])),"m月")&amp;"発注)")</f>
        <v/>
      </c>
      <c r="CJ719">
        <f>IF(SUMIFS(T_PlannedOrders[EffectiveQty],T_PlannedOrders[Part Name],$A709,T_PlannedOrders[WeekIndex],85)=0,"",SUMIFS(T_PlannedOrders[EffectiveQty],T_PlannedOrders[Part Name],$A709,T_PlannedOrders[WeekIndex],85)&amp;" ("&amp;TEXT(SUMPRODUCT(MAX((T_PlannedOrders[Part Name]=$A709)*(T_PlannedOrders[WeekIndex]=85)*(T_PlannedOrders[EffectiveQty]&gt;0)*T_PlannedOrders[Order_Month])),"m月")&amp;"発注)")</f>
        <v/>
      </c>
      <c r="CK719">
        <f>IF(SUMIFS(T_PlannedOrders[EffectiveQty],T_PlannedOrders[Part Name],$A709,T_PlannedOrders[WeekIndex],86)=0,"",SUMIFS(T_PlannedOrders[EffectiveQty],T_PlannedOrders[Part Name],$A709,T_PlannedOrders[WeekIndex],86)&amp;" ("&amp;TEXT(SUMPRODUCT(MAX((T_PlannedOrders[Part Name]=$A709)*(T_PlannedOrders[WeekIndex]=86)*(T_PlannedOrders[EffectiveQty]&gt;0)*T_PlannedOrders[Order_Month])),"m月")&amp;"発注)")</f>
        <v/>
      </c>
      <c r="CL719">
        <f>IF(SUMIFS(T_PlannedOrders[EffectiveQty],T_PlannedOrders[Part Name],$A709,T_PlannedOrders[WeekIndex],87)=0,"",SUMIFS(T_PlannedOrders[EffectiveQty],T_PlannedOrders[Part Name],$A709,T_PlannedOrders[WeekIndex],87)&amp;" ("&amp;TEXT(SUMPRODUCT(MAX((T_PlannedOrders[Part Name]=$A709)*(T_PlannedOrders[WeekIndex]=87)*(T_PlannedOrders[EffectiveQty]&gt;0)*T_PlannedOrders[Order_Month])),"m月")&amp;"発注)")</f>
        <v/>
      </c>
      <c r="CM719">
        <f>IF(SUMIFS(T_PlannedOrders[EffectiveQty],T_PlannedOrders[Part Name],$A709,T_PlannedOrders[WeekIndex],88)=0,"",SUMIFS(T_PlannedOrders[EffectiveQty],T_PlannedOrders[Part Name],$A709,T_PlannedOrders[WeekIndex],88)&amp;" ("&amp;TEXT(SUMPRODUCT(MAX((T_PlannedOrders[Part Name]=$A709)*(T_PlannedOrders[WeekIndex]=88)*(T_PlannedOrders[EffectiveQty]&gt;0)*T_PlannedOrders[Order_Month])),"m月")&amp;"発注)")</f>
        <v/>
      </c>
      <c r="CN719">
        <f>IF(SUMIFS(T_PlannedOrders[EffectiveQty],T_PlannedOrders[Part Name],$A709,T_PlannedOrders[WeekIndex],89)=0,"",SUMIFS(T_PlannedOrders[EffectiveQty],T_PlannedOrders[Part Name],$A709,T_PlannedOrders[WeekIndex],89)&amp;" ("&amp;TEXT(SUMPRODUCT(MAX((T_PlannedOrders[Part Name]=$A709)*(T_PlannedOrders[WeekIndex]=89)*(T_PlannedOrders[EffectiveQty]&gt;0)*T_PlannedOrders[Order_Month])),"m月")&amp;"発注)")</f>
        <v/>
      </c>
      <c r="CO719">
        <f>IF(SUMIFS(T_PlannedOrders[EffectiveQty],T_PlannedOrders[Part Name],$A709,T_PlannedOrders[WeekIndex],90)=0,"",SUMIFS(T_PlannedOrders[EffectiveQty],T_PlannedOrders[Part Name],$A709,T_PlannedOrders[WeekIndex],90)&amp;" ("&amp;TEXT(SUMPRODUCT(MAX((T_PlannedOrders[Part Name]=$A709)*(T_PlannedOrders[WeekIndex]=90)*(T_PlannedOrders[EffectiveQty]&gt;0)*T_PlannedOrders[Order_Month])),"m月")&amp;"発注)")</f>
        <v/>
      </c>
      <c r="CP719">
        <f>IF(SUMIFS(T_PlannedOrders[EffectiveQty],T_PlannedOrders[Part Name],$A709,T_PlannedOrders[WeekIndex],91)=0,"",SUMIFS(T_PlannedOrders[EffectiveQty],T_PlannedOrders[Part Name],$A709,T_PlannedOrders[WeekIndex],91)&amp;" ("&amp;TEXT(SUMPRODUCT(MAX((T_PlannedOrders[Part Name]=$A709)*(T_PlannedOrders[WeekIndex]=91)*(T_PlannedOrders[EffectiveQty]&gt;0)*T_PlannedOrders[Order_Month])),"m月")&amp;"発注)")</f>
        <v/>
      </c>
      <c r="CQ719">
        <f>IF(SUMIFS(T_PlannedOrders[EffectiveQty],T_PlannedOrders[Part Name],$A709,T_PlannedOrders[WeekIndex],92)=0,"",SUMIFS(T_PlannedOrders[EffectiveQty],T_PlannedOrders[Part Name],$A709,T_PlannedOrders[WeekIndex],92)&amp;" ("&amp;TEXT(SUMPRODUCT(MAX((T_PlannedOrders[Part Name]=$A709)*(T_PlannedOrders[WeekIndex]=92)*(T_PlannedOrders[EffectiveQty]&gt;0)*T_PlannedOrders[Order_Month])),"m月")&amp;"発注)")</f>
        <v/>
      </c>
      <c r="CR719">
        <f>IF(SUMIFS(T_PlannedOrders[EffectiveQty],T_PlannedOrders[Part Name],$A709,T_PlannedOrders[WeekIndex],93)=0,"",SUMIFS(T_PlannedOrders[EffectiveQty],T_PlannedOrders[Part Name],$A709,T_PlannedOrders[WeekIndex],93)&amp;" ("&amp;TEXT(SUMPRODUCT(MAX((T_PlannedOrders[Part Name]=$A709)*(T_PlannedOrders[WeekIndex]=93)*(T_PlannedOrders[EffectiveQty]&gt;0)*T_PlannedOrders[Order_Month])),"m月")&amp;"発注)")</f>
        <v/>
      </c>
      <c r="CS719">
        <f>IF(SUMIFS(T_PlannedOrders[EffectiveQty],T_PlannedOrders[Part Name],$A709,T_PlannedOrders[WeekIndex],94)=0,"",SUMIFS(T_PlannedOrders[EffectiveQty],T_PlannedOrders[Part Name],$A709,T_PlannedOrders[WeekIndex],94)&amp;" ("&amp;TEXT(SUMPRODUCT(MAX((T_PlannedOrders[Part Name]=$A709)*(T_PlannedOrders[WeekIndex]=94)*(T_PlannedOrders[EffectiveQty]&gt;0)*T_PlannedOrders[Order_Month])),"m月")&amp;"発注)")</f>
        <v/>
      </c>
      <c r="CT719">
        <f>IF(SUMIFS(T_PlannedOrders[EffectiveQty],T_PlannedOrders[Part Name],$A709,T_PlannedOrders[WeekIndex],95)=0,"",SUMIFS(T_PlannedOrders[EffectiveQty],T_PlannedOrders[Part Name],$A709,T_PlannedOrders[WeekIndex],95)&amp;" ("&amp;TEXT(SUMPRODUCT(MAX((T_PlannedOrders[Part Name]=$A709)*(T_PlannedOrders[WeekIndex]=95)*(T_PlannedOrders[EffectiveQty]&gt;0)*T_PlannedOrders[Order_Month])),"m月")&amp;"発注)")</f>
        <v/>
      </c>
      <c r="CU719">
        <f>IF(SUMIFS(T_PlannedOrders[EffectiveQty],T_PlannedOrders[Part Name],$A709,T_PlannedOrders[WeekIndex],96)=0,"",SUMIFS(T_PlannedOrders[EffectiveQty],T_PlannedOrders[Part Name],$A709,T_PlannedOrders[WeekIndex],96)&amp;" ("&amp;TEXT(SUMPRODUCT(MAX((T_PlannedOrders[Part Name]=$A709)*(T_PlannedOrders[WeekIndex]=96)*(T_PlannedOrders[EffectiveQty]&gt;0)*T_PlannedOrders[Order_Month])),"m月")&amp;"発注)")</f>
        <v/>
      </c>
      <c r="CV719">
        <f>IF(SUMIFS(T_PlannedOrders[EffectiveQty],T_PlannedOrders[Part Name],$A709,T_PlannedOrders[WeekIndex],97)=0,"",SUMIFS(T_PlannedOrders[EffectiveQty],T_PlannedOrders[Part Name],$A709,T_PlannedOrders[WeekIndex],97)&amp;" ("&amp;TEXT(SUMPRODUCT(MAX((T_PlannedOrders[Part Name]=$A709)*(T_PlannedOrders[WeekIndex]=97)*(T_PlannedOrders[EffectiveQty]&gt;0)*T_PlannedOrders[Order_Month])),"m月")&amp;"発注)")</f>
        <v/>
      </c>
      <c r="CW719">
        <f>IF(SUMIFS(T_PlannedOrders[EffectiveQty],T_PlannedOrders[Part Name],$A709,T_PlannedOrders[WeekIndex],98)=0,"",SUMIFS(T_PlannedOrders[EffectiveQty],T_PlannedOrders[Part Name],$A709,T_PlannedOrders[WeekIndex],98)&amp;" ("&amp;TEXT(SUMPRODUCT(MAX((T_PlannedOrders[Part Name]=$A709)*(T_PlannedOrders[WeekIndex]=98)*(T_PlannedOrders[EffectiveQty]&gt;0)*T_PlannedOrders[Order_Month])),"m月")&amp;"発注)")</f>
        <v/>
      </c>
      <c r="CX719">
        <f>IF(SUMIFS(T_PlannedOrders[EffectiveQty],T_PlannedOrders[Part Name],$A709,T_PlannedOrders[WeekIndex],99)=0,"",SUMIFS(T_PlannedOrders[EffectiveQty],T_PlannedOrders[Part Name],$A709,T_PlannedOrders[WeekIndex],99)&amp;" ("&amp;TEXT(SUMPRODUCT(MAX((T_PlannedOrders[Part Name]=$A709)*(T_PlannedOrders[WeekIndex]=99)*(T_PlannedOrders[EffectiveQty]&gt;0)*T_PlannedOrders[Order_Month])),"m月")&amp;"発注)")</f>
        <v/>
      </c>
      <c r="CY719">
        <f>IF(SUMIFS(T_PlannedOrders[EffectiveQty],T_PlannedOrders[Part Name],$A709,T_PlannedOrders[WeekIndex],100)=0,"",SUMIFS(T_PlannedOrders[EffectiveQty],T_PlannedOrders[Part Name],$A709,T_PlannedOrders[WeekIndex],100)&amp;" ("&amp;TEXT(SUMPRODUCT(MAX((T_PlannedOrders[Part Name]=$A709)*(T_PlannedOrders[WeekIndex]=100)*(T_PlannedOrders[EffectiveQty]&gt;0)*T_PlannedOrders[Order_Month])),"m月")&amp;"発注)")</f>
        <v/>
      </c>
      <c r="CZ719">
        <f>IF(SUMIFS(T_PlannedOrders[EffectiveQty],T_PlannedOrders[Part Name],$A709,T_PlannedOrders[WeekIndex],101)=0,"",SUMIFS(T_PlannedOrders[EffectiveQty],T_PlannedOrders[Part Name],$A709,T_PlannedOrders[WeekIndex],101)&amp;" ("&amp;TEXT(SUMPRODUCT(MAX((T_PlannedOrders[Part Name]=$A709)*(T_PlannedOrders[WeekIndex]=101)*(T_PlannedOrders[EffectiveQty]&gt;0)*T_PlannedOrders[Order_Month])),"m月")&amp;"発注)")</f>
        <v/>
      </c>
      <c r="DA719">
        <f>IF(SUMIFS(T_PlannedOrders[EffectiveQty],T_PlannedOrders[Part Name],$A709,T_PlannedOrders[WeekIndex],102)=0,"",SUMIFS(T_PlannedOrders[EffectiveQty],T_PlannedOrders[Part Name],$A709,T_PlannedOrders[WeekIndex],102)&amp;" ("&amp;TEXT(SUMPRODUCT(MAX((T_PlannedOrders[Part Name]=$A709)*(T_PlannedOrders[WeekIndex]=102)*(T_PlannedOrders[EffectiveQty]&gt;0)*T_PlannedOrders[Order_Month])),"m月")&amp;"発注)")</f>
        <v/>
      </c>
      <c r="DB719">
        <f>IF(SUMIFS(T_PlannedOrders[EffectiveQty],T_PlannedOrders[Part Name],$A709,T_PlannedOrders[WeekIndex],103)=0,"",SUMIFS(T_PlannedOrders[EffectiveQty],T_PlannedOrders[Part Name],$A709,T_PlannedOrders[WeekIndex],103)&amp;" ("&amp;TEXT(SUMPRODUCT(MAX((T_PlannedOrders[Part Name]=$A709)*(T_PlannedOrders[WeekIndex]=103)*(T_PlannedOrders[EffectiveQty]&gt;0)*T_PlannedOrders[Order_Month])),"m月")&amp;"発注)")</f>
        <v/>
      </c>
      <c r="DC719">
        <f>IF(SUMIFS(T_PlannedOrders[EffectiveQty],T_PlannedOrders[Part Name],$A709,T_PlannedOrders[WeekIndex],104)=0,"",SUMIFS(T_PlannedOrders[EffectiveQty],T_PlannedOrders[Part Name],$A709,T_PlannedOrders[WeekIndex],104)&amp;" ("&amp;TEXT(SUMPRODUCT(MAX((T_PlannedOrders[Part Name]=$A709)*(T_PlannedOrders[WeekIndex]=104)*(T_PlannedOrders[EffectiveQty]&gt;0)*T_PlannedOrders[Order_Month])),"m月")&amp;"発注)")</f>
        <v/>
      </c>
    </row>
    <row r="720">
      <c r="B720" s="4" t="inlineStr">
        <is>
          <t>合計在庫(週末時点,kg)</t>
        </is>
      </c>
      <c r="D720">
        <f>'Grid_Stock'!B34</f>
        <v/>
      </c>
      <c r="E720">
        <f>'Grid_Stock'!C34</f>
        <v/>
      </c>
      <c r="F720">
        <f>'Grid_Stock'!D34</f>
        <v/>
      </c>
      <c r="G720">
        <f>'Grid_Stock'!E34</f>
        <v/>
      </c>
      <c r="H720">
        <f>'Grid_Stock'!F34</f>
        <v/>
      </c>
      <c r="I720">
        <f>'Grid_Stock'!G34</f>
        <v/>
      </c>
      <c r="J720">
        <f>'Grid_Stock'!H34</f>
        <v/>
      </c>
      <c r="K720">
        <f>'Grid_Stock'!I34</f>
        <v/>
      </c>
      <c r="L720">
        <f>'Grid_Stock'!J34</f>
        <v/>
      </c>
      <c r="M720">
        <f>'Grid_Stock'!K34</f>
        <v/>
      </c>
      <c r="N720">
        <f>'Grid_Stock'!L34</f>
        <v/>
      </c>
      <c r="O720">
        <f>'Grid_Stock'!M34</f>
        <v/>
      </c>
      <c r="P720">
        <f>'Grid_Stock'!N34</f>
        <v/>
      </c>
      <c r="Q720">
        <f>'Grid_Stock'!O34</f>
        <v/>
      </c>
      <c r="R720">
        <f>'Grid_Stock'!P34</f>
        <v/>
      </c>
      <c r="S720">
        <f>'Grid_Stock'!Q34</f>
        <v/>
      </c>
      <c r="T720">
        <f>'Grid_Stock'!R34</f>
        <v/>
      </c>
      <c r="U720">
        <f>'Grid_Stock'!S34</f>
        <v/>
      </c>
      <c r="V720">
        <f>'Grid_Stock'!T34</f>
        <v/>
      </c>
      <c r="W720">
        <f>'Grid_Stock'!U34</f>
        <v/>
      </c>
      <c r="X720">
        <f>'Grid_Stock'!V34</f>
        <v/>
      </c>
      <c r="Y720">
        <f>'Grid_Stock'!W34</f>
        <v/>
      </c>
      <c r="Z720">
        <f>'Grid_Stock'!X34</f>
        <v/>
      </c>
      <c r="AA720">
        <f>'Grid_Stock'!Y34</f>
        <v/>
      </c>
      <c r="AB720">
        <f>'Grid_Stock'!Z34</f>
        <v/>
      </c>
      <c r="AC720">
        <f>'Grid_Stock'!AA34</f>
        <v/>
      </c>
      <c r="AD720">
        <f>'Grid_Stock'!AB34</f>
        <v/>
      </c>
      <c r="AE720">
        <f>'Grid_Stock'!AC34</f>
        <v/>
      </c>
      <c r="AF720">
        <f>'Grid_Stock'!AD34</f>
        <v/>
      </c>
      <c r="AG720">
        <f>'Grid_Stock'!AE34</f>
        <v/>
      </c>
      <c r="AH720">
        <f>'Grid_Stock'!AF34</f>
        <v/>
      </c>
      <c r="AI720">
        <f>'Grid_Stock'!AG34</f>
        <v/>
      </c>
      <c r="AJ720">
        <f>'Grid_Stock'!AH34</f>
        <v/>
      </c>
      <c r="AK720">
        <f>'Grid_Stock'!AI34</f>
        <v/>
      </c>
      <c r="AL720">
        <f>'Grid_Stock'!AJ34</f>
        <v/>
      </c>
      <c r="AM720">
        <f>'Grid_Stock'!AK34</f>
        <v/>
      </c>
      <c r="AN720">
        <f>'Grid_Stock'!AL34</f>
        <v/>
      </c>
      <c r="AO720">
        <f>'Grid_Stock'!AM34</f>
        <v/>
      </c>
      <c r="AP720">
        <f>'Grid_Stock'!AN34</f>
        <v/>
      </c>
      <c r="AQ720">
        <f>'Grid_Stock'!AO34</f>
        <v/>
      </c>
      <c r="AR720">
        <f>'Grid_Stock'!AP34</f>
        <v/>
      </c>
      <c r="AS720">
        <f>'Grid_Stock'!AQ34</f>
        <v/>
      </c>
      <c r="AT720">
        <f>'Grid_Stock'!AR34</f>
        <v/>
      </c>
      <c r="AU720">
        <f>'Grid_Stock'!AS34</f>
        <v/>
      </c>
      <c r="AV720">
        <f>'Grid_Stock'!AT34</f>
        <v/>
      </c>
      <c r="AW720">
        <f>'Grid_Stock'!AU34</f>
        <v/>
      </c>
      <c r="AX720">
        <f>'Grid_Stock'!AV34</f>
        <v/>
      </c>
      <c r="AY720">
        <f>'Grid_Stock'!AW34</f>
        <v/>
      </c>
      <c r="AZ720">
        <f>'Grid_Stock'!AX34</f>
        <v/>
      </c>
      <c r="BA720">
        <f>'Grid_Stock'!AY34</f>
        <v/>
      </c>
      <c r="BB720">
        <f>'Grid_Stock'!AZ34</f>
        <v/>
      </c>
      <c r="BC720">
        <f>'Grid_Stock'!BA34</f>
        <v/>
      </c>
      <c r="BD720">
        <f>'Grid_Stock'!BB34</f>
        <v/>
      </c>
      <c r="BE720">
        <f>'Grid_Stock'!BC34</f>
        <v/>
      </c>
      <c r="BF720">
        <f>'Grid_Stock'!BD34</f>
        <v/>
      </c>
      <c r="BG720">
        <f>'Grid_Stock'!BE34</f>
        <v/>
      </c>
      <c r="BH720">
        <f>'Grid_Stock'!BF34</f>
        <v/>
      </c>
      <c r="BI720">
        <f>'Grid_Stock'!BG34</f>
        <v/>
      </c>
      <c r="BJ720">
        <f>'Grid_Stock'!BH34</f>
        <v/>
      </c>
      <c r="BK720">
        <f>'Grid_Stock'!BI34</f>
        <v/>
      </c>
      <c r="BL720">
        <f>'Grid_Stock'!BJ34</f>
        <v/>
      </c>
      <c r="BM720">
        <f>'Grid_Stock'!BK34</f>
        <v/>
      </c>
      <c r="BN720">
        <f>'Grid_Stock'!BL34</f>
        <v/>
      </c>
      <c r="BO720">
        <f>'Grid_Stock'!BM34</f>
        <v/>
      </c>
      <c r="BP720">
        <f>'Grid_Stock'!BN34</f>
        <v/>
      </c>
      <c r="BQ720">
        <f>'Grid_Stock'!BO34</f>
        <v/>
      </c>
      <c r="BR720">
        <f>'Grid_Stock'!BP34</f>
        <v/>
      </c>
      <c r="BS720">
        <f>'Grid_Stock'!BQ34</f>
        <v/>
      </c>
      <c r="BT720">
        <f>'Grid_Stock'!BR34</f>
        <v/>
      </c>
      <c r="BU720">
        <f>'Grid_Stock'!BS34</f>
        <v/>
      </c>
      <c r="BV720">
        <f>'Grid_Stock'!BT34</f>
        <v/>
      </c>
      <c r="BW720">
        <f>'Grid_Stock'!BU34</f>
        <v/>
      </c>
      <c r="BX720">
        <f>'Grid_Stock'!BV34</f>
        <v/>
      </c>
      <c r="BY720">
        <f>'Grid_Stock'!BW34</f>
        <v/>
      </c>
      <c r="BZ720">
        <f>'Grid_Stock'!BX34</f>
        <v/>
      </c>
      <c r="CA720">
        <f>'Grid_Stock'!BY34</f>
        <v/>
      </c>
      <c r="CB720">
        <f>'Grid_Stock'!BZ34</f>
        <v/>
      </c>
      <c r="CC720">
        <f>'Grid_Stock'!CA34</f>
        <v/>
      </c>
      <c r="CD720">
        <f>'Grid_Stock'!CB34</f>
        <v/>
      </c>
      <c r="CE720">
        <f>'Grid_Stock'!CC34</f>
        <v/>
      </c>
      <c r="CF720">
        <f>'Grid_Stock'!CD34</f>
        <v/>
      </c>
      <c r="CG720">
        <f>'Grid_Stock'!CE34</f>
        <v/>
      </c>
      <c r="CH720">
        <f>'Grid_Stock'!CF34</f>
        <v/>
      </c>
      <c r="CI720">
        <f>'Grid_Stock'!CG34</f>
        <v/>
      </c>
      <c r="CJ720">
        <f>'Grid_Stock'!CH34</f>
        <v/>
      </c>
      <c r="CK720">
        <f>'Grid_Stock'!CI34</f>
        <v/>
      </c>
      <c r="CL720">
        <f>'Grid_Stock'!CJ34</f>
        <v/>
      </c>
      <c r="CM720">
        <f>'Grid_Stock'!CK34</f>
        <v/>
      </c>
      <c r="CN720">
        <f>'Grid_Stock'!CL34</f>
        <v/>
      </c>
      <c r="CO720">
        <f>'Grid_Stock'!CM34</f>
        <v/>
      </c>
      <c r="CP720">
        <f>'Grid_Stock'!CN34</f>
        <v/>
      </c>
      <c r="CQ720">
        <f>'Grid_Stock'!CO34</f>
        <v/>
      </c>
      <c r="CR720">
        <f>'Grid_Stock'!CP34</f>
        <v/>
      </c>
      <c r="CS720">
        <f>'Grid_Stock'!CQ34</f>
        <v/>
      </c>
      <c r="CT720">
        <f>'Grid_Stock'!CR34</f>
        <v/>
      </c>
      <c r="CU720">
        <f>'Grid_Stock'!CS34</f>
        <v/>
      </c>
      <c r="CV720">
        <f>'Grid_Stock'!CT34</f>
        <v/>
      </c>
      <c r="CW720">
        <f>'Grid_Stock'!CU34</f>
        <v/>
      </c>
      <c r="CX720">
        <f>'Grid_Stock'!CV34</f>
        <v/>
      </c>
      <c r="CY720">
        <f>'Grid_Stock'!CW34</f>
        <v/>
      </c>
      <c r="CZ720">
        <f>'Grid_Stock'!CX34</f>
        <v/>
      </c>
      <c r="DA720">
        <f>'Grid_Stock'!CY34</f>
        <v/>
      </c>
      <c r="DB720">
        <f>'Grid_Stock'!CZ34</f>
        <v/>
      </c>
      <c r="DC720">
        <f>'Grid_Stock'!DA34</f>
        <v/>
      </c>
    </row>
    <row r="721">
      <c r="B721" s="16" t="inlineStr">
        <is>
          <t>（発注の目安はDashboardの基準在庫[下限/上限]と色分けを参照）</t>
        </is>
      </c>
    </row>
    <row r="723">
      <c r="A723" s="14" t="inlineStr">
        <is>
          <t>CHEM-1530</t>
        </is>
      </c>
      <c r="B723" s="14" t="inlineStr">
        <is>
          <t>JCK-97</t>
        </is>
      </c>
      <c r="C723" s="15" t="n"/>
      <c r="D723" s="14" t="n"/>
      <c r="E723" s="14" t="n"/>
      <c r="F723" s="14" t="n"/>
      <c r="G723" s="14" t="n"/>
      <c r="H723" s="14" t="n"/>
      <c r="I723" s="14" t="n"/>
      <c r="J723" s="14" t="n"/>
      <c r="K723" s="14" t="n"/>
      <c r="L723" s="14" t="n"/>
      <c r="M723" s="14" t="n"/>
      <c r="N723" s="14" t="n"/>
      <c r="O723" s="14" t="n"/>
      <c r="P723" s="14" t="n"/>
      <c r="Q723" s="14" t="n"/>
      <c r="R723" s="14" t="n"/>
      <c r="S723" s="14" t="n"/>
      <c r="T723" s="14" t="n"/>
      <c r="U723" s="14" t="n"/>
      <c r="V723" s="14" t="n"/>
      <c r="W723" s="14" t="n"/>
      <c r="X723" s="14" t="n"/>
      <c r="Y723" s="14" t="n"/>
      <c r="Z723" s="14" t="n"/>
      <c r="AA723" s="14" t="n"/>
      <c r="AB723" s="14" t="n"/>
      <c r="AC723" s="14" t="n"/>
      <c r="AD723" s="14" t="n"/>
      <c r="AE723" s="14" t="n"/>
      <c r="AF723" s="14" t="n"/>
      <c r="AG723" s="14" t="n"/>
      <c r="AH723" s="14" t="n"/>
      <c r="AI723" s="14" t="n"/>
      <c r="AJ723" s="14" t="n"/>
      <c r="AK723" s="14" t="n"/>
      <c r="AL723" s="14" t="n"/>
      <c r="AM723" s="14" t="n"/>
      <c r="AN723" s="14" t="n"/>
      <c r="AO723" s="14" t="n"/>
      <c r="AP723" s="14" t="n"/>
      <c r="AQ723" s="14" t="n"/>
      <c r="AR723" s="14" t="n"/>
      <c r="AS723" s="14" t="n"/>
      <c r="AT723" s="14" t="n"/>
      <c r="AU723" s="14" t="n"/>
      <c r="AV723" s="14" t="n"/>
      <c r="AW723" s="14" t="n"/>
      <c r="AX723" s="14" t="n"/>
      <c r="AY723" s="14" t="n"/>
      <c r="AZ723" s="14" t="n"/>
      <c r="BA723" s="14" t="n"/>
      <c r="BB723" s="14" t="n"/>
      <c r="BC723" s="14" t="n"/>
      <c r="BD723" s="14" t="n"/>
      <c r="BE723" s="14" t="n"/>
      <c r="BF723" s="14" t="n"/>
      <c r="BG723" s="14" t="n"/>
      <c r="BH723" s="14" t="n"/>
      <c r="BI723" s="14" t="n"/>
      <c r="BJ723" s="14" t="n"/>
      <c r="BK723" s="14" t="n"/>
      <c r="BL723" s="14" t="n"/>
      <c r="BM723" s="14" t="n"/>
      <c r="BN723" s="14" t="n"/>
      <c r="BO723" s="14" t="n"/>
      <c r="BP723" s="14" t="n"/>
      <c r="BQ723" s="14" t="n"/>
      <c r="BR723" s="14" t="n"/>
      <c r="BS723" s="14" t="n"/>
      <c r="BT723" s="14" t="n"/>
      <c r="BU723" s="14" t="n"/>
      <c r="BV723" s="14" t="n"/>
      <c r="BW723" s="14" t="n"/>
      <c r="BX723" s="14" t="n"/>
      <c r="BY723" s="14" t="n"/>
      <c r="BZ723" s="14" t="n"/>
      <c r="CA723" s="14" t="n"/>
      <c r="CB723" s="14" t="n"/>
      <c r="CC723" s="14" t="n"/>
      <c r="CD723" s="14" t="n"/>
      <c r="CE723" s="14" t="n"/>
      <c r="CF723" s="14" t="n"/>
      <c r="CG723" s="14" t="n"/>
      <c r="CH723" s="14" t="n"/>
      <c r="CI723" s="14" t="n"/>
      <c r="CJ723" s="14" t="n"/>
      <c r="CK723" s="14" t="n"/>
      <c r="CL723" s="14" t="n"/>
      <c r="CM723" s="14" t="n"/>
      <c r="CN723" s="14" t="n"/>
      <c r="CO723" s="14" t="n"/>
      <c r="CP723" s="14" t="n"/>
      <c r="CQ723" s="14" t="n"/>
      <c r="CR723" s="14" t="n"/>
      <c r="CS723" s="14" t="n"/>
      <c r="CT723" s="14" t="n"/>
      <c r="CU723" s="14" t="n"/>
      <c r="CV723" s="14" t="n"/>
      <c r="CW723" s="14" t="n"/>
      <c r="CX723" s="14" t="n"/>
      <c r="CY723" s="14" t="n"/>
      <c r="CZ723" s="14" t="n"/>
      <c r="DA723" s="14" t="n"/>
      <c r="DB723" s="14" t="n"/>
      <c r="DC723" s="14" t="n"/>
    </row>
    <row r="724">
      <c r="B724" t="inlineStr">
        <is>
          <t>TSP-402</t>
        </is>
      </c>
      <c r="C724" t="inlineStr">
        <is>
          <t>No. of batches</t>
        </is>
      </c>
      <c r="D724">
        <f>IFERROR(INDEX(PP_Grid[#Data],$DD724,2),0)</f>
        <v/>
      </c>
      <c r="E724">
        <f>IFERROR(INDEX(PP_Grid[#Data],$DD724,3),0)</f>
        <v/>
      </c>
      <c r="F724">
        <f>IFERROR(INDEX(PP_Grid[#Data],$DD724,4),0)</f>
        <v/>
      </c>
      <c r="G724">
        <f>IFERROR(INDEX(PP_Grid[#Data],$DD724,5),0)</f>
        <v/>
      </c>
      <c r="H724">
        <f>IFERROR(INDEX(PP_Grid[#Data],$DD724,6),0)</f>
        <v/>
      </c>
      <c r="I724">
        <f>IFERROR(INDEX(PP_Grid[#Data],$DD724,7),0)</f>
        <v/>
      </c>
      <c r="J724">
        <f>IFERROR(INDEX(PP_Grid[#Data],$DD724,8),0)</f>
        <v/>
      </c>
      <c r="K724">
        <f>IFERROR(INDEX(PP_Grid[#Data],$DD724,9),0)</f>
        <v/>
      </c>
      <c r="L724">
        <f>IFERROR(INDEX(PP_Grid[#Data],$DD724,10),0)</f>
        <v/>
      </c>
      <c r="M724">
        <f>IFERROR(INDEX(PP_Grid[#Data],$DD724,11),0)</f>
        <v/>
      </c>
      <c r="N724">
        <f>IFERROR(INDEX(PP_Grid[#Data],$DD724,12),0)</f>
        <v/>
      </c>
      <c r="O724">
        <f>IFERROR(INDEX(PP_Grid[#Data],$DD724,13),0)</f>
        <v/>
      </c>
      <c r="P724">
        <f>IFERROR(INDEX(PP_Grid[#Data],$DD724,14),0)</f>
        <v/>
      </c>
      <c r="Q724">
        <f>IFERROR(INDEX(PP_Grid[#Data],$DD724,15),0)</f>
        <v/>
      </c>
      <c r="R724">
        <f>IFERROR(INDEX(PP_Grid[#Data],$DD724,16),0)</f>
        <v/>
      </c>
      <c r="S724">
        <f>IFERROR(INDEX(PP_Grid[#Data],$DD724,17),0)</f>
        <v/>
      </c>
      <c r="T724">
        <f>IFERROR(INDEX(PP_Grid[#Data],$DD724,18),0)</f>
        <v/>
      </c>
      <c r="U724">
        <f>IFERROR(INDEX(PP_Grid[#Data],$DD724,19),0)</f>
        <v/>
      </c>
      <c r="V724">
        <f>IFERROR(INDEX(PP_Grid[#Data],$DD724,20),0)</f>
        <v/>
      </c>
      <c r="W724">
        <f>IFERROR(INDEX(PP_Grid[#Data],$DD724,21),0)</f>
        <v/>
      </c>
      <c r="X724">
        <f>IFERROR(INDEX(PP_Grid[#Data],$DD724,22),0)</f>
        <v/>
      </c>
      <c r="Y724">
        <f>IFERROR(INDEX(PP_Grid[#Data],$DD724,23),0)</f>
        <v/>
      </c>
      <c r="Z724">
        <f>IFERROR(INDEX(PP_Grid[#Data],$DD724,24),0)</f>
        <v/>
      </c>
      <c r="AA724">
        <f>IFERROR(INDEX(PP_Grid[#Data],$DD724,25),0)</f>
        <v/>
      </c>
      <c r="AB724">
        <f>IFERROR(INDEX(PP_Grid[#Data],$DD724,26),0)</f>
        <v/>
      </c>
      <c r="AC724">
        <f>IFERROR(INDEX(PP_Grid[#Data],$DD724,27),0)</f>
        <v/>
      </c>
      <c r="AD724">
        <f>IFERROR(INDEX(PP_Grid[#Data],$DD724,28),0)</f>
        <v/>
      </c>
      <c r="AE724">
        <f>IFERROR(INDEX(PP_Grid[#Data],$DD724,29),0)</f>
        <v/>
      </c>
      <c r="AF724">
        <f>IFERROR(INDEX(PP_Grid[#Data],$DD724,30),0)</f>
        <v/>
      </c>
      <c r="AG724">
        <f>IFERROR(INDEX(PP_Grid[#Data],$DD724,31),0)</f>
        <v/>
      </c>
      <c r="AH724">
        <f>IFERROR(INDEX(PP_Grid[#Data],$DD724,32),0)</f>
        <v/>
      </c>
      <c r="AI724">
        <f>IFERROR(INDEX(PP_Grid[#Data],$DD724,33),0)</f>
        <v/>
      </c>
      <c r="AJ724">
        <f>IFERROR(INDEX(PP_Grid[#Data],$DD724,34),0)</f>
        <v/>
      </c>
      <c r="AK724">
        <f>IFERROR(INDEX(PP_Grid[#Data],$DD724,35),0)</f>
        <v/>
      </c>
      <c r="AL724">
        <f>IFERROR(INDEX(PP_Grid[#Data],$DD724,36),0)</f>
        <v/>
      </c>
      <c r="AM724">
        <f>IFERROR(INDEX(PP_Grid[#Data],$DD724,37),0)</f>
        <v/>
      </c>
      <c r="AN724">
        <f>IFERROR(INDEX(PP_Grid[#Data],$DD724,38),0)</f>
        <v/>
      </c>
      <c r="AO724">
        <f>IFERROR(INDEX(PP_Grid[#Data],$DD724,39),0)</f>
        <v/>
      </c>
      <c r="AP724">
        <f>IFERROR(INDEX(PP_Grid[#Data],$DD724,40),0)</f>
        <v/>
      </c>
      <c r="AQ724">
        <f>IFERROR(INDEX(PP_Grid[#Data],$DD724,41),0)</f>
        <v/>
      </c>
      <c r="AR724">
        <f>IFERROR(INDEX(PP_Grid[#Data],$DD724,42),0)</f>
        <v/>
      </c>
      <c r="AS724">
        <f>IFERROR(INDEX(PP_Grid[#Data],$DD724,43),0)</f>
        <v/>
      </c>
      <c r="AT724">
        <f>IFERROR(INDEX(PP_Grid[#Data],$DD724,44),0)</f>
        <v/>
      </c>
      <c r="AU724">
        <f>IFERROR(INDEX(PP_Grid[#Data],$DD724,45),0)</f>
        <v/>
      </c>
      <c r="AV724">
        <f>IFERROR(INDEX(PP_Grid[#Data],$DD724,46),0)</f>
        <v/>
      </c>
      <c r="AW724">
        <f>IFERROR(INDEX(PP_Grid[#Data],$DD724,47),0)</f>
        <v/>
      </c>
      <c r="AX724">
        <f>IFERROR(INDEX(PP_Grid[#Data],$DD724,48),0)</f>
        <v/>
      </c>
      <c r="AY724">
        <f>IFERROR(INDEX(PP_Grid[#Data],$DD724,49),0)</f>
        <v/>
      </c>
      <c r="AZ724">
        <f>IFERROR(INDEX(PP_Grid[#Data],$DD724,50),0)</f>
        <v/>
      </c>
      <c r="BA724">
        <f>IFERROR(INDEX(PP_Grid[#Data],$DD724,51),0)</f>
        <v/>
      </c>
      <c r="BB724">
        <f>IFERROR(INDEX(PP_Grid[#Data],$DD724,52),0)</f>
        <v/>
      </c>
      <c r="BC724">
        <f>IFERROR(INDEX(PP_Grid[#Data],$DD724,53),0)</f>
        <v/>
      </c>
      <c r="BD724">
        <f>IFERROR(INDEX(PP_Grid[#Data],$DD724,54),0)</f>
        <v/>
      </c>
      <c r="BE724">
        <f>IFERROR(INDEX(PP_Grid[#Data],$DD724,55),0)</f>
        <v/>
      </c>
      <c r="BF724">
        <f>IFERROR(INDEX(PP_Grid[#Data],$DD724,56),0)</f>
        <v/>
      </c>
      <c r="BG724">
        <f>IFERROR(INDEX(PP_Grid[#Data],$DD724,57),0)</f>
        <v/>
      </c>
      <c r="BH724">
        <f>IFERROR(INDEX(PP_Grid[#Data],$DD724,58),0)</f>
        <v/>
      </c>
      <c r="BI724">
        <f>IFERROR(INDEX(PP_Grid[#Data],$DD724,59),0)</f>
        <v/>
      </c>
      <c r="BJ724">
        <f>IFERROR(INDEX(PP_Grid[#Data],$DD724,60),0)</f>
        <v/>
      </c>
      <c r="BK724">
        <f>IFERROR(INDEX(PP_Grid[#Data],$DD724,61),0)</f>
        <v/>
      </c>
      <c r="BL724">
        <f>IFERROR(INDEX(PP_Grid[#Data],$DD724,62),0)</f>
        <v/>
      </c>
      <c r="BM724">
        <f>IFERROR(INDEX(PP_Grid[#Data],$DD724,63),0)</f>
        <v/>
      </c>
      <c r="BN724">
        <f>IFERROR(INDEX(PP_Grid[#Data],$DD724,64),0)</f>
        <v/>
      </c>
      <c r="BO724">
        <f>IFERROR(INDEX(PP_Grid[#Data],$DD724,65),0)</f>
        <v/>
      </c>
      <c r="BP724">
        <f>IFERROR(INDEX(PP_Grid[#Data],$DD724,66),0)</f>
        <v/>
      </c>
      <c r="BQ724">
        <f>IFERROR(INDEX(PP_Grid[#Data],$DD724,67),0)</f>
        <v/>
      </c>
      <c r="BR724">
        <f>IFERROR(INDEX(PP_Grid[#Data],$DD724,68),0)</f>
        <v/>
      </c>
      <c r="BS724">
        <f>IFERROR(INDEX(PP_Grid[#Data],$DD724,69),0)</f>
        <v/>
      </c>
      <c r="BT724">
        <f>IFERROR(INDEX(PP_Grid[#Data],$DD724,70),0)</f>
        <v/>
      </c>
      <c r="BU724">
        <f>IFERROR(INDEX(PP_Grid[#Data],$DD724,71),0)</f>
        <v/>
      </c>
      <c r="BV724">
        <f>IFERROR(INDEX(PP_Grid[#Data],$DD724,72),0)</f>
        <v/>
      </c>
      <c r="BW724">
        <f>IFERROR(INDEX(PP_Grid[#Data],$DD724,73),0)</f>
        <v/>
      </c>
      <c r="BX724">
        <f>IFERROR(INDEX(PP_Grid[#Data],$DD724,74),0)</f>
        <v/>
      </c>
      <c r="BY724">
        <f>IFERROR(INDEX(PP_Grid[#Data],$DD724,75),0)</f>
        <v/>
      </c>
      <c r="BZ724">
        <f>IFERROR(INDEX(PP_Grid[#Data],$DD724,76),0)</f>
        <v/>
      </c>
      <c r="CA724">
        <f>IFERROR(INDEX(PP_Grid[#Data],$DD724,77),0)</f>
        <v/>
      </c>
      <c r="CB724">
        <f>IFERROR(INDEX(PP_Grid[#Data],$DD724,78),0)</f>
        <v/>
      </c>
      <c r="CC724">
        <f>IFERROR(INDEX(PP_Grid[#Data],$DD724,79),0)</f>
        <v/>
      </c>
      <c r="CD724">
        <f>IFERROR(INDEX(PP_Grid[#Data],$DD724,80),0)</f>
        <v/>
      </c>
      <c r="CE724">
        <f>IFERROR(INDEX(PP_Grid[#Data],$DD724,81),0)</f>
        <v/>
      </c>
      <c r="CF724">
        <f>IFERROR(INDEX(PP_Grid[#Data],$DD724,82),0)</f>
        <v/>
      </c>
      <c r="CG724">
        <f>IFERROR(INDEX(PP_Grid[#Data],$DD724,83),0)</f>
        <v/>
      </c>
      <c r="CH724">
        <f>IFERROR(INDEX(PP_Grid[#Data],$DD724,84),0)</f>
        <v/>
      </c>
      <c r="CI724">
        <f>IFERROR(INDEX(PP_Grid[#Data],$DD724,85),0)</f>
        <v/>
      </c>
      <c r="CJ724">
        <f>IFERROR(INDEX(PP_Grid[#Data],$DD724,86),0)</f>
        <v/>
      </c>
      <c r="CK724">
        <f>IFERROR(INDEX(PP_Grid[#Data],$DD724,87),0)</f>
        <v/>
      </c>
      <c r="CL724">
        <f>IFERROR(INDEX(PP_Grid[#Data],$DD724,88),0)</f>
        <v/>
      </c>
      <c r="CM724">
        <f>IFERROR(INDEX(PP_Grid[#Data],$DD724,89),0)</f>
        <v/>
      </c>
      <c r="CN724">
        <f>IFERROR(INDEX(PP_Grid[#Data],$DD724,90),0)</f>
        <v/>
      </c>
      <c r="CO724">
        <f>IFERROR(INDEX(PP_Grid[#Data],$DD724,91),0)</f>
        <v/>
      </c>
      <c r="CP724">
        <f>IFERROR(INDEX(PP_Grid[#Data],$DD724,92),0)</f>
        <v/>
      </c>
      <c r="CQ724">
        <f>IFERROR(INDEX(PP_Grid[#Data],$DD724,93),0)</f>
        <v/>
      </c>
      <c r="CR724">
        <f>IFERROR(INDEX(PP_Grid[#Data],$DD724,94),0)</f>
        <v/>
      </c>
      <c r="CS724">
        <f>IFERROR(INDEX(PP_Grid[#Data],$DD724,95),0)</f>
        <v/>
      </c>
      <c r="CT724">
        <f>IFERROR(INDEX(PP_Grid[#Data],$DD724,96),0)</f>
        <v/>
      </c>
      <c r="CU724">
        <f>IFERROR(INDEX(PP_Grid[#Data],$DD724,97),0)</f>
        <v/>
      </c>
      <c r="CV724">
        <f>IFERROR(INDEX(PP_Grid[#Data],$DD724,98),0)</f>
        <v/>
      </c>
      <c r="CW724">
        <f>IFERROR(INDEX(PP_Grid[#Data],$DD724,99),0)</f>
        <v/>
      </c>
      <c r="CX724">
        <f>IFERROR(INDEX(PP_Grid[#Data],$DD724,100),0)</f>
        <v/>
      </c>
      <c r="CY724">
        <f>IFERROR(INDEX(PP_Grid[#Data],$DD724,101),0)</f>
        <v/>
      </c>
      <c r="CZ724">
        <f>IFERROR(INDEX(PP_Grid[#Data],$DD724,102),0)</f>
        <v/>
      </c>
      <c r="DA724">
        <f>IFERROR(INDEX(PP_Grid[#Data],$DD724,103),0)</f>
        <v/>
      </c>
      <c r="DB724">
        <f>IFERROR(INDEX(PP_Grid[#Data],$DD724,104),0)</f>
        <v/>
      </c>
      <c r="DC724">
        <f>IFERROR(INDEX(PP_Grid[#Data],$DD724,105),0)</f>
        <v/>
      </c>
      <c r="DD724" s="7">
        <f>IFERROR(MATCH($B724,PP_Grid[Intermediate],0),99999)</f>
        <v/>
      </c>
    </row>
    <row r="725">
      <c r="B725" t="inlineStr">
        <is>
          <t>使用量(kg)</t>
        </is>
      </c>
      <c r="C725">
        <f>SUMIFS(M_BOM[RM_Qty_Per_Batch],M_BOM[Intermediate],$B724,M_BOM[Part Name],$A723)</f>
        <v/>
      </c>
      <c r="D725">
        <f>$C725*D724</f>
        <v/>
      </c>
      <c r="E725">
        <f>$C725*E724</f>
        <v/>
      </c>
      <c r="F725">
        <f>$C725*F724</f>
        <v/>
      </c>
      <c r="G725">
        <f>$C725*G724</f>
        <v/>
      </c>
      <c r="H725">
        <f>$C725*H724</f>
        <v/>
      </c>
      <c r="I725">
        <f>$C725*I724</f>
        <v/>
      </c>
      <c r="J725">
        <f>$C725*J724</f>
        <v/>
      </c>
      <c r="K725">
        <f>$C725*K724</f>
        <v/>
      </c>
      <c r="L725">
        <f>$C725*L724</f>
        <v/>
      </c>
      <c r="M725">
        <f>$C725*M724</f>
        <v/>
      </c>
      <c r="N725">
        <f>$C725*N724</f>
        <v/>
      </c>
      <c r="O725">
        <f>$C725*O724</f>
        <v/>
      </c>
      <c r="P725">
        <f>$C725*P724</f>
        <v/>
      </c>
      <c r="Q725">
        <f>$C725*Q724</f>
        <v/>
      </c>
      <c r="R725">
        <f>$C725*R724</f>
        <v/>
      </c>
      <c r="S725">
        <f>$C725*S724</f>
        <v/>
      </c>
      <c r="T725">
        <f>$C725*T724</f>
        <v/>
      </c>
      <c r="U725">
        <f>$C725*U724</f>
        <v/>
      </c>
      <c r="V725">
        <f>$C725*V724</f>
        <v/>
      </c>
      <c r="W725">
        <f>$C725*W724</f>
        <v/>
      </c>
      <c r="X725">
        <f>$C725*X724</f>
        <v/>
      </c>
      <c r="Y725">
        <f>$C725*Y724</f>
        <v/>
      </c>
      <c r="Z725">
        <f>$C725*Z724</f>
        <v/>
      </c>
      <c r="AA725">
        <f>$C725*AA724</f>
        <v/>
      </c>
      <c r="AB725">
        <f>$C725*AB724</f>
        <v/>
      </c>
      <c r="AC725">
        <f>$C725*AC724</f>
        <v/>
      </c>
      <c r="AD725">
        <f>$C725*AD724</f>
        <v/>
      </c>
      <c r="AE725">
        <f>$C725*AE724</f>
        <v/>
      </c>
      <c r="AF725">
        <f>$C725*AF724</f>
        <v/>
      </c>
      <c r="AG725">
        <f>$C725*AG724</f>
        <v/>
      </c>
      <c r="AH725">
        <f>$C725*AH724</f>
        <v/>
      </c>
      <c r="AI725">
        <f>$C725*AI724</f>
        <v/>
      </c>
      <c r="AJ725">
        <f>$C725*AJ724</f>
        <v/>
      </c>
      <c r="AK725">
        <f>$C725*AK724</f>
        <v/>
      </c>
      <c r="AL725">
        <f>$C725*AL724</f>
        <v/>
      </c>
      <c r="AM725">
        <f>$C725*AM724</f>
        <v/>
      </c>
      <c r="AN725">
        <f>$C725*AN724</f>
        <v/>
      </c>
      <c r="AO725">
        <f>$C725*AO724</f>
        <v/>
      </c>
      <c r="AP725">
        <f>$C725*AP724</f>
        <v/>
      </c>
      <c r="AQ725">
        <f>$C725*AQ724</f>
        <v/>
      </c>
      <c r="AR725">
        <f>$C725*AR724</f>
        <v/>
      </c>
      <c r="AS725">
        <f>$C725*AS724</f>
        <v/>
      </c>
      <c r="AT725">
        <f>$C725*AT724</f>
        <v/>
      </c>
      <c r="AU725">
        <f>$C725*AU724</f>
        <v/>
      </c>
      <c r="AV725">
        <f>$C725*AV724</f>
        <v/>
      </c>
      <c r="AW725">
        <f>$C725*AW724</f>
        <v/>
      </c>
      <c r="AX725">
        <f>$C725*AX724</f>
        <v/>
      </c>
      <c r="AY725">
        <f>$C725*AY724</f>
        <v/>
      </c>
      <c r="AZ725">
        <f>$C725*AZ724</f>
        <v/>
      </c>
      <c r="BA725">
        <f>$C725*BA724</f>
        <v/>
      </c>
      <c r="BB725">
        <f>$C725*BB724</f>
        <v/>
      </c>
      <c r="BC725">
        <f>$C725*BC724</f>
        <v/>
      </c>
      <c r="BD725">
        <f>$C725*BD724</f>
        <v/>
      </c>
      <c r="BE725">
        <f>$C725*BE724</f>
        <v/>
      </c>
      <c r="BF725">
        <f>$C725*BF724</f>
        <v/>
      </c>
      <c r="BG725">
        <f>$C725*BG724</f>
        <v/>
      </c>
      <c r="BH725">
        <f>$C725*BH724</f>
        <v/>
      </c>
      <c r="BI725">
        <f>$C725*BI724</f>
        <v/>
      </c>
      <c r="BJ725">
        <f>$C725*BJ724</f>
        <v/>
      </c>
      <c r="BK725">
        <f>$C725*BK724</f>
        <v/>
      </c>
      <c r="BL725">
        <f>$C725*BL724</f>
        <v/>
      </c>
      <c r="BM725">
        <f>$C725*BM724</f>
        <v/>
      </c>
      <c r="BN725">
        <f>$C725*BN724</f>
        <v/>
      </c>
      <c r="BO725">
        <f>$C725*BO724</f>
        <v/>
      </c>
      <c r="BP725">
        <f>$C725*BP724</f>
        <v/>
      </c>
      <c r="BQ725">
        <f>$C725*BQ724</f>
        <v/>
      </c>
      <c r="BR725">
        <f>$C725*BR724</f>
        <v/>
      </c>
      <c r="BS725">
        <f>$C725*BS724</f>
        <v/>
      </c>
      <c r="BT725">
        <f>$C725*BT724</f>
        <v/>
      </c>
      <c r="BU725">
        <f>$C725*BU724</f>
        <v/>
      </c>
      <c r="BV725">
        <f>$C725*BV724</f>
        <v/>
      </c>
      <c r="BW725">
        <f>$C725*BW724</f>
        <v/>
      </c>
      <c r="BX725">
        <f>$C725*BX724</f>
        <v/>
      </c>
      <c r="BY725">
        <f>$C725*BY724</f>
        <v/>
      </c>
      <c r="BZ725">
        <f>$C725*BZ724</f>
        <v/>
      </c>
      <c r="CA725">
        <f>$C725*CA724</f>
        <v/>
      </c>
      <c r="CB725">
        <f>$C725*CB724</f>
        <v/>
      </c>
      <c r="CC725">
        <f>$C725*CC724</f>
        <v/>
      </c>
      <c r="CD725">
        <f>$C725*CD724</f>
        <v/>
      </c>
      <c r="CE725">
        <f>$C725*CE724</f>
        <v/>
      </c>
      <c r="CF725">
        <f>$C725*CF724</f>
        <v/>
      </c>
      <c r="CG725">
        <f>$C725*CG724</f>
        <v/>
      </c>
      <c r="CH725">
        <f>$C725*CH724</f>
        <v/>
      </c>
      <c r="CI725">
        <f>$C725*CI724</f>
        <v/>
      </c>
      <c r="CJ725">
        <f>$C725*CJ724</f>
        <v/>
      </c>
      <c r="CK725">
        <f>$C725*CK724</f>
        <v/>
      </c>
      <c r="CL725">
        <f>$C725*CL724</f>
        <v/>
      </c>
      <c r="CM725">
        <f>$C725*CM724</f>
        <v/>
      </c>
      <c r="CN725">
        <f>$C725*CN724</f>
        <v/>
      </c>
      <c r="CO725">
        <f>$C725*CO724</f>
        <v/>
      </c>
      <c r="CP725">
        <f>$C725*CP724</f>
        <v/>
      </c>
      <c r="CQ725">
        <f>$C725*CQ724</f>
        <v/>
      </c>
      <c r="CR725">
        <f>$C725*CR724</f>
        <v/>
      </c>
      <c r="CS725">
        <f>$C725*CS724</f>
        <v/>
      </c>
      <c r="CT725">
        <f>$C725*CT724</f>
        <v/>
      </c>
      <c r="CU725">
        <f>$C725*CU724</f>
        <v/>
      </c>
      <c r="CV725">
        <f>$C725*CV724</f>
        <v/>
      </c>
      <c r="CW725">
        <f>$C725*CW724</f>
        <v/>
      </c>
      <c r="CX725">
        <f>$C725*CX724</f>
        <v/>
      </c>
      <c r="CY725">
        <f>$C725*CY724</f>
        <v/>
      </c>
      <c r="CZ725">
        <f>$C725*CZ724</f>
        <v/>
      </c>
      <c r="DA725">
        <f>$C725*DA724</f>
        <v/>
      </c>
      <c r="DB725">
        <f>$C725*DB724</f>
        <v/>
      </c>
      <c r="DC725">
        <f>$C725*DC724</f>
        <v/>
      </c>
    </row>
    <row r="726">
      <c r="B726" t="inlineStr">
        <is>
          <t>TSP-403</t>
        </is>
      </c>
      <c r="C726" t="inlineStr">
        <is>
          <t>No. of batches</t>
        </is>
      </c>
      <c r="D726">
        <f>IFERROR(INDEX(PP_Grid[#Data],$DD726,2),0)</f>
        <v/>
      </c>
      <c r="E726">
        <f>IFERROR(INDEX(PP_Grid[#Data],$DD726,3),0)</f>
        <v/>
      </c>
      <c r="F726">
        <f>IFERROR(INDEX(PP_Grid[#Data],$DD726,4),0)</f>
        <v/>
      </c>
      <c r="G726">
        <f>IFERROR(INDEX(PP_Grid[#Data],$DD726,5),0)</f>
        <v/>
      </c>
      <c r="H726">
        <f>IFERROR(INDEX(PP_Grid[#Data],$DD726,6),0)</f>
        <v/>
      </c>
      <c r="I726">
        <f>IFERROR(INDEX(PP_Grid[#Data],$DD726,7),0)</f>
        <v/>
      </c>
      <c r="J726">
        <f>IFERROR(INDEX(PP_Grid[#Data],$DD726,8),0)</f>
        <v/>
      </c>
      <c r="K726">
        <f>IFERROR(INDEX(PP_Grid[#Data],$DD726,9),0)</f>
        <v/>
      </c>
      <c r="L726">
        <f>IFERROR(INDEX(PP_Grid[#Data],$DD726,10),0)</f>
        <v/>
      </c>
      <c r="M726">
        <f>IFERROR(INDEX(PP_Grid[#Data],$DD726,11),0)</f>
        <v/>
      </c>
      <c r="N726">
        <f>IFERROR(INDEX(PP_Grid[#Data],$DD726,12),0)</f>
        <v/>
      </c>
      <c r="O726">
        <f>IFERROR(INDEX(PP_Grid[#Data],$DD726,13),0)</f>
        <v/>
      </c>
      <c r="P726">
        <f>IFERROR(INDEX(PP_Grid[#Data],$DD726,14),0)</f>
        <v/>
      </c>
      <c r="Q726">
        <f>IFERROR(INDEX(PP_Grid[#Data],$DD726,15),0)</f>
        <v/>
      </c>
      <c r="R726">
        <f>IFERROR(INDEX(PP_Grid[#Data],$DD726,16),0)</f>
        <v/>
      </c>
      <c r="S726">
        <f>IFERROR(INDEX(PP_Grid[#Data],$DD726,17),0)</f>
        <v/>
      </c>
      <c r="T726">
        <f>IFERROR(INDEX(PP_Grid[#Data],$DD726,18),0)</f>
        <v/>
      </c>
      <c r="U726">
        <f>IFERROR(INDEX(PP_Grid[#Data],$DD726,19),0)</f>
        <v/>
      </c>
      <c r="V726">
        <f>IFERROR(INDEX(PP_Grid[#Data],$DD726,20),0)</f>
        <v/>
      </c>
      <c r="W726">
        <f>IFERROR(INDEX(PP_Grid[#Data],$DD726,21),0)</f>
        <v/>
      </c>
      <c r="X726">
        <f>IFERROR(INDEX(PP_Grid[#Data],$DD726,22),0)</f>
        <v/>
      </c>
      <c r="Y726">
        <f>IFERROR(INDEX(PP_Grid[#Data],$DD726,23),0)</f>
        <v/>
      </c>
      <c r="Z726">
        <f>IFERROR(INDEX(PP_Grid[#Data],$DD726,24),0)</f>
        <v/>
      </c>
      <c r="AA726">
        <f>IFERROR(INDEX(PP_Grid[#Data],$DD726,25),0)</f>
        <v/>
      </c>
      <c r="AB726">
        <f>IFERROR(INDEX(PP_Grid[#Data],$DD726,26),0)</f>
        <v/>
      </c>
      <c r="AC726">
        <f>IFERROR(INDEX(PP_Grid[#Data],$DD726,27),0)</f>
        <v/>
      </c>
      <c r="AD726">
        <f>IFERROR(INDEX(PP_Grid[#Data],$DD726,28),0)</f>
        <v/>
      </c>
      <c r="AE726">
        <f>IFERROR(INDEX(PP_Grid[#Data],$DD726,29),0)</f>
        <v/>
      </c>
      <c r="AF726">
        <f>IFERROR(INDEX(PP_Grid[#Data],$DD726,30),0)</f>
        <v/>
      </c>
      <c r="AG726">
        <f>IFERROR(INDEX(PP_Grid[#Data],$DD726,31),0)</f>
        <v/>
      </c>
      <c r="AH726">
        <f>IFERROR(INDEX(PP_Grid[#Data],$DD726,32),0)</f>
        <v/>
      </c>
      <c r="AI726">
        <f>IFERROR(INDEX(PP_Grid[#Data],$DD726,33),0)</f>
        <v/>
      </c>
      <c r="AJ726">
        <f>IFERROR(INDEX(PP_Grid[#Data],$DD726,34),0)</f>
        <v/>
      </c>
      <c r="AK726">
        <f>IFERROR(INDEX(PP_Grid[#Data],$DD726,35),0)</f>
        <v/>
      </c>
      <c r="AL726">
        <f>IFERROR(INDEX(PP_Grid[#Data],$DD726,36),0)</f>
        <v/>
      </c>
      <c r="AM726">
        <f>IFERROR(INDEX(PP_Grid[#Data],$DD726,37),0)</f>
        <v/>
      </c>
      <c r="AN726">
        <f>IFERROR(INDEX(PP_Grid[#Data],$DD726,38),0)</f>
        <v/>
      </c>
      <c r="AO726">
        <f>IFERROR(INDEX(PP_Grid[#Data],$DD726,39),0)</f>
        <v/>
      </c>
      <c r="AP726">
        <f>IFERROR(INDEX(PP_Grid[#Data],$DD726,40),0)</f>
        <v/>
      </c>
      <c r="AQ726">
        <f>IFERROR(INDEX(PP_Grid[#Data],$DD726,41),0)</f>
        <v/>
      </c>
      <c r="AR726">
        <f>IFERROR(INDEX(PP_Grid[#Data],$DD726,42),0)</f>
        <v/>
      </c>
      <c r="AS726">
        <f>IFERROR(INDEX(PP_Grid[#Data],$DD726,43),0)</f>
        <v/>
      </c>
      <c r="AT726">
        <f>IFERROR(INDEX(PP_Grid[#Data],$DD726,44),0)</f>
        <v/>
      </c>
      <c r="AU726">
        <f>IFERROR(INDEX(PP_Grid[#Data],$DD726,45),0)</f>
        <v/>
      </c>
      <c r="AV726">
        <f>IFERROR(INDEX(PP_Grid[#Data],$DD726,46),0)</f>
        <v/>
      </c>
      <c r="AW726">
        <f>IFERROR(INDEX(PP_Grid[#Data],$DD726,47),0)</f>
        <v/>
      </c>
      <c r="AX726">
        <f>IFERROR(INDEX(PP_Grid[#Data],$DD726,48),0)</f>
        <v/>
      </c>
      <c r="AY726">
        <f>IFERROR(INDEX(PP_Grid[#Data],$DD726,49),0)</f>
        <v/>
      </c>
      <c r="AZ726">
        <f>IFERROR(INDEX(PP_Grid[#Data],$DD726,50),0)</f>
        <v/>
      </c>
      <c r="BA726">
        <f>IFERROR(INDEX(PP_Grid[#Data],$DD726,51),0)</f>
        <v/>
      </c>
      <c r="BB726">
        <f>IFERROR(INDEX(PP_Grid[#Data],$DD726,52),0)</f>
        <v/>
      </c>
      <c r="BC726">
        <f>IFERROR(INDEX(PP_Grid[#Data],$DD726,53),0)</f>
        <v/>
      </c>
      <c r="BD726">
        <f>IFERROR(INDEX(PP_Grid[#Data],$DD726,54),0)</f>
        <v/>
      </c>
      <c r="BE726">
        <f>IFERROR(INDEX(PP_Grid[#Data],$DD726,55),0)</f>
        <v/>
      </c>
      <c r="BF726">
        <f>IFERROR(INDEX(PP_Grid[#Data],$DD726,56),0)</f>
        <v/>
      </c>
      <c r="BG726">
        <f>IFERROR(INDEX(PP_Grid[#Data],$DD726,57),0)</f>
        <v/>
      </c>
      <c r="BH726">
        <f>IFERROR(INDEX(PP_Grid[#Data],$DD726,58),0)</f>
        <v/>
      </c>
      <c r="BI726">
        <f>IFERROR(INDEX(PP_Grid[#Data],$DD726,59),0)</f>
        <v/>
      </c>
      <c r="BJ726">
        <f>IFERROR(INDEX(PP_Grid[#Data],$DD726,60),0)</f>
        <v/>
      </c>
      <c r="BK726">
        <f>IFERROR(INDEX(PP_Grid[#Data],$DD726,61),0)</f>
        <v/>
      </c>
      <c r="BL726">
        <f>IFERROR(INDEX(PP_Grid[#Data],$DD726,62),0)</f>
        <v/>
      </c>
      <c r="BM726">
        <f>IFERROR(INDEX(PP_Grid[#Data],$DD726,63),0)</f>
        <v/>
      </c>
      <c r="BN726">
        <f>IFERROR(INDEX(PP_Grid[#Data],$DD726,64),0)</f>
        <v/>
      </c>
      <c r="BO726">
        <f>IFERROR(INDEX(PP_Grid[#Data],$DD726,65),0)</f>
        <v/>
      </c>
      <c r="BP726">
        <f>IFERROR(INDEX(PP_Grid[#Data],$DD726,66),0)</f>
        <v/>
      </c>
      <c r="BQ726">
        <f>IFERROR(INDEX(PP_Grid[#Data],$DD726,67),0)</f>
        <v/>
      </c>
      <c r="BR726">
        <f>IFERROR(INDEX(PP_Grid[#Data],$DD726,68),0)</f>
        <v/>
      </c>
      <c r="BS726">
        <f>IFERROR(INDEX(PP_Grid[#Data],$DD726,69),0)</f>
        <v/>
      </c>
      <c r="BT726">
        <f>IFERROR(INDEX(PP_Grid[#Data],$DD726,70),0)</f>
        <v/>
      </c>
      <c r="BU726">
        <f>IFERROR(INDEX(PP_Grid[#Data],$DD726,71),0)</f>
        <v/>
      </c>
      <c r="BV726">
        <f>IFERROR(INDEX(PP_Grid[#Data],$DD726,72),0)</f>
        <v/>
      </c>
      <c r="BW726">
        <f>IFERROR(INDEX(PP_Grid[#Data],$DD726,73),0)</f>
        <v/>
      </c>
      <c r="BX726">
        <f>IFERROR(INDEX(PP_Grid[#Data],$DD726,74),0)</f>
        <v/>
      </c>
      <c r="BY726">
        <f>IFERROR(INDEX(PP_Grid[#Data],$DD726,75),0)</f>
        <v/>
      </c>
      <c r="BZ726">
        <f>IFERROR(INDEX(PP_Grid[#Data],$DD726,76),0)</f>
        <v/>
      </c>
      <c r="CA726">
        <f>IFERROR(INDEX(PP_Grid[#Data],$DD726,77),0)</f>
        <v/>
      </c>
      <c r="CB726">
        <f>IFERROR(INDEX(PP_Grid[#Data],$DD726,78),0)</f>
        <v/>
      </c>
      <c r="CC726">
        <f>IFERROR(INDEX(PP_Grid[#Data],$DD726,79),0)</f>
        <v/>
      </c>
      <c r="CD726">
        <f>IFERROR(INDEX(PP_Grid[#Data],$DD726,80),0)</f>
        <v/>
      </c>
      <c r="CE726">
        <f>IFERROR(INDEX(PP_Grid[#Data],$DD726,81),0)</f>
        <v/>
      </c>
      <c r="CF726">
        <f>IFERROR(INDEX(PP_Grid[#Data],$DD726,82),0)</f>
        <v/>
      </c>
      <c r="CG726">
        <f>IFERROR(INDEX(PP_Grid[#Data],$DD726,83),0)</f>
        <v/>
      </c>
      <c r="CH726">
        <f>IFERROR(INDEX(PP_Grid[#Data],$DD726,84),0)</f>
        <v/>
      </c>
      <c r="CI726">
        <f>IFERROR(INDEX(PP_Grid[#Data],$DD726,85),0)</f>
        <v/>
      </c>
      <c r="CJ726">
        <f>IFERROR(INDEX(PP_Grid[#Data],$DD726,86),0)</f>
        <v/>
      </c>
      <c r="CK726">
        <f>IFERROR(INDEX(PP_Grid[#Data],$DD726,87),0)</f>
        <v/>
      </c>
      <c r="CL726">
        <f>IFERROR(INDEX(PP_Grid[#Data],$DD726,88),0)</f>
        <v/>
      </c>
      <c r="CM726">
        <f>IFERROR(INDEX(PP_Grid[#Data],$DD726,89),0)</f>
        <v/>
      </c>
      <c r="CN726">
        <f>IFERROR(INDEX(PP_Grid[#Data],$DD726,90),0)</f>
        <v/>
      </c>
      <c r="CO726">
        <f>IFERROR(INDEX(PP_Grid[#Data],$DD726,91),0)</f>
        <v/>
      </c>
      <c r="CP726">
        <f>IFERROR(INDEX(PP_Grid[#Data],$DD726,92),0)</f>
        <v/>
      </c>
      <c r="CQ726">
        <f>IFERROR(INDEX(PP_Grid[#Data],$DD726,93),0)</f>
        <v/>
      </c>
      <c r="CR726">
        <f>IFERROR(INDEX(PP_Grid[#Data],$DD726,94),0)</f>
        <v/>
      </c>
      <c r="CS726">
        <f>IFERROR(INDEX(PP_Grid[#Data],$DD726,95),0)</f>
        <v/>
      </c>
      <c r="CT726">
        <f>IFERROR(INDEX(PP_Grid[#Data],$DD726,96),0)</f>
        <v/>
      </c>
      <c r="CU726">
        <f>IFERROR(INDEX(PP_Grid[#Data],$DD726,97),0)</f>
        <v/>
      </c>
      <c r="CV726">
        <f>IFERROR(INDEX(PP_Grid[#Data],$DD726,98),0)</f>
        <v/>
      </c>
      <c r="CW726">
        <f>IFERROR(INDEX(PP_Grid[#Data],$DD726,99),0)</f>
        <v/>
      </c>
      <c r="CX726">
        <f>IFERROR(INDEX(PP_Grid[#Data],$DD726,100),0)</f>
        <v/>
      </c>
      <c r="CY726">
        <f>IFERROR(INDEX(PP_Grid[#Data],$DD726,101),0)</f>
        <v/>
      </c>
      <c r="CZ726">
        <f>IFERROR(INDEX(PP_Grid[#Data],$DD726,102),0)</f>
        <v/>
      </c>
      <c r="DA726">
        <f>IFERROR(INDEX(PP_Grid[#Data],$DD726,103),0)</f>
        <v/>
      </c>
      <c r="DB726">
        <f>IFERROR(INDEX(PP_Grid[#Data],$DD726,104),0)</f>
        <v/>
      </c>
      <c r="DC726">
        <f>IFERROR(INDEX(PP_Grid[#Data],$DD726,105),0)</f>
        <v/>
      </c>
      <c r="DD726" s="7">
        <f>IFERROR(MATCH($B726,PP_Grid[Intermediate],0),99999)</f>
        <v/>
      </c>
    </row>
    <row r="727">
      <c r="B727" t="inlineStr">
        <is>
          <t>使用量(kg)</t>
        </is>
      </c>
      <c r="C727">
        <f>SUMIFS(M_BOM[RM_Qty_Per_Batch],M_BOM[Intermediate],$B726,M_BOM[Part Name],$A723)</f>
        <v/>
      </c>
      <c r="D727">
        <f>$C727*D726</f>
        <v/>
      </c>
      <c r="E727">
        <f>$C727*E726</f>
        <v/>
      </c>
      <c r="F727">
        <f>$C727*F726</f>
        <v/>
      </c>
      <c r="G727">
        <f>$C727*G726</f>
        <v/>
      </c>
      <c r="H727">
        <f>$C727*H726</f>
        <v/>
      </c>
      <c r="I727">
        <f>$C727*I726</f>
        <v/>
      </c>
      <c r="J727">
        <f>$C727*J726</f>
        <v/>
      </c>
      <c r="K727">
        <f>$C727*K726</f>
        <v/>
      </c>
      <c r="L727">
        <f>$C727*L726</f>
        <v/>
      </c>
      <c r="M727">
        <f>$C727*M726</f>
        <v/>
      </c>
      <c r="N727">
        <f>$C727*N726</f>
        <v/>
      </c>
      <c r="O727">
        <f>$C727*O726</f>
        <v/>
      </c>
      <c r="P727">
        <f>$C727*P726</f>
        <v/>
      </c>
      <c r="Q727">
        <f>$C727*Q726</f>
        <v/>
      </c>
      <c r="R727">
        <f>$C727*R726</f>
        <v/>
      </c>
      <c r="S727">
        <f>$C727*S726</f>
        <v/>
      </c>
      <c r="T727">
        <f>$C727*T726</f>
        <v/>
      </c>
      <c r="U727">
        <f>$C727*U726</f>
        <v/>
      </c>
      <c r="V727">
        <f>$C727*V726</f>
        <v/>
      </c>
      <c r="W727">
        <f>$C727*W726</f>
        <v/>
      </c>
      <c r="X727">
        <f>$C727*X726</f>
        <v/>
      </c>
      <c r="Y727">
        <f>$C727*Y726</f>
        <v/>
      </c>
      <c r="Z727">
        <f>$C727*Z726</f>
        <v/>
      </c>
      <c r="AA727">
        <f>$C727*AA726</f>
        <v/>
      </c>
      <c r="AB727">
        <f>$C727*AB726</f>
        <v/>
      </c>
      <c r="AC727">
        <f>$C727*AC726</f>
        <v/>
      </c>
      <c r="AD727">
        <f>$C727*AD726</f>
        <v/>
      </c>
      <c r="AE727">
        <f>$C727*AE726</f>
        <v/>
      </c>
      <c r="AF727">
        <f>$C727*AF726</f>
        <v/>
      </c>
      <c r="AG727">
        <f>$C727*AG726</f>
        <v/>
      </c>
      <c r="AH727">
        <f>$C727*AH726</f>
        <v/>
      </c>
      <c r="AI727">
        <f>$C727*AI726</f>
        <v/>
      </c>
      <c r="AJ727">
        <f>$C727*AJ726</f>
        <v/>
      </c>
      <c r="AK727">
        <f>$C727*AK726</f>
        <v/>
      </c>
      <c r="AL727">
        <f>$C727*AL726</f>
        <v/>
      </c>
      <c r="AM727">
        <f>$C727*AM726</f>
        <v/>
      </c>
      <c r="AN727">
        <f>$C727*AN726</f>
        <v/>
      </c>
      <c r="AO727">
        <f>$C727*AO726</f>
        <v/>
      </c>
      <c r="AP727">
        <f>$C727*AP726</f>
        <v/>
      </c>
      <c r="AQ727">
        <f>$C727*AQ726</f>
        <v/>
      </c>
      <c r="AR727">
        <f>$C727*AR726</f>
        <v/>
      </c>
      <c r="AS727">
        <f>$C727*AS726</f>
        <v/>
      </c>
      <c r="AT727">
        <f>$C727*AT726</f>
        <v/>
      </c>
      <c r="AU727">
        <f>$C727*AU726</f>
        <v/>
      </c>
      <c r="AV727">
        <f>$C727*AV726</f>
        <v/>
      </c>
      <c r="AW727">
        <f>$C727*AW726</f>
        <v/>
      </c>
      <c r="AX727">
        <f>$C727*AX726</f>
        <v/>
      </c>
      <c r="AY727">
        <f>$C727*AY726</f>
        <v/>
      </c>
      <c r="AZ727">
        <f>$C727*AZ726</f>
        <v/>
      </c>
      <c r="BA727">
        <f>$C727*BA726</f>
        <v/>
      </c>
      <c r="BB727">
        <f>$C727*BB726</f>
        <v/>
      </c>
      <c r="BC727">
        <f>$C727*BC726</f>
        <v/>
      </c>
      <c r="BD727">
        <f>$C727*BD726</f>
        <v/>
      </c>
      <c r="BE727">
        <f>$C727*BE726</f>
        <v/>
      </c>
      <c r="BF727">
        <f>$C727*BF726</f>
        <v/>
      </c>
      <c r="BG727">
        <f>$C727*BG726</f>
        <v/>
      </c>
      <c r="BH727">
        <f>$C727*BH726</f>
        <v/>
      </c>
      <c r="BI727">
        <f>$C727*BI726</f>
        <v/>
      </c>
      <c r="BJ727">
        <f>$C727*BJ726</f>
        <v/>
      </c>
      <c r="BK727">
        <f>$C727*BK726</f>
        <v/>
      </c>
      <c r="BL727">
        <f>$C727*BL726</f>
        <v/>
      </c>
      <c r="BM727">
        <f>$C727*BM726</f>
        <v/>
      </c>
      <c r="BN727">
        <f>$C727*BN726</f>
        <v/>
      </c>
      <c r="BO727">
        <f>$C727*BO726</f>
        <v/>
      </c>
      <c r="BP727">
        <f>$C727*BP726</f>
        <v/>
      </c>
      <c r="BQ727">
        <f>$C727*BQ726</f>
        <v/>
      </c>
      <c r="BR727">
        <f>$C727*BR726</f>
        <v/>
      </c>
      <c r="BS727">
        <f>$C727*BS726</f>
        <v/>
      </c>
      <c r="BT727">
        <f>$C727*BT726</f>
        <v/>
      </c>
      <c r="BU727">
        <f>$C727*BU726</f>
        <v/>
      </c>
      <c r="BV727">
        <f>$C727*BV726</f>
        <v/>
      </c>
      <c r="BW727">
        <f>$C727*BW726</f>
        <v/>
      </c>
      <c r="BX727">
        <f>$C727*BX726</f>
        <v/>
      </c>
      <c r="BY727">
        <f>$C727*BY726</f>
        <v/>
      </c>
      <c r="BZ727">
        <f>$C727*BZ726</f>
        <v/>
      </c>
      <c r="CA727">
        <f>$C727*CA726</f>
        <v/>
      </c>
      <c r="CB727">
        <f>$C727*CB726</f>
        <v/>
      </c>
      <c r="CC727">
        <f>$C727*CC726</f>
        <v/>
      </c>
      <c r="CD727">
        <f>$C727*CD726</f>
        <v/>
      </c>
      <c r="CE727">
        <f>$C727*CE726</f>
        <v/>
      </c>
      <c r="CF727">
        <f>$C727*CF726</f>
        <v/>
      </c>
      <c r="CG727">
        <f>$C727*CG726</f>
        <v/>
      </c>
      <c r="CH727">
        <f>$C727*CH726</f>
        <v/>
      </c>
      <c r="CI727">
        <f>$C727*CI726</f>
        <v/>
      </c>
      <c r="CJ727">
        <f>$C727*CJ726</f>
        <v/>
      </c>
      <c r="CK727">
        <f>$C727*CK726</f>
        <v/>
      </c>
      <c r="CL727">
        <f>$C727*CL726</f>
        <v/>
      </c>
      <c r="CM727">
        <f>$C727*CM726</f>
        <v/>
      </c>
      <c r="CN727">
        <f>$C727*CN726</f>
        <v/>
      </c>
      <c r="CO727">
        <f>$C727*CO726</f>
        <v/>
      </c>
      <c r="CP727">
        <f>$C727*CP726</f>
        <v/>
      </c>
      <c r="CQ727">
        <f>$C727*CQ726</f>
        <v/>
      </c>
      <c r="CR727">
        <f>$C727*CR726</f>
        <v/>
      </c>
      <c r="CS727">
        <f>$C727*CS726</f>
        <v/>
      </c>
      <c r="CT727">
        <f>$C727*CT726</f>
        <v/>
      </c>
      <c r="CU727">
        <f>$C727*CU726</f>
        <v/>
      </c>
      <c r="CV727">
        <f>$C727*CV726</f>
        <v/>
      </c>
      <c r="CW727">
        <f>$C727*CW726</f>
        <v/>
      </c>
      <c r="CX727">
        <f>$C727*CX726</f>
        <v/>
      </c>
      <c r="CY727">
        <f>$C727*CY726</f>
        <v/>
      </c>
      <c r="CZ727">
        <f>$C727*CZ726</f>
        <v/>
      </c>
      <c r="DA727">
        <f>$C727*DA726</f>
        <v/>
      </c>
      <c r="DB727">
        <f>$C727*DB726</f>
        <v/>
      </c>
      <c r="DC727">
        <f>$C727*DC726</f>
        <v/>
      </c>
    </row>
    <row r="728">
      <c r="B728" t="inlineStr">
        <is>
          <t>TSP-404</t>
        </is>
      </c>
      <c r="C728" t="inlineStr">
        <is>
          <t>No. of batches</t>
        </is>
      </c>
      <c r="D728">
        <f>IFERROR(INDEX(PP_Grid[#Data],$DD728,2),0)</f>
        <v/>
      </c>
      <c r="E728">
        <f>IFERROR(INDEX(PP_Grid[#Data],$DD728,3),0)</f>
        <v/>
      </c>
      <c r="F728">
        <f>IFERROR(INDEX(PP_Grid[#Data],$DD728,4),0)</f>
        <v/>
      </c>
      <c r="G728">
        <f>IFERROR(INDEX(PP_Grid[#Data],$DD728,5),0)</f>
        <v/>
      </c>
      <c r="H728">
        <f>IFERROR(INDEX(PP_Grid[#Data],$DD728,6),0)</f>
        <v/>
      </c>
      <c r="I728">
        <f>IFERROR(INDEX(PP_Grid[#Data],$DD728,7),0)</f>
        <v/>
      </c>
      <c r="J728">
        <f>IFERROR(INDEX(PP_Grid[#Data],$DD728,8),0)</f>
        <v/>
      </c>
      <c r="K728">
        <f>IFERROR(INDEX(PP_Grid[#Data],$DD728,9),0)</f>
        <v/>
      </c>
      <c r="L728">
        <f>IFERROR(INDEX(PP_Grid[#Data],$DD728,10),0)</f>
        <v/>
      </c>
      <c r="M728">
        <f>IFERROR(INDEX(PP_Grid[#Data],$DD728,11),0)</f>
        <v/>
      </c>
      <c r="N728">
        <f>IFERROR(INDEX(PP_Grid[#Data],$DD728,12),0)</f>
        <v/>
      </c>
      <c r="O728">
        <f>IFERROR(INDEX(PP_Grid[#Data],$DD728,13),0)</f>
        <v/>
      </c>
      <c r="P728">
        <f>IFERROR(INDEX(PP_Grid[#Data],$DD728,14),0)</f>
        <v/>
      </c>
      <c r="Q728">
        <f>IFERROR(INDEX(PP_Grid[#Data],$DD728,15),0)</f>
        <v/>
      </c>
      <c r="R728">
        <f>IFERROR(INDEX(PP_Grid[#Data],$DD728,16),0)</f>
        <v/>
      </c>
      <c r="S728">
        <f>IFERROR(INDEX(PP_Grid[#Data],$DD728,17),0)</f>
        <v/>
      </c>
      <c r="T728">
        <f>IFERROR(INDEX(PP_Grid[#Data],$DD728,18),0)</f>
        <v/>
      </c>
      <c r="U728">
        <f>IFERROR(INDEX(PP_Grid[#Data],$DD728,19),0)</f>
        <v/>
      </c>
      <c r="V728">
        <f>IFERROR(INDEX(PP_Grid[#Data],$DD728,20),0)</f>
        <v/>
      </c>
      <c r="W728">
        <f>IFERROR(INDEX(PP_Grid[#Data],$DD728,21),0)</f>
        <v/>
      </c>
      <c r="X728">
        <f>IFERROR(INDEX(PP_Grid[#Data],$DD728,22),0)</f>
        <v/>
      </c>
      <c r="Y728">
        <f>IFERROR(INDEX(PP_Grid[#Data],$DD728,23),0)</f>
        <v/>
      </c>
      <c r="Z728">
        <f>IFERROR(INDEX(PP_Grid[#Data],$DD728,24),0)</f>
        <v/>
      </c>
      <c r="AA728">
        <f>IFERROR(INDEX(PP_Grid[#Data],$DD728,25),0)</f>
        <v/>
      </c>
      <c r="AB728">
        <f>IFERROR(INDEX(PP_Grid[#Data],$DD728,26),0)</f>
        <v/>
      </c>
      <c r="AC728">
        <f>IFERROR(INDEX(PP_Grid[#Data],$DD728,27),0)</f>
        <v/>
      </c>
      <c r="AD728">
        <f>IFERROR(INDEX(PP_Grid[#Data],$DD728,28),0)</f>
        <v/>
      </c>
      <c r="AE728">
        <f>IFERROR(INDEX(PP_Grid[#Data],$DD728,29),0)</f>
        <v/>
      </c>
      <c r="AF728">
        <f>IFERROR(INDEX(PP_Grid[#Data],$DD728,30),0)</f>
        <v/>
      </c>
      <c r="AG728">
        <f>IFERROR(INDEX(PP_Grid[#Data],$DD728,31),0)</f>
        <v/>
      </c>
      <c r="AH728">
        <f>IFERROR(INDEX(PP_Grid[#Data],$DD728,32),0)</f>
        <v/>
      </c>
      <c r="AI728">
        <f>IFERROR(INDEX(PP_Grid[#Data],$DD728,33),0)</f>
        <v/>
      </c>
      <c r="AJ728">
        <f>IFERROR(INDEX(PP_Grid[#Data],$DD728,34),0)</f>
        <v/>
      </c>
      <c r="AK728">
        <f>IFERROR(INDEX(PP_Grid[#Data],$DD728,35),0)</f>
        <v/>
      </c>
      <c r="AL728">
        <f>IFERROR(INDEX(PP_Grid[#Data],$DD728,36),0)</f>
        <v/>
      </c>
      <c r="AM728">
        <f>IFERROR(INDEX(PP_Grid[#Data],$DD728,37),0)</f>
        <v/>
      </c>
      <c r="AN728">
        <f>IFERROR(INDEX(PP_Grid[#Data],$DD728,38),0)</f>
        <v/>
      </c>
      <c r="AO728">
        <f>IFERROR(INDEX(PP_Grid[#Data],$DD728,39),0)</f>
        <v/>
      </c>
      <c r="AP728">
        <f>IFERROR(INDEX(PP_Grid[#Data],$DD728,40),0)</f>
        <v/>
      </c>
      <c r="AQ728">
        <f>IFERROR(INDEX(PP_Grid[#Data],$DD728,41),0)</f>
        <v/>
      </c>
      <c r="AR728">
        <f>IFERROR(INDEX(PP_Grid[#Data],$DD728,42),0)</f>
        <v/>
      </c>
      <c r="AS728">
        <f>IFERROR(INDEX(PP_Grid[#Data],$DD728,43),0)</f>
        <v/>
      </c>
      <c r="AT728">
        <f>IFERROR(INDEX(PP_Grid[#Data],$DD728,44),0)</f>
        <v/>
      </c>
      <c r="AU728">
        <f>IFERROR(INDEX(PP_Grid[#Data],$DD728,45),0)</f>
        <v/>
      </c>
      <c r="AV728">
        <f>IFERROR(INDEX(PP_Grid[#Data],$DD728,46),0)</f>
        <v/>
      </c>
      <c r="AW728">
        <f>IFERROR(INDEX(PP_Grid[#Data],$DD728,47),0)</f>
        <v/>
      </c>
      <c r="AX728">
        <f>IFERROR(INDEX(PP_Grid[#Data],$DD728,48),0)</f>
        <v/>
      </c>
      <c r="AY728">
        <f>IFERROR(INDEX(PP_Grid[#Data],$DD728,49),0)</f>
        <v/>
      </c>
      <c r="AZ728">
        <f>IFERROR(INDEX(PP_Grid[#Data],$DD728,50),0)</f>
        <v/>
      </c>
      <c r="BA728">
        <f>IFERROR(INDEX(PP_Grid[#Data],$DD728,51),0)</f>
        <v/>
      </c>
      <c r="BB728">
        <f>IFERROR(INDEX(PP_Grid[#Data],$DD728,52),0)</f>
        <v/>
      </c>
      <c r="BC728">
        <f>IFERROR(INDEX(PP_Grid[#Data],$DD728,53),0)</f>
        <v/>
      </c>
      <c r="BD728">
        <f>IFERROR(INDEX(PP_Grid[#Data],$DD728,54),0)</f>
        <v/>
      </c>
      <c r="BE728">
        <f>IFERROR(INDEX(PP_Grid[#Data],$DD728,55),0)</f>
        <v/>
      </c>
      <c r="BF728">
        <f>IFERROR(INDEX(PP_Grid[#Data],$DD728,56),0)</f>
        <v/>
      </c>
      <c r="BG728">
        <f>IFERROR(INDEX(PP_Grid[#Data],$DD728,57),0)</f>
        <v/>
      </c>
      <c r="BH728">
        <f>IFERROR(INDEX(PP_Grid[#Data],$DD728,58),0)</f>
        <v/>
      </c>
      <c r="BI728">
        <f>IFERROR(INDEX(PP_Grid[#Data],$DD728,59),0)</f>
        <v/>
      </c>
      <c r="BJ728">
        <f>IFERROR(INDEX(PP_Grid[#Data],$DD728,60),0)</f>
        <v/>
      </c>
      <c r="BK728">
        <f>IFERROR(INDEX(PP_Grid[#Data],$DD728,61),0)</f>
        <v/>
      </c>
      <c r="BL728">
        <f>IFERROR(INDEX(PP_Grid[#Data],$DD728,62),0)</f>
        <v/>
      </c>
      <c r="BM728">
        <f>IFERROR(INDEX(PP_Grid[#Data],$DD728,63),0)</f>
        <v/>
      </c>
      <c r="BN728">
        <f>IFERROR(INDEX(PP_Grid[#Data],$DD728,64),0)</f>
        <v/>
      </c>
      <c r="BO728">
        <f>IFERROR(INDEX(PP_Grid[#Data],$DD728,65),0)</f>
        <v/>
      </c>
      <c r="BP728">
        <f>IFERROR(INDEX(PP_Grid[#Data],$DD728,66),0)</f>
        <v/>
      </c>
      <c r="BQ728">
        <f>IFERROR(INDEX(PP_Grid[#Data],$DD728,67),0)</f>
        <v/>
      </c>
      <c r="BR728">
        <f>IFERROR(INDEX(PP_Grid[#Data],$DD728,68),0)</f>
        <v/>
      </c>
      <c r="BS728">
        <f>IFERROR(INDEX(PP_Grid[#Data],$DD728,69),0)</f>
        <v/>
      </c>
      <c r="BT728">
        <f>IFERROR(INDEX(PP_Grid[#Data],$DD728,70),0)</f>
        <v/>
      </c>
      <c r="BU728">
        <f>IFERROR(INDEX(PP_Grid[#Data],$DD728,71),0)</f>
        <v/>
      </c>
      <c r="BV728">
        <f>IFERROR(INDEX(PP_Grid[#Data],$DD728,72),0)</f>
        <v/>
      </c>
      <c r="BW728">
        <f>IFERROR(INDEX(PP_Grid[#Data],$DD728,73),0)</f>
        <v/>
      </c>
      <c r="BX728">
        <f>IFERROR(INDEX(PP_Grid[#Data],$DD728,74),0)</f>
        <v/>
      </c>
      <c r="BY728">
        <f>IFERROR(INDEX(PP_Grid[#Data],$DD728,75),0)</f>
        <v/>
      </c>
      <c r="BZ728">
        <f>IFERROR(INDEX(PP_Grid[#Data],$DD728,76),0)</f>
        <v/>
      </c>
      <c r="CA728">
        <f>IFERROR(INDEX(PP_Grid[#Data],$DD728,77),0)</f>
        <v/>
      </c>
      <c r="CB728">
        <f>IFERROR(INDEX(PP_Grid[#Data],$DD728,78),0)</f>
        <v/>
      </c>
      <c r="CC728">
        <f>IFERROR(INDEX(PP_Grid[#Data],$DD728,79),0)</f>
        <v/>
      </c>
      <c r="CD728">
        <f>IFERROR(INDEX(PP_Grid[#Data],$DD728,80),0)</f>
        <v/>
      </c>
      <c r="CE728">
        <f>IFERROR(INDEX(PP_Grid[#Data],$DD728,81),0)</f>
        <v/>
      </c>
      <c r="CF728">
        <f>IFERROR(INDEX(PP_Grid[#Data],$DD728,82),0)</f>
        <v/>
      </c>
      <c r="CG728">
        <f>IFERROR(INDEX(PP_Grid[#Data],$DD728,83),0)</f>
        <v/>
      </c>
      <c r="CH728">
        <f>IFERROR(INDEX(PP_Grid[#Data],$DD728,84),0)</f>
        <v/>
      </c>
      <c r="CI728">
        <f>IFERROR(INDEX(PP_Grid[#Data],$DD728,85),0)</f>
        <v/>
      </c>
      <c r="CJ728">
        <f>IFERROR(INDEX(PP_Grid[#Data],$DD728,86),0)</f>
        <v/>
      </c>
      <c r="CK728">
        <f>IFERROR(INDEX(PP_Grid[#Data],$DD728,87),0)</f>
        <v/>
      </c>
      <c r="CL728">
        <f>IFERROR(INDEX(PP_Grid[#Data],$DD728,88),0)</f>
        <v/>
      </c>
      <c r="CM728">
        <f>IFERROR(INDEX(PP_Grid[#Data],$DD728,89),0)</f>
        <v/>
      </c>
      <c r="CN728">
        <f>IFERROR(INDEX(PP_Grid[#Data],$DD728,90),0)</f>
        <v/>
      </c>
      <c r="CO728">
        <f>IFERROR(INDEX(PP_Grid[#Data],$DD728,91),0)</f>
        <v/>
      </c>
      <c r="CP728">
        <f>IFERROR(INDEX(PP_Grid[#Data],$DD728,92),0)</f>
        <v/>
      </c>
      <c r="CQ728">
        <f>IFERROR(INDEX(PP_Grid[#Data],$DD728,93),0)</f>
        <v/>
      </c>
      <c r="CR728">
        <f>IFERROR(INDEX(PP_Grid[#Data],$DD728,94),0)</f>
        <v/>
      </c>
      <c r="CS728">
        <f>IFERROR(INDEX(PP_Grid[#Data],$DD728,95),0)</f>
        <v/>
      </c>
      <c r="CT728">
        <f>IFERROR(INDEX(PP_Grid[#Data],$DD728,96),0)</f>
        <v/>
      </c>
      <c r="CU728">
        <f>IFERROR(INDEX(PP_Grid[#Data],$DD728,97),0)</f>
        <v/>
      </c>
      <c r="CV728">
        <f>IFERROR(INDEX(PP_Grid[#Data],$DD728,98),0)</f>
        <v/>
      </c>
      <c r="CW728">
        <f>IFERROR(INDEX(PP_Grid[#Data],$DD728,99),0)</f>
        <v/>
      </c>
      <c r="CX728">
        <f>IFERROR(INDEX(PP_Grid[#Data],$DD728,100),0)</f>
        <v/>
      </c>
      <c r="CY728">
        <f>IFERROR(INDEX(PP_Grid[#Data],$DD728,101),0)</f>
        <v/>
      </c>
      <c r="CZ728">
        <f>IFERROR(INDEX(PP_Grid[#Data],$DD728,102),0)</f>
        <v/>
      </c>
      <c r="DA728">
        <f>IFERROR(INDEX(PP_Grid[#Data],$DD728,103),0)</f>
        <v/>
      </c>
      <c r="DB728">
        <f>IFERROR(INDEX(PP_Grid[#Data],$DD728,104),0)</f>
        <v/>
      </c>
      <c r="DC728">
        <f>IFERROR(INDEX(PP_Grid[#Data],$DD728,105),0)</f>
        <v/>
      </c>
      <c r="DD728" s="7">
        <f>IFERROR(MATCH($B728,PP_Grid[Intermediate],0),99999)</f>
        <v/>
      </c>
    </row>
    <row r="729">
      <c r="B729" t="inlineStr">
        <is>
          <t>使用量(kg)</t>
        </is>
      </c>
      <c r="C729">
        <f>SUMIFS(M_BOM[RM_Qty_Per_Batch],M_BOM[Intermediate],$B728,M_BOM[Part Name],$A723)</f>
        <v/>
      </c>
      <c r="D729">
        <f>$C729*D728</f>
        <v/>
      </c>
      <c r="E729">
        <f>$C729*E728</f>
        <v/>
      </c>
      <c r="F729">
        <f>$C729*F728</f>
        <v/>
      </c>
      <c r="G729">
        <f>$C729*G728</f>
        <v/>
      </c>
      <c r="H729">
        <f>$C729*H728</f>
        <v/>
      </c>
      <c r="I729">
        <f>$C729*I728</f>
        <v/>
      </c>
      <c r="J729">
        <f>$C729*J728</f>
        <v/>
      </c>
      <c r="K729">
        <f>$C729*K728</f>
        <v/>
      </c>
      <c r="L729">
        <f>$C729*L728</f>
        <v/>
      </c>
      <c r="M729">
        <f>$C729*M728</f>
        <v/>
      </c>
      <c r="N729">
        <f>$C729*N728</f>
        <v/>
      </c>
      <c r="O729">
        <f>$C729*O728</f>
        <v/>
      </c>
      <c r="P729">
        <f>$C729*P728</f>
        <v/>
      </c>
      <c r="Q729">
        <f>$C729*Q728</f>
        <v/>
      </c>
      <c r="R729">
        <f>$C729*R728</f>
        <v/>
      </c>
      <c r="S729">
        <f>$C729*S728</f>
        <v/>
      </c>
      <c r="T729">
        <f>$C729*T728</f>
        <v/>
      </c>
      <c r="U729">
        <f>$C729*U728</f>
        <v/>
      </c>
      <c r="V729">
        <f>$C729*V728</f>
        <v/>
      </c>
      <c r="W729">
        <f>$C729*W728</f>
        <v/>
      </c>
      <c r="X729">
        <f>$C729*X728</f>
        <v/>
      </c>
      <c r="Y729">
        <f>$C729*Y728</f>
        <v/>
      </c>
      <c r="Z729">
        <f>$C729*Z728</f>
        <v/>
      </c>
      <c r="AA729">
        <f>$C729*AA728</f>
        <v/>
      </c>
      <c r="AB729">
        <f>$C729*AB728</f>
        <v/>
      </c>
      <c r="AC729">
        <f>$C729*AC728</f>
        <v/>
      </c>
      <c r="AD729">
        <f>$C729*AD728</f>
        <v/>
      </c>
      <c r="AE729">
        <f>$C729*AE728</f>
        <v/>
      </c>
      <c r="AF729">
        <f>$C729*AF728</f>
        <v/>
      </c>
      <c r="AG729">
        <f>$C729*AG728</f>
        <v/>
      </c>
      <c r="AH729">
        <f>$C729*AH728</f>
        <v/>
      </c>
      <c r="AI729">
        <f>$C729*AI728</f>
        <v/>
      </c>
      <c r="AJ729">
        <f>$C729*AJ728</f>
        <v/>
      </c>
      <c r="AK729">
        <f>$C729*AK728</f>
        <v/>
      </c>
      <c r="AL729">
        <f>$C729*AL728</f>
        <v/>
      </c>
      <c r="AM729">
        <f>$C729*AM728</f>
        <v/>
      </c>
      <c r="AN729">
        <f>$C729*AN728</f>
        <v/>
      </c>
      <c r="AO729">
        <f>$C729*AO728</f>
        <v/>
      </c>
      <c r="AP729">
        <f>$C729*AP728</f>
        <v/>
      </c>
      <c r="AQ729">
        <f>$C729*AQ728</f>
        <v/>
      </c>
      <c r="AR729">
        <f>$C729*AR728</f>
        <v/>
      </c>
      <c r="AS729">
        <f>$C729*AS728</f>
        <v/>
      </c>
      <c r="AT729">
        <f>$C729*AT728</f>
        <v/>
      </c>
      <c r="AU729">
        <f>$C729*AU728</f>
        <v/>
      </c>
      <c r="AV729">
        <f>$C729*AV728</f>
        <v/>
      </c>
      <c r="AW729">
        <f>$C729*AW728</f>
        <v/>
      </c>
      <c r="AX729">
        <f>$C729*AX728</f>
        <v/>
      </c>
      <c r="AY729">
        <f>$C729*AY728</f>
        <v/>
      </c>
      <c r="AZ729">
        <f>$C729*AZ728</f>
        <v/>
      </c>
      <c r="BA729">
        <f>$C729*BA728</f>
        <v/>
      </c>
      <c r="BB729">
        <f>$C729*BB728</f>
        <v/>
      </c>
      <c r="BC729">
        <f>$C729*BC728</f>
        <v/>
      </c>
      <c r="BD729">
        <f>$C729*BD728</f>
        <v/>
      </c>
      <c r="BE729">
        <f>$C729*BE728</f>
        <v/>
      </c>
      <c r="BF729">
        <f>$C729*BF728</f>
        <v/>
      </c>
      <c r="BG729">
        <f>$C729*BG728</f>
        <v/>
      </c>
      <c r="BH729">
        <f>$C729*BH728</f>
        <v/>
      </c>
      <c r="BI729">
        <f>$C729*BI728</f>
        <v/>
      </c>
      <c r="BJ729">
        <f>$C729*BJ728</f>
        <v/>
      </c>
      <c r="BK729">
        <f>$C729*BK728</f>
        <v/>
      </c>
      <c r="BL729">
        <f>$C729*BL728</f>
        <v/>
      </c>
      <c r="BM729">
        <f>$C729*BM728</f>
        <v/>
      </c>
      <c r="BN729">
        <f>$C729*BN728</f>
        <v/>
      </c>
      <c r="BO729">
        <f>$C729*BO728</f>
        <v/>
      </c>
      <c r="BP729">
        <f>$C729*BP728</f>
        <v/>
      </c>
      <c r="BQ729">
        <f>$C729*BQ728</f>
        <v/>
      </c>
      <c r="BR729">
        <f>$C729*BR728</f>
        <v/>
      </c>
      <c r="BS729">
        <f>$C729*BS728</f>
        <v/>
      </c>
      <c r="BT729">
        <f>$C729*BT728</f>
        <v/>
      </c>
      <c r="BU729">
        <f>$C729*BU728</f>
        <v/>
      </c>
      <c r="BV729">
        <f>$C729*BV728</f>
        <v/>
      </c>
      <c r="BW729">
        <f>$C729*BW728</f>
        <v/>
      </c>
      <c r="BX729">
        <f>$C729*BX728</f>
        <v/>
      </c>
      <c r="BY729">
        <f>$C729*BY728</f>
        <v/>
      </c>
      <c r="BZ729">
        <f>$C729*BZ728</f>
        <v/>
      </c>
      <c r="CA729">
        <f>$C729*CA728</f>
        <v/>
      </c>
      <c r="CB729">
        <f>$C729*CB728</f>
        <v/>
      </c>
      <c r="CC729">
        <f>$C729*CC728</f>
        <v/>
      </c>
      <c r="CD729">
        <f>$C729*CD728</f>
        <v/>
      </c>
      <c r="CE729">
        <f>$C729*CE728</f>
        <v/>
      </c>
      <c r="CF729">
        <f>$C729*CF728</f>
        <v/>
      </c>
      <c r="CG729">
        <f>$C729*CG728</f>
        <v/>
      </c>
      <c r="CH729">
        <f>$C729*CH728</f>
        <v/>
      </c>
      <c r="CI729">
        <f>$C729*CI728</f>
        <v/>
      </c>
      <c r="CJ729">
        <f>$C729*CJ728</f>
        <v/>
      </c>
      <c r="CK729">
        <f>$C729*CK728</f>
        <v/>
      </c>
      <c r="CL729">
        <f>$C729*CL728</f>
        <v/>
      </c>
      <c r="CM729">
        <f>$C729*CM728</f>
        <v/>
      </c>
      <c r="CN729">
        <f>$C729*CN728</f>
        <v/>
      </c>
      <c r="CO729">
        <f>$C729*CO728</f>
        <v/>
      </c>
      <c r="CP729">
        <f>$C729*CP728</f>
        <v/>
      </c>
      <c r="CQ729">
        <f>$C729*CQ728</f>
        <v/>
      </c>
      <c r="CR729">
        <f>$C729*CR728</f>
        <v/>
      </c>
      <c r="CS729">
        <f>$C729*CS728</f>
        <v/>
      </c>
      <c r="CT729">
        <f>$C729*CT728</f>
        <v/>
      </c>
      <c r="CU729">
        <f>$C729*CU728</f>
        <v/>
      </c>
      <c r="CV729">
        <f>$C729*CV728</f>
        <v/>
      </c>
      <c r="CW729">
        <f>$C729*CW728</f>
        <v/>
      </c>
      <c r="CX729">
        <f>$C729*CX728</f>
        <v/>
      </c>
      <c r="CY729">
        <f>$C729*CY728</f>
        <v/>
      </c>
      <c r="CZ729">
        <f>$C729*CZ728</f>
        <v/>
      </c>
      <c r="DA729">
        <f>$C729*DA728</f>
        <v/>
      </c>
      <c r="DB729">
        <f>$C729*DB728</f>
        <v/>
      </c>
      <c r="DC729">
        <f>$C729*DC728</f>
        <v/>
      </c>
    </row>
    <row r="730">
      <c r="B730" t="inlineStr">
        <is>
          <t>TSP-405</t>
        </is>
      </c>
      <c r="C730" t="inlineStr">
        <is>
          <t>No. of batches</t>
        </is>
      </c>
      <c r="D730">
        <f>IFERROR(INDEX(PP_Grid[#Data],$DD730,2),0)</f>
        <v/>
      </c>
      <c r="E730">
        <f>IFERROR(INDEX(PP_Grid[#Data],$DD730,3),0)</f>
        <v/>
      </c>
      <c r="F730">
        <f>IFERROR(INDEX(PP_Grid[#Data],$DD730,4),0)</f>
        <v/>
      </c>
      <c r="G730">
        <f>IFERROR(INDEX(PP_Grid[#Data],$DD730,5),0)</f>
        <v/>
      </c>
      <c r="H730">
        <f>IFERROR(INDEX(PP_Grid[#Data],$DD730,6),0)</f>
        <v/>
      </c>
      <c r="I730">
        <f>IFERROR(INDEX(PP_Grid[#Data],$DD730,7),0)</f>
        <v/>
      </c>
      <c r="J730">
        <f>IFERROR(INDEX(PP_Grid[#Data],$DD730,8),0)</f>
        <v/>
      </c>
      <c r="K730">
        <f>IFERROR(INDEX(PP_Grid[#Data],$DD730,9),0)</f>
        <v/>
      </c>
      <c r="L730">
        <f>IFERROR(INDEX(PP_Grid[#Data],$DD730,10),0)</f>
        <v/>
      </c>
      <c r="M730">
        <f>IFERROR(INDEX(PP_Grid[#Data],$DD730,11),0)</f>
        <v/>
      </c>
      <c r="N730">
        <f>IFERROR(INDEX(PP_Grid[#Data],$DD730,12),0)</f>
        <v/>
      </c>
      <c r="O730">
        <f>IFERROR(INDEX(PP_Grid[#Data],$DD730,13),0)</f>
        <v/>
      </c>
      <c r="P730">
        <f>IFERROR(INDEX(PP_Grid[#Data],$DD730,14),0)</f>
        <v/>
      </c>
      <c r="Q730">
        <f>IFERROR(INDEX(PP_Grid[#Data],$DD730,15),0)</f>
        <v/>
      </c>
      <c r="R730">
        <f>IFERROR(INDEX(PP_Grid[#Data],$DD730,16),0)</f>
        <v/>
      </c>
      <c r="S730">
        <f>IFERROR(INDEX(PP_Grid[#Data],$DD730,17),0)</f>
        <v/>
      </c>
      <c r="T730">
        <f>IFERROR(INDEX(PP_Grid[#Data],$DD730,18),0)</f>
        <v/>
      </c>
      <c r="U730">
        <f>IFERROR(INDEX(PP_Grid[#Data],$DD730,19),0)</f>
        <v/>
      </c>
      <c r="V730">
        <f>IFERROR(INDEX(PP_Grid[#Data],$DD730,20),0)</f>
        <v/>
      </c>
      <c r="W730">
        <f>IFERROR(INDEX(PP_Grid[#Data],$DD730,21),0)</f>
        <v/>
      </c>
      <c r="X730">
        <f>IFERROR(INDEX(PP_Grid[#Data],$DD730,22),0)</f>
        <v/>
      </c>
      <c r="Y730">
        <f>IFERROR(INDEX(PP_Grid[#Data],$DD730,23),0)</f>
        <v/>
      </c>
      <c r="Z730">
        <f>IFERROR(INDEX(PP_Grid[#Data],$DD730,24),0)</f>
        <v/>
      </c>
      <c r="AA730">
        <f>IFERROR(INDEX(PP_Grid[#Data],$DD730,25),0)</f>
        <v/>
      </c>
      <c r="AB730">
        <f>IFERROR(INDEX(PP_Grid[#Data],$DD730,26),0)</f>
        <v/>
      </c>
      <c r="AC730">
        <f>IFERROR(INDEX(PP_Grid[#Data],$DD730,27),0)</f>
        <v/>
      </c>
      <c r="AD730">
        <f>IFERROR(INDEX(PP_Grid[#Data],$DD730,28),0)</f>
        <v/>
      </c>
      <c r="AE730">
        <f>IFERROR(INDEX(PP_Grid[#Data],$DD730,29),0)</f>
        <v/>
      </c>
      <c r="AF730">
        <f>IFERROR(INDEX(PP_Grid[#Data],$DD730,30),0)</f>
        <v/>
      </c>
      <c r="AG730">
        <f>IFERROR(INDEX(PP_Grid[#Data],$DD730,31),0)</f>
        <v/>
      </c>
      <c r="AH730">
        <f>IFERROR(INDEX(PP_Grid[#Data],$DD730,32),0)</f>
        <v/>
      </c>
      <c r="AI730">
        <f>IFERROR(INDEX(PP_Grid[#Data],$DD730,33),0)</f>
        <v/>
      </c>
      <c r="AJ730">
        <f>IFERROR(INDEX(PP_Grid[#Data],$DD730,34),0)</f>
        <v/>
      </c>
      <c r="AK730">
        <f>IFERROR(INDEX(PP_Grid[#Data],$DD730,35),0)</f>
        <v/>
      </c>
      <c r="AL730">
        <f>IFERROR(INDEX(PP_Grid[#Data],$DD730,36),0)</f>
        <v/>
      </c>
      <c r="AM730">
        <f>IFERROR(INDEX(PP_Grid[#Data],$DD730,37),0)</f>
        <v/>
      </c>
      <c r="AN730">
        <f>IFERROR(INDEX(PP_Grid[#Data],$DD730,38),0)</f>
        <v/>
      </c>
      <c r="AO730">
        <f>IFERROR(INDEX(PP_Grid[#Data],$DD730,39),0)</f>
        <v/>
      </c>
      <c r="AP730">
        <f>IFERROR(INDEX(PP_Grid[#Data],$DD730,40),0)</f>
        <v/>
      </c>
      <c r="AQ730">
        <f>IFERROR(INDEX(PP_Grid[#Data],$DD730,41),0)</f>
        <v/>
      </c>
      <c r="AR730">
        <f>IFERROR(INDEX(PP_Grid[#Data],$DD730,42),0)</f>
        <v/>
      </c>
      <c r="AS730">
        <f>IFERROR(INDEX(PP_Grid[#Data],$DD730,43),0)</f>
        <v/>
      </c>
      <c r="AT730">
        <f>IFERROR(INDEX(PP_Grid[#Data],$DD730,44),0)</f>
        <v/>
      </c>
      <c r="AU730">
        <f>IFERROR(INDEX(PP_Grid[#Data],$DD730,45),0)</f>
        <v/>
      </c>
      <c r="AV730">
        <f>IFERROR(INDEX(PP_Grid[#Data],$DD730,46),0)</f>
        <v/>
      </c>
      <c r="AW730">
        <f>IFERROR(INDEX(PP_Grid[#Data],$DD730,47),0)</f>
        <v/>
      </c>
      <c r="AX730">
        <f>IFERROR(INDEX(PP_Grid[#Data],$DD730,48),0)</f>
        <v/>
      </c>
      <c r="AY730">
        <f>IFERROR(INDEX(PP_Grid[#Data],$DD730,49),0)</f>
        <v/>
      </c>
      <c r="AZ730">
        <f>IFERROR(INDEX(PP_Grid[#Data],$DD730,50),0)</f>
        <v/>
      </c>
      <c r="BA730">
        <f>IFERROR(INDEX(PP_Grid[#Data],$DD730,51),0)</f>
        <v/>
      </c>
      <c r="BB730">
        <f>IFERROR(INDEX(PP_Grid[#Data],$DD730,52),0)</f>
        <v/>
      </c>
      <c r="BC730">
        <f>IFERROR(INDEX(PP_Grid[#Data],$DD730,53),0)</f>
        <v/>
      </c>
      <c r="BD730">
        <f>IFERROR(INDEX(PP_Grid[#Data],$DD730,54),0)</f>
        <v/>
      </c>
      <c r="BE730">
        <f>IFERROR(INDEX(PP_Grid[#Data],$DD730,55),0)</f>
        <v/>
      </c>
      <c r="BF730">
        <f>IFERROR(INDEX(PP_Grid[#Data],$DD730,56),0)</f>
        <v/>
      </c>
      <c r="BG730">
        <f>IFERROR(INDEX(PP_Grid[#Data],$DD730,57),0)</f>
        <v/>
      </c>
      <c r="BH730">
        <f>IFERROR(INDEX(PP_Grid[#Data],$DD730,58),0)</f>
        <v/>
      </c>
      <c r="BI730">
        <f>IFERROR(INDEX(PP_Grid[#Data],$DD730,59),0)</f>
        <v/>
      </c>
      <c r="BJ730">
        <f>IFERROR(INDEX(PP_Grid[#Data],$DD730,60),0)</f>
        <v/>
      </c>
      <c r="BK730">
        <f>IFERROR(INDEX(PP_Grid[#Data],$DD730,61),0)</f>
        <v/>
      </c>
      <c r="BL730">
        <f>IFERROR(INDEX(PP_Grid[#Data],$DD730,62),0)</f>
        <v/>
      </c>
      <c r="BM730">
        <f>IFERROR(INDEX(PP_Grid[#Data],$DD730,63),0)</f>
        <v/>
      </c>
      <c r="BN730">
        <f>IFERROR(INDEX(PP_Grid[#Data],$DD730,64),0)</f>
        <v/>
      </c>
      <c r="BO730">
        <f>IFERROR(INDEX(PP_Grid[#Data],$DD730,65),0)</f>
        <v/>
      </c>
      <c r="BP730">
        <f>IFERROR(INDEX(PP_Grid[#Data],$DD730,66),0)</f>
        <v/>
      </c>
      <c r="BQ730">
        <f>IFERROR(INDEX(PP_Grid[#Data],$DD730,67),0)</f>
        <v/>
      </c>
      <c r="BR730">
        <f>IFERROR(INDEX(PP_Grid[#Data],$DD730,68),0)</f>
        <v/>
      </c>
      <c r="BS730">
        <f>IFERROR(INDEX(PP_Grid[#Data],$DD730,69),0)</f>
        <v/>
      </c>
      <c r="BT730">
        <f>IFERROR(INDEX(PP_Grid[#Data],$DD730,70),0)</f>
        <v/>
      </c>
      <c r="BU730">
        <f>IFERROR(INDEX(PP_Grid[#Data],$DD730,71),0)</f>
        <v/>
      </c>
      <c r="BV730">
        <f>IFERROR(INDEX(PP_Grid[#Data],$DD730,72),0)</f>
        <v/>
      </c>
      <c r="BW730">
        <f>IFERROR(INDEX(PP_Grid[#Data],$DD730,73),0)</f>
        <v/>
      </c>
      <c r="BX730">
        <f>IFERROR(INDEX(PP_Grid[#Data],$DD730,74),0)</f>
        <v/>
      </c>
      <c r="BY730">
        <f>IFERROR(INDEX(PP_Grid[#Data],$DD730,75),0)</f>
        <v/>
      </c>
      <c r="BZ730">
        <f>IFERROR(INDEX(PP_Grid[#Data],$DD730,76),0)</f>
        <v/>
      </c>
      <c r="CA730">
        <f>IFERROR(INDEX(PP_Grid[#Data],$DD730,77),0)</f>
        <v/>
      </c>
      <c r="CB730">
        <f>IFERROR(INDEX(PP_Grid[#Data],$DD730,78),0)</f>
        <v/>
      </c>
      <c r="CC730">
        <f>IFERROR(INDEX(PP_Grid[#Data],$DD730,79),0)</f>
        <v/>
      </c>
      <c r="CD730">
        <f>IFERROR(INDEX(PP_Grid[#Data],$DD730,80),0)</f>
        <v/>
      </c>
      <c r="CE730">
        <f>IFERROR(INDEX(PP_Grid[#Data],$DD730,81),0)</f>
        <v/>
      </c>
      <c r="CF730">
        <f>IFERROR(INDEX(PP_Grid[#Data],$DD730,82),0)</f>
        <v/>
      </c>
      <c r="CG730">
        <f>IFERROR(INDEX(PP_Grid[#Data],$DD730,83),0)</f>
        <v/>
      </c>
      <c r="CH730">
        <f>IFERROR(INDEX(PP_Grid[#Data],$DD730,84),0)</f>
        <v/>
      </c>
      <c r="CI730">
        <f>IFERROR(INDEX(PP_Grid[#Data],$DD730,85),0)</f>
        <v/>
      </c>
      <c r="CJ730">
        <f>IFERROR(INDEX(PP_Grid[#Data],$DD730,86),0)</f>
        <v/>
      </c>
      <c r="CK730">
        <f>IFERROR(INDEX(PP_Grid[#Data],$DD730,87),0)</f>
        <v/>
      </c>
      <c r="CL730">
        <f>IFERROR(INDEX(PP_Grid[#Data],$DD730,88),0)</f>
        <v/>
      </c>
      <c r="CM730">
        <f>IFERROR(INDEX(PP_Grid[#Data],$DD730,89),0)</f>
        <v/>
      </c>
      <c r="CN730">
        <f>IFERROR(INDEX(PP_Grid[#Data],$DD730,90),0)</f>
        <v/>
      </c>
      <c r="CO730">
        <f>IFERROR(INDEX(PP_Grid[#Data],$DD730,91),0)</f>
        <v/>
      </c>
      <c r="CP730">
        <f>IFERROR(INDEX(PP_Grid[#Data],$DD730,92),0)</f>
        <v/>
      </c>
      <c r="CQ730">
        <f>IFERROR(INDEX(PP_Grid[#Data],$DD730,93),0)</f>
        <v/>
      </c>
      <c r="CR730">
        <f>IFERROR(INDEX(PP_Grid[#Data],$DD730,94),0)</f>
        <v/>
      </c>
      <c r="CS730">
        <f>IFERROR(INDEX(PP_Grid[#Data],$DD730,95),0)</f>
        <v/>
      </c>
      <c r="CT730">
        <f>IFERROR(INDEX(PP_Grid[#Data],$DD730,96),0)</f>
        <v/>
      </c>
      <c r="CU730">
        <f>IFERROR(INDEX(PP_Grid[#Data],$DD730,97),0)</f>
        <v/>
      </c>
      <c r="CV730">
        <f>IFERROR(INDEX(PP_Grid[#Data],$DD730,98),0)</f>
        <v/>
      </c>
      <c r="CW730">
        <f>IFERROR(INDEX(PP_Grid[#Data],$DD730,99),0)</f>
        <v/>
      </c>
      <c r="CX730">
        <f>IFERROR(INDEX(PP_Grid[#Data],$DD730,100),0)</f>
        <v/>
      </c>
      <c r="CY730">
        <f>IFERROR(INDEX(PP_Grid[#Data],$DD730,101),0)</f>
        <v/>
      </c>
      <c r="CZ730">
        <f>IFERROR(INDEX(PP_Grid[#Data],$DD730,102),0)</f>
        <v/>
      </c>
      <c r="DA730">
        <f>IFERROR(INDEX(PP_Grid[#Data],$DD730,103),0)</f>
        <v/>
      </c>
      <c r="DB730">
        <f>IFERROR(INDEX(PP_Grid[#Data],$DD730,104),0)</f>
        <v/>
      </c>
      <c r="DC730">
        <f>IFERROR(INDEX(PP_Grid[#Data],$DD730,105),0)</f>
        <v/>
      </c>
      <c r="DD730" s="7">
        <f>IFERROR(MATCH($B730,PP_Grid[Intermediate],0),99999)</f>
        <v/>
      </c>
    </row>
    <row r="731">
      <c r="B731" t="inlineStr">
        <is>
          <t>使用量(kg)</t>
        </is>
      </c>
      <c r="C731">
        <f>SUMIFS(M_BOM[RM_Qty_Per_Batch],M_BOM[Intermediate],$B730,M_BOM[Part Name],$A723)</f>
        <v/>
      </c>
      <c r="D731">
        <f>$C731*D730</f>
        <v/>
      </c>
      <c r="E731">
        <f>$C731*E730</f>
        <v/>
      </c>
      <c r="F731">
        <f>$C731*F730</f>
        <v/>
      </c>
      <c r="G731">
        <f>$C731*G730</f>
        <v/>
      </c>
      <c r="H731">
        <f>$C731*H730</f>
        <v/>
      </c>
      <c r="I731">
        <f>$C731*I730</f>
        <v/>
      </c>
      <c r="J731">
        <f>$C731*J730</f>
        <v/>
      </c>
      <c r="K731">
        <f>$C731*K730</f>
        <v/>
      </c>
      <c r="L731">
        <f>$C731*L730</f>
        <v/>
      </c>
      <c r="M731">
        <f>$C731*M730</f>
        <v/>
      </c>
      <c r="N731">
        <f>$C731*N730</f>
        <v/>
      </c>
      <c r="O731">
        <f>$C731*O730</f>
        <v/>
      </c>
      <c r="P731">
        <f>$C731*P730</f>
        <v/>
      </c>
      <c r="Q731">
        <f>$C731*Q730</f>
        <v/>
      </c>
      <c r="R731">
        <f>$C731*R730</f>
        <v/>
      </c>
      <c r="S731">
        <f>$C731*S730</f>
        <v/>
      </c>
      <c r="T731">
        <f>$C731*T730</f>
        <v/>
      </c>
      <c r="U731">
        <f>$C731*U730</f>
        <v/>
      </c>
      <c r="V731">
        <f>$C731*V730</f>
        <v/>
      </c>
      <c r="W731">
        <f>$C731*W730</f>
        <v/>
      </c>
      <c r="X731">
        <f>$C731*X730</f>
        <v/>
      </c>
      <c r="Y731">
        <f>$C731*Y730</f>
        <v/>
      </c>
      <c r="Z731">
        <f>$C731*Z730</f>
        <v/>
      </c>
      <c r="AA731">
        <f>$C731*AA730</f>
        <v/>
      </c>
      <c r="AB731">
        <f>$C731*AB730</f>
        <v/>
      </c>
      <c r="AC731">
        <f>$C731*AC730</f>
        <v/>
      </c>
      <c r="AD731">
        <f>$C731*AD730</f>
        <v/>
      </c>
      <c r="AE731">
        <f>$C731*AE730</f>
        <v/>
      </c>
      <c r="AF731">
        <f>$C731*AF730</f>
        <v/>
      </c>
      <c r="AG731">
        <f>$C731*AG730</f>
        <v/>
      </c>
      <c r="AH731">
        <f>$C731*AH730</f>
        <v/>
      </c>
      <c r="AI731">
        <f>$C731*AI730</f>
        <v/>
      </c>
      <c r="AJ731">
        <f>$C731*AJ730</f>
        <v/>
      </c>
      <c r="AK731">
        <f>$C731*AK730</f>
        <v/>
      </c>
      <c r="AL731">
        <f>$C731*AL730</f>
        <v/>
      </c>
      <c r="AM731">
        <f>$C731*AM730</f>
        <v/>
      </c>
      <c r="AN731">
        <f>$C731*AN730</f>
        <v/>
      </c>
      <c r="AO731">
        <f>$C731*AO730</f>
        <v/>
      </c>
      <c r="AP731">
        <f>$C731*AP730</f>
        <v/>
      </c>
      <c r="AQ731">
        <f>$C731*AQ730</f>
        <v/>
      </c>
      <c r="AR731">
        <f>$C731*AR730</f>
        <v/>
      </c>
      <c r="AS731">
        <f>$C731*AS730</f>
        <v/>
      </c>
      <c r="AT731">
        <f>$C731*AT730</f>
        <v/>
      </c>
      <c r="AU731">
        <f>$C731*AU730</f>
        <v/>
      </c>
      <c r="AV731">
        <f>$C731*AV730</f>
        <v/>
      </c>
      <c r="AW731">
        <f>$C731*AW730</f>
        <v/>
      </c>
      <c r="AX731">
        <f>$C731*AX730</f>
        <v/>
      </c>
      <c r="AY731">
        <f>$C731*AY730</f>
        <v/>
      </c>
      <c r="AZ731">
        <f>$C731*AZ730</f>
        <v/>
      </c>
      <c r="BA731">
        <f>$C731*BA730</f>
        <v/>
      </c>
      <c r="BB731">
        <f>$C731*BB730</f>
        <v/>
      </c>
      <c r="BC731">
        <f>$C731*BC730</f>
        <v/>
      </c>
      <c r="BD731">
        <f>$C731*BD730</f>
        <v/>
      </c>
      <c r="BE731">
        <f>$C731*BE730</f>
        <v/>
      </c>
      <c r="BF731">
        <f>$C731*BF730</f>
        <v/>
      </c>
      <c r="BG731">
        <f>$C731*BG730</f>
        <v/>
      </c>
      <c r="BH731">
        <f>$C731*BH730</f>
        <v/>
      </c>
      <c r="BI731">
        <f>$C731*BI730</f>
        <v/>
      </c>
      <c r="BJ731">
        <f>$C731*BJ730</f>
        <v/>
      </c>
      <c r="BK731">
        <f>$C731*BK730</f>
        <v/>
      </c>
      <c r="BL731">
        <f>$C731*BL730</f>
        <v/>
      </c>
      <c r="BM731">
        <f>$C731*BM730</f>
        <v/>
      </c>
      <c r="BN731">
        <f>$C731*BN730</f>
        <v/>
      </c>
      <c r="BO731">
        <f>$C731*BO730</f>
        <v/>
      </c>
      <c r="BP731">
        <f>$C731*BP730</f>
        <v/>
      </c>
      <c r="BQ731">
        <f>$C731*BQ730</f>
        <v/>
      </c>
      <c r="BR731">
        <f>$C731*BR730</f>
        <v/>
      </c>
      <c r="BS731">
        <f>$C731*BS730</f>
        <v/>
      </c>
      <c r="BT731">
        <f>$C731*BT730</f>
        <v/>
      </c>
      <c r="BU731">
        <f>$C731*BU730</f>
        <v/>
      </c>
      <c r="BV731">
        <f>$C731*BV730</f>
        <v/>
      </c>
      <c r="BW731">
        <f>$C731*BW730</f>
        <v/>
      </c>
      <c r="BX731">
        <f>$C731*BX730</f>
        <v/>
      </c>
      <c r="BY731">
        <f>$C731*BY730</f>
        <v/>
      </c>
      <c r="BZ731">
        <f>$C731*BZ730</f>
        <v/>
      </c>
      <c r="CA731">
        <f>$C731*CA730</f>
        <v/>
      </c>
      <c r="CB731">
        <f>$C731*CB730</f>
        <v/>
      </c>
      <c r="CC731">
        <f>$C731*CC730</f>
        <v/>
      </c>
      <c r="CD731">
        <f>$C731*CD730</f>
        <v/>
      </c>
      <c r="CE731">
        <f>$C731*CE730</f>
        <v/>
      </c>
      <c r="CF731">
        <f>$C731*CF730</f>
        <v/>
      </c>
      <c r="CG731">
        <f>$C731*CG730</f>
        <v/>
      </c>
      <c r="CH731">
        <f>$C731*CH730</f>
        <v/>
      </c>
      <c r="CI731">
        <f>$C731*CI730</f>
        <v/>
      </c>
      <c r="CJ731">
        <f>$C731*CJ730</f>
        <v/>
      </c>
      <c r="CK731">
        <f>$C731*CK730</f>
        <v/>
      </c>
      <c r="CL731">
        <f>$C731*CL730</f>
        <v/>
      </c>
      <c r="CM731">
        <f>$C731*CM730</f>
        <v/>
      </c>
      <c r="CN731">
        <f>$C731*CN730</f>
        <v/>
      </c>
      <c r="CO731">
        <f>$C731*CO730</f>
        <v/>
      </c>
      <c r="CP731">
        <f>$C731*CP730</f>
        <v/>
      </c>
      <c r="CQ731">
        <f>$C731*CQ730</f>
        <v/>
      </c>
      <c r="CR731">
        <f>$C731*CR730</f>
        <v/>
      </c>
      <c r="CS731">
        <f>$C731*CS730</f>
        <v/>
      </c>
      <c r="CT731">
        <f>$C731*CT730</f>
        <v/>
      </c>
      <c r="CU731">
        <f>$C731*CU730</f>
        <v/>
      </c>
      <c r="CV731">
        <f>$C731*CV730</f>
        <v/>
      </c>
      <c r="CW731">
        <f>$C731*CW730</f>
        <v/>
      </c>
      <c r="CX731">
        <f>$C731*CX730</f>
        <v/>
      </c>
      <c r="CY731">
        <f>$C731*CY730</f>
        <v/>
      </c>
      <c r="CZ731">
        <f>$C731*CZ730</f>
        <v/>
      </c>
      <c r="DA731">
        <f>$C731*DA730</f>
        <v/>
      </c>
      <c r="DB731">
        <f>$C731*DB730</f>
        <v/>
      </c>
      <c r="DC731">
        <f>$C731*DC730</f>
        <v/>
      </c>
    </row>
    <row r="732">
      <c r="B732" t="inlineStr">
        <is>
          <t>TSP-655</t>
        </is>
      </c>
      <c r="C732" t="inlineStr">
        <is>
          <t>No. of batches</t>
        </is>
      </c>
      <c r="D732">
        <f>IFERROR(INDEX(PP_Grid[#Data],$DD732,2),0)</f>
        <v/>
      </c>
      <c r="E732">
        <f>IFERROR(INDEX(PP_Grid[#Data],$DD732,3),0)</f>
        <v/>
      </c>
      <c r="F732">
        <f>IFERROR(INDEX(PP_Grid[#Data],$DD732,4),0)</f>
        <v/>
      </c>
      <c r="G732">
        <f>IFERROR(INDEX(PP_Grid[#Data],$DD732,5),0)</f>
        <v/>
      </c>
      <c r="H732">
        <f>IFERROR(INDEX(PP_Grid[#Data],$DD732,6),0)</f>
        <v/>
      </c>
      <c r="I732">
        <f>IFERROR(INDEX(PP_Grid[#Data],$DD732,7),0)</f>
        <v/>
      </c>
      <c r="J732">
        <f>IFERROR(INDEX(PP_Grid[#Data],$DD732,8),0)</f>
        <v/>
      </c>
      <c r="K732">
        <f>IFERROR(INDEX(PP_Grid[#Data],$DD732,9),0)</f>
        <v/>
      </c>
      <c r="L732">
        <f>IFERROR(INDEX(PP_Grid[#Data],$DD732,10),0)</f>
        <v/>
      </c>
      <c r="M732">
        <f>IFERROR(INDEX(PP_Grid[#Data],$DD732,11),0)</f>
        <v/>
      </c>
      <c r="N732">
        <f>IFERROR(INDEX(PP_Grid[#Data],$DD732,12),0)</f>
        <v/>
      </c>
      <c r="O732">
        <f>IFERROR(INDEX(PP_Grid[#Data],$DD732,13),0)</f>
        <v/>
      </c>
      <c r="P732">
        <f>IFERROR(INDEX(PP_Grid[#Data],$DD732,14),0)</f>
        <v/>
      </c>
      <c r="Q732">
        <f>IFERROR(INDEX(PP_Grid[#Data],$DD732,15),0)</f>
        <v/>
      </c>
      <c r="R732">
        <f>IFERROR(INDEX(PP_Grid[#Data],$DD732,16),0)</f>
        <v/>
      </c>
      <c r="S732">
        <f>IFERROR(INDEX(PP_Grid[#Data],$DD732,17),0)</f>
        <v/>
      </c>
      <c r="T732">
        <f>IFERROR(INDEX(PP_Grid[#Data],$DD732,18),0)</f>
        <v/>
      </c>
      <c r="U732">
        <f>IFERROR(INDEX(PP_Grid[#Data],$DD732,19),0)</f>
        <v/>
      </c>
      <c r="V732">
        <f>IFERROR(INDEX(PP_Grid[#Data],$DD732,20),0)</f>
        <v/>
      </c>
      <c r="W732">
        <f>IFERROR(INDEX(PP_Grid[#Data],$DD732,21),0)</f>
        <v/>
      </c>
      <c r="X732">
        <f>IFERROR(INDEX(PP_Grid[#Data],$DD732,22),0)</f>
        <v/>
      </c>
      <c r="Y732">
        <f>IFERROR(INDEX(PP_Grid[#Data],$DD732,23),0)</f>
        <v/>
      </c>
      <c r="Z732">
        <f>IFERROR(INDEX(PP_Grid[#Data],$DD732,24),0)</f>
        <v/>
      </c>
      <c r="AA732">
        <f>IFERROR(INDEX(PP_Grid[#Data],$DD732,25),0)</f>
        <v/>
      </c>
      <c r="AB732">
        <f>IFERROR(INDEX(PP_Grid[#Data],$DD732,26),0)</f>
        <v/>
      </c>
      <c r="AC732">
        <f>IFERROR(INDEX(PP_Grid[#Data],$DD732,27),0)</f>
        <v/>
      </c>
      <c r="AD732">
        <f>IFERROR(INDEX(PP_Grid[#Data],$DD732,28),0)</f>
        <v/>
      </c>
      <c r="AE732">
        <f>IFERROR(INDEX(PP_Grid[#Data],$DD732,29),0)</f>
        <v/>
      </c>
      <c r="AF732">
        <f>IFERROR(INDEX(PP_Grid[#Data],$DD732,30),0)</f>
        <v/>
      </c>
      <c r="AG732">
        <f>IFERROR(INDEX(PP_Grid[#Data],$DD732,31),0)</f>
        <v/>
      </c>
      <c r="AH732">
        <f>IFERROR(INDEX(PP_Grid[#Data],$DD732,32),0)</f>
        <v/>
      </c>
      <c r="AI732">
        <f>IFERROR(INDEX(PP_Grid[#Data],$DD732,33),0)</f>
        <v/>
      </c>
      <c r="AJ732">
        <f>IFERROR(INDEX(PP_Grid[#Data],$DD732,34),0)</f>
        <v/>
      </c>
      <c r="AK732">
        <f>IFERROR(INDEX(PP_Grid[#Data],$DD732,35),0)</f>
        <v/>
      </c>
      <c r="AL732">
        <f>IFERROR(INDEX(PP_Grid[#Data],$DD732,36),0)</f>
        <v/>
      </c>
      <c r="AM732">
        <f>IFERROR(INDEX(PP_Grid[#Data],$DD732,37),0)</f>
        <v/>
      </c>
      <c r="AN732">
        <f>IFERROR(INDEX(PP_Grid[#Data],$DD732,38),0)</f>
        <v/>
      </c>
      <c r="AO732">
        <f>IFERROR(INDEX(PP_Grid[#Data],$DD732,39),0)</f>
        <v/>
      </c>
      <c r="AP732">
        <f>IFERROR(INDEX(PP_Grid[#Data],$DD732,40),0)</f>
        <v/>
      </c>
      <c r="AQ732">
        <f>IFERROR(INDEX(PP_Grid[#Data],$DD732,41),0)</f>
        <v/>
      </c>
      <c r="AR732">
        <f>IFERROR(INDEX(PP_Grid[#Data],$DD732,42),0)</f>
        <v/>
      </c>
      <c r="AS732">
        <f>IFERROR(INDEX(PP_Grid[#Data],$DD732,43),0)</f>
        <v/>
      </c>
      <c r="AT732">
        <f>IFERROR(INDEX(PP_Grid[#Data],$DD732,44),0)</f>
        <v/>
      </c>
      <c r="AU732">
        <f>IFERROR(INDEX(PP_Grid[#Data],$DD732,45),0)</f>
        <v/>
      </c>
      <c r="AV732">
        <f>IFERROR(INDEX(PP_Grid[#Data],$DD732,46),0)</f>
        <v/>
      </c>
      <c r="AW732">
        <f>IFERROR(INDEX(PP_Grid[#Data],$DD732,47),0)</f>
        <v/>
      </c>
      <c r="AX732">
        <f>IFERROR(INDEX(PP_Grid[#Data],$DD732,48),0)</f>
        <v/>
      </c>
      <c r="AY732">
        <f>IFERROR(INDEX(PP_Grid[#Data],$DD732,49),0)</f>
        <v/>
      </c>
      <c r="AZ732">
        <f>IFERROR(INDEX(PP_Grid[#Data],$DD732,50),0)</f>
        <v/>
      </c>
      <c r="BA732">
        <f>IFERROR(INDEX(PP_Grid[#Data],$DD732,51),0)</f>
        <v/>
      </c>
      <c r="BB732">
        <f>IFERROR(INDEX(PP_Grid[#Data],$DD732,52),0)</f>
        <v/>
      </c>
      <c r="BC732">
        <f>IFERROR(INDEX(PP_Grid[#Data],$DD732,53),0)</f>
        <v/>
      </c>
      <c r="BD732">
        <f>IFERROR(INDEX(PP_Grid[#Data],$DD732,54),0)</f>
        <v/>
      </c>
      <c r="BE732">
        <f>IFERROR(INDEX(PP_Grid[#Data],$DD732,55),0)</f>
        <v/>
      </c>
      <c r="BF732">
        <f>IFERROR(INDEX(PP_Grid[#Data],$DD732,56),0)</f>
        <v/>
      </c>
      <c r="BG732">
        <f>IFERROR(INDEX(PP_Grid[#Data],$DD732,57),0)</f>
        <v/>
      </c>
      <c r="BH732">
        <f>IFERROR(INDEX(PP_Grid[#Data],$DD732,58),0)</f>
        <v/>
      </c>
      <c r="BI732">
        <f>IFERROR(INDEX(PP_Grid[#Data],$DD732,59),0)</f>
        <v/>
      </c>
      <c r="BJ732">
        <f>IFERROR(INDEX(PP_Grid[#Data],$DD732,60),0)</f>
        <v/>
      </c>
      <c r="BK732">
        <f>IFERROR(INDEX(PP_Grid[#Data],$DD732,61),0)</f>
        <v/>
      </c>
      <c r="BL732">
        <f>IFERROR(INDEX(PP_Grid[#Data],$DD732,62),0)</f>
        <v/>
      </c>
      <c r="BM732">
        <f>IFERROR(INDEX(PP_Grid[#Data],$DD732,63),0)</f>
        <v/>
      </c>
      <c r="BN732">
        <f>IFERROR(INDEX(PP_Grid[#Data],$DD732,64),0)</f>
        <v/>
      </c>
      <c r="BO732">
        <f>IFERROR(INDEX(PP_Grid[#Data],$DD732,65),0)</f>
        <v/>
      </c>
      <c r="BP732">
        <f>IFERROR(INDEX(PP_Grid[#Data],$DD732,66),0)</f>
        <v/>
      </c>
      <c r="BQ732">
        <f>IFERROR(INDEX(PP_Grid[#Data],$DD732,67),0)</f>
        <v/>
      </c>
      <c r="BR732">
        <f>IFERROR(INDEX(PP_Grid[#Data],$DD732,68),0)</f>
        <v/>
      </c>
      <c r="BS732">
        <f>IFERROR(INDEX(PP_Grid[#Data],$DD732,69),0)</f>
        <v/>
      </c>
      <c r="BT732">
        <f>IFERROR(INDEX(PP_Grid[#Data],$DD732,70),0)</f>
        <v/>
      </c>
      <c r="BU732">
        <f>IFERROR(INDEX(PP_Grid[#Data],$DD732,71),0)</f>
        <v/>
      </c>
      <c r="BV732">
        <f>IFERROR(INDEX(PP_Grid[#Data],$DD732,72),0)</f>
        <v/>
      </c>
      <c r="BW732">
        <f>IFERROR(INDEX(PP_Grid[#Data],$DD732,73),0)</f>
        <v/>
      </c>
      <c r="BX732">
        <f>IFERROR(INDEX(PP_Grid[#Data],$DD732,74),0)</f>
        <v/>
      </c>
      <c r="BY732">
        <f>IFERROR(INDEX(PP_Grid[#Data],$DD732,75),0)</f>
        <v/>
      </c>
      <c r="BZ732">
        <f>IFERROR(INDEX(PP_Grid[#Data],$DD732,76),0)</f>
        <v/>
      </c>
      <c r="CA732">
        <f>IFERROR(INDEX(PP_Grid[#Data],$DD732,77),0)</f>
        <v/>
      </c>
      <c r="CB732">
        <f>IFERROR(INDEX(PP_Grid[#Data],$DD732,78),0)</f>
        <v/>
      </c>
      <c r="CC732">
        <f>IFERROR(INDEX(PP_Grid[#Data],$DD732,79),0)</f>
        <v/>
      </c>
      <c r="CD732">
        <f>IFERROR(INDEX(PP_Grid[#Data],$DD732,80),0)</f>
        <v/>
      </c>
      <c r="CE732">
        <f>IFERROR(INDEX(PP_Grid[#Data],$DD732,81),0)</f>
        <v/>
      </c>
      <c r="CF732">
        <f>IFERROR(INDEX(PP_Grid[#Data],$DD732,82),0)</f>
        <v/>
      </c>
      <c r="CG732">
        <f>IFERROR(INDEX(PP_Grid[#Data],$DD732,83),0)</f>
        <v/>
      </c>
      <c r="CH732">
        <f>IFERROR(INDEX(PP_Grid[#Data],$DD732,84),0)</f>
        <v/>
      </c>
      <c r="CI732">
        <f>IFERROR(INDEX(PP_Grid[#Data],$DD732,85),0)</f>
        <v/>
      </c>
      <c r="CJ732">
        <f>IFERROR(INDEX(PP_Grid[#Data],$DD732,86),0)</f>
        <v/>
      </c>
      <c r="CK732">
        <f>IFERROR(INDEX(PP_Grid[#Data],$DD732,87),0)</f>
        <v/>
      </c>
      <c r="CL732">
        <f>IFERROR(INDEX(PP_Grid[#Data],$DD732,88),0)</f>
        <v/>
      </c>
      <c r="CM732">
        <f>IFERROR(INDEX(PP_Grid[#Data],$DD732,89),0)</f>
        <v/>
      </c>
      <c r="CN732">
        <f>IFERROR(INDEX(PP_Grid[#Data],$DD732,90),0)</f>
        <v/>
      </c>
      <c r="CO732">
        <f>IFERROR(INDEX(PP_Grid[#Data],$DD732,91),0)</f>
        <v/>
      </c>
      <c r="CP732">
        <f>IFERROR(INDEX(PP_Grid[#Data],$DD732,92),0)</f>
        <v/>
      </c>
      <c r="CQ732">
        <f>IFERROR(INDEX(PP_Grid[#Data],$DD732,93),0)</f>
        <v/>
      </c>
      <c r="CR732">
        <f>IFERROR(INDEX(PP_Grid[#Data],$DD732,94),0)</f>
        <v/>
      </c>
      <c r="CS732">
        <f>IFERROR(INDEX(PP_Grid[#Data],$DD732,95),0)</f>
        <v/>
      </c>
      <c r="CT732">
        <f>IFERROR(INDEX(PP_Grid[#Data],$DD732,96),0)</f>
        <v/>
      </c>
      <c r="CU732">
        <f>IFERROR(INDEX(PP_Grid[#Data],$DD732,97),0)</f>
        <v/>
      </c>
      <c r="CV732">
        <f>IFERROR(INDEX(PP_Grid[#Data],$DD732,98),0)</f>
        <v/>
      </c>
      <c r="CW732">
        <f>IFERROR(INDEX(PP_Grid[#Data],$DD732,99),0)</f>
        <v/>
      </c>
      <c r="CX732">
        <f>IFERROR(INDEX(PP_Grid[#Data],$DD732,100),0)</f>
        <v/>
      </c>
      <c r="CY732">
        <f>IFERROR(INDEX(PP_Grid[#Data],$DD732,101),0)</f>
        <v/>
      </c>
      <c r="CZ732">
        <f>IFERROR(INDEX(PP_Grid[#Data],$DD732,102),0)</f>
        <v/>
      </c>
      <c r="DA732">
        <f>IFERROR(INDEX(PP_Grid[#Data],$DD732,103),0)</f>
        <v/>
      </c>
      <c r="DB732">
        <f>IFERROR(INDEX(PP_Grid[#Data],$DD732,104),0)</f>
        <v/>
      </c>
      <c r="DC732">
        <f>IFERROR(INDEX(PP_Grid[#Data],$DD732,105),0)</f>
        <v/>
      </c>
      <c r="DD732" s="7">
        <f>IFERROR(MATCH($B732,PP_Grid[Intermediate],0),99999)</f>
        <v/>
      </c>
    </row>
    <row r="733">
      <c r="B733" t="inlineStr">
        <is>
          <t>使用量(kg)</t>
        </is>
      </c>
      <c r="C733">
        <f>SUMIFS(M_BOM[RM_Qty_Per_Batch],M_BOM[Intermediate],$B732,M_BOM[Part Name],$A723)</f>
        <v/>
      </c>
      <c r="D733">
        <f>$C733*D732</f>
        <v/>
      </c>
      <c r="E733">
        <f>$C733*E732</f>
        <v/>
      </c>
      <c r="F733">
        <f>$C733*F732</f>
        <v/>
      </c>
      <c r="G733">
        <f>$C733*G732</f>
        <v/>
      </c>
      <c r="H733">
        <f>$C733*H732</f>
        <v/>
      </c>
      <c r="I733">
        <f>$C733*I732</f>
        <v/>
      </c>
      <c r="J733">
        <f>$C733*J732</f>
        <v/>
      </c>
      <c r="K733">
        <f>$C733*K732</f>
        <v/>
      </c>
      <c r="L733">
        <f>$C733*L732</f>
        <v/>
      </c>
      <c r="M733">
        <f>$C733*M732</f>
        <v/>
      </c>
      <c r="N733">
        <f>$C733*N732</f>
        <v/>
      </c>
      <c r="O733">
        <f>$C733*O732</f>
        <v/>
      </c>
      <c r="P733">
        <f>$C733*P732</f>
        <v/>
      </c>
      <c r="Q733">
        <f>$C733*Q732</f>
        <v/>
      </c>
      <c r="R733">
        <f>$C733*R732</f>
        <v/>
      </c>
      <c r="S733">
        <f>$C733*S732</f>
        <v/>
      </c>
      <c r="T733">
        <f>$C733*T732</f>
        <v/>
      </c>
      <c r="U733">
        <f>$C733*U732</f>
        <v/>
      </c>
      <c r="V733">
        <f>$C733*V732</f>
        <v/>
      </c>
      <c r="W733">
        <f>$C733*W732</f>
        <v/>
      </c>
      <c r="X733">
        <f>$C733*X732</f>
        <v/>
      </c>
      <c r="Y733">
        <f>$C733*Y732</f>
        <v/>
      </c>
      <c r="Z733">
        <f>$C733*Z732</f>
        <v/>
      </c>
      <c r="AA733">
        <f>$C733*AA732</f>
        <v/>
      </c>
      <c r="AB733">
        <f>$C733*AB732</f>
        <v/>
      </c>
      <c r="AC733">
        <f>$C733*AC732</f>
        <v/>
      </c>
      <c r="AD733">
        <f>$C733*AD732</f>
        <v/>
      </c>
      <c r="AE733">
        <f>$C733*AE732</f>
        <v/>
      </c>
      <c r="AF733">
        <f>$C733*AF732</f>
        <v/>
      </c>
      <c r="AG733">
        <f>$C733*AG732</f>
        <v/>
      </c>
      <c r="AH733">
        <f>$C733*AH732</f>
        <v/>
      </c>
      <c r="AI733">
        <f>$C733*AI732</f>
        <v/>
      </c>
      <c r="AJ733">
        <f>$C733*AJ732</f>
        <v/>
      </c>
      <c r="AK733">
        <f>$C733*AK732</f>
        <v/>
      </c>
      <c r="AL733">
        <f>$C733*AL732</f>
        <v/>
      </c>
      <c r="AM733">
        <f>$C733*AM732</f>
        <v/>
      </c>
      <c r="AN733">
        <f>$C733*AN732</f>
        <v/>
      </c>
      <c r="AO733">
        <f>$C733*AO732</f>
        <v/>
      </c>
      <c r="AP733">
        <f>$C733*AP732</f>
        <v/>
      </c>
      <c r="AQ733">
        <f>$C733*AQ732</f>
        <v/>
      </c>
      <c r="AR733">
        <f>$C733*AR732</f>
        <v/>
      </c>
      <c r="AS733">
        <f>$C733*AS732</f>
        <v/>
      </c>
      <c r="AT733">
        <f>$C733*AT732</f>
        <v/>
      </c>
      <c r="AU733">
        <f>$C733*AU732</f>
        <v/>
      </c>
      <c r="AV733">
        <f>$C733*AV732</f>
        <v/>
      </c>
      <c r="AW733">
        <f>$C733*AW732</f>
        <v/>
      </c>
      <c r="AX733">
        <f>$C733*AX732</f>
        <v/>
      </c>
      <c r="AY733">
        <f>$C733*AY732</f>
        <v/>
      </c>
      <c r="AZ733">
        <f>$C733*AZ732</f>
        <v/>
      </c>
      <c r="BA733">
        <f>$C733*BA732</f>
        <v/>
      </c>
      <c r="BB733">
        <f>$C733*BB732</f>
        <v/>
      </c>
      <c r="BC733">
        <f>$C733*BC732</f>
        <v/>
      </c>
      <c r="BD733">
        <f>$C733*BD732</f>
        <v/>
      </c>
      <c r="BE733">
        <f>$C733*BE732</f>
        <v/>
      </c>
      <c r="BF733">
        <f>$C733*BF732</f>
        <v/>
      </c>
      <c r="BG733">
        <f>$C733*BG732</f>
        <v/>
      </c>
      <c r="BH733">
        <f>$C733*BH732</f>
        <v/>
      </c>
      <c r="BI733">
        <f>$C733*BI732</f>
        <v/>
      </c>
      <c r="BJ733">
        <f>$C733*BJ732</f>
        <v/>
      </c>
      <c r="BK733">
        <f>$C733*BK732</f>
        <v/>
      </c>
      <c r="BL733">
        <f>$C733*BL732</f>
        <v/>
      </c>
      <c r="BM733">
        <f>$C733*BM732</f>
        <v/>
      </c>
      <c r="BN733">
        <f>$C733*BN732</f>
        <v/>
      </c>
      <c r="BO733">
        <f>$C733*BO732</f>
        <v/>
      </c>
      <c r="BP733">
        <f>$C733*BP732</f>
        <v/>
      </c>
      <c r="BQ733">
        <f>$C733*BQ732</f>
        <v/>
      </c>
      <c r="BR733">
        <f>$C733*BR732</f>
        <v/>
      </c>
      <c r="BS733">
        <f>$C733*BS732</f>
        <v/>
      </c>
      <c r="BT733">
        <f>$C733*BT732</f>
        <v/>
      </c>
      <c r="BU733">
        <f>$C733*BU732</f>
        <v/>
      </c>
      <c r="BV733">
        <f>$C733*BV732</f>
        <v/>
      </c>
      <c r="BW733">
        <f>$C733*BW732</f>
        <v/>
      </c>
      <c r="BX733">
        <f>$C733*BX732</f>
        <v/>
      </c>
      <c r="BY733">
        <f>$C733*BY732</f>
        <v/>
      </c>
      <c r="BZ733">
        <f>$C733*BZ732</f>
        <v/>
      </c>
      <c r="CA733">
        <f>$C733*CA732</f>
        <v/>
      </c>
      <c r="CB733">
        <f>$C733*CB732</f>
        <v/>
      </c>
      <c r="CC733">
        <f>$C733*CC732</f>
        <v/>
      </c>
      <c r="CD733">
        <f>$C733*CD732</f>
        <v/>
      </c>
      <c r="CE733">
        <f>$C733*CE732</f>
        <v/>
      </c>
      <c r="CF733">
        <f>$C733*CF732</f>
        <v/>
      </c>
      <c r="CG733">
        <f>$C733*CG732</f>
        <v/>
      </c>
      <c r="CH733">
        <f>$C733*CH732</f>
        <v/>
      </c>
      <c r="CI733">
        <f>$C733*CI732</f>
        <v/>
      </c>
      <c r="CJ733">
        <f>$C733*CJ732</f>
        <v/>
      </c>
      <c r="CK733">
        <f>$C733*CK732</f>
        <v/>
      </c>
      <c r="CL733">
        <f>$C733*CL732</f>
        <v/>
      </c>
      <c r="CM733">
        <f>$C733*CM732</f>
        <v/>
      </c>
      <c r="CN733">
        <f>$C733*CN732</f>
        <v/>
      </c>
      <c r="CO733">
        <f>$C733*CO732</f>
        <v/>
      </c>
      <c r="CP733">
        <f>$C733*CP732</f>
        <v/>
      </c>
      <c r="CQ733">
        <f>$C733*CQ732</f>
        <v/>
      </c>
      <c r="CR733">
        <f>$C733*CR732</f>
        <v/>
      </c>
      <c r="CS733">
        <f>$C733*CS732</f>
        <v/>
      </c>
      <c r="CT733">
        <f>$C733*CT732</f>
        <v/>
      </c>
      <c r="CU733">
        <f>$C733*CU732</f>
        <v/>
      </c>
      <c r="CV733">
        <f>$C733*CV732</f>
        <v/>
      </c>
      <c r="CW733">
        <f>$C733*CW732</f>
        <v/>
      </c>
      <c r="CX733">
        <f>$C733*CX732</f>
        <v/>
      </c>
      <c r="CY733">
        <f>$C733*CY732</f>
        <v/>
      </c>
      <c r="CZ733">
        <f>$C733*CZ732</f>
        <v/>
      </c>
      <c r="DA733">
        <f>$C733*DA732</f>
        <v/>
      </c>
      <c r="DB733">
        <f>$C733*DB732</f>
        <v/>
      </c>
      <c r="DC733">
        <f>$C733*DC732</f>
        <v/>
      </c>
    </row>
    <row r="734">
      <c r="B734" t="inlineStr">
        <is>
          <t>TSP-903</t>
        </is>
      </c>
      <c r="C734" t="inlineStr">
        <is>
          <t>No. of batches</t>
        </is>
      </c>
      <c r="D734">
        <f>IFERROR(INDEX(PP_Grid[#Data],$DD734,2),0)</f>
        <v/>
      </c>
      <c r="E734">
        <f>IFERROR(INDEX(PP_Grid[#Data],$DD734,3),0)</f>
        <v/>
      </c>
      <c r="F734">
        <f>IFERROR(INDEX(PP_Grid[#Data],$DD734,4),0)</f>
        <v/>
      </c>
      <c r="G734">
        <f>IFERROR(INDEX(PP_Grid[#Data],$DD734,5),0)</f>
        <v/>
      </c>
      <c r="H734">
        <f>IFERROR(INDEX(PP_Grid[#Data],$DD734,6),0)</f>
        <v/>
      </c>
      <c r="I734">
        <f>IFERROR(INDEX(PP_Grid[#Data],$DD734,7),0)</f>
        <v/>
      </c>
      <c r="J734">
        <f>IFERROR(INDEX(PP_Grid[#Data],$DD734,8),0)</f>
        <v/>
      </c>
      <c r="K734">
        <f>IFERROR(INDEX(PP_Grid[#Data],$DD734,9),0)</f>
        <v/>
      </c>
      <c r="L734">
        <f>IFERROR(INDEX(PP_Grid[#Data],$DD734,10),0)</f>
        <v/>
      </c>
      <c r="M734">
        <f>IFERROR(INDEX(PP_Grid[#Data],$DD734,11),0)</f>
        <v/>
      </c>
      <c r="N734">
        <f>IFERROR(INDEX(PP_Grid[#Data],$DD734,12),0)</f>
        <v/>
      </c>
      <c r="O734">
        <f>IFERROR(INDEX(PP_Grid[#Data],$DD734,13),0)</f>
        <v/>
      </c>
      <c r="P734">
        <f>IFERROR(INDEX(PP_Grid[#Data],$DD734,14),0)</f>
        <v/>
      </c>
      <c r="Q734">
        <f>IFERROR(INDEX(PP_Grid[#Data],$DD734,15),0)</f>
        <v/>
      </c>
      <c r="R734">
        <f>IFERROR(INDEX(PP_Grid[#Data],$DD734,16),0)</f>
        <v/>
      </c>
      <c r="S734">
        <f>IFERROR(INDEX(PP_Grid[#Data],$DD734,17),0)</f>
        <v/>
      </c>
      <c r="T734">
        <f>IFERROR(INDEX(PP_Grid[#Data],$DD734,18),0)</f>
        <v/>
      </c>
      <c r="U734">
        <f>IFERROR(INDEX(PP_Grid[#Data],$DD734,19),0)</f>
        <v/>
      </c>
      <c r="V734">
        <f>IFERROR(INDEX(PP_Grid[#Data],$DD734,20),0)</f>
        <v/>
      </c>
      <c r="W734">
        <f>IFERROR(INDEX(PP_Grid[#Data],$DD734,21),0)</f>
        <v/>
      </c>
      <c r="X734">
        <f>IFERROR(INDEX(PP_Grid[#Data],$DD734,22),0)</f>
        <v/>
      </c>
      <c r="Y734">
        <f>IFERROR(INDEX(PP_Grid[#Data],$DD734,23),0)</f>
        <v/>
      </c>
      <c r="Z734">
        <f>IFERROR(INDEX(PP_Grid[#Data],$DD734,24),0)</f>
        <v/>
      </c>
      <c r="AA734">
        <f>IFERROR(INDEX(PP_Grid[#Data],$DD734,25),0)</f>
        <v/>
      </c>
      <c r="AB734">
        <f>IFERROR(INDEX(PP_Grid[#Data],$DD734,26),0)</f>
        <v/>
      </c>
      <c r="AC734">
        <f>IFERROR(INDEX(PP_Grid[#Data],$DD734,27),0)</f>
        <v/>
      </c>
      <c r="AD734">
        <f>IFERROR(INDEX(PP_Grid[#Data],$DD734,28),0)</f>
        <v/>
      </c>
      <c r="AE734">
        <f>IFERROR(INDEX(PP_Grid[#Data],$DD734,29),0)</f>
        <v/>
      </c>
      <c r="AF734">
        <f>IFERROR(INDEX(PP_Grid[#Data],$DD734,30),0)</f>
        <v/>
      </c>
      <c r="AG734">
        <f>IFERROR(INDEX(PP_Grid[#Data],$DD734,31),0)</f>
        <v/>
      </c>
      <c r="AH734">
        <f>IFERROR(INDEX(PP_Grid[#Data],$DD734,32),0)</f>
        <v/>
      </c>
      <c r="AI734">
        <f>IFERROR(INDEX(PP_Grid[#Data],$DD734,33),0)</f>
        <v/>
      </c>
      <c r="AJ734">
        <f>IFERROR(INDEX(PP_Grid[#Data],$DD734,34),0)</f>
        <v/>
      </c>
      <c r="AK734">
        <f>IFERROR(INDEX(PP_Grid[#Data],$DD734,35),0)</f>
        <v/>
      </c>
      <c r="AL734">
        <f>IFERROR(INDEX(PP_Grid[#Data],$DD734,36),0)</f>
        <v/>
      </c>
      <c r="AM734">
        <f>IFERROR(INDEX(PP_Grid[#Data],$DD734,37),0)</f>
        <v/>
      </c>
      <c r="AN734">
        <f>IFERROR(INDEX(PP_Grid[#Data],$DD734,38),0)</f>
        <v/>
      </c>
      <c r="AO734">
        <f>IFERROR(INDEX(PP_Grid[#Data],$DD734,39),0)</f>
        <v/>
      </c>
      <c r="AP734">
        <f>IFERROR(INDEX(PP_Grid[#Data],$DD734,40),0)</f>
        <v/>
      </c>
      <c r="AQ734">
        <f>IFERROR(INDEX(PP_Grid[#Data],$DD734,41),0)</f>
        <v/>
      </c>
      <c r="AR734">
        <f>IFERROR(INDEX(PP_Grid[#Data],$DD734,42),0)</f>
        <v/>
      </c>
      <c r="AS734">
        <f>IFERROR(INDEX(PP_Grid[#Data],$DD734,43),0)</f>
        <v/>
      </c>
      <c r="AT734">
        <f>IFERROR(INDEX(PP_Grid[#Data],$DD734,44),0)</f>
        <v/>
      </c>
      <c r="AU734">
        <f>IFERROR(INDEX(PP_Grid[#Data],$DD734,45),0)</f>
        <v/>
      </c>
      <c r="AV734">
        <f>IFERROR(INDEX(PP_Grid[#Data],$DD734,46),0)</f>
        <v/>
      </c>
      <c r="AW734">
        <f>IFERROR(INDEX(PP_Grid[#Data],$DD734,47),0)</f>
        <v/>
      </c>
      <c r="AX734">
        <f>IFERROR(INDEX(PP_Grid[#Data],$DD734,48),0)</f>
        <v/>
      </c>
      <c r="AY734">
        <f>IFERROR(INDEX(PP_Grid[#Data],$DD734,49),0)</f>
        <v/>
      </c>
      <c r="AZ734">
        <f>IFERROR(INDEX(PP_Grid[#Data],$DD734,50),0)</f>
        <v/>
      </c>
      <c r="BA734">
        <f>IFERROR(INDEX(PP_Grid[#Data],$DD734,51),0)</f>
        <v/>
      </c>
      <c r="BB734">
        <f>IFERROR(INDEX(PP_Grid[#Data],$DD734,52),0)</f>
        <v/>
      </c>
      <c r="BC734">
        <f>IFERROR(INDEX(PP_Grid[#Data],$DD734,53),0)</f>
        <v/>
      </c>
      <c r="BD734">
        <f>IFERROR(INDEX(PP_Grid[#Data],$DD734,54),0)</f>
        <v/>
      </c>
      <c r="BE734">
        <f>IFERROR(INDEX(PP_Grid[#Data],$DD734,55),0)</f>
        <v/>
      </c>
      <c r="BF734">
        <f>IFERROR(INDEX(PP_Grid[#Data],$DD734,56),0)</f>
        <v/>
      </c>
      <c r="BG734">
        <f>IFERROR(INDEX(PP_Grid[#Data],$DD734,57),0)</f>
        <v/>
      </c>
      <c r="BH734">
        <f>IFERROR(INDEX(PP_Grid[#Data],$DD734,58),0)</f>
        <v/>
      </c>
      <c r="BI734">
        <f>IFERROR(INDEX(PP_Grid[#Data],$DD734,59),0)</f>
        <v/>
      </c>
      <c r="BJ734">
        <f>IFERROR(INDEX(PP_Grid[#Data],$DD734,60),0)</f>
        <v/>
      </c>
      <c r="BK734">
        <f>IFERROR(INDEX(PP_Grid[#Data],$DD734,61),0)</f>
        <v/>
      </c>
      <c r="BL734">
        <f>IFERROR(INDEX(PP_Grid[#Data],$DD734,62),0)</f>
        <v/>
      </c>
      <c r="BM734">
        <f>IFERROR(INDEX(PP_Grid[#Data],$DD734,63),0)</f>
        <v/>
      </c>
      <c r="BN734">
        <f>IFERROR(INDEX(PP_Grid[#Data],$DD734,64),0)</f>
        <v/>
      </c>
      <c r="BO734">
        <f>IFERROR(INDEX(PP_Grid[#Data],$DD734,65),0)</f>
        <v/>
      </c>
      <c r="BP734">
        <f>IFERROR(INDEX(PP_Grid[#Data],$DD734,66),0)</f>
        <v/>
      </c>
      <c r="BQ734">
        <f>IFERROR(INDEX(PP_Grid[#Data],$DD734,67),0)</f>
        <v/>
      </c>
      <c r="BR734">
        <f>IFERROR(INDEX(PP_Grid[#Data],$DD734,68),0)</f>
        <v/>
      </c>
      <c r="BS734">
        <f>IFERROR(INDEX(PP_Grid[#Data],$DD734,69),0)</f>
        <v/>
      </c>
      <c r="BT734">
        <f>IFERROR(INDEX(PP_Grid[#Data],$DD734,70),0)</f>
        <v/>
      </c>
      <c r="BU734">
        <f>IFERROR(INDEX(PP_Grid[#Data],$DD734,71),0)</f>
        <v/>
      </c>
      <c r="BV734">
        <f>IFERROR(INDEX(PP_Grid[#Data],$DD734,72),0)</f>
        <v/>
      </c>
      <c r="BW734">
        <f>IFERROR(INDEX(PP_Grid[#Data],$DD734,73),0)</f>
        <v/>
      </c>
      <c r="BX734">
        <f>IFERROR(INDEX(PP_Grid[#Data],$DD734,74),0)</f>
        <v/>
      </c>
      <c r="BY734">
        <f>IFERROR(INDEX(PP_Grid[#Data],$DD734,75),0)</f>
        <v/>
      </c>
      <c r="BZ734">
        <f>IFERROR(INDEX(PP_Grid[#Data],$DD734,76),0)</f>
        <v/>
      </c>
      <c r="CA734">
        <f>IFERROR(INDEX(PP_Grid[#Data],$DD734,77),0)</f>
        <v/>
      </c>
      <c r="CB734">
        <f>IFERROR(INDEX(PP_Grid[#Data],$DD734,78),0)</f>
        <v/>
      </c>
      <c r="CC734">
        <f>IFERROR(INDEX(PP_Grid[#Data],$DD734,79),0)</f>
        <v/>
      </c>
      <c r="CD734">
        <f>IFERROR(INDEX(PP_Grid[#Data],$DD734,80),0)</f>
        <v/>
      </c>
      <c r="CE734">
        <f>IFERROR(INDEX(PP_Grid[#Data],$DD734,81),0)</f>
        <v/>
      </c>
      <c r="CF734">
        <f>IFERROR(INDEX(PP_Grid[#Data],$DD734,82),0)</f>
        <v/>
      </c>
      <c r="CG734">
        <f>IFERROR(INDEX(PP_Grid[#Data],$DD734,83),0)</f>
        <v/>
      </c>
      <c r="CH734">
        <f>IFERROR(INDEX(PP_Grid[#Data],$DD734,84),0)</f>
        <v/>
      </c>
      <c r="CI734">
        <f>IFERROR(INDEX(PP_Grid[#Data],$DD734,85),0)</f>
        <v/>
      </c>
      <c r="CJ734">
        <f>IFERROR(INDEX(PP_Grid[#Data],$DD734,86),0)</f>
        <v/>
      </c>
      <c r="CK734">
        <f>IFERROR(INDEX(PP_Grid[#Data],$DD734,87),0)</f>
        <v/>
      </c>
      <c r="CL734">
        <f>IFERROR(INDEX(PP_Grid[#Data],$DD734,88),0)</f>
        <v/>
      </c>
      <c r="CM734">
        <f>IFERROR(INDEX(PP_Grid[#Data],$DD734,89),0)</f>
        <v/>
      </c>
      <c r="CN734">
        <f>IFERROR(INDEX(PP_Grid[#Data],$DD734,90),0)</f>
        <v/>
      </c>
      <c r="CO734">
        <f>IFERROR(INDEX(PP_Grid[#Data],$DD734,91),0)</f>
        <v/>
      </c>
      <c r="CP734">
        <f>IFERROR(INDEX(PP_Grid[#Data],$DD734,92),0)</f>
        <v/>
      </c>
      <c r="CQ734">
        <f>IFERROR(INDEX(PP_Grid[#Data],$DD734,93),0)</f>
        <v/>
      </c>
      <c r="CR734">
        <f>IFERROR(INDEX(PP_Grid[#Data],$DD734,94),0)</f>
        <v/>
      </c>
      <c r="CS734">
        <f>IFERROR(INDEX(PP_Grid[#Data],$DD734,95),0)</f>
        <v/>
      </c>
      <c r="CT734">
        <f>IFERROR(INDEX(PP_Grid[#Data],$DD734,96),0)</f>
        <v/>
      </c>
      <c r="CU734">
        <f>IFERROR(INDEX(PP_Grid[#Data],$DD734,97),0)</f>
        <v/>
      </c>
      <c r="CV734">
        <f>IFERROR(INDEX(PP_Grid[#Data],$DD734,98),0)</f>
        <v/>
      </c>
      <c r="CW734">
        <f>IFERROR(INDEX(PP_Grid[#Data],$DD734,99),0)</f>
        <v/>
      </c>
      <c r="CX734">
        <f>IFERROR(INDEX(PP_Grid[#Data],$DD734,100),0)</f>
        <v/>
      </c>
      <c r="CY734">
        <f>IFERROR(INDEX(PP_Grid[#Data],$DD734,101),0)</f>
        <v/>
      </c>
      <c r="CZ734">
        <f>IFERROR(INDEX(PP_Grid[#Data],$DD734,102),0)</f>
        <v/>
      </c>
      <c r="DA734">
        <f>IFERROR(INDEX(PP_Grid[#Data],$DD734,103),0)</f>
        <v/>
      </c>
      <c r="DB734">
        <f>IFERROR(INDEX(PP_Grid[#Data],$DD734,104),0)</f>
        <v/>
      </c>
      <c r="DC734">
        <f>IFERROR(INDEX(PP_Grid[#Data],$DD734,105),0)</f>
        <v/>
      </c>
      <c r="DD734" s="7">
        <f>IFERROR(MATCH($B734,PP_Grid[Intermediate],0),99999)</f>
        <v/>
      </c>
    </row>
    <row r="735">
      <c r="B735" t="inlineStr">
        <is>
          <t>使用量(kg)</t>
        </is>
      </c>
      <c r="C735">
        <f>SUMIFS(M_BOM[RM_Qty_Per_Batch],M_BOM[Intermediate],$B734,M_BOM[Part Name],$A723)</f>
        <v/>
      </c>
      <c r="D735">
        <f>$C735*D734</f>
        <v/>
      </c>
      <c r="E735">
        <f>$C735*E734</f>
        <v/>
      </c>
      <c r="F735">
        <f>$C735*F734</f>
        <v/>
      </c>
      <c r="G735">
        <f>$C735*G734</f>
        <v/>
      </c>
      <c r="H735">
        <f>$C735*H734</f>
        <v/>
      </c>
      <c r="I735">
        <f>$C735*I734</f>
        <v/>
      </c>
      <c r="J735">
        <f>$C735*J734</f>
        <v/>
      </c>
      <c r="K735">
        <f>$C735*K734</f>
        <v/>
      </c>
      <c r="L735">
        <f>$C735*L734</f>
        <v/>
      </c>
      <c r="M735">
        <f>$C735*M734</f>
        <v/>
      </c>
      <c r="N735">
        <f>$C735*N734</f>
        <v/>
      </c>
      <c r="O735">
        <f>$C735*O734</f>
        <v/>
      </c>
      <c r="P735">
        <f>$C735*P734</f>
        <v/>
      </c>
      <c r="Q735">
        <f>$C735*Q734</f>
        <v/>
      </c>
      <c r="R735">
        <f>$C735*R734</f>
        <v/>
      </c>
      <c r="S735">
        <f>$C735*S734</f>
        <v/>
      </c>
      <c r="T735">
        <f>$C735*T734</f>
        <v/>
      </c>
      <c r="U735">
        <f>$C735*U734</f>
        <v/>
      </c>
      <c r="V735">
        <f>$C735*V734</f>
        <v/>
      </c>
      <c r="W735">
        <f>$C735*W734</f>
        <v/>
      </c>
      <c r="X735">
        <f>$C735*X734</f>
        <v/>
      </c>
      <c r="Y735">
        <f>$C735*Y734</f>
        <v/>
      </c>
      <c r="Z735">
        <f>$C735*Z734</f>
        <v/>
      </c>
      <c r="AA735">
        <f>$C735*AA734</f>
        <v/>
      </c>
      <c r="AB735">
        <f>$C735*AB734</f>
        <v/>
      </c>
      <c r="AC735">
        <f>$C735*AC734</f>
        <v/>
      </c>
      <c r="AD735">
        <f>$C735*AD734</f>
        <v/>
      </c>
      <c r="AE735">
        <f>$C735*AE734</f>
        <v/>
      </c>
      <c r="AF735">
        <f>$C735*AF734</f>
        <v/>
      </c>
      <c r="AG735">
        <f>$C735*AG734</f>
        <v/>
      </c>
      <c r="AH735">
        <f>$C735*AH734</f>
        <v/>
      </c>
      <c r="AI735">
        <f>$C735*AI734</f>
        <v/>
      </c>
      <c r="AJ735">
        <f>$C735*AJ734</f>
        <v/>
      </c>
      <c r="AK735">
        <f>$C735*AK734</f>
        <v/>
      </c>
      <c r="AL735">
        <f>$C735*AL734</f>
        <v/>
      </c>
      <c r="AM735">
        <f>$C735*AM734</f>
        <v/>
      </c>
      <c r="AN735">
        <f>$C735*AN734</f>
        <v/>
      </c>
      <c r="AO735">
        <f>$C735*AO734</f>
        <v/>
      </c>
      <c r="AP735">
        <f>$C735*AP734</f>
        <v/>
      </c>
      <c r="AQ735">
        <f>$C735*AQ734</f>
        <v/>
      </c>
      <c r="AR735">
        <f>$C735*AR734</f>
        <v/>
      </c>
      <c r="AS735">
        <f>$C735*AS734</f>
        <v/>
      </c>
      <c r="AT735">
        <f>$C735*AT734</f>
        <v/>
      </c>
      <c r="AU735">
        <f>$C735*AU734</f>
        <v/>
      </c>
      <c r="AV735">
        <f>$C735*AV734</f>
        <v/>
      </c>
      <c r="AW735">
        <f>$C735*AW734</f>
        <v/>
      </c>
      <c r="AX735">
        <f>$C735*AX734</f>
        <v/>
      </c>
      <c r="AY735">
        <f>$C735*AY734</f>
        <v/>
      </c>
      <c r="AZ735">
        <f>$C735*AZ734</f>
        <v/>
      </c>
      <c r="BA735">
        <f>$C735*BA734</f>
        <v/>
      </c>
      <c r="BB735">
        <f>$C735*BB734</f>
        <v/>
      </c>
      <c r="BC735">
        <f>$C735*BC734</f>
        <v/>
      </c>
      <c r="BD735">
        <f>$C735*BD734</f>
        <v/>
      </c>
      <c r="BE735">
        <f>$C735*BE734</f>
        <v/>
      </c>
      <c r="BF735">
        <f>$C735*BF734</f>
        <v/>
      </c>
      <c r="BG735">
        <f>$C735*BG734</f>
        <v/>
      </c>
      <c r="BH735">
        <f>$C735*BH734</f>
        <v/>
      </c>
      <c r="BI735">
        <f>$C735*BI734</f>
        <v/>
      </c>
      <c r="BJ735">
        <f>$C735*BJ734</f>
        <v/>
      </c>
      <c r="BK735">
        <f>$C735*BK734</f>
        <v/>
      </c>
      <c r="BL735">
        <f>$C735*BL734</f>
        <v/>
      </c>
      <c r="BM735">
        <f>$C735*BM734</f>
        <v/>
      </c>
      <c r="BN735">
        <f>$C735*BN734</f>
        <v/>
      </c>
      <c r="BO735">
        <f>$C735*BO734</f>
        <v/>
      </c>
      <c r="BP735">
        <f>$C735*BP734</f>
        <v/>
      </c>
      <c r="BQ735">
        <f>$C735*BQ734</f>
        <v/>
      </c>
      <c r="BR735">
        <f>$C735*BR734</f>
        <v/>
      </c>
      <c r="BS735">
        <f>$C735*BS734</f>
        <v/>
      </c>
      <c r="BT735">
        <f>$C735*BT734</f>
        <v/>
      </c>
      <c r="BU735">
        <f>$C735*BU734</f>
        <v/>
      </c>
      <c r="BV735">
        <f>$C735*BV734</f>
        <v/>
      </c>
      <c r="BW735">
        <f>$C735*BW734</f>
        <v/>
      </c>
      <c r="BX735">
        <f>$C735*BX734</f>
        <v/>
      </c>
      <c r="BY735">
        <f>$C735*BY734</f>
        <v/>
      </c>
      <c r="BZ735">
        <f>$C735*BZ734</f>
        <v/>
      </c>
      <c r="CA735">
        <f>$C735*CA734</f>
        <v/>
      </c>
      <c r="CB735">
        <f>$C735*CB734</f>
        <v/>
      </c>
      <c r="CC735">
        <f>$C735*CC734</f>
        <v/>
      </c>
      <c r="CD735">
        <f>$C735*CD734</f>
        <v/>
      </c>
      <c r="CE735">
        <f>$C735*CE734</f>
        <v/>
      </c>
      <c r="CF735">
        <f>$C735*CF734</f>
        <v/>
      </c>
      <c r="CG735">
        <f>$C735*CG734</f>
        <v/>
      </c>
      <c r="CH735">
        <f>$C735*CH734</f>
        <v/>
      </c>
      <c r="CI735">
        <f>$C735*CI734</f>
        <v/>
      </c>
      <c r="CJ735">
        <f>$C735*CJ734</f>
        <v/>
      </c>
      <c r="CK735">
        <f>$C735*CK734</f>
        <v/>
      </c>
      <c r="CL735">
        <f>$C735*CL734</f>
        <v/>
      </c>
      <c r="CM735">
        <f>$C735*CM734</f>
        <v/>
      </c>
      <c r="CN735">
        <f>$C735*CN734</f>
        <v/>
      </c>
      <c r="CO735">
        <f>$C735*CO734</f>
        <v/>
      </c>
      <c r="CP735">
        <f>$C735*CP734</f>
        <v/>
      </c>
      <c r="CQ735">
        <f>$C735*CQ734</f>
        <v/>
      </c>
      <c r="CR735">
        <f>$C735*CR734</f>
        <v/>
      </c>
      <c r="CS735">
        <f>$C735*CS734</f>
        <v/>
      </c>
      <c r="CT735">
        <f>$C735*CT734</f>
        <v/>
      </c>
      <c r="CU735">
        <f>$C735*CU734</f>
        <v/>
      </c>
      <c r="CV735">
        <f>$C735*CV734</f>
        <v/>
      </c>
      <c r="CW735">
        <f>$C735*CW734</f>
        <v/>
      </c>
      <c r="CX735">
        <f>$C735*CX734</f>
        <v/>
      </c>
      <c r="CY735">
        <f>$C735*CY734</f>
        <v/>
      </c>
      <c r="CZ735">
        <f>$C735*CZ734</f>
        <v/>
      </c>
      <c r="DA735">
        <f>$C735*DA734</f>
        <v/>
      </c>
      <c r="DB735">
        <f>$C735*DB734</f>
        <v/>
      </c>
      <c r="DC735">
        <f>$C735*DC734</f>
        <v/>
      </c>
    </row>
    <row r="736">
      <c r="B736" t="inlineStr">
        <is>
          <t>TSP-959</t>
        </is>
      </c>
      <c r="C736" t="inlineStr">
        <is>
          <t>No. of batches</t>
        </is>
      </c>
      <c r="D736">
        <f>IFERROR(INDEX(PP_Grid[#Data],$DD736,2),0)</f>
        <v/>
      </c>
      <c r="E736">
        <f>IFERROR(INDEX(PP_Grid[#Data],$DD736,3),0)</f>
        <v/>
      </c>
      <c r="F736">
        <f>IFERROR(INDEX(PP_Grid[#Data],$DD736,4),0)</f>
        <v/>
      </c>
      <c r="G736">
        <f>IFERROR(INDEX(PP_Grid[#Data],$DD736,5),0)</f>
        <v/>
      </c>
      <c r="H736">
        <f>IFERROR(INDEX(PP_Grid[#Data],$DD736,6),0)</f>
        <v/>
      </c>
      <c r="I736">
        <f>IFERROR(INDEX(PP_Grid[#Data],$DD736,7),0)</f>
        <v/>
      </c>
      <c r="J736">
        <f>IFERROR(INDEX(PP_Grid[#Data],$DD736,8),0)</f>
        <v/>
      </c>
      <c r="K736">
        <f>IFERROR(INDEX(PP_Grid[#Data],$DD736,9),0)</f>
        <v/>
      </c>
      <c r="L736">
        <f>IFERROR(INDEX(PP_Grid[#Data],$DD736,10),0)</f>
        <v/>
      </c>
      <c r="M736">
        <f>IFERROR(INDEX(PP_Grid[#Data],$DD736,11),0)</f>
        <v/>
      </c>
      <c r="N736">
        <f>IFERROR(INDEX(PP_Grid[#Data],$DD736,12),0)</f>
        <v/>
      </c>
      <c r="O736">
        <f>IFERROR(INDEX(PP_Grid[#Data],$DD736,13),0)</f>
        <v/>
      </c>
      <c r="P736">
        <f>IFERROR(INDEX(PP_Grid[#Data],$DD736,14),0)</f>
        <v/>
      </c>
      <c r="Q736">
        <f>IFERROR(INDEX(PP_Grid[#Data],$DD736,15),0)</f>
        <v/>
      </c>
      <c r="R736">
        <f>IFERROR(INDEX(PP_Grid[#Data],$DD736,16),0)</f>
        <v/>
      </c>
      <c r="S736">
        <f>IFERROR(INDEX(PP_Grid[#Data],$DD736,17),0)</f>
        <v/>
      </c>
      <c r="T736">
        <f>IFERROR(INDEX(PP_Grid[#Data],$DD736,18),0)</f>
        <v/>
      </c>
      <c r="U736">
        <f>IFERROR(INDEX(PP_Grid[#Data],$DD736,19),0)</f>
        <v/>
      </c>
      <c r="V736">
        <f>IFERROR(INDEX(PP_Grid[#Data],$DD736,20),0)</f>
        <v/>
      </c>
      <c r="W736">
        <f>IFERROR(INDEX(PP_Grid[#Data],$DD736,21),0)</f>
        <v/>
      </c>
      <c r="X736">
        <f>IFERROR(INDEX(PP_Grid[#Data],$DD736,22),0)</f>
        <v/>
      </c>
      <c r="Y736">
        <f>IFERROR(INDEX(PP_Grid[#Data],$DD736,23),0)</f>
        <v/>
      </c>
      <c r="Z736">
        <f>IFERROR(INDEX(PP_Grid[#Data],$DD736,24),0)</f>
        <v/>
      </c>
      <c r="AA736">
        <f>IFERROR(INDEX(PP_Grid[#Data],$DD736,25),0)</f>
        <v/>
      </c>
      <c r="AB736">
        <f>IFERROR(INDEX(PP_Grid[#Data],$DD736,26),0)</f>
        <v/>
      </c>
      <c r="AC736">
        <f>IFERROR(INDEX(PP_Grid[#Data],$DD736,27),0)</f>
        <v/>
      </c>
      <c r="AD736">
        <f>IFERROR(INDEX(PP_Grid[#Data],$DD736,28),0)</f>
        <v/>
      </c>
      <c r="AE736">
        <f>IFERROR(INDEX(PP_Grid[#Data],$DD736,29),0)</f>
        <v/>
      </c>
      <c r="AF736">
        <f>IFERROR(INDEX(PP_Grid[#Data],$DD736,30),0)</f>
        <v/>
      </c>
      <c r="AG736">
        <f>IFERROR(INDEX(PP_Grid[#Data],$DD736,31),0)</f>
        <v/>
      </c>
      <c r="AH736">
        <f>IFERROR(INDEX(PP_Grid[#Data],$DD736,32),0)</f>
        <v/>
      </c>
      <c r="AI736">
        <f>IFERROR(INDEX(PP_Grid[#Data],$DD736,33),0)</f>
        <v/>
      </c>
      <c r="AJ736">
        <f>IFERROR(INDEX(PP_Grid[#Data],$DD736,34),0)</f>
        <v/>
      </c>
      <c r="AK736">
        <f>IFERROR(INDEX(PP_Grid[#Data],$DD736,35),0)</f>
        <v/>
      </c>
      <c r="AL736">
        <f>IFERROR(INDEX(PP_Grid[#Data],$DD736,36),0)</f>
        <v/>
      </c>
      <c r="AM736">
        <f>IFERROR(INDEX(PP_Grid[#Data],$DD736,37),0)</f>
        <v/>
      </c>
      <c r="AN736">
        <f>IFERROR(INDEX(PP_Grid[#Data],$DD736,38),0)</f>
        <v/>
      </c>
      <c r="AO736">
        <f>IFERROR(INDEX(PP_Grid[#Data],$DD736,39),0)</f>
        <v/>
      </c>
      <c r="AP736">
        <f>IFERROR(INDEX(PP_Grid[#Data],$DD736,40),0)</f>
        <v/>
      </c>
      <c r="AQ736">
        <f>IFERROR(INDEX(PP_Grid[#Data],$DD736,41),0)</f>
        <v/>
      </c>
      <c r="AR736">
        <f>IFERROR(INDEX(PP_Grid[#Data],$DD736,42),0)</f>
        <v/>
      </c>
      <c r="AS736">
        <f>IFERROR(INDEX(PP_Grid[#Data],$DD736,43),0)</f>
        <v/>
      </c>
      <c r="AT736">
        <f>IFERROR(INDEX(PP_Grid[#Data],$DD736,44),0)</f>
        <v/>
      </c>
      <c r="AU736">
        <f>IFERROR(INDEX(PP_Grid[#Data],$DD736,45),0)</f>
        <v/>
      </c>
      <c r="AV736">
        <f>IFERROR(INDEX(PP_Grid[#Data],$DD736,46),0)</f>
        <v/>
      </c>
      <c r="AW736">
        <f>IFERROR(INDEX(PP_Grid[#Data],$DD736,47),0)</f>
        <v/>
      </c>
      <c r="AX736">
        <f>IFERROR(INDEX(PP_Grid[#Data],$DD736,48),0)</f>
        <v/>
      </c>
      <c r="AY736">
        <f>IFERROR(INDEX(PP_Grid[#Data],$DD736,49),0)</f>
        <v/>
      </c>
      <c r="AZ736">
        <f>IFERROR(INDEX(PP_Grid[#Data],$DD736,50),0)</f>
        <v/>
      </c>
      <c r="BA736">
        <f>IFERROR(INDEX(PP_Grid[#Data],$DD736,51),0)</f>
        <v/>
      </c>
      <c r="BB736">
        <f>IFERROR(INDEX(PP_Grid[#Data],$DD736,52),0)</f>
        <v/>
      </c>
      <c r="BC736">
        <f>IFERROR(INDEX(PP_Grid[#Data],$DD736,53),0)</f>
        <v/>
      </c>
      <c r="BD736">
        <f>IFERROR(INDEX(PP_Grid[#Data],$DD736,54),0)</f>
        <v/>
      </c>
      <c r="BE736">
        <f>IFERROR(INDEX(PP_Grid[#Data],$DD736,55),0)</f>
        <v/>
      </c>
      <c r="BF736">
        <f>IFERROR(INDEX(PP_Grid[#Data],$DD736,56),0)</f>
        <v/>
      </c>
      <c r="BG736">
        <f>IFERROR(INDEX(PP_Grid[#Data],$DD736,57),0)</f>
        <v/>
      </c>
      <c r="BH736">
        <f>IFERROR(INDEX(PP_Grid[#Data],$DD736,58),0)</f>
        <v/>
      </c>
      <c r="BI736">
        <f>IFERROR(INDEX(PP_Grid[#Data],$DD736,59),0)</f>
        <v/>
      </c>
      <c r="BJ736">
        <f>IFERROR(INDEX(PP_Grid[#Data],$DD736,60),0)</f>
        <v/>
      </c>
      <c r="BK736">
        <f>IFERROR(INDEX(PP_Grid[#Data],$DD736,61),0)</f>
        <v/>
      </c>
      <c r="BL736">
        <f>IFERROR(INDEX(PP_Grid[#Data],$DD736,62),0)</f>
        <v/>
      </c>
      <c r="BM736">
        <f>IFERROR(INDEX(PP_Grid[#Data],$DD736,63),0)</f>
        <v/>
      </c>
      <c r="BN736">
        <f>IFERROR(INDEX(PP_Grid[#Data],$DD736,64),0)</f>
        <v/>
      </c>
      <c r="BO736">
        <f>IFERROR(INDEX(PP_Grid[#Data],$DD736,65),0)</f>
        <v/>
      </c>
      <c r="BP736">
        <f>IFERROR(INDEX(PP_Grid[#Data],$DD736,66),0)</f>
        <v/>
      </c>
      <c r="BQ736">
        <f>IFERROR(INDEX(PP_Grid[#Data],$DD736,67),0)</f>
        <v/>
      </c>
      <c r="BR736">
        <f>IFERROR(INDEX(PP_Grid[#Data],$DD736,68),0)</f>
        <v/>
      </c>
      <c r="BS736">
        <f>IFERROR(INDEX(PP_Grid[#Data],$DD736,69),0)</f>
        <v/>
      </c>
      <c r="BT736">
        <f>IFERROR(INDEX(PP_Grid[#Data],$DD736,70),0)</f>
        <v/>
      </c>
      <c r="BU736">
        <f>IFERROR(INDEX(PP_Grid[#Data],$DD736,71),0)</f>
        <v/>
      </c>
      <c r="BV736">
        <f>IFERROR(INDEX(PP_Grid[#Data],$DD736,72),0)</f>
        <v/>
      </c>
      <c r="BW736">
        <f>IFERROR(INDEX(PP_Grid[#Data],$DD736,73),0)</f>
        <v/>
      </c>
      <c r="BX736">
        <f>IFERROR(INDEX(PP_Grid[#Data],$DD736,74),0)</f>
        <v/>
      </c>
      <c r="BY736">
        <f>IFERROR(INDEX(PP_Grid[#Data],$DD736,75),0)</f>
        <v/>
      </c>
      <c r="BZ736">
        <f>IFERROR(INDEX(PP_Grid[#Data],$DD736,76),0)</f>
        <v/>
      </c>
      <c r="CA736">
        <f>IFERROR(INDEX(PP_Grid[#Data],$DD736,77),0)</f>
        <v/>
      </c>
      <c r="CB736">
        <f>IFERROR(INDEX(PP_Grid[#Data],$DD736,78),0)</f>
        <v/>
      </c>
      <c r="CC736">
        <f>IFERROR(INDEX(PP_Grid[#Data],$DD736,79),0)</f>
        <v/>
      </c>
      <c r="CD736">
        <f>IFERROR(INDEX(PP_Grid[#Data],$DD736,80),0)</f>
        <v/>
      </c>
      <c r="CE736">
        <f>IFERROR(INDEX(PP_Grid[#Data],$DD736,81),0)</f>
        <v/>
      </c>
      <c r="CF736">
        <f>IFERROR(INDEX(PP_Grid[#Data],$DD736,82),0)</f>
        <v/>
      </c>
      <c r="CG736">
        <f>IFERROR(INDEX(PP_Grid[#Data],$DD736,83),0)</f>
        <v/>
      </c>
      <c r="CH736">
        <f>IFERROR(INDEX(PP_Grid[#Data],$DD736,84),0)</f>
        <v/>
      </c>
      <c r="CI736">
        <f>IFERROR(INDEX(PP_Grid[#Data],$DD736,85),0)</f>
        <v/>
      </c>
      <c r="CJ736">
        <f>IFERROR(INDEX(PP_Grid[#Data],$DD736,86),0)</f>
        <v/>
      </c>
      <c r="CK736">
        <f>IFERROR(INDEX(PP_Grid[#Data],$DD736,87),0)</f>
        <v/>
      </c>
      <c r="CL736">
        <f>IFERROR(INDEX(PP_Grid[#Data],$DD736,88),0)</f>
        <v/>
      </c>
      <c r="CM736">
        <f>IFERROR(INDEX(PP_Grid[#Data],$DD736,89),0)</f>
        <v/>
      </c>
      <c r="CN736">
        <f>IFERROR(INDEX(PP_Grid[#Data],$DD736,90),0)</f>
        <v/>
      </c>
      <c r="CO736">
        <f>IFERROR(INDEX(PP_Grid[#Data],$DD736,91),0)</f>
        <v/>
      </c>
      <c r="CP736">
        <f>IFERROR(INDEX(PP_Grid[#Data],$DD736,92),0)</f>
        <v/>
      </c>
      <c r="CQ736">
        <f>IFERROR(INDEX(PP_Grid[#Data],$DD736,93),0)</f>
        <v/>
      </c>
      <c r="CR736">
        <f>IFERROR(INDEX(PP_Grid[#Data],$DD736,94),0)</f>
        <v/>
      </c>
      <c r="CS736">
        <f>IFERROR(INDEX(PP_Grid[#Data],$DD736,95),0)</f>
        <v/>
      </c>
      <c r="CT736">
        <f>IFERROR(INDEX(PP_Grid[#Data],$DD736,96),0)</f>
        <v/>
      </c>
      <c r="CU736">
        <f>IFERROR(INDEX(PP_Grid[#Data],$DD736,97),0)</f>
        <v/>
      </c>
      <c r="CV736">
        <f>IFERROR(INDEX(PP_Grid[#Data],$DD736,98),0)</f>
        <v/>
      </c>
      <c r="CW736">
        <f>IFERROR(INDEX(PP_Grid[#Data],$DD736,99),0)</f>
        <v/>
      </c>
      <c r="CX736">
        <f>IFERROR(INDEX(PP_Grid[#Data],$DD736,100),0)</f>
        <v/>
      </c>
      <c r="CY736">
        <f>IFERROR(INDEX(PP_Grid[#Data],$DD736,101),0)</f>
        <v/>
      </c>
      <c r="CZ736">
        <f>IFERROR(INDEX(PP_Grid[#Data],$DD736,102),0)</f>
        <v/>
      </c>
      <c r="DA736">
        <f>IFERROR(INDEX(PP_Grid[#Data],$DD736,103),0)</f>
        <v/>
      </c>
      <c r="DB736">
        <f>IFERROR(INDEX(PP_Grid[#Data],$DD736,104),0)</f>
        <v/>
      </c>
      <c r="DC736">
        <f>IFERROR(INDEX(PP_Grid[#Data],$DD736,105),0)</f>
        <v/>
      </c>
      <c r="DD736" s="7">
        <f>IFERROR(MATCH($B736,PP_Grid[Intermediate],0),99999)</f>
        <v/>
      </c>
    </row>
    <row r="737">
      <c r="B737" t="inlineStr">
        <is>
          <t>使用量(kg)</t>
        </is>
      </c>
      <c r="C737">
        <f>SUMIFS(M_BOM[RM_Qty_Per_Batch],M_BOM[Intermediate],$B736,M_BOM[Part Name],$A723)</f>
        <v/>
      </c>
      <c r="D737">
        <f>$C737*D736</f>
        <v/>
      </c>
      <c r="E737">
        <f>$C737*E736</f>
        <v/>
      </c>
      <c r="F737">
        <f>$C737*F736</f>
        <v/>
      </c>
      <c r="G737">
        <f>$C737*G736</f>
        <v/>
      </c>
      <c r="H737">
        <f>$C737*H736</f>
        <v/>
      </c>
      <c r="I737">
        <f>$C737*I736</f>
        <v/>
      </c>
      <c r="J737">
        <f>$C737*J736</f>
        <v/>
      </c>
      <c r="K737">
        <f>$C737*K736</f>
        <v/>
      </c>
      <c r="L737">
        <f>$C737*L736</f>
        <v/>
      </c>
      <c r="M737">
        <f>$C737*M736</f>
        <v/>
      </c>
      <c r="N737">
        <f>$C737*N736</f>
        <v/>
      </c>
      <c r="O737">
        <f>$C737*O736</f>
        <v/>
      </c>
      <c r="P737">
        <f>$C737*P736</f>
        <v/>
      </c>
      <c r="Q737">
        <f>$C737*Q736</f>
        <v/>
      </c>
      <c r="R737">
        <f>$C737*R736</f>
        <v/>
      </c>
      <c r="S737">
        <f>$C737*S736</f>
        <v/>
      </c>
      <c r="T737">
        <f>$C737*T736</f>
        <v/>
      </c>
      <c r="U737">
        <f>$C737*U736</f>
        <v/>
      </c>
      <c r="V737">
        <f>$C737*V736</f>
        <v/>
      </c>
      <c r="W737">
        <f>$C737*W736</f>
        <v/>
      </c>
      <c r="X737">
        <f>$C737*X736</f>
        <v/>
      </c>
      <c r="Y737">
        <f>$C737*Y736</f>
        <v/>
      </c>
      <c r="Z737">
        <f>$C737*Z736</f>
        <v/>
      </c>
      <c r="AA737">
        <f>$C737*AA736</f>
        <v/>
      </c>
      <c r="AB737">
        <f>$C737*AB736</f>
        <v/>
      </c>
      <c r="AC737">
        <f>$C737*AC736</f>
        <v/>
      </c>
      <c r="AD737">
        <f>$C737*AD736</f>
        <v/>
      </c>
      <c r="AE737">
        <f>$C737*AE736</f>
        <v/>
      </c>
      <c r="AF737">
        <f>$C737*AF736</f>
        <v/>
      </c>
      <c r="AG737">
        <f>$C737*AG736</f>
        <v/>
      </c>
      <c r="AH737">
        <f>$C737*AH736</f>
        <v/>
      </c>
      <c r="AI737">
        <f>$C737*AI736</f>
        <v/>
      </c>
      <c r="AJ737">
        <f>$C737*AJ736</f>
        <v/>
      </c>
      <c r="AK737">
        <f>$C737*AK736</f>
        <v/>
      </c>
      <c r="AL737">
        <f>$C737*AL736</f>
        <v/>
      </c>
      <c r="AM737">
        <f>$C737*AM736</f>
        <v/>
      </c>
      <c r="AN737">
        <f>$C737*AN736</f>
        <v/>
      </c>
      <c r="AO737">
        <f>$C737*AO736</f>
        <v/>
      </c>
      <c r="AP737">
        <f>$C737*AP736</f>
        <v/>
      </c>
      <c r="AQ737">
        <f>$C737*AQ736</f>
        <v/>
      </c>
      <c r="AR737">
        <f>$C737*AR736</f>
        <v/>
      </c>
      <c r="AS737">
        <f>$C737*AS736</f>
        <v/>
      </c>
      <c r="AT737">
        <f>$C737*AT736</f>
        <v/>
      </c>
      <c r="AU737">
        <f>$C737*AU736</f>
        <v/>
      </c>
      <c r="AV737">
        <f>$C737*AV736</f>
        <v/>
      </c>
      <c r="AW737">
        <f>$C737*AW736</f>
        <v/>
      </c>
      <c r="AX737">
        <f>$C737*AX736</f>
        <v/>
      </c>
      <c r="AY737">
        <f>$C737*AY736</f>
        <v/>
      </c>
      <c r="AZ737">
        <f>$C737*AZ736</f>
        <v/>
      </c>
      <c r="BA737">
        <f>$C737*BA736</f>
        <v/>
      </c>
      <c r="BB737">
        <f>$C737*BB736</f>
        <v/>
      </c>
      <c r="BC737">
        <f>$C737*BC736</f>
        <v/>
      </c>
      <c r="BD737">
        <f>$C737*BD736</f>
        <v/>
      </c>
      <c r="BE737">
        <f>$C737*BE736</f>
        <v/>
      </c>
      <c r="BF737">
        <f>$C737*BF736</f>
        <v/>
      </c>
      <c r="BG737">
        <f>$C737*BG736</f>
        <v/>
      </c>
      <c r="BH737">
        <f>$C737*BH736</f>
        <v/>
      </c>
      <c r="BI737">
        <f>$C737*BI736</f>
        <v/>
      </c>
      <c r="BJ737">
        <f>$C737*BJ736</f>
        <v/>
      </c>
      <c r="BK737">
        <f>$C737*BK736</f>
        <v/>
      </c>
      <c r="BL737">
        <f>$C737*BL736</f>
        <v/>
      </c>
      <c r="BM737">
        <f>$C737*BM736</f>
        <v/>
      </c>
      <c r="BN737">
        <f>$C737*BN736</f>
        <v/>
      </c>
      <c r="BO737">
        <f>$C737*BO736</f>
        <v/>
      </c>
      <c r="BP737">
        <f>$C737*BP736</f>
        <v/>
      </c>
      <c r="BQ737">
        <f>$C737*BQ736</f>
        <v/>
      </c>
      <c r="BR737">
        <f>$C737*BR736</f>
        <v/>
      </c>
      <c r="BS737">
        <f>$C737*BS736</f>
        <v/>
      </c>
      <c r="BT737">
        <f>$C737*BT736</f>
        <v/>
      </c>
      <c r="BU737">
        <f>$C737*BU736</f>
        <v/>
      </c>
      <c r="BV737">
        <f>$C737*BV736</f>
        <v/>
      </c>
      <c r="BW737">
        <f>$C737*BW736</f>
        <v/>
      </c>
      <c r="BX737">
        <f>$C737*BX736</f>
        <v/>
      </c>
      <c r="BY737">
        <f>$C737*BY736</f>
        <v/>
      </c>
      <c r="BZ737">
        <f>$C737*BZ736</f>
        <v/>
      </c>
      <c r="CA737">
        <f>$C737*CA736</f>
        <v/>
      </c>
      <c r="CB737">
        <f>$C737*CB736</f>
        <v/>
      </c>
      <c r="CC737">
        <f>$C737*CC736</f>
        <v/>
      </c>
      <c r="CD737">
        <f>$C737*CD736</f>
        <v/>
      </c>
      <c r="CE737">
        <f>$C737*CE736</f>
        <v/>
      </c>
      <c r="CF737">
        <f>$C737*CF736</f>
        <v/>
      </c>
      <c r="CG737">
        <f>$C737*CG736</f>
        <v/>
      </c>
      <c r="CH737">
        <f>$C737*CH736</f>
        <v/>
      </c>
      <c r="CI737">
        <f>$C737*CI736</f>
        <v/>
      </c>
      <c r="CJ737">
        <f>$C737*CJ736</f>
        <v/>
      </c>
      <c r="CK737">
        <f>$C737*CK736</f>
        <v/>
      </c>
      <c r="CL737">
        <f>$C737*CL736</f>
        <v/>
      </c>
      <c r="CM737">
        <f>$C737*CM736</f>
        <v/>
      </c>
      <c r="CN737">
        <f>$C737*CN736</f>
        <v/>
      </c>
      <c r="CO737">
        <f>$C737*CO736</f>
        <v/>
      </c>
      <c r="CP737">
        <f>$C737*CP736</f>
        <v/>
      </c>
      <c r="CQ737">
        <f>$C737*CQ736</f>
        <v/>
      </c>
      <c r="CR737">
        <f>$C737*CR736</f>
        <v/>
      </c>
      <c r="CS737">
        <f>$C737*CS736</f>
        <v/>
      </c>
      <c r="CT737">
        <f>$C737*CT736</f>
        <v/>
      </c>
      <c r="CU737">
        <f>$C737*CU736</f>
        <v/>
      </c>
      <c r="CV737">
        <f>$C737*CV736</f>
        <v/>
      </c>
      <c r="CW737">
        <f>$C737*CW736</f>
        <v/>
      </c>
      <c r="CX737">
        <f>$C737*CX736</f>
        <v/>
      </c>
      <c r="CY737">
        <f>$C737*CY736</f>
        <v/>
      </c>
      <c r="CZ737">
        <f>$C737*CZ736</f>
        <v/>
      </c>
      <c r="DA737">
        <f>$C737*DA736</f>
        <v/>
      </c>
      <c r="DB737">
        <f>$C737*DB736</f>
        <v/>
      </c>
      <c r="DC737">
        <f>$C737*DC736</f>
        <v/>
      </c>
    </row>
    <row r="738">
      <c r="B738" t="inlineStr">
        <is>
          <t>VSP-567</t>
        </is>
      </c>
      <c r="C738" t="inlineStr">
        <is>
          <t>No. of batches</t>
        </is>
      </c>
      <c r="D738">
        <f>IFERROR(INDEX(PP_Grid[#Data],$DD738,2),0)</f>
        <v/>
      </c>
      <c r="E738">
        <f>IFERROR(INDEX(PP_Grid[#Data],$DD738,3),0)</f>
        <v/>
      </c>
      <c r="F738">
        <f>IFERROR(INDEX(PP_Grid[#Data],$DD738,4),0)</f>
        <v/>
      </c>
      <c r="G738">
        <f>IFERROR(INDEX(PP_Grid[#Data],$DD738,5),0)</f>
        <v/>
      </c>
      <c r="H738">
        <f>IFERROR(INDEX(PP_Grid[#Data],$DD738,6),0)</f>
        <v/>
      </c>
      <c r="I738">
        <f>IFERROR(INDEX(PP_Grid[#Data],$DD738,7),0)</f>
        <v/>
      </c>
      <c r="J738">
        <f>IFERROR(INDEX(PP_Grid[#Data],$DD738,8),0)</f>
        <v/>
      </c>
      <c r="K738">
        <f>IFERROR(INDEX(PP_Grid[#Data],$DD738,9),0)</f>
        <v/>
      </c>
      <c r="L738">
        <f>IFERROR(INDEX(PP_Grid[#Data],$DD738,10),0)</f>
        <v/>
      </c>
      <c r="M738">
        <f>IFERROR(INDEX(PP_Grid[#Data],$DD738,11),0)</f>
        <v/>
      </c>
      <c r="N738">
        <f>IFERROR(INDEX(PP_Grid[#Data],$DD738,12),0)</f>
        <v/>
      </c>
      <c r="O738">
        <f>IFERROR(INDEX(PP_Grid[#Data],$DD738,13),0)</f>
        <v/>
      </c>
      <c r="P738">
        <f>IFERROR(INDEX(PP_Grid[#Data],$DD738,14),0)</f>
        <v/>
      </c>
      <c r="Q738">
        <f>IFERROR(INDEX(PP_Grid[#Data],$DD738,15),0)</f>
        <v/>
      </c>
      <c r="R738">
        <f>IFERROR(INDEX(PP_Grid[#Data],$DD738,16),0)</f>
        <v/>
      </c>
      <c r="S738">
        <f>IFERROR(INDEX(PP_Grid[#Data],$DD738,17),0)</f>
        <v/>
      </c>
      <c r="T738">
        <f>IFERROR(INDEX(PP_Grid[#Data],$DD738,18),0)</f>
        <v/>
      </c>
      <c r="U738">
        <f>IFERROR(INDEX(PP_Grid[#Data],$DD738,19),0)</f>
        <v/>
      </c>
      <c r="V738">
        <f>IFERROR(INDEX(PP_Grid[#Data],$DD738,20),0)</f>
        <v/>
      </c>
      <c r="W738">
        <f>IFERROR(INDEX(PP_Grid[#Data],$DD738,21),0)</f>
        <v/>
      </c>
      <c r="X738">
        <f>IFERROR(INDEX(PP_Grid[#Data],$DD738,22),0)</f>
        <v/>
      </c>
      <c r="Y738">
        <f>IFERROR(INDEX(PP_Grid[#Data],$DD738,23),0)</f>
        <v/>
      </c>
      <c r="Z738">
        <f>IFERROR(INDEX(PP_Grid[#Data],$DD738,24),0)</f>
        <v/>
      </c>
      <c r="AA738">
        <f>IFERROR(INDEX(PP_Grid[#Data],$DD738,25),0)</f>
        <v/>
      </c>
      <c r="AB738">
        <f>IFERROR(INDEX(PP_Grid[#Data],$DD738,26),0)</f>
        <v/>
      </c>
      <c r="AC738">
        <f>IFERROR(INDEX(PP_Grid[#Data],$DD738,27),0)</f>
        <v/>
      </c>
      <c r="AD738">
        <f>IFERROR(INDEX(PP_Grid[#Data],$DD738,28),0)</f>
        <v/>
      </c>
      <c r="AE738">
        <f>IFERROR(INDEX(PP_Grid[#Data],$DD738,29),0)</f>
        <v/>
      </c>
      <c r="AF738">
        <f>IFERROR(INDEX(PP_Grid[#Data],$DD738,30),0)</f>
        <v/>
      </c>
      <c r="AG738">
        <f>IFERROR(INDEX(PP_Grid[#Data],$DD738,31),0)</f>
        <v/>
      </c>
      <c r="AH738">
        <f>IFERROR(INDEX(PP_Grid[#Data],$DD738,32),0)</f>
        <v/>
      </c>
      <c r="AI738">
        <f>IFERROR(INDEX(PP_Grid[#Data],$DD738,33),0)</f>
        <v/>
      </c>
      <c r="AJ738">
        <f>IFERROR(INDEX(PP_Grid[#Data],$DD738,34),0)</f>
        <v/>
      </c>
      <c r="AK738">
        <f>IFERROR(INDEX(PP_Grid[#Data],$DD738,35),0)</f>
        <v/>
      </c>
      <c r="AL738">
        <f>IFERROR(INDEX(PP_Grid[#Data],$DD738,36),0)</f>
        <v/>
      </c>
      <c r="AM738">
        <f>IFERROR(INDEX(PP_Grid[#Data],$DD738,37),0)</f>
        <v/>
      </c>
      <c r="AN738">
        <f>IFERROR(INDEX(PP_Grid[#Data],$DD738,38),0)</f>
        <v/>
      </c>
      <c r="AO738">
        <f>IFERROR(INDEX(PP_Grid[#Data],$DD738,39),0)</f>
        <v/>
      </c>
      <c r="AP738">
        <f>IFERROR(INDEX(PP_Grid[#Data],$DD738,40),0)</f>
        <v/>
      </c>
      <c r="AQ738">
        <f>IFERROR(INDEX(PP_Grid[#Data],$DD738,41),0)</f>
        <v/>
      </c>
      <c r="AR738">
        <f>IFERROR(INDEX(PP_Grid[#Data],$DD738,42),0)</f>
        <v/>
      </c>
      <c r="AS738">
        <f>IFERROR(INDEX(PP_Grid[#Data],$DD738,43),0)</f>
        <v/>
      </c>
      <c r="AT738">
        <f>IFERROR(INDEX(PP_Grid[#Data],$DD738,44),0)</f>
        <v/>
      </c>
      <c r="AU738">
        <f>IFERROR(INDEX(PP_Grid[#Data],$DD738,45),0)</f>
        <v/>
      </c>
      <c r="AV738">
        <f>IFERROR(INDEX(PP_Grid[#Data],$DD738,46),0)</f>
        <v/>
      </c>
      <c r="AW738">
        <f>IFERROR(INDEX(PP_Grid[#Data],$DD738,47),0)</f>
        <v/>
      </c>
      <c r="AX738">
        <f>IFERROR(INDEX(PP_Grid[#Data],$DD738,48),0)</f>
        <v/>
      </c>
      <c r="AY738">
        <f>IFERROR(INDEX(PP_Grid[#Data],$DD738,49),0)</f>
        <v/>
      </c>
      <c r="AZ738">
        <f>IFERROR(INDEX(PP_Grid[#Data],$DD738,50),0)</f>
        <v/>
      </c>
      <c r="BA738">
        <f>IFERROR(INDEX(PP_Grid[#Data],$DD738,51),0)</f>
        <v/>
      </c>
      <c r="BB738">
        <f>IFERROR(INDEX(PP_Grid[#Data],$DD738,52),0)</f>
        <v/>
      </c>
      <c r="BC738">
        <f>IFERROR(INDEX(PP_Grid[#Data],$DD738,53),0)</f>
        <v/>
      </c>
      <c r="BD738">
        <f>IFERROR(INDEX(PP_Grid[#Data],$DD738,54),0)</f>
        <v/>
      </c>
      <c r="BE738">
        <f>IFERROR(INDEX(PP_Grid[#Data],$DD738,55),0)</f>
        <v/>
      </c>
      <c r="BF738">
        <f>IFERROR(INDEX(PP_Grid[#Data],$DD738,56),0)</f>
        <v/>
      </c>
      <c r="BG738">
        <f>IFERROR(INDEX(PP_Grid[#Data],$DD738,57),0)</f>
        <v/>
      </c>
      <c r="BH738">
        <f>IFERROR(INDEX(PP_Grid[#Data],$DD738,58),0)</f>
        <v/>
      </c>
      <c r="BI738">
        <f>IFERROR(INDEX(PP_Grid[#Data],$DD738,59),0)</f>
        <v/>
      </c>
      <c r="BJ738">
        <f>IFERROR(INDEX(PP_Grid[#Data],$DD738,60),0)</f>
        <v/>
      </c>
      <c r="BK738">
        <f>IFERROR(INDEX(PP_Grid[#Data],$DD738,61),0)</f>
        <v/>
      </c>
      <c r="BL738">
        <f>IFERROR(INDEX(PP_Grid[#Data],$DD738,62),0)</f>
        <v/>
      </c>
      <c r="BM738">
        <f>IFERROR(INDEX(PP_Grid[#Data],$DD738,63),0)</f>
        <v/>
      </c>
      <c r="BN738">
        <f>IFERROR(INDEX(PP_Grid[#Data],$DD738,64),0)</f>
        <v/>
      </c>
      <c r="BO738">
        <f>IFERROR(INDEX(PP_Grid[#Data],$DD738,65),0)</f>
        <v/>
      </c>
      <c r="BP738">
        <f>IFERROR(INDEX(PP_Grid[#Data],$DD738,66),0)</f>
        <v/>
      </c>
      <c r="BQ738">
        <f>IFERROR(INDEX(PP_Grid[#Data],$DD738,67),0)</f>
        <v/>
      </c>
      <c r="BR738">
        <f>IFERROR(INDEX(PP_Grid[#Data],$DD738,68),0)</f>
        <v/>
      </c>
      <c r="BS738">
        <f>IFERROR(INDEX(PP_Grid[#Data],$DD738,69),0)</f>
        <v/>
      </c>
      <c r="BT738">
        <f>IFERROR(INDEX(PP_Grid[#Data],$DD738,70),0)</f>
        <v/>
      </c>
      <c r="BU738">
        <f>IFERROR(INDEX(PP_Grid[#Data],$DD738,71),0)</f>
        <v/>
      </c>
      <c r="BV738">
        <f>IFERROR(INDEX(PP_Grid[#Data],$DD738,72),0)</f>
        <v/>
      </c>
      <c r="BW738">
        <f>IFERROR(INDEX(PP_Grid[#Data],$DD738,73),0)</f>
        <v/>
      </c>
      <c r="BX738">
        <f>IFERROR(INDEX(PP_Grid[#Data],$DD738,74),0)</f>
        <v/>
      </c>
      <c r="BY738">
        <f>IFERROR(INDEX(PP_Grid[#Data],$DD738,75),0)</f>
        <v/>
      </c>
      <c r="BZ738">
        <f>IFERROR(INDEX(PP_Grid[#Data],$DD738,76),0)</f>
        <v/>
      </c>
      <c r="CA738">
        <f>IFERROR(INDEX(PP_Grid[#Data],$DD738,77),0)</f>
        <v/>
      </c>
      <c r="CB738">
        <f>IFERROR(INDEX(PP_Grid[#Data],$DD738,78),0)</f>
        <v/>
      </c>
      <c r="CC738">
        <f>IFERROR(INDEX(PP_Grid[#Data],$DD738,79),0)</f>
        <v/>
      </c>
      <c r="CD738">
        <f>IFERROR(INDEX(PP_Grid[#Data],$DD738,80),0)</f>
        <v/>
      </c>
      <c r="CE738">
        <f>IFERROR(INDEX(PP_Grid[#Data],$DD738,81),0)</f>
        <v/>
      </c>
      <c r="CF738">
        <f>IFERROR(INDEX(PP_Grid[#Data],$DD738,82),0)</f>
        <v/>
      </c>
      <c r="CG738">
        <f>IFERROR(INDEX(PP_Grid[#Data],$DD738,83),0)</f>
        <v/>
      </c>
      <c r="CH738">
        <f>IFERROR(INDEX(PP_Grid[#Data],$DD738,84),0)</f>
        <v/>
      </c>
      <c r="CI738">
        <f>IFERROR(INDEX(PP_Grid[#Data],$DD738,85),0)</f>
        <v/>
      </c>
      <c r="CJ738">
        <f>IFERROR(INDEX(PP_Grid[#Data],$DD738,86),0)</f>
        <v/>
      </c>
      <c r="CK738">
        <f>IFERROR(INDEX(PP_Grid[#Data],$DD738,87),0)</f>
        <v/>
      </c>
      <c r="CL738">
        <f>IFERROR(INDEX(PP_Grid[#Data],$DD738,88),0)</f>
        <v/>
      </c>
      <c r="CM738">
        <f>IFERROR(INDEX(PP_Grid[#Data],$DD738,89),0)</f>
        <v/>
      </c>
      <c r="CN738">
        <f>IFERROR(INDEX(PP_Grid[#Data],$DD738,90),0)</f>
        <v/>
      </c>
      <c r="CO738">
        <f>IFERROR(INDEX(PP_Grid[#Data],$DD738,91),0)</f>
        <v/>
      </c>
      <c r="CP738">
        <f>IFERROR(INDEX(PP_Grid[#Data],$DD738,92),0)</f>
        <v/>
      </c>
      <c r="CQ738">
        <f>IFERROR(INDEX(PP_Grid[#Data],$DD738,93),0)</f>
        <v/>
      </c>
      <c r="CR738">
        <f>IFERROR(INDEX(PP_Grid[#Data],$DD738,94),0)</f>
        <v/>
      </c>
      <c r="CS738">
        <f>IFERROR(INDEX(PP_Grid[#Data],$DD738,95),0)</f>
        <v/>
      </c>
      <c r="CT738">
        <f>IFERROR(INDEX(PP_Grid[#Data],$DD738,96),0)</f>
        <v/>
      </c>
      <c r="CU738">
        <f>IFERROR(INDEX(PP_Grid[#Data],$DD738,97),0)</f>
        <v/>
      </c>
      <c r="CV738">
        <f>IFERROR(INDEX(PP_Grid[#Data],$DD738,98),0)</f>
        <v/>
      </c>
      <c r="CW738">
        <f>IFERROR(INDEX(PP_Grid[#Data],$DD738,99),0)</f>
        <v/>
      </c>
      <c r="CX738">
        <f>IFERROR(INDEX(PP_Grid[#Data],$DD738,100),0)</f>
        <v/>
      </c>
      <c r="CY738">
        <f>IFERROR(INDEX(PP_Grid[#Data],$DD738,101),0)</f>
        <v/>
      </c>
      <c r="CZ738">
        <f>IFERROR(INDEX(PP_Grid[#Data],$DD738,102),0)</f>
        <v/>
      </c>
      <c r="DA738">
        <f>IFERROR(INDEX(PP_Grid[#Data],$DD738,103),0)</f>
        <v/>
      </c>
      <c r="DB738">
        <f>IFERROR(INDEX(PP_Grid[#Data],$DD738,104),0)</f>
        <v/>
      </c>
      <c r="DC738">
        <f>IFERROR(INDEX(PP_Grid[#Data],$DD738,105),0)</f>
        <v/>
      </c>
      <c r="DD738" s="7">
        <f>IFERROR(MATCH($B738,PP_Grid[Intermediate],0),99999)</f>
        <v/>
      </c>
    </row>
    <row r="739">
      <c r="B739" t="inlineStr">
        <is>
          <t>使用量(kg)</t>
        </is>
      </c>
      <c r="C739">
        <f>SUMIFS(M_BOM[RM_Qty_Per_Batch],M_BOM[Intermediate],$B738,M_BOM[Part Name],$A723)</f>
        <v/>
      </c>
      <c r="D739">
        <f>$C739*D738</f>
        <v/>
      </c>
      <c r="E739">
        <f>$C739*E738</f>
        <v/>
      </c>
      <c r="F739">
        <f>$C739*F738</f>
        <v/>
      </c>
      <c r="G739">
        <f>$C739*G738</f>
        <v/>
      </c>
      <c r="H739">
        <f>$C739*H738</f>
        <v/>
      </c>
      <c r="I739">
        <f>$C739*I738</f>
        <v/>
      </c>
      <c r="J739">
        <f>$C739*J738</f>
        <v/>
      </c>
      <c r="K739">
        <f>$C739*K738</f>
        <v/>
      </c>
      <c r="L739">
        <f>$C739*L738</f>
        <v/>
      </c>
      <c r="M739">
        <f>$C739*M738</f>
        <v/>
      </c>
      <c r="N739">
        <f>$C739*N738</f>
        <v/>
      </c>
      <c r="O739">
        <f>$C739*O738</f>
        <v/>
      </c>
      <c r="P739">
        <f>$C739*P738</f>
        <v/>
      </c>
      <c r="Q739">
        <f>$C739*Q738</f>
        <v/>
      </c>
      <c r="R739">
        <f>$C739*R738</f>
        <v/>
      </c>
      <c r="S739">
        <f>$C739*S738</f>
        <v/>
      </c>
      <c r="T739">
        <f>$C739*T738</f>
        <v/>
      </c>
      <c r="U739">
        <f>$C739*U738</f>
        <v/>
      </c>
      <c r="V739">
        <f>$C739*V738</f>
        <v/>
      </c>
      <c r="W739">
        <f>$C739*W738</f>
        <v/>
      </c>
      <c r="X739">
        <f>$C739*X738</f>
        <v/>
      </c>
      <c r="Y739">
        <f>$C739*Y738</f>
        <v/>
      </c>
      <c r="Z739">
        <f>$C739*Z738</f>
        <v/>
      </c>
      <c r="AA739">
        <f>$C739*AA738</f>
        <v/>
      </c>
      <c r="AB739">
        <f>$C739*AB738</f>
        <v/>
      </c>
      <c r="AC739">
        <f>$C739*AC738</f>
        <v/>
      </c>
      <c r="AD739">
        <f>$C739*AD738</f>
        <v/>
      </c>
      <c r="AE739">
        <f>$C739*AE738</f>
        <v/>
      </c>
      <c r="AF739">
        <f>$C739*AF738</f>
        <v/>
      </c>
      <c r="AG739">
        <f>$C739*AG738</f>
        <v/>
      </c>
      <c r="AH739">
        <f>$C739*AH738</f>
        <v/>
      </c>
      <c r="AI739">
        <f>$C739*AI738</f>
        <v/>
      </c>
      <c r="AJ739">
        <f>$C739*AJ738</f>
        <v/>
      </c>
      <c r="AK739">
        <f>$C739*AK738</f>
        <v/>
      </c>
      <c r="AL739">
        <f>$C739*AL738</f>
        <v/>
      </c>
      <c r="AM739">
        <f>$C739*AM738</f>
        <v/>
      </c>
      <c r="AN739">
        <f>$C739*AN738</f>
        <v/>
      </c>
      <c r="AO739">
        <f>$C739*AO738</f>
        <v/>
      </c>
      <c r="AP739">
        <f>$C739*AP738</f>
        <v/>
      </c>
      <c r="AQ739">
        <f>$C739*AQ738</f>
        <v/>
      </c>
      <c r="AR739">
        <f>$C739*AR738</f>
        <v/>
      </c>
      <c r="AS739">
        <f>$C739*AS738</f>
        <v/>
      </c>
      <c r="AT739">
        <f>$C739*AT738</f>
        <v/>
      </c>
      <c r="AU739">
        <f>$C739*AU738</f>
        <v/>
      </c>
      <c r="AV739">
        <f>$C739*AV738</f>
        <v/>
      </c>
      <c r="AW739">
        <f>$C739*AW738</f>
        <v/>
      </c>
      <c r="AX739">
        <f>$C739*AX738</f>
        <v/>
      </c>
      <c r="AY739">
        <f>$C739*AY738</f>
        <v/>
      </c>
      <c r="AZ739">
        <f>$C739*AZ738</f>
        <v/>
      </c>
      <c r="BA739">
        <f>$C739*BA738</f>
        <v/>
      </c>
      <c r="BB739">
        <f>$C739*BB738</f>
        <v/>
      </c>
      <c r="BC739">
        <f>$C739*BC738</f>
        <v/>
      </c>
      <c r="BD739">
        <f>$C739*BD738</f>
        <v/>
      </c>
      <c r="BE739">
        <f>$C739*BE738</f>
        <v/>
      </c>
      <c r="BF739">
        <f>$C739*BF738</f>
        <v/>
      </c>
      <c r="BG739">
        <f>$C739*BG738</f>
        <v/>
      </c>
      <c r="BH739">
        <f>$C739*BH738</f>
        <v/>
      </c>
      <c r="BI739">
        <f>$C739*BI738</f>
        <v/>
      </c>
      <c r="BJ739">
        <f>$C739*BJ738</f>
        <v/>
      </c>
      <c r="BK739">
        <f>$C739*BK738</f>
        <v/>
      </c>
      <c r="BL739">
        <f>$C739*BL738</f>
        <v/>
      </c>
      <c r="BM739">
        <f>$C739*BM738</f>
        <v/>
      </c>
      <c r="BN739">
        <f>$C739*BN738</f>
        <v/>
      </c>
      <c r="BO739">
        <f>$C739*BO738</f>
        <v/>
      </c>
      <c r="BP739">
        <f>$C739*BP738</f>
        <v/>
      </c>
      <c r="BQ739">
        <f>$C739*BQ738</f>
        <v/>
      </c>
      <c r="BR739">
        <f>$C739*BR738</f>
        <v/>
      </c>
      <c r="BS739">
        <f>$C739*BS738</f>
        <v/>
      </c>
      <c r="BT739">
        <f>$C739*BT738</f>
        <v/>
      </c>
      <c r="BU739">
        <f>$C739*BU738</f>
        <v/>
      </c>
      <c r="BV739">
        <f>$C739*BV738</f>
        <v/>
      </c>
      <c r="BW739">
        <f>$C739*BW738</f>
        <v/>
      </c>
      <c r="BX739">
        <f>$C739*BX738</f>
        <v/>
      </c>
      <c r="BY739">
        <f>$C739*BY738</f>
        <v/>
      </c>
      <c r="BZ739">
        <f>$C739*BZ738</f>
        <v/>
      </c>
      <c r="CA739">
        <f>$C739*CA738</f>
        <v/>
      </c>
      <c r="CB739">
        <f>$C739*CB738</f>
        <v/>
      </c>
      <c r="CC739">
        <f>$C739*CC738</f>
        <v/>
      </c>
      <c r="CD739">
        <f>$C739*CD738</f>
        <v/>
      </c>
      <c r="CE739">
        <f>$C739*CE738</f>
        <v/>
      </c>
      <c r="CF739">
        <f>$C739*CF738</f>
        <v/>
      </c>
      <c r="CG739">
        <f>$C739*CG738</f>
        <v/>
      </c>
      <c r="CH739">
        <f>$C739*CH738</f>
        <v/>
      </c>
      <c r="CI739">
        <f>$C739*CI738</f>
        <v/>
      </c>
      <c r="CJ739">
        <f>$C739*CJ738</f>
        <v/>
      </c>
      <c r="CK739">
        <f>$C739*CK738</f>
        <v/>
      </c>
      <c r="CL739">
        <f>$C739*CL738</f>
        <v/>
      </c>
      <c r="CM739">
        <f>$C739*CM738</f>
        <v/>
      </c>
      <c r="CN739">
        <f>$C739*CN738</f>
        <v/>
      </c>
      <c r="CO739">
        <f>$C739*CO738</f>
        <v/>
      </c>
      <c r="CP739">
        <f>$C739*CP738</f>
        <v/>
      </c>
      <c r="CQ739">
        <f>$C739*CQ738</f>
        <v/>
      </c>
      <c r="CR739">
        <f>$C739*CR738</f>
        <v/>
      </c>
      <c r="CS739">
        <f>$C739*CS738</f>
        <v/>
      </c>
      <c r="CT739">
        <f>$C739*CT738</f>
        <v/>
      </c>
      <c r="CU739">
        <f>$C739*CU738</f>
        <v/>
      </c>
      <c r="CV739">
        <f>$C739*CV738</f>
        <v/>
      </c>
      <c r="CW739">
        <f>$C739*CW738</f>
        <v/>
      </c>
      <c r="CX739">
        <f>$C739*CX738</f>
        <v/>
      </c>
      <c r="CY739">
        <f>$C739*CY738</f>
        <v/>
      </c>
      <c r="CZ739">
        <f>$C739*CZ738</f>
        <v/>
      </c>
      <c r="DA739">
        <f>$C739*DA738</f>
        <v/>
      </c>
      <c r="DB739">
        <f>$C739*DB738</f>
        <v/>
      </c>
      <c r="DC739">
        <f>$C739*DC738</f>
        <v/>
      </c>
    </row>
    <row r="740">
      <c r="B740" t="inlineStr">
        <is>
          <t>VSP-602</t>
        </is>
      </c>
      <c r="C740" t="inlineStr">
        <is>
          <t>No. of batches</t>
        </is>
      </c>
      <c r="D740">
        <f>IFERROR(INDEX(PP_Grid[#Data],$DD740,2),0)</f>
        <v/>
      </c>
      <c r="E740">
        <f>IFERROR(INDEX(PP_Grid[#Data],$DD740,3),0)</f>
        <v/>
      </c>
      <c r="F740">
        <f>IFERROR(INDEX(PP_Grid[#Data],$DD740,4),0)</f>
        <v/>
      </c>
      <c r="G740">
        <f>IFERROR(INDEX(PP_Grid[#Data],$DD740,5),0)</f>
        <v/>
      </c>
      <c r="H740">
        <f>IFERROR(INDEX(PP_Grid[#Data],$DD740,6),0)</f>
        <v/>
      </c>
      <c r="I740">
        <f>IFERROR(INDEX(PP_Grid[#Data],$DD740,7),0)</f>
        <v/>
      </c>
      <c r="J740">
        <f>IFERROR(INDEX(PP_Grid[#Data],$DD740,8),0)</f>
        <v/>
      </c>
      <c r="K740">
        <f>IFERROR(INDEX(PP_Grid[#Data],$DD740,9),0)</f>
        <v/>
      </c>
      <c r="L740">
        <f>IFERROR(INDEX(PP_Grid[#Data],$DD740,10),0)</f>
        <v/>
      </c>
      <c r="M740">
        <f>IFERROR(INDEX(PP_Grid[#Data],$DD740,11),0)</f>
        <v/>
      </c>
      <c r="N740">
        <f>IFERROR(INDEX(PP_Grid[#Data],$DD740,12),0)</f>
        <v/>
      </c>
      <c r="O740">
        <f>IFERROR(INDEX(PP_Grid[#Data],$DD740,13),0)</f>
        <v/>
      </c>
      <c r="P740">
        <f>IFERROR(INDEX(PP_Grid[#Data],$DD740,14),0)</f>
        <v/>
      </c>
      <c r="Q740">
        <f>IFERROR(INDEX(PP_Grid[#Data],$DD740,15),0)</f>
        <v/>
      </c>
      <c r="R740">
        <f>IFERROR(INDEX(PP_Grid[#Data],$DD740,16),0)</f>
        <v/>
      </c>
      <c r="S740">
        <f>IFERROR(INDEX(PP_Grid[#Data],$DD740,17),0)</f>
        <v/>
      </c>
      <c r="T740">
        <f>IFERROR(INDEX(PP_Grid[#Data],$DD740,18),0)</f>
        <v/>
      </c>
      <c r="U740">
        <f>IFERROR(INDEX(PP_Grid[#Data],$DD740,19),0)</f>
        <v/>
      </c>
      <c r="V740">
        <f>IFERROR(INDEX(PP_Grid[#Data],$DD740,20),0)</f>
        <v/>
      </c>
      <c r="W740">
        <f>IFERROR(INDEX(PP_Grid[#Data],$DD740,21),0)</f>
        <v/>
      </c>
      <c r="X740">
        <f>IFERROR(INDEX(PP_Grid[#Data],$DD740,22),0)</f>
        <v/>
      </c>
      <c r="Y740">
        <f>IFERROR(INDEX(PP_Grid[#Data],$DD740,23),0)</f>
        <v/>
      </c>
      <c r="Z740">
        <f>IFERROR(INDEX(PP_Grid[#Data],$DD740,24),0)</f>
        <v/>
      </c>
      <c r="AA740">
        <f>IFERROR(INDEX(PP_Grid[#Data],$DD740,25),0)</f>
        <v/>
      </c>
      <c r="AB740">
        <f>IFERROR(INDEX(PP_Grid[#Data],$DD740,26),0)</f>
        <v/>
      </c>
      <c r="AC740">
        <f>IFERROR(INDEX(PP_Grid[#Data],$DD740,27),0)</f>
        <v/>
      </c>
      <c r="AD740">
        <f>IFERROR(INDEX(PP_Grid[#Data],$DD740,28),0)</f>
        <v/>
      </c>
      <c r="AE740">
        <f>IFERROR(INDEX(PP_Grid[#Data],$DD740,29),0)</f>
        <v/>
      </c>
      <c r="AF740">
        <f>IFERROR(INDEX(PP_Grid[#Data],$DD740,30),0)</f>
        <v/>
      </c>
      <c r="AG740">
        <f>IFERROR(INDEX(PP_Grid[#Data],$DD740,31),0)</f>
        <v/>
      </c>
      <c r="AH740">
        <f>IFERROR(INDEX(PP_Grid[#Data],$DD740,32),0)</f>
        <v/>
      </c>
      <c r="AI740">
        <f>IFERROR(INDEX(PP_Grid[#Data],$DD740,33),0)</f>
        <v/>
      </c>
      <c r="AJ740">
        <f>IFERROR(INDEX(PP_Grid[#Data],$DD740,34),0)</f>
        <v/>
      </c>
      <c r="AK740">
        <f>IFERROR(INDEX(PP_Grid[#Data],$DD740,35),0)</f>
        <v/>
      </c>
      <c r="AL740">
        <f>IFERROR(INDEX(PP_Grid[#Data],$DD740,36),0)</f>
        <v/>
      </c>
      <c r="AM740">
        <f>IFERROR(INDEX(PP_Grid[#Data],$DD740,37),0)</f>
        <v/>
      </c>
      <c r="AN740">
        <f>IFERROR(INDEX(PP_Grid[#Data],$DD740,38),0)</f>
        <v/>
      </c>
      <c r="AO740">
        <f>IFERROR(INDEX(PP_Grid[#Data],$DD740,39),0)</f>
        <v/>
      </c>
      <c r="AP740">
        <f>IFERROR(INDEX(PP_Grid[#Data],$DD740,40),0)</f>
        <v/>
      </c>
      <c r="AQ740">
        <f>IFERROR(INDEX(PP_Grid[#Data],$DD740,41),0)</f>
        <v/>
      </c>
      <c r="AR740">
        <f>IFERROR(INDEX(PP_Grid[#Data],$DD740,42),0)</f>
        <v/>
      </c>
      <c r="AS740">
        <f>IFERROR(INDEX(PP_Grid[#Data],$DD740,43),0)</f>
        <v/>
      </c>
      <c r="AT740">
        <f>IFERROR(INDEX(PP_Grid[#Data],$DD740,44),0)</f>
        <v/>
      </c>
      <c r="AU740">
        <f>IFERROR(INDEX(PP_Grid[#Data],$DD740,45),0)</f>
        <v/>
      </c>
      <c r="AV740">
        <f>IFERROR(INDEX(PP_Grid[#Data],$DD740,46),0)</f>
        <v/>
      </c>
      <c r="AW740">
        <f>IFERROR(INDEX(PP_Grid[#Data],$DD740,47),0)</f>
        <v/>
      </c>
      <c r="AX740">
        <f>IFERROR(INDEX(PP_Grid[#Data],$DD740,48),0)</f>
        <v/>
      </c>
      <c r="AY740">
        <f>IFERROR(INDEX(PP_Grid[#Data],$DD740,49),0)</f>
        <v/>
      </c>
      <c r="AZ740">
        <f>IFERROR(INDEX(PP_Grid[#Data],$DD740,50),0)</f>
        <v/>
      </c>
      <c r="BA740">
        <f>IFERROR(INDEX(PP_Grid[#Data],$DD740,51),0)</f>
        <v/>
      </c>
      <c r="BB740">
        <f>IFERROR(INDEX(PP_Grid[#Data],$DD740,52),0)</f>
        <v/>
      </c>
      <c r="BC740">
        <f>IFERROR(INDEX(PP_Grid[#Data],$DD740,53),0)</f>
        <v/>
      </c>
      <c r="BD740">
        <f>IFERROR(INDEX(PP_Grid[#Data],$DD740,54),0)</f>
        <v/>
      </c>
      <c r="BE740">
        <f>IFERROR(INDEX(PP_Grid[#Data],$DD740,55),0)</f>
        <v/>
      </c>
      <c r="BF740">
        <f>IFERROR(INDEX(PP_Grid[#Data],$DD740,56),0)</f>
        <v/>
      </c>
      <c r="BG740">
        <f>IFERROR(INDEX(PP_Grid[#Data],$DD740,57),0)</f>
        <v/>
      </c>
      <c r="BH740">
        <f>IFERROR(INDEX(PP_Grid[#Data],$DD740,58),0)</f>
        <v/>
      </c>
      <c r="BI740">
        <f>IFERROR(INDEX(PP_Grid[#Data],$DD740,59),0)</f>
        <v/>
      </c>
      <c r="BJ740">
        <f>IFERROR(INDEX(PP_Grid[#Data],$DD740,60),0)</f>
        <v/>
      </c>
      <c r="BK740">
        <f>IFERROR(INDEX(PP_Grid[#Data],$DD740,61),0)</f>
        <v/>
      </c>
      <c r="BL740">
        <f>IFERROR(INDEX(PP_Grid[#Data],$DD740,62),0)</f>
        <v/>
      </c>
      <c r="BM740">
        <f>IFERROR(INDEX(PP_Grid[#Data],$DD740,63),0)</f>
        <v/>
      </c>
      <c r="BN740">
        <f>IFERROR(INDEX(PP_Grid[#Data],$DD740,64),0)</f>
        <v/>
      </c>
      <c r="BO740">
        <f>IFERROR(INDEX(PP_Grid[#Data],$DD740,65),0)</f>
        <v/>
      </c>
      <c r="BP740">
        <f>IFERROR(INDEX(PP_Grid[#Data],$DD740,66),0)</f>
        <v/>
      </c>
      <c r="BQ740">
        <f>IFERROR(INDEX(PP_Grid[#Data],$DD740,67),0)</f>
        <v/>
      </c>
      <c r="BR740">
        <f>IFERROR(INDEX(PP_Grid[#Data],$DD740,68),0)</f>
        <v/>
      </c>
      <c r="BS740">
        <f>IFERROR(INDEX(PP_Grid[#Data],$DD740,69),0)</f>
        <v/>
      </c>
      <c r="BT740">
        <f>IFERROR(INDEX(PP_Grid[#Data],$DD740,70),0)</f>
        <v/>
      </c>
      <c r="BU740">
        <f>IFERROR(INDEX(PP_Grid[#Data],$DD740,71),0)</f>
        <v/>
      </c>
      <c r="BV740">
        <f>IFERROR(INDEX(PP_Grid[#Data],$DD740,72),0)</f>
        <v/>
      </c>
      <c r="BW740">
        <f>IFERROR(INDEX(PP_Grid[#Data],$DD740,73),0)</f>
        <v/>
      </c>
      <c r="BX740">
        <f>IFERROR(INDEX(PP_Grid[#Data],$DD740,74),0)</f>
        <v/>
      </c>
      <c r="BY740">
        <f>IFERROR(INDEX(PP_Grid[#Data],$DD740,75),0)</f>
        <v/>
      </c>
      <c r="BZ740">
        <f>IFERROR(INDEX(PP_Grid[#Data],$DD740,76),0)</f>
        <v/>
      </c>
      <c r="CA740">
        <f>IFERROR(INDEX(PP_Grid[#Data],$DD740,77),0)</f>
        <v/>
      </c>
      <c r="CB740">
        <f>IFERROR(INDEX(PP_Grid[#Data],$DD740,78),0)</f>
        <v/>
      </c>
      <c r="CC740">
        <f>IFERROR(INDEX(PP_Grid[#Data],$DD740,79),0)</f>
        <v/>
      </c>
      <c r="CD740">
        <f>IFERROR(INDEX(PP_Grid[#Data],$DD740,80),0)</f>
        <v/>
      </c>
      <c r="CE740">
        <f>IFERROR(INDEX(PP_Grid[#Data],$DD740,81),0)</f>
        <v/>
      </c>
      <c r="CF740">
        <f>IFERROR(INDEX(PP_Grid[#Data],$DD740,82),0)</f>
        <v/>
      </c>
      <c r="CG740">
        <f>IFERROR(INDEX(PP_Grid[#Data],$DD740,83),0)</f>
        <v/>
      </c>
      <c r="CH740">
        <f>IFERROR(INDEX(PP_Grid[#Data],$DD740,84),0)</f>
        <v/>
      </c>
      <c r="CI740">
        <f>IFERROR(INDEX(PP_Grid[#Data],$DD740,85),0)</f>
        <v/>
      </c>
      <c r="CJ740">
        <f>IFERROR(INDEX(PP_Grid[#Data],$DD740,86),0)</f>
        <v/>
      </c>
      <c r="CK740">
        <f>IFERROR(INDEX(PP_Grid[#Data],$DD740,87),0)</f>
        <v/>
      </c>
      <c r="CL740">
        <f>IFERROR(INDEX(PP_Grid[#Data],$DD740,88),0)</f>
        <v/>
      </c>
      <c r="CM740">
        <f>IFERROR(INDEX(PP_Grid[#Data],$DD740,89),0)</f>
        <v/>
      </c>
      <c r="CN740">
        <f>IFERROR(INDEX(PP_Grid[#Data],$DD740,90),0)</f>
        <v/>
      </c>
      <c r="CO740">
        <f>IFERROR(INDEX(PP_Grid[#Data],$DD740,91),0)</f>
        <v/>
      </c>
      <c r="CP740">
        <f>IFERROR(INDEX(PP_Grid[#Data],$DD740,92),0)</f>
        <v/>
      </c>
      <c r="CQ740">
        <f>IFERROR(INDEX(PP_Grid[#Data],$DD740,93),0)</f>
        <v/>
      </c>
      <c r="CR740">
        <f>IFERROR(INDEX(PP_Grid[#Data],$DD740,94),0)</f>
        <v/>
      </c>
      <c r="CS740">
        <f>IFERROR(INDEX(PP_Grid[#Data],$DD740,95),0)</f>
        <v/>
      </c>
      <c r="CT740">
        <f>IFERROR(INDEX(PP_Grid[#Data],$DD740,96),0)</f>
        <v/>
      </c>
      <c r="CU740">
        <f>IFERROR(INDEX(PP_Grid[#Data],$DD740,97),0)</f>
        <v/>
      </c>
      <c r="CV740">
        <f>IFERROR(INDEX(PP_Grid[#Data],$DD740,98),0)</f>
        <v/>
      </c>
      <c r="CW740">
        <f>IFERROR(INDEX(PP_Grid[#Data],$DD740,99),0)</f>
        <v/>
      </c>
      <c r="CX740">
        <f>IFERROR(INDEX(PP_Grid[#Data],$DD740,100),0)</f>
        <v/>
      </c>
      <c r="CY740">
        <f>IFERROR(INDEX(PP_Grid[#Data],$DD740,101),0)</f>
        <v/>
      </c>
      <c r="CZ740">
        <f>IFERROR(INDEX(PP_Grid[#Data],$DD740,102),0)</f>
        <v/>
      </c>
      <c r="DA740">
        <f>IFERROR(INDEX(PP_Grid[#Data],$DD740,103),0)</f>
        <v/>
      </c>
      <c r="DB740">
        <f>IFERROR(INDEX(PP_Grid[#Data],$DD740,104),0)</f>
        <v/>
      </c>
      <c r="DC740">
        <f>IFERROR(INDEX(PP_Grid[#Data],$DD740,105),0)</f>
        <v/>
      </c>
      <c r="DD740" s="7">
        <f>IFERROR(MATCH($B740,PP_Grid[Intermediate],0),99999)</f>
        <v/>
      </c>
    </row>
    <row r="741">
      <c r="B741" t="inlineStr">
        <is>
          <t>使用量(kg)</t>
        </is>
      </c>
      <c r="C741">
        <f>SUMIFS(M_BOM[RM_Qty_Per_Batch],M_BOM[Intermediate],$B740,M_BOM[Part Name],$A723)</f>
        <v/>
      </c>
      <c r="D741">
        <f>$C741*D740</f>
        <v/>
      </c>
      <c r="E741">
        <f>$C741*E740</f>
        <v/>
      </c>
      <c r="F741">
        <f>$C741*F740</f>
        <v/>
      </c>
      <c r="G741">
        <f>$C741*G740</f>
        <v/>
      </c>
      <c r="H741">
        <f>$C741*H740</f>
        <v/>
      </c>
      <c r="I741">
        <f>$C741*I740</f>
        <v/>
      </c>
      <c r="J741">
        <f>$C741*J740</f>
        <v/>
      </c>
      <c r="K741">
        <f>$C741*K740</f>
        <v/>
      </c>
      <c r="L741">
        <f>$C741*L740</f>
        <v/>
      </c>
      <c r="M741">
        <f>$C741*M740</f>
        <v/>
      </c>
      <c r="N741">
        <f>$C741*N740</f>
        <v/>
      </c>
      <c r="O741">
        <f>$C741*O740</f>
        <v/>
      </c>
      <c r="P741">
        <f>$C741*P740</f>
        <v/>
      </c>
      <c r="Q741">
        <f>$C741*Q740</f>
        <v/>
      </c>
      <c r="R741">
        <f>$C741*R740</f>
        <v/>
      </c>
      <c r="S741">
        <f>$C741*S740</f>
        <v/>
      </c>
      <c r="T741">
        <f>$C741*T740</f>
        <v/>
      </c>
      <c r="U741">
        <f>$C741*U740</f>
        <v/>
      </c>
      <c r="V741">
        <f>$C741*V740</f>
        <v/>
      </c>
      <c r="W741">
        <f>$C741*W740</f>
        <v/>
      </c>
      <c r="X741">
        <f>$C741*X740</f>
        <v/>
      </c>
      <c r="Y741">
        <f>$C741*Y740</f>
        <v/>
      </c>
      <c r="Z741">
        <f>$C741*Z740</f>
        <v/>
      </c>
      <c r="AA741">
        <f>$C741*AA740</f>
        <v/>
      </c>
      <c r="AB741">
        <f>$C741*AB740</f>
        <v/>
      </c>
      <c r="AC741">
        <f>$C741*AC740</f>
        <v/>
      </c>
      <c r="AD741">
        <f>$C741*AD740</f>
        <v/>
      </c>
      <c r="AE741">
        <f>$C741*AE740</f>
        <v/>
      </c>
      <c r="AF741">
        <f>$C741*AF740</f>
        <v/>
      </c>
      <c r="AG741">
        <f>$C741*AG740</f>
        <v/>
      </c>
      <c r="AH741">
        <f>$C741*AH740</f>
        <v/>
      </c>
      <c r="AI741">
        <f>$C741*AI740</f>
        <v/>
      </c>
      <c r="AJ741">
        <f>$C741*AJ740</f>
        <v/>
      </c>
      <c r="AK741">
        <f>$C741*AK740</f>
        <v/>
      </c>
      <c r="AL741">
        <f>$C741*AL740</f>
        <v/>
      </c>
      <c r="AM741">
        <f>$C741*AM740</f>
        <v/>
      </c>
      <c r="AN741">
        <f>$C741*AN740</f>
        <v/>
      </c>
      <c r="AO741">
        <f>$C741*AO740</f>
        <v/>
      </c>
      <c r="AP741">
        <f>$C741*AP740</f>
        <v/>
      </c>
      <c r="AQ741">
        <f>$C741*AQ740</f>
        <v/>
      </c>
      <c r="AR741">
        <f>$C741*AR740</f>
        <v/>
      </c>
      <c r="AS741">
        <f>$C741*AS740</f>
        <v/>
      </c>
      <c r="AT741">
        <f>$C741*AT740</f>
        <v/>
      </c>
      <c r="AU741">
        <f>$C741*AU740</f>
        <v/>
      </c>
      <c r="AV741">
        <f>$C741*AV740</f>
        <v/>
      </c>
      <c r="AW741">
        <f>$C741*AW740</f>
        <v/>
      </c>
      <c r="AX741">
        <f>$C741*AX740</f>
        <v/>
      </c>
      <c r="AY741">
        <f>$C741*AY740</f>
        <v/>
      </c>
      <c r="AZ741">
        <f>$C741*AZ740</f>
        <v/>
      </c>
      <c r="BA741">
        <f>$C741*BA740</f>
        <v/>
      </c>
      <c r="BB741">
        <f>$C741*BB740</f>
        <v/>
      </c>
      <c r="BC741">
        <f>$C741*BC740</f>
        <v/>
      </c>
      <c r="BD741">
        <f>$C741*BD740</f>
        <v/>
      </c>
      <c r="BE741">
        <f>$C741*BE740</f>
        <v/>
      </c>
      <c r="BF741">
        <f>$C741*BF740</f>
        <v/>
      </c>
      <c r="BG741">
        <f>$C741*BG740</f>
        <v/>
      </c>
      <c r="BH741">
        <f>$C741*BH740</f>
        <v/>
      </c>
      <c r="BI741">
        <f>$C741*BI740</f>
        <v/>
      </c>
      <c r="BJ741">
        <f>$C741*BJ740</f>
        <v/>
      </c>
      <c r="BK741">
        <f>$C741*BK740</f>
        <v/>
      </c>
      <c r="BL741">
        <f>$C741*BL740</f>
        <v/>
      </c>
      <c r="BM741">
        <f>$C741*BM740</f>
        <v/>
      </c>
      <c r="BN741">
        <f>$C741*BN740</f>
        <v/>
      </c>
      <c r="BO741">
        <f>$C741*BO740</f>
        <v/>
      </c>
      <c r="BP741">
        <f>$C741*BP740</f>
        <v/>
      </c>
      <c r="BQ741">
        <f>$C741*BQ740</f>
        <v/>
      </c>
      <c r="BR741">
        <f>$C741*BR740</f>
        <v/>
      </c>
      <c r="BS741">
        <f>$C741*BS740</f>
        <v/>
      </c>
      <c r="BT741">
        <f>$C741*BT740</f>
        <v/>
      </c>
      <c r="BU741">
        <f>$C741*BU740</f>
        <v/>
      </c>
      <c r="BV741">
        <f>$C741*BV740</f>
        <v/>
      </c>
      <c r="BW741">
        <f>$C741*BW740</f>
        <v/>
      </c>
      <c r="BX741">
        <f>$C741*BX740</f>
        <v/>
      </c>
      <c r="BY741">
        <f>$C741*BY740</f>
        <v/>
      </c>
      <c r="BZ741">
        <f>$C741*BZ740</f>
        <v/>
      </c>
      <c r="CA741">
        <f>$C741*CA740</f>
        <v/>
      </c>
      <c r="CB741">
        <f>$C741*CB740</f>
        <v/>
      </c>
      <c r="CC741">
        <f>$C741*CC740</f>
        <v/>
      </c>
      <c r="CD741">
        <f>$C741*CD740</f>
        <v/>
      </c>
      <c r="CE741">
        <f>$C741*CE740</f>
        <v/>
      </c>
      <c r="CF741">
        <f>$C741*CF740</f>
        <v/>
      </c>
      <c r="CG741">
        <f>$C741*CG740</f>
        <v/>
      </c>
      <c r="CH741">
        <f>$C741*CH740</f>
        <v/>
      </c>
      <c r="CI741">
        <f>$C741*CI740</f>
        <v/>
      </c>
      <c r="CJ741">
        <f>$C741*CJ740</f>
        <v/>
      </c>
      <c r="CK741">
        <f>$C741*CK740</f>
        <v/>
      </c>
      <c r="CL741">
        <f>$C741*CL740</f>
        <v/>
      </c>
      <c r="CM741">
        <f>$C741*CM740</f>
        <v/>
      </c>
      <c r="CN741">
        <f>$C741*CN740</f>
        <v/>
      </c>
      <c r="CO741">
        <f>$C741*CO740</f>
        <v/>
      </c>
      <c r="CP741">
        <f>$C741*CP740</f>
        <v/>
      </c>
      <c r="CQ741">
        <f>$C741*CQ740</f>
        <v/>
      </c>
      <c r="CR741">
        <f>$C741*CR740</f>
        <v/>
      </c>
      <c r="CS741">
        <f>$C741*CS740</f>
        <v/>
      </c>
      <c r="CT741">
        <f>$C741*CT740</f>
        <v/>
      </c>
      <c r="CU741">
        <f>$C741*CU740</f>
        <v/>
      </c>
      <c r="CV741">
        <f>$C741*CV740</f>
        <v/>
      </c>
      <c r="CW741">
        <f>$C741*CW740</f>
        <v/>
      </c>
      <c r="CX741">
        <f>$C741*CX740</f>
        <v/>
      </c>
      <c r="CY741">
        <f>$C741*CY740</f>
        <v/>
      </c>
      <c r="CZ741">
        <f>$C741*CZ740</f>
        <v/>
      </c>
      <c r="DA741">
        <f>$C741*DA740</f>
        <v/>
      </c>
      <c r="DB741">
        <f>$C741*DB740</f>
        <v/>
      </c>
      <c r="DC741">
        <f>$C741*DC740</f>
        <v/>
      </c>
    </row>
    <row r="742">
      <c r="B742" t="inlineStr">
        <is>
          <t>VSP-605</t>
        </is>
      </c>
      <c r="C742" t="inlineStr">
        <is>
          <t>No. of batches</t>
        </is>
      </c>
      <c r="D742">
        <f>IFERROR(INDEX(PP_Grid[#Data],$DD742,2),0)</f>
        <v/>
      </c>
      <c r="E742">
        <f>IFERROR(INDEX(PP_Grid[#Data],$DD742,3),0)</f>
        <v/>
      </c>
      <c r="F742">
        <f>IFERROR(INDEX(PP_Grid[#Data],$DD742,4),0)</f>
        <v/>
      </c>
      <c r="G742">
        <f>IFERROR(INDEX(PP_Grid[#Data],$DD742,5),0)</f>
        <v/>
      </c>
      <c r="H742">
        <f>IFERROR(INDEX(PP_Grid[#Data],$DD742,6),0)</f>
        <v/>
      </c>
      <c r="I742">
        <f>IFERROR(INDEX(PP_Grid[#Data],$DD742,7),0)</f>
        <v/>
      </c>
      <c r="J742">
        <f>IFERROR(INDEX(PP_Grid[#Data],$DD742,8),0)</f>
        <v/>
      </c>
      <c r="K742">
        <f>IFERROR(INDEX(PP_Grid[#Data],$DD742,9),0)</f>
        <v/>
      </c>
      <c r="L742">
        <f>IFERROR(INDEX(PP_Grid[#Data],$DD742,10),0)</f>
        <v/>
      </c>
      <c r="M742">
        <f>IFERROR(INDEX(PP_Grid[#Data],$DD742,11),0)</f>
        <v/>
      </c>
      <c r="N742">
        <f>IFERROR(INDEX(PP_Grid[#Data],$DD742,12),0)</f>
        <v/>
      </c>
      <c r="O742">
        <f>IFERROR(INDEX(PP_Grid[#Data],$DD742,13),0)</f>
        <v/>
      </c>
      <c r="P742">
        <f>IFERROR(INDEX(PP_Grid[#Data],$DD742,14),0)</f>
        <v/>
      </c>
      <c r="Q742">
        <f>IFERROR(INDEX(PP_Grid[#Data],$DD742,15),0)</f>
        <v/>
      </c>
      <c r="R742">
        <f>IFERROR(INDEX(PP_Grid[#Data],$DD742,16),0)</f>
        <v/>
      </c>
      <c r="S742">
        <f>IFERROR(INDEX(PP_Grid[#Data],$DD742,17),0)</f>
        <v/>
      </c>
      <c r="T742">
        <f>IFERROR(INDEX(PP_Grid[#Data],$DD742,18),0)</f>
        <v/>
      </c>
      <c r="U742">
        <f>IFERROR(INDEX(PP_Grid[#Data],$DD742,19),0)</f>
        <v/>
      </c>
      <c r="V742">
        <f>IFERROR(INDEX(PP_Grid[#Data],$DD742,20),0)</f>
        <v/>
      </c>
      <c r="W742">
        <f>IFERROR(INDEX(PP_Grid[#Data],$DD742,21),0)</f>
        <v/>
      </c>
      <c r="X742">
        <f>IFERROR(INDEX(PP_Grid[#Data],$DD742,22),0)</f>
        <v/>
      </c>
      <c r="Y742">
        <f>IFERROR(INDEX(PP_Grid[#Data],$DD742,23),0)</f>
        <v/>
      </c>
      <c r="Z742">
        <f>IFERROR(INDEX(PP_Grid[#Data],$DD742,24),0)</f>
        <v/>
      </c>
      <c r="AA742">
        <f>IFERROR(INDEX(PP_Grid[#Data],$DD742,25),0)</f>
        <v/>
      </c>
      <c r="AB742">
        <f>IFERROR(INDEX(PP_Grid[#Data],$DD742,26),0)</f>
        <v/>
      </c>
      <c r="AC742">
        <f>IFERROR(INDEX(PP_Grid[#Data],$DD742,27),0)</f>
        <v/>
      </c>
      <c r="AD742">
        <f>IFERROR(INDEX(PP_Grid[#Data],$DD742,28),0)</f>
        <v/>
      </c>
      <c r="AE742">
        <f>IFERROR(INDEX(PP_Grid[#Data],$DD742,29),0)</f>
        <v/>
      </c>
      <c r="AF742">
        <f>IFERROR(INDEX(PP_Grid[#Data],$DD742,30),0)</f>
        <v/>
      </c>
      <c r="AG742">
        <f>IFERROR(INDEX(PP_Grid[#Data],$DD742,31),0)</f>
        <v/>
      </c>
      <c r="AH742">
        <f>IFERROR(INDEX(PP_Grid[#Data],$DD742,32),0)</f>
        <v/>
      </c>
      <c r="AI742">
        <f>IFERROR(INDEX(PP_Grid[#Data],$DD742,33),0)</f>
        <v/>
      </c>
      <c r="AJ742">
        <f>IFERROR(INDEX(PP_Grid[#Data],$DD742,34),0)</f>
        <v/>
      </c>
      <c r="AK742">
        <f>IFERROR(INDEX(PP_Grid[#Data],$DD742,35),0)</f>
        <v/>
      </c>
      <c r="AL742">
        <f>IFERROR(INDEX(PP_Grid[#Data],$DD742,36),0)</f>
        <v/>
      </c>
      <c r="AM742">
        <f>IFERROR(INDEX(PP_Grid[#Data],$DD742,37),0)</f>
        <v/>
      </c>
      <c r="AN742">
        <f>IFERROR(INDEX(PP_Grid[#Data],$DD742,38),0)</f>
        <v/>
      </c>
      <c r="AO742">
        <f>IFERROR(INDEX(PP_Grid[#Data],$DD742,39),0)</f>
        <v/>
      </c>
      <c r="AP742">
        <f>IFERROR(INDEX(PP_Grid[#Data],$DD742,40),0)</f>
        <v/>
      </c>
      <c r="AQ742">
        <f>IFERROR(INDEX(PP_Grid[#Data],$DD742,41),0)</f>
        <v/>
      </c>
      <c r="AR742">
        <f>IFERROR(INDEX(PP_Grid[#Data],$DD742,42),0)</f>
        <v/>
      </c>
      <c r="AS742">
        <f>IFERROR(INDEX(PP_Grid[#Data],$DD742,43),0)</f>
        <v/>
      </c>
      <c r="AT742">
        <f>IFERROR(INDEX(PP_Grid[#Data],$DD742,44),0)</f>
        <v/>
      </c>
      <c r="AU742">
        <f>IFERROR(INDEX(PP_Grid[#Data],$DD742,45),0)</f>
        <v/>
      </c>
      <c r="AV742">
        <f>IFERROR(INDEX(PP_Grid[#Data],$DD742,46),0)</f>
        <v/>
      </c>
      <c r="AW742">
        <f>IFERROR(INDEX(PP_Grid[#Data],$DD742,47),0)</f>
        <v/>
      </c>
      <c r="AX742">
        <f>IFERROR(INDEX(PP_Grid[#Data],$DD742,48),0)</f>
        <v/>
      </c>
      <c r="AY742">
        <f>IFERROR(INDEX(PP_Grid[#Data],$DD742,49),0)</f>
        <v/>
      </c>
      <c r="AZ742">
        <f>IFERROR(INDEX(PP_Grid[#Data],$DD742,50),0)</f>
        <v/>
      </c>
      <c r="BA742">
        <f>IFERROR(INDEX(PP_Grid[#Data],$DD742,51),0)</f>
        <v/>
      </c>
      <c r="BB742">
        <f>IFERROR(INDEX(PP_Grid[#Data],$DD742,52),0)</f>
        <v/>
      </c>
      <c r="BC742">
        <f>IFERROR(INDEX(PP_Grid[#Data],$DD742,53),0)</f>
        <v/>
      </c>
      <c r="BD742">
        <f>IFERROR(INDEX(PP_Grid[#Data],$DD742,54),0)</f>
        <v/>
      </c>
      <c r="BE742">
        <f>IFERROR(INDEX(PP_Grid[#Data],$DD742,55),0)</f>
        <v/>
      </c>
      <c r="BF742">
        <f>IFERROR(INDEX(PP_Grid[#Data],$DD742,56),0)</f>
        <v/>
      </c>
      <c r="BG742">
        <f>IFERROR(INDEX(PP_Grid[#Data],$DD742,57),0)</f>
        <v/>
      </c>
      <c r="BH742">
        <f>IFERROR(INDEX(PP_Grid[#Data],$DD742,58),0)</f>
        <v/>
      </c>
      <c r="BI742">
        <f>IFERROR(INDEX(PP_Grid[#Data],$DD742,59),0)</f>
        <v/>
      </c>
      <c r="BJ742">
        <f>IFERROR(INDEX(PP_Grid[#Data],$DD742,60),0)</f>
        <v/>
      </c>
      <c r="BK742">
        <f>IFERROR(INDEX(PP_Grid[#Data],$DD742,61),0)</f>
        <v/>
      </c>
      <c r="BL742">
        <f>IFERROR(INDEX(PP_Grid[#Data],$DD742,62),0)</f>
        <v/>
      </c>
      <c r="BM742">
        <f>IFERROR(INDEX(PP_Grid[#Data],$DD742,63),0)</f>
        <v/>
      </c>
      <c r="BN742">
        <f>IFERROR(INDEX(PP_Grid[#Data],$DD742,64),0)</f>
        <v/>
      </c>
      <c r="BO742">
        <f>IFERROR(INDEX(PP_Grid[#Data],$DD742,65),0)</f>
        <v/>
      </c>
      <c r="BP742">
        <f>IFERROR(INDEX(PP_Grid[#Data],$DD742,66),0)</f>
        <v/>
      </c>
      <c r="BQ742">
        <f>IFERROR(INDEX(PP_Grid[#Data],$DD742,67),0)</f>
        <v/>
      </c>
      <c r="BR742">
        <f>IFERROR(INDEX(PP_Grid[#Data],$DD742,68),0)</f>
        <v/>
      </c>
      <c r="BS742">
        <f>IFERROR(INDEX(PP_Grid[#Data],$DD742,69),0)</f>
        <v/>
      </c>
      <c r="BT742">
        <f>IFERROR(INDEX(PP_Grid[#Data],$DD742,70),0)</f>
        <v/>
      </c>
      <c r="BU742">
        <f>IFERROR(INDEX(PP_Grid[#Data],$DD742,71),0)</f>
        <v/>
      </c>
      <c r="BV742">
        <f>IFERROR(INDEX(PP_Grid[#Data],$DD742,72),0)</f>
        <v/>
      </c>
      <c r="BW742">
        <f>IFERROR(INDEX(PP_Grid[#Data],$DD742,73),0)</f>
        <v/>
      </c>
      <c r="BX742">
        <f>IFERROR(INDEX(PP_Grid[#Data],$DD742,74),0)</f>
        <v/>
      </c>
      <c r="BY742">
        <f>IFERROR(INDEX(PP_Grid[#Data],$DD742,75),0)</f>
        <v/>
      </c>
      <c r="BZ742">
        <f>IFERROR(INDEX(PP_Grid[#Data],$DD742,76),0)</f>
        <v/>
      </c>
      <c r="CA742">
        <f>IFERROR(INDEX(PP_Grid[#Data],$DD742,77),0)</f>
        <v/>
      </c>
      <c r="CB742">
        <f>IFERROR(INDEX(PP_Grid[#Data],$DD742,78),0)</f>
        <v/>
      </c>
      <c r="CC742">
        <f>IFERROR(INDEX(PP_Grid[#Data],$DD742,79),0)</f>
        <v/>
      </c>
      <c r="CD742">
        <f>IFERROR(INDEX(PP_Grid[#Data],$DD742,80),0)</f>
        <v/>
      </c>
      <c r="CE742">
        <f>IFERROR(INDEX(PP_Grid[#Data],$DD742,81),0)</f>
        <v/>
      </c>
      <c r="CF742">
        <f>IFERROR(INDEX(PP_Grid[#Data],$DD742,82),0)</f>
        <v/>
      </c>
      <c r="CG742">
        <f>IFERROR(INDEX(PP_Grid[#Data],$DD742,83),0)</f>
        <v/>
      </c>
      <c r="CH742">
        <f>IFERROR(INDEX(PP_Grid[#Data],$DD742,84),0)</f>
        <v/>
      </c>
      <c r="CI742">
        <f>IFERROR(INDEX(PP_Grid[#Data],$DD742,85),0)</f>
        <v/>
      </c>
      <c r="CJ742">
        <f>IFERROR(INDEX(PP_Grid[#Data],$DD742,86),0)</f>
        <v/>
      </c>
      <c r="CK742">
        <f>IFERROR(INDEX(PP_Grid[#Data],$DD742,87),0)</f>
        <v/>
      </c>
      <c r="CL742">
        <f>IFERROR(INDEX(PP_Grid[#Data],$DD742,88),0)</f>
        <v/>
      </c>
      <c r="CM742">
        <f>IFERROR(INDEX(PP_Grid[#Data],$DD742,89),0)</f>
        <v/>
      </c>
      <c r="CN742">
        <f>IFERROR(INDEX(PP_Grid[#Data],$DD742,90),0)</f>
        <v/>
      </c>
      <c r="CO742">
        <f>IFERROR(INDEX(PP_Grid[#Data],$DD742,91),0)</f>
        <v/>
      </c>
      <c r="CP742">
        <f>IFERROR(INDEX(PP_Grid[#Data],$DD742,92),0)</f>
        <v/>
      </c>
      <c r="CQ742">
        <f>IFERROR(INDEX(PP_Grid[#Data],$DD742,93),0)</f>
        <v/>
      </c>
      <c r="CR742">
        <f>IFERROR(INDEX(PP_Grid[#Data],$DD742,94),0)</f>
        <v/>
      </c>
      <c r="CS742">
        <f>IFERROR(INDEX(PP_Grid[#Data],$DD742,95),0)</f>
        <v/>
      </c>
      <c r="CT742">
        <f>IFERROR(INDEX(PP_Grid[#Data],$DD742,96),0)</f>
        <v/>
      </c>
      <c r="CU742">
        <f>IFERROR(INDEX(PP_Grid[#Data],$DD742,97),0)</f>
        <v/>
      </c>
      <c r="CV742">
        <f>IFERROR(INDEX(PP_Grid[#Data],$DD742,98),0)</f>
        <v/>
      </c>
      <c r="CW742">
        <f>IFERROR(INDEX(PP_Grid[#Data],$DD742,99),0)</f>
        <v/>
      </c>
      <c r="CX742">
        <f>IFERROR(INDEX(PP_Grid[#Data],$DD742,100),0)</f>
        <v/>
      </c>
      <c r="CY742">
        <f>IFERROR(INDEX(PP_Grid[#Data],$DD742,101),0)</f>
        <v/>
      </c>
      <c r="CZ742">
        <f>IFERROR(INDEX(PP_Grid[#Data],$DD742,102),0)</f>
        <v/>
      </c>
      <c r="DA742">
        <f>IFERROR(INDEX(PP_Grid[#Data],$DD742,103),0)</f>
        <v/>
      </c>
      <c r="DB742">
        <f>IFERROR(INDEX(PP_Grid[#Data],$DD742,104),0)</f>
        <v/>
      </c>
      <c r="DC742">
        <f>IFERROR(INDEX(PP_Grid[#Data],$DD742,105),0)</f>
        <v/>
      </c>
      <c r="DD742" s="7">
        <f>IFERROR(MATCH($B742,PP_Grid[Intermediate],0),99999)</f>
        <v/>
      </c>
    </row>
    <row r="743">
      <c r="B743" t="inlineStr">
        <is>
          <t>使用量(kg)</t>
        </is>
      </c>
      <c r="C743">
        <f>SUMIFS(M_BOM[RM_Qty_Per_Batch],M_BOM[Intermediate],$B742,M_BOM[Part Name],$A723)</f>
        <v/>
      </c>
      <c r="D743">
        <f>$C743*D742</f>
        <v/>
      </c>
      <c r="E743">
        <f>$C743*E742</f>
        <v/>
      </c>
      <c r="F743">
        <f>$C743*F742</f>
        <v/>
      </c>
      <c r="G743">
        <f>$C743*G742</f>
        <v/>
      </c>
      <c r="H743">
        <f>$C743*H742</f>
        <v/>
      </c>
      <c r="I743">
        <f>$C743*I742</f>
        <v/>
      </c>
      <c r="J743">
        <f>$C743*J742</f>
        <v/>
      </c>
      <c r="K743">
        <f>$C743*K742</f>
        <v/>
      </c>
      <c r="L743">
        <f>$C743*L742</f>
        <v/>
      </c>
      <c r="M743">
        <f>$C743*M742</f>
        <v/>
      </c>
      <c r="N743">
        <f>$C743*N742</f>
        <v/>
      </c>
      <c r="O743">
        <f>$C743*O742</f>
        <v/>
      </c>
      <c r="P743">
        <f>$C743*P742</f>
        <v/>
      </c>
      <c r="Q743">
        <f>$C743*Q742</f>
        <v/>
      </c>
      <c r="R743">
        <f>$C743*R742</f>
        <v/>
      </c>
      <c r="S743">
        <f>$C743*S742</f>
        <v/>
      </c>
      <c r="T743">
        <f>$C743*T742</f>
        <v/>
      </c>
      <c r="U743">
        <f>$C743*U742</f>
        <v/>
      </c>
      <c r="V743">
        <f>$C743*V742</f>
        <v/>
      </c>
      <c r="W743">
        <f>$C743*W742</f>
        <v/>
      </c>
      <c r="X743">
        <f>$C743*X742</f>
        <v/>
      </c>
      <c r="Y743">
        <f>$C743*Y742</f>
        <v/>
      </c>
      <c r="Z743">
        <f>$C743*Z742</f>
        <v/>
      </c>
      <c r="AA743">
        <f>$C743*AA742</f>
        <v/>
      </c>
      <c r="AB743">
        <f>$C743*AB742</f>
        <v/>
      </c>
      <c r="AC743">
        <f>$C743*AC742</f>
        <v/>
      </c>
      <c r="AD743">
        <f>$C743*AD742</f>
        <v/>
      </c>
      <c r="AE743">
        <f>$C743*AE742</f>
        <v/>
      </c>
      <c r="AF743">
        <f>$C743*AF742</f>
        <v/>
      </c>
      <c r="AG743">
        <f>$C743*AG742</f>
        <v/>
      </c>
      <c r="AH743">
        <f>$C743*AH742</f>
        <v/>
      </c>
      <c r="AI743">
        <f>$C743*AI742</f>
        <v/>
      </c>
      <c r="AJ743">
        <f>$C743*AJ742</f>
        <v/>
      </c>
      <c r="AK743">
        <f>$C743*AK742</f>
        <v/>
      </c>
      <c r="AL743">
        <f>$C743*AL742</f>
        <v/>
      </c>
      <c r="AM743">
        <f>$C743*AM742</f>
        <v/>
      </c>
      <c r="AN743">
        <f>$C743*AN742</f>
        <v/>
      </c>
      <c r="AO743">
        <f>$C743*AO742</f>
        <v/>
      </c>
      <c r="AP743">
        <f>$C743*AP742</f>
        <v/>
      </c>
      <c r="AQ743">
        <f>$C743*AQ742</f>
        <v/>
      </c>
      <c r="AR743">
        <f>$C743*AR742</f>
        <v/>
      </c>
      <c r="AS743">
        <f>$C743*AS742</f>
        <v/>
      </c>
      <c r="AT743">
        <f>$C743*AT742</f>
        <v/>
      </c>
      <c r="AU743">
        <f>$C743*AU742</f>
        <v/>
      </c>
      <c r="AV743">
        <f>$C743*AV742</f>
        <v/>
      </c>
      <c r="AW743">
        <f>$C743*AW742</f>
        <v/>
      </c>
      <c r="AX743">
        <f>$C743*AX742</f>
        <v/>
      </c>
      <c r="AY743">
        <f>$C743*AY742</f>
        <v/>
      </c>
      <c r="AZ743">
        <f>$C743*AZ742</f>
        <v/>
      </c>
      <c r="BA743">
        <f>$C743*BA742</f>
        <v/>
      </c>
      <c r="BB743">
        <f>$C743*BB742</f>
        <v/>
      </c>
      <c r="BC743">
        <f>$C743*BC742</f>
        <v/>
      </c>
      <c r="BD743">
        <f>$C743*BD742</f>
        <v/>
      </c>
      <c r="BE743">
        <f>$C743*BE742</f>
        <v/>
      </c>
      <c r="BF743">
        <f>$C743*BF742</f>
        <v/>
      </c>
      <c r="BG743">
        <f>$C743*BG742</f>
        <v/>
      </c>
      <c r="BH743">
        <f>$C743*BH742</f>
        <v/>
      </c>
      <c r="BI743">
        <f>$C743*BI742</f>
        <v/>
      </c>
      <c r="BJ743">
        <f>$C743*BJ742</f>
        <v/>
      </c>
      <c r="BK743">
        <f>$C743*BK742</f>
        <v/>
      </c>
      <c r="BL743">
        <f>$C743*BL742</f>
        <v/>
      </c>
      <c r="BM743">
        <f>$C743*BM742</f>
        <v/>
      </c>
      <c r="BN743">
        <f>$C743*BN742</f>
        <v/>
      </c>
      <c r="BO743">
        <f>$C743*BO742</f>
        <v/>
      </c>
      <c r="BP743">
        <f>$C743*BP742</f>
        <v/>
      </c>
      <c r="BQ743">
        <f>$C743*BQ742</f>
        <v/>
      </c>
      <c r="BR743">
        <f>$C743*BR742</f>
        <v/>
      </c>
      <c r="BS743">
        <f>$C743*BS742</f>
        <v/>
      </c>
      <c r="BT743">
        <f>$C743*BT742</f>
        <v/>
      </c>
      <c r="BU743">
        <f>$C743*BU742</f>
        <v/>
      </c>
      <c r="BV743">
        <f>$C743*BV742</f>
        <v/>
      </c>
      <c r="BW743">
        <f>$C743*BW742</f>
        <v/>
      </c>
      <c r="BX743">
        <f>$C743*BX742</f>
        <v/>
      </c>
      <c r="BY743">
        <f>$C743*BY742</f>
        <v/>
      </c>
      <c r="BZ743">
        <f>$C743*BZ742</f>
        <v/>
      </c>
      <c r="CA743">
        <f>$C743*CA742</f>
        <v/>
      </c>
      <c r="CB743">
        <f>$C743*CB742</f>
        <v/>
      </c>
      <c r="CC743">
        <f>$C743*CC742</f>
        <v/>
      </c>
      <c r="CD743">
        <f>$C743*CD742</f>
        <v/>
      </c>
      <c r="CE743">
        <f>$C743*CE742</f>
        <v/>
      </c>
      <c r="CF743">
        <f>$C743*CF742</f>
        <v/>
      </c>
      <c r="CG743">
        <f>$C743*CG742</f>
        <v/>
      </c>
      <c r="CH743">
        <f>$C743*CH742</f>
        <v/>
      </c>
      <c r="CI743">
        <f>$C743*CI742</f>
        <v/>
      </c>
      <c r="CJ743">
        <f>$C743*CJ742</f>
        <v/>
      </c>
      <c r="CK743">
        <f>$C743*CK742</f>
        <v/>
      </c>
      <c r="CL743">
        <f>$C743*CL742</f>
        <v/>
      </c>
      <c r="CM743">
        <f>$C743*CM742</f>
        <v/>
      </c>
      <c r="CN743">
        <f>$C743*CN742</f>
        <v/>
      </c>
      <c r="CO743">
        <f>$C743*CO742</f>
        <v/>
      </c>
      <c r="CP743">
        <f>$C743*CP742</f>
        <v/>
      </c>
      <c r="CQ743">
        <f>$C743*CQ742</f>
        <v/>
      </c>
      <c r="CR743">
        <f>$C743*CR742</f>
        <v/>
      </c>
      <c r="CS743">
        <f>$C743*CS742</f>
        <v/>
      </c>
      <c r="CT743">
        <f>$C743*CT742</f>
        <v/>
      </c>
      <c r="CU743">
        <f>$C743*CU742</f>
        <v/>
      </c>
      <c r="CV743">
        <f>$C743*CV742</f>
        <v/>
      </c>
      <c r="CW743">
        <f>$C743*CW742</f>
        <v/>
      </c>
      <c r="CX743">
        <f>$C743*CX742</f>
        <v/>
      </c>
      <c r="CY743">
        <f>$C743*CY742</f>
        <v/>
      </c>
      <c r="CZ743">
        <f>$C743*CZ742</f>
        <v/>
      </c>
      <c r="DA743">
        <f>$C743*DA742</f>
        <v/>
      </c>
      <c r="DB743">
        <f>$C743*DB742</f>
        <v/>
      </c>
      <c r="DC743">
        <f>$C743*DC742</f>
        <v/>
      </c>
    </row>
    <row r="744">
      <c r="B744" t="inlineStr">
        <is>
          <t>VSP-607</t>
        </is>
      </c>
      <c r="C744" t="inlineStr">
        <is>
          <t>No. of batches</t>
        </is>
      </c>
      <c r="D744">
        <f>IFERROR(INDEX(PP_Grid[#Data],$DD744,2),0)</f>
        <v/>
      </c>
      <c r="E744">
        <f>IFERROR(INDEX(PP_Grid[#Data],$DD744,3),0)</f>
        <v/>
      </c>
      <c r="F744">
        <f>IFERROR(INDEX(PP_Grid[#Data],$DD744,4),0)</f>
        <v/>
      </c>
      <c r="G744">
        <f>IFERROR(INDEX(PP_Grid[#Data],$DD744,5),0)</f>
        <v/>
      </c>
      <c r="H744">
        <f>IFERROR(INDEX(PP_Grid[#Data],$DD744,6),0)</f>
        <v/>
      </c>
      <c r="I744">
        <f>IFERROR(INDEX(PP_Grid[#Data],$DD744,7),0)</f>
        <v/>
      </c>
      <c r="J744">
        <f>IFERROR(INDEX(PP_Grid[#Data],$DD744,8),0)</f>
        <v/>
      </c>
      <c r="K744">
        <f>IFERROR(INDEX(PP_Grid[#Data],$DD744,9),0)</f>
        <v/>
      </c>
      <c r="L744">
        <f>IFERROR(INDEX(PP_Grid[#Data],$DD744,10),0)</f>
        <v/>
      </c>
      <c r="M744">
        <f>IFERROR(INDEX(PP_Grid[#Data],$DD744,11),0)</f>
        <v/>
      </c>
      <c r="N744">
        <f>IFERROR(INDEX(PP_Grid[#Data],$DD744,12),0)</f>
        <v/>
      </c>
      <c r="O744">
        <f>IFERROR(INDEX(PP_Grid[#Data],$DD744,13),0)</f>
        <v/>
      </c>
      <c r="P744">
        <f>IFERROR(INDEX(PP_Grid[#Data],$DD744,14),0)</f>
        <v/>
      </c>
      <c r="Q744">
        <f>IFERROR(INDEX(PP_Grid[#Data],$DD744,15),0)</f>
        <v/>
      </c>
      <c r="R744">
        <f>IFERROR(INDEX(PP_Grid[#Data],$DD744,16),0)</f>
        <v/>
      </c>
      <c r="S744">
        <f>IFERROR(INDEX(PP_Grid[#Data],$DD744,17),0)</f>
        <v/>
      </c>
      <c r="T744">
        <f>IFERROR(INDEX(PP_Grid[#Data],$DD744,18),0)</f>
        <v/>
      </c>
      <c r="U744">
        <f>IFERROR(INDEX(PP_Grid[#Data],$DD744,19),0)</f>
        <v/>
      </c>
      <c r="V744">
        <f>IFERROR(INDEX(PP_Grid[#Data],$DD744,20),0)</f>
        <v/>
      </c>
      <c r="W744">
        <f>IFERROR(INDEX(PP_Grid[#Data],$DD744,21),0)</f>
        <v/>
      </c>
      <c r="X744">
        <f>IFERROR(INDEX(PP_Grid[#Data],$DD744,22),0)</f>
        <v/>
      </c>
      <c r="Y744">
        <f>IFERROR(INDEX(PP_Grid[#Data],$DD744,23),0)</f>
        <v/>
      </c>
      <c r="Z744">
        <f>IFERROR(INDEX(PP_Grid[#Data],$DD744,24),0)</f>
        <v/>
      </c>
      <c r="AA744">
        <f>IFERROR(INDEX(PP_Grid[#Data],$DD744,25),0)</f>
        <v/>
      </c>
      <c r="AB744">
        <f>IFERROR(INDEX(PP_Grid[#Data],$DD744,26),0)</f>
        <v/>
      </c>
      <c r="AC744">
        <f>IFERROR(INDEX(PP_Grid[#Data],$DD744,27),0)</f>
        <v/>
      </c>
      <c r="AD744">
        <f>IFERROR(INDEX(PP_Grid[#Data],$DD744,28),0)</f>
        <v/>
      </c>
      <c r="AE744">
        <f>IFERROR(INDEX(PP_Grid[#Data],$DD744,29),0)</f>
        <v/>
      </c>
      <c r="AF744">
        <f>IFERROR(INDEX(PP_Grid[#Data],$DD744,30),0)</f>
        <v/>
      </c>
      <c r="AG744">
        <f>IFERROR(INDEX(PP_Grid[#Data],$DD744,31),0)</f>
        <v/>
      </c>
      <c r="AH744">
        <f>IFERROR(INDEX(PP_Grid[#Data],$DD744,32),0)</f>
        <v/>
      </c>
      <c r="AI744">
        <f>IFERROR(INDEX(PP_Grid[#Data],$DD744,33),0)</f>
        <v/>
      </c>
      <c r="AJ744">
        <f>IFERROR(INDEX(PP_Grid[#Data],$DD744,34),0)</f>
        <v/>
      </c>
      <c r="AK744">
        <f>IFERROR(INDEX(PP_Grid[#Data],$DD744,35),0)</f>
        <v/>
      </c>
      <c r="AL744">
        <f>IFERROR(INDEX(PP_Grid[#Data],$DD744,36),0)</f>
        <v/>
      </c>
      <c r="AM744">
        <f>IFERROR(INDEX(PP_Grid[#Data],$DD744,37),0)</f>
        <v/>
      </c>
      <c r="AN744">
        <f>IFERROR(INDEX(PP_Grid[#Data],$DD744,38),0)</f>
        <v/>
      </c>
      <c r="AO744">
        <f>IFERROR(INDEX(PP_Grid[#Data],$DD744,39),0)</f>
        <v/>
      </c>
      <c r="AP744">
        <f>IFERROR(INDEX(PP_Grid[#Data],$DD744,40),0)</f>
        <v/>
      </c>
      <c r="AQ744">
        <f>IFERROR(INDEX(PP_Grid[#Data],$DD744,41),0)</f>
        <v/>
      </c>
      <c r="AR744">
        <f>IFERROR(INDEX(PP_Grid[#Data],$DD744,42),0)</f>
        <v/>
      </c>
      <c r="AS744">
        <f>IFERROR(INDEX(PP_Grid[#Data],$DD744,43),0)</f>
        <v/>
      </c>
      <c r="AT744">
        <f>IFERROR(INDEX(PP_Grid[#Data],$DD744,44),0)</f>
        <v/>
      </c>
      <c r="AU744">
        <f>IFERROR(INDEX(PP_Grid[#Data],$DD744,45),0)</f>
        <v/>
      </c>
      <c r="AV744">
        <f>IFERROR(INDEX(PP_Grid[#Data],$DD744,46),0)</f>
        <v/>
      </c>
      <c r="AW744">
        <f>IFERROR(INDEX(PP_Grid[#Data],$DD744,47),0)</f>
        <v/>
      </c>
      <c r="AX744">
        <f>IFERROR(INDEX(PP_Grid[#Data],$DD744,48),0)</f>
        <v/>
      </c>
      <c r="AY744">
        <f>IFERROR(INDEX(PP_Grid[#Data],$DD744,49),0)</f>
        <v/>
      </c>
      <c r="AZ744">
        <f>IFERROR(INDEX(PP_Grid[#Data],$DD744,50),0)</f>
        <v/>
      </c>
      <c r="BA744">
        <f>IFERROR(INDEX(PP_Grid[#Data],$DD744,51),0)</f>
        <v/>
      </c>
      <c r="BB744">
        <f>IFERROR(INDEX(PP_Grid[#Data],$DD744,52),0)</f>
        <v/>
      </c>
      <c r="BC744">
        <f>IFERROR(INDEX(PP_Grid[#Data],$DD744,53),0)</f>
        <v/>
      </c>
      <c r="BD744">
        <f>IFERROR(INDEX(PP_Grid[#Data],$DD744,54),0)</f>
        <v/>
      </c>
      <c r="BE744">
        <f>IFERROR(INDEX(PP_Grid[#Data],$DD744,55),0)</f>
        <v/>
      </c>
      <c r="BF744">
        <f>IFERROR(INDEX(PP_Grid[#Data],$DD744,56),0)</f>
        <v/>
      </c>
      <c r="BG744">
        <f>IFERROR(INDEX(PP_Grid[#Data],$DD744,57),0)</f>
        <v/>
      </c>
      <c r="BH744">
        <f>IFERROR(INDEX(PP_Grid[#Data],$DD744,58),0)</f>
        <v/>
      </c>
      <c r="BI744">
        <f>IFERROR(INDEX(PP_Grid[#Data],$DD744,59),0)</f>
        <v/>
      </c>
      <c r="BJ744">
        <f>IFERROR(INDEX(PP_Grid[#Data],$DD744,60),0)</f>
        <v/>
      </c>
      <c r="BK744">
        <f>IFERROR(INDEX(PP_Grid[#Data],$DD744,61),0)</f>
        <v/>
      </c>
      <c r="BL744">
        <f>IFERROR(INDEX(PP_Grid[#Data],$DD744,62),0)</f>
        <v/>
      </c>
      <c r="BM744">
        <f>IFERROR(INDEX(PP_Grid[#Data],$DD744,63),0)</f>
        <v/>
      </c>
      <c r="BN744">
        <f>IFERROR(INDEX(PP_Grid[#Data],$DD744,64),0)</f>
        <v/>
      </c>
      <c r="BO744">
        <f>IFERROR(INDEX(PP_Grid[#Data],$DD744,65),0)</f>
        <v/>
      </c>
      <c r="BP744">
        <f>IFERROR(INDEX(PP_Grid[#Data],$DD744,66),0)</f>
        <v/>
      </c>
      <c r="BQ744">
        <f>IFERROR(INDEX(PP_Grid[#Data],$DD744,67),0)</f>
        <v/>
      </c>
      <c r="BR744">
        <f>IFERROR(INDEX(PP_Grid[#Data],$DD744,68),0)</f>
        <v/>
      </c>
      <c r="BS744">
        <f>IFERROR(INDEX(PP_Grid[#Data],$DD744,69),0)</f>
        <v/>
      </c>
      <c r="BT744">
        <f>IFERROR(INDEX(PP_Grid[#Data],$DD744,70),0)</f>
        <v/>
      </c>
      <c r="BU744">
        <f>IFERROR(INDEX(PP_Grid[#Data],$DD744,71),0)</f>
        <v/>
      </c>
      <c r="BV744">
        <f>IFERROR(INDEX(PP_Grid[#Data],$DD744,72),0)</f>
        <v/>
      </c>
      <c r="BW744">
        <f>IFERROR(INDEX(PP_Grid[#Data],$DD744,73),0)</f>
        <v/>
      </c>
      <c r="BX744">
        <f>IFERROR(INDEX(PP_Grid[#Data],$DD744,74),0)</f>
        <v/>
      </c>
      <c r="BY744">
        <f>IFERROR(INDEX(PP_Grid[#Data],$DD744,75),0)</f>
        <v/>
      </c>
      <c r="BZ744">
        <f>IFERROR(INDEX(PP_Grid[#Data],$DD744,76),0)</f>
        <v/>
      </c>
      <c r="CA744">
        <f>IFERROR(INDEX(PP_Grid[#Data],$DD744,77),0)</f>
        <v/>
      </c>
      <c r="CB744">
        <f>IFERROR(INDEX(PP_Grid[#Data],$DD744,78),0)</f>
        <v/>
      </c>
      <c r="CC744">
        <f>IFERROR(INDEX(PP_Grid[#Data],$DD744,79),0)</f>
        <v/>
      </c>
      <c r="CD744">
        <f>IFERROR(INDEX(PP_Grid[#Data],$DD744,80),0)</f>
        <v/>
      </c>
      <c r="CE744">
        <f>IFERROR(INDEX(PP_Grid[#Data],$DD744,81),0)</f>
        <v/>
      </c>
      <c r="CF744">
        <f>IFERROR(INDEX(PP_Grid[#Data],$DD744,82),0)</f>
        <v/>
      </c>
      <c r="CG744">
        <f>IFERROR(INDEX(PP_Grid[#Data],$DD744,83),0)</f>
        <v/>
      </c>
      <c r="CH744">
        <f>IFERROR(INDEX(PP_Grid[#Data],$DD744,84),0)</f>
        <v/>
      </c>
      <c r="CI744">
        <f>IFERROR(INDEX(PP_Grid[#Data],$DD744,85),0)</f>
        <v/>
      </c>
      <c r="CJ744">
        <f>IFERROR(INDEX(PP_Grid[#Data],$DD744,86),0)</f>
        <v/>
      </c>
      <c r="CK744">
        <f>IFERROR(INDEX(PP_Grid[#Data],$DD744,87),0)</f>
        <v/>
      </c>
      <c r="CL744">
        <f>IFERROR(INDEX(PP_Grid[#Data],$DD744,88),0)</f>
        <v/>
      </c>
      <c r="CM744">
        <f>IFERROR(INDEX(PP_Grid[#Data],$DD744,89),0)</f>
        <v/>
      </c>
      <c r="CN744">
        <f>IFERROR(INDEX(PP_Grid[#Data],$DD744,90),0)</f>
        <v/>
      </c>
      <c r="CO744">
        <f>IFERROR(INDEX(PP_Grid[#Data],$DD744,91),0)</f>
        <v/>
      </c>
      <c r="CP744">
        <f>IFERROR(INDEX(PP_Grid[#Data],$DD744,92),0)</f>
        <v/>
      </c>
      <c r="CQ744">
        <f>IFERROR(INDEX(PP_Grid[#Data],$DD744,93),0)</f>
        <v/>
      </c>
      <c r="CR744">
        <f>IFERROR(INDEX(PP_Grid[#Data],$DD744,94),0)</f>
        <v/>
      </c>
      <c r="CS744">
        <f>IFERROR(INDEX(PP_Grid[#Data],$DD744,95),0)</f>
        <v/>
      </c>
      <c r="CT744">
        <f>IFERROR(INDEX(PP_Grid[#Data],$DD744,96),0)</f>
        <v/>
      </c>
      <c r="CU744">
        <f>IFERROR(INDEX(PP_Grid[#Data],$DD744,97),0)</f>
        <v/>
      </c>
      <c r="CV744">
        <f>IFERROR(INDEX(PP_Grid[#Data],$DD744,98),0)</f>
        <v/>
      </c>
      <c r="CW744">
        <f>IFERROR(INDEX(PP_Grid[#Data],$DD744,99),0)</f>
        <v/>
      </c>
      <c r="CX744">
        <f>IFERROR(INDEX(PP_Grid[#Data],$DD744,100),0)</f>
        <v/>
      </c>
      <c r="CY744">
        <f>IFERROR(INDEX(PP_Grid[#Data],$DD744,101),0)</f>
        <v/>
      </c>
      <c r="CZ744">
        <f>IFERROR(INDEX(PP_Grid[#Data],$DD744,102),0)</f>
        <v/>
      </c>
      <c r="DA744">
        <f>IFERROR(INDEX(PP_Grid[#Data],$DD744,103),0)</f>
        <v/>
      </c>
      <c r="DB744">
        <f>IFERROR(INDEX(PP_Grid[#Data],$DD744,104),0)</f>
        <v/>
      </c>
      <c r="DC744">
        <f>IFERROR(INDEX(PP_Grid[#Data],$DD744,105),0)</f>
        <v/>
      </c>
      <c r="DD744" s="7">
        <f>IFERROR(MATCH($B744,PP_Grid[Intermediate],0),99999)</f>
        <v/>
      </c>
    </row>
    <row r="745">
      <c r="B745" t="inlineStr">
        <is>
          <t>使用量(kg)</t>
        </is>
      </c>
      <c r="C745">
        <f>SUMIFS(M_BOM[RM_Qty_Per_Batch],M_BOM[Intermediate],$B744,M_BOM[Part Name],$A723)</f>
        <v/>
      </c>
      <c r="D745">
        <f>$C745*D744</f>
        <v/>
      </c>
      <c r="E745">
        <f>$C745*E744</f>
        <v/>
      </c>
      <c r="F745">
        <f>$C745*F744</f>
        <v/>
      </c>
      <c r="G745">
        <f>$C745*G744</f>
        <v/>
      </c>
      <c r="H745">
        <f>$C745*H744</f>
        <v/>
      </c>
      <c r="I745">
        <f>$C745*I744</f>
        <v/>
      </c>
      <c r="J745">
        <f>$C745*J744</f>
        <v/>
      </c>
      <c r="K745">
        <f>$C745*K744</f>
        <v/>
      </c>
      <c r="L745">
        <f>$C745*L744</f>
        <v/>
      </c>
      <c r="M745">
        <f>$C745*M744</f>
        <v/>
      </c>
      <c r="N745">
        <f>$C745*N744</f>
        <v/>
      </c>
      <c r="O745">
        <f>$C745*O744</f>
        <v/>
      </c>
      <c r="P745">
        <f>$C745*P744</f>
        <v/>
      </c>
      <c r="Q745">
        <f>$C745*Q744</f>
        <v/>
      </c>
      <c r="R745">
        <f>$C745*R744</f>
        <v/>
      </c>
      <c r="S745">
        <f>$C745*S744</f>
        <v/>
      </c>
      <c r="T745">
        <f>$C745*T744</f>
        <v/>
      </c>
      <c r="U745">
        <f>$C745*U744</f>
        <v/>
      </c>
      <c r="V745">
        <f>$C745*V744</f>
        <v/>
      </c>
      <c r="W745">
        <f>$C745*W744</f>
        <v/>
      </c>
      <c r="X745">
        <f>$C745*X744</f>
        <v/>
      </c>
      <c r="Y745">
        <f>$C745*Y744</f>
        <v/>
      </c>
      <c r="Z745">
        <f>$C745*Z744</f>
        <v/>
      </c>
      <c r="AA745">
        <f>$C745*AA744</f>
        <v/>
      </c>
      <c r="AB745">
        <f>$C745*AB744</f>
        <v/>
      </c>
      <c r="AC745">
        <f>$C745*AC744</f>
        <v/>
      </c>
      <c r="AD745">
        <f>$C745*AD744</f>
        <v/>
      </c>
      <c r="AE745">
        <f>$C745*AE744</f>
        <v/>
      </c>
      <c r="AF745">
        <f>$C745*AF744</f>
        <v/>
      </c>
      <c r="AG745">
        <f>$C745*AG744</f>
        <v/>
      </c>
      <c r="AH745">
        <f>$C745*AH744</f>
        <v/>
      </c>
      <c r="AI745">
        <f>$C745*AI744</f>
        <v/>
      </c>
      <c r="AJ745">
        <f>$C745*AJ744</f>
        <v/>
      </c>
      <c r="AK745">
        <f>$C745*AK744</f>
        <v/>
      </c>
      <c r="AL745">
        <f>$C745*AL744</f>
        <v/>
      </c>
      <c r="AM745">
        <f>$C745*AM744</f>
        <v/>
      </c>
      <c r="AN745">
        <f>$C745*AN744</f>
        <v/>
      </c>
      <c r="AO745">
        <f>$C745*AO744</f>
        <v/>
      </c>
      <c r="AP745">
        <f>$C745*AP744</f>
        <v/>
      </c>
      <c r="AQ745">
        <f>$C745*AQ744</f>
        <v/>
      </c>
      <c r="AR745">
        <f>$C745*AR744</f>
        <v/>
      </c>
      <c r="AS745">
        <f>$C745*AS744</f>
        <v/>
      </c>
      <c r="AT745">
        <f>$C745*AT744</f>
        <v/>
      </c>
      <c r="AU745">
        <f>$C745*AU744</f>
        <v/>
      </c>
      <c r="AV745">
        <f>$C745*AV744</f>
        <v/>
      </c>
      <c r="AW745">
        <f>$C745*AW744</f>
        <v/>
      </c>
      <c r="AX745">
        <f>$C745*AX744</f>
        <v/>
      </c>
      <c r="AY745">
        <f>$C745*AY744</f>
        <v/>
      </c>
      <c r="AZ745">
        <f>$C745*AZ744</f>
        <v/>
      </c>
      <c r="BA745">
        <f>$C745*BA744</f>
        <v/>
      </c>
      <c r="BB745">
        <f>$C745*BB744</f>
        <v/>
      </c>
      <c r="BC745">
        <f>$C745*BC744</f>
        <v/>
      </c>
      <c r="BD745">
        <f>$C745*BD744</f>
        <v/>
      </c>
      <c r="BE745">
        <f>$C745*BE744</f>
        <v/>
      </c>
      <c r="BF745">
        <f>$C745*BF744</f>
        <v/>
      </c>
      <c r="BG745">
        <f>$C745*BG744</f>
        <v/>
      </c>
      <c r="BH745">
        <f>$C745*BH744</f>
        <v/>
      </c>
      <c r="BI745">
        <f>$C745*BI744</f>
        <v/>
      </c>
      <c r="BJ745">
        <f>$C745*BJ744</f>
        <v/>
      </c>
      <c r="BK745">
        <f>$C745*BK744</f>
        <v/>
      </c>
      <c r="BL745">
        <f>$C745*BL744</f>
        <v/>
      </c>
      <c r="BM745">
        <f>$C745*BM744</f>
        <v/>
      </c>
      <c r="BN745">
        <f>$C745*BN744</f>
        <v/>
      </c>
      <c r="BO745">
        <f>$C745*BO744</f>
        <v/>
      </c>
      <c r="BP745">
        <f>$C745*BP744</f>
        <v/>
      </c>
      <c r="BQ745">
        <f>$C745*BQ744</f>
        <v/>
      </c>
      <c r="BR745">
        <f>$C745*BR744</f>
        <v/>
      </c>
      <c r="BS745">
        <f>$C745*BS744</f>
        <v/>
      </c>
      <c r="BT745">
        <f>$C745*BT744</f>
        <v/>
      </c>
      <c r="BU745">
        <f>$C745*BU744</f>
        <v/>
      </c>
      <c r="BV745">
        <f>$C745*BV744</f>
        <v/>
      </c>
      <c r="BW745">
        <f>$C745*BW744</f>
        <v/>
      </c>
      <c r="BX745">
        <f>$C745*BX744</f>
        <v/>
      </c>
      <c r="BY745">
        <f>$C745*BY744</f>
        <v/>
      </c>
      <c r="BZ745">
        <f>$C745*BZ744</f>
        <v/>
      </c>
      <c r="CA745">
        <f>$C745*CA744</f>
        <v/>
      </c>
      <c r="CB745">
        <f>$C745*CB744</f>
        <v/>
      </c>
      <c r="CC745">
        <f>$C745*CC744</f>
        <v/>
      </c>
      <c r="CD745">
        <f>$C745*CD744</f>
        <v/>
      </c>
      <c r="CE745">
        <f>$C745*CE744</f>
        <v/>
      </c>
      <c r="CF745">
        <f>$C745*CF744</f>
        <v/>
      </c>
      <c r="CG745">
        <f>$C745*CG744</f>
        <v/>
      </c>
      <c r="CH745">
        <f>$C745*CH744</f>
        <v/>
      </c>
      <c r="CI745">
        <f>$C745*CI744</f>
        <v/>
      </c>
      <c r="CJ745">
        <f>$C745*CJ744</f>
        <v/>
      </c>
      <c r="CK745">
        <f>$C745*CK744</f>
        <v/>
      </c>
      <c r="CL745">
        <f>$C745*CL744</f>
        <v/>
      </c>
      <c r="CM745">
        <f>$C745*CM744</f>
        <v/>
      </c>
      <c r="CN745">
        <f>$C745*CN744</f>
        <v/>
      </c>
      <c r="CO745">
        <f>$C745*CO744</f>
        <v/>
      </c>
      <c r="CP745">
        <f>$C745*CP744</f>
        <v/>
      </c>
      <c r="CQ745">
        <f>$C745*CQ744</f>
        <v/>
      </c>
      <c r="CR745">
        <f>$C745*CR744</f>
        <v/>
      </c>
      <c r="CS745">
        <f>$C745*CS744</f>
        <v/>
      </c>
      <c r="CT745">
        <f>$C745*CT744</f>
        <v/>
      </c>
      <c r="CU745">
        <f>$C745*CU744</f>
        <v/>
      </c>
      <c r="CV745">
        <f>$C745*CV744</f>
        <v/>
      </c>
      <c r="CW745">
        <f>$C745*CW744</f>
        <v/>
      </c>
      <c r="CX745">
        <f>$C745*CX744</f>
        <v/>
      </c>
      <c r="CY745">
        <f>$C745*CY744</f>
        <v/>
      </c>
      <c r="CZ745">
        <f>$C745*CZ744</f>
        <v/>
      </c>
      <c r="DA745">
        <f>$C745*DA744</f>
        <v/>
      </c>
      <c r="DB745">
        <f>$C745*DB744</f>
        <v/>
      </c>
      <c r="DC745">
        <f>$C745*DC744</f>
        <v/>
      </c>
    </row>
    <row r="746">
      <c r="B746" t="inlineStr">
        <is>
          <t>VSP-740</t>
        </is>
      </c>
      <c r="C746" t="inlineStr">
        <is>
          <t>No. of batches</t>
        </is>
      </c>
      <c r="D746">
        <f>IFERROR(INDEX(PP_Grid[#Data],$DD746,2),0)</f>
        <v/>
      </c>
      <c r="E746">
        <f>IFERROR(INDEX(PP_Grid[#Data],$DD746,3),0)</f>
        <v/>
      </c>
      <c r="F746">
        <f>IFERROR(INDEX(PP_Grid[#Data],$DD746,4),0)</f>
        <v/>
      </c>
      <c r="G746">
        <f>IFERROR(INDEX(PP_Grid[#Data],$DD746,5),0)</f>
        <v/>
      </c>
      <c r="H746">
        <f>IFERROR(INDEX(PP_Grid[#Data],$DD746,6),0)</f>
        <v/>
      </c>
      <c r="I746">
        <f>IFERROR(INDEX(PP_Grid[#Data],$DD746,7),0)</f>
        <v/>
      </c>
      <c r="J746">
        <f>IFERROR(INDEX(PP_Grid[#Data],$DD746,8),0)</f>
        <v/>
      </c>
      <c r="K746">
        <f>IFERROR(INDEX(PP_Grid[#Data],$DD746,9),0)</f>
        <v/>
      </c>
      <c r="L746">
        <f>IFERROR(INDEX(PP_Grid[#Data],$DD746,10),0)</f>
        <v/>
      </c>
      <c r="M746">
        <f>IFERROR(INDEX(PP_Grid[#Data],$DD746,11),0)</f>
        <v/>
      </c>
      <c r="N746">
        <f>IFERROR(INDEX(PP_Grid[#Data],$DD746,12),0)</f>
        <v/>
      </c>
      <c r="O746">
        <f>IFERROR(INDEX(PP_Grid[#Data],$DD746,13),0)</f>
        <v/>
      </c>
      <c r="P746">
        <f>IFERROR(INDEX(PP_Grid[#Data],$DD746,14),0)</f>
        <v/>
      </c>
      <c r="Q746">
        <f>IFERROR(INDEX(PP_Grid[#Data],$DD746,15),0)</f>
        <v/>
      </c>
      <c r="R746">
        <f>IFERROR(INDEX(PP_Grid[#Data],$DD746,16),0)</f>
        <v/>
      </c>
      <c r="S746">
        <f>IFERROR(INDEX(PP_Grid[#Data],$DD746,17),0)</f>
        <v/>
      </c>
      <c r="T746">
        <f>IFERROR(INDEX(PP_Grid[#Data],$DD746,18),0)</f>
        <v/>
      </c>
      <c r="U746">
        <f>IFERROR(INDEX(PP_Grid[#Data],$DD746,19),0)</f>
        <v/>
      </c>
      <c r="V746">
        <f>IFERROR(INDEX(PP_Grid[#Data],$DD746,20),0)</f>
        <v/>
      </c>
      <c r="W746">
        <f>IFERROR(INDEX(PP_Grid[#Data],$DD746,21),0)</f>
        <v/>
      </c>
      <c r="X746">
        <f>IFERROR(INDEX(PP_Grid[#Data],$DD746,22),0)</f>
        <v/>
      </c>
      <c r="Y746">
        <f>IFERROR(INDEX(PP_Grid[#Data],$DD746,23),0)</f>
        <v/>
      </c>
      <c r="Z746">
        <f>IFERROR(INDEX(PP_Grid[#Data],$DD746,24),0)</f>
        <v/>
      </c>
      <c r="AA746">
        <f>IFERROR(INDEX(PP_Grid[#Data],$DD746,25),0)</f>
        <v/>
      </c>
      <c r="AB746">
        <f>IFERROR(INDEX(PP_Grid[#Data],$DD746,26),0)</f>
        <v/>
      </c>
      <c r="AC746">
        <f>IFERROR(INDEX(PP_Grid[#Data],$DD746,27),0)</f>
        <v/>
      </c>
      <c r="AD746">
        <f>IFERROR(INDEX(PP_Grid[#Data],$DD746,28),0)</f>
        <v/>
      </c>
      <c r="AE746">
        <f>IFERROR(INDEX(PP_Grid[#Data],$DD746,29),0)</f>
        <v/>
      </c>
      <c r="AF746">
        <f>IFERROR(INDEX(PP_Grid[#Data],$DD746,30),0)</f>
        <v/>
      </c>
      <c r="AG746">
        <f>IFERROR(INDEX(PP_Grid[#Data],$DD746,31),0)</f>
        <v/>
      </c>
      <c r="AH746">
        <f>IFERROR(INDEX(PP_Grid[#Data],$DD746,32),0)</f>
        <v/>
      </c>
      <c r="AI746">
        <f>IFERROR(INDEX(PP_Grid[#Data],$DD746,33),0)</f>
        <v/>
      </c>
      <c r="AJ746">
        <f>IFERROR(INDEX(PP_Grid[#Data],$DD746,34),0)</f>
        <v/>
      </c>
      <c r="AK746">
        <f>IFERROR(INDEX(PP_Grid[#Data],$DD746,35),0)</f>
        <v/>
      </c>
      <c r="AL746">
        <f>IFERROR(INDEX(PP_Grid[#Data],$DD746,36),0)</f>
        <v/>
      </c>
      <c r="AM746">
        <f>IFERROR(INDEX(PP_Grid[#Data],$DD746,37),0)</f>
        <v/>
      </c>
      <c r="AN746">
        <f>IFERROR(INDEX(PP_Grid[#Data],$DD746,38),0)</f>
        <v/>
      </c>
      <c r="AO746">
        <f>IFERROR(INDEX(PP_Grid[#Data],$DD746,39),0)</f>
        <v/>
      </c>
      <c r="AP746">
        <f>IFERROR(INDEX(PP_Grid[#Data],$DD746,40),0)</f>
        <v/>
      </c>
      <c r="AQ746">
        <f>IFERROR(INDEX(PP_Grid[#Data],$DD746,41),0)</f>
        <v/>
      </c>
      <c r="AR746">
        <f>IFERROR(INDEX(PP_Grid[#Data],$DD746,42),0)</f>
        <v/>
      </c>
      <c r="AS746">
        <f>IFERROR(INDEX(PP_Grid[#Data],$DD746,43),0)</f>
        <v/>
      </c>
      <c r="AT746">
        <f>IFERROR(INDEX(PP_Grid[#Data],$DD746,44),0)</f>
        <v/>
      </c>
      <c r="AU746">
        <f>IFERROR(INDEX(PP_Grid[#Data],$DD746,45),0)</f>
        <v/>
      </c>
      <c r="AV746">
        <f>IFERROR(INDEX(PP_Grid[#Data],$DD746,46),0)</f>
        <v/>
      </c>
      <c r="AW746">
        <f>IFERROR(INDEX(PP_Grid[#Data],$DD746,47),0)</f>
        <v/>
      </c>
      <c r="AX746">
        <f>IFERROR(INDEX(PP_Grid[#Data],$DD746,48),0)</f>
        <v/>
      </c>
      <c r="AY746">
        <f>IFERROR(INDEX(PP_Grid[#Data],$DD746,49),0)</f>
        <v/>
      </c>
      <c r="AZ746">
        <f>IFERROR(INDEX(PP_Grid[#Data],$DD746,50),0)</f>
        <v/>
      </c>
      <c r="BA746">
        <f>IFERROR(INDEX(PP_Grid[#Data],$DD746,51),0)</f>
        <v/>
      </c>
      <c r="BB746">
        <f>IFERROR(INDEX(PP_Grid[#Data],$DD746,52),0)</f>
        <v/>
      </c>
      <c r="BC746">
        <f>IFERROR(INDEX(PP_Grid[#Data],$DD746,53),0)</f>
        <v/>
      </c>
      <c r="BD746">
        <f>IFERROR(INDEX(PP_Grid[#Data],$DD746,54),0)</f>
        <v/>
      </c>
      <c r="BE746">
        <f>IFERROR(INDEX(PP_Grid[#Data],$DD746,55),0)</f>
        <v/>
      </c>
      <c r="BF746">
        <f>IFERROR(INDEX(PP_Grid[#Data],$DD746,56),0)</f>
        <v/>
      </c>
      <c r="BG746">
        <f>IFERROR(INDEX(PP_Grid[#Data],$DD746,57),0)</f>
        <v/>
      </c>
      <c r="BH746">
        <f>IFERROR(INDEX(PP_Grid[#Data],$DD746,58),0)</f>
        <v/>
      </c>
      <c r="BI746">
        <f>IFERROR(INDEX(PP_Grid[#Data],$DD746,59),0)</f>
        <v/>
      </c>
      <c r="BJ746">
        <f>IFERROR(INDEX(PP_Grid[#Data],$DD746,60),0)</f>
        <v/>
      </c>
      <c r="BK746">
        <f>IFERROR(INDEX(PP_Grid[#Data],$DD746,61),0)</f>
        <v/>
      </c>
      <c r="BL746">
        <f>IFERROR(INDEX(PP_Grid[#Data],$DD746,62),0)</f>
        <v/>
      </c>
      <c r="BM746">
        <f>IFERROR(INDEX(PP_Grid[#Data],$DD746,63),0)</f>
        <v/>
      </c>
      <c r="BN746">
        <f>IFERROR(INDEX(PP_Grid[#Data],$DD746,64),0)</f>
        <v/>
      </c>
      <c r="BO746">
        <f>IFERROR(INDEX(PP_Grid[#Data],$DD746,65),0)</f>
        <v/>
      </c>
      <c r="BP746">
        <f>IFERROR(INDEX(PP_Grid[#Data],$DD746,66),0)</f>
        <v/>
      </c>
      <c r="BQ746">
        <f>IFERROR(INDEX(PP_Grid[#Data],$DD746,67),0)</f>
        <v/>
      </c>
      <c r="BR746">
        <f>IFERROR(INDEX(PP_Grid[#Data],$DD746,68),0)</f>
        <v/>
      </c>
      <c r="BS746">
        <f>IFERROR(INDEX(PP_Grid[#Data],$DD746,69),0)</f>
        <v/>
      </c>
      <c r="BT746">
        <f>IFERROR(INDEX(PP_Grid[#Data],$DD746,70),0)</f>
        <v/>
      </c>
      <c r="BU746">
        <f>IFERROR(INDEX(PP_Grid[#Data],$DD746,71),0)</f>
        <v/>
      </c>
      <c r="BV746">
        <f>IFERROR(INDEX(PP_Grid[#Data],$DD746,72),0)</f>
        <v/>
      </c>
      <c r="BW746">
        <f>IFERROR(INDEX(PP_Grid[#Data],$DD746,73),0)</f>
        <v/>
      </c>
      <c r="BX746">
        <f>IFERROR(INDEX(PP_Grid[#Data],$DD746,74),0)</f>
        <v/>
      </c>
      <c r="BY746">
        <f>IFERROR(INDEX(PP_Grid[#Data],$DD746,75),0)</f>
        <v/>
      </c>
      <c r="BZ746">
        <f>IFERROR(INDEX(PP_Grid[#Data],$DD746,76),0)</f>
        <v/>
      </c>
      <c r="CA746">
        <f>IFERROR(INDEX(PP_Grid[#Data],$DD746,77),0)</f>
        <v/>
      </c>
      <c r="CB746">
        <f>IFERROR(INDEX(PP_Grid[#Data],$DD746,78),0)</f>
        <v/>
      </c>
      <c r="CC746">
        <f>IFERROR(INDEX(PP_Grid[#Data],$DD746,79),0)</f>
        <v/>
      </c>
      <c r="CD746">
        <f>IFERROR(INDEX(PP_Grid[#Data],$DD746,80),0)</f>
        <v/>
      </c>
      <c r="CE746">
        <f>IFERROR(INDEX(PP_Grid[#Data],$DD746,81),0)</f>
        <v/>
      </c>
      <c r="CF746">
        <f>IFERROR(INDEX(PP_Grid[#Data],$DD746,82),0)</f>
        <v/>
      </c>
      <c r="CG746">
        <f>IFERROR(INDEX(PP_Grid[#Data],$DD746,83),0)</f>
        <v/>
      </c>
      <c r="CH746">
        <f>IFERROR(INDEX(PP_Grid[#Data],$DD746,84),0)</f>
        <v/>
      </c>
      <c r="CI746">
        <f>IFERROR(INDEX(PP_Grid[#Data],$DD746,85),0)</f>
        <v/>
      </c>
      <c r="CJ746">
        <f>IFERROR(INDEX(PP_Grid[#Data],$DD746,86),0)</f>
        <v/>
      </c>
      <c r="CK746">
        <f>IFERROR(INDEX(PP_Grid[#Data],$DD746,87),0)</f>
        <v/>
      </c>
      <c r="CL746">
        <f>IFERROR(INDEX(PP_Grid[#Data],$DD746,88),0)</f>
        <v/>
      </c>
      <c r="CM746">
        <f>IFERROR(INDEX(PP_Grid[#Data],$DD746,89),0)</f>
        <v/>
      </c>
      <c r="CN746">
        <f>IFERROR(INDEX(PP_Grid[#Data],$DD746,90),0)</f>
        <v/>
      </c>
      <c r="CO746">
        <f>IFERROR(INDEX(PP_Grid[#Data],$DD746,91),0)</f>
        <v/>
      </c>
      <c r="CP746">
        <f>IFERROR(INDEX(PP_Grid[#Data],$DD746,92),0)</f>
        <v/>
      </c>
      <c r="CQ746">
        <f>IFERROR(INDEX(PP_Grid[#Data],$DD746,93),0)</f>
        <v/>
      </c>
      <c r="CR746">
        <f>IFERROR(INDEX(PP_Grid[#Data],$DD746,94),0)</f>
        <v/>
      </c>
      <c r="CS746">
        <f>IFERROR(INDEX(PP_Grid[#Data],$DD746,95),0)</f>
        <v/>
      </c>
      <c r="CT746">
        <f>IFERROR(INDEX(PP_Grid[#Data],$DD746,96),0)</f>
        <v/>
      </c>
      <c r="CU746">
        <f>IFERROR(INDEX(PP_Grid[#Data],$DD746,97),0)</f>
        <v/>
      </c>
      <c r="CV746">
        <f>IFERROR(INDEX(PP_Grid[#Data],$DD746,98),0)</f>
        <v/>
      </c>
      <c r="CW746">
        <f>IFERROR(INDEX(PP_Grid[#Data],$DD746,99),0)</f>
        <v/>
      </c>
      <c r="CX746">
        <f>IFERROR(INDEX(PP_Grid[#Data],$DD746,100),0)</f>
        <v/>
      </c>
      <c r="CY746">
        <f>IFERROR(INDEX(PP_Grid[#Data],$DD746,101),0)</f>
        <v/>
      </c>
      <c r="CZ746">
        <f>IFERROR(INDEX(PP_Grid[#Data],$DD746,102),0)</f>
        <v/>
      </c>
      <c r="DA746">
        <f>IFERROR(INDEX(PP_Grid[#Data],$DD746,103),0)</f>
        <v/>
      </c>
      <c r="DB746">
        <f>IFERROR(INDEX(PP_Grid[#Data],$DD746,104),0)</f>
        <v/>
      </c>
      <c r="DC746">
        <f>IFERROR(INDEX(PP_Grid[#Data],$DD746,105),0)</f>
        <v/>
      </c>
      <c r="DD746" s="7">
        <f>IFERROR(MATCH($B746,PP_Grid[Intermediate],0),99999)</f>
        <v/>
      </c>
    </row>
    <row r="747">
      <c r="B747" t="inlineStr">
        <is>
          <t>使用量(kg)</t>
        </is>
      </c>
      <c r="C747">
        <f>SUMIFS(M_BOM[RM_Qty_Per_Batch],M_BOM[Intermediate],$B746,M_BOM[Part Name],$A723)</f>
        <v/>
      </c>
      <c r="D747">
        <f>$C747*D746</f>
        <v/>
      </c>
      <c r="E747">
        <f>$C747*E746</f>
        <v/>
      </c>
      <c r="F747">
        <f>$C747*F746</f>
        <v/>
      </c>
      <c r="G747">
        <f>$C747*G746</f>
        <v/>
      </c>
      <c r="H747">
        <f>$C747*H746</f>
        <v/>
      </c>
      <c r="I747">
        <f>$C747*I746</f>
        <v/>
      </c>
      <c r="J747">
        <f>$C747*J746</f>
        <v/>
      </c>
      <c r="K747">
        <f>$C747*K746</f>
        <v/>
      </c>
      <c r="L747">
        <f>$C747*L746</f>
        <v/>
      </c>
      <c r="M747">
        <f>$C747*M746</f>
        <v/>
      </c>
      <c r="N747">
        <f>$C747*N746</f>
        <v/>
      </c>
      <c r="O747">
        <f>$C747*O746</f>
        <v/>
      </c>
      <c r="P747">
        <f>$C747*P746</f>
        <v/>
      </c>
      <c r="Q747">
        <f>$C747*Q746</f>
        <v/>
      </c>
      <c r="R747">
        <f>$C747*R746</f>
        <v/>
      </c>
      <c r="S747">
        <f>$C747*S746</f>
        <v/>
      </c>
      <c r="T747">
        <f>$C747*T746</f>
        <v/>
      </c>
      <c r="U747">
        <f>$C747*U746</f>
        <v/>
      </c>
      <c r="V747">
        <f>$C747*V746</f>
        <v/>
      </c>
      <c r="W747">
        <f>$C747*W746</f>
        <v/>
      </c>
      <c r="X747">
        <f>$C747*X746</f>
        <v/>
      </c>
      <c r="Y747">
        <f>$C747*Y746</f>
        <v/>
      </c>
      <c r="Z747">
        <f>$C747*Z746</f>
        <v/>
      </c>
      <c r="AA747">
        <f>$C747*AA746</f>
        <v/>
      </c>
      <c r="AB747">
        <f>$C747*AB746</f>
        <v/>
      </c>
      <c r="AC747">
        <f>$C747*AC746</f>
        <v/>
      </c>
      <c r="AD747">
        <f>$C747*AD746</f>
        <v/>
      </c>
      <c r="AE747">
        <f>$C747*AE746</f>
        <v/>
      </c>
      <c r="AF747">
        <f>$C747*AF746</f>
        <v/>
      </c>
      <c r="AG747">
        <f>$C747*AG746</f>
        <v/>
      </c>
      <c r="AH747">
        <f>$C747*AH746</f>
        <v/>
      </c>
      <c r="AI747">
        <f>$C747*AI746</f>
        <v/>
      </c>
      <c r="AJ747">
        <f>$C747*AJ746</f>
        <v/>
      </c>
      <c r="AK747">
        <f>$C747*AK746</f>
        <v/>
      </c>
      <c r="AL747">
        <f>$C747*AL746</f>
        <v/>
      </c>
      <c r="AM747">
        <f>$C747*AM746</f>
        <v/>
      </c>
      <c r="AN747">
        <f>$C747*AN746</f>
        <v/>
      </c>
      <c r="AO747">
        <f>$C747*AO746</f>
        <v/>
      </c>
      <c r="AP747">
        <f>$C747*AP746</f>
        <v/>
      </c>
      <c r="AQ747">
        <f>$C747*AQ746</f>
        <v/>
      </c>
      <c r="AR747">
        <f>$C747*AR746</f>
        <v/>
      </c>
      <c r="AS747">
        <f>$C747*AS746</f>
        <v/>
      </c>
      <c r="AT747">
        <f>$C747*AT746</f>
        <v/>
      </c>
      <c r="AU747">
        <f>$C747*AU746</f>
        <v/>
      </c>
      <c r="AV747">
        <f>$C747*AV746</f>
        <v/>
      </c>
      <c r="AW747">
        <f>$C747*AW746</f>
        <v/>
      </c>
      <c r="AX747">
        <f>$C747*AX746</f>
        <v/>
      </c>
      <c r="AY747">
        <f>$C747*AY746</f>
        <v/>
      </c>
      <c r="AZ747">
        <f>$C747*AZ746</f>
        <v/>
      </c>
      <c r="BA747">
        <f>$C747*BA746</f>
        <v/>
      </c>
      <c r="BB747">
        <f>$C747*BB746</f>
        <v/>
      </c>
      <c r="BC747">
        <f>$C747*BC746</f>
        <v/>
      </c>
      <c r="BD747">
        <f>$C747*BD746</f>
        <v/>
      </c>
      <c r="BE747">
        <f>$C747*BE746</f>
        <v/>
      </c>
      <c r="BF747">
        <f>$C747*BF746</f>
        <v/>
      </c>
      <c r="BG747">
        <f>$C747*BG746</f>
        <v/>
      </c>
      <c r="BH747">
        <f>$C747*BH746</f>
        <v/>
      </c>
      <c r="BI747">
        <f>$C747*BI746</f>
        <v/>
      </c>
      <c r="BJ747">
        <f>$C747*BJ746</f>
        <v/>
      </c>
      <c r="BK747">
        <f>$C747*BK746</f>
        <v/>
      </c>
      <c r="BL747">
        <f>$C747*BL746</f>
        <v/>
      </c>
      <c r="BM747">
        <f>$C747*BM746</f>
        <v/>
      </c>
      <c r="BN747">
        <f>$C747*BN746</f>
        <v/>
      </c>
      <c r="BO747">
        <f>$C747*BO746</f>
        <v/>
      </c>
      <c r="BP747">
        <f>$C747*BP746</f>
        <v/>
      </c>
      <c r="BQ747">
        <f>$C747*BQ746</f>
        <v/>
      </c>
      <c r="BR747">
        <f>$C747*BR746</f>
        <v/>
      </c>
      <c r="BS747">
        <f>$C747*BS746</f>
        <v/>
      </c>
      <c r="BT747">
        <f>$C747*BT746</f>
        <v/>
      </c>
      <c r="BU747">
        <f>$C747*BU746</f>
        <v/>
      </c>
      <c r="BV747">
        <f>$C747*BV746</f>
        <v/>
      </c>
      <c r="BW747">
        <f>$C747*BW746</f>
        <v/>
      </c>
      <c r="BX747">
        <f>$C747*BX746</f>
        <v/>
      </c>
      <c r="BY747">
        <f>$C747*BY746</f>
        <v/>
      </c>
      <c r="BZ747">
        <f>$C747*BZ746</f>
        <v/>
      </c>
      <c r="CA747">
        <f>$C747*CA746</f>
        <v/>
      </c>
      <c r="CB747">
        <f>$C747*CB746</f>
        <v/>
      </c>
      <c r="CC747">
        <f>$C747*CC746</f>
        <v/>
      </c>
      <c r="CD747">
        <f>$C747*CD746</f>
        <v/>
      </c>
      <c r="CE747">
        <f>$C747*CE746</f>
        <v/>
      </c>
      <c r="CF747">
        <f>$C747*CF746</f>
        <v/>
      </c>
      <c r="CG747">
        <f>$C747*CG746</f>
        <v/>
      </c>
      <c r="CH747">
        <f>$C747*CH746</f>
        <v/>
      </c>
      <c r="CI747">
        <f>$C747*CI746</f>
        <v/>
      </c>
      <c r="CJ747">
        <f>$C747*CJ746</f>
        <v/>
      </c>
      <c r="CK747">
        <f>$C747*CK746</f>
        <v/>
      </c>
      <c r="CL747">
        <f>$C747*CL746</f>
        <v/>
      </c>
      <c r="CM747">
        <f>$C747*CM746</f>
        <v/>
      </c>
      <c r="CN747">
        <f>$C747*CN746</f>
        <v/>
      </c>
      <c r="CO747">
        <f>$C747*CO746</f>
        <v/>
      </c>
      <c r="CP747">
        <f>$C747*CP746</f>
        <v/>
      </c>
      <c r="CQ747">
        <f>$C747*CQ746</f>
        <v/>
      </c>
      <c r="CR747">
        <f>$C747*CR746</f>
        <v/>
      </c>
      <c r="CS747">
        <f>$C747*CS746</f>
        <v/>
      </c>
      <c r="CT747">
        <f>$C747*CT746</f>
        <v/>
      </c>
      <c r="CU747">
        <f>$C747*CU746</f>
        <v/>
      </c>
      <c r="CV747">
        <f>$C747*CV746</f>
        <v/>
      </c>
      <c r="CW747">
        <f>$C747*CW746</f>
        <v/>
      </c>
      <c r="CX747">
        <f>$C747*CX746</f>
        <v/>
      </c>
      <c r="CY747">
        <f>$C747*CY746</f>
        <v/>
      </c>
      <c r="CZ747">
        <f>$C747*CZ746</f>
        <v/>
      </c>
      <c r="DA747">
        <f>$C747*DA746</f>
        <v/>
      </c>
      <c r="DB747">
        <f>$C747*DB746</f>
        <v/>
      </c>
      <c r="DC747">
        <f>$C747*DC746</f>
        <v/>
      </c>
    </row>
    <row r="748">
      <c r="B748" t="inlineStr">
        <is>
          <t>VSP-746</t>
        </is>
      </c>
      <c r="C748" t="inlineStr">
        <is>
          <t>No. of batches</t>
        </is>
      </c>
      <c r="D748">
        <f>IFERROR(INDEX(PP_Grid[#Data],$DD748,2),0)</f>
        <v/>
      </c>
      <c r="E748">
        <f>IFERROR(INDEX(PP_Grid[#Data],$DD748,3),0)</f>
        <v/>
      </c>
      <c r="F748">
        <f>IFERROR(INDEX(PP_Grid[#Data],$DD748,4),0)</f>
        <v/>
      </c>
      <c r="G748">
        <f>IFERROR(INDEX(PP_Grid[#Data],$DD748,5),0)</f>
        <v/>
      </c>
      <c r="H748">
        <f>IFERROR(INDEX(PP_Grid[#Data],$DD748,6),0)</f>
        <v/>
      </c>
      <c r="I748">
        <f>IFERROR(INDEX(PP_Grid[#Data],$DD748,7),0)</f>
        <v/>
      </c>
      <c r="J748">
        <f>IFERROR(INDEX(PP_Grid[#Data],$DD748,8),0)</f>
        <v/>
      </c>
      <c r="K748">
        <f>IFERROR(INDEX(PP_Grid[#Data],$DD748,9),0)</f>
        <v/>
      </c>
      <c r="L748">
        <f>IFERROR(INDEX(PP_Grid[#Data],$DD748,10),0)</f>
        <v/>
      </c>
      <c r="M748">
        <f>IFERROR(INDEX(PP_Grid[#Data],$DD748,11),0)</f>
        <v/>
      </c>
      <c r="N748">
        <f>IFERROR(INDEX(PP_Grid[#Data],$DD748,12),0)</f>
        <v/>
      </c>
      <c r="O748">
        <f>IFERROR(INDEX(PP_Grid[#Data],$DD748,13),0)</f>
        <v/>
      </c>
      <c r="P748">
        <f>IFERROR(INDEX(PP_Grid[#Data],$DD748,14),0)</f>
        <v/>
      </c>
      <c r="Q748">
        <f>IFERROR(INDEX(PP_Grid[#Data],$DD748,15),0)</f>
        <v/>
      </c>
      <c r="R748">
        <f>IFERROR(INDEX(PP_Grid[#Data],$DD748,16),0)</f>
        <v/>
      </c>
      <c r="S748">
        <f>IFERROR(INDEX(PP_Grid[#Data],$DD748,17),0)</f>
        <v/>
      </c>
      <c r="T748">
        <f>IFERROR(INDEX(PP_Grid[#Data],$DD748,18),0)</f>
        <v/>
      </c>
      <c r="U748">
        <f>IFERROR(INDEX(PP_Grid[#Data],$DD748,19),0)</f>
        <v/>
      </c>
      <c r="V748">
        <f>IFERROR(INDEX(PP_Grid[#Data],$DD748,20),0)</f>
        <v/>
      </c>
      <c r="W748">
        <f>IFERROR(INDEX(PP_Grid[#Data],$DD748,21),0)</f>
        <v/>
      </c>
      <c r="X748">
        <f>IFERROR(INDEX(PP_Grid[#Data],$DD748,22),0)</f>
        <v/>
      </c>
      <c r="Y748">
        <f>IFERROR(INDEX(PP_Grid[#Data],$DD748,23),0)</f>
        <v/>
      </c>
      <c r="Z748">
        <f>IFERROR(INDEX(PP_Grid[#Data],$DD748,24),0)</f>
        <v/>
      </c>
      <c r="AA748">
        <f>IFERROR(INDEX(PP_Grid[#Data],$DD748,25),0)</f>
        <v/>
      </c>
      <c r="AB748">
        <f>IFERROR(INDEX(PP_Grid[#Data],$DD748,26),0)</f>
        <v/>
      </c>
      <c r="AC748">
        <f>IFERROR(INDEX(PP_Grid[#Data],$DD748,27),0)</f>
        <v/>
      </c>
      <c r="AD748">
        <f>IFERROR(INDEX(PP_Grid[#Data],$DD748,28),0)</f>
        <v/>
      </c>
      <c r="AE748">
        <f>IFERROR(INDEX(PP_Grid[#Data],$DD748,29),0)</f>
        <v/>
      </c>
      <c r="AF748">
        <f>IFERROR(INDEX(PP_Grid[#Data],$DD748,30),0)</f>
        <v/>
      </c>
      <c r="AG748">
        <f>IFERROR(INDEX(PP_Grid[#Data],$DD748,31),0)</f>
        <v/>
      </c>
      <c r="AH748">
        <f>IFERROR(INDEX(PP_Grid[#Data],$DD748,32),0)</f>
        <v/>
      </c>
      <c r="AI748">
        <f>IFERROR(INDEX(PP_Grid[#Data],$DD748,33),0)</f>
        <v/>
      </c>
      <c r="AJ748">
        <f>IFERROR(INDEX(PP_Grid[#Data],$DD748,34),0)</f>
        <v/>
      </c>
      <c r="AK748">
        <f>IFERROR(INDEX(PP_Grid[#Data],$DD748,35),0)</f>
        <v/>
      </c>
      <c r="AL748">
        <f>IFERROR(INDEX(PP_Grid[#Data],$DD748,36),0)</f>
        <v/>
      </c>
      <c r="AM748">
        <f>IFERROR(INDEX(PP_Grid[#Data],$DD748,37),0)</f>
        <v/>
      </c>
      <c r="AN748">
        <f>IFERROR(INDEX(PP_Grid[#Data],$DD748,38),0)</f>
        <v/>
      </c>
      <c r="AO748">
        <f>IFERROR(INDEX(PP_Grid[#Data],$DD748,39),0)</f>
        <v/>
      </c>
      <c r="AP748">
        <f>IFERROR(INDEX(PP_Grid[#Data],$DD748,40),0)</f>
        <v/>
      </c>
      <c r="AQ748">
        <f>IFERROR(INDEX(PP_Grid[#Data],$DD748,41),0)</f>
        <v/>
      </c>
      <c r="AR748">
        <f>IFERROR(INDEX(PP_Grid[#Data],$DD748,42),0)</f>
        <v/>
      </c>
      <c r="AS748">
        <f>IFERROR(INDEX(PP_Grid[#Data],$DD748,43),0)</f>
        <v/>
      </c>
      <c r="AT748">
        <f>IFERROR(INDEX(PP_Grid[#Data],$DD748,44),0)</f>
        <v/>
      </c>
      <c r="AU748">
        <f>IFERROR(INDEX(PP_Grid[#Data],$DD748,45),0)</f>
        <v/>
      </c>
      <c r="AV748">
        <f>IFERROR(INDEX(PP_Grid[#Data],$DD748,46),0)</f>
        <v/>
      </c>
      <c r="AW748">
        <f>IFERROR(INDEX(PP_Grid[#Data],$DD748,47),0)</f>
        <v/>
      </c>
      <c r="AX748">
        <f>IFERROR(INDEX(PP_Grid[#Data],$DD748,48),0)</f>
        <v/>
      </c>
      <c r="AY748">
        <f>IFERROR(INDEX(PP_Grid[#Data],$DD748,49),0)</f>
        <v/>
      </c>
      <c r="AZ748">
        <f>IFERROR(INDEX(PP_Grid[#Data],$DD748,50),0)</f>
        <v/>
      </c>
      <c r="BA748">
        <f>IFERROR(INDEX(PP_Grid[#Data],$DD748,51),0)</f>
        <v/>
      </c>
      <c r="BB748">
        <f>IFERROR(INDEX(PP_Grid[#Data],$DD748,52),0)</f>
        <v/>
      </c>
      <c r="BC748">
        <f>IFERROR(INDEX(PP_Grid[#Data],$DD748,53),0)</f>
        <v/>
      </c>
      <c r="BD748">
        <f>IFERROR(INDEX(PP_Grid[#Data],$DD748,54),0)</f>
        <v/>
      </c>
      <c r="BE748">
        <f>IFERROR(INDEX(PP_Grid[#Data],$DD748,55),0)</f>
        <v/>
      </c>
      <c r="BF748">
        <f>IFERROR(INDEX(PP_Grid[#Data],$DD748,56),0)</f>
        <v/>
      </c>
      <c r="BG748">
        <f>IFERROR(INDEX(PP_Grid[#Data],$DD748,57),0)</f>
        <v/>
      </c>
      <c r="BH748">
        <f>IFERROR(INDEX(PP_Grid[#Data],$DD748,58),0)</f>
        <v/>
      </c>
      <c r="BI748">
        <f>IFERROR(INDEX(PP_Grid[#Data],$DD748,59),0)</f>
        <v/>
      </c>
      <c r="BJ748">
        <f>IFERROR(INDEX(PP_Grid[#Data],$DD748,60),0)</f>
        <v/>
      </c>
      <c r="BK748">
        <f>IFERROR(INDEX(PP_Grid[#Data],$DD748,61),0)</f>
        <v/>
      </c>
      <c r="BL748">
        <f>IFERROR(INDEX(PP_Grid[#Data],$DD748,62),0)</f>
        <v/>
      </c>
      <c r="BM748">
        <f>IFERROR(INDEX(PP_Grid[#Data],$DD748,63),0)</f>
        <v/>
      </c>
      <c r="BN748">
        <f>IFERROR(INDEX(PP_Grid[#Data],$DD748,64),0)</f>
        <v/>
      </c>
      <c r="BO748">
        <f>IFERROR(INDEX(PP_Grid[#Data],$DD748,65),0)</f>
        <v/>
      </c>
      <c r="BP748">
        <f>IFERROR(INDEX(PP_Grid[#Data],$DD748,66),0)</f>
        <v/>
      </c>
      <c r="BQ748">
        <f>IFERROR(INDEX(PP_Grid[#Data],$DD748,67),0)</f>
        <v/>
      </c>
      <c r="BR748">
        <f>IFERROR(INDEX(PP_Grid[#Data],$DD748,68),0)</f>
        <v/>
      </c>
      <c r="BS748">
        <f>IFERROR(INDEX(PP_Grid[#Data],$DD748,69),0)</f>
        <v/>
      </c>
      <c r="BT748">
        <f>IFERROR(INDEX(PP_Grid[#Data],$DD748,70),0)</f>
        <v/>
      </c>
      <c r="BU748">
        <f>IFERROR(INDEX(PP_Grid[#Data],$DD748,71),0)</f>
        <v/>
      </c>
      <c r="BV748">
        <f>IFERROR(INDEX(PP_Grid[#Data],$DD748,72),0)</f>
        <v/>
      </c>
      <c r="BW748">
        <f>IFERROR(INDEX(PP_Grid[#Data],$DD748,73),0)</f>
        <v/>
      </c>
      <c r="BX748">
        <f>IFERROR(INDEX(PP_Grid[#Data],$DD748,74),0)</f>
        <v/>
      </c>
      <c r="BY748">
        <f>IFERROR(INDEX(PP_Grid[#Data],$DD748,75),0)</f>
        <v/>
      </c>
      <c r="BZ748">
        <f>IFERROR(INDEX(PP_Grid[#Data],$DD748,76),0)</f>
        <v/>
      </c>
      <c r="CA748">
        <f>IFERROR(INDEX(PP_Grid[#Data],$DD748,77),0)</f>
        <v/>
      </c>
      <c r="CB748">
        <f>IFERROR(INDEX(PP_Grid[#Data],$DD748,78),0)</f>
        <v/>
      </c>
      <c r="CC748">
        <f>IFERROR(INDEX(PP_Grid[#Data],$DD748,79),0)</f>
        <v/>
      </c>
      <c r="CD748">
        <f>IFERROR(INDEX(PP_Grid[#Data],$DD748,80),0)</f>
        <v/>
      </c>
      <c r="CE748">
        <f>IFERROR(INDEX(PP_Grid[#Data],$DD748,81),0)</f>
        <v/>
      </c>
      <c r="CF748">
        <f>IFERROR(INDEX(PP_Grid[#Data],$DD748,82),0)</f>
        <v/>
      </c>
      <c r="CG748">
        <f>IFERROR(INDEX(PP_Grid[#Data],$DD748,83),0)</f>
        <v/>
      </c>
      <c r="CH748">
        <f>IFERROR(INDEX(PP_Grid[#Data],$DD748,84),0)</f>
        <v/>
      </c>
      <c r="CI748">
        <f>IFERROR(INDEX(PP_Grid[#Data],$DD748,85),0)</f>
        <v/>
      </c>
      <c r="CJ748">
        <f>IFERROR(INDEX(PP_Grid[#Data],$DD748,86),0)</f>
        <v/>
      </c>
      <c r="CK748">
        <f>IFERROR(INDEX(PP_Grid[#Data],$DD748,87),0)</f>
        <v/>
      </c>
      <c r="CL748">
        <f>IFERROR(INDEX(PP_Grid[#Data],$DD748,88),0)</f>
        <v/>
      </c>
      <c r="CM748">
        <f>IFERROR(INDEX(PP_Grid[#Data],$DD748,89),0)</f>
        <v/>
      </c>
      <c r="CN748">
        <f>IFERROR(INDEX(PP_Grid[#Data],$DD748,90),0)</f>
        <v/>
      </c>
      <c r="CO748">
        <f>IFERROR(INDEX(PP_Grid[#Data],$DD748,91),0)</f>
        <v/>
      </c>
      <c r="CP748">
        <f>IFERROR(INDEX(PP_Grid[#Data],$DD748,92),0)</f>
        <v/>
      </c>
      <c r="CQ748">
        <f>IFERROR(INDEX(PP_Grid[#Data],$DD748,93),0)</f>
        <v/>
      </c>
      <c r="CR748">
        <f>IFERROR(INDEX(PP_Grid[#Data],$DD748,94),0)</f>
        <v/>
      </c>
      <c r="CS748">
        <f>IFERROR(INDEX(PP_Grid[#Data],$DD748,95),0)</f>
        <v/>
      </c>
      <c r="CT748">
        <f>IFERROR(INDEX(PP_Grid[#Data],$DD748,96),0)</f>
        <v/>
      </c>
      <c r="CU748">
        <f>IFERROR(INDEX(PP_Grid[#Data],$DD748,97),0)</f>
        <v/>
      </c>
      <c r="CV748">
        <f>IFERROR(INDEX(PP_Grid[#Data],$DD748,98),0)</f>
        <v/>
      </c>
      <c r="CW748">
        <f>IFERROR(INDEX(PP_Grid[#Data],$DD748,99),0)</f>
        <v/>
      </c>
      <c r="CX748">
        <f>IFERROR(INDEX(PP_Grid[#Data],$DD748,100),0)</f>
        <v/>
      </c>
      <c r="CY748">
        <f>IFERROR(INDEX(PP_Grid[#Data],$DD748,101),0)</f>
        <v/>
      </c>
      <c r="CZ748">
        <f>IFERROR(INDEX(PP_Grid[#Data],$DD748,102),0)</f>
        <v/>
      </c>
      <c r="DA748">
        <f>IFERROR(INDEX(PP_Grid[#Data],$DD748,103),0)</f>
        <v/>
      </c>
      <c r="DB748">
        <f>IFERROR(INDEX(PP_Grid[#Data],$DD748,104),0)</f>
        <v/>
      </c>
      <c r="DC748">
        <f>IFERROR(INDEX(PP_Grid[#Data],$DD748,105),0)</f>
        <v/>
      </c>
      <c r="DD748" s="7">
        <f>IFERROR(MATCH($B748,PP_Grid[Intermediate],0),99999)</f>
        <v/>
      </c>
    </row>
    <row r="749">
      <c r="B749" t="inlineStr">
        <is>
          <t>使用量(kg)</t>
        </is>
      </c>
      <c r="C749">
        <f>SUMIFS(M_BOM[RM_Qty_Per_Batch],M_BOM[Intermediate],$B748,M_BOM[Part Name],$A723)</f>
        <v/>
      </c>
      <c r="D749">
        <f>$C749*D748</f>
        <v/>
      </c>
      <c r="E749">
        <f>$C749*E748</f>
        <v/>
      </c>
      <c r="F749">
        <f>$C749*F748</f>
        <v/>
      </c>
      <c r="G749">
        <f>$C749*G748</f>
        <v/>
      </c>
      <c r="H749">
        <f>$C749*H748</f>
        <v/>
      </c>
      <c r="I749">
        <f>$C749*I748</f>
        <v/>
      </c>
      <c r="J749">
        <f>$C749*J748</f>
        <v/>
      </c>
      <c r="K749">
        <f>$C749*K748</f>
        <v/>
      </c>
      <c r="L749">
        <f>$C749*L748</f>
        <v/>
      </c>
      <c r="M749">
        <f>$C749*M748</f>
        <v/>
      </c>
      <c r="N749">
        <f>$C749*N748</f>
        <v/>
      </c>
      <c r="O749">
        <f>$C749*O748</f>
        <v/>
      </c>
      <c r="P749">
        <f>$C749*P748</f>
        <v/>
      </c>
      <c r="Q749">
        <f>$C749*Q748</f>
        <v/>
      </c>
      <c r="R749">
        <f>$C749*R748</f>
        <v/>
      </c>
      <c r="S749">
        <f>$C749*S748</f>
        <v/>
      </c>
      <c r="T749">
        <f>$C749*T748</f>
        <v/>
      </c>
      <c r="U749">
        <f>$C749*U748</f>
        <v/>
      </c>
      <c r="V749">
        <f>$C749*V748</f>
        <v/>
      </c>
      <c r="W749">
        <f>$C749*W748</f>
        <v/>
      </c>
      <c r="X749">
        <f>$C749*X748</f>
        <v/>
      </c>
      <c r="Y749">
        <f>$C749*Y748</f>
        <v/>
      </c>
      <c r="Z749">
        <f>$C749*Z748</f>
        <v/>
      </c>
      <c r="AA749">
        <f>$C749*AA748</f>
        <v/>
      </c>
      <c r="AB749">
        <f>$C749*AB748</f>
        <v/>
      </c>
      <c r="AC749">
        <f>$C749*AC748</f>
        <v/>
      </c>
      <c r="AD749">
        <f>$C749*AD748</f>
        <v/>
      </c>
      <c r="AE749">
        <f>$C749*AE748</f>
        <v/>
      </c>
      <c r="AF749">
        <f>$C749*AF748</f>
        <v/>
      </c>
      <c r="AG749">
        <f>$C749*AG748</f>
        <v/>
      </c>
      <c r="AH749">
        <f>$C749*AH748</f>
        <v/>
      </c>
      <c r="AI749">
        <f>$C749*AI748</f>
        <v/>
      </c>
      <c r="AJ749">
        <f>$C749*AJ748</f>
        <v/>
      </c>
      <c r="AK749">
        <f>$C749*AK748</f>
        <v/>
      </c>
      <c r="AL749">
        <f>$C749*AL748</f>
        <v/>
      </c>
      <c r="AM749">
        <f>$C749*AM748</f>
        <v/>
      </c>
      <c r="AN749">
        <f>$C749*AN748</f>
        <v/>
      </c>
      <c r="AO749">
        <f>$C749*AO748</f>
        <v/>
      </c>
      <c r="AP749">
        <f>$C749*AP748</f>
        <v/>
      </c>
      <c r="AQ749">
        <f>$C749*AQ748</f>
        <v/>
      </c>
      <c r="AR749">
        <f>$C749*AR748</f>
        <v/>
      </c>
      <c r="AS749">
        <f>$C749*AS748</f>
        <v/>
      </c>
      <c r="AT749">
        <f>$C749*AT748</f>
        <v/>
      </c>
      <c r="AU749">
        <f>$C749*AU748</f>
        <v/>
      </c>
      <c r="AV749">
        <f>$C749*AV748</f>
        <v/>
      </c>
      <c r="AW749">
        <f>$C749*AW748</f>
        <v/>
      </c>
      <c r="AX749">
        <f>$C749*AX748</f>
        <v/>
      </c>
      <c r="AY749">
        <f>$C749*AY748</f>
        <v/>
      </c>
      <c r="AZ749">
        <f>$C749*AZ748</f>
        <v/>
      </c>
      <c r="BA749">
        <f>$C749*BA748</f>
        <v/>
      </c>
      <c r="BB749">
        <f>$C749*BB748</f>
        <v/>
      </c>
      <c r="BC749">
        <f>$C749*BC748</f>
        <v/>
      </c>
      <c r="BD749">
        <f>$C749*BD748</f>
        <v/>
      </c>
      <c r="BE749">
        <f>$C749*BE748</f>
        <v/>
      </c>
      <c r="BF749">
        <f>$C749*BF748</f>
        <v/>
      </c>
      <c r="BG749">
        <f>$C749*BG748</f>
        <v/>
      </c>
      <c r="BH749">
        <f>$C749*BH748</f>
        <v/>
      </c>
      <c r="BI749">
        <f>$C749*BI748</f>
        <v/>
      </c>
      <c r="BJ749">
        <f>$C749*BJ748</f>
        <v/>
      </c>
      <c r="BK749">
        <f>$C749*BK748</f>
        <v/>
      </c>
      <c r="BL749">
        <f>$C749*BL748</f>
        <v/>
      </c>
      <c r="BM749">
        <f>$C749*BM748</f>
        <v/>
      </c>
      <c r="BN749">
        <f>$C749*BN748</f>
        <v/>
      </c>
      <c r="BO749">
        <f>$C749*BO748</f>
        <v/>
      </c>
      <c r="BP749">
        <f>$C749*BP748</f>
        <v/>
      </c>
      <c r="BQ749">
        <f>$C749*BQ748</f>
        <v/>
      </c>
      <c r="BR749">
        <f>$C749*BR748</f>
        <v/>
      </c>
      <c r="BS749">
        <f>$C749*BS748</f>
        <v/>
      </c>
      <c r="BT749">
        <f>$C749*BT748</f>
        <v/>
      </c>
      <c r="BU749">
        <f>$C749*BU748</f>
        <v/>
      </c>
      <c r="BV749">
        <f>$C749*BV748</f>
        <v/>
      </c>
      <c r="BW749">
        <f>$C749*BW748</f>
        <v/>
      </c>
      <c r="BX749">
        <f>$C749*BX748</f>
        <v/>
      </c>
      <c r="BY749">
        <f>$C749*BY748</f>
        <v/>
      </c>
      <c r="BZ749">
        <f>$C749*BZ748</f>
        <v/>
      </c>
      <c r="CA749">
        <f>$C749*CA748</f>
        <v/>
      </c>
      <c r="CB749">
        <f>$C749*CB748</f>
        <v/>
      </c>
      <c r="CC749">
        <f>$C749*CC748</f>
        <v/>
      </c>
      <c r="CD749">
        <f>$C749*CD748</f>
        <v/>
      </c>
      <c r="CE749">
        <f>$C749*CE748</f>
        <v/>
      </c>
      <c r="CF749">
        <f>$C749*CF748</f>
        <v/>
      </c>
      <c r="CG749">
        <f>$C749*CG748</f>
        <v/>
      </c>
      <c r="CH749">
        <f>$C749*CH748</f>
        <v/>
      </c>
      <c r="CI749">
        <f>$C749*CI748</f>
        <v/>
      </c>
      <c r="CJ749">
        <f>$C749*CJ748</f>
        <v/>
      </c>
      <c r="CK749">
        <f>$C749*CK748</f>
        <v/>
      </c>
      <c r="CL749">
        <f>$C749*CL748</f>
        <v/>
      </c>
      <c r="CM749">
        <f>$C749*CM748</f>
        <v/>
      </c>
      <c r="CN749">
        <f>$C749*CN748</f>
        <v/>
      </c>
      <c r="CO749">
        <f>$C749*CO748</f>
        <v/>
      </c>
      <c r="CP749">
        <f>$C749*CP748</f>
        <v/>
      </c>
      <c r="CQ749">
        <f>$C749*CQ748</f>
        <v/>
      </c>
      <c r="CR749">
        <f>$C749*CR748</f>
        <v/>
      </c>
      <c r="CS749">
        <f>$C749*CS748</f>
        <v/>
      </c>
      <c r="CT749">
        <f>$C749*CT748</f>
        <v/>
      </c>
      <c r="CU749">
        <f>$C749*CU748</f>
        <v/>
      </c>
      <c r="CV749">
        <f>$C749*CV748</f>
        <v/>
      </c>
      <c r="CW749">
        <f>$C749*CW748</f>
        <v/>
      </c>
      <c r="CX749">
        <f>$C749*CX748</f>
        <v/>
      </c>
      <c r="CY749">
        <f>$C749*CY748</f>
        <v/>
      </c>
      <c r="CZ749">
        <f>$C749*CZ748</f>
        <v/>
      </c>
      <c r="DA749">
        <f>$C749*DA748</f>
        <v/>
      </c>
      <c r="DB749">
        <f>$C749*DB748</f>
        <v/>
      </c>
      <c r="DC749">
        <f>$C749*DC748</f>
        <v/>
      </c>
    </row>
    <row r="750">
      <c r="B750" t="inlineStr">
        <is>
          <t>VSP-822</t>
        </is>
      </c>
      <c r="C750" t="inlineStr">
        <is>
          <t>No. of batches</t>
        </is>
      </c>
      <c r="D750">
        <f>IFERROR(INDEX(PP_Grid[#Data],$DD750,2),0)</f>
        <v/>
      </c>
      <c r="E750">
        <f>IFERROR(INDEX(PP_Grid[#Data],$DD750,3),0)</f>
        <v/>
      </c>
      <c r="F750">
        <f>IFERROR(INDEX(PP_Grid[#Data],$DD750,4),0)</f>
        <v/>
      </c>
      <c r="G750">
        <f>IFERROR(INDEX(PP_Grid[#Data],$DD750,5),0)</f>
        <v/>
      </c>
      <c r="H750">
        <f>IFERROR(INDEX(PP_Grid[#Data],$DD750,6),0)</f>
        <v/>
      </c>
      <c r="I750">
        <f>IFERROR(INDEX(PP_Grid[#Data],$DD750,7),0)</f>
        <v/>
      </c>
      <c r="J750">
        <f>IFERROR(INDEX(PP_Grid[#Data],$DD750,8),0)</f>
        <v/>
      </c>
      <c r="K750">
        <f>IFERROR(INDEX(PP_Grid[#Data],$DD750,9),0)</f>
        <v/>
      </c>
      <c r="L750">
        <f>IFERROR(INDEX(PP_Grid[#Data],$DD750,10),0)</f>
        <v/>
      </c>
      <c r="M750">
        <f>IFERROR(INDEX(PP_Grid[#Data],$DD750,11),0)</f>
        <v/>
      </c>
      <c r="N750">
        <f>IFERROR(INDEX(PP_Grid[#Data],$DD750,12),0)</f>
        <v/>
      </c>
      <c r="O750">
        <f>IFERROR(INDEX(PP_Grid[#Data],$DD750,13),0)</f>
        <v/>
      </c>
      <c r="P750">
        <f>IFERROR(INDEX(PP_Grid[#Data],$DD750,14),0)</f>
        <v/>
      </c>
      <c r="Q750">
        <f>IFERROR(INDEX(PP_Grid[#Data],$DD750,15),0)</f>
        <v/>
      </c>
      <c r="R750">
        <f>IFERROR(INDEX(PP_Grid[#Data],$DD750,16),0)</f>
        <v/>
      </c>
      <c r="S750">
        <f>IFERROR(INDEX(PP_Grid[#Data],$DD750,17),0)</f>
        <v/>
      </c>
      <c r="T750">
        <f>IFERROR(INDEX(PP_Grid[#Data],$DD750,18),0)</f>
        <v/>
      </c>
      <c r="U750">
        <f>IFERROR(INDEX(PP_Grid[#Data],$DD750,19),0)</f>
        <v/>
      </c>
      <c r="V750">
        <f>IFERROR(INDEX(PP_Grid[#Data],$DD750,20),0)</f>
        <v/>
      </c>
      <c r="W750">
        <f>IFERROR(INDEX(PP_Grid[#Data],$DD750,21),0)</f>
        <v/>
      </c>
      <c r="X750">
        <f>IFERROR(INDEX(PP_Grid[#Data],$DD750,22),0)</f>
        <v/>
      </c>
      <c r="Y750">
        <f>IFERROR(INDEX(PP_Grid[#Data],$DD750,23),0)</f>
        <v/>
      </c>
      <c r="Z750">
        <f>IFERROR(INDEX(PP_Grid[#Data],$DD750,24),0)</f>
        <v/>
      </c>
      <c r="AA750">
        <f>IFERROR(INDEX(PP_Grid[#Data],$DD750,25),0)</f>
        <v/>
      </c>
      <c r="AB750">
        <f>IFERROR(INDEX(PP_Grid[#Data],$DD750,26),0)</f>
        <v/>
      </c>
      <c r="AC750">
        <f>IFERROR(INDEX(PP_Grid[#Data],$DD750,27),0)</f>
        <v/>
      </c>
      <c r="AD750">
        <f>IFERROR(INDEX(PP_Grid[#Data],$DD750,28),0)</f>
        <v/>
      </c>
      <c r="AE750">
        <f>IFERROR(INDEX(PP_Grid[#Data],$DD750,29),0)</f>
        <v/>
      </c>
      <c r="AF750">
        <f>IFERROR(INDEX(PP_Grid[#Data],$DD750,30),0)</f>
        <v/>
      </c>
      <c r="AG750">
        <f>IFERROR(INDEX(PP_Grid[#Data],$DD750,31),0)</f>
        <v/>
      </c>
      <c r="AH750">
        <f>IFERROR(INDEX(PP_Grid[#Data],$DD750,32),0)</f>
        <v/>
      </c>
      <c r="AI750">
        <f>IFERROR(INDEX(PP_Grid[#Data],$DD750,33),0)</f>
        <v/>
      </c>
      <c r="AJ750">
        <f>IFERROR(INDEX(PP_Grid[#Data],$DD750,34),0)</f>
        <v/>
      </c>
      <c r="AK750">
        <f>IFERROR(INDEX(PP_Grid[#Data],$DD750,35),0)</f>
        <v/>
      </c>
      <c r="AL750">
        <f>IFERROR(INDEX(PP_Grid[#Data],$DD750,36),0)</f>
        <v/>
      </c>
      <c r="AM750">
        <f>IFERROR(INDEX(PP_Grid[#Data],$DD750,37),0)</f>
        <v/>
      </c>
      <c r="AN750">
        <f>IFERROR(INDEX(PP_Grid[#Data],$DD750,38),0)</f>
        <v/>
      </c>
      <c r="AO750">
        <f>IFERROR(INDEX(PP_Grid[#Data],$DD750,39),0)</f>
        <v/>
      </c>
      <c r="AP750">
        <f>IFERROR(INDEX(PP_Grid[#Data],$DD750,40),0)</f>
        <v/>
      </c>
      <c r="AQ750">
        <f>IFERROR(INDEX(PP_Grid[#Data],$DD750,41),0)</f>
        <v/>
      </c>
      <c r="AR750">
        <f>IFERROR(INDEX(PP_Grid[#Data],$DD750,42),0)</f>
        <v/>
      </c>
      <c r="AS750">
        <f>IFERROR(INDEX(PP_Grid[#Data],$DD750,43),0)</f>
        <v/>
      </c>
      <c r="AT750">
        <f>IFERROR(INDEX(PP_Grid[#Data],$DD750,44),0)</f>
        <v/>
      </c>
      <c r="AU750">
        <f>IFERROR(INDEX(PP_Grid[#Data],$DD750,45),0)</f>
        <v/>
      </c>
      <c r="AV750">
        <f>IFERROR(INDEX(PP_Grid[#Data],$DD750,46),0)</f>
        <v/>
      </c>
      <c r="AW750">
        <f>IFERROR(INDEX(PP_Grid[#Data],$DD750,47),0)</f>
        <v/>
      </c>
      <c r="AX750">
        <f>IFERROR(INDEX(PP_Grid[#Data],$DD750,48),0)</f>
        <v/>
      </c>
      <c r="AY750">
        <f>IFERROR(INDEX(PP_Grid[#Data],$DD750,49),0)</f>
        <v/>
      </c>
      <c r="AZ750">
        <f>IFERROR(INDEX(PP_Grid[#Data],$DD750,50),0)</f>
        <v/>
      </c>
      <c r="BA750">
        <f>IFERROR(INDEX(PP_Grid[#Data],$DD750,51),0)</f>
        <v/>
      </c>
      <c r="BB750">
        <f>IFERROR(INDEX(PP_Grid[#Data],$DD750,52),0)</f>
        <v/>
      </c>
      <c r="BC750">
        <f>IFERROR(INDEX(PP_Grid[#Data],$DD750,53),0)</f>
        <v/>
      </c>
      <c r="BD750">
        <f>IFERROR(INDEX(PP_Grid[#Data],$DD750,54),0)</f>
        <v/>
      </c>
      <c r="BE750">
        <f>IFERROR(INDEX(PP_Grid[#Data],$DD750,55),0)</f>
        <v/>
      </c>
      <c r="BF750">
        <f>IFERROR(INDEX(PP_Grid[#Data],$DD750,56),0)</f>
        <v/>
      </c>
      <c r="BG750">
        <f>IFERROR(INDEX(PP_Grid[#Data],$DD750,57),0)</f>
        <v/>
      </c>
      <c r="BH750">
        <f>IFERROR(INDEX(PP_Grid[#Data],$DD750,58),0)</f>
        <v/>
      </c>
      <c r="BI750">
        <f>IFERROR(INDEX(PP_Grid[#Data],$DD750,59),0)</f>
        <v/>
      </c>
      <c r="BJ750">
        <f>IFERROR(INDEX(PP_Grid[#Data],$DD750,60),0)</f>
        <v/>
      </c>
      <c r="BK750">
        <f>IFERROR(INDEX(PP_Grid[#Data],$DD750,61),0)</f>
        <v/>
      </c>
      <c r="BL750">
        <f>IFERROR(INDEX(PP_Grid[#Data],$DD750,62),0)</f>
        <v/>
      </c>
      <c r="BM750">
        <f>IFERROR(INDEX(PP_Grid[#Data],$DD750,63),0)</f>
        <v/>
      </c>
      <c r="BN750">
        <f>IFERROR(INDEX(PP_Grid[#Data],$DD750,64),0)</f>
        <v/>
      </c>
      <c r="BO750">
        <f>IFERROR(INDEX(PP_Grid[#Data],$DD750,65),0)</f>
        <v/>
      </c>
      <c r="BP750">
        <f>IFERROR(INDEX(PP_Grid[#Data],$DD750,66),0)</f>
        <v/>
      </c>
      <c r="BQ750">
        <f>IFERROR(INDEX(PP_Grid[#Data],$DD750,67),0)</f>
        <v/>
      </c>
      <c r="BR750">
        <f>IFERROR(INDEX(PP_Grid[#Data],$DD750,68),0)</f>
        <v/>
      </c>
      <c r="BS750">
        <f>IFERROR(INDEX(PP_Grid[#Data],$DD750,69),0)</f>
        <v/>
      </c>
      <c r="BT750">
        <f>IFERROR(INDEX(PP_Grid[#Data],$DD750,70),0)</f>
        <v/>
      </c>
      <c r="BU750">
        <f>IFERROR(INDEX(PP_Grid[#Data],$DD750,71),0)</f>
        <v/>
      </c>
      <c r="BV750">
        <f>IFERROR(INDEX(PP_Grid[#Data],$DD750,72),0)</f>
        <v/>
      </c>
      <c r="BW750">
        <f>IFERROR(INDEX(PP_Grid[#Data],$DD750,73),0)</f>
        <v/>
      </c>
      <c r="BX750">
        <f>IFERROR(INDEX(PP_Grid[#Data],$DD750,74),0)</f>
        <v/>
      </c>
      <c r="BY750">
        <f>IFERROR(INDEX(PP_Grid[#Data],$DD750,75),0)</f>
        <v/>
      </c>
      <c r="BZ750">
        <f>IFERROR(INDEX(PP_Grid[#Data],$DD750,76),0)</f>
        <v/>
      </c>
      <c r="CA750">
        <f>IFERROR(INDEX(PP_Grid[#Data],$DD750,77),0)</f>
        <v/>
      </c>
      <c r="CB750">
        <f>IFERROR(INDEX(PP_Grid[#Data],$DD750,78),0)</f>
        <v/>
      </c>
      <c r="CC750">
        <f>IFERROR(INDEX(PP_Grid[#Data],$DD750,79),0)</f>
        <v/>
      </c>
      <c r="CD750">
        <f>IFERROR(INDEX(PP_Grid[#Data],$DD750,80),0)</f>
        <v/>
      </c>
      <c r="CE750">
        <f>IFERROR(INDEX(PP_Grid[#Data],$DD750,81),0)</f>
        <v/>
      </c>
      <c r="CF750">
        <f>IFERROR(INDEX(PP_Grid[#Data],$DD750,82),0)</f>
        <v/>
      </c>
      <c r="CG750">
        <f>IFERROR(INDEX(PP_Grid[#Data],$DD750,83),0)</f>
        <v/>
      </c>
      <c r="CH750">
        <f>IFERROR(INDEX(PP_Grid[#Data],$DD750,84),0)</f>
        <v/>
      </c>
      <c r="CI750">
        <f>IFERROR(INDEX(PP_Grid[#Data],$DD750,85),0)</f>
        <v/>
      </c>
      <c r="CJ750">
        <f>IFERROR(INDEX(PP_Grid[#Data],$DD750,86),0)</f>
        <v/>
      </c>
      <c r="CK750">
        <f>IFERROR(INDEX(PP_Grid[#Data],$DD750,87),0)</f>
        <v/>
      </c>
      <c r="CL750">
        <f>IFERROR(INDEX(PP_Grid[#Data],$DD750,88),0)</f>
        <v/>
      </c>
      <c r="CM750">
        <f>IFERROR(INDEX(PP_Grid[#Data],$DD750,89),0)</f>
        <v/>
      </c>
      <c r="CN750">
        <f>IFERROR(INDEX(PP_Grid[#Data],$DD750,90),0)</f>
        <v/>
      </c>
      <c r="CO750">
        <f>IFERROR(INDEX(PP_Grid[#Data],$DD750,91),0)</f>
        <v/>
      </c>
      <c r="CP750">
        <f>IFERROR(INDEX(PP_Grid[#Data],$DD750,92),0)</f>
        <v/>
      </c>
      <c r="CQ750">
        <f>IFERROR(INDEX(PP_Grid[#Data],$DD750,93),0)</f>
        <v/>
      </c>
      <c r="CR750">
        <f>IFERROR(INDEX(PP_Grid[#Data],$DD750,94),0)</f>
        <v/>
      </c>
      <c r="CS750">
        <f>IFERROR(INDEX(PP_Grid[#Data],$DD750,95),0)</f>
        <v/>
      </c>
      <c r="CT750">
        <f>IFERROR(INDEX(PP_Grid[#Data],$DD750,96),0)</f>
        <v/>
      </c>
      <c r="CU750">
        <f>IFERROR(INDEX(PP_Grid[#Data],$DD750,97),0)</f>
        <v/>
      </c>
      <c r="CV750">
        <f>IFERROR(INDEX(PP_Grid[#Data],$DD750,98),0)</f>
        <v/>
      </c>
      <c r="CW750">
        <f>IFERROR(INDEX(PP_Grid[#Data],$DD750,99),0)</f>
        <v/>
      </c>
      <c r="CX750">
        <f>IFERROR(INDEX(PP_Grid[#Data],$DD750,100),0)</f>
        <v/>
      </c>
      <c r="CY750">
        <f>IFERROR(INDEX(PP_Grid[#Data],$DD750,101),0)</f>
        <v/>
      </c>
      <c r="CZ750">
        <f>IFERROR(INDEX(PP_Grid[#Data],$DD750,102),0)</f>
        <v/>
      </c>
      <c r="DA750">
        <f>IFERROR(INDEX(PP_Grid[#Data],$DD750,103),0)</f>
        <v/>
      </c>
      <c r="DB750">
        <f>IFERROR(INDEX(PP_Grid[#Data],$DD750,104),0)</f>
        <v/>
      </c>
      <c r="DC750">
        <f>IFERROR(INDEX(PP_Grid[#Data],$DD750,105),0)</f>
        <v/>
      </c>
      <c r="DD750" s="7">
        <f>IFERROR(MATCH($B750,PP_Grid[Intermediate],0),99999)</f>
        <v/>
      </c>
    </row>
    <row r="751">
      <c r="B751" t="inlineStr">
        <is>
          <t>使用量(kg)</t>
        </is>
      </c>
      <c r="C751">
        <f>SUMIFS(M_BOM[RM_Qty_Per_Batch],M_BOM[Intermediate],$B750,M_BOM[Part Name],$A723)</f>
        <v/>
      </c>
      <c r="D751">
        <f>$C751*D750</f>
        <v/>
      </c>
      <c r="E751">
        <f>$C751*E750</f>
        <v/>
      </c>
      <c r="F751">
        <f>$C751*F750</f>
        <v/>
      </c>
      <c r="G751">
        <f>$C751*G750</f>
        <v/>
      </c>
      <c r="H751">
        <f>$C751*H750</f>
        <v/>
      </c>
      <c r="I751">
        <f>$C751*I750</f>
        <v/>
      </c>
      <c r="J751">
        <f>$C751*J750</f>
        <v/>
      </c>
      <c r="K751">
        <f>$C751*K750</f>
        <v/>
      </c>
      <c r="L751">
        <f>$C751*L750</f>
        <v/>
      </c>
      <c r="M751">
        <f>$C751*M750</f>
        <v/>
      </c>
      <c r="N751">
        <f>$C751*N750</f>
        <v/>
      </c>
      <c r="O751">
        <f>$C751*O750</f>
        <v/>
      </c>
      <c r="P751">
        <f>$C751*P750</f>
        <v/>
      </c>
      <c r="Q751">
        <f>$C751*Q750</f>
        <v/>
      </c>
      <c r="R751">
        <f>$C751*R750</f>
        <v/>
      </c>
      <c r="S751">
        <f>$C751*S750</f>
        <v/>
      </c>
      <c r="T751">
        <f>$C751*T750</f>
        <v/>
      </c>
      <c r="U751">
        <f>$C751*U750</f>
        <v/>
      </c>
      <c r="V751">
        <f>$C751*V750</f>
        <v/>
      </c>
      <c r="W751">
        <f>$C751*W750</f>
        <v/>
      </c>
      <c r="X751">
        <f>$C751*X750</f>
        <v/>
      </c>
      <c r="Y751">
        <f>$C751*Y750</f>
        <v/>
      </c>
      <c r="Z751">
        <f>$C751*Z750</f>
        <v/>
      </c>
      <c r="AA751">
        <f>$C751*AA750</f>
        <v/>
      </c>
      <c r="AB751">
        <f>$C751*AB750</f>
        <v/>
      </c>
      <c r="AC751">
        <f>$C751*AC750</f>
        <v/>
      </c>
      <c r="AD751">
        <f>$C751*AD750</f>
        <v/>
      </c>
      <c r="AE751">
        <f>$C751*AE750</f>
        <v/>
      </c>
      <c r="AF751">
        <f>$C751*AF750</f>
        <v/>
      </c>
      <c r="AG751">
        <f>$C751*AG750</f>
        <v/>
      </c>
      <c r="AH751">
        <f>$C751*AH750</f>
        <v/>
      </c>
      <c r="AI751">
        <f>$C751*AI750</f>
        <v/>
      </c>
      <c r="AJ751">
        <f>$C751*AJ750</f>
        <v/>
      </c>
      <c r="AK751">
        <f>$C751*AK750</f>
        <v/>
      </c>
      <c r="AL751">
        <f>$C751*AL750</f>
        <v/>
      </c>
      <c r="AM751">
        <f>$C751*AM750</f>
        <v/>
      </c>
      <c r="AN751">
        <f>$C751*AN750</f>
        <v/>
      </c>
      <c r="AO751">
        <f>$C751*AO750</f>
        <v/>
      </c>
      <c r="AP751">
        <f>$C751*AP750</f>
        <v/>
      </c>
      <c r="AQ751">
        <f>$C751*AQ750</f>
        <v/>
      </c>
      <c r="AR751">
        <f>$C751*AR750</f>
        <v/>
      </c>
      <c r="AS751">
        <f>$C751*AS750</f>
        <v/>
      </c>
      <c r="AT751">
        <f>$C751*AT750</f>
        <v/>
      </c>
      <c r="AU751">
        <f>$C751*AU750</f>
        <v/>
      </c>
      <c r="AV751">
        <f>$C751*AV750</f>
        <v/>
      </c>
      <c r="AW751">
        <f>$C751*AW750</f>
        <v/>
      </c>
      <c r="AX751">
        <f>$C751*AX750</f>
        <v/>
      </c>
      <c r="AY751">
        <f>$C751*AY750</f>
        <v/>
      </c>
      <c r="AZ751">
        <f>$C751*AZ750</f>
        <v/>
      </c>
      <c r="BA751">
        <f>$C751*BA750</f>
        <v/>
      </c>
      <c r="BB751">
        <f>$C751*BB750</f>
        <v/>
      </c>
      <c r="BC751">
        <f>$C751*BC750</f>
        <v/>
      </c>
      <c r="BD751">
        <f>$C751*BD750</f>
        <v/>
      </c>
      <c r="BE751">
        <f>$C751*BE750</f>
        <v/>
      </c>
      <c r="BF751">
        <f>$C751*BF750</f>
        <v/>
      </c>
      <c r="BG751">
        <f>$C751*BG750</f>
        <v/>
      </c>
      <c r="BH751">
        <f>$C751*BH750</f>
        <v/>
      </c>
      <c r="BI751">
        <f>$C751*BI750</f>
        <v/>
      </c>
      <c r="BJ751">
        <f>$C751*BJ750</f>
        <v/>
      </c>
      <c r="BK751">
        <f>$C751*BK750</f>
        <v/>
      </c>
      <c r="BL751">
        <f>$C751*BL750</f>
        <v/>
      </c>
      <c r="BM751">
        <f>$C751*BM750</f>
        <v/>
      </c>
      <c r="BN751">
        <f>$C751*BN750</f>
        <v/>
      </c>
      <c r="BO751">
        <f>$C751*BO750</f>
        <v/>
      </c>
      <c r="BP751">
        <f>$C751*BP750</f>
        <v/>
      </c>
      <c r="BQ751">
        <f>$C751*BQ750</f>
        <v/>
      </c>
      <c r="BR751">
        <f>$C751*BR750</f>
        <v/>
      </c>
      <c r="BS751">
        <f>$C751*BS750</f>
        <v/>
      </c>
      <c r="BT751">
        <f>$C751*BT750</f>
        <v/>
      </c>
      <c r="BU751">
        <f>$C751*BU750</f>
        <v/>
      </c>
      <c r="BV751">
        <f>$C751*BV750</f>
        <v/>
      </c>
      <c r="BW751">
        <f>$C751*BW750</f>
        <v/>
      </c>
      <c r="BX751">
        <f>$C751*BX750</f>
        <v/>
      </c>
      <c r="BY751">
        <f>$C751*BY750</f>
        <v/>
      </c>
      <c r="BZ751">
        <f>$C751*BZ750</f>
        <v/>
      </c>
      <c r="CA751">
        <f>$C751*CA750</f>
        <v/>
      </c>
      <c r="CB751">
        <f>$C751*CB750</f>
        <v/>
      </c>
      <c r="CC751">
        <f>$C751*CC750</f>
        <v/>
      </c>
      <c r="CD751">
        <f>$C751*CD750</f>
        <v/>
      </c>
      <c r="CE751">
        <f>$C751*CE750</f>
        <v/>
      </c>
      <c r="CF751">
        <f>$C751*CF750</f>
        <v/>
      </c>
      <c r="CG751">
        <f>$C751*CG750</f>
        <v/>
      </c>
      <c r="CH751">
        <f>$C751*CH750</f>
        <v/>
      </c>
      <c r="CI751">
        <f>$C751*CI750</f>
        <v/>
      </c>
      <c r="CJ751">
        <f>$C751*CJ750</f>
        <v/>
      </c>
      <c r="CK751">
        <f>$C751*CK750</f>
        <v/>
      </c>
      <c r="CL751">
        <f>$C751*CL750</f>
        <v/>
      </c>
      <c r="CM751">
        <f>$C751*CM750</f>
        <v/>
      </c>
      <c r="CN751">
        <f>$C751*CN750</f>
        <v/>
      </c>
      <c r="CO751">
        <f>$C751*CO750</f>
        <v/>
      </c>
      <c r="CP751">
        <f>$C751*CP750</f>
        <v/>
      </c>
      <c r="CQ751">
        <f>$C751*CQ750</f>
        <v/>
      </c>
      <c r="CR751">
        <f>$C751*CR750</f>
        <v/>
      </c>
      <c r="CS751">
        <f>$C751*CS750</f>
        <v/>
      </c>
      <c r="CT751">
        <f>$C751*CT750</f>
        <v/>
      </c>
      <c r="CU751">
        <f>$C751*CU750</f>
        <v/>
      </c>
      <c r="CV751">
        <f>$C751*CV750</f>
        <v/>
      </c>
      <c r="CW751">
        <f>$C751*CW750</f>
        <v/>
      </c>
      <c r="CX751">
        <f>$C751*CX750</f>
        <v/>
      </c>
      <c r="CY751">
        <f>$C751*CY750</f>
        <v/>
      </c>
      <c r="CZ751">
        <f>$C751*CZ750</f>
        <v/>
      </c>
      <c r="DA751">
        <f>$C751*DA750</f>
        <v/>
      </c>
      <c r="DB751">
        <f>$C751*DB750</f>
        <v/>
      </c>
      <c r="DC751">
        <f>$C751*DC750</f>
        <v/>
      </c>
    </row>
    <row r="752">
      <c r="B752" t="inlineStr">
        <is>
          <t>VSP-870</t>
        </is>
      </c>
      <c r="C752" t="inlineStr">
        <is>
          <t>No. of batches</t>
        </is>
      </c>
      <c r="D752">
        <f>IFERROR(INDEX(PP_Grid[#Data],$DD752,2),0)</f>
        <v/>
      </c>
      <c r="E752">
        <f>IFERROR(INDEX(PP_Grid[#Data],$DD752,3),0)</f>
        <v/>
      </c>
      <c r="F752">
        <f>IFERROR(INDEX(PP_Grid[#Data],$DD752,4),0)</f>
        <v/>
      </c>
      <c r="G752">
        <f>IFERROR(INDEX(PP_Grid[#Data],$DD752,5),0)</f>
        <v/>
      </c>
      <c r="H752">
        <f>IFERROR(INDEX(PP_Grid[#Data],$DD752,6),0)</f>
        <v/>
      </c>
      <c r="I752">
        <f>IFERROR(INDEX(PP_Grid[#Data],$DD752,7),0)</f>
        <v/>
      </c>
      <c r="J752">
        <f>IFERROR(INDEX(PP_Grid[#Data],$DD752,8),0)</f>
        <v/>
      </c>
      <c r="K752">
        <f>IFERROR(INDEX(PP_Grid[#Data],$DD752,9),0)</f>
        <v/>
      </c>
      <c r="L752">
        <f>IFERROR(INDEX(PP_Grid[#Data],$DD752,10),0)</f>
        <v/>
      </c>
      <c r="M752">
        <f>IFERROR(INDEX(PP_Grid[#Data],$DD752,11),0)</f>
        <v/>
      </c>
      <c r="N752">
        <f>IFERROR(INDEX(PP_Grid[#Data],$DD752,12),0)</f>
        <v/>
      </c>
      <c r="O752">
        <f>IFERROR(INDEX(PP_Grid[#Data],$DD752,13),0)</f>
        <v/>
      </c>
      <c r="P752">
        <f>IFERROR(INDEX(PP_Grid[#Data],$DD752,14),0)</f>
        <v/>
      </c>
      <c r="Q752">
        <f>IFERROR(INDEX(PP_Grid[#Data],$DD752,15),0)</f>
        <v/>
      </c>
      <c r="R752">
        <f>IFERROR(INDEX(PP_Grid[#Data],$DD752,16),0)</f>
        <v/>
      </c>
      <c r="S752">
        <f>IFERROR(INDEX(PP_Grid[#Data],$DD752,17),0)</f>
        <v/>
      </c>
      <c r="T752">
        <f>IFERROR(INDEX(PP_Grid[#Data],$DD752,18),0)</f>
        <v/>
      </c>
      <c r="U752">
        <f>IFERROR(INDEX(PP_Grid[#Data],$DD752,19),0)</f>
        <v/>
      </c>
      <c r="V752">
        <f>IFERROR(INDEX(PP_Grid[#Data],$DD752,20),0)</f>
        <v/>
      </c>
      <c r="W752">
        <f>IFERROR(INDEX(PP_Grid[#Data],$DD752,21),0)</f>
        <v/>
      </c>
      <c r="X752">
        <f>IFERROR(INDEX(PP_Grid[#Data],$DD752,22),0)</f>
        <v/>
      </c>
      <c r="Y752">
        <f>IFERROR(INDEX(PP_Grid[#Data],$DD752,23),0)</f>
        <v/>
      </c>
      <c r="Z752">
        <f>IFERROR(INDEX(PP_Grid[#Data],$DD752,24),0)</f>
        <v/>
      </c>
      <c r="AA752">
        <f>IFERROR(INDEX(PP_Grid[#Data],$DD752,25),0)</f>
        <v/>
      </c>
      <c r="AB752">
        <f>IFERROR(INDEX(PP_Grid[#Data],$DD752,26),0)</f>
        <v/>
      </c>
      <c r="AC752">
        <f>IFERROR(INDEX(PP_Grid[#Data],$DD752,27),0)</f>
        <v/>
      </c>
      <c r="AD752">
        <f>IFERROR(INDEX(PP_Grid[#Data],$DD752,28),0)</f>
        <v/>
      </c>
      <c r="AE752">
        <f>IFERROR(INDEX(PP_Grid[#Data],$DD752,29),0)</f>
        <v/>
      </c>
      <c r="AF752">
        <f>IFERROR(INDEX(PP_Grid[#Data],$DD752,30),0)</f>
        <v/>
      </c>
      <c r="AG752">
        <f>IFERROR(INDEX(PP_Grid[#Data],$DD752,31),0)</f>
        <v/>
      </c>
      <c r="AH752">
        <f>IFERROR(INDEX(PP_Grid[#Data],$DD752,32),0)</f>
        <v/>
      </c>
      <c r="AI752">
        <f>IFERROR(INDEX(PP_Grid[#Data],$DD752,33),0)</f>
        <v/>
      </c>
      <c r="AJ752">
        <f>IFERROR(INDEX(PP_Grid[#Data],$DD752,34),0)</f>
        <v/>
      </c>
      <c r="AK752">
        <f>IFERROR(INDEX(PP_Grid[#Data],$DD752,35),0)</f>
        <v/>
      </c>
      <c r="AL752">
        <f>IFERROR(INDEX(PP_Grid[#Data],$DD752,36),0)</f>
        <v/>
      </c>
      <c r="AM752">
        <f>IFERROR(INDEX(PP_Grid[#Data],$DD752,37),0)</f>
        <v/>
      </c>
      <c r="AN752">
        <f>IFERROR(INDEX(PP_Grid[#Data],$DD752,38),0)</f>
        <v/>
      </c>
      <c r="AO752">
        <f>IFERROR(INDEX(PP_Grid[#Data],$DD752,39),0)</f>
        <v/>
      </c>
      <c r="AP752">
        <f>IFERROR(INDEX(PP_Grid[#Data],$DD752,40),0)</f>
        <v/>
      </c>
      <c r="AQ752">
        <f>IFERROR(INDEX(PP_Grid[#Data],$DD752,41),0)</f>
        <v/>
      </c>
      <c r="AR752">
        <f>IFERROR(INDEX(PP_Grid[#Data],$DD752,42),0)</f>
        <v/>
      </c>
      <c r="AS752">
        <f>IFERROR(INDEX(PP_Grid[#Data],$DD752,43),0)</f>
        <v/>
      </c>
      <c r="AT752">
        <f>IFERROR(INDEX(PP_Grid[#Data],$DD752,44),0)</f>
        <v/>
      </c>
      <c r="AU752">
        <f>IFERROR(INDEX(PP_Grid[#Data],$DD752,45),0)</f>
        <v/>
      </c>
      <c r="AV752">
        <f>IFERROR(INDEX(PP_Grid[#Data],$DD752,46),0)</f>
        <v/>
      </c>
      <c r="AW752">
        <f>IFERROR(INDEX(PP_Grid[#Data],$DD752,47),0)</f>
        <v/>
      </c>
      <c r="AX752">
        <f>IFERROR(INDEX(PP_Grid[#Data],$DD752,48),0)</f>
        <v/>
      </c>
      <c r="AY752">
        <f>IFERROR(INDEX(PP_Grid[#Data],$DD752,49),0)</f>
        <v/>
      </c>
      <c r="AZ752">
        <f>IFERROR(INDEX(PP_Grid[#Data],$DD752,50),0)</f>
        <v/>
      </c>
      <c r="BA752">
        <f>IFERROR(INDEX(PP_Grid[#Data],$DD752,51),0)</f>
        <v/>
      </c>
      <c r="BB752">
        <f>IFERROR(INDEX(PP_Grid[#Data],$DD752,52),0)</f>
        <v/>
      </c>
      <c r="BC752">
        <f>IFERROR(INDEX(PP_Grid[#Data],$DD752,53),0)</f>
        <v/>
      </c>
      <c r="BD752">
        <f>IFERROR(INDEX(PP_Grid[#Data],$DD752,54),0)</f>
        <v/>
      </c>
      <c r="BE752">
        <f>IFERROR(INDEX(PP_Grid[#Data],$DD752,55),0)</f>
        <v/>
      </c>
      <c r="BF752">
        <f>IFERROR(INDEX(PP_Grid[#Data],$DD752,56),0)</f>
        <v/>
      </c>
      <c r="BG752">
        <f>IFERROR(INDEX(PP_Grid[#Data],$DD752,57),0)</f>
        <v/>
      </c>
      <c r="BH752">
        <f>IFERROR(INDEX(PP_Grid[#Data],$DD752,58),0)</f>
        <v/>
      </c>
      <c r="BI752">
        <f>IFERROR(INDEX(PP_Grid[#Data],$DD752,59),0)</f>
        <v/>
      </c>
      <c r="BJ752">
        <f>IFERROR(INDEX(PP_Grid[#Data],$DD752,60),0)</f>
        <v/>
      </c>
      <c r="BK752">
        <f>IFERROR(INDEX(PP_Grid[#Data],$DD752,61),0)</f>
        <v/>
      </c>
      <c r="BL752">
        <f>IFERROR(INDEX(PP_Grid[#Data],$DD752,62),0)</f>
        <v/>
      </c>
      <c r="BM752">
        <f>IFERROR(INDEX(PP_Grid[#Data],$DD752,63),0)</f>
        <v/>
      </c>
      <c r="BN752">
        <f>IFERROR(INDEX(PP_Grid[#Data],$DD752,64),0)</f>
        <v/>
      </c>
      <c r="BO752">
        <f>IFERROR(INDEX(PP_Grid[#Data],$DD752,65),0)</f>
        <v/>
      </c>
      <c r="BP752">
        <f>IFERROR(INDEX(PP_Grid[#Data],$DD752,66),0)</f>
        <v/>
      </c>
      <c r="BQ752">
        <f>IFERROR(INDEX(PP_Grid[#Data],$DD752,67),0)</f>
        <v/>
      </c>
      <c r="BR752">
        <f>IFERROR(INDEX(PP_Grid[#Data],$DD752,68),0)</f>
        <v/>
      </c>
      <c r="BS752">
        <f>IFERROR(INDEX(PP_Grid[#Data],$DD752,69),0)</f>
        <v/>
      </c>
      <c r="BT752">
        <f>IFERROR(INDEX(PP_Grid[#Data],$DD752,70),0)</f>
        <v/>
      </c>
      <c r="BU752">
        <f>IFERROR(INDEX(PP_Grid[#Data],$DD752,71),0)</f>
        <v/>
      </c>
      <c r="BV752">
        <f>IFERROR(INDEX(PP_Grid[#Data],$DD752,72),0)</f>
        <v/>
      </c>
      <c r="BW752">
        <f>IFERROR(INDEX(PP_Grid[#Data],$DD752,73),0)</f>
        <v/>
      </c>
      <c r="BX752">
        <f>IFERROR(INDEX(PP_Grid[#Data],$DD752,74),0)</f>
        <v/>
      </c>
      <c r="BY752">
        <f>IFERROR(INDEX(PP_Grid[#Data],$DD752,75),0)</f>
        <v/>
      </c>
      <c r="BZ752">
        <f>IFERROR(INDEX(PP_Grid[#Data],$DD752,76),0)</f>
        <v/>
      </c>
      <c r="CA752">
        <f>IFERROR(INDEX(PP_Grid[#Data],$DD752,77),0)</f>
        <v/>
      </c>
      <c r="CB752">
        <f>IFERROR(INDEX(PP_Grid[#Data],$DD752,78),0)</f>
        <v/>
      </c>
      <c r="CC752">
        <f>IFERROR(INDEX(PP_Grid[#Data],$DD752,79),0)</f>
        <v/>
      </c>
      <c r="CD752">
        <f>IFERROR(INDEX(PP_Grid[#Data],$DD752,80),0)</f>
        <v/>
      </c>
      <c r="CE752">
        <f>IFERROR(INDEX(PP_Grid[#Data],$DD752,81),0)</f>
        <v/>
      </c>
      <c r="CF752">
        <f>IFERROR(INDEX(PP_Grid[#Data],$DD752,82),0)</f>
        <v/>
      </c>
      <c r="CG752">
        <f>IFERROR(INDEX(PP_Grid[#Data],$DD752,83),0)</f>
        <v/>
      </c>
      <c r="CH752">
        <f>IFERROR(INDEX(PP_Grid[#Data],$DD752,84),0)</f>
        <v/>
      </c>
      <c r="CI752">
        <f>IFERROR(INDEX(PP_Grid[#Data],$DD752,85),0)</f>
        <v/>
      </c>
      <c r="CJ752">
        <f>IFERROR(INDEX(PP_Grid[#Data],$DD752,86),0)</f>
        <v/>
      </c>
      <c r="CK752">
        <f>IFERROR(INDEX(PP_Grid[#Data],$DD752,87),0)</f>
        <v/>
      </c>
      <c r="CL752">
        <f>IFERROR(INDEX(PP_Grid[#Data],$DD752,88),0)</f>
        <v/>
      </c>
      <c r="CM752">
        <f>IFERROR(INDEX(PP_Grid[#Data],$DD752,89),0)</f>
        <v/>
      </c>
      <c r="CN752">
        <f>IFERROR(INDEX(PP_Grid[#Data],$DD752,90),0)</f>
        <v/>
      </c>
      <c r="CO752">
        <f>IFERROR(INDEX(PP_Grid[#Data],$DD752,91),0)</f>
        <v/>
      </c>
      <c r="CP752">
        <f>IFERROR(INDEX(PP_Grid[#Data],$DD752,92),0)</f>
        <v/>
      </c>
      <c r="CQ752">
        <f>IFERROR(INDEX(PP_Grid[#Data],$DD752,93),0)</f>
        <v/>
      </c>
      <c r="CR752">
        <f>IFERROR(INDEX(PP_Grid[#Data],$DD752,94),0)</f>
        <v/>
      </c>
      <c r="CS752">
        <f>IFERROR(INDEX(PP_Grid[#Data],$DD752,95),0)</f>
        <v/>
      </c>
      <c r="CT752">
        <f>IFERROR(INDEX(PP_Grid[#Data],$DD752,96),0)</f>
        <v/>
      </c>
      <c r="CU752">
        <f>IFERROR(INDEX(PP_Grid[#Data],$DD752,97),0)</f>
        <v/>
      </c>
      <c r="CV752">
        <f>IFERROR(INDEX(PP_Grid[#Data],$DD752,98),0)</f>
        <v/>
      </c>
      <c r="CW752">
        <f>IFERROR(INDEX(PP_Grid[#Data],$DD752,99),0)</f>
        <v/>
      </c>
      <c r="CX752">
        <f>IFERROR(INDEX(PP_Grid[#Data],$DD752,100),0)</f>
        <v/>
      </c>
      <c r="CY752">
        <f>IFERROR(INDEX(PP_Grid[#Data],$DD752,101),0)</f>
        <v/>
      </c>
      <c r="CZ752">
        <f>IFERROR(INDEX(PP_Grid[#Data],$DD752,102),0)</f>
        <v/>
      </c>
      <c r="DA752">
        <f>IFERROR(INDEX(PP_Grid[#Data],$DD752,103),0)</f>
        <v/>
      </c>
      <c r="DB752">
        <f>IFERROR(INDEX(PP_Grid[#Data],$DD752,104),0)</f>
        <v/>
      </c>
      <c r="DC752">
        <f>IFERROR(INDEX(PP_Grid[#Data],$DD752,105),0)</f>
        <v/>
      </c>
      <c r="DD752" s="7">
        <f>IFERROR(MATCH($B752,PP_Grid[Intermediate],0),99999)</f>
        <v/>
      </c>
    </row>
    <row r="753">
      <c r="B753" t="inlineStr">
        <is>
          <t>使用量(kg)</t>
        </is>
      </c>
      <c r="C753">
        <f>SUMIFS(M_BOM[RM_Qty_Per_Batch],M_BOM[Intermediate],$B752,M_BOM[Part Name],$A723)</f>
        <v/>
      </c>
      <c r="D753">
        <f>$C753*D752</f>
        <v/>
      </c>
      <c r="E753">
        <f>$C753*E752</f>
        <v/>
      </c>
      <c r="F753">
        <f>$C753*F752</f>
        <v/>
      </c>
      <c r="G753">
        <f>$C753*G752</f>
        <v/>
      </c>
      <c r="H753">
        <f>$C753*H752</f>
        <v/>
      </c>
      <c r="I753">
        <f>$C753*I752</f>
        <v/>
      </c>
      <c r="J753">
        <f>$C753*J752</f>
        <v/>
      </c>
      <c r="K753">
        <f>$C753*K752</f>
        <v/>
      </c>
      <c r="L753">
        <f>$C753*L752</f>
        <v/>
      </c>
      <c r="M753">
        <f>$C753*M752</f>
        <v/>
      </c>
      <c r="N753">
        <f>$C753*N752</f>
        <v/>
      </c>
      <c r="O753">
        <f>$C753*O752</f>
        <v/>
      </c>
      <c r="P753">
        <f>$C753*P752</f>
        <v/>
      </c>
      <c r="Q753">
        <f>$C753*Q752</f>
        <v/>
      </c>
      <c r="R753">
        <f>$C753*R752</f>
        <v/>
      </c>
      <c r="S753">
        <f>$C753*S752</f>
        <v/>
      </c>
      <c r="T753">
        <f>$C753*T752</f>
        <v/>
      </c>
      <c r="U753">
        <f>$C753*U752</f>
        <v/>
      </c>
      <c r="V753">
        <f>$C753*V752</f>
        <v/>
      </c>
      <c r="W753">
        <f>$C753*W752</f>
        <v/>
      </c>
      <c r="X753">
        <f>$C753*X752</f>
        <v/>
      </c>
      <c r="Y753">
        <f>$C753*Y752</f>
        <v/>
      </c>
      <c r="Z753">
        <f>$C753*Z752</f>
        <v/>
      </c>
      <c r="AA753">
        <f>$C753*AA752</f>
        <v/>
      </c>
      <c r="AB753">
        <f>$C753*AB752</f>
        <v/>
      </c>
      <c r="AC753">
        <f>$C753*AC752</f>
        <v/>
      </c>
      <c r="AD753">
        <f>$C753*AD752</f>
        <v/>
      </c>
      <c r="AE753">
        <f>$C753*AE752</f>
        <v/>
      </c>
      <c r="AF753">
        <f>$C753*AF752</f>
        <v/>
      </c>
      <c r="AG753">
        <f>$C753*AG752</f>
        <v/>
      </c>
      <c r="AH753">
        <f>$C753*AH752</f>
        <v/>
      </c>
      <c r="AI753">
        <f>$C753*AI752</f>
        <v/>
      </c>
      <c r="AJ753">
        <f>$C753*AJ752</f>
        <v/>
      </c>
      <c r="AK753">
        <f>$C753*AK752</f>
        <v/>
      </c>
      <c r="AL753">
        <f>$C753*AL752</f>
        <v/>
      </c>
      <c r="AM753">
        <f>$C753*AM752</f>
        <v/>
      </c>
      <c r="AN753">
        <f>$C753*AN752</f>
        <v/>
      </c>
      <c r="AO753">
        <f>$C753*AO752</f>
        <v/>
      </c>
      <c r="AP753">
        <f>$C753*AP752</f>
        <v/>
      </c>
      <c r="AQ753">
        <f>$C753*AQ752</f>
        <v/>
      </c>
      <c r="AR753">
        <f>$C753*AR752</f>
        <v/>
      </c>
      <c r="AS753">
        <f>$C753*AS752</f>
        <v/>
      </c>
      <c r="AT753">
        <f>$C753*AT752</f>
        <v/>
      </c>
      <c r="AU753">
        <f>$C753*AU752</f>
        <v/>
      </c>
      <c r="AV753">
        <f>$C753*AV752</f>
        <v/>
      </c>
      <c r="AW753">
        <f>$C753*AW752</f>
        <v/>
      </c>
      <c r="AX753">
        <f>$C753*AX752</f>
        <v/>
      </c>
      <c r="AY753">
        <f>$C753*AY752</f>
        <v/>
      </c>
      <c r="AZ753">
        <f>$C753*AZ752</f>
        <v/>
      </c>
      <c r="BA753">
        <f>$C753*BA752</f>
        <v/>
      </c>
      <c r="BB753">
        <f>$C753*BB752</f>
        <v/>
      </c>
      <c r="BC753">
        <f>$C753*BC752</f>
        <v/>
      </c>
      <c r="BD753">
        <f>$C753*BD752</f>
        <v/>
      </c>
      <c r="BE753">
        <f>$C753*BE752</f>
        <v/>
      </c>
      <c r="BF753">
        <f>$C753*BF752</f>
        <v/>
      </c>
      <c r="BG753">
        <f>$C753*BG752</f>
        <v/>
      </c>
      <c r="BH753">
        <f>$C753*BH752</f>
        <v/>
      </c>
      <c r="BI753">
        <f>$C753*BI752</f>
        <v/>
      </c>
      <c r="BJ753">
        <f>$C753*BJ752</f>
        <v/>
      </c>
      <c r="BK753">
        <f>$C753*BK752</f>
        <v/>
      </c>
      <c r="BL753">
        <f>$C753*BL752</f>
        <v/>
      </c>
      <c r="BM753">
        <f>$C753*BM752</f>
        <v/>
      </c>
      <c r="BN753">
        <f>$C753*BN752</f>
        <v/>
      </c>
      <c r="BO753">
        <f>$C753*BO752</f>
        <v/>
      </c>
      <c r="BP753">
        <f>$C753*BP752</f>
        <v/>
      </c>
      <c r="BQ753">
        <f>$C753*BQ752</f>
        <v/>
      </c>
      <c r="BR753">
        <f>$C753*BR752</f>
        <v/>
      </c>
      <c r="BS753">
        <f>$C753*BS752</f>
        <v/>
      </c>
      <c r="BT753">
        <f>$C753*BT752</f>
        <v/>
      </c>
      <c r="BU753">
        <f>$C753*BU752</f>
        <v/>
      </c>
      <c r="BV753">
        <f>$C753*BV752</f>
        <v/>
      </c>
      <c r="BW753">
        <f>$C753*BW752</f>
        <v/>
      </c>
      <c r="BX753">
        <f>$C753*BX752</f>
        <v/>
      </c>
      <c r="BY753">
        <f>$C753*BY752</f>
        <v/>
      </c>
      <c r="BZ753">
        <f>$C753*BZ752</f>
        <v/>
      </c>
      <c r="CA753">
        <f>$C753*CA752</f>
        <v/>
      </c>
      <c r="CB753">
        <f>$C753*CB752</f>
        <v/>
      </c>
      <c r="CC753">
        <f>$C753*CC752</f>
        <v/>
      </c>
      <c r="CD753">
        <f>$C753*CD752</f>
        <v/>
      </c>
      <c r="CE753">
        <f>$C753*CE752</f>
        <v/>
      </c>
      <c r="CF753">
        <f>$C753*CF752</f>
        <v/>
      </c>
      <c r="CG753">
        <f>$C753*CG752</f>
        <v/>
      </c>
      <c r="CH753">
        <f>$C753*CH752</f>
        <v/>
      </c>
      <c r="CI753">
        <f>$C753*CI752</f>
        <v/>
      </c>
      <c r="CJ753">
        <f>$C753*CJ752</f>
        <v/>
      </c>
      <c r="CK753">
        <f>$C753*CK752</f>
        <v/>
      </c>
      <c r="CL753">
        <f>$C753*CL752</f>
        <v/>
      </c>
      <c r="CM753">
        <f>$C753*CM752</f>
        <v/>
      </c>
      <c r="CN753">
        <f>$C753*CN752</f>
        <v/>
      </c>
      <c r="CO753">
        <f>$C753*CO752</f>
        <v/>
      </c>
      <c r="CP753">
        <f>$C753*CP752</f>
        <v/>
      </c>
      <c r="CQ753">
        <f>$C753*CQ752</f>
        <v/>
      </c>
      <c r="CR753">
        <f>$C753*CR752</f>
        <v/>
      </c>
      <c r="CS753">
        <f>$C753*CS752</f>
        <v/>
      </c>
      <c r="CT753">
        <f>$C753*CT752</f>
        <v/>
      </c>
      <c r="CU753">
        <f>$C753*CU752</f>
        <v/>
      </c>
      <c r="CV753">
        <f>$C753*CV752</f>
        <v/>
      </c>
      <c r="CW753">
        <f>$C753*CW752</f>
        <v/>
      </c>
      <c r="CX753">
        <f>$C753*CX752</f>
        <v/>
      </c>
      <c r="CY753">
        <f>$C753*CY752</f>
        <v/>
      </c>
      <c r="CZ753">
        <f>$C753*CZ752</f>
        <v/>
      </c>
      <c r="DA753">
        <f>$C753*DA752</f>
        <v/>
      </c>
      <c r="DB753">
        <f>$C753*DB752</f>
        <v/>
      </c>
      <c r="DC753">
        <f>$C753*DC752</f>
        <v/>
      </c>
    </row>
    <row r="754">
      <c r="B754" t="inlineStr">
        <is>
          <t>VSP-910</t>
        </is>
      </c>
      <c r="C754" t="inlineStr">
        <is>
          <t>No. of batches</t>
        </is>
      </c>
      <c r="D754">
        <f>IFERROR(INDEX(PP_Grid[#Data],$DD754,2),0)</f>
        <v/>
      </c>
      <c r="E754">
        <f>IFERROR(INDEX(PP_Grid[#Data],$DD754,3),0)</f>
        <v/>
      </c>
      <c r="F754">
        <f>IFERROR(INDEX(PP_Grid[#Data],$DD754,4),0)</f>
        <v/>
      </c>
      <c r="G754">
        <f>IFERROR(INDEX(PP_Grid[#Data],$DD754,5),0)</f>
        <v/>
      </c>
      <c r="H754">
        <f>IFERROR(INDEX(PP_Grid[#Data],$DD754,6),0)</f>
        <v/>
      </c>
      <c r="I754">
        <f>IFERROR(INDEX(PP_Grid[#Data],$DD754,7),0)</f>
        <v/>
      </c>
      <c r="J754">
        <f>IFERROR(INDEX(PP_Grid[#Data],$DD754,8),0)</f>
        <v/>
      </c>
      <c r="K754">
        <f>IFERROR(INDEX(PP_Grid[#Data],$DD754,9),0)</f>
        <v/>
      </c>
      <c r="L754">
        <f>IFERROR(INDEX(PP_Grid[#Data],$DD754,10),0)</f>
        <v/>
      </c>
      <c r="M754">
        <f>IFERROR(INDEX(PP_Grid[#Data],$DD754,11),0)</f>
        <v/>
      </c>
      <c r="N754">
        <f>IFERROR(INDEX(PP_Grid[#Data],$DD754,12),0)</f>
        <v/>
      </c>
      <c r="O754">
        <f>IFERROR(INDEX(PP_Grid[#Data],$DD754,13),0)</f>
        <v/>
      </c>
      <c r="P754">
        <f>IFERROR(INDEX(PP_Grid[#Data],$DD754,14),0)</f>
        <v/>
      </c>
      <c r="Q754">
        <f>IFERROR(INDEX(PP_Grid[#Data],$DD754,15),0)</f>
        <v/>
      </c>
      <c r="R754">
        <f>IFERROR(INDEX(PP_Grid[#Data],$DD754,16),0)</f>
        <v/>
      </c>
      <c r="S754">
        <f>IFERROR(INDEX(PP_Grid[#Data],$DD754,17),0)</f>
        <v/>
      </c>
      <c r="T754">
        <f>IFERROR(INDEX(PP_Grid[#Data],$DD754,18),0)</f>
        <v/>
      </c>
      <c r="U754">
        <f>IFERROR(INDEX(PP_Grid[#Data],$DD754,19),0)</f>
        <v/>
      </c>
      <c r="V754">
        <f>IFERROR(INDEX(PP_Grid[#Data],$DD754,20),0)</f>
        <v/>
      </c>
      <c r="W754">
        <f>IFERROR(INDEX(PP_Grid[#Data],$DD754,21),0)</f>
        <v/>
      </c>
      <c r="X754">
        <f>IFERROR(INDEX(PP_Grid[#Data],$DD754,22),0)</f>
        <v/>
      </c>
      <c r="Y754">
        <f>IFERROR(INDEX(PP_Grid[#Data],$DD754,23),0)</f>
        <v/>
      </c>
      <c r="Z754">
        <f>IFERROR(INDEX(PP_Grid[#Data],$DD754,24),0)</f>
        <v/>
      </c>
      <c r="AA754">
        <f>IFERROR(INDEX(PP_Grid[#Data],$DD754,25),0)</f>
        <v/>
      </c>
      <c r="AB754">
        <f>IFERROR(INDEX(PP_Grid[#Data],$DD754,26),0)</f>
        <v/>
      </c>
      <c r="AC754">
        <f>IFERROR(INDEX(PP_Grid[#Data],$DD754,27),0)</f>
        <v/>
      </c>
      <c r="AD754">
        <f>IFERROR(INDEX(PP_Grid[#Data],$DD754,28),0)</f>
        <v/>
      </c>
      <c r="AE754">
        <f>IFERROR(INDEX(PP_Grid[#Data],$DD754,29),0)</f>
        <v/>
      </c>
      <c r="AF754">
        <f>IFERROR(INDEX(PP_Grid[#Data],$DD754,30),0)</f>
        <v/>
      </c>
      <c r="AG754">
        <f>IFERROR(INDEX(PP_Grid[#Data],$DD754,31),0)</f>
        <v/>
      </c>
      <c r="AH754">
        <f>IFERROR(INDEX(PP_Grid[#Data],$DD754,32),0)</f>
        <v/>
      </c>
      <c r="AI754">
        <f>IFERROR(INDEX(PP_Grid[#Data],$DD754,33),0)</f>
        <v/>
      </c>
      <c r="AJ754">
        <f>IFERROR(INDEX(PP_Grid[#Data],$DD754,34),0)</f>
        <v/>
      </c>
      <c r="AK754">
        <f>IFERROR(INDEX(PP_Grid[#Data],$DD754,35),0)</f>
        <v/>
      </c>
      <c r="AL754">
        <f>IFERROR(INDEX(PP_Grid[#Data],$DD754,36),0)</f>
        <v/>
      </c>
      <c r="AM754">
        <f>IFERROR(INDEX(PP_Grid[#Data],$DD754,37),0)</f>
        <v/>
      </c>
      <c r="AN754">
        <f>IFERROR(INDEX(PP_Grid[#Data],$DD754,38),0)</f>
        <v/>
      </c>
      <c r="AO754">
        <f>IFERROR(INDEX(PP_Grid[#Data],$DD754,39),0)</f>
        <v/>
      </c>
      <c r="AP754">
        <f>IFERROR(INDEX(PP_Grid[#Data],$DD754,40),0)</f>
        <v/>
      </c>
      <c r="AQ754">
        <f>IFERROR(INDEX(PP_Grid[#Data],$DD754,41),0)</f>
        <v/>
      </c>
      <c r="AR754">
        <f>IFERROR(INDEX(PP_Grid[#Data],$DD754,42),0)</f>
        <v/>
      </c>
      <c r="AS754">
        <f>IFERROR(INDEX(PP_Grid[#Data],$DD754,43),0)</f>
        <v/>
      </c>
      <c r="AT754">
        <f>IFERROR(INDEX(PP_Grid[#Data],$DD754,44),0)</f>
        <v/>
      </c>
      <c r="AU754">
        <f>IFERROR(INDEX(PP_Grid[#Data],$DD754,45),0)</f>
        <v/>
      </c>
      <c r="AV754">
        <f>IFERROR(INDEX(PP_Grid[#Data],$DD754,46),0)</f>
        <v/>
      </c>
      <c r="AW754">
        <f>IFERROR(INDEX(PP_Grid[#Data],$DD754,47),0)</f>
        <v/>
      </c>
      <c r="AX754">
        <f>IFERROR(INDEX(PP_Grid[#Data],$DD754,48),0)</f>
        <v/>
      </c>
      <c r="AY754">
        <f>IFERROR(INDEX(PP_Grid[#Data],$DD754,49),0)</f>
        <v/>
      </c>
      <c r="AZ754">
        <f>IFERROR(INDEX(PP_Grid[#Data],$DD754,50),0)</f>
        <v/>
      </c>
      <c r="BA754">
        <f>IFERROR(INDEX(PP_Grid[#Data],$DD754,51),0)</f>
        <v/>
      </c>
      <c r="BB754">
        <f>IFERROR(INDEX(PP_Grid[#Data],$DD754,52),0)</f>
        <v/>
      </c>
      <c r="BC754">
        <f>IFERROR(INDEX(PP_Grid[#Data],$DD754,53),0)</f>
        <v/>
      </c>
      <c r="BD754">
        <f>IFERROR(INDEX(PP_Grid[#Data],$DD754,54),0)</f>
        <v/>
      </c>
      <c r="BE754">
        <f>IFERROR(INDEX(PP_Grid[#Data],$DD754,55),0)</f>
        <v/>
      </c>
      <c r="BF754">
        <f>IFERROR(INDEX(PP_Grid[#Data],$DD754,56),0)</f>
        <v/>
      </c>
      <c r="BG754">
        <f>IFERROR(INDEX(PP_Grid[#Data],$DD754,57),0)</f>
        <v/>
      </c>
      <c r="BH754">
        <f>IFERROR(INDEX(PP_Grid[#Data],$DD754,58),0)</f>
        <v/>
      </c>
      <c r="BI754">
        <f>IFERROR(INDEX(PP_Grid[#Data],$DD754,59),0)</f>
        <v/>
      </c>
      <c r="BJ754">
        <f>IFERROR(INDEX(PP_Grid[#Data],$DD754,60),0)</f>
        <v/>
      </c>
      <c r="BK754">
        <f>IFERROR(INDEX(PP_Grid[#Data],$DD754,61),0)</f>
        <v/>
      </c>
      <c r="BL754">
        <f>IFERROR(INDEX(PP_Grid[#Data],$DD754,62),0)</f>
        <v/>
      </c>
      <c r="BM754">
        <f>IFERROR(INDEX(PP_Grid[#Data],$DD754,63),0)</f>
        <v/>
      </c>
      <c r="BN754">
        <f>IFERROR(INDEX(PP_Grid[#Data],$DD754,64),0)</f>
        <v/>
      </c>
      <c r="BO754">
        <f>IFERROR(INDEX(PP_Grid[#Data],$DD754,65),0)</f>
        <v/>
      </c>
      <c r="BP754">
        <f>IFERROR(INDEX(PP_Grid[#Data],$DD754,66),0)</f>
        <v/>
      </c>
      <c r="BQ754">
        <f>IFERROR(INDEX(PP_Grid[#Data],$DD754,67),0)</f>
        <v/>
      </c>
      <c r="BR754">
        <f>IFERROR(INDEX(PP_Grid[#Data],$DD754,68),0)</f>
        <v/>
      </c>
      <c r="BS754">
        <f>IFERROR(INDEX(PP_Grid[#Data],$DD754,69),0)</f>
        <v/>
      </c>
      <c r="BT754">
        <f>IFERROR(INDEX(PP_Grid[#Data],$DD754,70),0)</f>
        <v/>
      </c>
      <c r="BU754">
        <f>IFERROR(INDEX(PP_Grid[#Data],$DD754,71),0)</f>
        <v/>
      </c>
      <c r="BV754">
        <f>IFERROR(INDEX(PP_Grid[#Data],$DD754,72),0)</f>
        <v/>
      </c>
      <c r="BW754">
        <f>IFERROR(INDEX(PP_Grid[#Data],$DD754,73),0)</f>
        <v/>
      </c>
      <c r="BX754">
        <f>IFERROR(INDEX(PP_Grid[#Data],$DD754,74),0)</f>
        <v/>
      </c>
      <c r="BY754">
        <f>IFERROR(INDEX(PP_Grid[#Data],$DD754,75),0)</f>
        <v/>
      </c>
      <c r="BZ754">
        <f>IFERROR(INDEX(PP_Grid[#Data],$DD754,76),0)</f>
        <v/>
      </c>
      <c r="CA754">
        <f>IFERROR(INDEX(PP_Grid[#Data],$DD754,77),0)</f>
        <v/>
      </c>
      <c r="CB754">
        <f>IFERROR(INDEX(PP_Grid[#Data],$DD754,78),0)</f>
        <v/>
      </c>
      <c r="CC754">
        <f>IFERROR(INDEX(PP_Grid[#Data],$DD754,79),0)</f>
        <v/>
      </c>
      <c r="CD754">
        <f>IFERROR(INDEX(PP_Grid[#Data],$DD754,80),0)</f>
        <v/>
      </c>
      <c r="CE754">
        <f>IFERROR(INDEX(PP_Grid[#Data],$DD754,81),0)</f>
        <v/>
      </c>
      <c r="CF754">
        <f>IFERROR(INDEX(PP_Grid[#Data],$DD754,82),0)</f>
        <v/>
      </c>
      <c r="CG754">
        <f>IFERROR(INDEX(PP_Grid[#Data],$DD754,83),0)</f>
        <v/>
      </c>
      <c r="CH754">
        <f>IFERROR(INDEX(PP_Grid[#Data],$DD754,84),0)</f>
        <v/>
      </c>
      <c r="CI754">
        <f>IFERROR(INDEX(PP_Grid[#Data],$DD754,85),0)</f>
        <v/>
      </c>
      <c r="CJ754">
        <f>IFERROR(INDEX(PP_Grid[#Data],$DD754,86),0)</f>
        <v/>
      </c>
      <c r="CK754">
        <f>IFERROR(INDEX(PP_Grid[#Data],$DD754,87),0)</f>
        <v/>
      </c>
      <c r="CL754">
        <f>IFERROR(INDEX(PP_Grid[#Data],$DD754,88),0)</f>
        <v/>
      </c>
      <c r="CM754">
        <f>IFERROR(INDEX(PP_Grid[#Data],$DD754,89),0)</f>
        <v/>
      </c>
      <c r="CN754">
        <f>IFERROR(INDEX(PP_Grid[#Data],$DD754,90),0)</f>
        <v/>
      </c>
      <c r="CO754">
        <f>IFERROR(INDEX(PP_Grid[#Data],$DD754,91),0)</f>
        <v/>
      </c>
      <c r="CP754">
        <f>IFERROR(INDEX(PP_Grid[#Data],$DD754,92),0)</f>
        <v/>
      </c>
      <c r="CQ754">
        <f>IFERROR(INDEX(PP_Grid[#Data],$DD754,93),0)</f>
        <v/>
      </c>
      <c r="CR754">
        <f>IFERROR(INDEX(PP_Grid[#Data],$DD754,94),0)</f>
        <v/>
      </c>
      <c r="CS754">
        <f>IFERROR(INDEX(PP_Grid[#Data],$DD754,95),0)</f>
        <v/>
      </c>
      <c r="CT754">
        <f>IFERROR(INDEX(PP_Grid[#Data],$DD754,96),0)</f>
        <v/>
      </c>
      <c r="CU754">
        <f>IFERROR(INDEX(PP_Grid[#Data],$DD754,97),0)</f>
        <v/>
      </c>
      <c r="CV754">
        <f>IFERROR(INDEX(PP_Grid[#Data],$DD754,98),0)</f>
        <v/>
      </c>
      <c r="CW754">
        <f>IFERROR(INDEX(PP_Grid[#Data],$DD754,99),0)</f>
        <v/>
      </c>
      <c r="CX754">
        <f>IFERROR(INDEX(PP_Grid[#Data],$DD754,100),0)</f>
        <v/>
      </c>
      <c r="CY754">
        <f>IFERROR(INDEX(PP_Grid[#Data],$DD754,101),0)</f>
        <v/>
      </c>
      <c r="CZ754">
        <f>IFERROR(INDEX(PP_Grid[#Data],$DD754,102),0)</f>
        <v/>
      </c>
      <c r="DA754">
        <f>IFERROR(INDEX(PP_Grid[#Data],$DD754,103),0)</f>
        <v/>
      </c>
      <c r="DB754">
        <f>IFERROR(INDEX(PP_Grid[#Data],$DD754,104),0)</f>
        <v/>
      </c>
      <c r="DC754">
        <f>IFERROR(INDEX(PP_Grid[#Data],$DD754,105),0)</f>
        <v/>
      </c>
      <c r="DD754" s="7">
        <f>IFERROR(MATCH($B754,PP_Grid[Intermediate],0),99999)</f>
        <v/>
      </c>
    </row>
    <row r="755">
      <c r="B755" t="inlineStr">
        <is>
          <t>使用量(kg)</t>
        </is>
      </c>
      <c r="C755">
        <f>SUMIFS(M_BOM[RM_Qty_Per_Batch],M_BOM[Intermediate],$B754,M_BOM[Part Name],$A723)</f>
        <v/>
      </c>
      <c r="D755">
        <f>$C755*D754</f>
        <v/>
      </c>
      <c r="E755">
        <f>$C755*E754</f>
        <v/>
      </c>
      <c r="F755">
        <f>$C755*F754</f>
        <v/>
      </c>
      <c r="G755">
        <f>$C755*G754</f>
        <v/>
      </c>
      <c r="H755">
        <f>$C755*H754</f>
        <v/>
      </c>
      <c r="I755">
        <f>$C755*I754</f>
        <v/>
      </c>
      <c r="J755">
        <f>$C755*J754</f>
        <v/>
      </c>
      <c r="K755">
        <f>$C755*K754</f>
        <v/>
      </c>
      <c r="L755">
        <f>$C755*L754</f>
        <v/>
      </c>
      <c r="M755">
        <f>$C755*M754</f>
        <v/>
      </c>
      <c r="N755">
        <f>$C755*N754</f>
        <v/>
      </c>
      <c r="O755">
        <f>$C755*O754</f>
        <v/>
      </c>
      <c r="P755">
        <f>$C755*P754</f>
        <v/>
      </c>
      <c r="Q755">
        <f>$C755*Q754</f>
        <v/>
      </c>
      <c r="R755">
        <f>$C755*R754</f>
        <v/>
      </c>
      <c r="S755">
        <f>$C755*S754</f>
        <v/>
      </c>
      <c r="T755">
        <f>$C755*T754</f>
        <v/>
      </c>
      <c r="U755">
        <f>$C755*U754</f>
        <v/>
      </c>
      <c r="V755">
        <f>$C755*V754</f>
        <v/>
      </c>
      <c r="W755">
        <f>$C755*W754</f>
        <v/>
      </c>
      <c r="X755">
        <f>$C755*X754</f>
        <v/>
      </c>
      <c r="Y755">
        <f>$C755*Y754</f>
        <v/>
      </c>
      <c r="Z755">
        <f>$C755*Z754</f>
        <v/>
      </c>
      <c r="AA755">
        <f>$C755*AA754</f>
        <v/>
      </c>
      <c r="AB755">
        <f>$C755*AB754</f>
        <v/>
      </c>
      <c r="AC755">
        <f>$C755*AC754</f>
        <v/>
      </c>
      <c r="AD755">
        <f>$C755*AD754</f>
        <v/>
      </c>
      <c r="AE755">
        <f>$C755*AE754</f>
        <v/>
      </c>
      <c r="AF755">
        <f>$C755*AF754</f>
        <v/>
      </c>
      <c r="AG755">
        <f>$C755*AG754</f>
        <v/>
      </c>
      <c r="AH755">
        <f>$C755*AH754</f>
        <v/>
      </c>
      <c r="AI755">
        <f>$C755*AI754</f>
        <v/>
      </c>
      <c r="AJ755">
        <f>$C755*AJ754</f>
        <v/>
      </c>
      <c r="AK755">
        <f>$C755*AK754</f>
        <v/>
      </c>
      <c r="AL755">
        <f>$C755*AL754</f>
        <v/>
      </c>
      <c r="AM755">
        <f>$C755*AM754</f>
        <v/>
      </c>
      <c r="AN755">
        <f>$C755*AN754</f>
        <v/>
      </c>
      <c r="AO755">
        <f>$C755*AO754</f>
        <v/>
      </c>
      <c r="AP755">
        <f>$C755*AP754</f>
        <v/>
      </c>
      <c r="AQ755">
        <f>$C755*AQ754</f>
        <v/>
      </c>
      <c r="AR755">
        <f>$C755*AR754</f>
        <v/>
      </c>
      <c r="AS755">
        <f>$C755*AS754</f>
        <v/>
      </c>
      <c r="AT755">
        <f>$C755*AT754</f>
        <v/>
      </c>
      <c r="AU755">
        <f>$C755*AU754</f>
        <v/>
      </c>
      <c r="AV755">
        <f>$C755*AV754</f>
        <v/>
      </c>
      <c r="AW755">
        <f>$C755*AW754</f>
        <v/>
      </c>
      <c r="AX755">
        <f>$C755*AX754</f>
        <v/>
      </c>
      <c r="AY755">
        <f>$C755*AY754</f>
        <v/>
      </c>
      <c r="AZ755">
        <f>$C755*AZ754</f>
        <v/>
      </c>
      <c r="BA755">
        <f>$C755*BA754</f>
        <v/>
      </c>
      <c r="BB755">
        <f>$C755*BB754</f>
        <v/>
      </c>
      <c r="BC755">
        <f>$C755*BC754</f>
        <v/>
      </c>
      <c r="BD755">
        <f>$C755*BD754</f>
        <v/>
      </c>
      <c r="BE755">
        <f>$C755*BE754</f>
        <v/>
      </c>
      <c r="BF755">
        <f>$C755*BF754</f>
        <v/>
      </c>
      <c r="BG755">
        <f>$C755*BG754</f>
        <v/>
      </c>
      <c r="BH755">
        <f>$C755*BH754</f>
        <v/>
      </c>
      <c r="BI755">
        <f>$C755*BI754</f>
        <v/>
      </c>
      <c r="BJ755">
        <f>$C755*BJ754</f>
        <v/>
      </c>
      <c r="BK755">
        <f>$C755*BK754</f>
        <v/>
      </c>
      <c r="BL755">
        <f>$C755*BL754</f>
        <v/>
      </c>
      <c r="BM755">
        <f>$C755*BM754</f>
        <v/>
      </c>
      <c r="BN755">
        <f>$C755*BN754</f>
        <v/>
      </c>
      <c r="BO755">
        <f>$C755*BO754</f>
        <v/>
      </c>
      <c r="BP755">
        <f>$C755*BP754</f>
        <v/>
      </c>
      <c r="BQ755">
        <f>$C755*BQ754</f>
        <v/>
      </c>
      <c r="BR755">
        <f>$C755*BR754</f>
        <v/>
      </c>
      <c r="BS755">
        <f>$C755*BS754</f>
        <v/>
      </c>
      <c r="BT755">
        <f>$C755*BT754</f>
        <v/>
      </c>
      <c r="BU755">
        <f>$C755*BU754</f>
        <v/>
      </c>
      <c r="BV755">
        <f>$C755*BV754</f>
        <v/>
      </c>
      <c r="BW755">
        <f>$C755*BW754</f>
        <v/>
      </c>
      <c r="BX755">
        <f>$C755*BX754</f>
        <v/>
      </c>
      <c r="BY755">
        <f>$C755*BY754</f>
        <v/>
      </c>
      <c r="BZ755">
        <f>$C755*BZ754</f>
        <v/>
      </c>
      <c r="CA755">
        <f>$C755*CA754</f>
        <v/>
      </c>
      <c r="CB755">
        <f>$C755*CB754</f>
        <v/>
      </c>
      <c r="CC755">
        <f>$C755*CC754</f>
        <v/>
      </c>
      <c r="CD755">
        <f>$C755*CD754</f>
        <v/>
      </c>
      <c r="CE755">
        <f>$C755*CE754</f>
        <v/>
      </c>
      <c r="CF755">
        <f>$C755*CF754</f>
        <v/>
      </c>
      <c r="CG755">
        <f>$C755*CG754</f>
        <v/>
      </c>
      <c r="CH755">
        <f>$C755*CH754</f>
        <v/>
      </c>
      <c r="CI755">
        <f>$C755*CI754</f>
        <v/>
      </c>
      <c r="CJ755">
        <f>$C755*CJ754</f>
        <v/>
      </c>
      <c r="CK755">
        <f>$C755*CK754</f>
        <v/>
      </c>
      <c r="CL755">
        <f>$C755*CL754</f>
        <v/>
      </c>
      <c r="CM755">
        <f>$C755*CM754</f>
        <v/>
      </c>
      <c r="CN755">
        <f>$C755*CN754</f>
        <v/>
      </c>
      <c r="CO755">
        <f>$C755*CO754</f>
        <v/>
      </c>
      <c r="CP755">
        <f>$C755*CP754</f>
        <v/>
      </c>
      <c r="CQ755">
        <f>$C755*CQ754</f>
        <v/>
      </c>
      <c r="CR755">
        <f>$C755*CR754</f>
        <v/>
      </c>
      <c r="CS755">
        <f>$C755*CS754</f>
        <v/>
      </c>
      <c r="CT755">
        <f>$C755*CT754</f>
        <v/>
      </c>
      <c r="CU755">
        <f>$C755*CU754</f>
        <v/>
      </c>
      <c r="CV755">
        <f>$C755*CV754</f>
        <v/>
      </c>
      <c r="CW755">
        <f>$C755*CW754</f>
        <v/>
      </c>
      <c r="CX755">
        <f>$C755*CX754</f>
        <v/>
      </c>
      <c r="CY755">
        <f>$C755*CY754</f>
        <v/>
      </c>
      <c r="CZ755">
        <f>$C755*CZ754</f>
        <v/>
      </c>
      <c r="DA755">
        <f>$C755*DA754</f>
        <v/>
      </c>
      <c r="DB755">
        <f>$C755*DB754</f>
        <v/>
      </c>
      <c r="DC755">
        <f>$C755*DC754</f>
        <v/>
      </c>
    </row>
    <row r="756">
      <c r="B756" t="inlineStr">
        <is>
          <t>VSP-990</t>
        </is>
      </c>
      <c r="C756" t="inlineStr">
        <is>
          <t>No. of batches</t>
        </is>
      </c>
      <c r="D756">
        <f>IFERROR(INDEX(PP_Grid[#Data],$DD756,2),0)</f>
        <v/>
      </c>
      <c r="E756">
        <f>IFERROR(INDEX(PP_Grid[#Data],$DD756,3),0)</f>
        <v/>
      </c>
      <c r="F756">
        <f>IFERROR(INDEX(PP_Grid[#Data],$DD756,4),0)</f>
        <v/>
      </c>
      <c r="G756">
        <f>IFERROR(INDEX(PP_Grid[#Data],$DD756,5),0)</f>
        <v/>
      </c>
      <c r="H756">
        <f>IFERROR(INDEX(PP_Grid[#Data],$DD756,6),0)</f>
        <v/>
      </c>
      <c r="I756">
        <f>IFERROR(INDEX(PP_Grid[#Data],$DD756,7),0)</f>
        <v/>
      </c>
      <c r="J756">
        <f>IFERROR(INDEX(PP_Grid[#Data],$DD756,8),0)</f>
        <v/>
      </c>
      <c r="K756">
        <f>IFERROR(INDEX(PP_Grid[#Data],$DD756,9),0)</f>
        <v/>
      </c>
      <c r="L756">
        <f>IFERROR(INDEX(PP_Grid[#Data],$DD756,10),0)</f>
        <v/>
      </c>
      <c r="M756">
        <f>IFERROR(INDEX(PP_Grid[#Data],$DD756,11),0)</f>
        <v/>
      </c>
      <c r="N756">
        <f>IFERROR(INDEX(PP_Grid[#Data],$DD756,12),0)</f>
        <v/>
      </c>
      <c r="O756">
        <f>IFERROR(INDEX(PP_Grid[#Data],$DD756,13),0)</f>
        <v/>
      </c>
      <c r="P756">
        <f>IFERROR(INDEX(PP_Grid[#Data],$DD756,14),0)</f>
        <v/>
      </c>
      <c r="Q756">
        <f>IFERROR(INDEX(PP_Grid[#Data],$DD756,15),0)</f>
        <v/>
      </c>
      <c r="R756">
        <f>IFERROR(INDEX(PP_Grid[#Data],$DD756,16),0)</f>
        <v/>
      </c>
      <c r="S756">
        <f>IFERROR(INDEX(PP_Grid[#Data],$DD756,17),0)</f>
        <v/>
      </c>
      <c r="T756">
        <f>IFERROR(INDEX(PP_Grid[#Data],$DD756,18),0)</f>
        <v/>
      </c>
      <c r="U756">
        <f>IFERROR(INDEX(PP_Grid[#Data],$DD756,19),0)</f>
        <v/>
      </c>
      <c r="V756">
        <f>IFERROR(INDEX(PP_Grid[#Data],$DD756,20),0)</f>
        <v/>
      </c>
      <c r="W756">
        <f>IFERROR(INDEX(PP_Grid[#Data],$DD756,21),0)</f>
        <v/>
      </c>
      <c r="X756">
        <f>IFERROR(INDEX(PP_Grid[#Data],$DD756,22),0)</f>
        <v/>
      </c>
      <c r="Y756">
        <f>IFERROR(INDEX(PP_Grid[#Data],$DD756,23),0)</f>
        <v/>
      </c>
      <c r="Z756">
        <f>IFERROR(INDEX(PP_Grid[#Data],$DD756,24),0)</f>
        <v/>
      </c>
      <c r="AA756">
        <f>IFERROR(INDEX(PP_Grid[#Data],$DD756,25),0)</f>
        <v/>
      </c>
      <c r="AB756">
        <f>IFERROR(INDEX(PP_Grid[#Data],$DD756,26),0)</f>
        <v/>
      </c>
      <c r="AC756">
        <f>IFERROR(INDEX(PP_Grid[#Data],$DD756,27),0)</f>
        <v/>
      </c>
      <c r="AD756">
        <f>IFERROR(INDEX(PP_Grid[#Data],$DD756,28),0)</f>
        <v/>
      </c>
      <c r="AE756">
        <f>IFERROR(INDEX(PP_Grid[#Data],$DD756,29),0)</f>
        <v/>
      </c>
      <c r="AF756">
        <f>IFERROR(INDEX(PP_Grid[#Data],$DD756,30),0)</f>
        <v/>
      </c>
      <c r="AG756">
        <f>IFERROR(INDEX(PP_Grid[#Data],$DD756,31),0)</f>
        <v/>
      </c>
      <c r="AH756">
        <f>IFERROR(INDEX(PP_Grid[#Data],$DD756,32),0)</f>
        <v/>
      </c>
      <c r="AI756">
        <f>IFERROR(INDEX(PP_Grid[#Data],$DD756,33),0)</f>
        <v/>
      </c>
      <c r="AJ756">
        <f>IFERROR(INDEX(PP_Grid[#Data],$DD756,34),0)</f>
        <v/>
      </c>
      <c r="AK756">
        <f>IFERROR(INDEX(PP_Grid[#Data],$DD756,35),0)</f>
        <v/>
      </c>
      <c r="AL756">
        <f>IFERROR(INDEX(PP_Grid[#Data],$DD756,36),0)</f>
        <v/>
      </c>
      <c r="AM756">
        <f>IFERROR(INDEX(PP_Grid[#Data],$DD756,37),0)</f>
        <v/>
      </c>
      <c r="AN756">
        <f>IFERROR(INDEX(PP_Grid[#Data],$DD756,38),0)</f>
        <v/>
      </c>
      <c r="AO756">
        <f>IFERROR(INDEX(PP_Grid[#Data],$DD756,39),0)</f>
        <v/>
      </c>
      <c r="AP756">
        <f>IFERROR(INDEX(PP_Grid[#Data],$DD756,40),0)</f>
        <v/>
      </c>
      <c r="AQ756">
        <f>IFERROR(INDEX(PP_Grid[#Data],$DD756,41),0)</f>
        <v/>
      </c>
      <c r="AR756">
        <f>IFERROR(INDEX(PP_Grid[#Data],$DD756,42),0)</f>
        <v/>
      </c>
      <c r="AS756">
        <f>IFERROR(INDEX(PP_Grid[#Data],$DD756,43),0)</f>
        <v/>
      </c>
      <c r="AT756">
        <f>IFERROR(INDEX(PP_Grid[#Data],$DD756,44),0)</f>
        <v/>
      </c>
      <c r="AU756">
        <f>IFERROR(INDEX(PP_Grid[#Data],$DD756,45),0)</f>
        <v/>
      </c>
      <c r="AV756">
        <f>IFERROR(INDEX(PP_Grid[#Data],$DD756,46),0)</f>
        <v/>
      </c>
      <c r="AW756">
        <f>IFERROR(INDEX(PP_Grid[#Data],$DD756,47),0)</f>
        <v/>
      </c>
      <c r="AX756">
        <f>IFERROR(INDEX(PP_Grid[#Data],$DD756,48),0)</f>
        <v/>
      </c>
      <c r="AY756">
        <f>IFERROR(INDEX(PP_Grid[#Data],$DD756,49),0)</f>
        <v/>
      </c>
      <c r="AZ756">
        <f>IFERROR(INDEX(PP_Grid[#Data],$DD756,50),0)</f>
        <v/>
      </c>
      <c r="BA756">
        <f>IFERROR(INDEX(PP_Grid[#Data],$DD756,51),0)</f>
        <v/>
      </c>
      <c r="BB756">
        <f>IFERROR(INDEX(PP_Grid[#Data],$DD756,52),0)</f>
        <v/>
      </c>
      <c r="BC756">
        <f>IFERROR(INDEX(PP_Grid[#Data],$DD756,53),0)</f>
        <v/>
      </c>
      <c r="BD756">
        <f>IFERROR(INDEX(PP_Grid[#Data],$DD756,54),0)</f>
        <v/>
      </c>
      <c r="BE756">
        <f>IFERROR(INDEX(PP_Grid[#Data],$DD756,55),0)</f>
        <v/>
      </c>
      <c r="BF756">
        <f>IFERROR(INDEX(PP_Grid[#Data],$DD756,56),0)</f>
        <v/>
      </c>
      <c r="BG756">
        <f>IFERROR(INDEX(PP_Grid[#Data],$DD756,57),0)</f>
        <v/>
      </c>
      <c r="BH756">
        <f>IFERROR(INDEX(PP_Grid[#Data],$DD756,58),0)</f>
        <v/>
      </c>
      <c r="BI756">
        <f>IFERROR(INDEX(PP_Grid[#Data],$DD756,59),0)</f>
        <v/>
      </c>
      <c r="BJ756">
        <f>IFERROR(INDEX(PP_Grid[#Data],$DD756,60),0)</f>
        <v/>
      </c>
      <c r="BK756">
        <f>IFERROR(INDEX(PP_Grid[#Data],$DD756,61),0)</f>
        <v/>
      </c>
      <c r="BL756">
        <f>IFERROR(INDEX(PP_Grid[#Data],$DD756,62),0)</f>
        <v/>
      </c>
      <c r="BM756">
        <f>IFERROR(INDEX(PP_Grid[#Data],$DD756,63),0)</f>
        <v/>
      </c>
      <c r="BN756">
        <f>IFERROR(INDEX(PP_Grid[#Data],$DD756,64),0)</f>
        <v/>
      </c>
      <c r="BO756">
        <f>IFERROR(INDEX(PP_Grid[#Data],$DD756,65),0)</f>
        <v/>
      </c>
      <c r="BP756">
        <f>IFERROR(INDEX(PP_Grid[#Data],$DD756,66),0)</f>
        <v/>
      </c>
      <c r="BQ756">
        <f>IFERROR(INDEX(PP_Grid[#Data],$DD756,67),0)</f>
        <v/>
      </c>
      <c r="BR756">
        <f>IFERROR(INDEX(PP_Grid[#Data],$DD756,68),0)</f>
        <v/>
      </c>
      <c r="BS756">
        <f>IFERROR(INDEX(PP_Grid[#Data],$DD756,69),0)</f>
        <v/>
      </c>
      <c r="BT756">
        <f>IFERROR(INDEX(PP_Grid[#Data],$DD756,70),0)</f>
        <v/>
      </c>
      <c r="BU756">
        <f>IFERROR(INDEX(PP_Grid[#Data],$DD756,71),0)</f>
        <v/>
      </c>
      <c r="BV756">
        <f>IFERROR(INDEX(PP_Grid[#Data],$DD756,72),0)</f>
        <v/>
      </c>
      <c r="BW756">
        <f>IFERROR(INDEX(PP_Grid[#Data],$DD756,73),0)</f>
        <v/>
      </c>
      <c r="BX756">
        <f>IFERROR(INDEX(PP_Grid[#Data],$DD756,74),0)</f>
        <v/>
      </c>
      <c r="BY756">
        <f>IFERROR(INDEX(PP_Grid[#Data],$DD756,75),0)</f>
        <v/>
      </c>
      <c r="BZ756">
        <f>IFERROR(INDEX(PP_Grid[#Data],$DD756,76),0)</f>
        <v/>
      </c>
      <c r="CA756">
        <f>IFERROR(INDEX(PP_Grid[#Data],$DD756,77),0)</f>
        <v/>
      </c>
      <c r="CB756">
        <f>IFERROR(INDEX(PP_Grid[#Data],$DD756,78),0)</f>
        <v/>
      </c>
      <c r="CC756">
        <f>IFERROR(INDEX(PP_Grid[#Data],$DD756,79),0)</f>
        <v/>
      </c>
      <c r="CD756">
        <f>IFERROR(INDEX(PP_Grid[#Data],$DD756,80),0)</f>
        <v/>
      </c>
      <c r="CE756">
        <f>IFERROR(INDEX(PP_Grid[#Data],$DD756,81),0)</f>
        <v/>
      </c>
      <c r="CF756">
        <f>IFERROR(INDEX(PP_Grid[#Data],$DD756,82),0)</f>
        <v/>
      </c>
      <c r="CG756">
        <f>IFERROR(INDEX(PP_Grid[#Data],$DD756,83),0)</f>
        <v/>
      </c>
      <c r="CH756">
        <f>IFERROR(INDEX(PP_Grid[#Data],$DD756,84),0)</f>
        <v/>
      </c>
      <c r="CI756">
        <f>IFERROR(INDEX(PP_Grid[#Data],$DD756,85),0)</f>
        <v/>
      </c>
      <c r="CJ756">
        <f>IFERROR(INDEX(PP_Grid[#Data],$DD756,86),0)</f>
        <v/>
      </c>
      <c r="CK756">
        <f>IFERROR(INDEX(PP_Grid[#Data],$DD756,87),0)</f>
        <v/>
      </c>
      <c r="CL756">
        <f>IFERROR(INDEX(PP_Grid[#Data],$DD756,88),0)</f>
        <v/>
      </c>
      <c r="CM756">
        <f>IFERROR(INDEX(PP_Grid[#Data],$DD756,89),0)</f>
        <v/>
      </c>
      <c r="CN756">
        <f>IFERROR(INDEX(PP_Grid[#Data],$DD756,90),0)</f>
        <v/>
      </c>
      <c r="CO756">
        <f>IFERROR(INDEX(PP_Grid[#Data],$DD756,91),0)</f>
        <v/>
      </c>
      <c r="CP756">
        <f>IFERROR(INDEX(PP_Grid[#Data],$DD756,92),0)</f>
        <v/>
      </c>
      <c r="CQ756">
        <f>IFERROR(INDEX(PP_Grid[#Data],$DD756,93),0)</f>
        <v/>
      </c>
      <c r="CR756">
        <f>IFERROR(INDEX(PP_Grid[#Data],$DD756,94),0)</f>
        <v/>
      </c>
      <c r="CS756">
        <f>IFERROR(INDEX(PP_Grid[#Data],$DD756,95),0)</f>
        <v/>
      </c>
      <c r="CT756">
        <f>IFERROR(INDEX(PP_Grid[#Data],$DD756,96),0)</f>
        <v/>
      </c>
      <c r="CU756">
        <f>IFERROR(INDEX(PP_Grid[#Data],$DD756,97),0)</f>
        <v/>
      </c>
      <c r="CV756">
        <f>IFERROR(INDEX(PP_Grid[#Data],$DD756,98),0)</f>
        <v/>
      </c>
      <c r="CW756">
        <f>IFERROR(INDEX(PP_Grid[#Data],$DD756,99),0)</f>
        <v/>
      </c>
      <c r="CX756">
        <f>IFERROR(INDEX(PP_Grid[#Data],$DD756,100),0)</f>
        <v/>
      </c>
      <c r="CY756">
        <f>IFERROR(INDEX(PP_Grid[#Data],$DD756,101),0)</f>
        <v/>
      </c>
      <c r="CZ756">
        <f>IFERROR(INDEX(PP_Grid[#Data],$DD756,102),0)</f>
        <v/>
      </c>
      <c r="DA756">
        <f>IFERROR(INDEX(PP_Grid[#Data],$DD756,103),0)</f>
        <v/>
      </c>
      <c r="DB756">
        <f>IFERROR(INDEX(PP_Grid[#Data],$DD756,104),0)</f>
        <v/>
      </c>
      <c r="DC756">
        <f>IFERROR(INDEX(PP_Grid[#Data],$DD756,105),0)</f>
        <v/>
      </c>
      <c r="DD756" s="7">
        <f>IFERROR(MATCH($B756,PP_Grid[Intermediate],0),99999)</f>
        <v/>
      </c>
    </row>
    <row r="757">
      <c r="B757" t="inlineStr">
        <is>
          <t>使用量(kg)</t>
        </is>
      </c>
      <c r="C757">
        <f>SUMIFS(M_BOM[RM_Qty_Per_Batch],M_BOM[Intermediate],$B756,M_BOM[Part Name],$A723)</f>
        <v/>
      </c>
      <c r="D757">
        <f>$C757*D756</f>
        <v/>
      </c>
      <c r="E757">
        <f>$C757*E756</f>
        <v/>
      </c>
      <c r="F757">
        <f>$C757*F756</f>
        <v/>
      </c>
      <c r="G757">
        <f>$C757*G756</f>
        <v/>
      </c>
      <c r="H757">
        <f>$C757*H756</f>
        <v/>
      </c>
      <c r="I757">
        <f>$C757*I756</f>
        <v/>
      </c>
      <c r="J757">
        <f>$C757*J756</f>
        <v/>
      </c>
      <c r="K757">
        <f>$C757*K756</f>
        <v/>
      </c>
      <c r="L757">
        <f>$C757*L756</f>
        <v/>
      </c>
      <c r="M757">
        <f>$C757*M756</f>
        <v/>
      </c>
      <c r="N757">
        <f>$C757*N756</f>
        <v/>
      </c>
      <c r="O757">
        <f>$C757*O756</f>
        <v/>
      </c>
      <c r="P757">
        <f>$C757*P756</f>
        <v/>
      </c>
      <c r="Q757">
        <f>$C757*Q756</f>
        <v/>
      </c>
      <c r="R757">
        <f>$C757*R756</f>
        <v/>
      </c>
      <c r="S757">
        <f>$C757*S756</f>
        <v/>
      </c>
      <c r="T757">
        <f>$C757*T756</f>
        <v/>
      </c>
      <c r="U757">
        <f>$C757*U756</f>
        <v/>
      </c>
      <c r="V757">
        <f>$C757*V756</f>
        <v/>
      </c>
      <c r="W757">
        <f>$C757*W756</f>
        <v/>
      </c>
      <c r="X757">
        <f>$C757*X756</f>
        <v/>
      </c>
      <c r="Y757">
        <f>$C757*Y756</f>
        <v/>
      </c>
      <c r="Z757">
        <f>$C757*Z756</f>
        <v/>
      </c>
      <c r="AA757">
        <f>$C757*AA756</f>
        <v/>
      </c>
      <c r="AB757">
        <f>$C757*AB756</f>
        <v/>
      </c>
      <c r="AC757">
        <f>$C757*AC756</f>
        <v/>
      </c>
      <c r="AD757">
        <f>$C757*AD756</f>
        <v/>
      </c>
      <c r="AE757">
        <f>$C757*AE756</f>
        <v/>
      </c>
      <c r="AF757">
        <f>$C757*AF756</f>
        <v/>
      </c>
      <c r="AG757">
        <f>$C757*AG756</f>
        <v/>
      </c>
      <c r="AH757">
        <f>$C757*AH756</f>
        <v/>
      </c>
      <c r="AI757">
        <f>$C757*AI756</f>
        <v/>
      </c>
      <c r="AJ757">
        <f>$C757*AJ756</f>
        <v/>
      </c>
      <c r="AK757">
        <f>$C757*AK756</f>
        <v/>
      </c>
      <c r="AL757">
        <f>$C757*AL756</f>
        <v/>
      </c>
      <c r="AM757">
        <f>$C757*AM756</f>
        <v/>
      </c>
      <c r="AN757">
        <f>$C757*AN756</f>
        <v/>
      </c>
      <c r="AO757">
        <f>$C757*AO756</f>
        <v/>
      </c>
      <c r="AP757">
        <f>$C757*AP756</f>
        <v/>
      </c>
      <c r="AQ757">
        <f>$C757*AQ756</f>
        <v/>
      </c>
      <c r="AR757">
        <f>$C757*AR756</f>
        <v/>
      </c>
      <c r="AS757">
        <f>$C757*AS756</f>
        <v/>
      </c>
      <c r="AT757">
        <f>$C757*AT756</f>
        <v/>
      </c>
      <c r="AU757">
        <f>$C757*AU756</f>
        <v/>
      </c>
      <c r="AV757">
        <f>$C757*AV756</f>
        <v/>
      </c>
      <c r="AW757">
        <f>$C757*AW756</f>
        <v/>
      </c>
      <c r="AX757">
        <f>$C757*AX756</f>
        <v/>
      </c>
      <c r="AY757">
        <f>$C757*AY756</f>
        <v/>
      </c>
      <c r="AZ757">
        <f>$C757*AZ756</f>
        <v/>
      </c>
      <c r="BA757">
        <f>$C757*BA756</f>
        <v/>
      </c>
      <c r="BB757">
        <f>$C757*BB756</f>
        <v/>
      </c>
      <c r="BC757">
        <f>$C757*BC756</f>
        <v/>
      </c>
      <c r="BD757">
        <f>$C757*BD756</f>
        <v/>
      </c>
      <c r="BE757">
        <f>$C757*BE756</f>
        <v/>
      </c>
      <c r="BF757">
        <f>$C757*BF756</f>
        <v/>
      </c>
      <c r="BG757">
        <f>$C757*BG756</f>
        <v/>
      </c>
      <c r="BH757">
        <f>$C757*BH756</f>
        <v/>
      </c>
      <c r="BI757">
        <f>$C757*BI756</f>
        <v/>
      </c>
      <c r="BJ757">
        <f>$C757*BJ756</f>
        <v/>
      </c>
      <c r="BK757">
        <f>$C757*BK756</f>
        <v/>
      </c>
      <c r="BL757">
        <f>$C757*BL756</f>
        <v/>
      </c>
      <c r="BM757">
        <f>$C757*BM756</f>
        <v/>
      </c>
      <c r="BN757">
        <f>$C757*BN756</f>
        <v/>
      </c>
      <c r="BO757">
        <f>$C757*BO756</f>
        <v/>
      </c>
      <c r="BP757">
        <f>$C757*BP756</f>
        <v/>
      </c>
      <c r="BQ757">
        <f>$C757*BQ756</f>
        <v/>
      </c>
      <c r="BR757">
        <f>$C757*BR756</f>
        <v/>
      </c>
      <c r="BS757">
        <f>$C757*BS756</f>
        <v/>
      </c>
      <c r="BT757">
        <f>$C757*BT756</f>
        <v/>
      </c>
      <c r="BU757">
        <f>$C757*BU756</f>
        <v/>
      </c>
      <c r="BV757">
        <f>$C757*BV756</f>
        <v/>
      </c>
      <c r="BW757">
        <f>$C757*BW756</f>
        <v/>
      </c>
      <c r="BX757">
        <f>$C757*BX756</f>
        <v/>
      </c>
      <c r="BY757">
        <f>$C757*BY756</f>
        <v/>
      </c>
      <c r="BZ757">
        <f>$C757*BZ756</f>
        <v/>
      </c>
      <c r="CA757">
        <f>$C757*CA756</f>
        <v/>
      </c>
      <c r="CB757">
        <f>$C757*CB756</f>
        <v/>
      </c>
      <c r="CC757">
        <f>$C757*CC756</f>
        <v/>
      </c>
      <c r="CD757">
        <f>$C757*CD756</f>
        <v/>
      </c>
      <c r="CE757">
        <f>$C757*CE756</f>
        <v/>
      </c>
      <c r="CF757">
        <f>$C757*CF756</f>
        <v/>
      </c>
      <c r="CG757">
        <f>$C757*CG756</f>
        <v/>
      </c>
      <c r="CH757">
        <f>$C757*CH756</f>
        <v/>
      </c>
      <c r="CI757">
        <f>$C757*CI756</f>
        <v/>
      </c>
      <c r="CJ757">
        <f>$C757*CJ756</f>
        <v/>
      </c>
      <c r="CK757">
        <f>$C757*CK756</f>
        <v/>
      </c>
      <c r="CL757">
        <f>$C757*CL756</f>
        <v/>
      </c>
      <c r="CM757">
        <f>$C757*CM756</f>
        <v/>
      </c>
      <c r="CN757">
        <f>$C757*CN756</f>
        <v/>
      </c>
      <c r="CO757">
        <f>$C757*CO756</f>
        <v/>
      </c>
      <c r="CP757">
        <f>$C757*CP756</f>
        <v/>
      </c>
      <c r="CQ757">
        <f>$C757*CQ756</f>
        <v/>
      </c>
      <c r="CR757">
        <f>$C757*CR756</f>
        <v/>
      </c>
      <c r="CS757">
        <f>$C757*CS756</f>
        <v/>
      </c>
      <c r="CT757">
        <f>$C757*CT756</f>
        <v/>
      </c>
      <c r="CU757">
        <f>$C757*CU756</f>
        <v/>
      </c>
      <c r="CV757">
        <f>$C757*CV756</f>
        <v/>
      </c>
      <c r="CW757">
        <f>$C757*CW756</f>
        <v/>
      </c>
      <c r="CX757">
        <f>$C757*CX756</f>
        <v/>
      </c>
      <c r="CY757">
        <f>$C757*CY756</f>
        <v/>
      </c>
      <c r="CZ757">
        <f>$C757*CZ756</f>
        <v/>
      </c>
      <c r="DA757">
        <f>$C757*DA756</f>
        <v/>
      </c>
      <c r="DB757">
        <f>$C757*DB756</f>
        <v/>
      </c>
      <c r="DC757">
        <f>$C757*DC756</f>
        <v/>
      </c>
    </row>
    <row r="758">
      <c r="B758" t="inlineStr">
        <is>
          <t>VSZ-745</t>
        </is>
      </c>
      <c r="C758" t="inlineStr">
        <is>
          <t>No. of batches</t>
        </is>
      </c>
      <c r="D758">
        <f>IFERROR(INDEX(PP_Grid[#Data],$DD758,2),0)</f>
        <v/>
      </c>
      <c r="E758">
        <f>IFERROR(INDEX(PP_Grid[#Data],$DD758,3),0)</f>
        <v/>
      </c>
      <c r="F758">
        <f>IFERROR(INDEX(PP_Grid[#Data],$DD758,4),0)</f>
        <v/>
      </c>
      <c r="G758">
        <f>IFERROR(INDEX(PP_Grid[#Data],$DD758,5),0)</f>
        <v/>
      </c>
      <c r="H758">
        <f>IFERROR(INDEX(PP_Grid[#Data],$DD758,6),0)</f>
        <v/>
      </c>
      <c r="I758">
        <f>IFERROR(INDEX(PP_Grid[#Data],$DD758,7),0)</f>
        <v/>
      </c>
      <c r="J758">
        <f>IFERROR(INDEX(PP_Grid[#Data],$DD758,8),0)</f>
        <v/>
      </c>
      <c r="K758">
        <f>IFERROR(INDEX(PP_Grid[#Data],$DD758,9),0)</f>
        <v/>
      </c>
      <c r="L758">
        <f>IFERROR(INDEX(PP_Grid[#Data],$DD758,10),0)</f>
        <v/>
      </c>
      <c r="M758">
        <f>IFERROR(INDEX(PP_Grid[#Data],$DD758,11),0)</f>
        <v/>
      </c>
      <c r="N758">
        <f>IFERROR(INDEX(PP_Grid[#Data],$DD758,12),0)</f>
        <v/>
      </c>
      <c r="O758">
        <f>IFERROR(INDEX(PP_Grid[#Data],$DD758,13),0)</f>
        <v/>
      </c>
      <c r="P758">
        <f>IFERROR(INDEX(PP_Grid[#Data],$DD758,14),0)</f>
        <v/>
      </c>
      <c r="Q758">
        <f>IFERROR(INDEX(PP_Grid[#Data],$DD758,15),0)</f>
        <v/>
      </c>
      <c r="R758">
        <f>IFERROR(INDEX(PP_Grid[#Data],$DD758,16),0)</f>
        <v/>
      </c>
      <c r="S758">
        <f>IFERROR(INDEX(PP_Grid[#Data],$DD758,17),0)</f>
        <v/>
      </c>
      <c r="T758">
        <f>IFERROR(INDEX(PP_Grid[#Data],$DD758,18),0)</f>
        <v/>
      </c>
      <c r="U758">
        <f>IFERROR(INDEX(PP_Grid[#Data],$DD758,19),0)</f>
        <v/>
      </c>
      <c r="V758">
        <f>IFERROR(INDEX(PP_Grid[#Data],$DD758,20),0)</f>
        <v/>
      </c>
      <c r="W758">
        <f>IFERROR(INDEX(PP_Grid[#Data],$DD758,21),0)</f>
        <v/>
      </c>
      <c r="X758">
        <f>IFERROR(INDEX(PP_Grid[#Data],$DD758,22),0)</f>
        <v/>
      </c>
      <c r="Y758">
        <f>IFERROR(INDEX(PP_Grid[#Data],$DD758,23),0)</f>
        <v/>
      </c>
      <c r="Z758">
        <f>IFERROR(INDEX(PP_Grid[#Data],$DD758,24),0)</f>
        <v/>
      </c>
      <c r="AA758">
        <f>IFERROR(INDEX(PP_Grid[#Data],$DD758,25),0)</f>
        <v/>
      </c>
      <c r="AB758">
        <f>IFERROR(INDEX(PP_Grid[#Data],$DD758,26),0)</f>
        <v/>
      </c>
      <c r="AC758">
        <f>IFERROR(INDEX(PP_Grid[#Data],$DD758,27),0)</f>
        <v/>
      </c>
      <c r="AD758">
        <f>IFERROR(INDEX(PP_Grid[#Data],$DD758,28),0)</f>
        <v/>
      </c>
      <c r="AE758">
        <f>IFERROR(INDEX(PP_Grid[#Data],$DD758,29),0)</f>
        <v/>
      </c>
      <c r="AF758">
        <f>IFERROR(INDEX(PP_Grid[#Data],$DD758,30),0)</f>
        <v/>
      </c>
      <c r="AG758">
        <f>IFERROR(INDEX(PP_Grid[#Data],$DD758,31),0)</f>
        <v/>
      </c>
      <c r="AH758">
        <f>IFERROR(INDEX(PP_Grid[#Data],$DD758,32),0)</f>
        <v/>
      </c>
      <c r="AI758">
        <f>IFERROR(INDEX(PP_Grid[#Data],$DD758,33),0)</f>
        <v/>
      </c>
      <c r="AJ758">
        <f>IFERROR(INDEX(PP_Grid[#Data],$DD758,34),0)</f>
        <v/>
      </c>
      <c r="AK758">
        <f>IFERROR(INDEX(PP_Grid[#Data],$DD758,35),0)</f>
        <v/>
      </c>
      <c r="AL758">
        <f>IFERROR(INDEX(PP_Grid[#Data],$DD758,36),0)</f>
        <v/>
      </c>
      <c r="AM758">
        <f>IFERROR(INDEX(PP_Grid[#Data],$DD758,37),0)</f>
        <v/>
      </c>
      <c r="AN758">
        <f>IFERROR(INDEX(PP_Grid[#Data],$DD758,38),0)</f>
        <v/>
      </c>
      <c r="AO758">
        <f>IFERROR(INDEX(PP_Grid[#Data],$DD758,39),0)</f>
        <v/>
      </c>
      <c r="AP758">
        <f>IFERROR(INDEX(PP_Grid[#Data],$DD758,40),0)</f>
        <v/>
      </c>
      <c r="AQ758">
        <f>IFERROR(INDEX(PP_Grid[#Data],$DD758,41),0)</f>
        <v/>
      </c>
      <c r="AR758">
        <f>IFERROR(INDEX(PP_Grid[#Data],$DD758,42),0)</f>
        <v/>
      </c>
      <c r="AS758">
        <f>IFERROR(INDEX(PP_Grid[#Data],$DD758,43),0)</f>
        <v/>
      </c>
      <c r="AT758">
        <f>IFERROR(INDEX(PP_Grid[#Data],$DD758,44),0)</f>
        <v/>
      </c>
      <c r="AU758">
        <f>IFERROR(INDEX(PP_Grid[#Data],$DD758,45),0)</f>
        <v/>
      </c>
      <c r="AV758">
        <f>IFERROR(INDEX(PP_Grid[#Data],$DD758,46),0)</f>
        <v/>
      </c>
      <c r="AW758">
        <f>IFERROR(INDEX(PP_Grid[#Data],$DD758,47),0)</f>
        <v/>
      </c>
      <c r="AX758">
        <f>IFERROR(INDEX(PP_Grid[#Data],$DD758,48),0)</f>
        <v/>
      </c>
      <c r="AY758">
        <f>IFERROR(INDEX(PP_Grid[#Data],$DD758,49),0)</f>
        <v/>
      </c>
      <c r="AZ758">
        <f>IFERROR(INDEX(PP_Grid[#Data],$DD758,50),0)</f>
        <v/>
      </c>
      <c r="BA758">
        <f>IFERROR(INDEX(PP_Grid[#Data],$DD758,51),0)</f>
        <v/>
      </c>
      <c r="BB758">
        <f>IFERROR(INDEX(PP_Grid[#Data],$DD758,52),0)</f>
        <v/>
      </c>
      <c r="BC758">
        <f>IFERROR(INDEX(PP_Grid[#Data],$DD758,53),0)</f>
        <v/>
      </c>
      <c r="BD758">
        <f>IFERROR(INDEX(PP_Grid[#Data],$DD758,54),0)</f>
        <v/>
      </c>
      <c r="BE758">
        <f>IFERROR(INDEX(PP_Grid[#Data],$DD758,55),0)</f>
        <v/>
      </c>
      <c r="BF758">
        <f>IFERROR(INDEX(PP_Grid[#Data],$DD758,56),0)</f>
        <v/>
      </c>
      <c r="BG758">
        <f>IFERROR(INDEX(PP_Grid[#Data],$DD758,57),0)</f>
        <v/>
      </c>
      <c r="BH758">
        <f>IFERROR(INDEX(PP_Grid[#Data],$DD758,58),0)</f>
        <v/>
      </c>
      <c r="BI758">
        <f>IFERROR(INDEX(PP_Grid[#Data],$DD758,59),0)</f>
        <v/>
      </c>
      <c r="BJ758">
        <f>IFERROR(INDEX(PP_Grid[#Data],$DD758,60),0)</f>
        <v/>
      </c>
      <c r="BK758">
        <f>IFERROR(INDEX(PP_Grid[#Data],$DD758,61),0)</f>
        <v/>
      </c>
      <c r="BL758">
        <f>IFERROR(INDEX(PP_Grid[#Data],$DD758,62),0)</f>
        <v/>
      </c>
      <c r="BM758">
        <f>IFERROR(INDEX(PP_Grid[#Data],$DD758,63),0)</f>
        <v/>
      </c>
      <c r="BN758">
        <f>IFERROR(INDEX(PP_Grid[#Data],$DD758,64),0)</f>
        <v/>
      </c>
      <c r="BO758">
        <f>IFERROR(INDEX(PP_Grid[#Data],$DD758,65),0)</f>
        <v/>
      </c>
      <c r="BP758">
        <f>IFERROR(INDEX(PP_Grid[#Data],$DD758,66),0)</f>
        <v/>
      </c>
      <c r="BQ758">
        <f>IFERROR(INDEX(PP_Grid[#Data],$DD758,67),0)</f>
        <v/>
      </c>
      <c r="BR758">
        <f>IFERROR(INDEX(PP_Grid[#Data],$DD758,68),0)</f>
        <v/>
      </c>
      <c r="BS758">
        <f>IFERROR(INDEX(PP_Grid[#Data],$DD758,69),0)</f>
        <v/>
      </c>
      <c r="BT758">
        <f>IFERROR(INDEX(PP_Grid[#Data],$DD758,70),0)</f>
        <v/>
      </c>
      <c r="BU758">
        <f>IFERROR(INDEX(PP_Grid[#Data],$DD758,71),0)</f>
        <v/>
      </c>
      <c r="BV758">
        <f>IFERROR(INDEX(PP_Grid[#Data],$DD758,72),0)</f>
        <v/>
      </c>
      <c r="BW758">
        <f>IFERROR(INDEX(PP_Grid[#Data],$DD758,73),0)</f>
        <v/>
      </c>
      <c r="BX758">
        <f>IFERROR(INDEX(PP_Grid[#Data],$DD758,74),0)</f>
        <v/>
      </c>
      <c r="BY758">
        <f>IFERROR(INDEX(PP_Grid[#Data],$DD758,75),0)</f>
        <v/>
      </c>
      <c r="BZ758">
        <f>IFERROR(INDEX(PP_Grid[#Data],$DD758,76),0)</f>
        <v/>
      </c>
      <c r="CA758">
        <f>IFERROR(INDEX(PP_Grid[#Data],$DD758,77),0)</f>
        <v/>
      </c>
      <c r="CB758">
        <f>IFERROR(INDEX(PP_Grid[#Data],$DD758,78),0)</f>
        <v/>
      </c>
      <c r="CC758">
        <f>IFERROR(INDEX(PP_Grid[#Data],$DD758,79),0)</f>
        <v/>
      </c>
      <c r="CD758">
        <f>IFERROR(INDEX(PP_Grid[#Data],$DD758,80),0)</f>
        <v/>
      </c>
      <c r="CE758">
        <f>IFERROR(INDEX(PP_Grid[#Data],$DD758,81),0)</f>
        <v/>
      </c>
      <c r="CF758">
        <f>IFERROR(INDEX(PP_Grid[#Data],$DD758,82),0)</f>
        <v/>
      </c>
      <c r="CG758">
        <f>IFERROR(INDEX(PP_Grid[#Data],$DD758,83),0)</f>
        <v/>
      </c>
      <c r="CH758">
        <f>IFERROR(INDEX(PP_Grid[#Data],$DD758,84),0)</f>
        <v/>
      </c>
      <c r="CI758">
        <f>IFERROR(INDEX(PP_Grid[#Data],$DD758,85),0)</f>
        <v/>
      </c>
      <c r="CJ758">
        <f>IFERROR(INDEX(PP_Grid[#Data],$DD758,86),0)</f>
        <v/>
      </c>
      <c r="CK758">
        <f>IFERROR(INDEX(PP_Grid[#Data],$DD758,87),0)</f>
        <v/>
      </c>
      <c r="CL758">
        <f>IFERROR(INDEX(PP_Grid[#Data],$DD758,88),0)</f>
        <v/>
      </c>
      <c r="CM758">
        <f>IFERROR(INDEX(PP_Grid[#Data],$DD758,89),0)</f>
        <v/>
      </c>
      <c r="CN758">
        <f>IFERROR(INDEX(PP_Grid[#Data],$DD758,90),0)</f>
        <v/>
      </c>
      <c r="CO758">
        <f>IFERROR(INDEX(PP_Grid[#Data],$DD758,91),0)</f>
        <v/>
      </c>
      <c r="CP758">
        <f>IFERROR(INDEX(PP_Grid[#Data],$DD758,92),0)</f>
        <v/>
      </c>
      <c r="CQ758">
        <f>IFERROR(INDEX(PP_Grid[#Data],$DD758,93),0)</f>
        <v/>
      </c>
      <c r="CR758">
        <f>IFERROR(INDEX(PP_Grid[#Data],$DD758,94),0)</f>
        <v/>
      </c>
      <c r="CS758">
        <f>IFERROR(INDEX(PP_Grid[#Data],$DD758,95),0)</f>
        <v/>
      </c>
      <c r="CT758">
        <f>IFERROR(INDEX(PP_Grid[#Data],$DD758,96),0)</f>
        <v/>
      </c>
      <c r="CU758">
        <f>IFERROR(INDEX(PP_Grid[#Data],$DD758,97),0)</f>
        <v/>
      </c>
      <c r="CV758">
        <f>IFERROR(INDEX(PP_Grid[#Data],$DD758,98),0)</f>
        <v/>
      </c>
      <c r="CW758">
        <f>IFERROR(INDEX(PP_Grid[#Data],$DD758,99),0)</f>
        <v/>
      </c>
      <c r="CX758">
        <f>IFERROR(INDEX(PP_Grid[#Data],$DD758,100),0)</f>
        <v/>
      </c>
      <c r="CY758">
        <f>IFERROR(INDEX(PP_Grid[#Data],$DD758,101),0)</f>
        <v/>
      </c>
      <c r="CZ758">
        <f>IFERROR(INDEX(PP_Grid[#Data],$DD758,102),0)</f>
        <v/>
      </c>
      <c r="DA758">
        <f>IFERROR(INDEX(PP_Grid[#Data],$DD758,103),0)</f>
        <v/>
      </c>
      <c r="DB758">
        <f>IFERROR(INDEX(PP_Grid[#Data],$DD758,104),0)</f>
        <v/>
      </c>
      <c r="DC758">
        <f>IFERROR(INDEX(PP_Grid[#Data],$DD758,105),0)</f>
        <v/>
      </c>
      <c r="DD758" s="7">
        <f>IFERROR(MATCH($B758,PP_Grid[Intermediate],0),99999)</f>
        <v/>
      </c>
    </row>
    <row r="759">
      <c r="B759" t="inlineStr">
        <is>
          <t>使用量(kg)</t>
        </is>
      </c>
      <c r="C759">
        <f>SUMIFS(M_BOM[RM_Qty_Per_Batch],M_BOM[Intermediate],$B758,M_BOM[Part Name],$A723)</f>
        <v/>
      </c>
      <c r="D759">
        <f>$C759*D758</f>
        <v/>
      </c>
      <c r="E759">
        <f>$C759*E758</f>
        <v/>
      </c>
      <c r="F759">
        <f>$C759*F758</f>
        <v/>
      </c>
      <c r="G759">
        <f>$C759*G758</f>
        <v/>
      </c>
      <c r="H759">
        <f>$C759*H758</f>
        <v/>
      </c>
      <c r="I759">
        <f>$C759*I758</f>
        <v/>
      </c>
      <c r="J759">
        <f>$C759*J758</f>
        <v/>
      </c>
      <c r="K759">
        <f>$C759*K758</f>
        <v/>
      </c>
      <c r="L759">
        <f>$C759*L758</f>
        <v/>
      </c>
      <c r="M759">
        <f>$C759*M758</f>
        <v/>
      </c>
      <c r="N759">
        <f>$C759*N758</f>
        <v/>
      </c>
      <c r="O759">
        <f>$C759*O758</f>
        <v/>
      </c>
      <c r="P759">
        <f>$C759*P758</f>
        <v/>
      </c>
      <c r="Q759">
        <f>$C759*Q758</f>
        <v/>
      </c>
      <c r="R759">
        <f>$C759*R758</f>
        <v/>
      </c>
      <c r="S759">
        <f>$C759*S758</f>
        <v/>
      </c>
      <c r="T759">
        <f>$C759*T758</f>
        <v/>
      </c>
      <c r="U759">
        <f>$C759*U758</f>
        <v/>
      </c>
      <c r="V759">
        <f>$C759*V758</f>
        <v/>
      </c>
      <c r="W759">
        <f>$C759*W758</f>
        <v/>
      </c>
      <c r="X759">
        <f>$C759*X758</f>
        <v/>
      </c>
      <c r="Y759">
        <f>$C759*Y758</f>
        <v/>
      </c>
      <c r="Z759">
        <f>$C759*Z758</f>
        <v/>
      </c>
      <c r="AA759">
        <f>$C759*AA758</f>
        <v/>
      </c>
      <c r="AB759">
        <f>$C759*AB758</f>
        <v/>
      </c>
      <c r="AC759">
        <f>$C759*AC758</f>
        <v/>
      </c>
      <c r="AD759">
        <f>$C759*AD758</f>
        <v/>
      </c>
      <c r="AE759">
        <f>$C759*AE758</f>
        <v/>
      </c>
      <c r="AF759">
        <f>$C759*AF758</f>
        <v/>
      </c>
      <c r="AG759">
        <f>$C759*AG758</f>
        <v/>
      </c>
      <c r="AH759">
        <f>$C759*AH758</f>
        <v/>
      </c>
      <c r="AI759">
        <f>$C759*AI758</f>
        <v/>
      </c>
      <c r="AJ759">
        <f>$C759*AJ758</f>
        <v/>
      </c>
      <c r="AK759">
        <f>$C759*AK758</f>
        <v/>
      </c>
      <c r="AL759">
        <f>$C759*AL758</f>
        <v/>
      </c>
      <c r="AM759">
        <f>$C759*AM758</f>
        <v/>
      </c>
      <c r="AN759">
        <f>$C759*AN758</f>
        <v/>
      </c>
      <c r="AO759">
        <f>$C759*AO758</f>
        <v/>
      </c>
      <c r="AP759">
        <f>$C759*AP758</f>
        <v/>
      </c>
      <c r="AQ759">
        <f>$C759*AQ758</f>
        <v/>
      </c>
      <c r="AR759">
        <f>$C759*AR758</f>
        <v/>
      </c>
      <c r="AS759">
        <f>$C759*AS758</f>
        <v/>
      </c>
      <c r="AT759">
        <f>$C759*AT758</f>
        <v/>
      </c>
      <c r="AU759">
        <f>$C759*AU758</f>
        <v/>
      </c>
      <c r="AV759">
        <f>$C759*AV758</f>
        <v/>
      </c>
      <c r="AW759">
        <f>$C759*AW758</f>
        <v/>
      </c>
      <c r="AX759">
        <f>$C759*AX758</f>
        <v/>
      </c>
      <c r="AY759">
        <f>$C759*AY758</f>
        <v/>
      </c>
      <c r="AZ759">
        <f>$C759*AZ758</f>
        <v/>
      </c>
      <c r="BA759">
        <f>$C759*BA758</f>
        <v/>
      </c>
      <c r="BB759">
        <f>$C759*BB758</f>
        <v/>
      </c>
      <c r="BC759">
        <f>$C759*BC758</f>
        <v/>
      </c>
      <c r="BD759">
        <f>$C759*BD758</f>
        <v/>
      </c>
      <c r="BE759">
        <f>$C759*BE758</f>
        <v/>
      </c>
      <c r="BF759">
        <f>$C759*BF758</f>
        <v/>
      </c>
      <c r="BG759">
        <f>$C759*BG758</f>
        <v/>
      </c>
      <c r="BH759">
        <f>$C759*BH758</f>
        <v/>
      </c>
      <c r="BI759">
        <f>$C759*BI758</f>
        <v/>
      </c>
      <c r="BJ759">
        <f>$C759*BJ758</f>
        <v/>
      </c>
      <c r="BK759">
        <f>$C759*BK758</f>
        <v/>
      </c>
      <c r="BL759">
        <f>$C759*BL758</f>
        <v/>
      </c>
      <c r="BM759">
        <f>$C759*BM758</f>
        <v/>
      </c>
      <c r="BN759">
        <f>$C759*BN758</f>
        <v/>
      </c>
      <c r="BO759">
        <f>$C759*BO758</f>
        <v/>
      </c>
      <c r="BP759">
        <f>$C759*BP758</f>
        <v/>
      </c>
      <c r="BQ759">
        <f>$C759*BQ758</f>
        <v/>
      </c>
      <c r="BR759">
        <f>$C759*BR758</f>
        <v/>
      </c>
      <c r="BS759">
        <f>$C759*BS758</f>
        <v/>
      </c>
      <c r="BT759">
        <f>$C759*BT758</f>
        <v/>
      </c>
      <c r="BU759">
        <f>$C759*BU758</f>
        <v/>
      </c>
      <c r="BV759">
        <f>$C759*BV758</f>
        <v/>
      </c>
      <c r="BW759">
        <f>$C759*BW758</f>
        <v/>
      </c>
      <c r="BX759">
        <f>$C759*BX758</f>
        <v/>
      </c>
      <c r="BY759">
        <f>$C759*BY758</f>
        <v/>
      </c>
      <c r="BZ759">
        <f>$C759*BZ758</f>
        <v/>
      </c>
      <c r="CA759">
        <f>$C759*CA758</f>
        <v/>
      </c>
      <c r="CB759">
        <f>$C759*CB758</f>
        <v/>
      </c>
      <c r="CC759">
        <f>$C759*CC758</f>
        <v/>
      </c>
      <c r="CD759">
        <f>$C759*CD758</f>
        <v/>
      </c>
      <c r="CE759">
        <f>$C759*CE758</f>
        <v/>
      </c>
      <c r="CF759">
        <f>$C759*CF758</f>
        <v/>
      </c>
      <c r="CG759">
        <f>$C759*CG758</f>
        <v/>
      </c>
      <c r="CH759">
        <f>$C759*CH758</f>
        <v/>
      </c>
      <c r="CI759">
        <f>$C759*CI758</f>
        <v/>
      </c>
      <c r="CJ759">
        <f>$C759*CJ758</f>
        <v/>
      </c>
      <c r="CK759">
        <f>$C759*CK758</f>
        <v/>
      </c>
      <c r="CL759">
        <f>$C759*CL758</f>
        <v/>
      </c>
      <c r="CM759">
        <f>$C759*CM758</f>
        <v/>
      </c>
      <c r="CN759">
        <f>$C759*CN758</f>
        <v/>
      </c>
      <c r="CO759">
        <f>$C759*CO758</f>
        <v/>
      </c>
      <c r="CP759">
        <f>$C759*CP758</f>
        <v/>
      </c>
      <c r="CQ759">
        <f>$C759*CQ758</f>
        <v/>
      </c>
      <c r="CR759">
        <f>$C759*CR758</f>
        <v/>
      </c>
      <c r="CS759">
        <f>$C759*CS758</f>
        <v/>
      </c>
      <c r="CT759">
        <f>$C759*CT758</f>
        <v/>
      </c>
      <c r="CU759">
        <f>$C759*CU758</f>
        <v/>
      </c>
      <c r="CV759">
        <f>$C759*CV758</f>
        <v/>
      </c>
      <c r="CW759">
        <f>$C759*CW758</f>
        <v/>
      </c>
      <c r="CX759">
        <f>$C759*CX758</f>
        <v/>
      </c>
      <c r="CY759">
        <f>$C759*CY758</f>
        <v/>
      </c>
      <c r="CZ759">
        <f>$C759*CZ758</f>
        <v/>
      </c>
      <c r="DA759">
        <f>$C759*DA758</f>
        <v/>
      </c>
      <c r="DB759">
        <f>$C759*DB758</f>
        <v/>
      </c>
      <c r="DC759">
        <f>$C759*DC758</f>
        <v/>
      </c>
    </row>
    <row r="760">
      <c r="B760" t="inlineStr">
        <is>
          <t>TPP-650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Name],$A723)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No of times used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Name],$A723)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TSP-1499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Name],$A723)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s="4" t="inlineStr">
        <is>
          <t>合計使用量(kg)/週</t>
        </is>
      </c>
      <c r="D766">
        <f>'Grid_Requirement'!B6</f>
        <v/>
      </c>
      <c r="E766">
        <f>'Grid_Requirement'!C6</f>
        <v/>
      </c>
      <c r="F766">
        <f>'Grid_Requirement'!D6</f>
        <v/>
      </c>
      <c r="G766">
        <f>'Grid_Requirement'!E6</f>
        <v/>
      </c>
      <c r="H766">
        <f>'Grid_Requirement'!F6</f>
        <v/>
      </c>
      <c r="I766">
        <f>'Grid_Requirement'!G6</f>
        <v/>
      </c>
      <c r="J766">
        <f>'Grid_Requirement'!H6</f>
        <v/>
      </c>
      <c r="K766">
        <f>'Grid_Requirement'!I6</f>
        <v/>
      </c>
      <c r="L766">
        <f>'Grid_Requirement'!J6</f>
        <v/>
      </c>
      <c r="M766">
        <f>'Grid_Requirement'!K6</f>
        <v/>
      </c>
      <c r="N766">
        <f>'Grid_Requirement'!L6</f>
        <v/>
      </c>
      <c r="O766">
        <f>'Grid_Requirement'!M6</f>
        <v/>
      </c>
      <c r="P766">
        <f>'Grid_Requirement'!N6</f>
        <v/>
      </c>
      <c r="Q766">
        <f>'Grid_Requirement'!O6</f>
        <v/>
      </c>
      <c r="R766">
        <f>'Grid_Requirement'!P6</f>
        <v/>
      </c>
      <c r="S766">
        <f>'Grid_Requirement'!Q6</f>
        <v/>
      </c>
      <c r="T766">
        <f>'Grid_Requirement'!R6</f>
        <v/>
      </c>
      <c r="U766">
        <f>'Grid_Requirement'!S6</f>
        <v/>
      </c>
      <c r="V766">
        <f>'Grid_Requirement'!T6</f>
        <v/>
      </c>
      <c r="W766">
        <f>'Grid_Requirement'!U6</f>
        <v/>
      </c>
      <c r="X766">
        <f>'Grid_Requirement'!V6</f>
        <v/>
      </c>
      <c r="Y766">
        <f>'Grid_Requirement'!W6</f>
        <v/>
      </c>
      <c r="Z766">
        <f>'Grid_Requirement'!X6</f>
        <v/>
      </c>
      <c r="AA766">
        <f>'Grid_Requirement'!Y6</f>
        <v/>
      </c>
      <c r="AB766">
        <f>'Grid_Requirement'!Z6</f>
        <v/>
      </c>
      <c r="AC766">
        <f>'Grid_Requirement'!AA6</f>
        <v/>
      </c>
      <c r="AD766">
        <f>'Grid_Requirement'!AB6</f>
        <v/>
      </c>
      <c r="AE766">
        <f>'Grid_Requirement'!AC6</f>
        <v/>
      </c>
      <c r="AF766">
        <f>'Grid_Requirement'!AD6</f>
        <v/>
      </c>
      <c r="AG766">
        <f>'Grid_Requirement'!AE6</f>
        <v/>
      </c>
      <c r="AH766">
        <f>'Grid_Requirement'!AF6</f>
        <v/>
      </c>
      <c r="AI766">
        <f>'Grid_Requirement'!AG6</f>
        <v/>
      </c>
      <c r="AJ766">
        <f>'Grid_Requirement'!AH6</f>
        <v/>
      </c>
      <c r="AK766">
        <f>'Grid_Requirement'!AI6</f>
        <v/>
      </c>
      <c r="AL766">
        <f>'Grid_Requirement'!AJ6</f>
        <v/>
      </c>
      <c r="AM766">
        <f>'Grid_Requirement'!AK6</f>
        <v/>
      </c>
      <c r="AN766">
        <f>'Grid_Requirement'!AL6</f>
        <v/>
      </c>
      <c r="AO766">
        <f>'Grid_Requirement'!AM6</f>
        <v/>
      </c>
      <c r="AP766">
        <f>'Grid_Requirement'!AN6</f>
        <v/>
      </c>
      <c r="AQ766">
        <f>'Grid_Requirement'!AO6</f>
        <v/>
      </c>
      <c r="AR766">
        <f>'Grid_Requirement'!AP6</f>
        <v/>
      </c>
      <c r="AS766">
        <f>'Grid_Requirement'!AQ6</f>
        <v/>
      </c>
      <c r="AT766">
        <f>'Grid_Requirement'!AR6</f>
        <v/>
      </c>
      <c r="AU766">
        <f>'Grid_Requirement'!AS6</f>
        <v/>
      </c>
      <c r="AV766">
        <f>'Grid_Requirement'!AT6</f>
        <v/>
      </c>
      <c r="AW766">
        <f>'Grid_Requirement'!AU6</f>
        <v/>
      </c>
      <c r="AX766">
        <f>'Grid_Requirement'!AV6</f>
        <v/>
      </c>
      <c r="AY766">
        <f>'Grid_Requirement'!AW6</f>
        <v/>
      </c>
      <c r="AZ766">
        <f>'Grid_Requirement'!AX6</f>
        <v/>
      </c>
      <c r="BA766">
        <f>'Grid_Requirement'!AY6</f>
        <v/>
      </c>
      <c r="BB766">
        <f>'Grid_Requirement'!AZ6</f>
        <v/>
      </c>
      <c r="BC766">
        <f>'Grid_Requirement'!BA6</f>
        <v/>
      </c>
      <c r="BD766">
        <f>'Grid_Requirement'!BB6</f>
        <v/>
      </c>
      <c r="BE766">
        <f>'Grid_Requirement'!BC6</f>
        <v/>
      </c>
      <c r="BF766">
        <f>'Grid_Requirement'!BD6</f>
        <v/>
      </c>
      <c r="BG766">
        <f>'Grid_Requirement'!BE6</f>
        <v/>
      </c>
      <c r="BH766">
        <f>'Grid_Requirement'!BF6</f>
        <v/>
      </c>
      <c r="BI766">
        <f>'Grid_Requirement'!BG6</f>
        <v/>
      </c>
      <c r="BJ766">
        <f>'Grid_Requirement'!BH6</f>
        <v/>
      </c>
      <c r="BK766">
        <f>'Grid_Requirement'!BI6</f>
        <v/>
      </c>
      <c r="BL766">
        <f>'Grid_Requirement'!BJ6</f>
        <v/>
      </c>
      <c r="BM766">
        <f>'Grid_Requirement'!BK6</f>
        <v/>
      </c>
      <c r="BN766">
        <f>'Grid_Requirement'!BL6</f>
        <v/>
      </c>
      <c r="BO766">
        <f>'Grid_Requirement'!BM6</f>
        <v/>
      </c>
      <c r="BP766">
        <f>'Grid_Requirement'!BN6</f>
        <v/>
      </c>
      <c r="BQ766">
        <f>'Grid_Requirement'!BO6</f>
        <v/>
      </c>
      <c r="BR766">
        <f>'Grid_Requirement'!BP6</f>
        <v/>
      </c>
      <c r="BS766">
        <f>'Grid_Requirement'!BQ6</f>
        <v/>
      </c>
      <c r="BT766">
        <f>'Grid_Requirement'!BR6</f>
        <v/>
      </c>
      <c r="BU766">
        <f>'Grid_Requirement'!BS6</f>
        <v/>
      </c>
      <c r="BV766">
        <f>'Grid_Requirement'!BT6</f>
        <v/>
      </c>
      <c r="BW766">
        <f>'Grid_Requirement'!BU6</f>
        <v/>
      </c>
      <c r="BX766">
        <f>'Grid_Requirement'!BV6</f>
        <v/>
      </c>
      <c r="BY766">
        <f>'Grid_Requirement'!BW6</f>
        <v/>
      </c>
      <c r="BZ766">
        <f>'Grid_Requirement'!BX6</f>
        <v/>
      </c>
      <c r="CA766">
        <f>'Grid_Requirement'!BY6</f>
        <v/>
      </c>
      <c r="CB766">
        <f>'Grid_Requirement'!BZ6</f>
        <v/>
      </c>
      <c r="CC766">
        <f>'Grid_Requirement'!CA6</f>
        <v/>
      </c>
      <c r="CD766">
        <f>'Grid_Requirement'!CB6</f>
        <v/>
      </c>
      <c r="CE766">
        <f>'Grid_Requirement'!CC6</f>
        <v/>
      </c>
      <c r="CF766">
        <f>'Grid_Requirement'!CD6</f>
        <v/>
      </c>
      <c r="CG766">
        <f>'Grid_Requirement'!CE6</f>
        <v/>
      </c>
      <c r="CH766">
        <f>'Grid_Requirement'!CF6</f>
        <v/>
      </c>
      <c r="CI766">
        <f>'Grid_Requirement'!CG6</f>
        <v/>
      </c>
      <c r="CJ766">
        <f>'Grid_Requirement'!CH6</f>
        <v/>
      </c>
      <c r="CK766">
        <f>'Grid_Requirement'!CI6</f>
        <v/>
      </c>
      <c r="CL766">
        <f>'Grid_Requirement'!CJ6</f>
        <v/>
      </c>
      <c r="CM766">
        <f>'Grid_Requirement'!CK6</f>
        <v/>
      </c>
      <c r="CN766">
        <f>'Grid_Requirement'!CL6</f>
        <v/>
      </c>
      <c r="CO766">
        <f>'Grid_Requirement'!CM6</f>
        <v/>
      </c>
      <c r="CP766">
        <f>'Grid_Requirement'!CN6</f>
        <v/>
      </c>
      <c r="CQ766">
        <f>'Grid_Requirement'!CO6</f>
        <v/>
      </c>
      <c r="CR766">
        <f>'Grid_Requirement'!CP6</f>
        <v/>
      </c>
      <c r="CS766">
        <f>'Grid_Requirement'!CQ6</f>
        <v/>
      </c>
      <c r="CT766">
        <f>'Grid_Requirement'!CR6</f>
        <v/>
      </c>
      <c r="CU766">
        <f>'Grid_Requirement'!CS6</f>
        <v/>
      </c>
      <c r="CV766">
        <f>'Grid_Requirement'!CT6</f>
        <v/>
      </c>
      <c r="CW766">
        <f>'Grid_Requirement'!CU6</f>
        <v/>
      </c>
      <c r="CX766">
        <f>'Grid_Requirement'!CV6</f>
        <v/>
      </c>
      <c r="CY766">
        <f>'Grid_Requirement'!CW6</f>
        <v/>
      </c>
      <c r="CZ766">
        <f>'Grid_Requirement'!CX6</f>
        <v/>
      </c>
      <c r="DA766">
        <f>'Grid_Requirement'!CY6</f>
        <v/>
      </c>
      <c r="DB766">
        <f>'Grid_Requirement'!CZ6</f>
        <v/>
      </c>
      <c r="DC766">
        <f>'Grid_Requirement'!DA6</f>
        <v/>
      </c>
    </row>
    <row r="767">
      <c r="B767" t="inlineStr">
        <is>
          <t>TTAF在庫(実績,kg)</t>
        </is>
      </c>
      <c r="D767">
        <f>'T_TTAFStock'!B10</f>
        <v/>
      </c>
      <c r="E767">
        <f>'T_TTAFStock'!C10</f>
        <v/>
      </c>
      <c r="F767">
        <f>'T_TTAFStock'!D10</f>
        <v/>
      </c>
      <c r="G767">
        <f>'T_TTAFStock'!E10</f>
        <v/>
      </c>
      <c r="H767">
        <f>'T_TTAFStock'!F10</f>
        <v/>
      </c>
      <c r="I767">
        <f>'T_TTAFStock'!G10</f>
        <v/>
      </c>
      <c r="J767">
        <f>'T_TTAFStock'!H10</f>
        <v/>
      </c>
      <c r="K767">
        <f>'T_TTAFStock'!I10</f>
        <v/>
      </c>
      <c r="L767">
        <f>'T_TTAFStock'!J10</f>
        <v/>
      </c>
      <c r="M767">
        <f>'T_TTAFStock'!K10</f>
        <v/>
      </c>
      <c r="N767">
        <f>'T_TTAFStock'!L10</f>
        <v/>
      </c>
      <c r="O767">
        <f>'T_TTAFStock'!M10</f>
        <v/>
      </c>
      <c r="P767">
        <f>'T_TTAFStock'!N10</f>
        <v/>
      </c>
      <c r="Q767">
        <f>'T_TTAFStock'!O10</f>
        <v/>
      </c>
      <c r="R767">
        <f>'T_TTAFStock'!P10</f>
        <v/>
      </c>
      <c r="S767">
        <f>'T_TTAFStock'!Q10</f>
        <v/>
      </c>
      <c r="T767">
        <f>'T_TTAFStock'!R10</f>
        <v/>
      </c>
      <c r="U767">
        <f>'T_TTAFStock'!S10</f>
        <v/>
      </c>
      <c r="V767">
        <f>'T_TTAFStock'!T10</f>
        <v/>
      </c>
      <c r="W767">
        <f>'T_TTAFStock'!U10</f>
        <v/>
      </c>
      <c r="X767">
        <f>'T_TTAFStock'!V10</f>
        <v/>
      </c>
      <c r="Y767">
        <f>'T_TTAFStock'!W10</f>
        <v/>
      </c>
      <c r="Z767">
        <f>'T_TTAFStock'!X10</f>
        <v/>
      </c>
      <c r="AA767">
        <f>'T_TTAFStock'!Y10</f>
        <v/>
      </c>
      <c r="AB767">
        <f>'T_TTAFStock'!Z10</f>
        <v/>
      </c>
      <c r="AC767">
        <f>'T_TTAFStock'!AA10</f>
        <v/>
      </c>
      <c r="AD767">
        <f>'T_TTAFStock'!AB10</f>
        <v/>
      </c>
      <c r="AE767">
        <f>'T_TTAFStock'!AC10</f>
        <v/>
      </c>
      <c r="AF767">
        <f>'T_TTAFStock'!AD10</f>
        <v/>
      </c>
      <c r="AG767">
        <f>'T_TTAFStock'!AE10</f>
        <v/>
      </c>
      <c r="AH767">
        <f>'T_TTAFStock'!AF10</f>
        <v/>
      </c>
      <c r="AI767">
        <f>'T_TTAFStock'!AG10</f>
        <v/>
      </c>
      <c r="AJ767">
        <f>'T_TTAFStock'!AH10</f>
        <v/>
      </c>
      <c r="AK767">
        <f>'T_TTAFStock'!AI10</f>
        <v/>
      </c>
      <c r="AL767">
        <f>'T_TTAFStock'!AJ10</f>
        <v/>
      </c>
      <c r="AM767">
        <f>'T_TTAFStock'!AK10</f>
        <v/>
      </c>
      <c r="AN767">
        <f>'T_TTAFStock'!AL10</f>
        <v/>
      </c>
      <c r="AO767">
        <f>'T_TTAFStock'!AM10</f>
        <v/>
      </c>
      <c r="AP767">
        <f>'T_TTAFStock'!AN10</f>
        <v/>
      </c>
      <c r="AQ767">
        <f>'T_TTAFStock'!AO10</f>
        <v/>
      </c>
      <c r="AR767">
        <f>'T_TTAFStock'!AP10</f>
        <v/>
      </c>
      <c r="AS767">
        <f>'T_TTAFStock'!AQ10</f>
        <v/>
      </c>
      <c r="AT767">
        <f>'T_TTAFStock'!AR10</f>
        <v/>
      </c>
      <c r="AU767">
        <f>'T_TTAFStock'!AS10</f>
        <v/>
      </c>
      <c r="AV767">
        <f>'T_TTAFStock'!AT10</f>
        <v/>
      </c>
      <c r="AW767">
        <f>'T_TTAFStock'!AU10</f>
        <v/>
      </c>
      <c r="AX767">
        <f>'T_TTAFStock'!AV10</f>
        <v/>
      </c>
      <c r="AY767">
        <f>'T_TTAFStock'!AW10</f>
        <v/>
      </c>
      <c r="AZ767">
        <f>'T_TTAFStock'!AX10</f>
        <v/>
      </c>
      <c r="BA767">
        <f>'T_TTAFStock'!AY10</f>
        <v/>
      </c>
      <c r="BB767">
        <f>'T_TTAFStock'!AZ10</f>
        <v/>
      </c>
      <c r="BC767">
        <f>'T_TTAFStock'!BA10</f>
        <v/>
      </c>
      <c r="BD767">
        <f>'T_TTAFStock'!BB10</f>
        <v/>
      </c>
      <c r="BE767">
        <f>'T_TTAFStock'!BC10</f>
        <v/>
      </c>
      <c r="BF767">
        <f>'T_TTAFStock'!BD10</f>
        <v/>
      </c>
      <c r="BG767">
        <f>'T_TTAFStock'!BE10</f>
        <v/>
      </c>
      <c r="BH767">
        <f>'T_TTAFStock'!BF10</f>
        <v/>
      </c>
      <c r="BI767">
        <f>'T_TTAFStock'!BG10</f>
        <v/>
      </c>
      <c r="BJ767">
        <f>'T_TTAFStock'!BH10</f>
        <v/>
      </c>
      <c r="BK767">
        <f>'T_TTAFStock'!BI10</f>
        <v/>
      </c>
      <c r="BL767">
        <f>'T_TTAFStock'!BJ10</f>
        <v/>
      </c>
      <c r="BM767">
        <f>'T_TTAFStock'!BK10</f>
        <v/>
      </c>
      <c r="BN767">
        <f>'T_TTAFStock'!BL10</f>
        <v/>
      </c>
      <c r="BO767">
        <f>'T_TTAFStock'!BM10</f>
        <v/>
      </c>
      <c r="BP767">
        <f>'T_TTAFStock'!BN10</f>
        <v/>
      </c>
      <c r="BQ767">
        <f>'T_TTAFStock'!BO10</f>
        <v/>
      </c>
      <c r="BR767">
        <f>'T_TTAFStock'!BP10</f>
        <v/>
      </c>
      <c r="BS767">
        <f>'T_TTAFStock'!BQ10</f>
        <v/>
      </c>
      <c r="BT767">
        <f>'T_TTAFStock'!BR10</f>
        <v/>
      </c>
      <c r="BU767">
        <f>'T_TTAFStock'!BS10</f>
        <v/>
      </c>
      <c r="BV767">
        <f>'T_TTAFStock'!BT10</f>
        <v/>
      </c>
      <c r="BW767">
        <f>'T_TTAFStock'!BU10</f>
        <v/>
      </c>
      <c r="BX767">
        <f>'T_TTAFStock'!BV10</f>
        <v/>
      </c>
      <c r="BY767">
        <f>'T_TTAFStock'!BW10</f>
        <v/>
      </c>
      <c r="BZ767">
        <f>'T_TTAFStock'!BX10</f>
        <v/>
      </c>
      <c r="CA767">
        <f>'T_TTAFStock'!BY10</f>
        <v/>
      </c>
      <c r="CB767">
        <f>'T_TTAFStock'!BZ10</f>
        <v/>
      </c>
      <c r="CC767">
        <f>'T_TTAFStock'!CA10</f>
        <v/>
      </c>
      <c r="CD767">
        <f>'T_TTAFStock'!CB10</f>
        <v/>
      </c>
      <c r="CE767">
        <f>'T_TTAFStock'!CC10</f>
        <v/>
      </c>
      <c r="CF767">
        <f>'T_TTAFStock'!CD10</f>
        <v/>
      </c>
      <c r="CG767">
        <f>'T_TTAFStock'!CE10</f>
        <v/>
      </c>
      <c r="CH767">
        <f>'T_TTAFStock'!CF10</f>
        <v/>
      </c>
      <c r="CI767">
        <f>'T_TTAFStock'!CG10</f>
        <v/>
      </c>
      <c r="CJ767">
        <f>'T_TTAFStock'!CH10</f>
        <v/>
      </c>
      <c r="CK767">
        <f>'T_TTAFStock'!CI10</f>
        <v/>
      </c>
      <c r="CL767">
        <f>'T_TTAFStock'!CJ10</f>
        <v/>
      </c>
      <c r="CM767">
        <f>'T_TTAFStock'!CK10</f>
        <v/>
      </c>
      <c r="CN767">
        <f>'T_TTAFStock'!CL10</f>
        <v/>
      </c>
      <c r="CO767">
        <f>'T_TTAFStock'!CM10</f>
        <v/>
      </c>
      <c r="CP767">
        <f>'T_TTAFStock'!CN10</f>
        <v/>
      </c>
      <c r="CQ767">
        <f>'T_TTAFStock'!CO10</f>
        <v/>
      </c>
      <c r="CR767">
        <f>'T_TTAFStock'!CP10</f>
        <v/>
      </c>
      <c r="CS767">
        <f>'T_TTAFStock'!CQ10</f>
        <v/>
      </c>
      <c r="CT767">
        <f>'T_TTAFStock'!CR10</f>
        <v/>
      </c>
      <c r="CU767">
        <f>'T_TTAFStock'!CS10</f>
        <v/>
      </c>
      <c r="CV767">
        <f>'T_TTAFStock'!CT10</f>
        <v/>
      </c>
      <c r="CW767">
        <f>'T_TTAFStock'!CU10</f>
        <v/>
      </c>
      <c r="CX767">
        <f>'T_TTAFStock'!CV10</f>
        <v/>
      </c>
      <c r="CY767">
        <f>'T_TTAFStock'!CW10</f>
        <v/>
      </c>
      <c r="CZ767">
        <f>'T_TTAFStock'!CX10</f>
        <v/>
      </c>
      <c r="DA767">
        <f>'T_TTAFStock'!CY10</f>
        <v/>
      </c>
      <c r="DB767">
        <f>'T_TTAFStock'!CZ10</f>
        <v/>
      </c>
      <c r="DC767">
        <f>'T_TTAFStock'!DA10</f>
        <v/>
      </c>
    </row>
    <row r="768">
      <c r="B768" t="inlineStr">
        <is>
          <t>自社在庫(実績,kg)</t>
        </is>
      </c>
      <c r="D768">
        <f>'T_SelfStock'!B10</f>
        <v/>
      </c>
      <c r="E768">
        <f>'T_SelfStock'!C10</f>
        <v/>
      </c>
      <c r="F768">
        <f>'T_SelfStock'!D10</f>
        <v/>
      </c>
      <c r="G768">
        <f>'T_SelfStock'!E10</f>
        <v/>
      </c>
      <c r="H768">
        <f>'T_SelfStock'!F10</f>
        <v/>
      </c>
      <c r="I768">
        <f>'T_SelfStock'!G10</f>
        <v/>
      </c>
      <c r="J768">
        <f>'T_SelfStock'!H10</f>
        <v/>
      </c>
      <c r="K768">
        <f>'T_SelfStock'!I10</f>
        <v/>
      </c>
      <c r="L768">
        <f>'T_SelfStock'!J10</f>
        <v/>
      </c>
      <c r="M768">
        <f>'T_SelfStock'!K10</f>
        <v/>
      </c>
      <c r="N768">
        <f>'T_SelfStock'!L10</f>
        <v/>
      </c>
      <c r="O768">
        <f>'T_SelfStock'!M10</f>
        <v/>
      </c>
      <c r="P768">
        <f>'T_SelfStock'!N10</f>
        <v/>
      </c>
      <c r="Q768">
        <f>'T_SelfStock'!O10</f>
        <v/>
      </c>
      <c r="R768">
        <f>'T_SelfStock'!P10</f>
        <v/>
      </c>
      <c r="S768">
        <f>'T_SelfStock'!Q10</f>
        <v/>
      </c>
      <c r="T768">
        <f>'T_SelfStock'!R10</f>
        <v/>
      </c>
      <c r="U768">
        <f>'T_SelfStock'!S10</f>
        <v/>
      </c>
      <c r="V768">
        <f>'T_SelfStock'!T10</f>
        <v/>
      </c>
      <c r="W768">
        <f>'T_SelfStock'!U10</f>
        <v/>
      </c>
      <c r="X768">
        <f>'T_SelfStock'!V10</f>
        <v/>
      </c>
      <c r="Y768">
        <f>'T_SelfStock'!W10</f>
        <v/>
      </c>
      <c r="Z768">
        <f>'T_SelfStock'!X10</f>
        <v/>
      </c>
      <c r="AA768">
        <f>'T_SelfStock'!Y10</f>
        <v/>
      </c>
      <c r="AB768">
        <f>'T_SelfStock'!Z10</f>
        <v/>
      </c>
      <c r="AC768">
        <f>'T_SelfStock'!AA10</f>
        <v/>
      </c>
      <c r="AD768">
        <f>'T_SelfStock'!AB10</f>
        <v/>
      </c>
      <c r="AE768">
        <f>'T_SelfStock'!AC10</f>
        <v/>
      </c>
      <c r="AF768">
        <f>'T_SelfStock'!AD10</f>
        <v/>
      </c>
      <c r="AG768">
        <f>'T_SelfStock'!AE10</f>
        <v/>
      </c>
      <c r="AH768">
        <f>'T_SelfStock'!AF10</f>
        <v/>
      </c>
      <c r="AI768">
        <f>'T_SelfStock'!AG10</f>
        <v/>
      </c>
      <c r="AJ768">
        <f>'T_SelfStock'!AH10</f>
        <v/>
      </c>
      <c r="AK768">
        <f>'T_SelfStock'!AI10</f>
        <v/>
      </c>
      <c r="AL768">
        <f>'T_SelfStock'!AJ10</f>
        <v/>
      </c>
      <c r="AM768">
        <f>'T_SelfStock'!AK10</f>
        <v/>
      </c>
      <c r="AN768">
        <f>'T_SelfStock'!AL10</f>
        <v/>
      </c>
      <c r="AO768">
        <f>'T_SelfStock'!AM10</f>
        <v/>
      </c>
      <c r="AP768">
        <f>'T_SelfStock'!AN10</f>
        <v/>
      </c>
      <c r="AQ768">
        <f>'T_SelfStock'!AO10</f>
        <v/>
      </c>
      <c r="AR768">
        <f>'T_SelfStock'!AP10</f>
        <v/>
      </c>
      <c r="AS768">
        <f>'T_SelfStock'!AQ10</f>
        <v/>
      </c>
      <c r="AT768">
        <f>'T_SelfStock'!AR10</f>
        <v/>
      </c>
      <c r="AU768">
        <f>'T_SelfStock'!AS10</f>
        <v/>
      </c>
      <c r="AV768">
        <f>'T_SelfStock'!AT10</f>
        <v/>
      </c>
      <c r="AW768">
        <f>'T_SelfStock'!AU10</f>
        <v/>
      </c>
      <c r="AX768">
        <f>'T_SelfStock'!AV10</f>
        <v/>
      </c>
      <c r="AY768">
        <f>'T_SelfStock'!AW10</f>
        <v/>
      </c>
      <c r="AZ768">
        <f>'T_SelfStock'!AX10</f>
        <v/>
      </c>
      <c r="BA768">
        <f>'T_SelfStock'!AY10</f>
        <v/>
      </c>
      <c r="BB768">
        <f>'T_SelfStock'!AZ10</f>
        <v/>
      </c>
      <c r="BC768">
        <f>'T_SelfStock'!BA10</f>
        <v/>
      </c>
      <c r="BD768">
        <f>'T_SelfStock'!BB10</f>
        <v/>
      </c>
      <c r="BE768">
        <f>'T_SelfStock'!BC10</f>
        <v/>
      </c>
      <c r="BF768">
        <f>'T_SelfStock'!BD10</f>
        <v/>
      </c>
      <c r="BG768">
        <f>'T_SelfStock'!BE10</f>
        <v/>
      </c>
      <c r="BH768">
        <f>'T_SelfStock'!BF10</f>
        <v/>
      </c>
      <c r="BI768">
        <f>'T_SelfStock'!BG10</f>
        <v/>
      </c>
      <c r="BJ768">
        <f>'T_SelfStock'!BH10</f>
        <v/>
      </c>
      <c r="BK768">
        <f>'T_SelfStock'!BI10</f>
        <v/>
      </c>
      <c r="BL768">
        <f>'T_SelfStock'!BJ10</f>
        <v/>
      </c>
      <c r="BM768">
        <f>'T_SelfStock'!BK10</f>
        <v/>
      </c>
      <c r="BN768">
        <f>'T_SelfStock'!BL10</f>
        <v/>
      </c>
      <c r="BO768">
        <f>'T_SelfStock'!BM10</f>
        <v/>
      </c>
      <c r="BP768">
        <f>'T_SelfStock'!BN10</f>
        <v/>
      </c>
      <c r="BQ768">
        <f>'T_SelfStock'!BO10</f>
        <v/>
      </c>
      <c r="BR768">
        <f>'T_SelfStock'!BP10</f>
        <v/>
      </c>
      <c r="BS768">
        <f>'T_SelfStock'!BQ10</f>
        <v/>
      </c>
      <c r="BT768">
        <f>'T_SelfStock'!BR10</f>
        <v/>
      </c>
      <c r="BU768">
        <f>'T_SelfStock'!BS10</f>
        <v/>
      </c>
      <c r="BV768">
        <f>'T_SelfStock'!BT10</f>
        <v/>
      </c>
      <c r="BW768">
        <f>'T_SelfStock'!BU10</f>
        <v/>
      </c>
      <c r="BX768">
        <f>'T_SelfStock'!BV10</f>
        <v/>
      </c>
      <c r="BY768">
        <f>'T_SelfStock'!BW10</f>
        <v/>
      </c>
      <c r="BZ768">
        <f>'T_SelfStock'!BX10</f>
        <v/>
      </c>
      <c r="CA768">
        <f>'T_SelfStock'!BY10</f>
        <v/>
      </c>
      <c r="CB768">
        <f>'T_SelfStock'!BZ10</f>
        <v/>
      </c>
      <c r="CC768">
        <f>'T_SelfStock'!CA10</f>
        <v/>
      </c>
      <c r="CD768">
        <f>'T_SelfStock'!CB10</f>
        <v/>
      </c>
      <c r="CE768">
        <f>'T_SelfStock'!CC10</f>
        <v/>
      </c>
      <c r="CF768">
        <f>'T_SelfStock'!CD10</f>
        <v/>
      </c>
      <c r="CG768">
        <f>'T_SelfStock'!CE10</f>
        <v/>
      </c>
      <c r="CH768">
        <f>'T_SelfStock'!CF10</f>
        <v/>
      </c>
      <c r="CI768">
        <f>'T_SelfStock'!CG10</f>
        <v/>
      </c>
      <c r="CJ768">
        <f>'T_SelfStock'!CH10</f>
        <v/>
      </c>
      <c r="CK768">
        <f>'T_SelfStock'!CI10</f>
        <v/>
      </c>
      <c r="CL768">
        <f>'T_SelfStock'!CJ10</f>
        <v/>
      </c>
      <c r="CM768">
        <f>'T_SelfStock'!CK10</f>
        <v/>
      </c>
      <c r="CN768">
        <f>'T_SelfStock'!CL10</f>
        <v/>
      </c>
      <c r="CO768">
        <f>'T_SelfStock'!CM10</f>
        <v/>
      </c>
      <c r="CP768">
        <f>'T_SelfStock'!CN10</f>
        <v/>
      </c>
      <c r="CQ768">
        <f>'T_SelfStock'!CO10</f>
        <v/>
      </c>
      <c r="CR768">
        <f>'T_SelfStock'!CP10</f>
        <v/>
      </c>
      <c r="CS768">
        <f>'T_SelfStock'!CQ10</f>
        <v/>
      </c>
      <c r="CT768">
        <f>'T_SelfStock'!CR10</f>
        <v/>
      </c>
      <c r="CU768">
        <f>'T_SelfStock'!CS10</f>
        <v/>
      </c>
      <c r="CV768">
        <f>'T_SelfStock'!CT10</f>
        <v/>
      </c>
      <c r="CW768">
        <f>'T_SelfStock'!CU10</f>
        <v/>
      </c>
      <c r="CX768">
        <f>'T_SelfStock'!CV10</f>
        <v/>
      </c>
      <c r="CY768">
        <f>'T_SelfStock'!CW10</f>
        <v/>
      </c>
      <c r="CZ768">
        <f>'T_SelfStock'!CX10</f>
        <v/>
      </c>
      <c r="DA768">
        <f>'T_SelfStock'!CY10</f>
        <v/>
      </c>
      <c r="DB768">
        <f>'T_SelfStock'!CZ10</f>
        <v/>
      </c>
      <c r="DC768">
        <f>'T_SelfStock'!DA10</f>
        <v/>
      </c>
    </row>
    <row r="769">
      <c r="B769" t="inlineStr">
        <is>
          <t>Order(発注予定,kg)</t>
        </is>
      </c>
      <c r="D769">
        <f>IF(SUMIFS(T_PlannedOrders[EffectiveQty],T_PlannedOrders[Part Name],$A723,T_PlannedOrders[WeekIndex],1)=0,"",SUMIFS(T_PlannedOrders[EffectiveQty],T_PlannedOrders[Part Name],$A723,T_PlannedOrders[WeekIndex],1)&amp;" ("&amp;TEXT(SUMPRODUCT(MAX((T_PlannedOrders[Part Name]=$A723)*(T_PlannedOrders[WeekIndex]=1)*(T_PlannedOrders[EffectiveQty]&gt;0)*T_PlannedOrders[Order_Month])),"m月")&amp;"発注)")</f>
        <v/>
      </c>
      <c r="E769">
        <f>IF(SUMIFS(T_PlannedOrders[EffectiveQty],T_PlannedOrders[Part Name],$A723,T_PlannedOrders[WeekIndex],2)=0,"",SUMIFS(T_PlannedOrders[EffectiveQty],T_PlannedOrders[Part Name],$A723,T_PlannedOrders[WeekIndex],2)&amp;" ("&amp;TEXT(SUMPRODUCT(MAX((T_PlannedOrders[Part Name]=$A723)*(T_PlannedOrders[WeekIndex]=2)*(T_PlannedOrders[EffectiveQty]&gt;0)*T_PlannedOrders[Order_Month])),"m月")&amp;"発注)")</f>
        <v/>
      </c>
      <c r="F769">
        <f>IF(SUMIFS(T_PlannedOrders[EffectiveQty],T_PlannedOrders[Part Name],$A723,T_PlannedOrders[WeekIndex],3)=0,"",SUMIFS(T_PlannedOrders[EffectiveQty],T_PlannedOrders[Part Name],$A723,T_PlannedOrders[WeekIndex],3)&amp;" ("&amp;TEXT(SUMPRODUCT(MAX((T_PlannedOrders[Part Name]=$A723)*(T_PlannedOrders[WeekIndex]=3)*(T_PlannedOrders[EffectiveQty]&gt;0)*T_PlannedOrders[Order_Month])),"m月")&amp;"発注)")</f>
        <v/>
      </c>
      <c r="G769">
        <f>IF(SUMIFS(T_PlannedOrders[EffectiveQty],T_PlannedOrders[Part Name],$A723,T_PlannedOrders[WeekIndex],4)=0,"",SUMIFS(T_PlannedOrders[EffectiveQty],T_PlannedOrders[Part Name],$A723,T_PlannedOrders[WeekIndex],4)&amp;" ("&amp;TEXT(SUMPRODUCT(MAX((T_PlannedOrders[Part Name]=$A723)*(T_PlannedOrders[WeekIndex]=4)*(T_PlannedOrders[EffectiveQty]&gt;0)*T_PlannedOrders[Order_Month])),"m月")&amp;"発注)")</f>
        <v/>
      </c>
      <c r="H769">
        <f>IF(SUMIFS(T_PlannedOrders[EffectiveQty],T_PlannedOrders[Part Name],$A723,T_PlannedOrders[WeekIndex],5)=0,"",SUMIFS(T_PlannedOrders[EffectiveQty],T_PlannedOrders[Part Name],$A723,T_PlannedOrders[WeekIndex],5)&amp;" ("&amp;TEXT(SUMPRODUCT(MAX((T_PlannedOrders[Part Name]=$A723)*(T_PlannedOrders[WeekIndex]=5)*(T_PlannedOrders[EffectiveQty]&gt;0)*T_PlannedOrders[Order_Month])),"m月")&amp;"発注)")</f>
        <v/>
      </c>
      <c r="I769">
        <f>IF(SUMIFS(T_PlannedOrders[EffectiveQty],T_PlannedOrders[Part Name],$A723,T_PlannedOrders[WeekIndex],6)=0,"",SUMIFS(T_PlannedOrders[EffectiveQty],T_PlannedOrders[Part Name],$A723,T_PlannedOrders[WeekIndex],6)&amp;" ("&amp;TEXT(SUMPRODUCT(MAX((T_PlannedOrders[Part Name]=$A723)*(T_PlannedOrders[WeekIndex]=6)*(T_PlannedOrders[EffectiveQty]&gt;0)*T_PlannedOrders[Order_Month])),"m月")&amp;"発注)")</f>
        <v/>
      </c>
      <c r="J769">
        <f>IF(SUMIFS(T_PlannedOrders[EffectiveQty],T_PlannedOrders[Part Name],$A723,T_PlannedOrders[WeekIndex],7)=0,"",SUMIFS(T_PlannedOrders[EffectiveQty],T_PlannedOrders[Part Name],$A723,T_PlannedOrders[WeekIndex],7)&amp;" ("&amp;TEXT(SUMPRODUCT(MAX((T_PlannedOrders[Part Name]=$A723)*(T_PlannedOrders[WeekIndex]=7)*(T_PlannedOrders[EffectiveQty]&gt;0)*T_PlannedOrders[Order_Month])),"m月")&amp;"発注)")</f>
        <v/>
      </c>
      <c r="K769">
        <f>IF(SUMIFS(T_PlannedOrders[EffectiveQty],T_PlannedOrders[Part Name],$A723,T_PlannedOrders[WeekIndex],8)=0,"",SUMIFS(T_PlannedOrders[EffectiveQty],T_PlannedOrders[Part Name],$A723,T_PlannedOrders[WeekIndex],8)&amp;" ("&amp;TEXT(SUMPRODUCT(MAX((T_PlannedOrders[Part Name]=$A723)*(T_PlannedOrders[WeekIndex]=8)*(T_PlannedOrders[EffectiveQty]&gt;0)*T_PlannedOrders[Order_Month])),"m月")&amp;"発注)")</f>
        <v/>
      </c>
      <c r="L769">
        <f>IF(SUMIFS(T_PlannedOrders[EffectiveQty],T_PlannedOrders[Part Name],$A723,T_PlannedOrders[WeekIndex],9)=0,"",SUMIFS(T_PlannedOrders[EffectiveQty],T_PlannedOrders[Part Name],$A723,T_PlannedOrders[WeekIndex],9)&amp;" ("&amp;TEXT(SUMPRODUCT(MAX((T_PlannedOrders[Part Name]=$A723)*(T_PlannedOrders[WeekIndex]=9)*(T_PlannedOrders[EffectiveQty]&gt;0)*T_PlannedOrders[Order_Month])),"m月")&amp;"発注)")</f>
        <v/>
      </c>
      <c r="M769">
        <f>IF(SUMIFS(T_PlannedOrders[EffectiveQty],T_PlannedOrders[Part Name],$A723,T_PlannedOrders[WeekIndex],10)=0,"",SUMIFS(T_PlannedOrders[EffectiveQty],T_PlannedOrders[Part Name],$A723,T_PlannedOrders[WeekIndex],10)&amp;" ("&amp;TEXT(SUMPRODUCT(MAX((T_PlannedOrders[Part Name]=$A723)*(T_PlannedOrders[WeekIndex]=10)*(T_PlannedOrders[EffectiveQty]&gt;0)*T_PlannedOrders[Order_Month])),"m月")&amp;"発注)")</f>
        <v/>
      </c>
      <c r="N769">
        <f>IF(SUMIFS(T_PlannedOrders[EffectiveQty],T_PlannedOrders[Part Name],$A723,T_PlannedOrders[WeekIndex],11)=0,"",SUMIFS(T_PlannedOrders[EffectiveQty],T_PlannedOrders[Part Name],$A723,T_PlannedOrders[WeekIndex],11)&amp;" ("&amp;TEXT(SUMPRODUCT(MAX((T_PlannedOrders[Part Name]=$A723)*(T_PlannedOrders[WeekIndex]=11)*(T_PlannedOrders[EffectiveQty]&gt;0)*T_PlannedOrders[Order_Month])),"m月")&amp;"発注)")</f>
        <v/>
      </c>
      <c r="O769">
        <f>IF(SUMIFS(T_PlannedOrders[EffectiveQty],T_PlannedOrders[Part Name],$A723,T_PlannedOrders[WeekIndex],12)=0,"",SUMIFS(T_PlannedOrders[EffectiveQty],T_PlannedOrders[Part Name],$A723,T_PlannedOrders[WeekIndex],12)&amp;" ("&amp;TEXT(SUMPRODUCT(MAX((T_PlannedOrders[Part Name]=$A723)*(T_PlannedOrders[WeekIndex]=12)*(T_PlannedOrders[EffectiveQty]&gt;0)*T_PlannedOrders[Order_Month])),"m月")&amp;"発注)")</f>
        <v/>
      </c>
      <c r="P769">
        <f>IF(SUMIFS(T_PlannedOrders[EffectiveQty],T_PlannedOrders[Part Name],$A723,T_PlannedOrders[WeekIndex],13)=0,"",SUMIFS(T_PlannedOrders[EffectiveQty],T_PlannedOrders[Part Name],$A723,T_PlannedOrders[WeekIndex],13)&amp;" ("&amp;TEXT(SUMPRODUCT(MAX((T_PlannedOrders[Part Name]=$A723)*(T_PlannedOrders[WeekIndex]=13)*(T_PlannedOrders[EffectiveQty]&gt;0)*T_PlannedOrders[Order_Month])),"m月")&amp;"発注)")</f>
        <v/>
      </c>
      <c r="Q769">
        <f>IF(SUMIFS(T_PlannedOrders[EffectiveQty],T_PlannedOrders[Part Name],$A723,T_PlannedOrders[WeekIndex],14)=0,"",SUMIFS(T_PlannedOrders[EffectiveQty],T_PlannedOrders[Part Name],$A723,T_PlannedOrders[WeekIndex],14)&amp;" ("&amp;TEXT(SUMPRODUCT(MAX((T_PlannedOrders[Part Name]=$A723)*(T_PlannedOrders[WeekIndex]=14)*(T_PlannedOrders[EffectiveQty]&gt;0)*T_PlannedOrders[Order_Month])),"m月")&amp;"発注)")</f>
        <v/>
      </c>
      <c r="R769">
        <f>IF(SUMIFS(T_PlannedOrders[EffectiveQty],T_PlannedOrders[Part Name],$A723,T_PlannedOrders[WeekIndex],15)=0,"",SUMIFS(T_PlannedOrders[EffectiveQty],T_PlannedOrders[Part Name],$A723,T_PlannedOrders[WeekIndex],15)&amp;" ("&amp;TEXT(SUMPRODUCT(MAX((T_PlannedOrders[Part Name]=$A723)*(T_PlannedOrders[WeekIndex]=15)*(T_PlannedOrders[EffectiveQty]&gt;0)*T_PlannedOrders[Order_Month])),"m月")&amp;"発注)")</f>
        <v/>
      </c>
      <c r="S769">
        <f>IF(SUMIFS(T_PlannedOrders[EffectiveQty],T_PlannedOrders[Part Name],$A723,T_PlannedOrders[WeekIndex],16)=0,"",SUMIFS(T_PlannedOrders[EffectiveQty],T_PlannedOrders[Part Name],$A723,T_PlannedOrders[WeekIndex],16)&amp;" ("&amp;TEXT(SUMPRODUCT(MAX((T_PlannedOrders[Part Name]=$A723)*(T_PlannedOrders[WeekIndex]=16)*(T_PlannedOrders[EffectiveQty]&gt;0)*T_PlannedOrders[Order_Month])),"m月")&amp;"発注)")</f>
        <v/>
      </c>
      <c r="T769">
        <f>IF(SUMIFS(T_PlannedOrders[EffectiveQty],T_PlannedOrders[Part Name],$A723,T_PlannedOrders[WeekIndex],17)=0,"",SUMIFS(T_PlannedOrders[EffectiveQty],T_PlannedOrders[Part Name],$A723,T_PlannedOrders[WeekIndex],17)&amp;" ("&amp;TEXT(SUMPRODUCT(MAX((T_PlannedOrders[Part Name]=$A723)*(T_PlannedOrders[WeekIndex]=17)*(T_PlannedOrders[EffectiveQty]&gt;0)*T_PlannedOrders[Order_Month])),"m月")&amp;"発注)")</f>
        <v/>
      </c>
      <c r="U769">
        <f>IF(SUMIFS(T_PlannedOrders[EffectiveQty],T_PlannedOrders[Part Name],$A723,T_PlannedOrders[WeekIndex],18)=0,"",SUMIFS(T_PlannedOrders[EffectiveQty],T_PlannedOrders[Part Name],$A723,T_PlannedOrders[WeekIndex],18)&amp;" ("&amp;TEXT(SUMPRODUCT(MAX((T_PlannedOrders[Part Name]=$A723)*(T_PlannedOrders[WeekIndex]=18)*(T_PlannedOrders[EffectiveQty]&gt;0)*T_PlannedOrders[Order_Month])),"m月")&amp;"発注)")</f>
        <v/>
      </c>
      <c r="V769">
        <f>IF(SUMIFS(T_PlannedOrders[EffectiveQty],T_PlannedOrders[Part Name],$A723,T_PlannedOrders[WeekIndex],19)=0,"",SUMIFS(T_PlannedOrders[EffectiveQty],T_PlannedOrders[Part Name],$A723,T_PlannedOrders[WeekIndex],19)&amp;" ("&amp;TEXT(SUMPRODUCT(MAX((T_PlannedOrders[Part Name]=$A723)*(T_PlannedOrders[WeekIndex]=19)*(T_PlannedOrders[EffectiveQty]&gt;0)*T_PlannedOrders[Order_Month])),"m月")&amp;"発注)")</f>
        <v/>
      </c>
      <c r="W769">
        <f>IF(SUMIFS(T_PlannedOrders[EffectiveQty],T_PlannedOrders[Part Name],$A723,T_PlannedOrders[WeekIndex],20)=0,"",SUMIFS(T_PlannedOrders[EffectiveQty],T_PlannedOrders[Part Name],$A723,T_PlannedOrders[WeekIndex],20)&amp;" ("&amp;TEXT(SUMPRODUCT(MAX((T_PlannedOrders[Part Name]=$A723)*(T_PlannedOrders[WeekIndex]=20)*(T_PlannedOrders[EffectiveQty]&gt;0)*T_PlannedOrders[Order_Month])),"m月")&amp;"発注)")</f>
        <v/>
      </c>
      <c r="X769">
        <f>IF(SUMIFS(T_PlannedOrders[EffectiveQty],T_PlannedOrders[Part Name],$A723,T_PlannedOrders[WeekIndex],21)=0,"",SUMIFS(T_PlannedOrders[EffectiveQty],T_PlannedOrders[Part Name],$A723,T_PlannedOrders[WeekIndex],21)&amp;" ("&amp;TEXT(SUMPRODUCT(MAX((T_PlannedOrders[Part Name]=$A723)*(T_PlannedOrders[WeekIndex]=21)*(T_PlannedOrders[EffectiveQty]&gt;0)*T_PlannedOrders[Order_Month])),"m月")&amp;"発注)")</f>
        <v/>
      </c>
      <c r="Y769">
        <f>IF(SUMIFS(T_PlannedOrders[EffectiveQty],T_PlannedOrders[Part Name],$A723,T_PlannedOrders[WeekIndex],22)=0,"",SUMIFS(T_PlannedOrders[EffectiveQty],T_PlannedOrders[Part Name],$A723,T_PlannedOrders[WeekIndex],22)&amp;" ("&amp;TEXT(SUMPRODUCT(MAX((T_PlannedOrders[Part Name]=$A723)*(T_PlannedOrders[WeekIndex]=22)*(T_PlannedOrders[EffectiveQty]&gt;0)*T_PlannedOrders[Order_Month])),"m月")&amp;"発注)")</f>
        <v/>
      </c>
      <c r="Z769">
        <f>IF(SUMIFS(T_PlannedOrders[EffectiveQty],T_PlannedOrders[Part Name],$A723,T_PlannedOrders[WeekIndex],23)=0,"",SUMIFS(T_PlannedOrders[EffectiveQty],T_PlannedOrders[Part Name],$A723,T_PlannedOrders[WeekIndex],23)&amp;" ("&amp;TEXT(SUMPRODUCT(MAX((T_PlannedOrders[Part Name]=$A723)*(T_PlannedOrders[WeekIndex]=23)*(T_PlannedOrders[EffectiveQty]&gt;0)*T_PlannedOrders[Order_Month])),"m月")&amp;"発注)")</f>
        <v/>
      </c>
      <c r="AA769">
        <f>IF(SUMIFS(T_PlannedOrders[EffectiveQty],T_PlannedOrders[Part Name],$A723,T_PlannedOrders[WeekIndex],24)=0,"",SUMIFS(T_PlannedOrders[EffectiveQty],T_PlannedOrders[Part Name],$A723,T_PlannedOrders[WeekIndex],24)&amp;" ("&amp;TEXT(SUMPRODUCT(MAX((T_PlannedOrders[Part Name]=$A723)*(T_PlannedOrders[WeekIndex]=24)*(T_PlannedOrders[EffectiveQty]&gt;0)*T_PlannedOrders[Order_Month])),"m月")&amp;"発注)")</f>
        <v/>
      </c>
      <c r="AB769">
        <f>IF(SUMIFS(T_PlannedOrders[EffectiveQty],T_PlannedOrders[Part Name],$A723,T_PlannedOrders[WeekIndex],25)=0,"",SUMIFS(T_PlannedOrders[EffectiveQty],T_PlannedOrders[Part Name],$A723,T_PlannedOrders[WeekIndex],25)&amp;" ("&amp;TEXT(SUMPRODUCT(MAX((T_PlannedOrders[Part Name]=$A723)*(T_PlannedOrders[WeekIndex]=25)*(T_PlannedOrders[EffectiveQty]&gt;0)*T_PlannedOrders[Order_Month])),"m月")&amp;"発注)")</f>
        <v/>
      </c>
      <c r="AC769">
        <f>IF(SUMIFS(T_PlannedOrders[EffectiveQty],T_PlannedOrders[Part Name],$A723,T_PlannedOrders[WeekIndex],26)=0,"",SUMIFS(T_PlannedOrders[EffectiveQty],T_PlannedOrders[Part Name],$A723,T_PlannedOrders[WeekIndex],26)&amp;" ("&amp;TEXT(SUMPRODUCT(MAX((T_PlannedOrders[Part Name]=$A723)*(T_PlannedOrders[WeekIndex]=26)*(T_PlannedOrders[EffectiveQty]&gt;0)*T_PlannedOrders[Order_Month])),"m月")&amp;"発注)")</f>
        <v/>
      </c>
      <c r="AD769">
        <f>IF(SUMIFS(T_PlannedOrders[EffectiveQty],T_PlannedOrders[Part Name],$A723,T_PlannedOrders[WeekIndex],27)=0,"",SUMIFS(T_PlannedOrders[EffectiveQty],T_PlannedOrders[Part Name],$A723,T_PlannedOrders[WeekIndex],27)&amp;" ("&amp;TEXT(SUMPRODUCT(MAX((T_PlannedOrders[Part Name]=$A723)*(T_PlannedOrders[WeekIndex]=27)*(T_PlannedOrders[EffectiveQty]&gt;0)*T_PlannedOrders[Order_Month])),"m月")&amp;"発注)")</f>
        <v/>
      </c>
      <c r="AE769">
        <f>IF(SUMIFS(T_PlannedOrders[EffectiveQty],T_PlannedOrders[Part Name],$A723,T_PlannedOrders[WeekIndex],28)=0,"",SUMIFS(T_PlannedOrders[EffectiveQty],T_PlannedOrders[Part Name],$A723,T_PlannedOrders[WeekIndex],28)&amp;" ("&amp;TEXT(SUMPRODUCT(MAX((T_PlannedOrders[Part Name]=$A723)*(T_PlannedOrders[WeekIndex]=28)*(T_PlannedOrders[EffectiveQty]&gt;0)*T_PlannedOrders[Order_Month])),"m月")&amp;"発注)")</f>
        <v/>
      </c>
      <c r="AF769">
        <f>IF(SUMIFS(T_PlannedOrders[EffectiveQty],T_PlannedOrders[Part Name],$A723,T_PlannedOrders[WeekIndex],29)=0,"",SUMIFS(T_PlannedOrders[EffectiveQty],T_PlannedOrders[Part Name],$A723,T_PlannedOrders[WeekIndex],29)&amp;" ("&amp;TEXT(SUMPRODUCT(MAX((T_PlannedOrders[Part Name]=$A723)*(T_PlannedOrders[WeekIndex]=29)*(T_PlannedOrders[EffectiveQty]&gt;0)*T_PlannedOrders[Order_Month])),"m月")&amp;"発注)")</f>
        <v/>
      </c>
      <c r="AG769">
        <f>IF(SUMIFS(T_PlannedOrders[EffectiveQty],T_PlannedOrders[Part Name],$A723,T_PlannedOrders[WeekIndex],30)=0,"",SUMIFS(T_PlannedOrders[EffectiveQty],T_PlannedOrders[Part Name],$A723,T_PlannedOrders[WeekIndex],30)&amp;" ("&amp;TEXT(SUMPRODUCT(MAX((T_PlannedOrders[Part Name]=$A723)*(T_PlannedOrders[WeekIndex]=30)*(T_PlannedOrders[EffectiveQty]&gt;0)*T_PlannedOrders[Order_Month])),"m月")&amp;"発注)")</f>
        <v/>
      </c>
      <c r="AH769">
        <f>IF(SUMIFS(T_PlannedOrders[EffectiveQty],T_PlannedOrders[Part Name],$A723,T_PlannedOrders[WeekIndex],31)=0,"",SUMIFS(T_PlannedOrders[EffectiveQty],T_PlannedOrders[Part Name],$A723,T_PlannedOrders[WeekIndex],31)&amp;" ("&amp;TEXT(SUMPRODUCT(MAX((T_PlannedOrders[Part Name]=$A723)*(T_PlannedOrders[WeekIndex]=31)*(T_PlannedOrders[EffectiveQty]&gt;0)*T_PlannedOrders[Order_Month])),"m月")&amp;"発注)")</f>
        <v/>
      </c>
      <c r="AI769">
        <f>IF(SUMIFS(T_PlannedOrders[EffectiveQty],T_PlannedOrders[Part Name],$A723,T_PlannedOrders[WeekIndex],32)=0,"",SUMIFS(T_PlannedOrders[EffectiveQty],T_PlannedOrders[Part Name],$A723,T_PlannedOrders[WeekIndex],32)&amp;" ("&amp;TEXT(SUMPRODUCT(MAX((T_PlannedOrders[Part Name]=$A723)*(T_PlannedOrders[WeekIndex]=32)*(T_PlannedOrders[EffectiveQty]&gt;0)*T_PlannedOrders[Order_Month])),"m月")&amp;"発注)")</f>
        <v/>
      </c>
      <c r="AJ769">
        <f>IF(SUMIFS(T_PlannedOrders[EffectiveQty],T_PlannedOrders[Part Name],$A723,T_PlannedOrders[WeekIndex],33)=0,"",SUMIFS(T_PlannedOrders[EffectiveQty],T_PlannedOrders[Part Name],$A723,T_PlannedOrders[WeekIndex],33)&amp;" ("&amp;TEXT(SUMPRODUCT(MAX((T_PlannedOrders[Part Name]=$A723)*(T_PlannedOrders[WeekIndex]=33)*(T_PlannedOrders[EffectiveQty]&gt;0)*T_PlannedOrders[Order_Month])),"m月")&amp;"発注)")</f>
        <v/>
      </c>
      <c r="AK769">
        <f>IF(SUMIFS(T_PlannedOrders[EffectiveQty],T_PlannedOrders[Part Name],$A723,T_PlannedOrders[WeekIndex],34)=0,"",SUMIFS(T_PlannedOrders[EffectiveQty],T_PlannedOrders[Part Name],$A723,T_PlannedOrders[WeekIndex],34)&amp;" ("&amp;TEXT(SUMPRODUCT(MAX((T_PlannedOrders[Part Name]=$A723)*(T_PlannedOrders[WeekIndex]=34)*(T_PlannedOrders[EffectiveQty]&gt;0)*T_PlannedOrders[Order_Month])),"m月")&amp;"発注)")</f>
        <v/>
      </c>
      <c r="AL769">
        <f>IF(SUMIFS(T_PlannedOrders[EffectiveQty],T_PlannedOrders[Part Name],$A723,T_PlannedOrders[WeekIndex],35)=0,"",SUMIFS(T_PlannedOrders[EffectiveQty],T_PlannedOrders[Part Name],$A723,T_PlannedOrders[WeekIndex],35)&amp;" ("&amp;TEXT(SUMPRODUCT(MAX((T_PlannedOrders[Part Name]=$A723)*(T_PlannedOrders[WeekIndex]=35)*(T_PlannedOrders[EffectiveQty]&gt;0)*T_PlannedOrders[Order_Month])),"m月")&amp;"発注)")</f>
        <v/>
      </c>
      <c r="AM769">
        <f>IF(SUMIFS(T_PlannedOrders[EffectiveQty],T_PlannedOrders[Part Name],$A723,T_PlannedOrders[WeekIndex],36)=0,"",SUMIFS(T_PlannedOrders[EffectiveQty],T_PlannedOrders[Part Name],$A723,T_PlannedOrders[WeekIndex],36)&amp;" ("&amp;TEXT(SUMPRODUCT(MAX((T_PlannedOrders[Part Name]=$A723)*(T_PlannedOrders[WeekIndex]=36)*(T_PlannedOrders[EffectiveQty]&gt;0)*T_PlannedOrders[Order_Month])),"m月")&amp;"発注)")</f>
        <v/>
      </c>
      <c r="AN769">
        <f>IF(SUMIFS(T_PlannedOrders[EffectiveQty],T_PlannedOrders[Part Name],$A723,T_PlannedOrders[WeekIndex],37)=0,"",SUMIFS(T_PlannedOrders[EffectiveQty],T_PlannedOrders[Part Name],$A723,T_PlannedOrders[WeekIndex],37)&amp;" ("&amp;TEXT(SUMPRODUCT(MAX((T_PlannedOrders[Part Name]=$A723)*(T_PlannedOrders[WeekIndex]=37)*(T_PlannedOrders[EffectiveQty]&gt;0)*T_PlannedOrders[Order_Month])),"m月")&amp;"発注)")</f>
        <v/>
      </c>
      <c r="AO769">
        <f>IF(SUMIFS(T_PlannedOrders[EffectiveQty],T_PlannedOrders[Part Name],$A723,T_PlannedOrders[WeekIndex],38)=0,"",SUMIFS(T_PlannedOrders[EffectiveQty],T_PlannedOrders[Part Name],$A723,T_PlannedOrders[WeekIndex],38)&amp;" ("&amp;TEXT(SUMPRODUCT(MAX((T_PlannedOrders[Part Name]=$A723)*(T_PlannedOrders[WeekIndex]=38)*(T_PlannedOrders[EffectiveQty]&gt;0)*T_PlannedOrders[Order_Month])),"m月")&amp;"発注)")</f>
        <v/>
      </c>
      <c r="AP769">
        <f>IF(SUMIFS(T_PlannedOrders[EffectiveQty],T_PlannedOrders[Part Name],$A723,T_PlannedOrders[WeekIndex],39)=0,"",SUMIFS(T_PlannedOrders[EffectiveQty],T_PlannedOrders[Part Name],$A723,T_PlannedOrders[WeekIndex],39)&amp;" ("&amp;TEXT(SUMPRODUCT(MAX((T_PlannedOrders[Part Name]=$A723)*(T_PlannedOrders[WeekIndex]=39)*(T_PlannedOrders[EffectiveQty]&gt;0)*T_PlannedOrders[Order_Month])),"m月")&amp;"発注)")</f>
        <v/>
      </c>
      <c r="AQ769">
        <f>IF(SUMIFS(T_PlannedOrders[EffectiveQty],T_PlannedOrders[Part Name],$A723,T_PlannedOrders[WeekIndex],40)=0,"",SUMIFS(T_PlannedOrders[EffectiveQty],T_PlannedOrders[Part Name],$A723,T_PlannedOrders[WeekIndex],40)&amp;" ("&amp;TEXT(SUMPRODUCT(MAX((T_PlannedOrders[Part Name]=$A723)*(T_PlannedOrders[WeekIndex]=40)*(T_PlannedOrders[EffectiveQty]&gt;0)*T_PlannedOrders[Order_Month])),"m月")&amp;"発注)")</f>
        <v/>
      </c>
      <c r="AR769">
        <f>IF(SUMIFS(T_PlannedOrders[EffectiveQty],T_PlannedOrders[Part Name],$A723,T_PlannedOrders[WeekIndex],41)=0,"",SUMIFS(T_PlannedOrders[EffectiveQty],T_PlannedOrders[Part Name],$A723,T_PlannedOrders[WeekIndex],41)&amp;" ("&amp;TEXT(SUMPRODUCT(MAX((T_PlannedOrders[Part Name]=$A723)*(T_PlannedOrders[WeekIndex]=41)*(T_PlannedOrders[EffectiveQty]&gt;0)*T_PlannedOrders[Order_Month])),"m月")&amp;"発注)")</f>
        <v/>
      </c>
      <c r="AS769">
        <f>IF(SUMIFS(T_PlannedOrders[EffectiveQty],T_PlannedOrders[Part Name],$A723,T_PlannedOrders[WeekIndex],42)=0,"",SUMIFS(T_PlannedOrders[EffectiveQty],T_PlannedOrders[Part Name],$A723,T_PlannedOrders[WeekIndex],42)&amp;" ("&amp;TEXT(SUMPRODUCT(MAX((T_PlannedOrders[Part Name]=$A723)*(T_PlannedOrders[WeekIndex]=42)*(T_PlannedOrders[EffectiveQty]&gt;0)*T_PlannedOrders[Order_Month])),"m月")&amp;"発注)")</f>
        <v/>
      </c>
      <c r="AT769">
        <f>IF(SUMIFS(T_PlannedOrders[EffectiveQty],T_PlannedOrders[Part Name],$A723,T_PlannedOrders[WeekIndex],43)=0,"",SUMIFS(T_PlannedOrders[EffectiveQty],T_PlannedOrders[Part Name],$A723,T_PlannedOrders[WeekIndex],43)&amp;" ("&amp;TEXT(SUMPRODUCT(MAX((T_PlannedOrders[Part Name]=$A723)*(T_PlannedOrders[WeekIndex]=43)*(T_PlannedOrders[EffectiveQty]&gt;0)*T_PlannedOrders[Order_Month])),"m月")&amp;"発注)")</f>
        <v/>
      </c>
      <c r="AU769">
        <f>IF(SUMIFS(T_PlannedOrders[EffectiveQty],T_PlannedOrders[Part Name],$A723,T_PlannedOrders[WeekIndex],44)=0,"",SUMIFS(T_PlannedOrders[EffectiveQty],T_PlannedOrders[Part Name],$A723,T_PlannedOrders[WeekIndex],44)&amp;" ("&amp;TEXT(SUMPRODUCT(MAX((T_PlannedOrders[Part Name]=$A723)*(T_PlannedOrders[WeekIndex]=44)*(T_PlannedOrders[EffectiveQty]&gt;0)*T_PlannedOrders[Order_Month])),"m月")&amp;"発注)")</f>
        <v/>
      </c>
      <c r="AV769">
        <f>IF(SUMIFS(T_PlannedOrders[EffectiveQty],T_PlannedOrders[Part Name],$A723,T_PlannedOrders[WeekIndex],45)=0,"",SUMIFS(T_PlannedOrders[EffectiveQty],T_PlannedOrders[Part Name],$A723,T_PlannedOrders[WeekIndex],45)&amp;" ("&amp;TEXT(SUMPRODUCT(MAX((T_PlannedOrders[Part Name]=$A723)*(T_PlannedOrders[WeekIndex]=45)*(T_PlannedOrders[EffectiveQty]&gt;0)*T_PlannedOrders[Order_Month])),"m月")&amp;"発注)")</f>
        <v/>
      </c>
      <c r="AW769">
        <f>IF(SUMIFS(T_PlannedOrders[EffectiveQty],T_PlannedOrders[Part Name],$A723,T_PlannedOrders[WeekIndex],46)=0,"",SUMIFS(T_PlannedOrders[EffectiveQty],T_PlannedOrders[Part Name],$A723,T_PlannedOrders[WeekIndex],46)&amp;" ("&amp;TEXT(SUMPRODUCT(MAX((T_PlannedOrders[Part Name]=$A723)*(T_PlannedOrders[WeekIndex]=46)*(T_PlannedOrders[EffectiveQty]&gt;0)*T_PlannedOrders[Order_Month])),"m月")&amp;"発注)")</f>
        <v/>
      </c>
      <c r="AX769">
        <f>IF(SUMIFS(T_PlannedOrders[EffectiveQty],T_PlannedOrders[Part Name],$A723,T_PlannedOrders[WeekIndex],47)=0,"",SUMIFS(T_PlannedOrders[EffectiveQty],T_PlannedOrders[Part Name],$A723,T_PlannedOrders[WeekIndex],47)&amp;" ("&amp;TEXT(SUMPRODUCT(MAX((T_PlannedOrders[Part Name]=$A723)*(T_PlannedOrders[WeekIndex]=47)*(T_PlannedOrders[EffectiveQty]&gt;0)*T_PlannedOrders[Order_Month])),"m月")&amp;"発注)")</f>
        <v/>
      </c>
      <c r="AY769">
        <f>IF(SUMIFS(T_PlannedOrders[EffectiveQty],T_PlannedOrders[Part Name],$A723,T_PlannedOrders[WeekIndex],48)=0,"",SUMIFS(T_PlannedOrders[EffectiveQty],T_PlannedOrders[Part Name],$A723,T_PlannedOrders[WeekIndex],48)&amp;" ("&amp;TEXT(SUMPRODUCT(MAX((T_PlannedOrders[Part Name]=$A723)*(T_PlannedOrders[WeekIndex]=48)*(T_PlannedOrders[EffectiveQty]&gt;0)*T_PlannedOrders[Order_Month])),"m月")&amp;"発注)")</f>
        <v/>
      </c>
      <c r="AZ769">
        <f>IF(SUMIFS(T_PlannedOrders[EffectiveQty],T_PlannedOrders[Part Name],$A723,T_PlannedOrders[WeekIndex],49)=0,"",SUMIFS(T_PlannedOrders[EffectiveQty],T_PlannedOrders[Part Name],$A723,T_PlannedOrders[WeekIndex],49)&amp;" ("&amp;TEXT(SUMPRODUCT(MAX((T_PlannedOrders[Part Name]=$A723)*(T_PlannedOrders[WeekIndex]=49)*(T_PlannedOrders[EffectiveQty]&gt;0)*T_PlannedOrders[Order_Month])),"m月")&amp;"発注)")</f>
        <v/>
      </c>
      <c r="BA769">
        <f>IF(SUMIFS(T_PlannedOrders[EffectiveQty],T_PlannedOrders[Part Name],$A723,T_PlannedOrders[WeekIndex],50)=0,"",SUMIFS(T_PlannedOrders[EffectiveQty],T_PlannedOrders[Part Name],$A723,T_PlannedOrders[WeekIndex],50)&amp;" ("&amp;TEXT(SUMPRODUCT(MAX((T_PlannedOrders[Part Name]=$A723)*(T_PlannedOrders[WeekIndex]=50)*(T_PlannedOrders[EffectiveQty]&gt;0)*T_PlannedOrders[Order_Month])),"m月")&amp;"発注)")</f>
        <v/>
      </c>
      <c r="BB769">
        <f>IF(SUMIFS(T_PlannedOrders[EffectiveQty],T_PlannedOrders[Part Name],$A723,T_PlannedOrders[WeekIndex],51)=0,"",SUMIFS(T_PlannedOrders[EffectiveQty],T_PlannedOrders[Part Name],$A723,T_PlannedOrders[WeekIndex],51)&amp;" ("&amp;TEXT(SUMPRODUCT(MAX((T_PlannedOrders[Part Name]=$A723)*(T_PlannedOrders[WeekIndex]=51)*(T_PlannedOrders[EffectiveQty]&gt;0)*T_PlannedOrders[Order_Month])),"m月")&amp;"発注)")</f>
        <v/>
      </c>
      <c r="BC769">
        <f>IF(SUMIFS(T_PlannedOrders[EffectiveQty],T_PlannedOrders[Part Name],$A723,T_PlannedOrders[WeekIndex],52)=0,"",SUMIFS(T_PlannedOrders[EffectiveQty],T_PlannedOrders[Part Name],$A723,T_PlannedOrders[WeekIndex],52)&amp;" ("&amp;TEXT(SUMPRODUCT(MAX((T_PlannedOrders[Part Name]=$A723)*(T_PlannedOrders[WeekIndex]=52)*(T_PlannedOrders[EffectiveQty]&gt;0)*T_PlannedOrders[Order_Month])),"m月")&amp;"発注)")</f>
        <v/>
      </c>
      <c r="BD769">
        <f>IF(SUMIFS(T_PlannedOrders[EffectiveQty],T_PlannedOrders[Part Name],$A723,T_PlannedOrders[WeekIndex],53)=0,"",SUMIFS(T_PlannedOrders[EffectiveQty],T_PlannedOrders[Part Name],$A723,T_PlannedOrders[WeekIndex],53)&amp;" ("&amp;TEXT(SUMPRODUCT(MAX((T_PlannedOrders[Part Name]=$A723)*(T_PlannedOrders[WeekIndex]=53)*(T_PlannedOrders[EffectiveQty]&gt;0)*T_PlannedOrders[Order_Month])),"m月")&amp;"発注)")</f>
        <v/>
      </c>
      <c r="BE769">
        <f>IF(SUMIFS(T_PlannedOrders[EffectiveQty],T_PlannedOrders[Part Name],$A723,T_PlannedOrders[WeekIndex],54)=0,"",SUMIFS(T_PlannedOrders[EffectiveQty],T_PlannedOrders[Part Name],$A723,T_PlannedOrders[WeekIndex],54)&amp;" ("&amp;TEXT(SUMPRODUCT(MAX((T_PlannedOrders[Part Name]=$A723)*(T_PlannedOrders[WeekIndex]=54)*(T_PlannedOrders[EffectiveQty]&gt;0)*T_PlannedOrders[Order_Month])),"m月")&amp;"発注)")</f>
        <v/>
      </c>
      <c r="BF769">
        <f>IF(SUMIFS(T_PlannedOrders[EffectiveQty],T_PlannedOrders[Part Name],$A723,T_PlannedOrders[WeekIndex],55)=0,"",SUMIFS(T_PlannedOrders[EffectiveQty],T_PlannedOrders[Part Name],$A723,T_PlannedOrders[WeekIndex],55)&amp;" ("&amp;TEXT(SUMPRODUCT(MAX((T_PlannedOrders[Part Name]=$A723)*(T_PlannedOrders[WeekIndex]=55)*(T_PlannedOrders[EffectiveQty]&gt;0)*T_PlannedOrders[Order_Month])),"m月")&amp;"発注)")</f>
        <v/>
      </c>
      <c r="BG769">
        <f>IF(SUMIFS(T_PlannedOrders[EffectiveQty],T_PlannedOrders[Part Name],$A723,T_PlannedOrders[WeekIndex],56)=0,"",SUMIFS(T_PlannedOrders[EffectiveQty],T_PlannedOrders[Part Name],$A723,T_PlannedOrders[WeekIndex],56)&amp;" ("&amp;TEXT(SUMPRODUCT(MAX((T_PlannedOrders[Part Name]=$A723)*(T_PlannedOrders[WeekIndex]=56)*(T_PlannedOrders[EffectiveQty]&gt;0)*T_PlannedOrders[Order_Month])),"m月")&amp;"発注)")</f>
        <v/>
      </c>
      <c r="BH769">
        <f>IF(SUMIFS(T_PlannedOrders[EffectiveQty],T_PlannedOrders[Part Name],$A723,T_PlannedOrders[WeekIndex],57)=0,"",SUMIFS(T_PlannedOrders[EffectiveQty],T_PlannedOrders[Part Name],$A723,T_PlannedOrders[WeekIndex],57)&amp;" ("&amp;TEXT(SUMPRODUCT(MAX((T_PlannedOrders[Part Name]=$A723)*(T_PlannedOrders[WeekIndex]=57)*(T_PlannedOrders[EffectiveQty]&gt;0)*T_PlannedOrders[Order_Month])),"m月")&amp;"発注)")</f>
        <v/>
      </c>
      <c r="BI769">
        <f>IF(SUMIFS(T_PlannedOrders[EffectiveQty],T_PlannedOrders[Part Name],$A723,T_PlannedOrders[WeekIndex],58)=0,"",SUMIFS(T_PlannedOrders[EffectiveQty],T_PlannedOrders[Part Name],$A723,T_PlannedOrders[WeekIndex],58)&amp;" ("&amp;TEXT(SUMPRODUCT(MAX((T_PlannedOrders[Part Name]=$A723)*(T_PlannedOrders[WeekIndex]=58)*(T_PlannedOrders[EffectiveQty]&gt;0)*T_PlannedOrders[Order_Month])),"m月")&amp;"発注)")</f>
        <v/>
      </c>
      <c r="BJ769">
        <f>IF(SUMIFS(T_PlannedOrders[EffectiveQty],T_PlannedOrders[Part Name],$A723,T_PlannedOrders[WeekIndex],59)=0,"",SUMIFS(T_PlannedOrders[EffectiveQty],T_PlannedOrders[Part Name],$A723,T_PlannedOrders[WeekIndex],59)&amp;" ("&amp;TEXT(SUMPRODUCT(MAX((T_PlannedOrders[Part Name]=$A723)*(T_PlannedOrders[WeekIndex]=59)*(T_PlannedOrders[EffectiveQty]&gt;0)*T_PlannedOrders[Order_Month])),"m月")&amp;"発注)")</f>
        <v/>
      </c>
      <c r="BK769">
        <f>IF(SUMIFS(T_PlannedOrders[EffectiveQty],T_PlannedOrders[Part Name],$A723,T_PlannedOrders[WeekIndex],60)=0,"",SUMIFS(T_PlannedOrders[EffectiveQty],T_PlannedOrders[Part Name],$A723,T_PlannedOrders[WeekIndex],60)&amp;" ("&amp;TEXT(SUMPRODUCT(MAX((T_PlannedOrders[Part Name]=$A723)*(T_PlannedOrders[WeekIndex]=60)*(T_PlannedOrders[EffectiveQty]&gt;0)*T_PlannedOrders[Order_Month])),"m月")&amp;"発注)")</f>
        <v/>
      </c>
      <c r="BL769">
        <f>IF(SUMIFS(T_PlannedOrders[EffectiveQty],T_PlannedOrders[Part Name],$A723,T_PlannedOrders[WeekIndex],61)=0,"",SUMIFS(T_PlannedOrders[EffectiveQty],T_PlannedOrders[Part Name],$A723,T_PlannedOrders[WeekIndex],61)&amp;" ("&amp;TEXT(SUMPRODUCT(MAX((T_PlannedOrders[Part Name]=$A723)*(T_PlannedOrders[WeekIndex]=61)*(T_PlannedOrders[EffectiveQty]&gt;0)*T_PlannedOrders[Order_Month])),"m月")&amp;"発注)")</f>
        <v/>
      </c>
      <c r="BM769">
        <f>IF(SUMIFS(T_PlannedOrders[EffectiveQty],T_PlannedOrders[Part Name],$A723,T_PlannedOrders[WeekIndex],62)=0,"",SUMIFS(T_PlannedOrders[EffectiveQty],T_PlannedOrders[Part Name],$A723,T_PlannedOrders[WeekIndex],62)&amp;" ("&amp;TEXT(SUMPRODUCT(MAX((T_PlannedOrders[Part Name]=$A723)*(T_PlannedOrders[WeekIndex]=62)*(T_PlannedOrders[EffectiveQty]&gt;0)*T_PlannedOrders[Order_Month])),"m月")&amp;"発注)")</f>
        <v/>
      </c>
      <c r="BN769">
        <f>IF(SUMIFS(T_PlannedOrders[EffectiveQty],T_PlannedOrders[Part Name],$A723,T_PlannedOrders[WeekIndex],63)=0,"",SUMIFS(T_PlannedOrders[EffectiveQty],T_PlannedOrders[Part Name],$A723,T_PlannedOrders[WeekIndex],63)&amp;" ("&amp;TEXT(SUMPRODUCT(MAX((T_PlannedOrders[Part Name]=$A723)*(T_PlannedOrders[WeekIndex]=63)*(T_PlannedOrders[EffectiveQty]&gt;0)*T_PlannedOrders[Order_Month])),"m月")&amp;"発注)")</f>
        <v/>
      </c>
      <c r="BO769">
        <f>IF(SUMIFS(T_PlannedOrders[EffectiveQty],T_PlannedOrders[Part Name],$A723,T_PlannedOrders[WeekIndex],64)=0,"",SUMIFS(T_PlannedOrders[EffectiveQty],T_PlannedOrders[Part Name],$A723,T_PlannedOrders[WeekIndex],64)&amp;" ("&amp;TEXT(SUMPRODUCT(MAX((T_PlannedOrders[Part Name]=$A723)*(T_PlannedOrders[WeekIndex]=64)*(T_PlannedOrders[EffectiveQty]&gt;0)*T_PlannedOrders[Order_Month])),"m月")&amp;"発注)")</f>
        <v/>
      </c>
      <c r="BP769">
        <f>IF(SUMIFS(T_PlannedOrders[EffectiveQty],T_PlannedOrders[Part Name],$A723,T_PlannedOrders[WeekIndex],65)=0,"",SUMIFS(T_PlannedOrders[EffectiveQty],T_PlannedOrders[Part Name],$A723,T_PlannedOrders[WeekIndex],65)&amp;" ("&amp;TEXT(SUMPRODUCT(MAX((T_PlannedOrders[Part Name]=$A723)*(T_PlannedOrders[WeekIndex]=65)*(T_PlannedOrders[EffectiveQty]&gt;0)*T_PlannedOrders[Order_Month])),"m月")&amp;"発注)")</f>
        <v/>
      </c>
      <c r="BQ769">
        <f>IF(SUMIFS(T_PlannedOrders[EffectiveQty],T_PlannedOrders[Part Name],$A723,T_PlannedOrders[WeekIndex],66)=0,"",SUMIFS(T_PlannedOrders[EffectiveQty],T_PlannedOrders[Part Name],$A723,T_PlannedOrders[WeekIndex],66)&amp;" ("&amp;TEXT(SUMPRODUCT(MAX((T_PlannedOrders[Part Name]=$A723)*(T_PlannedOrders[WeekIndex]=66)*(T_PlannedOrders[EffectiveQty]&gt;0)*T_PlannedOrders[Order_Month])),"m月")&amp;"発注)")</f>
        <v/>
      </c>
      <c r="BR769">
        <f>IF(SUMIFS(T_PlannedOrders[EffectiveQty],T_PlannedOrders[Part Name],$A723,T_PlannedOrders[WeekIndex],67)=0,"",SUMIFS(T_PlannedOrders[EffectiveQty],T_PlannedOrders[Part Name],$A723,T_PlannedOrders[WeekIndex],67)&amp;" ("&amp;TEXT(SUMPRODUCT(MAX((T_PlannedOrders[Part Name]=$A723)*(T_PlannedOrders[WeekIndex]=67)*(T_PlannedOrders[EffectiveQty]&gt;0)*T_PlannedOrders[Order_Month])),"m月")&amp;"発注)")</f>
        <v/>
      </c>
      <c r="BS769">
        <f>IF(SUMIFS(T_PlannedOrders[EffectiveQty],T_PlannedOrders[Part Name],$A723,T_PlannedOrders[WeekIndex],68)=0,"",SUMIFS(T_PlannedOrders[EffectiveQty],T_PlannedOrders[Part Name],$A723,T_PlannedOrders[WeekIndex],68)&amp;" ("&amp;TEXT(SUMPRODUCT(MAX((T_PlannedOrders[Part Name]=$A723)*(T_PlannedOrders[WeekIndex]=68)*(T_PlannedOrders[EffectiveQty]&gt;0)*T_PlannedOrders[Order_Month])),"m月")&amp;"発注)")</f>
        <v/>
      </c>
      <c r="BT769">
        <f>IF(SUMIFS(T_PlannedOrders[EffectiveQty],T_PlannedOrders[Part Name],$A723,T_PlannedOrders[WeekIndex],69)=0,"",SUMIFS(T_PlannedOrders[EffectiveQty],T_PlannedOrders[Part Name],$A723,T_PlannedOrders[WeekIndex],69)&amp;" ("&amp;TEXT(SUMPRODUCT(MAX((T_PlannedOrders[Part Name]=$A723)*(T_PlannedOrders[WeekIndex]=69)*(T_PlannedOrders[EffectiveQty]&gt;0)*T_PlannedOrders[Order_Month])),"m月")&amp;"発注)")</f>
        <v/>
      </c>
      <c r="BU769">
        <f>IF(SUMIFS(T_PlannedOrders[EffectiveQty],T_PlannedOrders[Part Name],$A723,T_PlannedOrders[WeekIndex],70)=0,"",SUMIFS(T_PlannedOrders[EffectiveQty],T_PlannedOrders[Part Name],$A723,T_PlannedOrders[WeekIndex],70)&amp;" ("&amp;TEXT(SUMPRODUCT(MAX((T_PlannedOrders[Part Name]=$A723)*(T_PlannedOrders[WeekIndex]=70)*(T_PlannedOrders[EffectiveQty]&gt;0)*T_PlannedOrders[Order_Month])),"m月")&amp;"発注)")</f>
        <v/>
      </c>
      <c r="BV769">
        <f>IF(SUMIFS(T_PlannedOrders[EffectiveQty],T_PlannedOrders[Part Name],$A723,T_PlannedOrders[WeekIndex],71)=0,"",SUMIFS(T_PlannedOrders[EffectiveQty],T_PlannedOrders[Part Name],$A723,T_PlannedOrders[WeekIndex],71)&amp;" ("&amp;TEXT(SUMPRODUCT(MAX((T_PlannedOrders[Part Name]=$A723)*(T_PlannedOrders[WeekIndex]=71)*(T_PlannedOrders[EffectiveQty]&gt;0)*T_PlannedOrders[Order_Month])),"m月")&amp;"発注)")</f>
        <v/>
      </c>
      <c r="BW769">
        <f>IF(SUMIFS(T_PlannedOrders[EffectiveQty],T_PlannedOrders[Part Name],$A723,T_PlannedOrders[WeekIndex],72)=0,"",SUMIFS(T_PlannedOrders[EffectiveQty],T_PlannedOrders[Part Name],$A723,T_PlannedOrders[WeekIndex],72)&amp;" ("&amp;TEXT(SUMPRODUCT(MAX((T_PlannedOrders[Part Name]=$A723)*(T_PlannedOrders[WeekIndex]=72)*(T_PlannedOrders[EffectiveQty]&gt;0)*T_PlannedOrders[Order_Month])),"m月")&amp;"発注)")</f>
        <v/>
      </c>
      <c r="BX769">
        <f>IF(SUMIFS(T_PlannedOrders[EffectiveQty],T_PlannedOrders[Part Name],$A723,T_PlannedOrders[WeekIndex],73)=0,"",SUMIFS(T_PlannedOrders[EffectiveQty],T_PlannedOrders[Part Name],$A723,T_PlannedOrders[WeekIndex],73)&amp;" ("&amp;TEXT(SUMPRODUCT(MAX((T_PlannedOrders[Part Name]=$A723)*(T_PlannedOrders[WeekIndex]=73)*(T_PlannedOrders[EffectiveQty]&gt;0)*T_PlannedOrders[Order_Month])),"m月")&amp;"発注)")</f>
        <v/>
      </c>
      <c r="BY769">
        <f>IF(SUMIFS(T_PlannedOrders[EffectiveQty],T_PlannedOrders[Part Name],$A723,T_PlannedOrders[WeekIndex],74)=0,"",SUMIFS(T_PlannedOrders[EffectiveQty],T_PlannedOrders[Part Name],$A723,T_PlannedOrders[WeekIndex],74)&amp;" ("&amp;TEXT(SUMPRODUCT(MAX((T_PlannedOrders[Part Name]=$A723)*(T_PlannedOrders[WeekIndex]=74)*(T_PlannedOrders[EffectiveQty]&gt;0)*T_PlannedOrders[Order_Month])),"m月")&amp;"発注)")</f>
        <v/>
      </c>
      <c r="BZ769">
        <f>IF(SUMIFS(T_PlannedOrders[EffectiveQty],T_PlannedOrders[Part Name],$A723,T_PlannedOrders[WeekIndex],75)=0,"",SUMIFS(T_PlannedOrders[EffectiveQty],T_PlannedOrders[Part Name],$A723,T_PlannedOrders[WeekIndex],75)&amp;" ("&amp;TEXT(SUMPRODUCT(MAX((T_PlannedOrders[Part Name]=$A723)*(T_PlannedOrders[WeekIndex]=75)*(T_PlannedOrders[EffectiveQty]&gt;0)*T_PlannedOrders[Order_Month])),"m月")&amp;"発注)")</f>
        <v/>
      </c>
      <c r="CA769">
        <f>IF(SUMIFS(T_PlannedOrders[EffectiveQty],T_PlannedOrders[Part Name],$A723,T_PlannedOrders[WeekIndex],76)=0,"",SUMIFS(T_PlannedOrders[EffectiveQty],T_PlannedOrders[Part Name],$A723,T_PlannedOrders[WeekIndex],76)&amp;" ("&amp;TEXT(SUMPRODUCT(MAX((T_PlannedOrders[Part Name]=$A723)*(T_PlannedOrders[WeekIndex]=76)*(T_PlannedOrders[EffectiveQty]&gt;0)*T_PlannedOrders[Order_Month])),"m月")&amp;"発注)")</f>
        <v/>
      </c>
      <c r="CB769">
        <f>IF(SUMIFS(T_PlannedOrders[EffectiveQty],T_PlannedOrders[Part Name],$A723,T_PlannedOrders[WeekIndex],77)=0,"",SUMIFS(T_PlannedOrders[EffectiveQty],T_PlannedOrders[Part Name],$A723,T_PlannedOrders[WeekIndex],77)&amp;" ("&amp;TEXT(SUMPRODUCT(MAX((T_PlannedOrders[Part Name]=$A723)*(T_PlannedOrders[WeekIndex]=77)*(T_PlannedOrders[EffectiveQty]&gt;0)*T_PlannedOrders[Order_Month])),"m月")&amp;"発注)")</f>
        <v/>
      </c>
      <c r="CC769">
        <f>IF(SUMIFS(T_PlannedOrders[EffectiveQty],T_PlannedOrders[Part Name],$A723,T_PlannedOrders[WeekIndex],78)=0,"",SUMIFS(T_PlannedOrders[EffectiveQty],T_PlannedOrders[Part Name],$A723,T_PlannedOrders[WeekIndex],78)&amp;" ("&amp;TEXT(SUMPRODUCT(MAX((T_PlannedOrders[Part Name]=$A723)*(T_PlannedOrders[WeekIndex]=78)*(T_PlannedOrders[EffectiveQty]&gt;0)*T_PlannedOrders[Order_Month])),"m月")&amp;"発注)")</f>
        <v/>
      </c>
      <c r="CD769">
        <f>IF(SUMIFS(T_PlannedOrders[EffectiveQty],T_PlannedOrders[Part Name],$A723,T_PlannedOrders[WeekIndex],79)=0,"",SUMIFS(T_PlannedOrders[EffectiveQty],T_PlannedOrders[Part Name],$A723,T_PlannedOrders[WeekIndex],79)&amp;" ("&amp;TEXT(SUMPRODUCT(MAX((T_PlannedOrders[Part Name]=$A723)*(T_PlannedOrders[WeekIndex]=79)*(T_PlannedOrders[EffectiveQty]&gt;0)*T_PlannedOrders[Order_Month])),"m月")&amp;"発注)")</f>
        <v/>
      </c>
      <c r="CE769">
        <f>IF(SUMIFS(T_PlannedOrders[EffectiveQty],T_PlannedOrders[Part Name],$A723,T_PlannedOrders[WeekIndex],80)=0,"",SUMIFS(T_PlannedOrders[EffectiveQty],T_PlannedOrders[Part Name],$A723,T_PlannedOrders[WeekIndex],80)&amp;" ("&amp;TEXT(SUMPRODUCT(MAX((T_PlannedOrders[Part Name]=$A723)*(T_PlannedOrders[WeekIndex]=80)*(T_PlannedOrders[EffectiveQty]&gt;0)*T_PlannedOrders[Order_Month])),"m月")&amp;"発注)")</f>
        <v/>
      </c>
      <c r="CF769">
        <f>IF(SUMIFS(T_PlannedOrders[EffectiveQty],T_PlannedOrders[Part Name],$A723,T_PlannedOrders[WeekIndex],81)=0,"",SUMIFS(T_PlannedOrders[EffectiveQty],T_PlannedOrders[Part Name],$A723,T_PlannedOrders[WeekIndex],81)&amp;" ("&amp;TEXT(SUMPRODUCT(MAX((T_PlannedOrders[Part Name]=$A723)*(T_PlannedOrders[WeekIndex]=81)*(T_PlannedOrders[EffectiveQty]&gt;0)*T_PlannedOrders[Order_Month])),"m月")&amp;"発注)")</f>
        <v/>
      </c>
      <c r="CG769">
        <f>IF(SUMIFS(T_PlannedOrders[EffectiveQty],T_PlannedOrders[Part Name],$A723,T_PlannedOrders[WeekIndex],82)=0,"",SUMIFS(T_PlannedOrders[EffectiveQty],T_PlannedOrders[Part Name],$A723,T_PlannedOrders[WeekIndex],82)&amp;" ("&amp;TEXT(SUMPRODUCT(MAX((T_PlannedOrders[Part Name]=$A723)*(T_PlannedOrders[WeekIndex]=82)*(T_PlannedOrders[EffectiveQty]&gt;0)*T_PlannedOrders[Order_Month])),"m月")&amp;"発注)")</f>
        <v/>
      </c>
      <c r="CH769">
        <f>IF(SUMIFS(T_PlannedOrders[EffectiveQty],T_PlannedOrders[Part Name],$A723,T_PlannedOrders[WeekIndex],83)=0,"",SUMIFS(T_PlannedOrders[EffectiveQty],T_PlannedOrders[Part Name],$A723,T_PlannedOrders[WeekIndex],83)&amp;" ("&amp;TEXT(SUMPRODUCT(MAX((T_PlannedOrders[Part Name]=$A723)*(T_PlannedOrders[WeekIndex]=83)*(T_PlannedOrders[EffectiveQty]&gt;0)*T_PlannedOrders[Order_Month])),"m月")&amp;"発注)")</f>
        <v/>
      </c>
      <c r="CI769">
        <f>IF(SUMIFS(T_PlannedOrders[EffectiveQty],T_PlannedOrders[Part Name],$A723,T_PlannedOrders[WeekIndex],84)=0,"",SUMIFS(T_PlannedOrders[EffectiveQty],T_PlannedOrders[Part Name],$A723,T_PlannedOrders[WeekIndex],84)&amp;" ("&amp;TEXT(SUMPRODUCT(MAX((T_PlannedOrders[Part Name]=$A723)*(T_PlannedOrders[WeekIndex]=84)*(T_PlannedOrders[EffectiveQty]&gt;0)*T_PlannedOrders[Order_Month])),"m月")&amp;"発注)")</f>
        <v/>
      </c>
      <c r="CJ769">
        <f>IF(SUMIFS(T_PlannedOrders[EffectiveQty],T_PlannedOrders[Part Name],$A723,T_PlannedOrders[WeekIndex],85)=0,"",SUMIFS(T_PlannedOrders[EffectiveQty],T_PlannedOrders[Part Name],$A723,T_PlannedOrders[WeekIndex],85)&amp;" ("&amp;TEXT(SUMPRODUCT(MAX((T_PlannedOrders[Part Name]=$A723)*(T_PlannedOrders[WeekIndex]=85)*(T_PlannedOrders[EffectiveQty]&gt;0)*T_PlannedOrders[Order_Month])),"m月")&amp;"発注)")</f>
        <v/>
      </c>
      <c r="CK769">
        <f>IF(SUMIFS(T_PlannedOrders[EffectiveQty],T_PlannedOrders[Part Name],$A723,T_PlannedOrders[WeekIndex],86)=0,"",SUMIFS(T_PlannedOrders[EffectiveQty],T_PlannedOrders[Part Name],$A723,T_PlannedOrders[WeekIndex],86)&amp;" ("&amp;TEXT(SUMPRODUCT(MAX((T_PlannedOrders[Part Name]=$A723)*(T_PlannedOrders[WeekIndex]=86)*(T_PlannedOrders[EffectiveQty]&gt;0)*T_PlannedOrders[Order_Month])),"m月")&amp;"発注)")</f>
        <v/>
      </c>
      <c r="CL769">
        <f>IF(SUMIFS(T_PlannedOrders[EffectiveQty],T_PlannedOrders[Part Name],$A723,T_PlannedOrders[WeekIndex],87)=0,"",SUMIFS(T_PlannedOrders[EffectiveQty],T_PlannedOrders[Part Name],$A723,T_PlannedOrders[WeekIndex],87)&amp;" ("&amp;TEXT(SUMPRODUCT(MAX((T_PlannedOrders[Part Name]=$A723)*(T_PlannedOrders[WeekIndex]=87)*(T_PlannedOrders[EffectiveQty]&gt;0)*T_PlannedOrders[Order_Month])),"m月")&amp;"発注)")</f>
        <v/>
      </c>
      <c r="CM769">
        <f>IF(SUMIFS(T_PlannedOrders[EffectiveQty],T_PlannedOrders[Part Name],$A723,T_PlannedOrders[WeekIndex],88)=0,"",SUMIFS(T_PlannedOrders[EffectiveQty],T_PlannedOrders[Part Name],$A723,T_PlannedOrders[WeekIndex],88)&amp;" ("&amp;TEXT(SUMPRODUCT(MAX((T_PlannedOrders[Part Name]=$A723)*(T_PlannedOrders[WeekIndex]=88)*(T_PlannedOrders[EffectiveQty]&gt;0)*T_PlannedOrders[Order_Month])),"m月")&amp;"発注)")</f>
        <v/>
      </c>
      <c r="CN769">
        <f>IF(SUMIFS(T_PlannedOrders[EffectiveQty],T_PlannedOrders[Part Name],$A723,T_PlannedOrders[WeekIndex],89)=0,"",SUMIFS(T_PlannedOrders[EffectiveQty],T_PlannedOrders[Part Name],$A723,T_PlannedOrders[WeekIndex],89)&amp;" ("&amp;TEXT(SUMPRODUCT(MAX((T_PlannedOrders[Part Name]=$A723)*(T_PlannedOrders[WeekIndex]=89)*(T_PlannedOrders[EffectiveQty]&gt;0)*T_PlannedOrders[Order_Month])),"m月")&amp;"発注)")</f>
        <v/>
      </c>
      <c r="CO769">
        <f>IF(SUMIFS(T_PlannedOrders[EffectiveQty],T_PlannedOrders[Part Name],$A723,T_PlannedOrders[WeekIndex],90)=0,"",SUMIFS(T_PlannedOrders[EffectiveQty],T_PlannedOrders[Part Name],$A723,T_PlannedOrders[WeekIndex],90)&amp;" ("&amp;TEXT(SUMPRODUCT(MAX((T_PlannedOrders[Part Name]=$A723)*(T_PlannedOrders[WeekIndex]=90)*(T_PlannedOrders[EffectiveQty]&gt;0)*T_PlannedOrders[Order_Month])),"m月")&amp;"発注)")</f>
        <v/>
      </c>
      <c r="CP769">
        <f>IF(SUMIFS(T_PlannedOrders[EffectiveQty],T_PlannedOrders[Part Name],$A723,T_PlannedOrders[WeekIndex],91)=0,"",SUMIFS(T_PlannedOrders[EffectiveQty],T_PlannedOrders[Part Name],$A723,T_PlannedOrders[WeekIndex],91)&amp;" ("&amp;TEXT(SUMPRODUCT(MAX((T_PlannedOrders[Part Name]=$A723)*(T_PlannedOrders[WeekIndex]=91)*(T_PlannedOrders[EffectiveQty]&gt;0)*T_PlannedOrders[Order_Month])),"m月")&amp;"発注)")</f>
        <v/>
      </c>
      <c r="CQ769">
        <f>IF(SUMIFS(T_PlannedOrders[EffectiveQty],T_PlannedOrders[Part Name],$A723,T_PlannedOrders[WeekIndex],92)=0,"",SUMIFS(T_PlannedOrders[EffectiveQty],T_PlannedOrders[Part Name],$A723,T_PlannedOrders[WeekIndex],92)&amp;" ("&amp;TEXT(SUMPRODUCT(MAX((T_PlannedOrders[Part Name]=$A723)*(T_PlannedOrders[WeekIndex]=92)*(T_PlannedOrders[EffectiveQty]&gt;0)*T_PlannedOrders[Order_Month])),"m月")&amp;"発注)")</f>
        <v/>
      </c>
      <c r="CR769">
        <f>IF(SUMIFS(T_PlannedOrders[EffectiveQty],T_PlannedOrders[Part Name],$A723,T_PlannedOrders[WeekIndex],93)=0,"",SUMIFS(T_PlannedOrders[EffectiveQty],T_PlannedOrders[Part Name],$A723,T_PlannedOrders[WeekIndex],93)&amp;" ("&amp;TEXT(SUMPRODUCT(MAX((T_PlannedOrders[Part Name]=$A723)*(T_PlannedOrders[WeekIndex]=93)*(T_PlannedOrders[EffectiveQty]&gt;0)*T_PlannedOrders[Order_Month])),"m月")&amp;"発注)")</f>
        <v/>
      </c>
      <c r="CS769">
        <f>IF(SUMIFS(T_PlannedOrders[EffectiveQty],T_PlannedOrders[Part Name],$A723,T_PlannedOrders[WeekIndex],94)=0,"",SUMIFS(T_PlannedOrders[EffectiveQty],T_PlannedOrders[Part Name],$A723,T_PlannedOrders[WeekIndex],94)&amp;" ("&amp;TEXT(SUMPRODUCT(MAX((T_PlannedOrders[Part Name]=$A723)*(T_PlannedOrders[WeekIndex]=94)*(T_PlannedOrders[EffectiveQty]&gt;0)*T_PlannedOrders[Order_Month])),"m月")&amp;"発注)")</f>
        <v/>
      </c>
      <c r="CT769">
        <f>IF(SUMIFS(T_PlannedOrders[EffectiveQty],T_PlannedOrders[Part Name],$A723,T_PlannedOrders[WeekIndex],95)=0,"",SUMIFS(T_PlannedOrders[EffectiveQty],T_PlannedOrders[Part Name],$A723,T_PlannedOrders[WeekIndex],95)&amp;" ("&amp;TEXT(SUMPRODUCT(MAX((T_PlannedOrders[Part Name]=$A723)*(T_PlannedOrders[WeekIndex]=95)*(T_PlannedOrders[EffectiveQty]&gt;0)*T_PlannedOrders[Order_Month])),"m月")&amp;"発注)")</f>
        <v/>
      </c>
      <c r="CU769">
        <f>IF(SUMIFS(T_PlannedOrders[EffectiveQty],T_PlannedOrders[Part Name],$A723,T_PlannedOrders[WeekIndex],96)=0,"",SUMIFS(T_PlannedOrders[EffectiveQty],T_PlannedOrders[Part Name],$A723,T_PlannedOrders[WeekIndex],96)&amp;" ("&amp;TEXT(SUMPRODUCT(MAX((T_PlannedOrders[Part Name]=$A723)*(T_PlannedOrders[WeekIndex]=96)*(T_PlannedOrders[EffectiveQty]&gt;0)*T_PlannedOrders[Order_Month])),"m月")&amp;"発注)")</f>
        <v/>
      </c>
      <c r="CV769">
        <f>IF(SUMIFS(T_PlannedOrders[EffectiveQty],T_PlannedOrders[Part Name],$A723,T_PlannedOrders[WeekIndex],97)=0,"",SUMIFS(T_PlannedOrders[EffectiveQty],T_PlannedOrders[Part Name],$A723,T_PlannedOrders[WeekIndex],97)&amp;" ("&amp;TEXT(SUMPRODUCT(MAX((T_PlannedOrders[Part Name]=$A723)*(T_PlannedOrders[WeekIndex]=97)*(T_PlannedOrders[EffectiveQty]&gt;0)*T_PlannedOrders[Order_Month])),"m月")&amp;"発注)")</f>
        <v/>
      </c>
      <c r="CW769">
        <f>IF(SUMIFS(T_PlannedOrders[EffectiveQty],T_PlannedOrders[Part Name],$A723,T_PlannedOrders[WeekIndex],98)=0,"",SUMIFS(T_PlannedOrders[EffectiveQty],T_PlannedOrders[Part Name],$A723,T_PlannedOrders[WeekIndex],98)&amp;" ("&amp;TEXT(SUMPRODUCT(MAX((T_PlannedOrders[Part Name]=$A723)*(T_PlannedOrders[WeekIndex]=98)*(T_PlannedOrders[EffectiveQty]&gt;0)*T_PlannedOrders[Order_Month])),"m月")&amp;"発注)")</f>
        <v/>
      </c>
      <c r="CX769">
        <f>IF(SUMIFS(T_PlannedOrders[EffectiveQty],T_PlannedOrders[Part Name],$A723,T_PlannedOrders[WeekIndex],99)=0,"",SUMIFS(T_PlannedOrders[EffectiveQty],T_PlannedOrders[Part Name],$A723,T_PlannedOrders[WeekIndex],99)&amp;" ("&amp;TEXT(SUMPRODUCT(MAX((T_PlannedOrders[Part Name]=$A723)*(T_PlannedOrders[WeekIndex]=99)*(T_PlannedOrders[EffectiveQty]&gt;0)*T_PlannedOrders[Order_Month])),"m月")&amp;"発注)")</f>
        <v/>
      </c>
      <c r="CY769">
        <f>IF(SUMIFS(T_PlannedOrders[EffectiveQty],T_PlannedOrders[Part Name],$A723,T_PlannedOrders[WeekIndex],100)=0,"",SUMIFS(T_PlannedOrders[EffectiveQty],T_PlannedOrders[Part Name],$A723,T_PlannedOrders[WeekIndex],100)&amp;" ("&amp;TEXT(SUMPRODUCT(MAX((T_PlannedOrders[Part Name]=$A723)*(T_PlannedOrders[WeekIndex]=100)*(T_PlannedOrders[EffectiveQty]&gt;0)*T_PlannedOrders[Order_Month])),"m月")&amp;"発注)")</f>
        <v/>
      </c>
      <c r="CZ769">
        <f>IF(SUMIFS(T_PlannedOrders[EffectiveQty],T_PlannedOrders[Part Name],$A723,T_PlannedOrders[WeekIndex],101)=0,"",SUMIFS(T_PlannedOrders[EffectiveQty],T_PlannedOrders[Part Name],$A723,T_PlannedOrders[WeekIndex],101)&amp;" ("&amp;TEXT(SUMPRODUCT(MAX((T_PlannedOrders[Part Name]=$A723)*(T_PlannedOrders[WeekIndex]=101)*(T_PlannedOrders[EffectiveQty]&gt;0)*T_PlannedOrders[Order_Month])),"m月")&amp;"発注)")</f>
        <v/>
      </c>
      <c r="DA769">
        <f>IF(SUMIFS(T_PlannedOrders[EffectiveQty],T_PlannedOrders[Part Name],$A723,T_PlannedOrders[WeekIndex],102)=0,"",SUMIFS(T_PlannedOrders[EffectiveQty],T_PlannedOrders[Part Name],$A723,T_PlannedOrders[WeekIndex],102)&amp;" ("&amp;TEXT(SUMPRODUCT(MAX((T_PlannedOrders[Part Name]=$A723)*(T_PlannedOrders[WeekIndex]=102)*(T_PlannedOrders[EffectiveQty]&gt;0)*T_PlannedOrders[Order_Month])),"m月")&amp;"発注)")</f>
        <v/>
      </c>
      <c r="DB769">
        <f>IF(SUMIFS(T_PlannedOrders[EffectiveQty],T_PlannedOrders[Part Name],$A723,T_PlannedOrders[WeekIndex],103)=0,"",SUMIFS(T_PlannedOrders[EffectiveQty],T_PlannedOrders[Part Name],$A723,T_PlannedOrders[WeekIndex],103)&amp;" ("&amp;TEXT(SUMPRODUCT(MAX((T_PlannedOrders[Part Name]=$A723)*(T_PlannedOrders[WeekIndex]=103)*(T_PlannedOrders[EffectiveQty]&gt;0)*T_PlannedOrders[Order_Month])),"m月")&amp;"発注)")</f>
        <v/>
      </c>
      <c r="DC769">
        <f>IF(SUMIFS(T_PlannedOrders[EffectiveQty],T_PlannedOrders[Part Name],$A723,T_PlannedOrders[WeekIndex],104)=0,"",SUMIFS(T_PlannedOrders[EffectiveQty],T_PlannedOrders[Part Name],$A723,T_PlannedOrders[WeekIndex],104)&amp;" ("&amp;TEXT(SUMPRODUCT(MAX((T_PlannedOrders[Part Name]=$A723)*(T_PlannedOrders[WeekIndex]=104)*(T_PlannedOrders[EffectiveQty]&gt;0)*T_PlannedOrders[Order_Month])),"m月")&amp;"発注)")</f>
        <v/>
      </c>
    </row>
    <row r="770">
      <c r="B770" s="4" t="inlineStr">
        <is>
          <t>合計在庫(週末時点,kg)</t>
        </is>
      </c>
      <c r="D770">
        <f>'Grid_Stock'!B6</f>
        <v/>
      </c>
      <c r="E770">
        <f>'Grid_Stock'!C6</f>
        <v/>
      </c>
      <c r="F770">
        <f>'Grid_Stock'!D6</f>
        <v/>
      </c>
      <c r="G770">
        <f>'Grid_Stock'!E6</f>
        <v/>
      </c>
      <c r="H770">
        <f>'Grid_Stock'!F6</f>
        <v/>
      </c>
      <c r="I770">
        <f>'Grid_Stock'!G6</f>
        <v/>
      </c>
      <c r="J770">
        <f>'Grid_Stock'!H6</f>
        <v/>
      </c>
      <c r="K770">
        <f>'Grid_Stock'!I6</f>
        <v/>
      </c>
      <c r="L770">
        <f>'Grid_Stock'!J6</f>
        <v/>
      </c>
      <c r="M770">
        <f>'Grid_Stock'!K6</f>
        <v/>
      </c>
      <c r="N770">
        <f>'Grid_Stock'!L6</f>
        <v/>
      </c>
      <c r="O770">
        <f>'Grid_Stock'!M6</f>
        <v/>
      </c>
      <c r="P770">
        <f>'Grid_Stock'!N6</f>
        <v/>
      </c>
      <c r="Q770">
        <f>'Grid_Stock'!O6</f>
        <v/>
      </c>
      <c r="R770">
        <f>'Grid_Stock'!P6</f>
        <v/>
      </c>
      <c r="S770">
        <f>'Grid_Stock'!Q6</f>
        <v/>
      </c>
      <c r="T770">
        <f>'Grid_Stock'!R6</f>
        <v/>
      </c>
      <c r="U770">
        <f>'Grid_Stock'!S6</f>
        <v/>
      </c>
      <c r="V770">
        <f>'Grid_Stock'!T6</f>
        <v/>
      </c>
      <c r="W770">
        <f>'Grid_Stock'!U6</f>
        <v/>
      </c>
      <c r="X770">
        <f>'Grid_Stock'!V6</f>
        <v/>
      </c>
      <c r="Y770">
        <f>'Grid_Stock'!W6</f>
        <v/>
      </c>
      <c r="Z770">
        <f>'Grid_Stock'!X6</f>
        <v/>
      </c>
      <c r="AA770">
        <f>'Grid_Stock'!Y6</f>
        <v/>
      </c>
      <c r="AB770">
        <f>'Grid_Stock'!Z6</f>
        <v/>
      </c>
      <c r="AC770">
        <f>'Grid_Stock'!AA6</f>
        <v/>
      </c>
      <c r="AD770">
        <f>'Grid_Stock'!AB6</f>
        <v/>
      </c>
      <c r="AE770">
        <f>'Grid_Stock'!AC6</f>
        <v/>
      </c>
      <c r="AF770">
        <f>'Grid_Stock'!AD6</f>
        <v/>
      </c>
      <c r="AG770">
        <f>'Grid_Stock'!AE6</f>
        <v/>
      </c>
      <c r="AH770">
        <f>'Grid_Stock'!AF6</f>
        <v/>
      </c>
      <c r="AI770">
        <f>'Grid_Stock'!AG6</f>
        <v/>
      </c>
      <c r="AJ770">
        <f>'Grid_Stock'!AH6</f>
        <v/>
      </c>
      <c r="AK770">
        <f>'Grid_Stock'!AI6</f>
        <v/>
      </c>
      <c r="AL770">
        <f>'Grid_Stock'!AJ6</f>
        <v/>
      </c>
      <c r="AM770">
        <f>'Grid_Stock'!AK6</f>
        <v/>
      </c>
      <c r="AN770">
        <f>'Grid_Stock'!AL6</f>
        <v/>
      </c>
      <c r="AO770">
        <f>'Grid_Stock'!AM6</f>
        <v/>
      </c>
      <c r="AP770">
        <f>'Grid_Stock'!AN6</f>
        <v/>
      </c>
      <c r="AQ770">
        <f>'Grid_Stock'!AO6</f>
        <v/>
      </c>
      <c r="AR770">
        <f>'Grid_Stock'!AP6</f>
        <v/>
      </c>
      <c r="AS770">
        <f>'Grid_Stock'!AQ6</f>
        <v/>
      </c>
      <c r="AT770">
        <f>'Grid_Stock'!AR6</f>
        <v/>
      </c>
      <c r="AU770">
        <f>'Grid_Stock'!AS6</f>
        <v/>
      </c>
      <c r="AV770">
        <f>'Grid_Stock'!AT6</f>
        <v/>
      </c>
      <c r="AW770">
        <f>'Grid_Stock'!AU6</f>
        <v/>
      </c>
      <c r="AX770">
        <f>'Grid_Stock'!AV6</f>
        <v/>
      </c>
      <c r="AY770">
        <f>'Grid_Stock'!AW6</f>
        <v/>
      </c>
      <c r="AZ770">
        <f>'Grid_Stock'!AX6</f>
        <v/>
      </c>
      <c r="BA770">
        <f>'Grid_Stock'!AY6</f>
        <v/>
      </c>
      <c r="BB770">
        <f>'Grid_Stock'!AZ6</f>
        <v/>
      </c>
      <c r="BC770">
        <f>'Grid_Stock'!BA6</f>
        <v/>
      </c>
      <c r="BD770">
        <f>'Grid_Stock'!BB6</f>
        <v/>
      </c>
      <c r="BE770">
        <f>'Grid_Stock'!BC6</f>
        <v/>
      </c>
      <c r="BF770">
        <f>'Grid_Stock'!BD6</f>
        <v/>
      </c>
      <c r="BG770">
        <f>'Grid_Stock'!BE6</f>
        <v/>
      </c>
      <c r="BH770">
        <f>'Grid_Stock'!BF6</f>
        <v/>
      </c>
      <c r="BI770">
        <f>'Grid_Stock'!BG6</f>
        <v/>
      </c>
      <c r="BJ770">
        <f>'Grid_Stock'!BH6</f>
        <v/>
      </c>
      <c r="BK770">
        <f>'Grid_Stock'!BI6</f>
        <v/>
      </c>
      <c r="BL770">
        <f>'Grid_Stock'!BJ6</f>
        <v/>
      </c>
      <c r="BM770">
        <f>'Grid_Stock'!BK6</f>
        <v/>
      </c>
      <c r="BN770">
        <f>'Grid_Stock'!BL6</f>
        <v/>
      </c>
      <c r="BO770">
        <f>'Grid_Stock'!BM6</f>
        <v/>
      </c>
      <c r="BP770">
        <f>'Grid_Stock'!BN6</f>
        <v/>
      </c>
      <c r="BQ770">
        <f>'Grid_Stock'!BO6</f>
        <v/>
      </c>
      <c r="BR770">
        <f>'Grid_Stock'!BP6</f>
        <v/>
      </c>
      <c r="BS770">
        <f>'Grid_Stock'!BQ6</f>
        <v/>
      </c>
      <c r="BT770">
        <f>'Grid_Stock'!BR6</f>
        <v/>
      </c>
      <c r="BU770">
        <f>'Grid_Stock'!BS6</f>
        <v/>
      </c>
      <c r="BV770">
        <f>'Grid_Stock'!BT6</f>
        <v/>
      </c>
      <c r="BW770">
        <f>'Grid_Stock'!BU6</f>
        <v/>
      </c>
      <c r="BX770">
        <f>'Grid_Stock'!BV6</f>
        <v/>
      </c>
      <c r="BY770">
        <f>'Grid_Stock'!BW6</f>
        <v/>
      </c>
      <c r="BZ770">
        <f>'Grid_Stock'!BX6</f>
        <v/>
      </c>
      <c r="CA770">
        <f>'Grid_Stock'!BY6</f>
        <v/>
      </c>
      <c r="CB770">
        <f>'Grid_Stock'!BZ6</f>
        <v/>
      </c>
      <c r="CC770">
        <f>'Grid_Stock'!CA6</f>
        <v/>
      </c>
      <c r="CD770">
        <f>'Grid_Stock'!CB6</f>
        <v/>
      </c>
      <c r="CE770">
        <f>'Grid_Stock'!CC6</f>
        <v/>
      </c>
      <c r="CF770">
        <f>'Grid_Stock'!CD6</f>
        <v/>
      </c>
      <c r="CG770">
        <f>'Grid_Stock'!CE6</f>
        <v/>
      </c>
      <c r="CH770">
        <f>'Grid_Stock'!CF6</f>
        <v/>
      </c>
      <c r="CI770">
        <f>'Grid_Stock'!CG6</f>
        <v/>
      </c>
      <c r="CJ770">
        <f>'Grid_Stock'!CH6</f>
        <v/>
      </c>
      <c r="CK770">
        <f>'Grid_Stock'!CI6</f>
        <v/>
      </c>
      <c r="CL770">
        <f>'Grid_Stock'!CJ6</f>
        <v/>
      </c>
      <c r="CM770">
        <f>'Grid_Stock'!CK6</f>
        <v/>
      </c>
      <c r="CN770">
        <f>'Grid_Stock'!CL6</f>
        <v/>
      </c>
      <c r="CO770">
        <f>'Grid_Stock'!CM6</f>
        <v/>
      </c>
      <c r="CP770">
        <f>'Grid_Stock'!CN6</f>
        <v/>
      </c>
      <c r="CQ770">
        <f>'Grid_Stock'!CO6</f>
        <v/>
      </c>
      <c r="CR770">
        <f>'Grid_Stock'!CP6</f>
        <v/>
      </c>
      <c r="CS770">
        <f>'Grid_Stock'!CQ6</f>
        <v/>
      </c>
      <c r="CT770">
        <f>'Grid_Stock'!CR6</f>
        <v/>
      </c>
      <c r="CU770">
        <f>'Grid_Stock'!CS6</f>
        <v/>
      </c>
      <c r="CV770">
        <f>'Grid_Stock'!CT6</f>
        <v/>
      </c>
      <c r="CW770">
        <f>'Grid_Stock'!CU6</f>
        <v/>
      </c>
      <c r="CX770">
        <f>'Grid_Stock'!CV6</f>
        <v/>
      </c>
      <c r="CY770">
        <f>'Grid_Stock'!CW6</f>
        <v/>
      </c>
      <c r="CZ770">
        <f>'Grid_Stock'!CX6</f>
        <v/>
      </c>
      <c r="DA770">
        <f>'Grid_Stock'!CY6</f>
        <v/>
      </c>
      <c r="DB770">
        <f>'Grid_Stock'!CZ6</f>
        <v/>
      </c>
      <c r="DC770">
        <f>'Grid_Stock'!DA6</f>
        <v/>
      </c>
    </row>
    <row r="771">
      <c r="B771" s="16" t="inlineStr">
        <is>
          <t>（発注の目安はDashboardの基準在庫[下限/上限]と色分けを参照）</t>
        </is>
      </c>
    </row>
    <row r="773">
      <c r="A773" s="14" t="inlineStr">
        <is>
          <t>CHEM-1650</t>
        </is>
      </c>
      <c r="B773" s="14" t="inlineStr">
        <is>
          <t>DUASYN ACID BLUE AE-SF 30 LIQUID-SN</t>
        </is>
      </c>
      <c r="C773" s="15" t="n"/>
      <c r="D773" s="14" t="n"/>
      <c r="E773" s="14" t="n"/>
      <c r="F773" s="14" t="n"/>
      <c r="G773" s="14" t="n"/>
      <c r="H773" s="14" t="n"/>
      <c r="I773" s="14" t="n"/>
      <c r="J773" s="14" t="n"/>
      <c r="K773" s="14" t="n"/>
      <c r="L773" s="14" t="n"/>
      <c r="M773" s="14" t="n"/>
      <c r="N773" s="14" t="n"/>
      <c r="O773" s="14" t="n"/>
      <c r="P773" s="14" t="n"/>
      <c r="Q773" s="14" t="n"/>
      <c r="R773" s="14" t="n"/>
      <c r="S773" s="14" t="n"/>
      <c r="T773" s="14" t="n"/>
      <c r="U773" s="14" t="n"/>
      <c r="V773" s="14" t="n"/>
      <c r="W773" s="14" t="n"/>
      <c r="X773" s="14" t="n"/>
      <c r="Y773" s="14" t="n"/>
      <c r="Z773" s="14" t="n"/>
      <c r="AA773" s="14" t="n"/>
      <c r="AB773" s="14" t="n"/>
      <c r="AC773" s="14" t="n"/>
      <c r="AD773" s="14" t="n"/>
      <c r="AE773" s="14" t="n"/>
      <c r="AF773" s="14" t="n"/>
      <c r="AG773" s="14" t="n"/>
      <c r="AH773" s="14" t="n"/>
      <c r="AI773" s="14" t="n"/>
      <c r="AJ773" s="14" t="n"/>
      <c r="AK773" s="14" t="n"/>
      <c r="AL773" s="14" t="n"/>
      <c r="AM773" s="14" t="n"/>
      <c r="AN773" s="14" t="n"/>
      <c r="AO773" s="14" t="n"/>
      <c r="AP773" s="14" t="n"/>
      <c r="AQ773" s="14" t="n"/>
      <c r="AR773" s="14" t="n"/>
      <c r="AS773" s="14" t="n"/>
      <c r="AT773" s="14" t="n"/>
      <c r="AU773" s="14" t="n"/>
      <c r="AV773" s="14" t="n"/>
      <c r="AW773" s="14" t="n"/>
      <c r="AX773" s="14" t="n"/>
      <c r="AY773" s="14" t="n"/>
      <c r="AZ773" s="14" t="n"/>
      <c r="BA773" s="14" t="n"/>
      <c r="BB773" s="14" t="n"/>
      <c r="BC773" s="14" t="n"/>
      <c r="BD773" s="14" t="n"/>
      <c r="BE773" s="14" t="n"/>
      <c r="BF773" s="14" t="n"/>
      <c r="BG773" s="14" t="n"/>
      <c r="BH773" s="14" t="n"/>
      <c r="BI773" s="14" t="n"/>
      <c r="BJ773" s="14" t="n"/>
      <c r="BK773" s="14" t="n"/>
      <c r="BL773" s="14" t="n"/>
      <c r="BM773" s="14" t="n"/>
      <c r="BN773" s="14" t="n"/>
      <c r="BO773" s="14" t="n"/>
      <c r="BP773" s="14" t="n"/>
      <c r="BQ773" s="14" t="n"/>
      <c r="BR773" s="14" t="n"/>
      <c r="BS773" s="14" t="n"/>
      <c r="BT773" s="14" t="n"/>
      <c r="BU773" s="14" t="n"/>
      <c r="BV773" s="14" t="n"/>
      <c r="BW773" s="14" t="n"/>
      <c r="BX773" s="14" t="n"/>
      <c r="BY773" s="14" t="n"/>
      <c r="BZ773" s="14" t="n"/>
      <c r="CA773" s="14" t="n"/>
      <c r="CB773" s="14" t="n"/>
      <c r="CC773" s="14" t="n"/>
      <c r="CD773" s="14" t="n"/>
      <c r="CE773" s="14" t="n"/>
      <c r="CF773" s="14" t="n"/>
      <c r="CG773" s="14" t="n"/>
      <c r="CH773" s="14" t="n"/>
      <c r="CI773" s="14" t="n"/>
      <c r="CJ773" s="14" t="n"/>
      <c r="CK773" s="14" t="n"/>
      <c r="CL773" s="14" t="n"/>
      <c r="CM773" s="14" t="n"/>
      <c r="CN773" s="14" t="n"/>
      <c r="CO773" s="14" t="n"/>
      <c r="CP773" s="14" t="n"/>
      <c r="CQ773" s="14" t="n"/>
      <c r="CR773" s="14" t="n"/>
      <c r="CS773" s="14" t="n"/>
      <c r="CT773" s="14" t="n"/>
      <c r="CU773" s="14" t="n"/>
      <c r="CV773" s="14" t="n"/>
      <c r="CW773" s="14" t="n"/>
      <c r="CX773" s="14" t="n"/>
      <c r="CY773" s="14" t="n"/>
      <c r="CZ773" s="14" t="n"/>
      <c r="DA773" s="14" t="n"/>
      <c r="DB773" s="14" t="n"/>
      <c r="DC773" s="14" t="n"/>
    </row>
    <row r="774">
      <c r="B774" t="inlineStr">
        <is>
          <t>TSP-402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Name],$A773)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TSP-403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Name],$A773)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TSP-404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Name],$A773)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TSP-405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Name],$A773)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TSP-620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Name],$A773)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TSP-623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Name],$A773)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TSP-655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Name],$A773)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TSP-903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Name],$A773)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TSP-934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Name],$A773)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TSP-935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Name],$A773)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TSP-936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Name],$A773)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TSP-937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Name],$A773)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TSP-959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Name],$A773)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TSP-1388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Name],$A773)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TSP-1448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Name],$A773)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VSP-567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Name],$A773)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VSP-602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Name],$A773)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VSP-605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Name],$A773)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VSP-607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Name],$A773)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VSP-738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Name],$A773)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t="inlineStr">
        <is>
          <t>VSP-740</t>
        </is>
      </c>
      <c r="C814" t="inlineStr">
        <is>
          <t>No. of batches</t>
        </is>
      </c>
      <c r="D814">
        <f>IFERROR(INDEX(PP_Grid[#Data],$DD814,2),0)</f>
        <v/>
      </c>
      <c r="E814">
        <f>IFERROR(INDEX(PP_Grid[#Data],$DD814,3),0)</f>
        <v/>
      </c>
      <c r="F814">
        <f>IFERROR(INDEX(PP_Grid[#Data],$DD814,4),0)</f>
        <v/>
      </c>
      <c r="G814">
        <f>IFERROR(INDEX(PP_Grid[#Data],$DD814,5),0)</f>
        <v/>
      </c>
      <c r="H814">
        <f>IFERROR(INDEX(PP_Grid[#Data],$DD814,6),0)</f>
        <v/>
      </c>
      <c r="I814">
        <f>IFERROR(INDEX(PP_Grid[#Data],$DD814,7),0)</f>
        <v/>
      </c>
      <c r="J814">
        <f>IFERROR(INDEX(PP_Grid[#Data],$DD814,8),0)</f>
        <v/>
      </c>
      <c r="K814">
        <f>IFERROR(INDEX(PP_Grid[#Data],$DD814,9),0)</f>
        <v/>
      </c>
      <c r="L814">
        <f>IFERROR(INDEX(PP_Grid[#Data],$DD814,10),0)</f>
        <v/>
      </c>
      <c r="M814">
        <f>IFERROR(INDEX(PP_Grid[#Data],$DD814,11),0)</f>
        <v/>
      </c>
      <c r="N814">
        <f>IFERROR(INDEX(PP_Grid[#Data],$DD814,12),0)</f>
        <v/>
      </c>
      <c r="O814">
        <f>IFERROR(INDEX(PP_Grid[#Data],$DD814,13),0)</f>
        <v/>
      </c>
      <c r="P814">
        <f>IFERROR(INDEX(PP_Grid[#Data],$DD814,14),0)</f>
        <v/>
      </c>
      <c r="Q814">
        <f>IFERROR(INDEX(PP_Grid[#Data],$DD814,15),0)</f>
        <v/>
      </c>
      <c r="R814">
        <f>IFERROR(INDEX(PP_Grid[#Data],$DD814,16),0)</f>
        <v/>
      </c>
      <c r="S814">
        <f>IFERROR(INDEX(PP_Grid[#Data],$DD814,17),0)</f>
        <v/>
      </c>
      <c r="T814">
        <f>IFERROR(INDEX(PP_Grid[#Data],$DD814,18),0)</f>
        <v/>
      </c>
      <c r="U814">
        <f>IFERROR(INDEX(PP_Grid[#Data],$DD814,19),0)</f>
        <v/>
      </c>
      <c r="V814">
        <f>IFERROR(INDEX(PP_Grid[#Data],$DD814,20),0)</f>
        <v/>
      </c>
      <c r="W814">
        <f>IFERROR(INDEX(PP_Grid[#Data],$DD814,21),0)</f>
        <v/>
      </c>
      <c r="X814">
        <f>IFERROR(INDEX(PP_Grid[#Data],$DD814,22),0)</f>
        <v/>
      </c>
      <c r="Y814">
        <f>IFERROR(INDEX(PP_Grid[#Data],$DD814,23),0)</f>
        <v/>
      </c>
      <c r="Z814">
        <f>IFERROR(INDEX(PP_Grid[#Data],$DD814,24),0)</f>
        <v/>
      </c>
      <c r="AA814">
        <f>IFERROR(INDEX(PP_Grid[#Data],$DD814,25),0)</f>
        <v/>
      </c>
      <c r="AB814">
        <f>IFERROR(INDEX(PP_Grid[#Data],$DD814,26),0)</f>
        <v/>
      </c>
      <c r="AC814">
        <f>IFERROR(INDEX(PP_Grid[#Data],$DD814,27),0)</f>
        <v/>
      </c>
      <c r="AD814">
        <f>IFERROR(INDEX(PP_Grid[#Data],$DD814,28),0)</f>
        <v/>
      </c>
      <c r="AE814">
        <f>IFERROR(INDEX(PP_Grid[#Data],$DD814,29),0)</f>
        <v/>
      </c>
      <c r="AF814">
        <f>IFERROR(INDEX(PP_Grid[#Data],$DD814,30),0)</f>
        <v/>
      </c>
      <c r="AG814">
        <f>IFERROR(INDEX(PP_Grid[#Data],$DD814,31),0)</f>
        <v/>
      </c>
      <c r="AH814">
        <f>IFERROR(INDEX(PP_Grid[#Data],$DD814,32),0)</f>
        <v/>
      </c>
      <c r="AI814">
        <f>IFERROR(INDEX(PP_Grid[#Data],$DD814,33),0)</f>
        <v/>
      </c>
      <c r="AJ814">
        <f>IFERROR(INDEX(PP_Grid[#Data],$DD814,34),0)</f>
        <v/>
      </c>
      <c r="AK814">
        <f>IFERROR(INDEX(PP_Grid[#Data],$DD814,35),0)</f>
        <v/>
      </c>
      <c r="AL814">
        <f>IFERROR(INDEX(PP_Grid[#Data],$DD814,36),0)</f>
        <v/>
      </c>
      <c r="AM814">
        <f>IFERROR(INDEX(PP_Grid[#Data],$DD814,37),0)</f>
        <v/>
      </c>
      <c r="AN814">
        <f>IFERROR(INDEX(PP_Grid[#Data],$DD814,38),0)</f>
        <v/>
      </c>
      <c r="AO814">
        <f>IFERROR(INDEX(PP_Grid[#Data],$DD814,39),0)</f>
        <v/>
      </c>
      <c r="AP814">
        <f>IFERROR(INDEX(PP_Grid[#Data],$DD814,40),0)</f>
        <v/>
      </c>
      <c r="AQ814">
        <f>IFERROR(INDEX(PP_Grid[#Data],$DD814,41),0)</f>
        <v/>
      </c>
      <c r="AR814">
        <f>IFERROR(INDEX(PP_Grid[#Data],$DD814,42),0)</f>
        <v/>
      </c>
      <c r="AS814">
        <f>IFERROR(INDEX(PP_Grid[#Data],$DD814,43),0)</f>
        <v/>
      </c>
      <c r="AT814">
        <f>IFERROR(INDEX(PP_Grid[#Data],$DD814,44),0)</f>
        <v/>
      </c>
      <c r="AU814">
        <f>IFERROR(INDEX(PP_Grid[#Data],$DD814,45),0)</f>
        <v/>
      </c>
      <c r="AV814">
        <f>IFERROR(INDEX(PP_Grid[#Data],$DD814,46),0)</f>
        <v/>
      </c>
      <c r="AW814">
        <f>IFERROR(INDEX(PP_Grid[#Data],$DD814,47),0)</f>
        <v/>
      </c>
      <c r="AX814">
        <f>IFERROR(INDEX(PP_Grid[#Data],$DD814,48),0)</f>
        <v/>
      </c>
      <c r="AY814">
        <f>IFERROR(INDEX(PP_Grid[#Data],$DD814,49),0)</f>
        <v/>
      </c>
      <c r="AZ814">
        <f>IFERROR(INDEX(PP_Grid[#Data],$DD814,50),0)</f>
        <v/>
      </c>
      <c r="BA814">
        <f>IFERROR(INDEX(PP_Grid[#Data],$DD814,51),0)</f>
        <v/>
      </c>
      <c r="BB814">
        <f>IFERROR(INDEX(PP_Grid[#Data],$DD814,52),0)</f>
        <v/>
      </c>
      <c r="BC814">
        <f>IFERROR(INDEX(PP_Grid[#Data],$DD814,53),0)</f>
        <v/>
      </c>
      <c r="BD814">
        <f>IFERROR(INDEX(PP_Grid[#Data],$DD814,54),0)</f>
        <v/>
      </c>
      <c r="BE814">
        <f>IFERROR(INDEX(PP_Grid[#Data],$DD814,55),0)</f>
        <v/>
      </c>
      <c r="BF814">
        <f>IFERROR(INDEX(PP_Grid[#Data],$DD814,56),0)</f>
        <v/>
      </c>
      <c r="BG814">
        <f>IFERROR(INDEX(PP_Grid[#Data],$DD814,57),0)</f>
        <v/>
      </c>
      <c r="BH814">
        <f>IFERROR(INDEX(PP_Grid[#Data],$DD814,58),0)</f>
        <v/>
      </c>
      <c r="BI814">
        <f>IFERROR(INDEX(PP_Grid[#Data],$DD814,59),0)</f>
        <v/>
      </c>
      <c r="BJ814">
        <f>IFERROR(INDEX(PP_Grid[#Data],$DD814,60),0)</f>
        <v/>
      </c>
      <c r="BK814">
        <f>IFERROR(INDEX(PP_Grid[#Data],$DD814,61),0)</f>
        <v/>
      </c>
      <c r="BL814">
        <f>IFERROR(INDEX(PP_Grid[#Data],$DD814,62),0)</f>
        <v/>
      </c>
      <c r="BM814">
        <f>IFERROR(INDEX(PP_Grid[#Data],$DD814,63),0)</f>
        <v/>
      </c>
      <c r="BN814">
        <f>IFERROR(INDEX(PP_Grid[#Data],$DD814,64),0)</f>
        <v/>
      </c>
      <c r="BO814">
        <f>IFERROR(INDEX(PP_Grid[#Data],$DD814,65),0)</f>
        <v/>
      </c>
      <c r="BP814">
        <f>IFERROR(INDEX(PP_Grid[#Data],$DD814,66),0)</f>
        <v/>
      </c>
      <c r="BQ814">
        <f>IFERROR(INDEX(PP_Grid[#Data],$DD814,67),0)</f>
        <v/>
      </c>
      <c r="BR814">
        <f>IFERROR(INDEX(PP_Grid[#Data],$DD814,68),0)</f>
        <v/>
      </c>
      <c r="BS814">
        <f>IFERROR(INDEX(PP_Grid[#Data],$DD814,69),0)</f>
        <v/>
      </c>
      <c r="BT814">
        <f>IFERROR(INDEX(PP_Grid[#Data],$DD814,70),0)</f>
        <v/>
      </c>
      <c r="BU814">
        <f>IFERROR(INDEX(PP_Grid[#Data],$DD814,71),0)</f>
        <v/>
      </c>
      <c r="BV814">
        <f>IFERROR(INDEX(PP_Grid[#Data],$DD814,72),0)</f>
        <v/>
      </c>
      <c r="BW814">
        <f>IFERROR(INDEX(PP_Grid[#Data],$DD814,73),0)</f>
        <v/>
      </c>
      <c r="BX814">
        <f>IFERROR(INDEX(PP_Grid[#Data],$DD814,74),0)</f>
        <v/>
      </c>
      <c r="BY814">
        <f>IFERROR(INDEX(PP_Grid[#Data],$DD814,75),0)</f>
        <v/>
      </c>
      <c r="BZ814">
        <f>IFERROR(INDEX(PP_Grid[#Data],$DD814,76),0)</f>
        <v/>
      </c>
      <c r="CA814">
        <f>IFERROR(INDEX(PP_Grid[#Data],$DD814,77),0)</f>
        <v/>
      </c>
      <c r="CB814">
        <f>IFERROR(INDEX(PP_Grid[#Data],$DD814,78),0)</f>
        <v/>
      </c>
      <c r="CC814">
        <f>IFERROR(INDEX(PP_Grid[#Data],$DD814,79),0)</f>
        <v/>
      </c>
      <c r="CD814">
        <f>IFERROR(INDEX(PP_Grid[#Data],$DD814,80),0)</f>
        <v/>
      </c>
      <c r="CE814">
        <f>IFERROR(INDEX(PP_Grid[#Data],$DD814,81),0)</f>
        <v/>
      </c>
      <c r="CF814">
        <f>IFERROR(INDEX(PP_Grid[#Data],$DD814,82),0)</f>
        <v/>
      </c>
      <c r="CG814">
        <f>IFERROR(INDEX(PP_Grid[#Data],$DD814,83),0)</f>
        <v/>
      </c>
      <c r="CH814">
        <f>IFERROR(INDEX(PP_Grid[#Data],$DD814,84),0)</f>
        <v/>
      </c>
      <c r="CI814">
        <f>IFERROR(INDEX(PP_Grid[#Data],$DD814,85),0)</f>
        <v/>
      </c>
      <c r="CJ814">
        <f>IFERROR(INDEX(PP_Grid[#Data],$DD814,86),0)</f>
        <v/>
      </c>
      <c r="CK814">
        <f>IFERROR(INDEX(PP_Grid[#Data],$DD814,87),0)</f>
        <v/>
      </c>
      <c r="CL814">
        <f>IFERROR(INDEX(PP_Grid[#Data],$DD814,88),0)</f>
        <v/>
      </c>
      <c r="CM814">
        <f>IFERROR(INDEX(PP_Grid[#Data],$DD814,89),0)</f>
        <v/>
      </c>
      <c r="CN814">
        <f>IFERROR(INDEX(PP_Grid[#Data],$DD814,90),0)</f>
        <v/>
      </c>
      <c r="CO814">
        <f>IFERROR(INDEX(PP_Grid[#Data],$DD814,91),0)</f>
        <v/>
      </c>
      <c r="CP814">
        <f>IFERROR(INDEX(PP_Grid[#Data],$DD814,92),0)</f>
        <v/>
      </c>
      <c r="CQ814">
        <f>IFERROR(INDEX(PP_Grid[#Data],$DD814,93),0)</f>
        <v/>
      </c>
      <c r="CR814">
        <f>IFERROR(INDEX(PP_Grid[#Data],$DD814,94),0)</f>
        <v/>
      </c>
      <c r="CS814">
        <f>IFERROR(INDEX(PP_Grid[#Data],$DD814,95),0)</f>
        <v/>
      </c>
      <c r="CT814">
        <f>IFERROR(INDEX(PP_Grid[#Data],$DD814,96),0)</f>
        <v/>
      </c>
      <c r="CU814">
        <f>IFERROR(INDEX(PP_Grid[#Data],$DD814,97),0)</f>
        <v/>
      </c>
      <c r="CV814">
        <f>IFERROR(INDEX(PP_Grid[#Data],$DD814,98),0)</f>
        <v/>
      </c>
      <c r="CW814">
        <f>IFERROR(INDEX(PP_Grid[#Data],$DD814,99),0)</f>
        <v/>
      </c>
      <c r="CX814">
        <f>IFERROR(INDEX(PP_Grid[#Data],$DD814,100),0)</f>
        <v/>
      </c>
      <c r="CY814">
        <f>IFERROR(INDEX(PP_Grid[#Data],$DD814,101),0)</f>
        <v/>
      </c>
      <c r="CZ814">
        <f>IFERROR(INDEX(PP_Grid[#Data],$DD814,102),0)</f>
        <v/>
      </c>
      <c r="DA814">
        <f>IFERROR(INDEX(PP_Grid[#Data],$DD814,103),0)</f>
        <v/>
      </c>
      <c r="DB814">
        <f>IFERROR(INDEX(PP_Grid[#Data],$DD814,104),0)</f>
        <v/>
      </c>
      <c r="DC814">
        <f>IFERROR(INDEX(PP_Grid[#Data],$DD814,105),0)</f>
        <v/>
      </c>
      <c r="DD814" s="7">
        <f>IFERROR(MATCH($B814,PP_Grid[Intermediate],0),99999)</f>
        <v/>
      </c>
    </row>
    <row r="815">
      <c r="B815" t="inlineStr">
        <is>
          <t>使用量(kg)</t>
        </is>
      </c>
      <c r="C815">
        <f>SUMIFS(M_BOM[RM_Qty_Per_Batch],M_BOM[Intermediate],$B814,M_BOM[Part Name],$A773)</f>
        <v/>
      </c>
      <c r="D815">
        <f>$C815*D814</f>
        <v/>
      </c>
      <c r="E815">
        <f>$C815*E814</f>
        <v/>
      </c>
      <c r="F815">
        <f>$C815*F814</f>
        <v/>
      </c>
      <c r="G815">
        <f>$C815*G814</f>
        <v/>
      </c>
      <c r="H815">
        <f>$C815*H814</f>
        <v/>
      </c>
      <c r="I815">
        <f>$C815*I814</f>
        <v/>
      </c>
      <c r="J815">
        <f>$C815*J814</f>
        <v/>
      </c>
      <c r="K815">
        <f>$C815*K814</f>
        <v/>
      </c>
      <c r="L815">
        <f>$C815*L814</f>
        <v/>
      </c>
      <c r="M815">
        <f>$C815*M814</f>
        <v/>
      </c>
      <c r="N815">
        <f>$C815*N814</f>
        <v/>
      </c>
      <c r="O815">
        <f>$C815*O814</f>
        <v/>
      </c>
      <c r="P815">
        <f>$C815*P814</f>
        <v/>
      </c>
      <c r="Q815">
        <f>$C815*Q814</f>
        <v/>
      </c>
      <c r="R815">
        <f>$C815*R814</f>
        <v/>
      </c>
      <c r="S815">
        <f>$C815*S814</f>
        <v/>
      </c>
      <c r="T815">
        <f>$C815*T814</f>
        <v/>
      </c>
      <c r="U815">
        <f>$C815*U814</f>
        <v/>
      </c>
      <c r="V815">
        <f>$C815*V814</f>
        <v/>
      </c>
      <c r="W815">
        <f>$C815*W814</f>
        <v/>
      </c>
      <c r="X815">
        <f>$C815*X814</f>
        <v/>
      </c>
      <c r="Y815">
        <f>$C815*Y814</f>
        <v/>
      </c>
      <c r="Z815">
        <f>$C815*Z814</f>
        <v/>
      </c>
      <c r="AA815">
        <f>$C815*AA814</f>
        <v/>
      </c>
      <c r="AB815">
        <f>$C815*AB814</f>
        <v/>
      </c>
      <c r="AC815">
        <f>$C815*AC814</f>
        <v/>
      </c>
      <c r="AD815">
        <f>$C815*AD814</f>
        <v/>
      </c>
      <c r="AE815">
        <f>$C815*AE814</f>
        <v/>
      </c>
      <c r="AF815">
        <f>$C815*AF814</f>
        <v/>
      </c>
      <c r="AG815">
        <f>$C815*AG814</f>
        <v/>
      </c>
      <c r="AH815">
        <f>$C815*AH814</f>
        <v/>
      </c>
      <c r="AI815">
        <f>$C815*AI814</f>
        <v/>
      </c>
      <c r="AJ815">
        <f>$C815*AJ814</f>
        <v/>
      </c>
      <c r="AK815">
        <f>$C815*AK814</f>
        <v/>
      </c>
      <c r="AL815">
        <f>$C815*AL814</f>
        <v/>
      </c>
      <c r="AM815">
        <f>$C815*AM814</f>
        <v/>
      </c>
      <c r="AN815">
        <f>$C815*AN814</f>
        <v/>
      </c>
      <c r="AO815">
        <f>$C815*AO814</f>
        <v/>
      </c>
      <c r="AP815">
        <f>$C815*AP814</f>
        <v/>
      </c>
      <c r="AQ815">
        <f>$C815*AQ814</f>
        <v/>
      </c>
      <c r="AR815">
        <f>$C815*AR814</f>
        <v/>
      </c>
      <c r="AS815">
        <f>$C815*AS814</f>
        <v/>
      </c>
      <c r="AT815">
        <f>$C815*AT814</f>
        <v/>
      </c>
      <c r="AU815">
        <f>$C815*AU814</f>
        <v/>
      </c>
      <c r="AV815">
        <f>$C815*AV814</f>
        <v/>
      </c>
      <c r="AW815">
        <f>$C815*AW814</f>
        <v/>
      </c>
      <c r="AX815">
        <f>$C815*AX814</f>
        <v/>
      </c>
      <c r="AY815">
        <f>$C815*AY814</f>
        <v/>
      </c>
      <c r="AZ815">
        <f>$C815*AZ814</f>
        <v/>
      </c>
      <c r="BA815">
        <f>$C815*BA814</f>
        <v/>
      </c>
      <c r="BB815">
        <f>$C815*BB814</f>
        <v/>
      </c>
      <c r="BC815">
        <f>$C815*BC814</f>
        <v/>
      </c>
      <c r="BD815">
        <f>$C815*BD814</f>
        <v/>
      </c>
      <c r="BE815">
        <f>$C815*BE814</f>
        <v/>
      </c>
      <c r="BF815">
        <f>$C815*BF814</f>
        <v/>
      </c>
      <c r="BG815">
        <f>$C815*BG814</f>
        <v/>
      </c>
      <c r="BH815">
        <f>$C815*BH814</f>
        <v/>
      </c>
      <c r="BI815">
        <f>$C815*BI814</f>
        <v/>
      </c>
      <c r="BJ815">
        <f>$C815*BJ814</f>
        <v/>
      </c>
      <c r="BK815">
        <f>$C815*BK814</f>
        <v/>
      </c>
      <c r="BL815">
        <f>$C815*BL814</f>
        <v/>
      </c>
      <c r="BM815">
        <f>$C815*BM814</f>
        <v/>
      </c>
      <c r="BN815">
        <f>$C815*BN814</f>
        <v/>
      </c>
      <c r="BO815">
        <f>$C815*BO814</f>
        <v/>
      </c>
      <c r="BP815">
        <f>$C815*BP814</f>
        <v/>
      </c>
      <c r="BQ815">
        <f>$C815*BQ814</f>
        <v/>
      </c>
      <c r="BR815">
        <f>$C815*BR814</f>
        <v/>
      </c>
      <c r="BS815">
        <f>$C815*BS814</f>
        <v/>
      </c>
      <c r="BT815">
        <f>$C815*BT814</f>
        <v/>
      </c>
      <c r="BU815">
        <f>$C815*BU814</f>
        <v/>
      </c>
      <c r="BV815">
        <f>$C815*BV814</f>
        <v/>
      </c>
      <c r="BW815">
        <f>$C815*BW814</f>
        <v/>
      </c>
      <c r="BX815">
        <f>$C815*BX814</f>
        <v/>
      </c>
      <c r="BY815">
        <f>$C815*BY814</f>
        <v/>
      </c>
      <c r="BZ815">
        <f>$C815*BZ814</f>
        <v/>
      </c>
      <c r="CA815">
        <f>$C815*CA814</f>
        <v/>
      </c>
      <c r="CB815">
        <f>$C815*CB814</f>
        <v/>
      </c>
      <c r="CC815">
        <f>$C815*CC814</f>
        <v/>
      </c>
      <c r="CD815">
        <f>$C815*CD814</f>
        <v/>
      </c>
      <c r="CE815">
        <f>$C815*CE814</f>
        <v/>
      </c>
      <c r="CF815">
        <f>$C815*CF814</f>
        <v/>
      </c>
      <c r="CG815">
        <f>$C815*CG814</f>
        <v/>
      </c>
      <c r="CH815">
        <f>$C815*CH814</f>
        <v/>
      </c>
      <c r="CI815">
        <f>$C815*CI814</f>
        <v/>
      </c>
      <c r="CJ815">
        <f>$C815*CJ814</f>
        <v/>
      </c>
      <c r="CK815">
        <f>$C815*CK814</f>
        <v/>
      </c>
      <c r="CL815">
        <f>$C815*CL814</f>
        <v/>
      </c>
      <c r="CM815">
        <f>$C815*CM814</f>
        <v/>
      </c>
      <c r="CN815">
        <f>$C815*CN814</f>
        <v/>
      </c>
      <c r="CO815">
        <f>$C815*CO814</f>
        <v/>
      </c>
      <c r="CP815">
        <f>$C815*CP814</f>
        <v/>
      </c>
      <c r="CQ815">
        <f>$C815*CQ814</f>
        <v/>
      </c>
      <c r="CR815">
        <f>$C815*CR814</f>
        <v/>
      </c>
      <c r="CS815">
        <f>$C815*CS814</f>
        <v/>
      </c>
      <c r="CT815">
        <f>$C815*CT814</f>
        <v/>
      </c>
      <c r="CU815">
        <f>$C815*CU814</f>
        <v/>
      </c>
      <c r="CV815">
        <f>$C815*CV814</f>
        <v/>
      </c>
      <c r="CW815">
        <f>$C815*CW814</f>
        <v/>
      </c>
      <c r="CX815">
        <f>$C815*CX814</f>
        <v/>
      </c>
      <c r="CY815">
        <f>$C815*CY814</f>
        <v/>
      </c>
      <c r="CZ815">
        <f>$C815*CZ814</f>
        <v/>
      </c>
      <c r="DA815">
        <f>$C815*DA814</f>
        <v/>
      </c>
      <c r="DB815">
        <f>$C815*DB814</f>
        <v/>
      </c>
      <c r="DC815">
        <f>$C815*DC814</f>
        <v/>
      </c>
    </row>
    <row r="816">
      <c r="B816" t="inlineStr">
        <is>
          <t>VSP-746</t>
        </is>
      </c>
      <c r="C816" t="inlineStr">
        <is>
          <t>No. of batches</t>
        </is>
      </c>
      <c r="D816">
        <f>IFERROR(INDEX(PP_Grid[#Data],$DD816,2),0)</f>
        <v/>
      </c>
      <c r="E816">
        <f>IFERROR(INDEX(PP_Grid[#Data],$DD816,3),0)</f>
        <v/>
      </c>
      <c r="F816">
        <f>IFERROR(INDEX(PP_Grid[#Data],$DD816,4),0)</f>
        <v/>
      </c>
      <c r="G816">
        <f>IFERROR(INDEX(PP_Grid[#Data],$DD816,5),0)</f>
        <v/>
      </c>
      <c r="H816">
        <f>IFERROR(INDEX(PP_Grid[#Data],$DD816,6),0)</f>
        <v/>
      </c>
      <c r="I816">
        <f>IFERROR(INDEX(PP_Grid[#Data],$DD816,7),0)</f>
        <v/>
      </c>
      <c r="J816">
        <f>IFERROR(INDEX(PP_Grid[#Data],$DD816,8),0)</f>
        <v/>
      </c>
      <c r="K816">
        <f>IFERROR(INDEX(PP_Grid[#Data],$DD816,9),0)</f>
        <v/>
      </c>
      <c r="L816">
        <f>IFERROR(INDEX(PP_Grid[#Data],$DD816,10),0)</f>
        <v/>
      </c>
      <c r="M816">
        <f>IFERROR(INDEX(PP_Grid[#Data],$DD816,11),0)</f>
        <v/>
      </c>
      <c r="N816">
        <f>IFERROR(INDEX(PP_Grid[#Data],$DD816,12),0)</f>
        <v/>
      </c>
      <c r="O816">
        <f>IFERROR(INDEX(PP_Grid[#Data],$DD816,13),0)</f>
        <v/>
      </c>
      <c r="P816">
        <f>IFERROR(INDEX(PP_Grid[#Data],$DD816,14),0)</f>
        <v/>
      </c>
      <c r="Q816">
        <f>IFERROR(INDEX(PP_Grid[#Data],$DD816,15),0)</f>
        <v/>
      </c>
      <c r="R816">
        <f>IFERROR(INDEX(PP_Grid[#Data],$DD816,16),0)</f>
        <v/>
      </c>
      <c r="S816">
        <f>IFERROR(INDEX(PP_Grid[#Data],$DD816,17),0)</f>
        <v/>
      </c>
      <c r="T816">
        <f>IFERROR(INDEX(PP_Grid[#Data],$DD816,18),0)</f>
        <v/>
      </c>
      <c r="U816">
        <f>IFERROR(INDEX(PP_Grid[#Data],$DD816,19),0)</f>
        <v/>
      </c>
      <c r="V816">
        <f>IFERROR(INDEX(PP_Grid[#Data],$DD816,20),0)</f>
        <v/>
      </c>
      <c r="W816">
        <f>IFERROR(INDEX(PP_Grid[#Data],$DD816,21),0)</f>
        <v/>
      </c>
      <c r="X816">
        <f>IFERROR(INDEX(PP_Grid[#Data],$DD816,22),0)</f>
        <v/>
      </c>
      <c r="Y816">
        <f>IFERROR(INDEX(PP_Grid[#Data],$DD816,23),0)</f>
        <v/>
      </c>
      <c r="Z816">
        <f>IFERROR(INDEX(PP_Grid[#Data],$DD816,24),0)</f>
        <v/>
      </c>
      <c r="AA816">
        <f>IFERROR(INDEX(PP_Grid[#Data],$DD816,25),0)</f>
        <v/>
      </c>
      <c r="AB816">
        <f>IFERROR(INDEX(PP_Grid[#Data],$DD816,26),0)</f>
        <v/>
      </c>
      <c r="AC816">
        <f>IFERROR(INDEX(PP_Grid[#Data],$DD816,27),0)</f>
        <v/>
      </c>
      <c r="AD816">
        <f>IFERROR(INDEX(PP_Grid[#Data],$DD816,28),0)</f>
        <v/>
      </c>
      <c r="AE816">
        <f>IFERROR(INDEX(PP_Grid[#Data],$DD816,29),0)</f>
        <v/>
      </c>
      <c r="AF816">
        <f>IFERROR(INDEX(PP_Grid[#Data],$DD816,30),0)</f>
        <v/>
      </c>
      <c r="AG816">
        <f>IFERROR(INDEX(PP_Grid[#Data],$DD816,31),0)</f>
        <v/>
      </c>
      <c r="AH816">
        <f>IFERROR(INDEX(PP_Grid[#Data],$DD816,32),0)</f>
        <v/>
      </c>
      <c r="AI816">
        <f>IFERROR(INDEX(PP_Grid[#Data],$DD816,33),0)</f>
        <v/>
      </c>
      <c r="AJ816">
        <f>IFERROR(INDEX(PP_Grid[#Data],$DD816,34),0)</f>
        <v/>
      </c>
      <c r="AK816">
        <f>IFERROR(INDEX(PP_Grid[#Data],$DD816,35),0)</f>
        <v/>
      </c>
      <c r="AL816">
        <f>IFERROR(INDEX(PP_Grid[#Data],$DD816,36),0)</f>
        <v/>
      </c>
      <c r="AM816">
        <f>IFERROR(INDEX(PP_Grid[#Data],$DD816,37),0)</f>
        <v/>
      </c>
      <c r="AN816">
        <f>IFERROR(INDEX(PP_Grid[#Data],$DD816,38),0)</f>
        <v/>
      </c>
      <c r="AO816">
        <f>IFERROR(INDEX(PP_Grid[#Data],$DD816,39),0)</f>
        <v/>
      </c>
      <c r="AP816">
        <f>IFERROR(INDEX(PP_Grid[#Data],$DD816,40),0)</f>
        <v/>
      </c>
      <c r="AQ816">
        <f>IFERROR(INDEX(PP_Grid[#Data],$DD816,41),0)</f>
        <v/>
      </c>
      <c r="AR816">
        <f>IFERROR(INDEX(PP_Grid[#Data],$DD816,42),0)</f>
        <v/>
      </c>
      <c r="AS816">
        <f>IFERROR(INDEX(PP_Grid[#Data],$DD816,43),0)</f>
        <v/>
      </c>
      <c r="AT816">
        <f>IFERROR(INDEX(PP_Grid[#Data],$DD816,44),0)</f>
        <v/>
      </c>
      <c r="AU816">
        <f>IFERROR(INDEX(PP_Grid[#Data],$DD816,45),0)</f>
        <v/>
      </c>
      <c r="AV816">
        <f>IFERROR(INDEX(PP_Grid[#Data],$DD816,46),0)</f>
        <v/>
      </c>
      <c r="AW816">
        <f>IFERROR(INDEX(PP_Grid[#Data],$DD816,47),0)</f>
        <v/>
      </c>
      <c r="AX816">
        <f>IFERROR(INDEX(PP_Grid[#Data],$DD816,48),0)</f>
        <v/>
      </c>
      <c r="AY816">
        <f>IFERROR(INDEX(PP_Grid[#Data],$DD816,49),0)</f>
        <v/>
      </c>
      <c r="AZ816">
        <f>IFERROR(INDEX(PP_Grid[#Data],$DD816,50),0)</f>
        <v/>
      </c>
      <c r="BA816">
        <f>IFERROR(INDEX(PP_Grid[#Data],$DD816,51),0)</f>
        <v/>
      </c>
      <c r="BB816">
        <f>IFERROR(INDEX(PP_Grid[#Data],$DD816,52),0)</f>
        <v/>
      </c>
      <c r="BC816">
        <f>IFERROR(INDEX(PP_Grid[#Data],$DD816,53),0)</f>
        <v/>
      </c>
      <c r="BD816">
        <f>IFERROR(INDEX(PP_Grid[#Data],$DD816,54),0)</f>
        <v/>
      </c>
      <c r="BE816">
        <f>IFERROR(INDEX(PP_Grid[#Data],$DD816,55),0)</f>
        <v/>
      </c>
      <c r="BF816">
        <f>IFERROR(INDEX(PP_Grid[#Data],$DD816,56),0)</f>
        <v/>
      </c>
      <c r="BG816">
        <f>IFERROR(INDEX(PP_Grid[#Data],$DD816,57),0)</f>
        <v/>
      </c>
      <c r="BH816">
        <f>IFERROR(INDEX(PP_Grid[#Data],$DD816,58),0)</f>
        <v/>
      </c>
      <c r="BI816">
        <f>IFERROR(INDEX(PP_Grid[#Data],$DD816,59),0)</f>
        <v/>
      </c>
      <c r="BJ816">
        <f>IFERROR(INDEX(PP_Grid[#Data],$DD816,60),0)</f>
        <v/>
      </c>
      <c r="BK816">
        <f>IFERROR(INDEX(PP_Grid[#Data],$DD816,61),0)</f>
        <v/>
      </c>
      <c r="BL816">
        <f>IFERROR(INDEX(PP_Grid[#Data],$DD816,62),0)</f>
        <v/>
      </c>
      <c r="BM816">
        <f>IFERROR(INDEX(PP_Grid[#Data],$DD816,63),0)</f>
        <v/>
      </c>
      <c r="BN816">
        <f>IFERROR(INDEX(PP_Grid[#Data],$DD816,64),0)</f>
        <v/>
      </c>
      <c r="BO816">
        <f>IFERROR(INDEX(PP_Grid[#Data],$DD816,65),0)</f>
        <v/>
      </c>
      <c r="BP816">
        <f>IFERROR(INDEX(PP_Grid[#Data],$DD816,66),0)</f>
        <v/>
      </c>
      <c r="BQ816">
        <f>IFERROR(INDEX(PP_Grid[#Data],$DD816,67),0)</f>
        <v/>
      </c>
      <c r="BR816">
        <f>IFERROR(INDEX(PP_Grid[#Data],$DD816,68),0)</f>
        <v/>
      </c>
      <c r="BS816">
        <f>IFERROR(INDEX(PP_Grid[#Data],$DD816,69),0)</f>
        <v/>
      </c>
      <c r="BT816">
        <f>IFERROR(INDEX(PP_Grid[#Data],$DD816,70),0)</f>
        <v/>
      </c>
      <c r="BU816">
        <f>IFERROR(INDEX(PP_Grid[#Data],$DD816,71),0)</f>
        <v/>
      </c>
      <c r="BV816">
        <f>IFERROR(INDEX(PP_Grid[#Data],$DD816,72),0)</f>
        <v/>
      </c>
      <c r="BW816">
        <f>IFERROR(INDEX(PP_Grid[#Data],$DD816,73),0)</f>
        <v/>
      </c>
      <c r="BX816">
        <f>IFERROR(INDEX(PP_Grid[#Data],$DD816,74),0)</f>
        <v/>
      </c>
      <c r="BY816">
        <f>IFERROR(INDEX(PP_Grid[#Data],$DD816,75),0)</f>
        <v/>
      </c>
      <c r="BZ816">
        <f>IFERROR(INDEX(PP_Grid[#Data],$DD816,76),0)</f>
        <v/>
      </c>
      <c r="CA816">
        <f>IFERROR(INDEX(PP_Grid[#Data],$DD816,77),0)</f>
        <v/>
      </c>
      <c r="CB816">
        <f>IFERROR(INDEX(PP_Grid[#Data],$DD816,78),0)</f>
        <v/>
      </c>
      <c r="CC816">
        <f>IFERROR(INDEX(PP_Grid[#Data],$DD816,79),0)</f>
        <v/>
      </c>
      <c r="CD816">
        <f>IFERROR(INDEX(PP_Grid[#Data],$DD816,80),0)</f>
        <v/>
      </c>
      <c r="CE816">
        <f>IFERROR(INDEX(PP_Grid[#Data],$DD816,81),0)</f>
        <v/>
      </c>
      <c r="CF816">
        <f>IFERROR(INDEX(PP_Grid[#Data],$DD816,82),0)</f>
        <v/>
      </c>
      <c r="CG816">
        <f>IFERROR(INDEX(PP_Grid[#Data],$DD816,83),0)</f>
        <v/>
      </c>
      <c r="CH816">
        <f>IFERROR(INDEX(PP_Grid[#Data],$DD816,84),0)</f>
        <v/>
      </c>
      <c r="CI816">
        <f>IFERROR(INDEX(PP_Grid[#Data],$DD816,85),0)</f>
        <v/>
      </c>
      <c r="CJ816">
        <f>IFERROR(INDEX(PP_Grid[#Data],$DD816,86),0)</f>
        <v/>
      </c>
      <c r="CK816">
        <f>IFERROR(INDEX(PP_Grid[#Data],$DD816,87),0)</f>
        <v/>
      </c>
      <c r="CL816">
        <f>IFERROR(INDEX(PP_Grid[#Data],$DD816,88),0)</f>
        <v/>
      </c>
      <c r="CM816">
        <f>IFERROR(INDEX(PP_Grid[#Data],$DD816,89),0)</f>
        <v/>
      </c>
      <c r="CN816">
        <f>IFERROR(INDEX(PP_Grid[#Data],$DD816,90),0)</f>
        <v/>
      </c>
      <c r="CO816">
        <f>IFERROR(INDEX(PP_Grid[#Data],$DD816,91),0)</f>
        <v/>
      </c>
      <c r="CP816">
        <f>IFERROR(INDEX(PP_Grid[#Data],$DD816,92),0)</f>
        <v/>
      </c>
      <c r="CQ816">
        <f>IFERROR(INDEX(PP_Grid[#Data],$DD816,93),0)</f>
        <v/>
      </c>
      <c r="CR816">
        <f>IFERROR(INDEX(PP_Grid[#Data],$DD816,94),0)</f>
        <v/>
      </c>
      <c r="CS816">
        <f>IFERROR(INDEX(PP_Grid[#Data],$DD816,95),0)</f>
        <v/>
      </c>
      <c r="CT816">
        <f>IFERROR(INDEX(PP_Grid[#Data],$DD816,96),0)</f>
        <v/>
      </c>
      <c r="CU816">
        <f>IFERROR(INDEX(PP_Grid[#Data],$DD816,97),0)</f>
        <v/>
      </c>
      <c r="CV816">
        <f>IFERROR(INDEX(PP_Grid[#Data],$DD816,98),0)</f>
        <v/>
      </c>
      <c r="CW816">
        <f>IFERROR(INDEX(PP_Grid[#Data],$DD816,99),0)</f>
        <v/>
      </c>
      <c r="CX816">
        <f>IFERROR(INDEX(PP_Grid[#Data],$DD816,100),0)</f>
        <v/>
      </c>
      <c r="CY816">
        <f>IFERROR(INDEX(PP_Grid[#Data],$DD816,101),0)</f>
        <v/>
      </c>
      <c r="CZ816">
        <f>IFERROR(INDEX(PP_Grid[#Data],$DD816,102),0)</f>
        <v/>
      </c>
      <c r="DA816">
        <f>IFERROR(INDEX(PP_Grid[#Data],$DD816,103),0)</f>
        <v/>
      </c>
      <c r="DB816">
        <f>IFERROR(INDEX(PP_Grid[#Data],$DD816,104),0)</f>
        <v/>
      </c>
      <c r="DC816">
        <f>IFERROR(INDEX(PP_Grid[#Data],$DD816,105),0)</f>
        <v/>
      </c>
      <c r="DD816" s="7">
        <f>IFERROR(MATCH($B816,PP_Grid[Intermediate],0),99999)</f>
        <v/>
      </c>
    </row>
    <row r="817">
      <c r="B817" t="inlineStr">
        <is>
          <t>使用量(kg)</t>
        </is>
      </c>
      <c r="C817">
        <f>SUMIFS(M_BOM[RM_Qty_Per_Batch],M_BOM[Intermediate],$B816,M_BOM[Part Name],$A773)</f>
        <v/>
      </c>
      <c r="D817">
        <f>$C817*D816</f>
        <v/>
      </c>
      <c r="E817">
        <f>$C817*E816</f>
        <v/>
      </c>
      <c r="F817">
        <f>$C817*F816</f>
        <v/>
      </c>
      <c r="G817">
        <f>$C817*G816</f>
        <v/>
      </c>
      <c r="H817">
        <f>$C817*H816</f>
        <v/>
      </c>
      <c r="I817">
        <f>$C817*I816</f>
        <v/>
      </c>
      <c r="J817">
        <f>$C817*J816</f>
        <v/>
      </c>
      <c r="K817">
        <f>$C817*K816</f>
        <v/>
      </c>
      <c r="L817">
        <f>$C817*L816</f>
        <v/>
      </c>
      <c r="M817">
        <f>$C817*M816</f>
        <v/>
      </c>
      <c r="N817">
        <f>$C817*N816</f>
        <v/>
      </c>
      <c r="O817">
        <f>$C817*O816</f>
        <v/>
      </c>
      <c r="P817">
        <f>$C817*P816</f>
        <v/>
      </c>
      <c r="Q817">
        <f>$C817*Q816</f>
        <v/>
      </c>
      <c r="R817">
        <f>$C817*R816</f>
        <v/>
      </c>
      <c r="S817">
        <f>$C817*S816</f>
        <v/>
      </c>
      <c r="T817">
        <f>$C817*T816</f>
        <v/>
      </c>
      <c r="U817">
        <f>$C817*U816</f>
        <v/>
      </c>
      <c r="V817">
        <f>$C817*V816</f>
        <v/>
      </c>
      <c r="W817">
        <f>$C817*W816</f>
        <v/>
      </c>
      <c r="X817">
        <f>$C817*X816</f>
        <v/>
      </c>
      <c r="Y817">
        <f>$C817*Y816</f>
        <v/>
      </c>
      <c r="Z817">
        <f>$C817*Z816</f>
        <v/>
      </c>
      <c r="AA817">
        <f>$C817*AA816</f>
        <v/>
      </c>
      <c r="AB817">
        <f>$C817*AB816</f>
        <v/>
      </c>
      <c r="AC817">
        <f>$C817*AC816</f>
        <v/>
      </c>
      <c r="AD817">
        <f>$C817*AD816</f>
        <v/>
      </c>
      <c r="AE817">
        <f>$C817*AE816</f>
        <v/>
      </c>
      <c r="AF817">
        <f>$C817*AF816</f>
        <v/>
      </c>
      <c r="AG817">
        <f>$C817*AG816</f>
        <v/>
      </c>
      <c r="AH817">
        <f>$C817*AH816</f>
        <v/>
      </c>
      <c r="AI817">
        <f>$C817*AI816</f>
        <v/>
      </c>
      <c r="AJ817">
        <f>$C817*AJ816</f>
        <v/>
      </c>
      <c r="AK817">
        <f>$C817*AK816</f>
        <v/>
      </c>
      <c r="AL817">
        <f>$C817*AL816</f>
        <v/>
      </c>
      <c r="AM817">
        <f>$C817*AM816</f>
        <v/>
      </c>
      <c r="AN817">
        <f>$C817*AN816</f>
        <v/>
      </c>
      <c r="AO817">
        <f>$C817*AO816</f>
        <v/>
      </c>
      <c r="AP817">
        <f>$C817*AP816</f>
        <v/>
      </c>
      <c r="AQ817">
        <f>$C817*AQ816</f>
        <v/>
      </c>
      <c r="AR817">
        <f>$C817*AR816</f>
        <v/>
      </c>
      <c r="AS817">
        <f>$C817*AS816</f>
        <v/>
      </c>
      <c r="AT817">
        <f>$C817*AT816</f>
        <v/>
      </c>
      <c r="AU817">
        <f>$C817*AU816</f>
        <v/>
      </c>
      <c r="AV817">
        <f>$C817*AV816</f>
        <v/>
      </c>
      <c r="AW817">
        <f>$C817*AW816</f>
        <v/>
      </c>
      <c r="AX817">
        <f>$C817*AX816</f>
        <v/>
      </c>
      <c r="AY817">
        <f>$C817*AY816</f>
        <v/>
      </c>
      <c r="AZ817">
        <f>$C817*AZ816</f>
        <v/>
      </c>
      <c r="BA817">
        <f>$C817*BA816</f>
        <v/>
      </c>
      <c r="BB817">
        <f>$C817*BB816</f>
        <v/>
      </c>
      <c r="BC817">
        <f>$C817*BC816</f>
        <v/>
      </c>
      <c r="BD817">
        <f>$C817*BD816</f>
        <v/>
      </c>
      <c r="BE817">
        <f>$C817*BE816</f>
        <v/>
      </c>
      <c r="BF817">
        <f>$C817*BF816</f>
        <v/>
      </c>
      <c r="BG817">
        <f>$C817*BG816</f>
        <v/>
      </c>
      <c r="BH817">
        <f>$C817*BH816</f>
        <v/>
      </c>
      <c r="BI817">
        <f>$C817*BI816</f>
        <v/>
      </c>
      <c r="BJ817">
        <f>$C817*BJ816</f>
        <v/>
      </c>
      <c r="BK817">
        <f>$C817*BK816</f>
        <v/>
      </c>
      <c r="BL817">
        <f>$C817*BL816</f>
        <v/>
      </c>
      <c r="BM817">
        <f>$C817*BM816</f>
        <v/>
      </c>
      <c r="BN817">
        <f>$C817*BN816</f>
        <v/>
      </c>
      <c r="BO817">
        <f>$C817*BO816</f>
        <v/>
      </c>
      <c r="BP817">
        <f>$C817*BP816</f>
        <v/>
      </c>
      <c r="BQ817">
        <f>$C817*BQ816</f>
        <v/>
      </c>
      <c r="BR817">
        <f>$C817*BR816</f>
        <v/>
      </c>
      <c r="BS817">
        <f>$C817*BS816</f>
        <v/>
      </c>
      <c r="BT817">
        <f>$C817*BT816</f>
        <v/>
      </c>
      <c r="BU817">
        <f>$C817*BU816</f>
        <v/>
      </c>
      <c r="BV817">
        <f>$C817*BV816</f>
        <v/>
      </c>
      <c r="BW817">
        <f>$C817*BW816</f>
        <v/>
      </c>
      <c r="BX817">
        <f>$C817*BX816</f>
        <v/>
      </c>
      <c r="BY817">
        <f>$C817*BY816</f>
        <v/>
      </c>
      <c r="BZ817">
        <f>$C817*BZ816</f>
        <v/>
      </c>
      <c r="CA817">
        <f>$C817*CA816</f>
        <v/>
      </c>
      <c r="CB817">
        <f>$C817*CB816</f>
        <v/>
      </c>
      <c r="CC817">
        <f>$C817*CC816</f>
        <v/>
      </c>
      <c r="CD817">
        <f>$C817*CD816</f>
        <v/>
      </c>
      <c r="CE817">
        <f>$C817*CE816</f>
        <v/>
      </c>
      <c r="CF817">
        <f>$C817*CF816</f>
        <v/>
      </c>
      <c r="CG817">
        <f>$C817*CG816</f>
        <v/>
      </c>
      <c r="CH817">
        <f>$C817*CH816</f>
        <v/>
      </c>
      <c r="CI817">
        <f>$C817*CI816</f>
        <v/>
      </c>
      <c r="CJ817">
        <f>$C817*CJ816</f>
        <v/>
      </c>
      <c r="CK817">
        <f>$C817*CK816</f>
        <v/>
      </c>
      <c r="CL817">
        <f>$C817*CL816</f>
        <v/>
      </c>
      <c r="CM817">
        <f>$C817*CM816</f>
        <v/>
      </c>
      <c r="CN817">
        <f>$C817*CN816</f>
        <v/>
      </c>
      <c r="CO817">
        <f>$C817*CO816</f>
        <v/>
      </c>
      <c r="CP817">
        <f>$C817*CP816</f>
        <v/>
      </c>
      <c r="CQ817">
        <f>$C817*CQ816</f>
        <v/>
      </c>
      <c r="CR817">
        <f>$C817*CR816</f>
        <v/>
      </c>
      <c r="CS817">
        <f>$C817*CS816</f>
        <v/>
      </c>
      <c r="CT817">
        <f>$C817*CT816</f>
        <v/>
      </c>
      <c r="CU817">
        <f>$C817*CU816</f>
        <v/>
      </c>
      <c r="CV817">
        <f>$C817*CV816</f>
        <v/>
      </c>
      <c r="CW817">
        <f>$C817*CW816</f>
        <v/>
      </c>
      <c r="CX817">
        <f>$C817*CX816</f>
        <v/>
      </c>
      <c r="CY817">
        <f>$C817*CY816</f>
        <v/>
      </c>
      <c r="CZ817">
        <f>$C817*CZ816</f>
        <v/>
      </c>
      <c r="DA817">
        <f>$C817*DA816</f>
        <v/>
      </c>
      <c r="DB817">
        <f>$C817*DB816</f>
        <v/>
      </c>
      <c r="DC817">
        <f>$C817*DC816</f>
        <v/>
      </c>
    </row>
    <row r="818">
      <c r="B818" t="inlineStr">
        <is>
          <t>VSP-822</t>
        </is>
      </c>
      <c r="C818" t="inlineStr">
        <is>
          <t>No. of batches</t>
        </is>
      </c>
      <c r="D818">
        <f>IFERROR(INDEX(PP_Grid[#Data],$DD818,2),0)</f>
        <v/>
      </c>
      <c r="E818">
        <f>IFERROR(INDEX(PP_Grid[#Data],$DD818,3),0)</f>
        <v/>
      </c>
      <c r="F818">
        <f>IFERROR(INDEX(PP_Grid[#Data],$DD818,4),0)</f>
        <v/>
      </c>
      <c r="G818">
        <f>IFERROR(INDEX(PP_Grid[#Data],$DD818,5),0)</f>
        <v/>
      </c>
      <c r="H818">
        <f>IFERROR(INDEX(PP_Grid[#Data],$DD818,6),0)</f>
        <v/>
      </c>
      <c r="I818">
        <f>IFERROR(INDEX(PP_Grid[#Data],$DD818,7),0)</f>
        <v/>
      </c>
      <c r="J818">
        <f>IFERROR(INDEX(PP_Grid[#Data],$DD818,8),0)</f>
        <v/>
      </c>
      <c r="K818">
        <f>IFERROR(INDEX(PP_Grid[#Data],$DD818,9),0)</f>
        <v/>
      </c>
      <c r="L818">
        <f>IFERROR(INDEX(PP_Grid[#Data],$DD818,10),0)</f>
        <v/>
      </c>
      <c r="M818">
        <f>IFERROR(INDEX(PP_Grid[#Data],$DD818,11),0)</f>
        <v/>
      </c>
      <c r="N818">
        <f>IFERROR(INDEX(PP_Grid[#Data],$DD818,12),0)</f>
        <v/>
      </c>
      <c r="O818">
        <f>IFERROR(INDEX(PP_Grid[#Data],$DD818,13),0)</f>
        <v/>
      </c>
      <c r="P818">
        <f>IFERROR(INDEX(PP_Grid[#Data],$DD818,14),0)</f>
        <v/>
      </c>
      <c r="Q818">
        <f>IFERROR(INDEX(PP_Grid[#Data],$DD818,15),0)</f>
        <v/>
      </c>
      <c r="R818">
        <f>IFERROR(INDEX(PP_Grid[#Data],$DD818,16),0)</f>
        <v/>
      </c>
      <c r="S818">
        <f>IFERROR(INDEX(PP_Grid[#Data],$DD818,17),0)</f>
        <v/>
      </c>
      <c r="T818">
        <f>IFERROR(INDEX(PP_Grid[#Data],$DD818,18),0)</f>
        <v/>
      </c>
      <c r="U818">
        <f>IFERROR(INDEX(PP_Grid[#Data],$DD818,19),0)</f>
        <v/>
      </c>
      <c r="V818">
        <f>IFERROR(INDEX(PP_Grid[#Data],$DD818,20),0)</f>
        <v/>
      </c>
      <c r="W818">
        <f>IFERROR(INDEX(PP_Grid[#Data],$DD818,21),0)</f>
        <v/>
      </c>
      <c r="X818">
        <f>IFERROR(INDEX(PP_Grid[#Data],$DD818,22),0)</f>
        <v/>
      </c>
      <c r="Y818">
        <f>IFERROR(INDEX(PP_Grid[#Data],$DD818,23),0)</f>
        <v/>
      </c>
      <c r="Z818">
        <f>IFERROR(INDEX(PP_Grid[#Data],$DD818,24),0)</f>
        <v/>
      </c>
      <c r="AA818">
        <f>IFERROR(INDEX(PP_Grid[#Data],$DD818,25),0)</f>
        <v/>
      </c>
      <c r="AB818">
        <f>IFERROR(INDEX(PP_Grid[#Data],$DD818,26),0)</f>
        <v/>
      </c>
      <c r="AC818">
        <f>IFERROR(INDEX(PP_Grid[#Data],$DD818,27),0)</f>
        <v/>
      </c>
      <c r="AD818">
        <f>IFERROR(INDEX(PP_Grid[#Data],$DD818,28),0)</f>
        <v/>
      </c>
      <c r="AE818">
        <f>IFERROR(INDEX(PP_Grid[#Data],$DD818,29),0)</f>
        <v/>
      </c>
      <c r="AF818">
        <f>IFERROR(INDEX(PP_Grid[#Data],$DD818,30),0)</f>
        <v/>
      </c>
      <c r="AG818">
        <f>IFERROR(INDEX(PP_Grid[#Data],$DD818,31),0)</f>
        <v/>
      </c>
      <c r="AH818">
        <f>IFERROR(INDEX(PP_Grid[#Data],$DD818,32),0)</f>
        <v/>
      </c>
      <c r="AI818">
        <f>IFERROR(INDEX(PP_Grid[#Data],$DD818,33),0)</f>
        <v/>
      </c>
      <c r="AJ818">
        <f>IFERROR(INDEX(PP_Grid[#Data],$DD818,34),0)</f>
        <v/>
      </c>
      <c r="AK818">
        <f>IFERROR(INDEX(PP_Grid[#Data],$DD818,35),0)</f>
        <v/>
      </c>
      <c r="AL818">
        <f>IFERROR(INDEX(PP_Grid[#Data],$DD818,36),0)</f>
        <v/>
      </c>
      <c r="AM818">
        <f>IFERROR(INDEX(PP_Grid[#Data],$DD818,37),0)</f>
        <v/>
      </c>
      <c r="AN818">
        <f>IFERROR(INDEX(PP_Grid[#Data],$DD818,38),0)</f>
        <v/>
      </c>
      <c r="AO818">
        <f>IFERROR(INDEX(PP_Grid[#Data],$DD818,39),0)</f>
        <v/>
      </c>
      <c r="AP818">
        <f>IFERROR(INDEX(PP_Grid[#Data],$DD818,40),0)</f>
        <v/>
      </c>
      <c r="AQ818">
        <f>IFERROR(INDEX(PP_Grid[#Data],$DD818,41),0)</f>
        <v/>
      </c>
      <c r="AR818">
        <f>IFERROR(INDEX(PP_Grid[#Data],$DD818,42),0)</f>
        <v/>
      </c>
      <c r="AS818">
        <f>IFERROR(INDEX(PP_Grid[#Data],$DD818,43),0)</f>
        <v/>
      </c>
      <c r="AT818">
        <f>IFERROR(INDEX(PP_Grid[#Data],$DD818,44),0)</f>
        <v/>
      </c>
      <c r="AU818">
        <f>IFERROR(INDEX(PP_Grid[#Data],$DD818,45),0)</f>
        <v/>
      </c>
      <c r="AV818">
        <f>IFERROR(INDEX(PP_Grid[#Data],$DD818,46),0)</f>
        <v/>
      </c>
      <c r="AW818">
        <f>IFERROR(INDEX(PP_Grid[#Data],$DD818,47),0)</f>
        <v/>
      </c>
      <c r="AX818">
        <f>IFERROR(INDEX(PP_Grid[#Data],$DD818,48),0)</f>
        <v/>
      </c>
      <c r="AY818">
        <f>IFERROR(INDEX(PP_Grid[#Data],$DD818,49),0)</f>
        <v/>
      </c>
      <c r="AZ818">
        <f>IFERROR(INDEX(PP_Grid[#Data],$DD818,50),0)</f>
        <v/>
      </c>
      <c r="BA818">
        <f>IFERROR(INDEX(PP_Grid[#Data],$DD818,51),0)</f>
        <v/>
      </c>
      <c r="BB818">
        <f>IFERROR(INDEX(PP_Grid[#Data],$DD818,52),0)</f>
        <v/>
      </c>
      <c r="BC818">
        <f>IFERROR(INDEX(PP_Grid[#Data],$DD818,53),0)</f>
        <v/>
      </c>
      <c r="BD818">
        <f>IFERROR(INDEX(PP_Grid[#Data],$DD818,54),0)</f>
        <v/>
      </c>
      <c r="BE818">
        <f>IFERROR(INDEX(PP_Grid[#Data],$DD818,55),0)</f>
        <v/>
      </c>
      <c r="BF818">
        <f>IFERROR(INDEX(PP_Grid[#Data],$DD818,56),0)</f>
        <v/>
      </c>
      <c r="BG818">
        <f>IFERROR(INDEX(PP_Grid[#Data],$DD818,57),0)</f>
        <v/>
      </c>
      <c r="BH818">
        <f>IFERROR(INDEX(PP_Grid[#Data],$DD818,58),0)</f>
        <v/>
      </c>
      <c r="BI818">
        <f>IFERROR(INDEX(PP_Grid[#Data],$DD818,59),0)</f>
        <v/>
      </c>
      <c r="BJ818">
        <f>IFERROR(INDEX(PP_Grid[#Data],$DD818,60),0)</f>
        <v/>
      </c>
      <c r="BK818">
        <f>IFERROR(INDEX(PP_Grid[#Data],$DD818,61),0)</f>
        <v/>
      </c>
      <c r="BL818">
        <f>IFERROR(INDEX(PP_Grid[#Data],$DD818,62),0)</f>
        <v/>
      </c>
      <c r="BM818">
        <f>IFERROR(INDEX(PP_Grid[#Data],$DD818,63),0)</f>
        <v/>
      </c>
      <c r="BN818">
        <f>IFERROR(INDEX(PP_Grid[#Data],$DD818,64),0)</f>
        <v/>
      </c>
      <c r="BO818">
        <f>IFERROR(INDEX(PP_Grid[#Data],$DD818,65),0)</f>
        <v/>
      </c>
      <c r="BP818">
        <f>IFERROR(INDEX(PP_Grid[#Data],$DD818,66),0)</f>
        <v/>
      </c>
      <c r="BQ818">
        <f>IFERROR(INDEX(PP_Grid[#Data],$DD818,67),0)</f>
        <v/>
      </c>
      <c r="BR818">
        <f>IFERROR(INDEX(PP_Grid[#Data],$DD818,68),0)</f>
        <v/>
      </c>
      <c r="BS818">
        <f>IFERROR(INDEX(PP_Grid[#Data],$DD818,69),0)</f>
        <v/>
      </c>
      <c r="BT818">
        <f>IFERROR(INDEX(PP_Grid[#Data],$DD818,70),0)</f>
        <v/>
      </c>
      <c r="BU818">
        <f>IFERROR(INDEX(PP_Grid[#Data],$DD818,71),0)</f>
        <v/>
      </c>
      <c r="BV818">
        <f>IFERROR(INDEX(PP_Grid[#Data],$DD818,72),0)</f>
        <v/>
      </c>
      <c r="BW818">
        <f>IFERROR(INDEX(PP_Grid[#Data],$DD818,73),0)</f>
        <v/>
      </c>
      <c r="BX818">
        <f>IFERROR(INDEX(PP_Grid[#Data],$DD818,74),0)</f>
        <v/>
      </c>
      <c r="BY818">
        <f>IFERROR(INDEX(PP_Grid[#Data],$DD818,75),0)</f>
        <v/>
      </c>
      <c r="BZ818">
        <f>IFERROR(INDEX(PP_Grid[#Data],$DD818,76),0)</f>
        <v/>
      </c>
      <c r="CA818">
        <f>IFERROR(INDEX(PP_Grid[#Data],$DD818,77),0)</f>
        <v/>
      </c>
      <c r="CB818">
        <f>IFERROR(INDEX(PP_Grid[#Data],$DD818,78),0)</f>
        <v/>
      </c>
      <c r="CC818">
        <f>IFERROR(INDEX(PP_Grid[#Data],$DD818,79),0)</f>
        <v/>
      </c>
      <c r="CD818">
        <f>IFERROR(INDEX(PP_Grid[#Data],$DD818,80),0)</f>
        <v/>
      </c>
      <c r="CE818">
        <f>IFERROR(INDEX(PP_Grid[#Data],$DD818,81),0)</f>
        <v/>
      </c>
      <c r="CF818">
        <f>IFERROR(INDEX(PP_Grid[#Data],$DD818,82),0)</f>
        <v/>
      </c>
      <c r="CG818">
        <f>IFERROR(INDEX(PP_Grid[#Data],$DD818,83),0)</f>
        <v/>
      </c>
      <c r="CH818">
        <f>IFERROR(INDEX(PP_Grid[#Data],$DD818,84),0)</f>
        <v/>
      </c>
      <c r="CI818">
        <f>IFERROR(INDEX(PP_Grid[#Data],$DD818,85),0)</f>
        <v/>
      </c>
      <c r="CJ818">
        <f>IFERROR(INDEX(PP_Grid[#Data],$DD818,86),0)</f>
        <v/>
      </c>
      <c r="CK818">
        <f>IFERROR(INDEX(PP_Grid[#Data],$DD818,87),0)</f>
        <v/>
      </c>
      <c r="CL818">
        <f>IFERROR(INDEX(PP_Grid[#Data],$DD818,88),0)</f>
        <v/>
      </c>
      <c r="CM818">
        <f>IFERROR(INDEX(PP_Grid[#Data],$DD818,89),0)</f>
        <v/>
      </c>
      <c r="CN818">
        <f>IFERROR(INDEX(PP_Grid[#Data],$DD818,90),0)</f>
        <v/>
      </c>
      <c r="CO818">
        <f>IFERROR(INDEX(PP_Grid[#Data],$DD818,91),0)</f>
        <v/>
      </c>
      <c r="CP818">
        <f>IFERROR(INDEX(PP_Grid[#Data],$DD818,92),0)</f>
        <v/>
      </c>
      <c r="CQ818">
        <f>IFERROR(INDEX(PP_Grid[#Data],$DD818,93),0)</f>
        <v/>
      </c>
      <c r="CR818">
        <f>IFERROR(INDEX(PP_Grid[#Data],$DD818,94),0)</f>
        <v/>
      </c>
      <c r="CS818">
        <f>IFERROR(INDEX(PP_Grid[#Data],$DD818,95),0)</f>
        <v/>
      </c>
      <c r="CT818">
        <f>IFERROR(INDEX(PP_Grid[#Data],$DD818,96),0)</f>
        <v/>
      </c>
      <c r="CU818">
        <f>IFERROR(INDEX(PP_Grid[#Data],$DD818,97),0)</f>
        <v/>
      </c>
      <c r="CV818">
        <f>IFERROR(INDEX(PP_Grid[#Data],$DD818,98),0)</f>
        <v/>
      </c>
      <c r="CW818">
        <f>IFERROR(INDEX(PP_Grid[#Data],$DD818,99),0)</f>
        <v/>
      </c>
      <c r="CX818">
        <f>IFERROR(INDEX(PP_Grid[#Data],$DD818,100),0)</f>
        <v/>
      </c>
      <c r="CY818">
        <f>IFERROR(INDEX(PP_Grid[#Data],$DD818,101),0)</f>
        <v/>
      </c>
      <c r="CZ818">
        <f>IFERROR(INDEX(PP_Grid[#Data],$DD818,102),0)</f>
        <v/>
      </c>
      <c r="DA818">
        <f>IFERROR(INDEX(PP_Grid[#Data],$DD818,103),0)</f>
        <v/>
      </c>
      <c r="DB818">
        <f>IFERROR(INDEX(PP_Grid[#Data],$DD818,104),0)</f>
        <v/>
      </c>
      <c r="DC818">
        <f>IFERROR(INDEX(PP_Grid[#Data],$DD818,105),0)</f>
        <v/>
      </c>
      <c r="DD818" s="7">
        <f>IFERROR(MATCH($B818,PP_Grid[Intermediate],0),99999)</f>
        <v/>
      </c>
    </row>
    <row r="819">
      <c r="B819" t="inlineStr">
        <is>
          <t>使用量(kg)</t>
        </is>
      </c>
      <c r="C819">
        <f>SUMIFS(M_BOM[RM_Qty_Per_Batch],M_BOM[Intermediate],$B818,M_BOM[Part Name],$A773)</f>
        <v/>
      </c>
      <c r="D819">
        <f>$C819*D818</f>
        <v/>
      </c>
      <c r="E819">
        <f>$C819*E818</f>
        <v/>
      </c>
      <c r="F819">
        <f>$C819*F818</f>
        <v/>
      </c>
      <c r="G819">
        <f>$C819*G818</f>
        <v/>
      </c>
      <c r="H819">
        <f>$C819*H818</f>
        <v/>
      </c>
      <c r="I819">
        <f>$C819*I818</f>
        <v/>
      </c>
      <c r="J819">
        <f>$C819*J818</f>
        <v/>
      </c>
      <c r="K819">
        <f>$C819*K818</f>
        <v/>
      </c>
      <c r="L819">
        <f>$C819*L818</f>
        <v/>
      </c>
      <c r="M819">
        <f>$C819*M818</f>
        <v/>
      </c>
      <c r="N819">
        <f>$C819*N818</f>
        <v/>
      </c>
      <c r="O819">
        <f>$C819*O818</f>
        <v/>
      </c>
      <c r="P819">
        <f>$C819*P818</f>
        <v/>
      </c>
      <c r="Q819">
        <f>$C819*Q818</f>
        <v/>
      </c>
      <c r="R819">
        <f>$C819*R818</f>
        <v/>
      </c>
      <c r="S819">
        <f>$C819*S818</f>
        <v/>
      </c>
      <c r="T819">
        <f>$C819*T818</f>
        <v/>
      </c>
      <c r="U819">
        <f>$C819*U818</f>
        <v/>
      </c>
      <c r="V819">
        <f>$C819*V818</f>
        <v/>
      </c>
      <c r="W819">
        <f>$C819*W818</f>
        <v/>
      </c>
      <c r="X819">
        <f>$C819*X818</f>
        <v/>
      </c>
      <c r="Y819">
        <f>$C819*Y818</f>
        <v/>
      </c>
      <c r="Z819">
        <f>$C819*Z818</f>
        <v/>
      </c>
      <c r="AA819">
        <f>$C819*AA818</f>
        <v/>
      </c>
      <c r="AB819">
        <f>$C819*AB818</f>
        <v/>
      </c>
      <c r="AC819">
        <f>$C819*AC818</f>
        <v/>
      </c>
      <c r="AD819">
        <f>$C819*AD818</f>
        <v/>
      </c>
      <c r="AE819">
        <f>$C819*AE818</f>
        <v/>
      </c>
      <c r="AF819">
        <f>$C819*AF818</f>
        <v/>
      </c>
      <c r="AG819">
        <f>$C819*AG818</f>
        <v/>
      </c>
      <c r="AH819">
        <f>$C819*AH818</f>
        <v/>
      </c>
      <c r="AI819">
        <f>$C819*AI818</f>
        <v/>
      </c>
      <c r="AJ819">
        <f>$C819*AJ818</f>
        <v/>
      </c>
      <c r="AK819">
        <f>$C819*AK818</f>
        <v/>
      </c>
      <c r="AL819">
        <f>$C819*AL818</f>
        <v/>
      </c>
      <c r="AM819">
        <f>$C819*AM818</f>
        <v/>
      </c>
      <c r="AN819">
        <f>$C819*AN818</f>
        <v/>
      </c>
      <c r="AO819">
        <f>$C819*AO818</f>
        <v/>
      </c>
      <c r="AP819">
        <f>$C819*AP818</f>
        <v/>
      </c>
      <c r="AQ819">
        <f>$C819*AQ818</f>
        <v/>
      </c>
      <c r="AR819">
        <f>$C819*AR818</f>
        <v/>
      </c>
      <c r="AS819">
        <f>$C819*AS818</f>
        <v/>
      </c>
      <c r="AT819">
        <f>$C819*AT818</f>
        <v/>
      </c>
      <c r="AU819">
        <f>$C819*AU818</f>
        <v/>
      </c>
      <c r="AV819">
        <f>$C819*AV818</f>
        <v/>
      </c>
      <c r="AW819">
        <f>$C819*AW818</f>
        <v/>
      </c>
      <c r="AX819">
        <f>$C819*AX818</f>
        <v/>
      </c>
      <c r="AY819">
        <f>$C819*AY818</f>
        <v/>
      </c>
      <c r="AZ819">
        <f>$C819*AZ818</f>
        <v/>
      </c>
      <c r="BA819">
        <f>$C819*BA818</f>
        <v/>
      </c>
      <c r="BB819">
        <f>$C819*BB818</f>
        <v/>
      </c>
      <c r="BC819">
        <f>$C819*BC818</f>
        <v/>
      </c>
      <c r="BD819">
        <f>$C819*BD818</f>
        <v/>
      </c>
      <c r="BE819">
        <f>$C819*BE818</f>
        <v/>
      </c>
      <c r="BF819">
        <f>$C819*BF818</f>
        <v/>
      </c>
      <c r="BG819">
        <f>$C819*BG818</f>
        <v/>
      </c>
      <c r="BH819">
        <f>$C819*BH818</f>
        <v/>
      </c>
      <c r="BI819">
        <f>$C819*BI818</f>
        <v/>
      </c>
      <c r="BJ819">
        <f>$C819*BJ818</f>
        <v/>
      </c>
      <c r="BK819">
        <f>$C819*BK818</f>
        <v/>
      </c>
      <c r="BL819">
        <f>$C819*BL818</f>
        <v/>
      </c>
      <c r="BM819">
        <f>$C819*BM818</f>
        <v/>
      </c>
      <c r="BN819">
        <f>$C819*BN818</f>
        <v/>
      </c>
      <c r="BO819">
        <f>$C819*BO818</f>
        <v/>
      </c>
      <c r="BP819">
        <f>$C819*BP818</f>
        <v/>
      </c>
      <c r="BQ819">
        <f>$C819*BQ818</f>
        <v/>
      </c>
      <c r="BR819">
        <f>$C819*BR818</f>
        <v/>
      </c>
      <c r="BS819">
        <f>$C819*BS818</f>
        <v/>
      </c>
      <c r="BT819">
        <f>$C819*BT818</f>
        <v/>
      </c>
      <c r="BU819">
        <f>$C819*BU818</f>
        <v/>
      </c>
      <c r="BV819">
        <f>$C819*BV818</f>
        <v/>
      </c>
      <c r="BW819">
        <f>$C819*BW818</f>
        <v/>
      </c>
      <c r="BX819">
        <f>$C819*BX818</f>
        <v/>
      </c>
      <c r="BY819">
        <f>$C819*BY818</f>
        <v/>
      </c>
      <c r="BZ819">
        <f>$C819*BZ818</f>
        <v/>
      </c>
      <c r="CA819">
        <f>$C819*CA818</f>
        <v/>
      </c>
      <c r="CB819">
        <f>$C819*CB818</f>
        <v/>
      </c>
      <c r="CC819">
        <f>$C819*CC818</f>
        <v/>
      </c>
      <c r="CD819">
        <f>$C819*CD818</f>
        <v/>
      </c>
      <c r="CE819">
        <f>$C819*CE818</f>
        <v/>
      </c>
      <c r="CF819">
        <f>$C819*CF818</f>
        <v/>
      </c>
      <c r="CG819">
        <f>$C819*CG818</f>
        <v/>
      </c>
      <c r="CH819">
        <f>$C819*CH818</f>
        <v/>
      </c>
      <c r="CI819">
        <f>$C819*CI818</f>
        <v/>
      </c>
      <c r="CJ819">
        <f>$C819*CJ818</f>
        <v/>
      </c>
      <c r="CK819">
        <f>$C819*CK818</f>
        <v/>
      </c>
      <c r="CL819">
        <f>$C819*CL818</f>
        <v/>
      </c>
      <c r="CM819">
        <f>$C819*CM818</f>
        <v/>
      </c>
      <c r="CN819">
        <f>$C819*CN818</f>
        <v/>
      </c>
      <c r="CO819">
        <f>$C819*CO818</f>
        <v/>
      </c>
      <c r="CP819">
        <f>$C819*CP818</f>
        <v/>
      </c>
      <c r="CQ819">
        <f>$C819*CQ818</f>
        <v/>
      </c>
      <c r="CR819">
        <f>$C819*CR818</f>
        <v/>
      </c>
      <c r="CS819">
        <f>$C819*CS818</f>
        <v/>
      </c>
      <c r="CT819">
        <f>$C819*CT818</f>
        <v/>
      </c>
      <c r="CU819">
        <f>$C819*CU818</f>
        <v/>
      </c>
      <c r="CV819">
        <f>$C819*CV818</f>
        <v/>
      </c>
      <c r="CW819">
        <f>$C819*CW818</f>
        <v/>
      </c>
      <c r="CX819">
        <f>$C819*CX818</f>
        <v/>
      </c>
      <c r="CY819">
        <f>$C819*CY818</f>
        <v/>
      </c>
      <c r="CZ819">
        <f>$C819*CZ818</f>
        <v/>
      </c>
      <c r="DA819">
        <f>$C819*DA818</f>
        <v/>
      </c>
      <c r="DB819">
        <f>$C819*DB818</f>
        <v/>
      </c>
      <c r="DC819">
        <f>$C819*DC818</f>
        <v/>
      </c>
    </row>
    <row r="820">
      <c r="B820" t="inlineStr">
        <is>
          <t>VSP-870</t>
        </is>
      </c>
      <c r="C820" t="inlineStr">
        <is>
          <t>No. of batches</t>
        </is>
      </c>
      <c r="D820">
        <f>IFERROR(INDEX(PP_Grid[#Data],$DD820,2),0)</f>
        <v/>
      </c>
      <c r="E820">
        <f>IFERROR(INDEX(PP_Grid[#Data],$DD820,3),0)</f>
        <v/>
      </c>
      <c r="F820">
        <f>IFERROR(INDEX(PP_Grid[#Data],$DD820,4),0)</f>
        <v/>
      </c>
      <c r="G820">
        <f>IFERROR(INDEX(PP_Grid[#Data],$DD820,5),0)</f>
        <v/>
      </c>
      <c r="H820">
        <f>IFERROR(INDEX(PP_Grid[#Data],$DD820,6),0)</f>
        <v/>
      </c>
      <c r="I820">
        <f>IFERROR(INDEX(PP_Grid[#Data],$DD820,7),0)</f>
        <v/>
      </c>
      <c r="J820">
        <f>IFERROR(INDEX(PP_Grid[#Data],$DD820,8),0)</f>
        <v/>
      </c>
      <c r="K820">
        <f>IFERROR(INDEX(PP_Grid[#Data],$DD820,9),0)</f>
        <v/>
      </c>
      <c r="L820">
        <f>IFERROR(INDEX(PP_Grid[#Data],$DD820,10),0)</f>
        <v/>
      </c>
      <c r="M820">
        <f>IFERROR(INDEX(PP_Grid[#Data],$DD820,11),0)</f>
        <v/>
      </c>
      <c r="N820">
        <f>IFERROR(INDEX(PP_Grid[#Data],$DD820,12),0)</f>
        <v/>
      </c>
      <c r="O820">
        <f>IFERROR(INDEX(PP_Grid[#Data],$DD820,13),0)</f>
        <v/>
      </c>
      <c r="P820">
        <f>IFERROR(INDEX(PP_Grid[#Data],$DD820,14),0)</f>
        <v/>
      </c>
      <c r="Q820">
        <f>IFERROR(INDEX(PP_Grid[#Data],$DD820,15),0)</f>
        <v/>
      </c>
      <c r="R820">
        <f>IFERROR(INDEX(PP_Grid[#Data],$DD820,16),0)</f>
        <v/>
      </c>
      <c r="S820">
        <f>IFERROR(INDEX(PP_Grid[#Data],$DD820,17),0)</f>
        <v/>
      </c>
      <c r="T820">
        <f>IFERROR(INDEX(PP_Grid[#Data],$DD820,18),0)</f>
        <v/>
      </c>
      <c r="U820">
        <f>IFERROR(INDEX(PP_Grid[#Data],$DD820,19),0)</f>
        <v/>
      </c>
      <c r="V820">
        <f>IFERROR(INDEX(PP_Grid[#Data],$DD820,20),0)</f>
        <v/>
      </c>
      <c r="W820">
        <f>IFERROR(INDEX(PP_Grid[#Data],$DD820,21),0)</f>
        <v/>
      </c>
      <c r="X820">
        <f>IFERROR(INDEX(PP_Grid[#Data],$DD820,22),0)</f>
        <v/>
      </c>
      <c r="Y820">
        <f>IFERROR(INDEX(PP_Grid[#Data],$DD820,23),0)</f>
        <v/>
      </c>
      <c r="Z820">
        <f>IFERROR(INDEX(PP_Grid[#Data],$DD820,24),0)</f>
        <v/>
      </c>
      <c r="AA820">
        <f>IFERROR(INDEX(PP_Grid[#Data],$DD820,25),0)</f>
        <v/>
      </c>
      <c r="AB820">
        <f>IFERROR(INDEX(PP_Grid[#Data],$DD820,26),0)</f>
        <v/>
      </c>
      <c r="AC820">
        <f>IFERROR(INDEX(PP_Grid[#Data],$DD820,27),0)</f>
        <v/>
      </c>
      <c r="AD820">
        <f>IFERROR(INDEX(PP_Grid[#Data],$DD820,28),0)</f>
        <v/>
      </c>
      <c r="AE820">
        <f>IFERROR(INDEX(PP_Grid[#Data],$DD820,29),0)</f>
        <v/>
      </c>
      <c r="AF820">
        <f>IFERROR(INDEX(PP_Grid[#Data],$DD820,30),0)</f>
        <v/>
      </c>
      <c r="AG820">
        <f>IFERROR(INDEX(PP_Grid[#Data],$DD820,31),0)</f>
        <v/>
      </c>
      <c r="AH820">
        <f>IFERROR(INDEX(PP_Grid[#Data],$DD820,32),0)</f>
        <v/>
      </c>
      <c r="AI820">
        <f>IFERROR(INDEX(PP_Grid[#Data],$DD820,33),0)</f>
        <v/>
      </c>
      <c r="AJ820">
        <f>IFERROR(INDEX(PP_Grid[#Data],$DD820,34),0)</f>
        <v/>
      </c>
      <c r="AK820">
        <f>IFERROR(INDEX(PP_Grid[#Data],$DD820,35),0)</f>
        <v/>
      </c>
      <c r="AL820">
        <f>IFERROR(INDEX(PP_Grid[#Data],$DD820,36),0)</f>
        <v/>
      </c>
      <c r="AM820">
        <f>IFERROR(INDEX(PP_Grid[#Data],$DD820,37),0)</f>
        <v/>
      </c>
      <c r="AN820">
        <f>IFERROR(INDEX(PP_Grid[#Data],$DD820,38),0)</f>
        <v/>
      </c>
      <c r="AO820">
        <f>IFERROR(INDEX(PP_Grid[#Data],$DD820,39),0)</f>
        <v/>
      </c>
      <c r="AP820">
        <f>IFERROR(INDEX(PP_Grid[#Data],$DD820,40),0)</f>
        <v/>
      </c>
      <c r="AQ820">
        <f>IFERROR(INDEX(PP_Grid[#Data],$DD820,41),0)</f>
        <v/>
      </c>
      <c r="AR820">
        <f>IFERROR(INDEX(PP_Grid[#Data],$DD820,42),0)</f>
        <v/>
      </c>
      <c r="AS820">
        <f>IFERROR(INDEX(PP_Grid[#Data],$DD820,43),0)</f>
        <v/>
      </c>
      <c r="AT820">
        <f>IFERROR(INDEX(PP_Grid[#Data],$DD820,44),0)</f>
        <v/>
      </c>
      <c r="AU820">
        <f>IFERROR(INDEX(PP_Grid[#Data],$DD820,45),0)</f>
        <v/>
      </c>
      <c r="AV820">
        <f>IFERROR(INDEX(PP_Grid[#Data],$DD820,46),0)</f>
        <v/>
      </c>
      <c r="AW820">
        <f>IFERROR(INDEX(PP_Grid[#Data],$DD820,47),0)</f>
        <v/>
      </c>
      <c r="AX820">
        <f>IFERROR(INDEX(PP_Grid[#Data],$DD820,48),0)</f>
        <v/>
      </c>
      <c r="AY820">
        <f>IFERROR(INDEX(PP_Grid[#Data],$DD820,49),0)</f>
        <v/>
      </c>
      <c r="AZ820">
        <f>IFERROR(INDEX(PP_Grid[#Data],$DD820,50),0)</f>
        <v/>
      </c>
      <c r="BA820">
        <f>IFERROR(INDEX(PP_Grid[#Data],$DD820,51),0)</f>
        <v/>
      </c>
      <c r="BB820">
        <f>IFERROR(INDEX(PP_Grid[#Data],$DD820,52),0)</f>
        <v/>
      </c>
      <c r="BC820">
        <f>IFERROR(INDEX(PP_Grid[#Data],$DD820,53),0)</f>
        <v/>
      </c>
      <c r="BD820">
        <f>IFERROR(INDEX(PP_Grid[#Data],$DD820,54),0)</f>
        <v/>
      </c>
      <c r="BE820">
        <f>IFERROR(INDEX(PP_Grid[#Data],$DD820,55),0)</f>
        <v/>
      </c>
      <c r="BF820">
        <f>IFERROR(INDEX(PP_Grid[#Data],$DD820,56),0)</f>
        <v/>
      </c>
      <c r="BG820">
        <f>IFERROR(INDEX(PP_Grid[#Data],$DD820,57),0)</f>
        <v/>
      </c>
      <c r="BH820">
        <f>IFERROR(INDEX(PP_Grid[#Data],$DD820,58),0)</f>
        <v/>
      </c>
      <c r="BI820">
        <f>IFERROR(INDEX(PP_Grid[#Data],$DD820,59),0)</f>
        <v/>
      </c>
      <c r="BJ820">
        <f>IFERROR(INDEX(PP_Grid[#Data],$DD820,60),0)</f>
        <v/>
      </c>
      <c r="BK820">
        <f>IFERROR(INDEX(PP_Grid[#Data],$DD820,61),0)</f>
        <v/>
      </c>
      <c r="BL820">
        <f>IFERROR(INDEX(PP_Grid[#Data],$DD820,62),0)</f>
        <v/>
      </c>
      <c r="BM820">
        <f>IFERROR(INDEX(PP_Grid[#Data],$DD820,63),0)</f>
        <v/>
      </c>
      <c r="BN820">
        <f>IFERROR(INDEX(PP_Grid[#Data],$DD820,64),0)</f>
        <v/>
      </c>
      <c r="BO820">
        <f>IFERROR(INDEX(PP_Grid[#Data],$DD820,65),0)</f>
        <v/>
      </c>
      <c r="BP820">
        <f>IFERROR(INDEX(PP_Grid[#Data],$DD820,66),0)</f>
        <v/>
      </c>
      <c r="BQ820">
        <f>IFERROR(INDEX(PP_Grid[#Data],$DD820,67),0)</f>
        <v/>
      </c>
      <c r="BR820">
        <f>IFERROR(INDEX(PP_Grid[#Data],$DD820,68),0)</f>
        <v/>
      </c>
      <c r="BS820">
        <f>IFERROR(INDEX(PP_Grid[#Data],$DD820,69),0)</f>
        <v/>
      </c>
      <c r="BT820">
        <f>IFERROR(INDEX(PP_Grid[#Data],$DD820,70),0)</f>
        <v/>
      </c>
      <c r="BU820">
        <f>IFERROR(INDEX(PP_Grid[#Data],$DD820,71),0)</f>
        <v/>
      </c>
      <c r="BV820">
        <f>IFERROR(INDEX(PP_Grid[#Data],$DD820,72),0)</f>
        <v/>
      </c>
      <c r="BW820">
        <f>IFERROR(INDEX(PP_Grid[#Data],$DD820,73),0)</f>
        <v/>
      </c>
      <c r="BX820">
        <f>IFERROR(INDEX(PP_Grid[#Data],$DD820,74),0)</f>
        <v/>
      </c>
      <c r="BY820">
        <f>IFERROR(INDEX(PP_Grid[#Data],$DD820,75),0)</f>
        <v/>
      </c>
      <c r="BZ820">
        <f>IFERROR(INDEX(PP_Grid[#Data],$DD820,76),0)</f>
        <v/>
      </c>
      <c r="CA820">
        <f>IFERROR(INDEX(PP_Grid[#Data],$DD820,77),0)</f>
        <v/>
      </c>
      <c r="CB820">
        <f>IFERROR(INDEX(PP_Grid[#Data],$DD820,78),0)</f>
        <v/>
      </c>
      <c r="CC820">
        <f>IFERROR(INDEX(PP_Grid[#Data],$DD820,79),0)</f>
        <v/>
      </c>
      <c r="CD820">
        <f>IFERROR(INDEX(PP_Grid[#Data],$DD820,80),0)</f>
        <v/>
      </c>
      <c r="CE820">
        <f>IFERROR(INDEX(PP_Grid[#Data],$DD820,81),0)</f>
        <v/>
      </c>
      <c r="CF820">
        <f>IFERROR(INDEX(PP_Grid[#Data],$DD820,82),0)</f>
        <v/>
      </c>
      <c r="CG820">
        <f>IFERROR(INDEX(PP_Grid[#Data],$DD820,83),0)</f>
        <v/>
      </c>
      <c r="CH820">
        <f>IFERROR(INDEX(PP_Grid[#Data],$DD820,84),0)</f>
        <v/>
      </c>
      <c r="CI820">
        <f>IFERROR(INDEX(PP_Grid[#Data],$DD820,85),0)</f>
        <v/>
      </c>
      <c r="CJ820">
        <f>IFERROR(INDEX(PP_Grid[#Data],$DD820,86),0)</f>
        <v/>
      </c>
      <c r="CK820">
        <f>IFERROR(INDEX(PP_Grid[#Data],$DD820,87),0)</f>
        <v/>
      </c>
      <c r="CL820">
        <f>IFERROR(INDEX(PP_Grid[#Data],$DD820,88),0)</f>
        <v/>
      </c>
      <c r="CM820">
        <f>IFERROR(INDEX(PP_Grid[#Data],$DD820,89),0)</f>
        <v/>
      </c>
      <c r="CN820">
        <f>IFERROR(INDEX(PP_Grid[#Data],$DD820,90),0)</f>
        <v/>
      </c>
      <c r="CO820">
        <f>IFERROR(INDEX(PP_Grid[#Data],$DD820,91),0)</f>
        <v/>
      </c>
      <c r="CP820">
        <f>IFERROR(INDEX(PP_Grid[#Data],$DD820,92),0)</f>
        <v/>
      </c>
      <c r="CQ820">
        <f>IFERROR(INDEX(PP_Grid[#Data],$DD820,93),0)</f>
        <v/>
      </c>
      <c r="CR820">
        <f>IFERROR(INDEX(PP_Grid[#Data],$DD820,94),0)</f>
        <v/>
      </c>
      <c r="CS820">
        <f>IFERROR(INDEX(PP_Grid[#Data],$DD820,95),0)</f>
        <v/>
      </c>
      <c r="CT820">
        <f>IFERROR(INDEX(PP_Grid[#Data],$DD820,96),0)</f>
        <v/>
      </c>
      <c r="CU820">
        <f>IFERROR(INDEX(PP_Grid[#Data],$DD820,97),0)</f>
        <v/>
      </c>
      <c r="CV820">
        <f>IFERROR(INDEX(PP_Grid[#Data],$DD820,98),0)</f>
        <v/>
      </c>
      <c r="CW820">
        <f>IFERROR(INDEX(PP_Grid[#Data],$DD820,99),0)</f>
        <v/>
      </c>
      <c r="CX820">
        <f>IFERROR(INDEX(PP_Grid[#Data],$DD820,100),0)</f>
        <v/>
      </c>
      <c r="CY820">
        <f>IFERROR(INDEX(PP_Grid[#Data],$DD820,101),0)</f>
        <v/>
      </c>
      <c r="CZ820">
        <f>IFERROR(INDEX(PP_Grid[#Data],$DD820,102),0)</f>
        <v/>
      </c>
      <c r="DA820">
        <f>IFERROR(INDEX(PP_Grid[#Data],$DD820,103),0)</f>
        <v/>
      </c>
      <c r="DB820">
        <f>IFERROR(INDEX(PP_Grid[#Data],$DD820,104),0)</f>
        <v/>
      </c>
      <c r="DC820">
        <f>IFERROR(INDEX(PP_Grid[#Data],$DD820,105),0)</f>
        <v/>
      </c>
      <c r="DD820" s="7">
        <f>IFERROR(MATCH($B820,PP_Grid[Intermediate],0),99999)</f>
        <v/>
      </c>
    </row>
    <row r="821">
      <c r="B821" t="inlineStr">
        <is>
          <t>使用量(kg)</t>
        </is>
      </c>
      <c r="C821">
        <f>SUMIFS(M_BOM[RM_Qty_Per_Batch],M_BOM[Intermediate],$B820,M_BOM[Part Name],$A773)</f>
        <v/>
      </c>
      <c r="D821">
        <f>$C821*D820</f>
        <v/>
      </c>
      <c r="E821">
        <f>$C821*E820</f>
        <v/>
      </c>
      <c r="F821">
        <f>$C821*F820</f>
        <v/>
      </c>
      <c r="G821">
        <f>$C821*G820</f>
        <v/>
      </c>
      <c r="H821">
        <f>$C821*H820</f>
        <v/>
      </c>
      <c r="I821">
        <f>$C821*I820</f>
        <v/>
      </c>
      <c r="J821">
        <f>$C821*J820</f>
        <v/>
      </c>
      <c r="K821">
        <f>$C821*K820</f>
        <v/>
      </c>
      <c r="L821">
        <f>$C821*L820</f>
        <v/>
      </c>
      <c r="M821">
        <f>$C821*M820</f>
        <v/>
      </c>
      <c r="N821">
        <f>$C821*N820</f>
        <v/>
      </c>
      <c r="O821">
        <f>$C821*O820</f>
        <v/>
      </c>
      <c r="P821">
        <f>$C821*P820</f>
        <v/>
      </c>
      <c r="Q821">
        <f>$C821*Q820</f>
        <v/>
      </c>
      <c r="R821">
        <f>$C821*R820</f>
        <v/>
      </c>
      <c r="S821">
        <f>$C821*S820</f>
        <v/>
      </c>
      <c r="T821">
        <f>$C821*T820</f>
        <v/>
      </c>
      <c r="U821">
        <f>$C821*U820</f>
        <v/>
      </c>
      <c r="V821">
        <f>$C821*V820</f>
        <v/>
      </c>
      <c r="W821">
        <f>$C821*W820</f>
        <v/>
      </c>
      <c r="X821">
        <f>$C821*X820</f>
        <v/>
      </c>
      <c r="Y821">
        <f>$C821*Y820</f>
        <v/>
      </c>
      <c r="Z821">
        <f>$C821*Z820</f>
        <v/>
      </c>
      <c r="AA821">
        <f>$C821*AA820</f>
        <v/>
      </c>
      <c r="AB821">
        <f>$C821*AB820</f>
        <v/>
      </c>
      <c r="AC821">
        <f>$C821*AC820</f>
        <v/>
      </c>
      <c r="AD821">
        <f>$C821*AD820</f>
        <v/>
      </c>
      <c r="AE821">
        <f>$C821*AE820</f>
        <v/>
      </c>
      <c r="AF821">
        <f>$C821*AF820</f>
        <v/>
      </c>
      <c r="AG821">
        <f>$C821*AG820</f>
        <v/>
      </c>
      <c r="AH821">
        <f>$C821*AH820</f>
        <v/>
      </c>
      <c r="AI821">
        <f>$C821*AI820</f>
        <v/>
      </c>
      <c r="AJ821">
        <f>$C821*AJ820</f>
        <v/>
      </c>
      <c r="AK821">
        <f>$C821*AK820</f>
        <v/>
      </c>
      <c r="AL821">
        <f>$C821*AL820</f>
        <v/>
      </c>
      <c r="AM821">
        <f>$C821*AM820</f>
        <v/>
      </c>
      <c r="AN821">
        <f>$C821*AN820</f>
        <v/>
      </c>
      <c r="AO821">
        <f>$C821*AO820</f>
        <v/>
      </c>
      <c r="AP821">
        <f>$C821*AP820</f>
        <v/>
      </c>
      <c r="AQ821">
        <f>$C821*AQ820</f>
        <v/>
      </c>
      <c r="AR821">
        <f>$C821*AR820</f>
        <v/>
      </c>
      <c r="AS821">
        <f>$C821*AS820</f>
        <v/>
      </c>
      <c r="AT821">
        <f>$C821*AT820</f>
        <v/>
      </c>
      <c r="AU821">
        <f>$C821*AU820</f>
        <v/>
      </c>
      <c r="AV821">
        <f>$C821*AV820</f>
        <v/>
      </c>
      <c r="AW821">
        <f>$C821*AW820</f>
        <v/>
      </c>
      <c r="AX821">
        <f>$C821*AX820</f>
        <v/>
      </c>
      <c r="AY821">
        <f>$C821*AY820</f>
        <v/>
      </c>
      <c r="AZ821">
        <f>$C821*AZ820</f>
        <v/>
      </c>
      <c r="BA821">
        <f>$C821*BA820</f>
        <v/>
      </c>
      <c r="BB821">
        <f>$C821*BB820</f>
        <v/>
      </c>
      <c r="BC821">
        <f>$C821*BC820</f>
        <v/>
      </c>
      <c r="BD821">
        <f>$C821*BD820</f>
        <v/>
      </c>
      <c r="BE821">
        <f>$C821*BE820</f>
        <v/>
      </c>
      <c r="BF821">
        <f>$C821*BF820</f>
        <v/>
      </c>
      <c r="BG821">
        <f>$C821*BG820</f>
        <v/>
      </c>
      <c r="BH821">
        <f>$C821*BH820</f>
        <v/>
      </c>
      <c r="BI821">
        <f>$C821*BI820</f>
        <v/>
      </c>
      <c r="BJ821">
        <f>$C821*BJ820</f>
        <v/>
      </c>
      <c r="BK821">
        <f>$C821*BK820</f>
        <v/>
      </c>
      <c r="BL821">
        <f>$C821*BL820</f>
        <v/>
      </c>
      <c r="BM821">
        <f>$C821*BM820</f>
        <v/>
      </c>
      <c r="BN821">
        <f>$C821*BN820</f>
        <v/>
      </c>
      <c r="BO821">
        <f>$C821*BO820</f>
        <v/>
      </c>
      <c r="BP821">
        <f>$C821*BP820</f>
        <v/>
      </c>
      <c r="BQ821">
        <f>$C821*BQ820</f>
        <v/>
      </c>
      <c r="BR821">
        <f>$C821*BR820</f>
        <v/>
      </c>
      <c r="BS821">
        <f>$C821*BS820</f>
        <v/>
      </c>
      <c r="BT821">
        <f>$C821*BT820</f>
        <v/>
      </c>
      <c r="BU821">
        <f>$C821*BU820</f>
        <v/>
      </c>
      <c r="BV821">
        <f>$C821*BV820</f>
        <v/>
      </c>
      <c r="BW821">
        <f>$C821*BW820</f>
        <v/>
      </c>
      <c r="BX821">
        <f>$C821*BX820</f>
        <v/>
      </c>
      <c r="BY821">
        <f>$C821*BY820</f>
        <v/>
      </c>
      <c r="BZ821">
        <f>$C821*BZ820</f>
        <v/>
      </c>
      <c r="CA821">
        <f>$C821*CA820</f>
        <v/>
      </c>
      <c r="CB821">
        <f>$C821*CB820</f>
        <v/>
      </c>
      <c r="CC821">
        <f>$C821*CC820</f>
        <v/>
      </c>
      <c r="CD821">
        <f>$C821*CD820</f>
        <v/>
      </c>
      <c r="CE821">
        <f>$C821*CE820</f>
        <v/>
      </c>
      <c r="CF821">
        <f>$C821*CF820</f>
        <v/>
      </c>
      <c r="CG821">
        <f>$C821*CG820</f>
        <v/>
      </c>
      <c r="CH821">
        <f>$C821*CH820</f>
        <v/>
      </c>
      <c r="CI821">
        <f>$C821*CI820</f>
        <v/>
      </c>
      <c r="CJ821">
        <f>$C821*CJ820</f>
        <v/>
      </c>
      <c r="CK821">
        <f>$C821*CK820</f>
        <v/>
      </c>
      <c r="CL821">
        <f>$C821*CL820</f>
        <v/>
      </c>
      <c r="CM821">
        <f>$C821*CM820</f>
        <v/>
      </c>
      <c r="CN821">
        <f>$C821*CN820</f>
        <v/>
      </c>
      <c r="CO821">
        <f>$C821*CO820</f>
        <v/>
      </c>
      <c r="CP821">
        <f>$C821*CP820</f>
        <v/>
      </c>
      <c r="CQ821">
        <f>$C821*CQ820</f>
        <v/>
      </c>
      <c r="CR821">
        <f>$C821*CR820</f>
        <v/>
      </c>
      <c r="CS821">
        <f>$C821*CS820</f>
        <v/>
      </c>
      <c r="CT821">
        <f>$C821*CT820</f>
        <v/>
      </c>
      <c r="CU821">
        <f>$C821*CU820</f>
        <v/>
      </c>
      <c r="CV821">
        <f>$C821*CV820</f>
        <v/>
      </c>
      <c r="CW821">
        <f>$C821*CW820</f>
        <v/>
      </c>
      <c r="CX821">
        <f>$C821*CX820</f>
        <v/>
      </c>
      <c r="CY821">
        <f>$C821*CY820</f>
        <v/>
      </c>
      <c r="CZ821">
        <f>$C821*CZ820</f>
        <v/>
      </c>
      <c r="DA821">
        <f>$C821*DA820</f>
        <v/>
      </c>
      <c r="DB821">
        <f>$C821*DB820</f>
        <v/>
      </c>
      <c r="DC821">
        <f>$C821*DC820</f>
        <v/>
      </c>
    </row>
    <row r="822">
      <c r="B822" t="inlineStr">
        <is>
          <t>VSP-990</t>
        </is>
      </c>
      <c r="C822" t="inlineStr">
        <is>
          <t>No. of batches</t>
        </is>
      </c>
      <c r="D822">
        <f>IFERROR(INDEX(PP_Grid[#Data],$DD822,2),0)</f>
        <v/>
      </c>
      <c r="E822">
        <f>IFERROR(INDEX(PP_Grid[#Data],$DD822,3),0)</f>
        <v/>
      </c>
      <c r="F822">
        <f>IFERROR(INDEX(PP_Grid[#Data],$DD822,4),0)</f>
        <v/>
      </c>
      <c r="G822">
        <f>IFERROR(INDEX(PP_Grid[#Data],$DD822,5),0)</f>
        <v/>
      </c>
      <c r="H822">
        <f>IFERROR(INDEX(PP_Grid[#Data],$DD822,6),0)</f>
        <v/>
      </c>
      <c r="I822">
        <f>IFERROR(INDEX(PP_Grid[#Data],$DD822,7),0)</f>
        <v/>
      </c>
      <c r="J822">
        <f>IFERROR(INDEX(PP_Grid[#Data],$DD822,8),0)</f>
        <v/>
      </c>
      <c r="K822">
        <f>IFERROR(INDEX(PP_Grid[#Data],$DD822,9),0)</f>
        <v/>
      </c>
      <c r="L822">
        <f>IFERROR(INDEX(PP_Grid[#Data],$DD822,10),0)</f>
        <v/>
      </c>
      <c r="M822">
        <f>IFERROR(INDEX(PP_Grid[#Data],$DD822,11),0)</f>
        <v/>
      </c>
      <c r="N822">
        <f>IFERROR(INDEX(PP_Grid[#Data],$DD822,12),0)</f>
        <v/>
      </c>
      <c r="O822">
        <f>IFERROR(INDEX(PP_Grid[#Data],$DD822,13),0)</f>
        <v/>
      </c>
      <c r="P822">
        <f>IFERROR(INDEX(PP_Grid[#Data],$DD822,14),0)</f>
        <v/>
      </c>
      <c r="Q822">
        <f>IFERROR(INDEX(PP_Grid[#Data],$DD822,15),0)</f>
        <v/>
      </c>
      <c r="R822">
        <f>IFERROR(INDEX(PP_Grid[#Data],$DD822,16),0)</f>
        <v/>
      </c>
      <c r="S822">
        <f>IFERROR(INDEX(PP_Grid[#Data],$DD822,17),0)</f>
        <v/>
      </c>
      <c r="T822">
        <f>IFERROR(INDEX(PP_Grid[#Data],$DD822,18),0)</f>
        <v/>
      </c>
      <c r="U822">
        <f>IFERROR(INDEX(PP_Grid[#Data],$DD822,19),0)</f>
        <v/>
      </c>
      <c r="V822">
        <f>IFERROR(INDEX(PP_Grid[#Data],$DD822,20),0)</f>
        <v/>
      </c>
      <c r="W822">
        <f>IFERROR(INDEX(PP_Grid[#Data],$DD822,21),0)</f>
        <v/>
      </c>
      <c r="X822">
        <f>IFERROR(INDEX(PP_Grid[#Data],$DD822,22),0)</f>
        <v/>
      </c>
      <c r="Y822">
        <f>IFERROR(INDEX(PP_Grid[#Data],$DD822,23),0)</f>
        <v/>
      </c>
      <c r="Z822">
        <f>IFERROR(INDEX(PP_Grid[#Data],$DD822,24),0)</f>
        <v/>
      </c>
      <c r="AA822">
        <f>IFERROR(INDEX(PP_Grid[#Data],$DD822,25),0)</f>
        <v/>
      </c>
      <c r="AB822">
        <f>IFERROR(INDEX(PP_Grid[#Data],$DD822,26),0)</f>
        <v/>
      </c>
      <c r="AC822">
        <f>IFERROR(INDEX(PP_Grid[#Data],$DD822,27),0)</f>
        <v/>
      </c>
      <c r="AD822">
        <f>IFERROR(INDEX(PP_Grid[#Data],$DD822,28),0)</f>
        <v/>
      </c>
      <c r="AE822">
        <f>IFERROR(INDEX(PP_Grid[#Data],$DD822,29),0)</f>
        <v/>
      </c>
      <c r="AF822">
        <f>IFERROR(INDEX(PP_Grid[#Data],$DD822,30),0)</f>
        <v/>
      </c>
      <c r="AG822">
        <f>IFERROR(INDEX(PP_Grid[#Data],$DD822,31),0)</f>
        <v/>
      </c>
      <c r="AH822">
        <f>IFERROR(INDEX(PP_Grid[#Data],$DD822,32),0)</f>
        <v/>
      </c>
      <c r="AI822">
        <f>IFERROR(INDEX(PP_Grid[#Data],$DD822,33),0)</f>
        <v/>
      </c>
      <c r="AJ822">
        <f>IFERROR(INDEX(PP_Grid[#Data],$DD822,34),0)</f>
        <v/>
      </c>
      <c r="AK822">
        <f>IFERROR(INDEX(PP_Grid[#Data],$DD822,35),0)</f>
        <v/>
      </c>
      <c r="AL822">
        <f>IFERROR(INDEX(PP_Grid[#Data],$DD822,36),0)</f>
        <v/>
      </c>
      <c r="AM822">
        <f>IFERROR(INDEX(PP_Grid[#Data],$DD822,37),0)</f>
        <v/>
      </c>
      <c r="AN822">
        <f>IFERROR(INDEX(PP_Grid[#Data],$DD822,38),0)</f>
        <v/>
      </c>
      <c r="AO822">
        <f>IFERROR(INDEX(PP_Grid[#Data],$DD822,39),0)</f>
        <v/>
      </c>
      <c r="AP822">
        <f>IFERROR(INDEX(PP_Grid[#Data],$DD822,40),0)</f>
        <v/>
      </c>
      <c r="AQ822">
        <f>IFERROR(INDEX(PP_Grid[#Data],$DD822,41),0)</f>
        <v/>
      </c>
      <c r="AR822">
        <f>IFERROR(INDEX(PP_Grid[#Data],$DD822,42),0)</f>
        <v/>
      </c>
      <c r="AS822">
        <f>IFERROR(INDEX(PP_Grid[#Data],$DD822,43),0)</f>
        <v/>
      </c>
      <c r="AT822">
        <f>IFERROR(INDEX(PP_Grid[#Data],$DD822,44),0)</f>
        <v/>
      </c>
      <c r="AU822">
        <f>IFERROR(INDEX(PP_Grid[#Data],$DD822,45),0)</f>
        <v/>
      </c>
      <c r="AV822">
        <f>IFERROR(INDEX(PP_Grid[#Data],$DD822,46),0)</f>
        <v/>
      </c>
      <c r="AW822">
        <f>IFERROR(INDEX(PP_Grid[#Data],$DD822,47),0)</f>
        <v/>
      </c>
      <c r="AX822">
        <f>IFERROR(INDEX(PP_Grid[#Data],$DD822,48),0)</f>
        <v/>
      </c>
      <c r="AY822">
        <f>IFERROR(INDEX(PP_Grid[#Data],$DD822,49),0)</f>
        <v/>
      </c>
      <c r="AZ822">
        <f>IFERROR(INDEX(PP_Grid[#Data],$DD822,50),0)</f>
        <v/>
      </c>
      <c r="BA822">
        <f>IFERROR(INDEX(PP_Grid[#Data],$DD822,51),0)</f>
        <v/>
      </c>
      <c r="BB822">
        <f>IFERROR(INDEX(PP_Grid[#Data],$DD822,52),0)</f>
        <v/>
      </c>
      <c r="BC822">
        <f>IFERROR(INDEX(PP_Grid[#Data],$DD822,53),0)</f>
        <v/>
      </c>
      <c r="BD822">
        <f>IFERROR(INDEX(PP_Grid[#Data],$DD822,54),0)</f>
        <v/>
      </c>
      <c r="BE822">
        <f>IFERROR(INDEX(PP_Grid[#Data],$DD822,55),0)</f>
        <v/>
      </c>
      <c r="BF822">
        <f>IFERROR(INDEX(PP_Grid[#Data],$DD822,56),0)</f>
        <v/>
      </c>
      <c r="BG822">
        <f>IFERROR(INDEX(PP_Grid[#Data],$DD822,57),0)</f>
        <v/>
      </c>
      <c r="BH822">
        <f>IFERROR(INDEX(PP_Grid[#Data],$DD822,58),0)</f>
        <v/>
      </c>
      <c r="BI822">
        <f>IFERROR(INDEX(PP_Grid[#Data],$DD822,59),0)</f>
        <v/>
      </c>
      <c r="BJ822">
        <f>IFERROR(INDEX(PP_Grid[#Data],$DD822,60),0)</f>
        <v/>
      </c>
      <c r="BK822">
        <f>IFERROR(INDEX(PP_Grid[#Data],$DD822,61),0)</f>
        <v/>
      </c>
      <c r="BL822">
        <f>IFERROR(INDEX(PP_Grid[#Data],$DD822,62),0)</f>
        <v/>
      </c>
      <c r="BM822">
        <f>IFERROR(INDEX(PP_Grid[#Data],$DD822,63),0)</f>
        <v/>
      </c>
      <c r="BN822">
        <f>IFERROR(INDEX(PP_Grid[#Data],$DD822,64),0)</f>
        <v/>
      </c>
      <c r="BO822">
        <f>IFERROR(INDEX(PP_Grid[#Data],$DD822,65),0)</f>
        <v/>
      </c>
      <c r="BP822">
        <f>IFERROR(INDEX(PP_Grid[#Data],$DD822,66),0)</f>
        <v/>
      </c>
      <c r="BQ822">
        <f>IFERROR(INDEX(PP_Grid[#Data],$DD822,67),0)</f>
        <v/>
      </c>
      <c r="BR822">
        <f>IFERROR(INDEX(PP_Grid[#Data],$DD822,68),0)</f>
        <v/>
      </c>
      <c r="BS822">
        <f>IFERROR(INDEX(PP_Grid[#Data],$DD822,69),0)</f>
        <v/>
      </c>
      <c r="BT822">
        <f>IFERROR(INDEX(PP_Grid[#Data],$DD822,70),0)</f>
        <v/>
      </c>
      <c r="BU822">
        <f>IFERROR(INDEX(PP_Grid[#Data],$DD822,71),0)</f>
        <v/>
      </c>
      <c r="BV822">
        <f>IFERROR(INDEX(PP_Grid[#Data],$DD822,72),0)</f>
        <v/>
      </c>
      <c r="BW822">
        <f>IFERROR(INDEX(PP_Grid[#Data],$DD822,73),0)</f>
        <v/>
      </c>
      <c r="BX822">
        <f>IFERROR(INDEX(PP_Grid[#Data],$DD822,74),0)</f>
        <v/>
      </c>
      <c r="BY822">
        <f>IFERROR(INDEX(PP_Grid[#Data],$DD822,75),0)</f>
        <v/>
      </c>
      <c r="BZ822">
        <f>IFERROR(INDEX(PP_Grid[#Data],$DD822,76),0)</f>
        <v/>
      </c>
      <c r="CA822">
        <f>IFERROR(INDEX(PP_Grid[#Data],$DD822,77),0)</f>
        <v/>
      </c>
      <c r="CB822">
        <f>IFERROR(INDEX(PP_Grid[#Data],$DD822,78),0)</f>
        <v/>
      </c>
      <c r="CC822">
        <f>IFERROR(INDEX(PP_Grid[#Data],$DD822,79),0)</f>
        <v/>
      </c>
      <c r="CD822">
        <f>IFERROR(INDEX(PP_Grid[#Data],$DD822,80),0)</f>
        <v/>
      </c>
      <c r="CE822">
        <f>IFERROR(INDEX(PP_Grid[#Data],$DD822,81),0)</f>
        <v/>
      </c>
      <c r="CF822">
        <f>IFERROR(INDEX(PP_Grid[#Data],$DD822,82),0)</f>
        <v/>
      </c>
      <c r="CG822">
        <f>IFERROR(INDEX(PP_Grid[#Data],$DD822,83),0)</f>
        <v/>
      </c>
      <c r="CH822">
        <f>IFERROR(INDEX(PP_Grid[#Data],$DD822,84),0)</f>
        <v/>
      </c>
      <c r="CI822">
        <f>IFERROR(INDEX(PP_Grid[#Data],$DD822,85),0)</f>
        <v/>
      </c>
      <c r="CJ822">
        <f>IFERROR(INDEX(PP_Grid[#Data],$DD822,86),0)</f>
        <v/>
      </c>
      <c r="CK822">
        <f>IFERROR(INDEX(PP_Grid[#Data],$DD822,87),0)</f>
        <v/>
      </c>
      <c r="CL822">
        <f>IFERROR(INDEX(PP_Grid[#Data],$DD822,88),0)</f>
        <v/>
      </c>
      <c r="CM822">
        <f>IFERROR(INDEX(PP_Grid[#Data],$DD822,89),0)</f>
        <v/>
      </c>
      <c r="CN822">
        <f>IFERROR(INDEX(PP_Grid[#Data],$DD822,90),0)</f>
        <v/>
      </c>
      <c r="CO822">
        <f>IFERROR(INDEX(PP_Grid[#Data],$DD822,91),0)</f>
        <v/>
      </c>
      <c r="CP822">
        <f>IFERROR(INDEX(PP_Grid[#Data],$DD822,92),0)</f>
        <v/>
      </c>
      <c r="CQ822">
        <f>IFERROR(INDEX(PP_Grid[#Data],$DD822,93),0)</f>
        <v/>
      </c>
      <c r="CR822">
        <f>IFERROR(INDEX(PP_Grid[#Data],$DD822,94),0)</f>
        <v/>
      </c>
      <c r="CS822">
        <f>IFERROR(INDEX(PP_Grid[#Data],$DD822,95),0)</f>
        <v/>
      </c>
      <c r="CT822">
        <f>IFERROR(INDEX(PP_Grid[#Data],$DD822,96),0)</f>
        <v/>
      </c>
      <c r="CU822">
        <f>IFERROR(INDEX(PP_Grid[#Data],$DD822,97),0)</f>
        <v/>
      </c>
      <c r="CV822">
        <f>IFERROR(INDEX(PP_Grid[#Data],$DD822,98),0)</f>
        <v/>
      </c>
      <c r="CW822">
        <f>IFERROR(INDEX(PP_Grid[#Data],$DD822,99),0)</f>
        <v/>
      </c>
      <c r="CX822">
        <f>IFERROR(INDEX(PP_Grid[#Data],$DD822,100),0)</f>
        <v/>
      </c>
      <c r="CY822">
        <f>IFERROR(INDEX(PP_Grid[#Data],$DD822,101),0)</f>
        <v/>
      </c>
      <c r="CZ822">
        <f>IFERROR(INDEX(PP_Grid[#Data],$DD822,102),0)</f>
        <v/>
      </c>
      <c r="DA822">
        <f>IFERROR(INDEX(PP_Grid[#Data],$DD822,103),0)</f>
        <v/>
      </c>
      <c r="DB822">
        <f>IFERROR(INDEX(PP_Grid[#Data],$DD822,104),0)</f>
        <v/>
      </c>
      <c r="DC822">
        <f>IFERROR(INDEX(PP_Grid[#Data],$DD822,105),0)</f>
        <v/>
      </c>
      <c r="DD822" s="7">
        <f>IFERROR(MATCH($B822,PP_Grid[Intermediate],0),99999)</f>
        <v/>
      </c>
    </row>
    <row r="823">
      <c r="B823" t="inlineStr">
        <is>
          <t>使用量(kg)</t>
        </is>
      </c>
      <c r="C823">
        <f>SUMIFS(M_BOM[RM_Qty_Per_Batch],M_BOM[Intermediate],$B822,M_BOM[Part Name],$A773)</f>
        <v/>
      </c>
      <c r="D823">
        <f>$C823*D822</f>
        <v/>
      </c>
      <c r="E823">
        <f>$C823*E822</f>
        <v/>
      </c>
      <c r="F823">
        <f>$C823*F822</f>
        <v/>
      </c>
      <c r="G823">
        <f>$C823*G822</f>
        <v/>
      </c>
      <c r="H823">
        <f>$C823*H822</f>
        <v/>
      </c>
      <c r="I823">
        <f>$C823*I822</f>
        <v/>
      </c>
      <c r="J823">
        <f>$C823*J822</f>
        <v/>
      </c>
      <c r="K823">
        <f>$C823*K822</f>
        <v/>
      </c>
      <c r="L823">
        <f>$C823*L822</f>
        <v/>
      </c>
      <c r="M823">
        <f>$C823*M822</f>
        <v/>
      </c>
      <c r="N823">
        <f>$C823*N822</f>
        <v/>
      </c>
      <c r="O823">
        <f>$C823*O822</f>
        <v/>
      </c>
      <c r="P823">
        <f>$C823*P822</f>
        <v/>
      </c>
      <c r="Q823">
        <f>$C823*Q822</f>
        <v/>
      </c>
      <c r="R823">
        <f>$C823*R822</f>
        <v/>
      </c>
      <c r="S823">
        <f>$C823*S822</f>
        <v/>
      </c>
      <c r="T823">
        <f>$C823*T822</f>
        <v/>
      </c>
      <c r="U823">
        <f>$C823*U822</f>
        <v/>
      </c>
      <c r="V823">
        <f>$C823*V822</f>
        <v/>
      </c>
      <c r="W823">
        <f>$C823*W822</f>
        <v/>
      </c>
      <c r="X823">
        <f>$C823*X822</f>
        <v/>
      </c>
      <c r="Y823">
        <f>$C823*Y822</f>
        <v/>
      </c>
      <c r="Z823">
        <f>$C823*Z822</f>
        <v/>
      </c>
      <c r="AA823">
        <f>$C823*AA822</f>
        <v/>
      </c>
      <c r="AB823">
        <f>$C823*AB822</f>
        <v/>
      </c>
      <c r="AC823">
        <f>$C823*AC822</f>
        <v/>
      </c>
      <c r="AD823">
        <f>$C823*AD822</f>
        <v/>
      </c>
      <c r="AE823">
        <f>$C823*AE822</f>
        <v/>
      </c>
      <c r="AF823">
        <f>$C823*AF822</f>
        <v/>
      </c>
      <c r="AG823">
        <f>$C823*AG822</f>
        <v/>
      </c>
      <c r="AH823">
        <f>$C823*AH822</f>
        <v/>
      </c>
      <c r="AI823">
        <f>$C823*AI822</f>
        <v/>
      </c>
      <c r="AJ823">
        <f>$C823*AJ822</f>
        <v/>
      </c>
      <c r="AK823">
        <f>$C823*AK822</f>
        <v/>
      </c>
      <c r="AL823">
        <f>$C823*AL822</f>
        <v/>
      </c>
      <c r="AM823">
        <f>$C823*AM822</f>
        <v/>
      </c>
      <c r="AN823">
        <f>$C823*AN822</f>
        <v/>
      </c>
      <c r="AO823">
        <f>$C823*AO822</f>
        <v/>
      </c>
      <c r="AP823">
        <f>$C823*AP822</f>
        <v/>
      </c>
      <c r="AQ823">
        <f>$C823*AQ822</f>
        <v/>
      </c>
      <c r="AR823">
        <f>$C823*AR822</f>
        <v/>
      </c>
      <c r="AS823">
        <f>$C823*AS822</f>
        <v/>
      </c>
      <c r="AT823">
        <f>$C823*AT822</f>
        <v/>
      </c>
      <c r="AU823">
        <f>$C823*AU822</f>
        <v/>
      </c>
      <c r="AV823">
        <f>$C823*AV822</f>
        <v/>
      </c>
      <c r="AW823">
        <f>$C823*AW822</f>
        <v/>
      </c>
      <c r="AX823">
        <f>$C823*AX822</f>
        <v/>
      </c>
      <c r="AY823">
        <f>$C823*AY822</f>
        <v/>
      </c>
      <c r="AZ823">
        <f>$C823*AZ822</f>
        <v/>
      </c>
      <c r="BA823">
        <f>$C823*BA822</f>
        <v/>
      </c>
      <c r="BB823">
        <f>$C823*BB822</f>
        <v/>
      </c>
      <c r="BC823">
        <f>$C823*BC822</f>
        <v/>
      </c>
      <c r="BD823">
        <f>$C823*BD822</f>
        <v/>
      </c>
      <c r="BE823">
        <f>$C823*BE822</f>
        <v/>
      </c>
      <c r="BF823">
        <f>$C823*BF822</f>
        <v/>
      </c>
      <c r="BG823">
        <f>$C823*BG822</f>
        <v/>
      </c>
      <c r="BH823">
        <f>$C823*BH822</f>
        <v/>
      </c>
      <c r="BI823">
        <f>$C823*BI822</f>
        <v/>
      </c>
      <c r="BJ823">
        <f>$C823*BJ822</f>
        <v/>
      </c>
      <c r="BK823">
        <f>$C823*BK822</f>
        <v/>
      </c>
      <c r="BL823">
        <f>$C823*BL822</f>
        <v/>
      </c>
      <c r="BM823">
        <f>$C823*BM822</f>
        <v/>
      </c>
      <c r="BN823">
        <f>$C823*BN822</f>
        <v/>
      </c>
      <c r="BO823">
        <f>$C823*BO822</f>
        <v/>
      </c>
      <c r="BP823">
        <f>$C823*BP822</f>
        <v/>
      </c>
      <c r="BQ823">
        <f>$C823*BQ822</f>
        <v/>
      </c>
      <c r="BR823">
        <f>$C823*BR822</f>
        <v/>
      </c>
      <c r="BS823">
        <f>$C823*BS822</f>
        <v/>
      </c>
      <c r="BT823">
        <f>$C823*BT822</f>
        <v/>
      </c>
      <c r="BU823">
        <f>$C823*BU822</f>
        <v/>
      </c>
      <c r="BV823">
        <f>$C823*BV822</f>
        <v/>
      </c>
      <c r="BW823">
        <f>$C823*BW822</f>
        <v/>
      </c>
      <c r="BX823">
        <f>$C823*BX822</f>
        <v/>
      </c>
      <c r="BY823">
        <f>$C823*BY822</f>
        <v/>
      </c>
      <c r="BZ823">
        <f>$C823*BZ822</f>
        <v/>
      </c>
      <c r="CA823">
        <f>$C823*CA822</f>
        <v/>
      </c>
      <c r="CB823">
        <f>$C823*CB822</f>
        <v/>
      </c>
      <c r="CC823">
        <f>$C823*CC822</f>
        <v/>
      </c>
      <c r="CD823">
        <f>$C823*CD822</f>
        <v/>
      </c>
      <c r="CE823">
        <f>$C823*CE822</f>
        <v/>
      </c>
      <c r="CF823">
        <f>$C823*CF822</f>
        <v/>
      </c>
      <c r="CG823">
        <f>$C823*CG822</f>
        <v/>
      </c>
      <c r="CH823">
        <f>$C823*CH822</f>
        <v/>
      </c>
      <c r="CI823">
        <f>$C823*CI822</f>
        <v/>
      </c>
      <c r="CJ823">
        <f>$C823*CJ822</f>
        <v/>
      </c>
      <c r="CK823">
        <f>$C823*CK822</f>
        <v/>
      </c>
      <c r="CL823">
        <f>$C823*CL822</f>
        <v/>
      </c>
      <c r="CM823">
        <f>$C823*CM822</f>
        <v/>
      </c>
      <c r="CN823">
        <f>$C823*CN822</f>
        <v/>
      </c>
      <c r="CO823">
        <f>$C823*CO822</f>
        <v/>
      </c>
      <c r="CP823">
        <f>$C823*CP822</f>
        <v/>
      </c>
      <c r="CQ823">
        <f>$C823*CQ822</f>
        <v/>
      </c>
      <c r="CR823">
        <f>$C823*CR822</f>
        <v/>
      </c>
      <c r="CS823">
        <f>$C823*CS822</f>
        <v/>
      </c>
      <c r="CT823">
        <f>$C823*CT822</f>
        <v/>
      </c>
      <c r="CU823">
        <f>$C823*CU822</f>
        <v/>
      </c>
      <c r="CV823">
        <f>$C823*CV822</f>
        <v/>
      </c>
      <c r="CW823">
        <f>$C823*CW822</f>
        <v/>
      </c>
      <c r="CX823">
        <f>$C823*CX822</f>
        <v/>
      </c>
      <c r="CY823">
        <f>$C823*CY822</f>
        <v/>
      </c>
      <c r="CZ823">
        <f>$C823*CZ822</f>
        <v/>
      </c>
      <c r="DA823">
        <f>$C823*DA822</f>
        <v/>
      </c>
      <c r="DB823">
        <f>$C823*DB822</f>
        <v/>
      </c>
      <c r="DC823">
        <f>$C823*DC822</f>
        <v/>
      </c>
    </row>
    <row r="824">
      <c r="B824" t="inlineStr">
        <is>
          <t>VSZ-745</t>
        </is>
      </c>
      <c r="C824" t="inlineStr">
        <is>
          <t>No. of batches</t>
        </is>
      </c>
      <c r="D824">
        <f>IFERROR(INDEX(PP_Grid[#Data],$DD824,2),0)</f>
        <v/>
      </c>
      <c r="E824">
        <f>IFERROR(INDEX(PP_Grid[#Data],$DD824,3),0)</f>
        <v/>
      </c>
      <c r="F824">
        <f>IFERROR(INDEX(PP_Grid[#Data],$DD824,4),0)</f>
        <v/>
      </c>
      <c r="G824">
        <f>IFERROR(INDEX(PP_Grid[#Data],$DD824,5),0)</f>
        <v/>
      </c>
      <c r="H824">
        <f>IFERROR(INDEX(PP_Grid[#Data],$DD824,6),0)</f>
        <v/>
      </c>
      <c r="I824">
        <f>IFERROR(INDEX(PP_Grid[#Data],$DD824,7),0)</f>
        <v/>
      </c>
      <c r="J824">
        <f>IFERROR(INDEX(PP_Grid[#Data],$DD824,8),0)</f>
        <v/>
      </c>
      <c r="K824">
        <f>IFERROR(INDEX(PP_Grid[#Data],$DD824,9),0)</f>
        <v/>
      </c>
      <c r="L824">
        <f>IFERROR(INDEX(PP_Grid[#Data],$DD824,10),0)</f>
        <v/>
      </c>
      <c r="M824">
        <f>IFERROR(INDEX(PP_Grid[#Data],$DD824,11),0)</f>
        <v/>
      </c>
      <c r="N824">
        <f>IFERROR(INDEX(PP_Grid[#Data],$DD824,12),0)</f>
        <v/>
      </c>
      <c r="O824">
        <f>IFERROR(INDEX(PP_Grid[#Data],$DD824,13),0)</f>
        <v/>
      </c>
      <c r="P824">
        <f>IFERROR(INDEX(PP_Grid[#Data],$DD824,14),0)</f>
        <v/>
      </c>
      <c r="Q824">
        <f>IFERROR(INDEX(PP_Grid[#Data],$DD824,15),0)</f>
        <v/>
      </c>
      <c r="R824">
        <f>IFERROR(INDEX(PP_Grid[#Data],$DD824,16),0)</f>
        <v/>
      </c>
      <c r="S824">
        <f>IFERROR(INDEX(PP_Grid[#Data],$DD824,17),0)</f>
        <v/>
      </c>
      <c r="T824">
        <f>IFERROR(INDEX(PP_Grid[#Data],$DD824,18),0)</f>
        <v/>
      </c>
      <c r="U824">
        <f>IFERROR(INDEX(PP_Grid[#Data],$DD824,19),0)</f>
        <v/>
      </c>
      <c r="V824">
        <f>IFERROR(INDEX(PP_Grid[#Data],$DD824,20),0)</f>
        <v/>
      </c>
      <c r="W824">
        <f>IFERROR(INDEX(PP_Grid[#Data],$DD824,21),0)</f>
        <v/>
      </c>
      <c r="X824">
        <f>IFERROR(INDEX(PP_Grid[#Data],$DD824,22),0)</f>
        <v/>
      </c>
      <c r="Y824">
        <f>IFERROR(INDEX(PP_Grid[#Data],$DD824,23),0)</f>
        <v/>
      </c>
      <c r="Z824">
        <f>IFERROR(INDEX(PP_Grid[#Data],$DD824,24),0)</f>
        <v/>
      </c>
      <c r="AA824">
        <f>IFERROR(INDEX(PP_Grid[#Data],$DD824,25),0)</f>
        <v/>
      </c>
      <c r="AB824">
        <f>IFERROR(INDEX(PP_Grid[#Data],$DD824,26),0)</f>
        <v/>
      </c>
      <c r="AC824">
        <f>IFERROR(INDEX(PP_Grid[#Data],$DD824,27),0)</f>
        <v/>
      </c>
      <c r="AD824">
        <f>IFERROR(INDEX(PP_Grid[#Data],$DD824,28),0)</f>
        <v/>
      </c>
      <c r="AE824">
        <f>IFERROR(INDEX(PP_Grid[#Data],$DD824,29),0)</f>
        <v/>
      </c>
      <c r="AF824">
        <f>IFERROR(INDEX(PP_Grid[#Data],$DD824,30),0)</f>
        <v/>
      </c>
      <c r="AG824">
        <f>IFERROR(INDEX(PP_Grid[#Data],$DD824,31),0)</f>
        <v/>
      </c>
      <c r="AH824">
        <f>IFERROR(INDEX(PP_Grid[#Data],$DD824,32),0)</f>
        <v/>
      </c>
      <c r="AI824">
        <f>IFERROR(INDEX(PP_Grid[#Data],$DD824,33),0)</f>
        <v/>
      </c>
      <c r="AJ824">
        <f>IFERROR(INDEX(PP_Grid[#Data],$DD824,34),0)</f>
        <v/>
      </c>
      <c r="AK824">
        <f>IFERROR(INDEX(PP_Grid[#Data],$DD824,35),0)</f>
        <v/>
      </c>
      <c r="AL824">
        <f>IFERROR(INDEX(PP_Grid[#Data],$DD824,36),0)</f>
        <v/>
      </c>
      <c r="AM824">
        <f>IFERROR(INDEX(PP_Grid[#Data],$DD824,37),0)</f>
        <v/>
      </c>
      <c r="AN824">
        <f>IFERROR(INDEX(PP_Grid[#Data],$DD824,38),0)</f>
        <v/>
      </c>
      <c r="AO824">
        <f>IFERROR(INDEX(PP_Grid[#Data],$DD824,39),0)</f>
        <v/>
      </c>
      <c r="AP824">
        <f>IFERROR(INDEX(PP_Grid[#Data],$DD824,40),0)</f>
        <v/>
      </c>
      <c r="AQ824">
        <f>IFERROR(INDEX(PP_Grid[#Data],$DD824,41),0)</f>
        <v/>
      </c>
      <c r="AR824">
        <f>IFERROR(INDEX(PP_Grid[#Data],$DD824,42),0)</f>
        <v/>
      </c>
      <c r="AS824">
        <f>IFERROR(INDEX(PP_Grid[#Data],$DD824,43),0)</f>
        <v/>
      </c>
      <c r="AT824">
        <f>IFERROR(INDEX(PP_Grid[#Data],$DD824,44),0)</f>
        <v/>
      </c>
      <c r="AU824">
        <f>IFERROR(INDEX(PP_Grid[#Data],$DD824,45),0)</f>
        <v/>
      </c>
      <c r="AV824">
        <f>IFERROR(INDEX(PP_Grid[#Data],$DD824,46),0)</f>
        <v/>
      </c>
      <c r="AW824">
        <f>IFERROR(INDEX(PP_Grid[#Data],$DD824,47),0)</f>
        <v/>
      </c>
      <c r="AX824">
        <f>IFERROR(INDEX(PP_Grid[#Data],$DD824,48),0)</f>
        <v/>
      </c>
      <c r="AY824">
        <f>IFERROR(INDEX(PP_Grid[#Data],$DD824,49),0)</f>
        <v/>
      </c>
      <c r="AZ824">
        <f>IFERROR(INDEX(PP_Grid[#Data],$DD824,50),0)</f>
        <v/>
      </c>
      <c r="BA824">
        <f>IFERROR(INDEX(PP_Grid[#Data],$DD824,51),0)</f>
        <v/>
      </c>
      <c r="BB824">
        <f>IFERROR(INDEX(PP_Grid[#Data],$DD824,52),0)</f>
        <v/>
      </c>
      <c r="BC824">
        <f>IFERROR(INDEX(PP_Grid[#Data],$DD824,53),0)</f>
        <v/>
      </c>
      <c r="BD824">
        <f>IFERROR(INDEX(PP_Grid[#Data],$DD824,54),0)</f>
        <v/>
      </c>
      <c r="BE824">
        <f>IFERROR(INDEX(PP_Grid[#Data],$DD824,55),0)</f>
        <v/>
      </c>
      <c r="BF824">
        <f>IFERROR(INDEX(PP_Grid[#Data],$DD824,56),0)</f>
        <v/>
      </c>
      <c r="BG824">
        <f>IFERROR(INDEX(PP_Grid[#Data],$DD824,57),0)</f>
        <v/>
      </c>
      <c r="BH824">
        <f>IFERROR(INDEX(PP_Grid[#Data],$DD824,58),0)</f>
        <v/>
      </c>
      <c r="BI824">
        <f>IFERROR(INDEX(PP_Grid[#Data],$DD824,59),0)</f>
        <v/>
      </c>
      <c r="BJ824">
        <f>IFERROR(INDEX(PP_Grid[#Data],$DD824,60),0)</f>
        <v/>
      </c>
      <c r="BK824">
        <f>IFERROR(INDEX(PP_Grid[#Data],$DD824,61),0)</f>
        <v/>
      </c>
      <c r="BL824">
        <f>IFERROR(INDEX(PP_Grid[#Data],$DD824,62),0)</f>
        <v/>
      </c>
      <c r="BM824">
        <f>IFERROR(INDEX(PP_Grid[#Data],$DD824,63),0)</f>
        <v/>
      </c>
      <c r="BN824">
        <f>IFERROR(INDEX(PP_Grid[#Data],$DD824,64),0)</f>
        <v/>
      </c>
      <c r="BO824">
        <f>IFERROR(INDEX(PP_Grid[#Data],$DD824,65),0)</f>
        <v/>
      </c>
      <c r="BP824">
        <f>IFERROR(INDEX(PP_Grid[#Data],$DD824,66),0)</f>
        <v/>
      </c>
      <c r="BQ824">
        <f>IFERROR(INDEX(PP_Grid[#Data],$DD824,67),0)</f>
        <v/>
      </c>
      <c r="BR824">
        <f>IFERROR(INDEX(PP_Grid[#Data],$DD824,68),0)</f>
        <v/>
      </c>
      <c r="BS824">
        <f>IFERROR(INDEX(PP_Grid[#Data],$DD824,69),0)</f>
        <v/>
      </c>
      <c r="BT824">
        <f>IFERROR(INDEX(PP_Grid[#Data],$DD824,70),0)</f>
        <v/>
      </c>
      <c r="BU824">
        <f>IFERROR(INDEX(PP_Grid[#Data],$DD824,71),0)</f>
        <v/>
      </c>
      <c r="BV824">
        <f>IFERROR(INDEX(PP_Grid[#Data],$DD824,72),0)</f>
        <v/>
      </c>
      <c r="BW824">
        <f>IFERROR(INDEX(PP_Grid[#Data],$DD824,73),0)</f>
        <v/>
      </c>
      <c r="BX824">
        <f>IFERROR(INDEX(PP_Grid[#Data],$DD824,74),0)</f>
        <v/>
      </c>
      <c r="BY824">
        <f>IFERROR(INDEX(PP_Grid[#Data],$DD824,75),0)</f>
        <v/>
      </c>
      <c r="BZ824">
        <f>IFERROR(INDEX(PP_Grid[#Data],$DD824,76),0)</f>
        <v/>
      </c>
      <c r="CA824">
        <f>IFERROR(INDEX(PP_Grid[#Data],$DD824,77),0)</f>
        <v/>
      </c>
      <c r="CB824">
        <f>IFERROR(INDEX(PP_Grid[#Data],$DD824,78),0)</f>
        <v/>
      </c>
      <c r="CC824">
        <f>IFERROR(INDEX(PP_Grid[#Data],$DD824,79),0)</f>
        <v/>
      </c>
      <c r="CD824">
        <f>IFERROR(INDEX(PP_Grid[#Data],$DD824,80),0)</f>
        <v/>
      </c>
      <c r="CE824">
        <f>IFERROR(INDEX(PP_Grid[#Data],$DD824,81),0)</f>
        <v/>
      </c>
      <c r="CF824">
        <f>IFERROR(INDEX(PP_Grid[#Data],$DD824,82),0)</f>
        <v/>
      </c>
      <c r="CG824">
        <f>IFERROR(INDEX(PP_Grid[#Data],$DD824,83),0)</f>
        <v/>
      </c>
      <c r="CH824">
        <f>IFERROR(INDEX(PP_Grid[#Data],$DD824,84),0)</f>
        <v/>
      </c>
      <c r="CI824">
        <f>IFERROR(INDEX(PP_Grid[#Data],$DD824,85),0)</f>
        <v/>
      </c>
      <c r="CJ824">
        <f>IFERROR(INDEX(PP_Grid[#Data],$DD824,86),0)</f>
        <v/>
      </c>
      <c r="CK824">
        <f>IFERROR(INDEX(PP_Grid[#Data],$DD824,87),0)</f>
        <v/>
      </c>
      <c r="CL824">
        <f>IFERROR(INDEX(PP_Grid[#Data],$DD824,88),0)</f>
        <v/>
      </c>
      <c r="CM824">
        <f>IFERROR(INDEX(PP_Grid[#Data],$DD824,89),0)</f>
        <v/>
      </c>
      <c r="CN824">
        <f>IFERROR(INDEX(PP_Grid[#Data],$DD824,90),0)</f>
        <v/>
      </c>
      <c r="CO824">
        <f>IFERROR(INDEX(PP_Grid[#Data],$DD824,91),0)</f>
        <v/>
      </c>
      <c r="CP824">
        <f>IFERROR(INDEX(PP_Grid[#Data],$DD824,92),0)</f>
        <v/>
      </c>
      <c r="CQ824">
        <f>IFERROR(INDEX(PP_Grid[#Data],$DD824,93),0)</f>
        <v/>
      </c>
      <c r="CR824">
        <f>IFERROR(INDEX(PP_Grid[#Data],$DD824,94),0)</f>
        <v/>
      </c>
      <c r="CS824">
        <f>IFERROR(INDEX(PP_Grid[#Data],$DD824,95),0)</f>
        <v/>
      </c>
      <c r="CT824">
        <f>IFERROR(INDEX(PP_Grid[#Data],$DD824,96),0)</f>
        <v/>
      </c>
      <c r="CU824">
        <f>IFERROR(INDEX(PP_Grid[#Data],$DD824,97),0)</f>
        <v/>
      </c>
      <c r="CV824">
        <f>IFERROR(INDEX(PP_Grid[#Data],$DD824,98),0)</f>
        <v/>
      </c>
      <c r="CW824">
        <f>IFERROR(INDEX(PP_Grid[#Data],$DD824,99),0)</f>
        <v/>
      </c>
      <c r="CX824">
        <f>IFERROR(INDEX(PP_Grid[#Data],$DD824,100),0)</f>
        <v/>
      </c>
      <c r="CY824">
        <f>IFERROR(INDEX(PP_Grid[#Data],$DD824,101),0)</f>
        <v/>
      </c>
      <c r="CZ824">
        <f>IFERROR(INDEX(PP_Grid[#Data],$DD824,102),0)</f>
        <v/>
      </c>
      <c r="DA824">
        <f>IFERROR(INDEX(PP_Grid[#Data],$DD824,103),0)</f>
        <v/>
      </c>
      <c r="DB824">
        <f>IFERROR(INDEX(PP_Grid[#Data],$DD824,104),0)</f>
        <v/>
      </c>
      <c r="DC824">
        <f>IFERROR(INDEX(PP_Grid[#Data],$DD824,105),0)</f>
        <v/>
      </c>
      <c r="DD824" s="7">
        <f>IFERROR(MATCH($B824,PP_Grid[Intermediate],0),99999)</f>
        <v/>
      </c>
    </row>
    <row r="825">
      <c r="B825" t="inlineStr">
        <is>
          <t>使用量(kg)</t>
        </is>
      </c>
      <c r="C825">
        <f>SUMIFS(M_BOM[RM_Qty_Per_Batch],M_BOM[Intermediate],$B824,M_BOM[Part Name],$A773)</f>
        <v/>
      </c>
      <c r="D825">
        <f>$C825*D824</f>
        <v/>
      </c>
      <c r="E825">
        <f>$C825*E824</f>
        <v/>
      </c>
      <c r="F825">
        <f>$C825*F824</f>
        <v/>
      </c>
      <c r="G825">
        <f>$C825*G824</f>
        <v/>
      </c>
      <c r="H825">
        <f>$C825*H824</f>
        <v/>
      </c>
      <c r="I825">
        <f>$C825*I824</f>
        <v/>
      </c>
      <c r="J825">
        <f>$C825*J824</f>
        <v/>
      </c>
      <c r="K825">
        <f>$C825*K824</f>
        <v/>
      </c>
      <c r="L825">
        <f>$C825*L824</f>
        <v/>
      </c>
      <c r="M825">
        <f>$C825*M824</f>
        <v/>
      </c>
      <c r="N825">
        <f>$C825*N824</f>
        <v/>
      </c>
      <c r="O825">
        <f>$C825*O824</f>
        <v/>
      </c>
      <c r="P825">
        <f>$C825*P824</f>
        <v/>
      </c>
      <c r="Q825">
        <f>$C825*Q824</f>
        <v/>
      </c>
      <c r="R825">
        <f>$C825*R824</f>
        <v/>
      </c>
      <c r="S825">
        <f>$C825*S824</f>
        <v/>
      </c>
      <c r="T825">
        <f>$C825*T824</f>
        <v/>
      </c>
      <c r="U825">
        <f>$C825*U824</f>
        <v/>
      </c>
      <c r="V825">
        <f>$C825*V824</f>
        <v/>
      </c>
      <c r="W825">
        <f>$C825*W824</f>
        <v/>
      </c>
      <c r="X825">
        <f>$C825*X824</f>
        <v/>
      </c>
      <c r="Y825">
        <f>$C825*Y824</f>
        <v/>
      </c>
      <c r="Z825">
        <f>$C825*Z824</f>
        <v/>
      </c>
      <c r="AA825">
        <f>$C825*AA824</f>
        <v/>
      </c>
      <c r="AB825">
        <f>$C825*AB824</f>
        <v/>
      </c>
      <c r="AC825">
        <f>$C825*AC824</f>
        <v/>
      </c>
      <c r="AD825">
        <f>$C825*AD824</f>
        <v/>
      </c>
      <c r="AE825">
        <f>$C825*AE824</f>
        <v/>
      </c>
      <c r="AF825">
        <f>$C825*AF824</f>
        <v/>
      </c>
      <c r="AG825">
        <f>$C825*AG824</f>
        <v/>
      </c>
      <c r="AH825">
        <f>$C825*AH824</f>
        <v/>
      </c>
      <c r="AI825">
        <f>$C825*AI824</f>
        <v/>
      </c>
      <c r="AJ825">
        <f>$C825*AJ824</f>
        <v/>
      </c>
      <c r="AK825">
        <f>$C825*AK824</f>
        <v/>
      </c>
      <c r="AL825">
        <f>$C825*AL824</f>
        <v/>
      </c>
      <c r="AM825">
        <f>$C825*AM824</f>
        <v/>
      </c>
      <c r="AN825">
        <f>$C825*AN824</f>
        <v/>
      </c>
      <c r="AO825">
        <f>$C825*AO824</f>
        <v/>
      </c>
      <c r="AP825">
        <f>$C825*AP824</f>
        <v/>
      </c>
      <c r="AQ825">
        <f>$C825*AQ824</f>
        <v/>
      </c>
      <c r="AR825">
        <f>$C825*AR824</f>
        <v/>
      </c>
      <c r="AS825">
        <f>$C825*AS824</f>
        <v/>
      </c>
      <c r="AT825">
        <f>$C825*AT824</f>
        <v/>
      </c>
      <c r="AU825">
        <f>$C825*AU824</f>
        <v/>
      </c>
      <c r="AV825">
        <f>$C825*AV824</f>
        <v/>
      </c>
      <c r="AW825">
        <f>$C825*AW824</f>
        <v/>
      </c>
      <c r="AX825">
        <f>$C825*AX824</f>
        <v/>
      </c>
      <c r="AY825">
        <f>$C825*AY824</f>
        <v/>
      </c>
      <c r="AZ825">
        <f>$C825*AZ824</f>
        <v/>
      </c>
      <c r="BA825">
        <f>$C825*BA824</f>
        <v/>
      </c>
      <c r="BB825">
        <f>$C825*BB824</f>
        <v/>
      </c>
      <c r="BC825">
        <f>$C825*BC824</f>
        <v/>
      </c>
      <c r="BD825">
        <f>$C825*BD824</f>
        <v/>
      </c>
      <c r="BE825">
        <f>$C825*BE824</f>
        <v/>
      </c>
      <c r="BF825">
        <f>$C825*BF824</f>
        <v/>
      </c>
      <c r="BG825">
        <f>$C825*BG824</f>
        <v/>
      </c>
      <c r="BH825">
        <f>$C825*BH824</f>
        <v/>
      </c>
      <c r="BI825">
        <f>$C825*BI824</f>
        <v/>
      </c>
      <c r="BJ825">
        <f>$C825*BJ824</f>
        <v/>
      </c>
      <c r="BK825">
        <f>$C825*BK824</f>
        <v/>
      </c>
      <c r="BL825">
        <f>$C825*BL824</f>
        <v/>
      </c>
      <c r="BM825">
        <f>$C825*BM824</f>
        <v/>
      </c>
      <c r="BN825">
        <f>$C825*BN824</f>
        <v/>
      </c>
      <c r="BO825">
        <f>$C825*BO824</f>
        <v/>
      </c>
      <c r="BP825">
        <f>$C825*BP824</f>
        <v/>
      </c>
      <c r="BQ825">
        <f>$C825*BQ824</f>
        <v/>
      </c>
      <c r="BR825">
        <f>$C825*BR824</f>
        <v/>
      </c>
      <c r="BS825">
        <f>$C825*BS824</f>
        <v/>
      </c>
      <c r="BT825">
        <f>$C825*BT824</f>
        <v/>
      </c>
      <c r="BU825">
        <f>$C825*BU824</f>
        <v/>
      </c>
      <c r="BV825">
        <f>$C825*BV824</f>
        <v/>
      </c>
      <c r="BW825">
        <f>$C825*BW824</f>
        <v/>
      </c>
      <c r="BX825">
        <f>$C825*BX824</f>
        <v/>
      </c>
      <c r="BY825">
        <f>$C825*BY824</f>
        <v/>
      </c>
      <c r="BZ825">
        <f>$C825*BZ824</f>
        <v/>
      </c>
      <c r="CA825">
        <f>$C825*CA824</f>
        <v/>
      </c>
      <c r="CB825">
        <f>$C825*CB824</f>
        <v/>
      </c>
      <c r="CC825">
        <f>$C825*CC824</f>
        <v/>
      </c>
      <c r="CD825">
        <f>$C825*CD824</f>
        <v/>
      </c>
      <c r="CE825">
        <f>$C825*CE824</f>
        <v/>
      </c>
      <c r="CF825">
        <f>$C825*CF824</f>
        <v/>
      </c>
      <c r="CG825">
        <f>$C825*CG824</f>
        <v/>
      </c>
      <c r="CH825">
        <f>$C825*CH824</f>
        <v/>
      </c>
      <c r="CI825">
        <f>$C825*CI824</f>
        <v/>
      </c>
      <c r="CJ825">
        <f>$C825*CJ824</f>
        <v/>
      </c>
      <c r="CK825">
        <f>$C825*CK824</f>
        <v/>
      </c>
      <c r="CL825">
        <f>$C825*CL824</f>
        <v/>
      </c>
      <c r="CM825">
        <f>$C825*CM824</f>
        <v/>
      </c>
      <c r="CN825">
        <f>$C825*CN824</f>
        <v/>
      </c>
      <c r="CO825">
        <f>$C825*CO824</f>
        <v/>
      </c>
      <c r="CP825">
        <f>$C825*CP824</f>
        <v/>
      </c>
      <c r="CQ825">
        <f>$C825*CQ824</f>
        <v/>
      </c>
      <c r="CR825">
        <f>$C825*CR824</f>
        <v/>
      </c>
      <c r="CS825">
        <f>$C825*CS824</f>
        <v/>
      </c>
      <c r="CT825">
        <f>$C825*CT824</f>
        <v/>
      </c>
      <c r="CU825">
        <f>$C825*CU824</f>
        <v/>
      </c>
      <c r="CV825">
        <f>$C825*CV824</f>
        <v/>
      </c>
      <c r="CW825">
        <f>$C825*CW824</f>
        <v/>
      </c>
      <c r="CX825">
        <f>$C825*CX824</f>
        <v/>
      </c>
      <c r="CY825">
        <f>$C825*CY824</f>
        <v/>
      </c>
      <c r="CZ825">
        <f>$C825*CZ824</f>
        <v/>
      </c>
      <c r="DA825">
        <f>$C825*DA824</f>
        <v/>
      </c>
      <c r="DB825">
        <f>$C825*DB824</f>
        <v/>
      </c>
      <c r="DC825">
        <f>$C825*DC824</f>
        <v/>
      </c>
    </row>
    <row r="826">
      <c r="B826" t="inlineStr">
        <is>
          <t>VSP-600</t>
        </is>
      </c>
      <c r="C826" t="inlineStr">
        <is>
          <t>No. of batches</t>
        </is>
      </c>
      <c r="D826">
        <f>IFERROR(INDEX(PP_Grid[#Data],$DD826,2),0)</f>
        <v/>
      </c>
      <c r="E826">
        <f>IFERROR(INDEX(PP_Grid[#Data],$DD826,3),0)</f>
        <v/>
      </c>
      <c r="F826">
        <f>IFERROR(INDEX(PP_Grid[#Data],$DD826,4),0)</f>
        <v/>
      </c>
      <c r="G826">
        <f>IFERROR(INDEX(PP_Grid[#Data],$DD826,5),0)</f>
        <v/>
      </c>
      <c r="H826">
        <f>IFERROR(INDEX(PP_Grid[#Data],$DD826,6),0)</f>
        <v/>
      </c>
      <c r="I826">
        <f>IFERROR(INDEX(PP_Grid[#Data],$DD826,7),0)</f>
        <v/>
      </c>
      <c r="J826">
        <f>IFERROR(INDEX(PP_Grid[#Data],$DD826,8),0)</f>
        <v/>
      </c>
      <c r="K826">
        <f>IFERROR(INDEX(PP_Grid[#Data],$DD826,9),0)</f>
        <v/>
      </c>
      <c r="L826">
        <f>IFERROR(INDEX(PP_Grid[#Data],$DD826,10),0)</f>
        <v/>
      </c>
      <c r="M826">
        <f>IFERROR(INDEX(PP_Grid[#Data],$DD826,11),0)</f>
        <v/>
      </c>
      <c r="N826">
        <f>IFERROR(INDEX(PP_Grid[#Data],$DD826,12),0)</f>
        <v/>
      </c>
      <c r="O826">
        <f>IFERROR(INDEX(PP_Grid[#Data],$DD826,13),0)</f>
        <v/>
      </c>
      <c r="P826">
        <f>IFERROR(INDEX(PP_Grid[#Data],$DD826,14),0)</f>
        <v/>
      </c>
      <c r="Q826">
        <f>IFERROR(INDEX(PP_Grid[#Data],$DD826,15),0)</f>
        <v/>
      </c>
      <c r="R826">
        <f>IFERROR(INDEX(PP_Grid[#Data],$DD826,16),0)</f>
        <v/>
      </c>
      <c r="S826">
        <f>IFERROR(INDEX(PP_Grid[#Data],$DD826,17),0)</f>
        <v/>
      </c>
      <c r="T826">
        <f>IFERROR(INDEX(PP_Grid[#Data],$DD826,18),0)</f>
        <v/>
      </c>
      <c r="U826">
        <f>IFERROR(INDEX(PP_Grid[#Data],$DD826,19),0)</f>
        <v/>
      </c>
      <c r="V826">
        <f>IFERROR(INDEX(PP_Grid[#Data],$DD826,20),0)</f>
        <v/>
      </c>
      <c r="W826">
        <f>IFERROR(INDEX(PP_Grid[#Data],$DD826,21),0)</f>
        <v/>
      </c>
      <c r="X826">
        <f>IFERROR(INDEX(PP_Grid[#Data],$DD826,22),0)</f>
        <v/>
      </c>
      <c r="Y826">
        <f>IFERROR(INDEX(PP_Grid[#Data],$DD826,23),0)</f>
        <v/>
      </c>
      <c r="Z826">
        <f>IFERROR(INDEX(PP_Grid[#Data],$DD826,24),0)</f>
        <v/>
      </c>
      <c r="AA826">
        <f>IFERROR(INDEX(PP_Grid[#Data],$DD826,25),0)</f>
        <v/>
      </c>
      <c r="AB826">
        <f>IFERROR(INDEX(PP_Grid[#Data],$DD826,26),0)</f>
        <v/>
      </c>
      <c r="AC826">
        <f>IFERROR(INDEX(PP_Grid[#Data],$DD826,27),0)</f>
        <v/>
      </c>
      <c r="AD826">
        <f>IFERROR(INDEX(PP_Grid[#Data],$DD826,28),0)</f>
        <v/>
      </c>
      <c r="AE826">
        <f>IFERROR(INDEX(PP_Grid[#Data],$DD826,29),0)</f>
        <v/>
      </c>
      <c r="AF826">
        <f>IFERROR(INDEX(PP_Grid[#Data],$DD826,30),0)</f>
        <v/>
      </c>
      <c r="AG826">
        <f>IFERROR(INDEX(PP_Grid[#Data],$DD826,31),0)</f>
        <v/>
      </c>
      <c r="AH826">
        <f>IFERROR(INDEX(PP_Grid[#Data],$DD826,32),0)</f>
        <v/>
      </c>
      <c r="AI826">
        <f>IFERROR(INDEX(PP_Grid[#Data],$DD826,33),0)</f>
        <v/>
      </c>
      <c r="AJ826">
        <f>IFERROR(INDEX(PP_Grid[#Data],$DD826,34),0)</f>
        <v/>
      </c>
      <c r="AK826">
        <f>IFERROR(INDEX(PP_Grid[#Data],$DD826,35),0)</f>
        <v/>
      </c>
      <c r="AL826">
        <f>IFERROR(INDEX(PP_Grid[#Data],$DD826,36),0)</f>
        <v/>
      </c>
      <c r="AM826">
        <f>IFERROR(INDEX(PP_Grid[#Data],$DD826,37),0)</f>
        <v/>
      </c>
      <c r="AN826">
        <f>IFERROR(INDEX(PP_Grid[#Data],$DD826,38),0)</f>
        <v/>
      </c>
      <c r="AO826">
        <f>IFERROR(INDEX(PP_Grid[#Data],$DD826,39),0)</f>
        <v/>
      </c>
      <c r="AP826">
        <f>IFERROR(INDEX(PP_Grid[#Data],$DD826,40),0)</f>
        <v/>
      </c>
      <c r="AQ826">
        <f>IFERROR(INDEX(PP_Grid[#Data],$DD826,41),0)</f>
        <v/>
      </c>
      <c r="AR826">
        <f>IFERROR(INDEX(PP_Grid[#Data],$DD826,42),0)</f>
        <v/>
      </c>
      <c r="AS826">
        <f>IFERROR(INDEX(PP_Grid[#Data],$DD826,43),0)</f>
        <v/>
      </c>
      <c r="AT826">
        <f>IFERROR(INDEX(PP_Grid[#Data],$DD826,44),0)</f>
        <v/>
      </c>
      <c r="AU826">
        <f>IFERROR(INDEX(PP_Grid[#Data],$DD826,45),0)</f>
        <v/>
      </c>
      <c r="AV826">
        <f>IFERROR(INDEX(PP_Grid[#Data],$DD826,46),0)</f>
        <v/>
      </c>
      <c r="AW826">
        <f>IFERROR(INDEX(PP_Grid[#Data],$DD826,47),0)</f>
        <v/>
      </c>
      <c r="AX826">
        <f>IFERROR(INDEX(PP_Grid[#Data],$DD826,48),0)</f>
        <v/>
      </c>
      <c r="AY826">
        <f>IFERROR(INDEX(PP_Grid[#Data],$DD826,49),0)</f>
        <v/>
      </c>
      <c r="AZ826">
        <f>IFERROR(INDEX(PP_Grid[#Data],$DD826,50),0)</f>
        <v/>
      </c>
      <c r="BA826">
        <f>IFERROR(INDEX(PP_Grid[#Data],$DD826,51),0)</f>
        <v/>
      </c>
      <c r="BB826">
        <f>IFERROR(INDEX(PP_Grid[#Data],$DD826,52),0)</f>
        <v/>
      </c>
      <c r="BC826">
        <f>IFERROR(INDEX(PP_Grid[#Data],$DD826,53),0)</f>
        <v/>
      </c>
      <c r="BD826">
        <f>IFERROR(INDEX(PP_Grid[#Data],$DD826,54),0)</f>
        <v/>
      </c>
      <c r="BE826">
        <f>IFERROR(INDEX(PP_Grid[#Data],$DD826,55),0)</f>
        <v/>
      </c>
      <c r="BF826">
        <f>IFERROR(INDEX(PP_Grid[#Data],$DD826,56),0)</f>
        <v/>
      </c>
      <c r="BG826">
        <f>IFERROR(INDEX(PP_Grid[#Data],$DD826,57),0)</f>
        <v/>
      </c>
      <c r="BH826">
        <f>IFERROR(INDEX(PP_Grid[#Data],$DD826,58),0)</f>
        <v/>
      </c>
      <c r="BI826">
        <f>IFERROR(INDEX(PP_Grid[#Data],$DD826,59),0)</f>
        <v/>
      </c>
      <c r="BJ826">
        <f>IFERROR(INDEX(PP_Grid[#Data],$DD826,60),0)</f>
        <v/>
      </c>
      <c r="BK826">
        <f>IFERROR(INDEX(PP_Grid[#Data],$DD826,61),0)</f>
        <v/>
      </c>
      <c r="BL826">
        <f>IFERROR(INDEX(PP_Grid[#Data],$DD826,62),0)</f>
        <v/>
      </c>
      <c r="BM826">
        <f>IFERROR(INDEX(PP_Grid[#Data],$DD826,63),0)</f>
        <v/>
      </c>
      <c r="BN826">
        <f>IFERROR(INDEX(PP_Grid[#Data],$DD826,64),0)</f>
        <v/>
      </c>
      <c r="BO826">
        <f>IFERROR(INDEX(PP_Grid[#Data],$DD826,65),0)</f>
        <v/>
      </c>
      <c r="BP826">
        <f>IFERROR(INDEX(PP_Grid[#Data],$DD826,66),0)</f>
        <v/>
      </c>
      <c r="BQ826">
        <f>IFERROR(INDEX(PP_Grid[#Data],$DD826,67),0)</f>
        <v/>
      </c>
      <c r="BR826">
        <f>IFERROR(INDEX(PP_Grid[#Data],$DD826,68),0)</f>
        <v/>
      </c>
      <c r="BS826">
        <f>IFERROR(INDEX(PP_Grid[#Data],$DD826,69),0)</f>
        <v/>
      </c>
      <c r="BT826">
        <f>IFERROR(INDEX(PP_Grid[#Data],$DD826,70),0)</f>
        <v/>
      </c>
      <c r="BU826">
        <f>IFERROR(INDEX(PP_Grid[#Data],$DD826,71),0)</f>
        <v/>
      </c>
      <c r="BV826">
        <f>IFERROR(INDEX(PP_Grid[#Data],$DD826,72),0)</f>
        <v/>
      </c>
      <c r="BW826">
        <f>IFERROR(INDEX(PP_Grid[#Data],$DD826,73),0)</f>
        <v/>
      </c>
      <c r="BX826">
        <f>IFERROR(INDEX(PP_Grid[#Data],$DD826,74),0)</f>
        <v/>
      </c>
      <c r="BY826">
        <f>IFERROR(INDEX(PP_Grid[#Data],$DD826,75),0)</f>
        <v/>
      </c>
      <c r="BZ826">
        <f>IFERROR(INDEX(PP_Grid[#Data],$DD826,76),0)</f>
        <v/>
      </c>
      <c r="CA826">
        <f>IFERROR(INDEX(PP_Grid[#Data],$DD826,77),0)</f>
        <v/>
      </c>
      <c r="CB826">
        <f>IFERROR(INDEX(PP_Grid[#Data],$DD826,78),0)</f>
        <v/>
      </c>
      <c r="CC826">
        <f>IFERROR(INDEX(PP_Grid[#Data],$DD826,79),0)</f>
        <v/>
      </c>
      <c r="CD826">
        <f>IFERROR(INDEX(PP_Grid[#Data],$DD826,80),0)</f>
        <v/>
      </c>
      <c r="CE826">
        <f>IFERROR(INDEX(PP_Grid[#Data],$DD826,81),0)</f>
        <v/>
      </c>
      <c r="CF826">
        <f>IFERROR(INDEX(PP_Grid[#Data],$DD826,82),0)</f>
        <v/>
      </c>
      <c r="CG826">
        <f>IFERROR(INDEX(PP_Grid[#Data],$DD826,83),0)</f>
        <v/>
      </c>
      <c r="CH826">
        <f>IFERROR(INDEX(PP_Grid[#Data],$DD826,84),0)</f>
        <v/>
      </c>
      <c r="CI826">
        <f>IFERROR(INDEX(PP_Grid[#Data],$DD826,85),0)</f>
        <v/>
      </c>
      <c r="CJ826">
        <f>IFERROR(INDEX(PP_Grid[#Data],$DD826,86),0)</f>
        <v/>
      </c>
      <c r="CK826">
        <f>IFERROR(INDEX(PP_Grid[#Data],$DD826,87),0)</f>
        <v/>
      </c>
      <c r="CL826">
        <f>IFERROR(INDEX(PP_Grid[#Data],$DD826,88),0)</f>
        <v/>
      </c>
      <c r="CM826">
        <f>IFERROR(INDEX(PP_Grid[#Data],$DD826,89),0)</f>
        <v/>
      </c>
      <c r="CN826">
        <f>IFERROR(INDEX(PP_Grid[#Data],$DD826,90),0)</f>
        <v/>
      </c>
      <c r="CO826">
        <f>IFERROR(INDEX(PP_Grid[#Data],$DD826,91),0)</f>
        <v/>
      </c>
      <c r="CP826">
        <f>IFERROR(INDEX(PP_Grid[#Data],$DD826,92),0)</f>
        <v/>
      </c>
      <c r="CQ826">
        <f>IFERROR(INDEX(PP_Grid[#Data],$DD826,93),0)</f>
        <v/>
      </c>
      <c r="CR826">
        <f>IFERROR(INDEX(PP_Grid[#Data],$DD826,94),0)</f>
        <v/>
      </c>
      <c r="CS826">
        <f>IFERROR(INDEX(PP_Grid[#Data],$DD826,95),0)</f>
        <v/>
      </c>
      <c r="CT826">
        <f>IFERROR(INDEX(PP_Grid[#Data],$DD826,96),0)</f>
        <v/>
      </c>
      <c r="CU826">
        <f>IFERROR(INDEX(PP_Grid[#Data],$DD826,97),0)</f>
        <v/>
      </c>
      <c r="CV826">
        <f>IFERROR(INDEX(PP_Grid[#Data],$DD826,98),0)</f>
        <v/>
      </c>
      <c r="CW826">
        <f>IFERROR(INDEX(PP_Grid[#Data],$DD826,99),0)</f>
        <v/>
      </c>
      <c r="CX826">
        <f>IFERROR(INDEX(PP_Grid[#Data],$DD826,100),0)</f>
        <v/>
      </c>
      <c r="CY826">
        <f>IFERROR(INDEX(PP_Grid[#Data],$DD826,101),0)</f>
        <v/>
      </c>
      <c r="CZ826">
        <f>IFERROR(INDEX(PP_Grid[#Data],$DD826,102),0)</f>
        <v/>
      </c>
      <c r="DA826">
        <f>IFERROR(INDEX(PP_Grid[#Data],$DD826,103),0)</f>
        <v/>
      </c>
      <c r="DB826">
        <f>IFERROR(INDEX(PP_Grid[#Data],$DD826,104),0)</f>
        <v/>
      </c>
      <c r="DC826">
        <f>IFERROR(INDEX(PP_Grid[#Data],$DD826,105),0)</f>
        <v/>
      </c>
      <c r="DD826" s="7">
        <f>IFERROR(MATCH($B826,PP_Grid[Intermediate],0),99999)</f>
        <v/>
      </c>
    </row>
    <row r="827">
      <c r="B827" t="inlineStr">
        <is>
          <t>使用量(kg)</t>
        </is>
      </c>
      <c r="C827">
        <f>SUMIFS(M_BOM[RM_Qty_Per_Batch],M_BOM[Intermediate],$B826,M_BOM[Part Name],$A773)</f>
        <v/>
      </c>
      <c r="D827">
        <f>$C827*D826</f>
        <v/>
      </c>
      <c r="E827">
        <f>$C827*E826</f>
        <v/>
      </c>
      <c r="F827">
        <f>$C827*F826</f>
        <v/>
      </c>
      <c r="G827">
        <f>$C827*G826</f>
        <v/>
      </c>
      <c r="H827">
        <f>$C827*H826</f>
        <v/>
      </c>
      <c r="I827">
        <f>$C827*I826</f>
        <v/>
      </c>
      <c r="J827">
        <f>$C827*J826</f>
        <v/>
      </c>
      <c r="K827">
        <f>$C827*K826</f>
        <v/>
      </c>
      <c r="L827">
        <f>$C827*L826</f>
        <v/>
      </c>
      <c r="M827">
        <f>$C827*M826</f>
        <v/>
      </c>
      <c r="N827">
        <f>$C827*N826</f>
        <v/>
      </c>
      <c r="O827">
        <f>$C827*O826</f>
        <v/>
      </c>
      <c r="P827">
        <f>$C827*P826</f>
        <v/>
      </c>
      <c r="Q827">
        <f>$C827*Q826</f>
        <v/>
      </c>
      <c r="R827">
        <f>$C827*R826</f>
        <v/>
      </c>
      <c r="S827">
        <f>$C827*S826</f>
        <v/>
      </c>
      <c r="T827">
        <f>$C827*T826</f>
        <v/>
      </c>
      <c r="U827">
        <f>$C827*U826</f>
        <v/>
      </c>
      <c r="V827">
        <f>$C827*V826</f>
        <v/>
      </c>
      <c r="W827">
        <f>$C827*W826</f>
        <v/>
      </c>
      <c r="X827">
        <f>$C827*X826</f>
        <v/>
      </c>
      <c r="Y827">
        <f>$C827*Y826</f>
        <v/>
      </c>
      <c r="Z827">
        <f>$C827*Z826</f>
        <v/>
      </c>
      <c r="AA827">
        <f>$C827*AA826</f>
        <v/>
      </c>
      <c r="AB827">
        <f>$C827*AB826</f>
        <v/>
      </c>
      <c r="AC827">
        <f>$C827*AC826</f>
        <v/>
      </c>
      <c r="AD827">
        <f>$C827*AD826</f>
        <v/>
      </c>
      <c r="AE827">
        <f>$C827*AE826</f>
        <v/>
      </c>
      <c r="AF827">
        <f>$C827*AF826</f>
        <v/>
      </c>
      <c r="AG827">
        <f>$C827*AG826</f>
        <v/>
      </c>
      <c r="AH827">
        <f>$C827*AH826</f>
        <v/>
      </c>
      <c r="AI827">
        <f>$C827*AI826</f>
        <v/>
      </c>
      <c r="AJ827">
        <f>$C827*AJ826</f>
        <v/>
      </c>
      <c r="AK827">
        <f>$C827*AK826</f>
        <v/>
      </c>
      <c r="AL827">
        <f>$C827*AL826</f>
        <v/>
      </c>
      <c r="AM827">
        <f>$C827*AM826</f>
        <v/>
      </c>
      <c r="AN827">
        <f>$C827*AN826</f>
        <v/>
      </c>
      <c r="AO827">
        <f>$C827*AO826</f>
        <v/>
      </c>
      <c r="AP827">
        <f>$C827*AP826</f>
        <v/>
      </c>
      <c r="AQ827">
        <f>$C827*AQ826</f>
        <v/>
      </c>
      <c r="AR827">
        <f>$C827*AR826</f>
        <v/>
      </c>
      <c r="AS827">
        <f>$C827*AS826</f>
        <v/>
      </c>
      <c r="AT827">
        <f>$C827*AT826</f>
        <v/>
      </c>
      <c r="AU827">
        <f>$C827*AU826</f>
        <v/>
      </c>
      <c r="AV827">
        <f>$C827*AV826</f>
        <v/>
      </c>
      <c r="AW827">
        <f>$C827*AW826</f>
        <v/>
      </c>
      <c r="AX827">
        <f>$C827*AX826</f>
        <v/>
      </c>
      <c r="AY827">
        <f>$C827*AY826</f>
        <v/>
      </c>
      <c r="AZ827">
        <f>$C827*AZ826</f>
        <v/>
      </c>
      <c r="BA827">
        <f>$C827*BA826</f>
        <v/>
      </c>
      <c r="BB827">
        <f>$C827*BB826</f>
        <v/>
      </c>
      <c r="BC827">
        <f>$C827*BC826</f>
        <v/>
      </c>
      <c r="BD827">
        <f>$C827*BD826</f>
        <v/>
      </c>
      <c r="BE827">
        <f>$C827*BE826</f>
        <v/>
      </c>
      <c r="BF827">
        <f>$C827*BF826</f>
        <v/>
      </c>
      <c r="BG827">
        <f>$C827*BG826</f>
        <v/>
      </c>
      <c r="BH827">
        <f>$C827*BH826</f>
        <v/>
      </c>
      <c r="BI827">
        <f>$C827*BI826</f>
        <v/>
      </c>
      <c r="BJ827">
        <f>$C827*BJ826</f>
        <v/>
      </c>
      <c r="BK827">
        <f>$C827*BK826</f>
        <v/>
      </c>
      <c r="BL827">
        <f>$C827*BL826</f>
        <v/>
      </c>
      <c r="BM827">
        <f>$C827*BM826</f>
        <v/>
      </c>
      <c r="BN827">
        <f>$C827*BN826</f>
        <v/>
      </c>
      <c r="BO827">
        <f>$C827*BO826</f>
        <v/>
      </c>
      <c r="BP827">
        <f>$C827*BP826</f>
        <v/>
      </c>
      <c r="BQ827">
        <f>$C827*BQ826</f>
        <v/>
      </c>
      <c r="BR827">
        <f>$C827*BR826</f>
        <v/>
      </c>
      <c r="BS827">
        <f>$C827*BS826</f>
        <v/>
      </c>
      <c r="BT827">
        <f>$C827*BT826</f>
        <v/>
      </c>
      <c r="BU827">
        <f>$C827*BU826</f>
        <v/>
      </c>
      <c r="BV827">
        <f>$C827*BV826</f>
        <v/>
      </c>
      <c r="BW827">
        <f>$C827*BW826</f>
        <v/>
      </c>
      <c r="BX827">
        <f>$C827*BX826</f>
        <v/>
      </c>
      <c r="BY827">
        <f>$C827*BY826</f>
        <v/>
      </c>
      <c r="BZ827">
        <f>$C827*BZ826</f>
        <v/>
      </c>
      <c r="CA827">
        <f>$C827*CA826</f>
        <v/>
      </c>
      <c r="CB827">
        <f>$C827*CB826</f>
        <v/>
      </c>
      <c r="CC827">
        <f>$C827*CC826</f>
        <v/>
      </c>
      <c r="CD827">
        <f>$C827*CD826</f>
        <v/>
      </c>
      <c r="CE827">
        <f>$C827*CE826</f>
        <v/>
      </c>
      <c r="CF827">
        <f>$C827*CF826</f>
        <v/>
      </c>
      <c r="CG827">
        <f>$C827*CG826</f>
        <v/>
      </c>
      <c r="CH827">
        <f>$C827*CH826</f>
        <v/>
      </c>
      <c r="CI827">
        <f>$C827*CI826</f>
        <v/>
      </c>
      <c r="CJ827">
        <f>$C827*CJ826</f>
        <v/>
      </c>
      <c r="CK827">
        <f>$C827*CK826</f>
        <v/>
      </c>
      <c r="CL827">
        <f>$C827*CL826</f>
        <v/>
      </c>
      <c r="CM827">
        <f>$C827*CM826</f>
        <v/>
      </c>
      <c r="CN827">
        <f>$C827*CN826</f>
        <v/>
      </c>
      <c r="CO827">
        <f>$C827*CO826</f>
        <v/>
      </c>
      <c r="CP827">
        <f>$C827*CP826</f>
        <v/>
      </c>
      <c r="CQ827">
        <f>$C827*CQ826</f>
        <v/>
      </c>
      <c r="CR827">
        <f>$C827*CR826</f>
        <v/>
      </c>
      <c r="CS827">
        <f>$C827*CS826</f>
        <v/>
      </c>
      <c r="CT827">
        <f>$C827*CT826</f>
        <v/>
      </c>
      <c r="CU827">
        <f>$C827*CU826</f>
        <v/>
      </c>
      <c r="CV827">
        <f>$C827*CV826</f>
        <v/>
      </c>
      <c r="CW827">
        <f>$C827*CW826</f>
        <v/>
      </c>
      <c r="CX827">
        <f>$C827*CX826</f>
        <v/>
      </c>
      <c r="CY827">
        <f>$C827*CY826</f>
        <v/>
      </c>
      <c r="CZ827">
        <f>$C827*CZ826</f>
        <v/>
      </c>
      <c r="DA827">
        <f>$C827*DA826</f>
        <v/>
      </c>
      <c r="DB827">
        <f>$C827*DB826</f>
        <v/>
      </c>
      <c r="DC827">
        <f>$C827*DC826</f>
        <v/>
      </c>
    </row>
    <row r="828">
      <c r="B828" s="4" t="inlineStr">
        <is>
          <t>合計使用量(kg)/週</t>
        </is>
      </c>
      <c r="D828">
        <f>'Grid_Requirement'!B17</f>
        <v/>
      </c>
      <c r="E828">
        <f>'Grid_Requirement'!C17</f>
        <v/>
      </c>
      <c r="F828">
        <f>'Grid_Requirement'!D17</f>
        <v/>
      </c>
      <c r="G828">
        <f>'Grid_Requirement'!E17</f>
        <v/>
      </c>
      <c r="H828">
        <f>'Grid_Requirement'!F17</f>
        <v/>
      </c>
      <c r="I828">
        <f>'Grid_Requirement'!G17</f>
        <v/>
      </c>
      <c r="J828">
        <f>'Grid_Requirement'!H17</f>
        <v/>
      </c>
      <c r="K828">
        <f>'Grid_Requirement'!I17</f>
        <v/>
      </c>
      <c r="L828">
        <f>'Grid_Requirement'!J17</f>
        <v/>
      </c>
      <c r="M828">
        <f>'Grid_Requirement'!K17</f>
        <v/>
      </c>
      <c r="N828">
        <f>'Grid_Requirement'!L17</f>
        <v/>
      </c>
      <c r="O828">
        <f>'Grid_Requirement'!M17</f>
        <v/>
      </c>
      <c r="P828">
        <f>'Grid_Requirement'!N17</f>
        <v/>
      </c>
      <c r="Q828">
        <f>'Grid_Requirement'!O17</f>
        <v/>
      </c>
      <c r="R828">
        <f>'Grid_Requirement'!P17</f>
        <v/>
      </c>
      <c r="S828">
        <f>'Grid_Requirement'!Q17</f>
        <v/>
      </c>
      <c r="T828">
        <f>'Grid_Requirement'!R17</f>
        <v/>
      </c>
      <c r="U828">
        <f>'Grid_Requirement'!S17</f>
        <v/>
      </c>
      <c r="V828">
        <f>'Grid_Requirement'!T17</f>
        <v/>
      </c>
      <c r="W828">
        <f>'Grid_Requirement'!U17</f>
        <v/>
      </c>
      <c r="X828">
        <f>'Grid_Requirement'!V17</f>
        <v/>
      </c>
      <c r="Y828">
        <f>'Grid_Requirement'!W17</f>
        <v/>
      </c>
      <c r="Z828">
        <f>'Grid_Requirement'!X17</f>
        <v/>
      </c>
      <c r="AA828">
        <f>'Grid_Requirement'!Y17</f>
        <v/>
      </c>
      <c r="AB828">
        <f>'Grid_Requirement'!Z17</f>
        <v/>
      </c>
      <c r="AC828">
        <f>'Grid_Requirement'!AA17</f>
        <v/>
      </c>
      <c r="AD828">
        <f>'Grid_Requirement'!AB17</f>
        <v/>
      </c>
      <c r="AE828">
        <f>'Grid_Requirement'!AC17</f>
        <v/>
      </c>
      <c r="AF828">
        <f>'Grid_Requirement'!AD17</f>
        <v/>
      </c>
      <c r="AG828">
        <f>'Grid_Requirement'!AE17</f>
        <v/>
      </c>
      <c r="AH828">
        <f>'Grid_Requirement'!AF17</f>
        <v/>
      </c>
      <c r="AI828">
        <f>'Grid_Requirement'!AG17</f>
        <v/>
      </c>
      <c r="AJ828">
        <f>'Grid_Requirement'!AH17</f>
        <v/>
      </c>
      <c r="AK828">
        <f>'Grid_Requirement'!AI17</f>
        <v/>
      </c>
      <c r="AL828">
        <f>'Grid_Requirement'!AJ17</f>
        <v/>
      </c>
      <c r="AM828">
        <f>'Grid_Requirement'!AK17</f>
        <v/>
      </c>
      <c r="AN828">
        <f>'Grid_Requirement'!AL17</f>
        <v/>
      </c>
      <c r="AO828">
        <f>'Grid_Requirement'!AM17</f>
        <v/>
      </c>
      <c r="AP828">
        <f>'Grid_Requirement'!AN17</f>
        <v/>
      </c>
      <c r="AQ828">
        <f>'Grid_Requirement'!AO17</f>
        <v/>
      </c>
      <c r="AR828">
        <f>'Grid_Requirement'!AP17</f>
        <v/>
      </c>
      <c r="AS828">
        <f>'Grid_Requirement'!AQ17</f>
        <v/>
      </c>
      <c r="AT828">
        <f>'Grid_Requirement'!AR17</f>
        <v/>
      </c>
      <c r="AU828">
        <f>'Grid_Requirement'!AS17</f>
        <v/>
      </c>
      <c r="AV828">
        <f>'Grid_Requirement'!AT17</f>
        <v/>
      </c>
      <c r="AW828">
        <f>'Grid_Requirement'!AU17</f>
        <v/>
      </c>
      <c r="AX828">
        <f>'Grid_Requirement'!AV17</f>
        <v/>
      </c>
      <c r="AY828">
        <f>'Grid_Requirement'!AW17</f>
        <v/>
      </c>
      <c r="AZ828">
        <f>'Grid_Requirement'!AX17</f>
        <v/>
      </c>
      <c r="BA828">
        <f>'Grid_Requirement'!AY17</f>
        <v/>
      </c>
      <c r="BB828">
        <f>'Grid_Requirement'!AZ17</f>
        <v/>
      </c>
      <c r="BC828">
        <f>'Grid_Requirement'!BA17</f>
        <v/>
      </c>
      <c r="BD828">
        <f>'Grid_Requirement'!BB17</f>
        <v/>
      </c>
      <c r="BE828">
        <f>'Grid_Requirement'!BC17</f>
        <v/>
      </c>
      <c r="BF828">
        <f>'Grid_Requirement'!BD17</f>
        <v/>
      </c>
      <c r="BG828">
        <f>'Grid_Requirement'!BE17</f>
        <v/>
      </c>
      <c r="BH828">
        <f>'Grid_Requirement'!BF17</f>
        <v/>
      </c>
      <c r="BI828">
        <f>'Grid_Requirement'!BG17</f>
        <v/>
      </c>
      <c r="BJ828">
        <f>'Grid_Requirement'!BH17</f>
        <v/>
      </c>
      <c r="BK828">
        <f>'Grid_Requirement'!BI17</f>
        <v/>
      </c>
      <c r="BL828">
        <f>'Grid_Requirement'!BJ17</f>
        <v/>
      </c>
      <c r="BM828">
        <f>'Grid_Requirement'!BK17</f>
        <v/>
      </c>
      <c r="BN828">
        <f>'Grid_Requirement'!BL17</f>
        <v/>
      </c>
      <c r="BO828">
        <f>'Grid_Requirement'!BM17</f>
        <v/>
      </c>
      <c r="BP828">
        <f>'Grid_Requirement'!BN17</f>
        <v/>
      </c>
      <c r="BQ828">
        <f>'Grid_Requirement'!BO17</f>
        <v/>
      </c>
      <c r="BR828">
        <f>'Grid_Requirement'!BP17</f>
        <v/>
      </c>
      <c r="BS828">
        <f>'Grid_Requirement'!BQ17</f>
        <v/>
      </c>
      <c r="BT828">
        <f>'Grid_Requirement'!BR17</f>
        <v/>
      </c>
      <c r="BU828">
        <f>'Grid_Requirement'!BS17</f>
        <v/>
      </c>
      <c r="BV828">
        <f>'Grid_Requirement'!BT17</f>
        <v/>
      </c>
      <c r="BW828">
        <f>'Grid_Requirement'!BU17</f>
        <v/>
      </c>
      <c r="BX828">
        <f>'Grid_Requirement'!BV17</f>
        <v/>
      </c>
      <c r="BY828">
        <f>'Grid_Requirement'!BW17</f>
        <v/>
      </c>
      <c r="BZ828">
        <f>'Grid_Requirement'!BX17</f>
        <v/>
      </c>
      <c r="CA828">
        <f>'Grid_Requirement'!BY17</f>
        <v/>
      </c>
      <c r="CB828">
        <f>'Grid_Requirement'!BZ17</f>
        <v/>
      </c>
      <c r="CC828">
        <f>'Grid_Requirement'!CA17</f>
        <v/>
      </c>
      <c r="CD828">
        <f>'Grid_Requirement'!CB17</f>
        <v/>
      </c>
      <c r="CE828">
        <f>'Grid_Requirement'!CC17</f>
        <v/>
      </c>
      <c r="CF828">
        <f>'Grid_Requirement'!CD17</f>
        <v/>
      </c>
      <c r="CG828">
        <f>'Grid_Requirement'!CE17</f>
        <v/>
      </c>
      <c r="CH828">
        <f>'Grid_Requirement'!CF17</f>
        <v/>
      </c>
      <c r="CI828">
        <f>'Grid_Requirement'!CG17</f>
        <v/>
      </c>
      <c r="CJ828">
        <f>'Grid_Requirement'!CH17</f>
        <v/>
      </c>
      <c r="CK828">
        <f>'Grid_Requirement'!CI17</f>
        <v/>
      </c>
      <c r="CL828">
        <f>'Grid_Requirement'!CJ17</f>
        <v/>
      </c>
      <c r="CM828">
        <f>'Grid_Requirement'!CK17</f>
        <v/>
      </c>
      <c r="CN828">
        <f>'Grid_Requirement'!CL17</f>
        <v/>
      </c>
      <c r="CO828">
        <f>'Grid_Requirement'!CM17</f>
        <v/>
      </c>
      <c r="CP828">
        <f>'Grid_Requirement'!CN17</f>
        <v/>
      </c>
      <c r="CQ828">
        <f>'Grid_Requirement'!CO17</f>
        <v/>
      </c>
      <c r="CR828">
        <f>'Grid_Requirement'!CP17</f>
        <v/>
      </c>
      <c r="CS828">
        <f>'Grid_Requirement'!CQ17</f>
        <v/>
      </c>
      <c r="CT828">
        <f>'Grid_Requirement'!CR17</f>
        <v/>
      </c>
      <c r="CU828">
        <f>'Grid_Requirement'!CS17</f>
        <v/>
      </c>
      <c r="CV828">
        <f>'Grid_Requirement'!CT17</f>
        <v/>
      </c>
      <c r="CW828">
        <f>'Grid_Requirement'!CU17</f>
        <v/>
      </c>
      <c r="CX828">
        <f>'Grid_Requirement'!CV17</f>
        <v/>
      </c>
      <c r="CY828">
        <f>'Grid_Requirement'!CW17</f>
        <v/>
      </c>
      <c r="CZ828">
        <f>'Grid_Requirement'!CX17</f>
        <v/>
      </c>
      <c r="DA828">
        <f>'Grid_Requirement'!CY17</f>
        <v/>
      </c>
      <c r="DB828">
        <f>'Grid_Requirement'!CZ17</f>
        <v/>
      </c>
      <c r="DC828">
        <f>'Grid_Requirement'!DA17</f>
        <v/>
      </c>
    </row>
    <row r="829">
      <c r="B829" t="inlineStr">
        <is>
          <t>TTAF在庫(実績,kg)</t>
        </is>
      </c>
      <c r="D829">
        <f>'T_TTAFStock'!B21</f>
        <v/>
      </c>
      <c r="E829">
        <f>'T_TTAFStock'!C21</f>
        <v/>
      </c>
      <c r="F829">
        <f>'T_TTAFStock'!D21</f>
        <v/>
      </c>
      <c r="G829">
        <f>'T_TTAFStock'!E21</f>
        <v/>
      </c>
      <c r="H829">
        <f>'T_TTAFStock'!F21</f>
        <v/>
      </c>
      <c r="I829">
        <f>'T_TTAFStock'!G21</f>
        <v/>
      </c>
      <c r="J829">
        <f>'T_TTAFStock'!H21</f>
        <v/>
      </c>
      <c r="K829">
        <f>'T_TTAFStock'!I21</f>
        <v/>
      </c>
      <c r="L829">
        <f>'T_TTAFStock'!J21</f>
        <v/>
      </c>
      <c r="M829">
        <f>'T_TTAFStock'!K21</f>
        <v/>
      </c>
      <c r="N829">
        <f>'T_TTAFStock'!L21</f>
        <v/>
      </c>
      <c r="O829">
        <f>'T_TTAFStock'!M21</f>
        <v/>
      </c>
      <c r="P829">
        <f>'T_TTAFStock'!N21</f>
        <v/>
      </c>
      <c r="Q829">
        <f>'T_TTAFStock'!O21</f>
        <v/>
      </c>
      <c r="R829">
        <f>'T_TTAFStock'!P21</f>
        <v/>
      </c>
      <c r="S829">
        <f>'T_TTAFStock'!Q21</f>
        <v/>
      </c>
      <c r="T829">
        <f>'T_TTAFStock'!R21</f>
        <v/>
      </c>
      <c r="U829">
        <f>'T_TTAFStock'!S21</f>
        <v/>
      </c>
      <c r="V829">
        <f>'T_TTAFStock'!T21</f>
        <v/>
      </c>
      <c r="W829">
        <f>'T_TTAFStock'!U21</f>
        <v/>
      </c>
      <c r="X829">
        <f>'T_TTAFStock'!V21</f>
        <v/>
      </c>
      <c r="Y829">
        <f>'T_TTAFStock'!W21</f>
        <v/>
      </c>
      <c r="Z829">
        <f>'T_TTAFStock'!X21</f>
        <v/>
      </c>
      <c r="AA829">
        <f>'T_TTAFStock'!Y21</f>
        <v/>
      </c>
      <c r="AB829">
        <f>'T_TTAFStock'!Z21</f>
        <v/>
      </c>
      <c r="AC829">
        <f>'T_TTAFStock'!AA21</f>
        <v/>
      </c>
      <c r="AD829">
        <f>'T_TTAFStock'!AB21</f>
        <v/>
      </c>
      <c r="AE829">
        <f>'T_TTAFStock'!AC21</f>
        <v/>
      </c>
      <c r="AF829">
        <f>'T_TTAFStock'!AD21</f>
        <v/>
      </c>
      <c r="AG829">
        <f>'T_TTAFStock'!AE21</f>
        <v/>
      </c>
      <c r="AH829">
        <f>'T_TTAFStock'!AF21</f>
        <v/>
      </c>
      <c r="AI829">
        <f>'T_TTAFStock'!AG21</f>
        <v/>
      </c>
      <c r="AJ829">
        <f>'T_TTAFStock'!AH21</f>
        <v/>
      </c>
      <c r="AK829">
        <f>'T_TTAFStock'!AI21</f>
        <v/>
      </c>
      <c r="AL829">
        <f>'T_TTAFStock'!AJ21</f>
        <v/>
      </c>
      <c r="AM829">
        <f>'T_TTAFStock'!AK21</f>
        <v/>
      </c>
      <c r="AN829">
        <f>'T_TTAFStock'!AL21</f>
        <v/>
      </c>
      <c r="AO829">
        <f>'T_TTAFStock'!AM21</f>
        <v/>
      </c>
      <c r="AP829">
        <f>'T_TTAFStock'!AN21</f>
        <v/>
      </c>
      <c r="AQ829">
        <f>'T_TTAFStock'!AO21</f>
        <v/>
      </c>
      <c r="AR829">
        <f>'T_TTAFStock'!AP21</f>
        <v/>
      </c>
      <c r="AS829">
        <f>'T_TTAFStock'!AQ21</f>
        <v/>
      </c>
      <c r="AT829">
        <f>'T_TTAFStock'!AR21</f>
        <v/>
      </c>
      <c r="AU829">
        <f>'T_TTAFStock'!AS21</f>
        <v/>
      </c>
      <c r="AV829">
        <f>'T_TTAFStock'!AT21</f>
        <v/>
      </c>
      <c r="AW829">
        <f>'T_TTAFStock'!AU21</f>
        <v/>
      </c>
      <c r="AX829">
        <f>'T_TTAFStock'!AV21</f>
        <v/>
      </c>
      <c r="AY829">
        <f>'T_TTAFStock'!AW21</f>
        <v/>
      </c>
      <c r="AZ829">
        <f>'T_TTAFStock'!AX21</f>
        <v/>
      </c>
      <c r="BA829">
        <f>'T_TTAFStock'!AY21</f>
        <v/>
      </c>
      <c r="BB829">
        <f>'T_TTAFStock'!AZ21</f>
        <v/>
      </c>
      <c r="BC829">
        <f>'T_TTAFStock'!BA21</f>
        <v/>
      </c>
      <c r="BD829">
        <f>'T_TTAFStock'!BB21</f>
        <v/>
      </c>
      <c r="BE829">
        <f>'T_TTAFStock'!BC21</f>
        <v/>
      </c>
      <c r="BF829">
        <f>'T_TTAFStock'!BD21</f>
        <v/>
      </c>
      <c r="BG829">
        <f>'T_TTAFStock'!BE21</f>
        <v/>
      </c>
      <c r="BH829">
        <f>'T_TTAFStock'!BF21</f>
        <v/>
      </c>
      <c r="BI829">
        <f>'T_TTAFStock'!BG21</f>
        <v/>
      </c>
      <c r="BJ829">
        <f>'T_TTAFStock'!BH21</f>
        <v/>
      </c>
      <c r="BK829">
        <f>'T_TTAFStock'!BI21</f>
        <v/>
      </c>
      <c r="BL829">
        <f>'T_TTAFStock'!BJ21</f>
        <v/>
      </c>
      <c r="BM829">
        <f>'T_TTAFStock'!BK21</f>
        <v/>
      </c>
      <c r="BN829">
        <f>'T_TTAFStock'!BL21</f>
        <v/>
      </c>
      <c r="BO829">
        <f>'T_TTAFStock'!BM21</f>
        <v/>
      </c>
      <c r="BP829">
        <f>'T_TTAFStock'!BN21</f>
        <v/>
      </c>
      <c r="BQ829">
        <f>'T_TTAFStock'!BO21</f>
        <v/>
      </c>
      <c r="BR829">
        <f>'T_TTAFStock'!BP21</f>
        <v/>
      </c>
      <c r="BS829">
        <f>'T_TTAFStock'!BQ21</f>
        <v/>
      </c>
      <c r="BT829">
        <f>'T_TTAFStock'!BR21</f>
        <v/>
      </c>
      <c r="BU829">
        <f>'T_TTAFStock'!BS21</f>
        <v/>
      </c>
      <c r="BV829">
        <f>'T_TTAFStock'!BT21</f>
        <v/>
      </c>
      <c r="BW829">
        <f>'T_TTAFStock'!BU21</f>
        <v/>
      </c>
      <c r="BX829">
        <f>'T_TTAFStock'!BV21</f>
        <v/>
      </c>
      <c r="BY829">
        <f>'T_TTAFStock'!BW21</f>
        <v/>
      </c>
      <c r="BZ829">
        <f>'T_TTAFStock'!BX21</f>
        <v/>
      </c>
      <c r="CA829">
        <f>'T_TTAFStock'!BY21</f>
        <v/>
      </c>
      <c r="CB829">
        <f>'T_TTAFStock'!BZ21</f>
        <v/>
      </c>
      <c r="CC829">
        <f>'T_TTAFStock'!CA21</f>
        <v/>
      </c>
      <c r="CD829">
        <f>'T_TTAFStock'!CB21</f>
        <v/>
      </c>
      <c r="CE829">
        <f>'T_TTAFStock'!CC21</f>
        <v/>
      </c>
      <c r="CF829">
        <f>'T_TTAFStock'!CD21</f>
        <v/>
      </c>
      <c r="CG829">
        <f>'T_TTAFStock'!CE21</f>
        <v/>
      </c>
      <c r="CH829">
        <f>'T_TTAFStock'!CF21</f>
        <v/>
      </c>
      <c r="CI829">
        <f>'T_TTAFStock'!CG21</f>
        <v/>
      </c>
      <c r="CJ829">
        <f>'T_TTAFStock'!CH21</f>
        <v/>
      </c>
      <c r="CK829">
        <f>'T_TTAFStock'!CI21</f>
        <v/>
      </c>
      <c r="CL829">
        <f>'T_TTAFStock'!CJ21</f>
        <v/>
      </c>
      <c r="CM829">
        <f>'T_TTAFStock'!CK21</f>
        <v/>
      </c>
      <c r="CN829">
        <f>'T_TTAFStock'!CL21</f>
        <v/>
      </c>
      <c r="CO829">
        <f>'T_TTAFStock'!CM21</f>
        <v/>
      </c>
      <c r="CP829">
        <f>'T_TTAFStock'!CN21</f>
        <v/>
      </c>
      <c r="CQ829">
        <f>'T_TTAFStock'!CO21</f>
        <v/>
      </c>
      <c r="CR829">
        <f>'T_TTAFStock'!CP21</f>
        <v/>
      </c>
      <c r="CS829">
        <f>'T_TTAFStock'!CQ21</f>
        <v/>
      </c>
      <c r="CT829">
        <f>'T_TTAFStock'!CR21</f>
        <v/>
      </c>
      <c r="CU829">
        <f>'T_TTAFStock'!CS21</f>
        <v/>
      </c>
      <c r="CV829">
        <f>'T_TTAFStock'!CT21</f>
        <v/>
      </c>
      <c r="CW829">
        <f>'T_TTAFStock'!CU21</f>
        <v/>
      </c>
      <c r="CX829">
        <f>'T_TTAFStock'!CV21</f>
        <v/>
      </c>
      <c r="CY829">
        <f>'T_TTAFStock'!CW21</f>
        <v/>
      </c>
      <c r="CZ829">
        <f>'T_TTAFStock'!CX21</f>
        <v/>
      </c>
      <c r="DA829">
        <f>'T_TTAFStock'!CY21</f>
        <v/>
      </c>
      <c r="DB829">
        <f>'T_TTAFStock'!CZ21</f>
        <v/>
      </c>
      <c r="DC829">
        <f>'T_TTAFStock'!DA21</f>
        <v/>
      </c>
    </row>
    <row r="830">
      <c r="B830" t="inlineStr">
        <is>
          <t>自社在庫(実績,kg)</t>
        </is>
      </c>
      <c r="D830">
        <f>'T_SelfStock'!B21</f>
        <v/>
      </c>
      <c r="E830">
        <f>'T_SelfStock'!C21</f>
        <v/>
      </c>
      <c r="F830">
        <f>'T_SelfStock'!D21</f>
        <v/>
      </c>
      <c r="G830">
        <f>'T_SelfStock'!E21</f>
        <v/>
      </c>
      <c r="H830">
        <f>'T_SelfStock'!F21</f>
        <v/>
      </c>
      <c r="I830">
        <f>'T_SelfStock'!G21</f>
        <v/>
      </c>
      <c r="J830">
        <f>'T_SelfStock'!H21</f>
        <v/>
      </c>
      <c r="K830">
        <f>'T_SelfStock'!I21</f>
        <v/>
      </c>
      <c r="L830">
        <f>'T_SelfStock'!J21</f>
        <v/>
      </c>
      <c r="M830">
        <f>'T_SelfStock'!K21</f>
        <v/>
      </c>
      <c r="N830">
        <f>'T_SelfStock'!L21</f>
        <v/>
      </c>
      <c r="O830">
        <f>'T_SelfStock'!M21</f>
        <v/>
      </c>
      <c r="P830">
        <f>'T_SelfStock'!N21</f>
        <v/>
      </c>
      <c r="Q830">
        <f>'T_SelfStock'!O21</f>
        <v/>
      </c>
      <c r="R830">
        <f>'T_SelfStock'!P21</f>
        <v/>
      </c>
      <c r="S830">
        <f>'T_SelfStock'!Q21</f>
        <v/>
      </c>
      <c r="T830">
        <f>'T_SelfStock'!R21</f>
        <v/>
      </c>
      <c r="U830">
        <f>'T_SelfStock'!S21</f>
        <v/>
      </c>
      <c r="V830">
        <f>'T_SelfStock'!T21</f>
        <v/>
      </c>
      <c r="W830">
        <f>'T_SelfStock'!U21</f>
        <v/>
      </c>
      <c r="X830">
        <f>'T_SelfStock'!V21</f>
        <v/>
      </c>
      <c r="Y830">
        <f>'T_SelfStock'!W21</f>
        <v/>
      </c>
      <c r="Z830">
        <f>'T_SelfStock'!X21</f>
        <v/>
      </c>
      <c r="AA830">
        <f>'T_SelfStock'!Y21</f>
        <v/>
      </c>
      <c r="AB830">
        <f>'T_SelfStock'!Z21</f>
        <v/>
      </c>
      <c r="AC830">
        <f>'T_SelfStock'!AA21</f>
        <v/>
      </c>
      <c r="AD830">
        <f>'T_SelfStock'!AB21</f>
        <v/>
      </c>
      <c r="AE830">
        <f>'T_SelfStock'!AC21</f>
        <v/>
      </c>
      <c r="AF830">
        <f>'T_SelfStock'!AD21</f>
        <v/>
      </c>
      <c r="AG830">
        <f>'T_SelfStock'!AE21</f>
        <v/>
      </c>
      <c r="AH830">
        <f>'T_SelfStock'!AF21</f>
        <v/>
      </c>
      <c r="AI830">
        <f>'T_SelfStock'!AG21</f>
        <v/>
      </c>
      <c r="AJ830">
        <f>'T_SelfStock'!AH21</f>
        <v/>
      </c>
      <c r="AK830">
        <f>'T_SelfStock'!AI21</f>
        <v/>
      </c>
      <c r="AL830">
        <f>'T_SelfStock'!AJ21</f>
        <v/>
      </c>
      <c r="AM830">
        <f>'T_SelfStock'!AK21</f>
        <v/>
      </c>
      <c r="AN830">
        <f>'T_SelfStock'!AL21</f>
        <v/>
      </c>
      <c r="AO830">
        <f>'T_SelfStock'!AM21</f>
        <v/>
      </c>
      <c r="AP830">
        <f>'T_SelfStock'!AN21</f>
        <v/>
      </c>
      <c r="AQ830">
        <f>'T_SelfStock'!AO21</f>
        <v/>
      </c>
      <c r="AR830">
        <f>'T_SelfStock'!AP21</f>
        <v/>
      </c>
      <c r="AS830">
        <f>'T_SelfStock'!AQ21</f>
        <v/>
      </c>
      <c r="AT830">
        <f>'T_SelfStock'!AR21</f>
        <v/>
      </c>
      <c r="AU830">
        <f>'T_SelfStock'!AS21</f>
        <v/>
      </c>
      <c r="AV830">
        <f>'T_SelfStock'!AT21</f>
        <v/>
      </c>
      <c r="AW830">
        <f>'T_SelfStock'!AU21</f>
        <v/>
      </c>
      <c r="AX830">
        <f>'T_SelfStock'!AV21</f>
        <v/>
      </c>
      <c r="AY830">
        <f>'T_SelfStock'!AW21</f>
        <v/>
      </c>
      <c r="AZ830">
        <f>'T_SelfStock'!AX21</f>
        <v/>
      </c>
      <c r="BA830">
        <f>'T_SelfStock'!AY21</f>
        <v/>
      </c>
      <c r="BB830">
        <f>'T_SelfStock'!AZ21</f>
        <v/>
      </c>
      <c r="BC830">
        <f>'T_SelfStock'!BA21</f>
        <v/>
      </c>
      <c r="BD830">
        <f>'T_SelfStock'!BB21</f>
        <v/>
      </c>
      <c r="BE830">
        <f>'T_SelfStock'!BC21</f>
        <v/>
      </c>
      <c r="BF830">
        <f>'T_SelfStock'!BD21</f>
        <v/>
      </c>
      <c r="BG830">
        <f>'T_SelfStock'!BE21</f>
        <v/>
      </c>
      <c r="BH830">
        <f>'T_SelfStock'!BF21</f>
        <v/>
      </c>
      <c r="BI830">
        <f>'T_SelfStock'!BG21</f>
        <v/>
      </c>
      <c r="BJ830">
        <f>'T_SelfStock'!BH21</f>
        <v/>
      </c>
      <c r="BK830">
        <f>'T_SelfStock'!BI21</f>
        <v/>
      </c>
      <c r="BL830">
        <f>'T_SelfStock'!BJ21</f>
        <v/>
      </c>
      <c r="BM830">
        <f>'T_SelfStock'!BK21</f>
        <v/>
      </c>
      <c r="BN830">
        <f>'T_SelfStock'!BL21</f>
        <v/>
      </c>
      <c r="BO830">
        <f>'T_SelfStock'!BM21</f>
        <v/>
      </c>
      <c r="BP830">
        <f>'T_SelfStock'!BN21</f>
        <v/>
      </c>
      <c r="BQ830">
        <f>'T_SelfStock'!BO21</f>
        <v/>
      </c>
      <c r="BR830">
        <f>'T_SelfStock'!BP21</f>
        <v/>
      </c>
      <c r="BS830">
        <f>'T_SelfStock'!BQ21</f>
        <v/>
      </c>
      <c r="BT830">
        <f>'T_SelfStock'!BR21</f>
        <v/>
      </c>
      <c r="BU830">
        <f>'T_SelfStock'!BS21</f>
        <v/>
      </c>
      <c r="BV830">
        <f>'T_SelfStock'!BT21</f>
        <v/>
      </c>
      <c r="BW830">
        <f>'T_SelfStock'!BU21</f>
        <v/>
      </c>
      <c r="BX830">
        <f>'T_SelfStock'!BV21</f>
        <v/>
      </c>
      <c r="BY830">
        <f>'T_SelfStock'!BW21</f>
        <v/>
      </c>
      <c r="BZ830">
        <f>'T_SelfStock'!BX21</f>
        <v/>
      </c>
      <c r="CA830">
        <f>'T_SelfStock'!BY21</f>
        <v/>
      </c>
      <c r="CB830">
        <f>'T_SelfStock'!BZ21</f>
        <v/>
      </c>
      <c r="CC830">
        <f>'T_SelfStock'!CA21</f>
        <v/>
      </c>
      <c r="CD830">
        <f>'T_SelfStock'!CB21</f>
        <v/>
      </c>
      <c r="CE830">
        <f>'T_SelfStock'!CC21</f>
        <v/>
      </c>
      <c r="CF830">
        <f>'T_SelfStock'!CD21</f>
        <v/>
      </c>
      <c r="CG830">
        <f>'T_SelfStock'!CE21</f>
        <v/>
      </c>
      <c r="CH830">
        <f>'T_SelfStock'!CF21</f>
        <v/>
      </c>
      <c r="CI830">
        <f>'T_SelfStock'!CG21</f>
        <v/>
      </c>
      <c r="CJ830">
        <f>'T_SelfStock'!CH21</f>
        <v/>
      </c>
      <c r="CK830">
        <f>'T_SelfStock'!CI21</f>
        <v/>
      </c>
      <c r="CL830">
        <f>'T_SelfStock'!CJ21</f>
        <v/>
      </c>
      <c r="CM830">
        <f>'T_SelfStock'!CK21</f>
        <v/>
      </c>
      <c r="CN830">
        <f>'T_SelfStock'!CL21</f>
        <v/>
      </c>
      <c r="CO830">
        <f>'T_SelfStock'!CM21</f>
        <v/>
      </c>
      <c r="CP830">
        <f>'T_SelfStock'!CN21</f>
        <v/>
      </c>
      <c r="CQ830">
        <f>'T_SelfStock'!CO21</f>
        <v/>
      </c>
      <c r="CR830">
        <f>'T_SelfStock'!CP21</f>
        <v/>
      </c>
      <c r="CS830">
        <f>'T_SelfStock'!CQ21</f>
        <v/>
      </c>
      <c r="CT830">
        <f>'T_SelfStock'!CR21</f>
        <v/>
      </c>
      <c r="CU830">
        <f>'T_SelfStock'!CS21</f>
        <v/>
      </c>
      <c r="CV830">
        <f>'T_SelfStock'!CT21</f>
        <v/>
      </c>
      <c r="CW830">
        <f>'T_SelfStock'!CU21</f>
        <v/>
      </c>
      <c r="CX830">
        <f>'T_SelfStock'!CV21</f>
        <v/>
      </c>
      <c r="CY830">
        <f>'T_SelfStock'!CW21</f>
        <v/>
      </c>
      <c r="CZ830">
        <f>'T_SelfStock'!CX21</f>
        <v/>
      </c>
      <c r="DA830">
        <f>'T_SelfStock'!CY21</f>
        <v/>
      </c>
      <c r="DB830">
        <f>'T_SelfStock'!CZ21</f>
        <v/>
      </c>
      <c r="DC830">
        <f>'T_SelfStock'!DA21</f>
        <v/>
      </c>
    </row>
    <row r="831">
      <c r="B831" t="inlineStr">
        <is>
          <t>Order(発注予定,kg)</t>
        </is>
      </c>
      <c r="D831">
        <f>IF(SUMIFS(T_PlannedOrders[EffectiveQty],T_PlannedOrders[Part Name],$A773,T_PlannedOrders[WeekIndex],1)=0,"",SUMIFS(T_PlannedOrders[EffectiveQty],T_PlannedOrders[Part Name],$A773,T_PlannedOrders[WeekIndex],1)&amp;" ("&amp;TEXT(SUMPRODUCT(MAX((T_PlannedOrders[Part Name]=$A773)*(T_PlannedOrders[WeekIndex]=1)*(T_PlannedOrders[EffectiveQty]&gt;0)*T_PlannedOrders[Order_Month])),"m月")&amp;"発注)")</f>
        <v/>
      </c>
      <c r="E831">
        <f>IF(SUMIFS(T_PlannedOrders[EffectiveQty],T_PlannedOrders[Part Name],$A773,T_PlannedOrders[WeekIndex],2)=0,"",SUMIFS(T_PlannedOrders[EffectiveQty],T_PlannedOrders[Part Name],$A773,T_PlannedOrders[WeekIndex],2)&amp;" ("&amp;TEXT(SUMPRODUCT(MAX((T_PlannedOrders[Part Name]=$A773)*(T_PlannedOrders[WeekIndex]=2)*(T_PlannedOrders[EffectiveQty]&gt;0)*T_PlannedOrders[Order_Month])),"m月")&amp;"発注)")</f>
        <v/>
      </c>
      <c r="F831">
        <f>IF(SUMIFS(T_PlannedOrders[EffectiveQty],T_PlannedOrders[Part Name],$A773,T_PlannedOrders[WeekIndex],3)=0,"",SUMIFS(T_PlannedOrders[EffectiveQty],T_PlannedOrders[Part Name],$A773,T_PlannedOrders[WeekIndex],3)&amp;" ("&amp;TEXT(SUMPRODUCT(MAX((T_PlannedOrders[Part Name]=$A773)*(T_PlannedOrders[WeekIndex]=3)*(T_PlannedOrders[EffectiveQty]&gt;0)*T_PlannedOrders[Order_Month])),"m月")&amp;"発注)")</f>
        <v/>
      </c>
      <c r="G831">
        <f>IF(SUMIFS(T_PlannedOrders[EffectiveQty],T_PlannedOrders[Part Name],$A773,T_PlannedOrders[WeekIndex],4)=0,"",SUMIFS(T_PlannedOrders[EffectiveQty],T_PlannedOrders[Part Name],$A773,T_PlannedOrders[WeekIndex],4)&amp;" ("&amp;TEXT(SUMPRODUCT(MAX((T_PlannedOrders[Part Name]=$A773)*(T_PlannedOrders[WeekIndex]=4)*(T_PlannedOrders[EffectiveQty]&gt;0)*T_PlannedOrders[Order_Month])),"m月")&amp;"発注)")</f>
        <v/>
      </c>
      <c r="H831">
        <f>IF(SUMIFS(T_PlannedOrders[EffectiveQty],T_PlannedOrders[Part Name],$A773,T_PlannedOrders[WeekIndex],5)=0,"",SUMIFS(T_PlannedOrders[EffectiveQty],T_PlannedOrders[Part Name],$A773,T_PlannedOrders[WeekIndex],5)&amp;" ("&amp;TEXT(SUMPRODUCT(MAX((T_PlannedOrders[Part Name]=$A773)*(T_PlannedOrders[WeekIndex]=5)*(T_PlannedOrders[EffectiveQty]&gt;0)*T_PlannedOrders[Order_Month])),"m月")&amp;"発注)")</f>
        <v/>
      </c>
      <c r="I831">
        <f>IF(SUMIFS(T_PlannedOrders[EffectiveQty],T_PlannedOrders[Part Name],$A773,T_PlannedOrders[WeekIndex],6)=0,"",SUMIFS(T_PlannedOrders[EffectiveQty],T_PlannedOrders[Part Name],$A773,T_PlannedOrders[WeekIndex],6)&amp;" ("&amp;TEXT(SUMPRODUCT(MAX((T_PlannedOrders[Part Name]=$A773)*(T_PlannedOrders[WeekIndex]=6)*(T_PlannedOrders[EffectiveQty]&gt;0)*T_PlannedOrders[Order_Month])),"m月")&amp;"発注)")</f>
        <v/>
      </c>
      <c r="J831">
        <f>IF(SUMIFS(T_PlannedOrders[EffectiveQty],T_PlannedOrders[Part Name],$A773,T_PlannedOrders[WeekIndex],7)=0,"",SUMIFS(T_PlannedOrders[EffectiveQty],T_PlannedOrders[Part Name],$A773,T_PlannedOrders[WeekIndex],7)&amp;" ("&amp;TEXT(SUMPRODUCT(MAX((T_PlannedOrders[Part Name]=$A773)*(T_PlannedOrders[WeekIndex]=7)*(T_PlannedOrders[EffectiveQty]&gt;0)*T_PlannedOrders[Order_Month])),"m月")&amp;"発注)")</f>
        <v/>
      </c>
      <c r="K831">
        <f>IF(SUMIFS(T_PlannedOrders[EffectiveQty],T_PlannedOrders[Part Name],$A773,T_PlannedOrders[WeekIndex],8)=0,"",SUMIFS(T_PlannedOrders[EffectiveQty],T_PlannedOrders[Part Name],$A773,T_PlannedOrders[WeekIndex],8)&amp;" ("&amp;TEXT(SUMPRODUCT(MAX((T_PlannedOrders[Part Name]=$A773)*(T_PlannedOrders[WeekIndex]=8)*(T_PlannedOrders[EffectiveQty]&gt;0)*T_PlannedOrders[Order_Month])),"m月")&amp;"発注)")</f>
        <v/>
      </c>
      <c r="L831">
        <f>IF(SUMIFS(T_PlannedOrders[EffectiveQty],T_PlannedOrders[Part Name],$A773,T_PlannedOrders[WeekIndex],9)=0,"",SUMIFS(T_PlannedOrders[EffectiveQty],T_PlannedOrders[Part Name],$A773,T_PlannedOrders[WeekIndex],9)&amp;" ("&amp;TEXT(SUMPRODUCT(MAX((T_PlannedOrders[Part Name]=$A773)*(T_PlannedOrders[WeekIndex]=9)*(T_PlannedOrders[EffectiveQty]&gt;0)*T_PlannedOrders[Order_Month])),"m月")&amp;"発注)")</f>
        <v/>
      </c>
      <c r="M831">
        <f>IF(SUMIFS(T_PlannedOrders[EffectiveQty],T_PlannedOrders[Part Name],$A773,T_PlannedOrders[WeekIndex],10)=0,"",SUMIFS(T_PlannedOrders[EffectiveQty],T_PlannedOrders[Part Name],$A773,T_PlannedOrders[WeekIndex],10)&amp;" ("&amp;TEXT(SUMPRODUCT(MAX((T_PlannedOrders[Part Name]=$A773)*(T_PlannedOrders[WeekIndex]=10)*(T_PlannedOrders[EffectiveQty]&gt;0)*T_PlannedOrders[Order_Month])),"m月")&amp;"発注)")</f>
        <v/>
      </c>
      <c r="N831">
        <f>IF(SUMIFS(T_PlannedOrders[EffectiveQty],T_PlannedOrders[Part Name],$A773,T_PlannedOrders[WeekIndex],11)=0,"",SUMIFS(T_PlannedOrders[EffectiveQty],T_PlannedOrders[Part Name],$A773,T_PlannedOrders[WeekIndex],11)&amp;" ("&amp;TEXT(SUMPRODUCT(MAX((T_PlannedOrders[Part Name]=$A773)*(T_PlannedOrders[WeekIndex]=11)*(T_PlannedOrders[EffectiveQty]&gt;0)*T_PlannedOrders[Order_Month])),"m月")&amp;"発注)")</f>
        <v/>
      </c>
      <c r="O831">
        <f>IF(SUMIFS(T_PlannedOrders[EffectiveQty],T_PlannedOrders[Part Name],$A773,T_PlannedOrders[WeekIndex],12)=0,"",SUMIFS(T_PlannedOrders[EffectiveQty],T_PlannedOrders[Part Name],$A773,T_PlannedOrders[WeekIndex],12)&amp;" ("&amp;TEXT(SUMPRODUCT(MAX((T_PlannedOrders[Part Name]=$A773)*(T_PlannedOrders[WeekIndex]=12)*(T_PlannedOrders[EffectiveQty]&gt;0)*T_PlannedOrders[Order_Month])),"m月")&amp;"発注)")</f>
        <v/>
      </c>
      <c r="P831">
        <f>IF(SUMIFS(T_PlannedOrders[EffectiveQty],T_PlannedOrders[Part Name],$A773,T_PlannedOrders[WeekIndex],13)=0,"",SUMIFS(T_PlannedOrders[EffectiveQty],T_PlannedOrders[Part Name],$A773,T_PlannedOrders[WeekIndex],13)&amp;" ("&amp;TEXT(SUMPRODUCT(MAX((T_PlannedOrders[Part Name]=$A773)*(T_PlannedOrders[WeekIndex]=13)*(T_PlannedOrders[EffectiveQty]&gt;0)*T_PlannedOrders[Order_Month])),"m月")&amp;"発注)")</f>
        <v/>
      </c>
      <c r="Q831">
        <f>IF(SUMIFS(T_PlannedOrders[EffectiveQty],T_PlannedOrders[Part Name],$A773,T_PlannedOrders[WeekIndex],14)=0,"",SUMIFS(T_PlannedOrders[EffectiveQty],T_PlannedOrders[Part Name],$A773,T_PlannedOrders[WeekIndex],14)&amp;" ("&amp;TEXT(SUMPRODUCT(MAX((T_PlannedOrders[Part Name]=$A773)*(T_PlannedOrders[WeekIndex]=14)*(T_PlannedOrders[EffectiveQty]&gt;0)*T_PlannedOrders[Order_Month])),"m月")&amp;"発注)")</f>
        <v/>
      </c>
      <c r="R831">
        <f>IF(SUMIFS(T_PlannedOrders[EffectiveQty],T_PlannedOrders[Part Name],$A773,T_PlannedOrders[WeekIndex],15)=0,"",SUMIFS(T_PlannedOrders[EffectiveQty],T_PlannedOrders[Part Name],$A773,T_PlannedOrders[WeekIndex],15)&amp;" ("&amp;TEXT(SUMPRODUCT(MAX((T_PlannedOrders[Part Name]=$A773)*(T_PlannedOrders[WeekIndex]=15)*(T_PlannedOrders[EffectiveQty]&gt;0)*T_PlannedOrders[Order_Month])),"m月")&amp;"発注)")</f>
        <v/>
      </c>
      <c r="S831">
        <f>IF(SUMIFS(T_PlannedOrders[EffectiveQty],T_PlannedOrders[Part Name],$A773,T_PlannedOrders[WeekIndex],16)=0,"",SUMIFS(T_PlannedOrders[EffectiveQty],T_PlannedOrders[Part Name],$A773,T_PlannedOrders[WeekIndex],16)&amp;" ("&amp;TEXT(SUMPRODUCT(MAX((T_PlannedOrders[Part Name]=$A773)*(T_PlannedOrders[WeekIndex]=16)*(T_PlannedOrders[EffectiveQty]&gt;0)*T_PlannedOrders[Order_Month])),"m月")&amp;"発注)")</f>
        <v/>
      </c>
      <c r="T831">
        <f>IF(SUMIFS(T_PlannedOrders[EffectiveQty],T_PlannedOrders[Part Name],$A773,T_PlannedOrders[WeekIndex],17)=0,"",SUMIFS(T_PlannedOrders[EffectiveQty],T_PlannedOrders[Part Name],$A773,T_PlannedOrders[WeekIndex],17)&amp;" ("&amp;TEXT(SUMPRODUCT(MAX((T_PlannedOrders[Part Name]=$A773)*(T_PlannedOrders[WeekIndex]=17)*(T_PlannedOrders[EffectiveQty]&gt;0)*T_PlannedOrders[Order_Month])),"m月")&amp;"発注)")</f>
        <v/>
      </c>
      <c r="U831">
        <f>IF(SUMIFS(T_PlannedOrders[EffectiveQty],T_PlannedOrders[Part Name],$A773,T_PlannedOrders[WeekIndex],18)=0,"",SUMIFS(T_PlannedOrders[EffectiveQty],T_PlannedOrders[Part Name],$A773,T_PlannedOrders[WeekIndex],18)&amp;" ("&amp;TEXT(SUMPRODUCT(MAX((T_PlannedOrders[Part Name]=$A773)*(T_PlannedOrders[WeekIndex]=18)*(T_PlannedOrders[EffectiveQty]&gt;0)*T_PlannedOrders[Order_Month])),"m月")&amp;"発注)")</f>
        <v/>
      </c>
      <c r="V831">
        <f>IF(SUMIFS(T_PlannedOrders[EffectiveQty],T_PlannedOrders[Part Name],$A773,T_PlannedOrders[WeekIndex],19)=0,"",SUMIFS(T_PlannedOrders[EffectiveQty],T_PlannedOrders[Part Name],$A773,T_PlannedOrders[WeekIndex],19)&amp;" ("&amp;TEXT(SUMPRODUCT(MAX((T_PlannedOrders[Part Name]=$A773)*(T_PlannedOrders[WeekIndex]=19)*(T_PlannedOrders[EffectiveQty]&gt;0)*T_PlannedOrders[Order_Month])),"m月")&amp;"発注)")</f>
        <v/>
      </c>
      <c r="W831">
        <f>IF(SUMIFS(T_PlannedOrders[EffectiveQty],T_PlannedOrders[Part Name],$A773,T_PlannedOrders[WeekIndex],20)=0,"",SUMIFS(T_PlannedOrders[EffectiveQty],T_PlannedOrders[Part Name],$A773,T_PlannedOrders[WeekIndex],20)&amp;" ("&amp;TEXT(SUMPRODUCT(MAX((T_PlannedOrders[Part Name]=$A773)*(T_PlannedOrders[WeekIndex]=20)*(T_PlannedOrders[EffectiveQty]&gt;0)*T_PlannedOrders[Order_Month])),"m月")&amp;"発注)")</f>
        <v/>
      </c>
      <c r="X831">
        <f>IF(SUMIFS(T_PlannedOrders[EffectiveQty],T_PlannedOrders[Part Name],$A773,T_PlannedOrders[WeekIndex],21)=0,"",SUMIFS(T_PlannedOrders[EffectiveQty],T_PlannedOrders[Part Name],$A773,T_PlannedOrders[WeekIndex],21)&amp;" ("&amp;TEXT(SUMPRODUCT(MAX((T_PlannedOrders[Part Name]=$A773)*(T_PlannedOrders[WeekIndex]=21)*(T_PlannedOrders[EffectiveQty]&gt;0)*T_PlannedOrders[Order_Month])),"m月")&amp;"発注)")</f>
        <v/>
      </c>
      <c r="Y831">
        <f>IF(SUMIFS(T_PlannedOrders[EffectiveQty],T_PlannedOrders[Part Name],$A773,T_PlannedOrders[WeekIndex],22)=0,"",SUMIFS(T_PlannedOrders[EffectiveQty],T_PlannedOrders[Part Name],$A773,T_PlannedOrders[WeekIndex],22)&amp;" ("&amp;TEXT(SUMPRODUCT(MAX((T_PlannedOrders[Part Name]=$A773)*(T_PlannedOrders[WeekIndex]=22)*(T_PlannedOrders[EffectiveQty]&gt;0)*T_PlannedOrders[Order_Month])),"m月")&amp;"発注)")</f>
        <v/>
      </c>
      <c r="Z831">
        <f>IF(SUMIFS(T_PlannedOrders[EffectiveQty],T_PlannedOrders[Part Name],$A773,T_PlannedOrders[WeekIndex],23)=0,"",SUMIFS(T_PlannedOrders[EffectiveQty],T_PlannedOrders[Part Name],$A773,T_PlannedOrders[WeekIndex],23)&amp;" ("&amp;TEXT(SUMPRODUCT(MAX((T_PlannedOrders[Part Name]=$A773)*(T_PlannedOrders[WeekIndex]=23)*(T_PlannedOrders[EffectiveQty]&gt;0)*T_PlannedOrders[Order_Month])),"m月")&amp;"発注)")</f>
        <v/>
      </c>
      <c r="AA831">
        <f>IF(SUMIFS(T_PlannedOrders[EffectiveQty],T_PlannedOrders[Part Name],$A773,T_PlannedOrders[WeekIndex],24)=0,"",SUMIFS(T_PlannedOrders[EffectiveQty],T_PlannedOrders[Part Name],$A773,T_PlannedOrders[WeekIndex],24)&amp;" ("&amp;TEXT(SUMPRODUCT(MAX((T_PlannedOrders[Part Name]=$A773)*(T_PlannedOrders[WeekIndex]=24)*(T_PlannedOrders[EffectiveQty]&gt;0)*T_PlannedOrders[Order_Month])),"m月")&amp;"発注)")</f>
        <v/>
      </c>
      <c r="AB831">
        <f>IF(SUMIFS(T_PlannedOrders[EffectiveQty],T_PlannedOrders[Part Name],$A773,T_PlannedOrders[WeekIndex],25)=0,"",SUMIFS(T_PlannedOrders[EffectiveQty],T_PlannedOrders[Part Name],$A773,T_PlannedOrders[WeekIndex],25)&amp;" ("&amp;TEXT(SUMPRODUCT(MAX((T_PlannedOrders[Part Name]=$A773)*(T_PlannedOrders[WeekIndex]=25)*(T_PlannedOrders[EffectiveQty]&gt;0)*T_PlannedOrders[Order_Month])),"m月")&amp;"発注)")</f>
        <v/>
      </c>
      <c r="AC831">
        <f>IF(SUMIFS(T_PlannedOrders[EffectiveQty],T_PlannedOrders[Part Name],$A773,T_PlannedOrders[WeekIndex],26)=0,"",SUMIFS(T_PlannedOrders[EffectiveQty],T_PlannedOrders[Part Name],$A773,T_PlannedOrders[WeekIndex],26)&amp;" ("&amp;TEXT(SUMPRODUCT(MAX((T_PlannedOrders[Part Name]=$A773)*(T_PlannedOrders[WeekIndex]=26)*(T_PlannedOrders[EffectiveQty]&gt;0)*T_PlannedOrders[Order_Month])),"m月")&amp;"発注)")</f>
        <v/>
      </c>
      <c r="AD831">
        <f>IF(SUMIFS(T_PlannedOrders[EffectiveQty],T_PlannedOrders[Part Name],$A773,T_PlannedOrders[WeekIndex],27)=0,"",SUMIFS(T_PlannedOrders[EffectiveQty],T_PlannedOrders[Part Name],$A773,T_PlannedOrders[WeekIndex],27)&amp;" ("&amp;TEXT(SUMPRODUCT(MAX((T_PlannedOrders[Part Name]=$A773)*(T_PlannedOrders[WeekIndex]=27)*(T_PlannedOrders[EffectiveQty]&gt;0)*T_PlannedOrders[Order_Month])),"m月")&amp;"発注)")</f>
        <v/>
      </c>
      <c r="AE831">
        <f>IF(SUMIFS(T_PlannedOrders[EffectiveQty],T_PlannedOrders[Part Name],$A773,T_PlannedOrders[WeekIndex],28)=0,"",SUMIFS(T_PlannedOrders[EffectiveQty],T_PlannedOrders[Part Name],$A773,T_PlannedOrders[WeekIndex],28)&amp;" ("&amp;TEXT(SUMPRODUCT(MAX((T_PlannedOrders[Part Name]=$A773)*(T_PlannedOrders[WeekIndex]=28)*(T_PlannedOrders[EffectiveQty]&gt;0)*T_PlannedOrders[Order_Month])),"m月")&amp;"発注)")</f>
        <v/>
      </c>
      <c r="AF831">
        <f>IF(SUMIFS(T_PlannedOrders[EffectiveQty],T_PlannedOrders[Part Name],$A773,T_PlannedOrders[WeekIndex],29)=0,"",SUMIFS(T_PlannedOrders[EffectiveQty],T_PlannedOrders[Part Name],$A773,T_PlannedOrders[WeekIndex],29)&amp;" ("&amp;TEXT(SUMPRODUCT(MAX((T_PlannedOrders[Part Name]=$A773)*(T_PlannedOrders[WeekIndex]=29)*(T_PlannedOrders[EffectiveQty]&gt;0)*T_PlannedOrders[Order_Month])),"m月")&amp;"発注)")</f>
        <v/>
      </c>
      <c r="AG831">
        <f>IF(SUMIFS(T_PlannedOrders[EffectiveQty],T_PlannedOrders[Part Name],$A773,T_PlannedOrders[WeekIndex],30)=0,"",SUMIFS(T_PlannedOrders[EffectiveQty],T_PlannedOrders[Part Name],$A773,T_PlannedOrders[WeekIndex],30)&amp;" ("&amp;TEXT(SUMPRODUCT(MAX((T_PlannedOrders[Part Name]=$A773)*(T_PlannedOrders[WeekIndex]=30)*(T_PlannedOrders[EffectiveQty]&gt;0)*T_PlannedOrders[Order_Month])),"m月")&amp;"発注)")</f>
        <v/>
      </c>
      <c r="AH831">
        <f>IF(SUMIFS(T_PlannedOrders[EffectiveQty],T_PlannedOrders[Part Name],$A773,T_PlannedOrders[WeekIndex],31)=0,"",SUMIFS(T_PlannedOrders[EffectiveQty],T_PlannedOrders[Part Name],$A773,T_PlannedOrders[WeekIndex],31)&amp;" ("&amp;TEXT(SUMPRODUCT(MAX((T_PlannedOrders[Part Name]=$A773)*(T_PlannedOrders[WeekIndex]=31)*(T_PlannedOrders[EffectiveQty]&gt;0)*T_PlannedOrders[Order_Month])),"m月")&amp;"発注)")</f>
        <v/>
      </c>
      <c r="AI831">
        <f>IF(SUMIFS(T_PlannedOrders[EffectiveQty],T_PlannedOrders[Part Name],$A773,T_PlannedOrders[WeekIndex],32)=0,"",SUMIFS(T_PlannedOrders[EffectiveQty],T_PlannedOrders[Part Name],$A773,T_PlannedOrders[WeekIndex],32)&amp;" ("&amp;TEXT(SUMPRODUCT(MAX((T_PlannedOrders[Part Name]=$A773)*(T_PlannedOrders[WeekIndex]=32)*(T_PlannedOrders[EffectiveQty]&gt;0)*T_PlannedOrders[Order_Month])),"m月")&amp;"発注)")</f>
        <v/>
      </c>
      <c r="AJ831">
        <f>IF(SUMIFS(T_PlannedOrders[EffectiveQty],T_PlannedOrders[Part Name],$A773,T_PlannedOrders[WeekIndex],33)=0,"",SUMIFS(T_PlannedOrders[EffectiveQty],T_PlannedOrders[Part Name],$A773,T_PlannedOrders[WeekIndex],33)&amp;" ("&amp;TEXT(SUMPRODUCT(MAX((T_PlannedOrders[Part Name]=$A773)*(T_PlannedOrders[WeekIndex]=33)*(T_PlannedOrders[EffectiveQty]&gt;0)*T_PlannedOrders[Order_Month])),"m月")&amp;"発注)")</f>
        <v/>
      </c>
      <c r="AK831">
        <f>IF(SUMIFS(T_PlannedOrders[EffectiveQty],T_PlannedOrders[Part Name],$A773,T_PlannedOrders[WeekIndex],34)=0,"",SUMIFS(T_PlannedOrders[EffectiveQty],T_PlannedOrders[Part Name],$A773,T_PlannedOrders[WeekIndex],34)&amp;" ("&amp;TEXT(SUMPRODUCT(MAX((T_PlannedOrders[Part Name]=$A773)*(T_PlannedOrders[WeekIndex]=34)*(T_PlannedOrders[EffectiveQty]&gt;0)*T_PlannedOrders[Order_Month])),"m月")&amp;"発注)")</f>
        <v/>
      </c>
      <c r="AL831">
        <f>IF(SUMIFS(T_PlannedOrders[EffectiveQty],T_PlannedOrders[Part Name],$A773,T_PlannedOrders[WeekIndex],35)=0,"",SUMIFS(T_PlannedOrders[EffectiveQty],T_PlannedOrders[Part Name],$A773,T_PlannedOrders[WeekIndex],35)&amp;" ("&amp;TEXT(SUMPRODUCT(MAX((T_PlannedOrders[Part Name]=$A773)*(T_PlannedOrders[WeekIndex]=35)*(T_PlannedOrders[EffectiveQty]&gt;0)*T_PlannedOrders[Order_Month])),"m月")&amp;"発注)")</f>
        <v/>
      </c>
      <c r="AM831">
        <f>IF(SUMIFS(T_PlannedOrders[EffectiveQty],T_PlannedOrders[Part Name],$A773,T_PlannedOrders[WeekIndex],36)=0,"",SUMIFS(T_PlannedOrders[EffectiveQty],T_PlannedOrders[Part Name],$A773,T_PlannedOrders[WeekIndex],36)&amp;" ("&amp;TEXT(SUMPRODUCT(MAX((T_PlannedOrders[Part Name]=$A773)*(T_PlannedOrders[WeekIndex]=36)*(T_PlannedOrders[EffectiveQty]&gt;0)*T_PlannedOrders[Order_Month])),"m月")&amp;"発注)")</f>
        <v/>
      </c>
      <c r="AN831">
        <f>IF(SUMIFS(T_PlannedOrders[EffectiveQty],T_PlannedOrders[Part Name],$A773,T_PlannedOrders[WeekIndex],37)=0,"",SUMIFS(T_PlannedOrders[EffectiveQty],T_PlannedOrders[Part Name],$A773,T_PlannedOrders[WeekIndex],37)&amp;" ("&amp;TEXT(SUMPRODUCT(MAX((T_PlannedOrders[Part Name]=$A773)*(T_PlannedOrders[WeekIndex]=37)*(T_PlannedOrders[EffectiveQty]&gt;0)*T_PlannedOrders[Order_Month])),"m月")&amp;"発注)")</f>
        <v/>
      </c>
      <c r="AO831">
        <f>IF(SUMIFS(T_PlannedOrders[EffectiveQty],T_PlannedOrders[Part Name],$A773,T_PlannedOrders[WeekIndex],38)=0,"",SUMIFS(T_PlannedOrders[EffectiveQty],T_PlannedOrders[Part Name],$A773,T_PlannedOrders[WeekIndex],38)&amp;" ("&amp;TEXT(SUMPRODUCT(MAX((T_PlannedOrders[Part Name]=$A773)*(T_PlannedOrders[WeekIndex]=38)*(T_PlannedOrders[EffectiveQty]&gt;0)*T_PlannedOrders[Order_Month])),"m月")&amp;"発注)")</f>
        <v/>
      </c>
      <c r="AP831">
        <f>IF(SUMIFS(T_PlannedOrders[EffectiveQty],T_PlannedOrders[Part Name],$A773,T_PlannedOrders[WeekIndex],39)=0,"",SUMIFS(T_PlannedOrders[EffectiveQty],T_PlannedOrders[Part Name],$A773,T_PlannedOrders[WeekIndex],39)&amp;" ("&amp;TEXT(SUMPRODUCT(MAX((T_PlannedOrders[Part Name]=$A773)*(T_PlannedOrders[WeekIndex]=39)*(T_PlannedOrders[EffectiveQty]&gt;0)*T_PlannedOrders[Order_Month])),"m月")&amp;"発注)")</f>
        <v/>
      </c>
      <c r="AQ831">
        <f>IF(SUMIFS(T_PlannedOrders[EffectiveQty],T_PlannedOrders[Part Name],$A773,T_PlannedOrders[WeekIndex],40)=0,"",SUMIFS(T_PlannedOrders[EffectiveQty],T_PlannedOrders[Part Name],$A773,T_PlannedOrders[WeekIndex],40)&amp;" ("&amp;TEXT(SUMPRODUCT(MAX((T_PlannedOrders[Part Name]=$A773)*(T_PlannedOrders[WeekIndex]=40)*(T_PlannedOrders[EffectiveQty]&gt;0)*T_PlannedOrders[Order_Month])),"m月")&amp;"発注)")</f>
        <v/>
      </c>
      <c r="AR831">
        <f>IF(SUMIFS(T_PlannedOrders[EffectiveQty],T_PlannedOrders[Part Name],$A773,T_PlannedOrders[WeekIndex],41)=0,"",SUMIFS(T_PlannedOrders[EffectiveQty],T_PlannedOrders[Part Name],$A773,T_PlannedOrders[WeekIndex],41)&amp;" ("&amp;TEXT(SUMPRODUCT(MAX((T_PlannedOrders[Part Name]=$A773)*(T_PlannedOrders[WeekIndex]=41)*(T_PlannedOrders[EffectiveQty]&gt;0)*T_PlannedOrders[Order_Month])),"m月")&amp;"発注)")</f>
        <v/>
      </c>
      <c r="AS831">
        <f>IF(SUMIFS(T_PlannedOrders[EffectiveQty],T_PlannedOrders[Part Name],$A773,T_PlannedOrders[WeekIndex],42)=0,"",SUMIFS(T_PlannedOrders[EffectiveQty],T_PlannedOrders[Part Name],$A773,T_PlannedOrders[WeekIndex],42)&amp;" ("&amp;TEXT(SUMPRODUCT(MAX((T_PlannedOrders[Part Name]=$A773)*(T_PlannedOrders[WeekIndex]=42)*(T_PlannedOrders[EffectiveQty]&gt;0)*T_PlannedOrders[Order_Month])),"m月")&amp;"発注)")</f>
        <v/>
      </c>
      <c r="AT831">
        <f>IF(SUMIFS(T_PlannedOrders[EffectiveQty],T_PlannedOrders[Part Name],$A773,T_PlannedOrders[WeekIndex],43)=0,"",SUMIFS(T_PlannedOrders[EffectiveQty],T_PlannedOrders[Part Name],$A773,T_PlannedOrders[WeekIndex],43)&amp;" ("&amp;TEXT(SUMPRODUCT(MAX((T_PlannedOrders[Part Name]=$A773)*(T_PlannedOrders[WeekIndex]=43)*(T_PlannedOrders[EffectiveQty]&gt;0)*T_PlannedOrders[Order_Month])),"m月")&amp;"発注)")</f>
        <v/>
      </c>
      <c r="AU831">
        <f>IF(SUMIFS(T_PlannedOrders[EffectiveQty],T_PlannedOrders[Part Name],$A773,T_PlannedOrders[WeekIndex],44)=0,"",SUMIFS(T_PlannedOrders[EffectiveQty],T_PlannedOrders[Part Name],$A773,T_PlannedOrders[WeekIndex],44)&amp;" ("&amp;TEXT(SUMPRODUCT(MAX((T_PlannedOrders[Part Name]=$A773)*(T_PlannedOrders[WeekIndex]=44)*(T_PlannedOrders[EffectiveQty]&gt;0)*T_PlannedOrders[Order_Month])),"m月")&amp;"発注)")</f>
        <v/>
      </c>
      <c r="AV831">
        <f>IF(SUMIFS(T_PlannedOrders[EffectiveQty],T_PlannedOrders[Part Name],$A773,T_PlannedOrders[WeekIndex],45)=0,"",SUMIFS(T_PlannedOrders[EffectiveQty],T_PlannedOrders[Part Name],$A773,T_PlannedOrders[WeekIndex],45)&amp;" ("&amp;TEXT(SUMPRODUCT(MAX((T_PlannedOrders[Part Name]=$A773)*(T_PlannedOrders[WeekIndex]=45)*(T_PlannedOrders[EffectiveQty]&gt;0)*T_PlannedOrders[Order_Month])),"m月")&amp;"発注)")</f>
        <v/>
      </c>
      <c r="AW831">
        <f>IF(SUMIFS(T_PlannedOrders[EffectiveQty],T_PlannedOrders[Part Name],$A773,T_PlannedOrders[WeekIndex],46)=0,"",SUMIFS(T_PlannedOrders[EffectiveQty],T_PlannedOrders[Part Name],$A773,T_PlannedOrders[WeekIndex],46)&amp;" ("&amp;TEXT(SUMPRODUCT(MAX((T_PlannedOrders[Part Name]=$A773)*(T_PlannedOrders[WeekIndex]=46)*(T_PlannedOrders[EffectiveQty]&gt;0)*T_PlannedOrders[Order_Month])),"m月")&amp;"発注)")</f>
        <v/>
      </c>
      <c r="AX831">
        <f>IF(SUMIFS(T_PlannedOrders[EffectiveQty],T_PlannedOrders[Part Name],$A773,T_PlannedOrders[WeekIndex],47)=0,"",SUMIFS(T_PlannedOrders[EffectiveQty],T_PlannedOrders[Part Name],$A773,T_PlannedOrders[WeekIndex],47)&amp;" ("&amp;TEXT(SUMPRODUCT(MAX((T_PlannedOrders[Part Name]=$A773)*(T_PlannedOrders[WeekIndex]=47)*(T_PlannedOrders[EffectiveQty]&gt;0)*T_PlannedOrders[Order_Month])),"m月")&amp;"発注)")</f>
        <v/>
      </c>
      <c r="AY831">
        <f>IF(SUMIFS(T_PlannedOrders[EffectiveQty],T_PlannedOrders[Part Name],$A773,T_PlannedOrders[WeekIndex],48)=0,"",SUMIFS(T_PlannedOrders[EffectiveQty],T_PlannedOrders[Part Name],$A773,T_PlannedOrders[WeekIndex],48)&amp;" ("&amp;TEXT(SUMPRODUCT(MAX((T_PlannedOrders[Part Name]=$A773)*(T_PlannedOrders[WeekIndex]=48)*(T_PlannedOrders[EffectiveQty]&gt;0)*T_PlannedOrders[Order_Month])),"m月")&amp;"発注)")</f>
        <v/>
      </c>
      <c r="AZ831">
        <f>IF(SUMIFS(T_PlannedOrders[EffectiveQty],T_PlannedOrders[Part Name],$A773,T_PlannedOrders[WeekIndex],49)=0,"",SUMIFS(T_PlannedOrders[EffectiveQty],T_PlannedOrders[Part Name],$A773,T_PlannedOrders[WeekIndex],49)&amp;" ("&amp;TEXT(SUMPRODUCT(MAX((T_PlannedOrders[Part Name]=$A773)*(T_PlannedOrders[WeekIndex]=49)*(T_PlannedOrders[EffectiveQty]&gt;0)*T_PlannedOrders[Order_Month])),"m月")&amp;"発注)")</f>
        <v/>
      </c>
      <c r="BA831">
        <f>IF(SUMIFS(T_PlannedOrders[EffectiveQty],T_PlannedOrders[Part Name],$A773,T_PlannedOrders[WeekIndex],50)=0,"",SUMIFS(T_PlannedOrders[EffectiveQty],T_PlannedOrders[Part Name],$A773,T_PlannedOrders[WeekIndex],50)&amp;" ("&amp;TEXT(SUMPRODUCT(MAX((T_PlannedOrders[Part Name]=$A773)*(T_PlannedOrders[WeekIndex]=50)*(T_PlannedOrders[EffectiveQty]&gt;0)*T_PlannedOrders[Order_Month])),"m月")&amp;"発注)")</f>
        <v/>
      </c>
      <c r="BB831">
        <f>IF(SUMIFS(T_PlannedOrders[EffectiveQty],T_PlannedOrders[Part Name],$A773,T_PlannedOrders[WeekIndex],51)=0,"",SUMIFS(T_PlannedOrders[EffectiveQty],T_PlannedOrders[Part Name],$A773,T_PlannedOrders[WeekIndex],51)&amp;" ("&amp;TEXT(SUMPRODUCT(MAX((T_PlannedOrders[Part Name]=$A773)*(T_PlannedOrders[WeekIndex]=51)*(T_PlannedOrders[EffectiveQty]&gt;0)*T_PlannedOrders[Order_Month])),"m月")&amp;"発注)")</f>
        <v/>
      </c>
      <c r="BC831">
        <f>IF(SUMIFS(T_PlannedOrders[EffectiveQty],T_PlannedOrders[Part Name],$A773,T_PlannedOrders[WeekIndex],52)=0,"",SUMIFS(T_PlannedOrders[EffectiveQty],T_PlannedOrders[Part Name],$A773,T_PlannedOrders[WeekIndex],52)&amp;" ("&amp;TEXT(SUMPRODUCT(MAX((T_PlannedOrders[Part Name]=$A773)*(T_PlannedOrders[WeekIndex]=52)*(T_PlannedOrders[EffectiveQty]&gt;0)*T_PlannedOrders[Order_Month])),"m月")&amp;"発注)")</f>
        <v/>
      </c>
      <c r="BD831">
        <f>IF(SUMIFS(T_PlannedOrders[EffectiveQty],T_PlannedOrders[Part Name],$A773,T_PlannedOrders[WeekIndex],53)=0,"",SUMIFS(T_PlannedOrders[EffectiveQty],T_PlannedOrders[Part Name],$A773,T_PlannedOrders[WeekIndex],53)&amp;" ("&amp;TEXT(SUMPRODUCT(MAX((T_PlannedOrders[Part Name]=$A773)*(T_PlannedOrders[WeekIndex]=53)*(T_PlannedOrders[EffectiveQty]&gt;0)*T_PlannedOrders[Order_Month])),"m月")&amp;"発注)")</f>
        <v/>
      </c>
      <c r="BE831">
        <f>IF(SUMIFS(T_PlannedOrders[EffectiveQty],T_PlannedOrders[Part Name],$A773,T_PlannedOrders[WeekIndex],54)=0,"",SUMIFS(T_PlannedOrders[EffectiveQty],T_PlannedOrders[Part Name],$A773,T_PlannedOrders[WeekIndex],54)&amp;" ("&amp;TEXT(SUMPRODUCT(MAX((T_PlannedOrders[Part Name]=$A773)*(T_PlannedOrders[WeekIndex]=54)*(T_PlannedOrders[EffectiveQty]&gt;0)*T_PlannedOrders[Order_Month])),"m月")&amp;"発注)")</f>
        <v/>
      </c>
      <c r="BF831">
        <f>IF(SUMIFS(T_PlannedOrders[EffectiveQty],T_PlannedOrders[Part Name],$A773,T_PlannedOrders[WeekIndex],55)=0,"",SUMIFS(T_PlannedOrders[EffectiveQty],T_PlannedOrders[Part Name],$A773,T_PlannedOrders[WeekIndex],55)&amp;" ("&amp;TEXT(SUMPRODUCT(MAX((T_PlannedOrders[Part Name]=$A773)*(T_PlannedOrders[WeekIndex]=55)*(T_PlannedOrders[EffectiveQty]&gt;0)*T_PlannedOrders[Order_Month])),"m月")&amp;"発注)")</f>
        <v/>
      </c>
      <c r="BG831">
        <f>IF(SUMIFS(T_PlannedOrders[EffectiveQty],T_PlannedOrders[Part Name],$A773,T_PlannedOrders[WeekIndex],56)=0,"",SUMIFS(T_PlannedOrders[EffectiveQty],T_PlannedOrders[Part Name],$A773,T_PlannedOrders[WeekIndex],56)&amp;" ("&amp;TEXT(SUMPRODUCT(MAX((T_PlannedOrders[Part Name]=$A773)*(T_PlannedOrders[WeekIndex]=56)*(T_PlannedOrders[EffectiveQty]&gt;0)*T_PlannedOrders[Order_Month])),"m月")&amp;"発注)")</f>
        <v/>
      </c>
      <c r="BH831">
        <f>IF(SUMIFS(T_PlannedOrders[EffectiveQty],T_PlannedOrders[Part Name],$A773,T_PlannedOrders[WeekIndex],57)=0,"",SUMIFS(T_PlannedOrders[EffectiveQty],T_PlannedOrders[Part Name],$A773,T_PlannedOrders[WeekIndex],57)&amp;" ("&amp;TEXT(SUMPRODUCT(MAX((T_PlannedOrders[Part Name]=$A773)*(T_PlannedOrders[WeekIndex]=57)*(T_PlannedOrders[EffectiveQty]&gt;0)*T_PlannedOrders[Order_Month])),"m月")&amp;"発注)")</f>
        <v/>
      </c>
      <c r="BI831">
        <f>IF(SUMIFS(T_PlannedOrders[EffectiveQty],T_PlannedOrders[Part Name],$A773,T_PlannedOrders[WeekIndex],58)=0,"",SUMIFS(T_PlannedOrders[EffectiveQty],T_PlannedOrders[Part Name],$A773,T_PlannedOrders[WeekIndex],58)&amp;" ("&amp;TEXT(SUMPRODUCT(MAX((T_PlannedOrders[Part Name]=$A773)*(T_PlannedOrders[WeekIndex]=58)*(T_PlannedOrders[EffectiveQty]&gt;0)*T_PlannedOrders[Order_Month])),"m月")&amp;"発注)")</f>
        <v/>
      </c>
      <c r="BJ831">
        <f>IF(SUMIFS(T_PlannedOrders[EffectiveQty],T_PlannedOrders[Part Name],$A773,T_PlannedOrders[WeekIndex],59)=0,"",SUMIFS(T_PlannedOrders[EffectiveQty],T_PlannedOrders[Part Name],$A773,T_PlannedOrders[WeekIndex],59)&amp;" ("&amp;TEXT(SUMPRODUCT(MAX((T_PlannedOrders[Part Name]=$A773)*(T_PlannedOrders[WeekIndex]=59)*(T_PlannedOrders[EffectiveQty]&gt;0)*T_PlannedOrders[Order_Month])),"m月")&amp;"発注)")</f>
        <v/>
      </c>
      <c r="BK831">
        <f>IF(SUMIFS(T_PlannedOrders[EffectiveQty],T_PlannedOrders[Part Name],$A773,T_PlannedOrders[WeekIndex],60)=0,"",SUMIFS(T_PlannedOrders[EffectiveQty],T_PlannedOrders[Part Name],$A773,T_PlannedOrders[WeekIndex],60)&amp;" ("&amp;TEXT(SUMPRODUCT(MAX((T_PlannedOrders[Part Name]=$A773)*(T_PlannedOrders[WeekIndex]=60)*(T_PlannedOrders[EffectiveQty]&gt;0)*T_PlannedOrders[Order_Month])),"m月")&amp;"発注)")</f>
        <v/>
      </c>
      <c r="BL831">
        <f>IF(SUMIFS(T_PlannedOrders[EffectiveQty],T_PlannedOrders[Part Name],$A773,T_PlannedOrders[WeekIndex],61)=0,"",SUMIFS(T_PlannedOrders[EffectiveQty],T_PlannedOrders[Part Name],$A773,T_PlannedOrders[WeekIndex],61)&amp;" ("&amp;TEXT(SUMPRODUCT(MAX((T_PlannedOrders[Part Name]=$A773)*(T_PlannedOrders[WeekIndex]=61)*(T_PlannedOrders[EffectiveQty]&gt;0)*T_PlannedOrders[Order_Month])),"m月")&amp;"発注)")</f>
        <v/>
      </c>
      <c r="BM831">
        <f>IF(SUMIFS(T_PlannedOrders[EffectiveQty],T_PlannedOrders[Part Name],$A773,T_PlannedOrders[WeekIndex],62)=0,"",SUMIFS(T_PlannedOrders[EffectiveQty],T_PlannedOrders[Part Name],$A773,T_PlannedOrders[WeekIndex],62)&amp;" ("&amp;TEXT(SUMPRODUCT(MAX((T_PlannedOrders[Part Name]=$A773)*(T_PlannedOrders[WeekIndex]=62)*(T_PlannedOrders[EffectiveQty]&gt;0)*T_PlannedOrders[Order_Month])),"m月")&amp;"発注)")</f>
        <v/>
      </c>
      <c r="BN831">
        <f>IF(SUMIFS(T_PlannedOrders[EffectiveQty],T_PlannedOrders[Part Name],$A773,T_PlannedOrders[WeekIndex],63)=0,"",SUMIFS(T_PlannedOrders[EffectiveQty],T_PlannedOrders[Part Name],$A773,T_PlannedOrders[WeekIndex],63)&amp;" ("&amp;TEXT(SUMPRODUCT(MAX((T_PlannedOrders[Part Name]=$A773)*(T_PlannedOrders[WeekIndex]=63)*(T_PlannedOrders[EffectiveQty]&gt;0)*T_PlannedOrders[Order_Month])),"m月")&amp;"発注)")</f>
        <v/>
      </c>
      <c r="BO831">
        <f>IF(SUMIFS(T_PlannedOrders[EffectiveQty],T_PlannedOrders[Part Name],$A773,T_PlannedOrders[WeekIndex],64)=0,"",SUMIFS(T_PlannedOrders[EffectiveQty],T_PlannedOrders[Part Name],$A773,T_PlannedOrders[WeekIndex],64)&amp;" ("&amp;TEXT(SUMPRODUCT(MAX((T_PlannedOrders[Part Name]=$A773)*(T_PlannedOrders[WeekIndex]=64)*(T_PlannedOrders[EffectiveQty]&gt;0)*T_PlannedOrders[Order_Month])),"m月")&amp;"発注)")</f>
        <v/>
      </c>
      <c r="BP831">
        <f>IF(SUMIFS(T_PlannedOrders[EffectiveQty],T_PlannedOrders[Part Name],$A773,T_PlannedOrders[WeekIndex],65)=0,"",SUMIFS(T_PlannedOrders[EffectiveQty],T_PlannedOrders[Part Name],$A773,T_PlannedOrders[WeekIndex],65)&amp;" ("&amp;TEXT(SUMPRODUCT(MAX((T_PlannedOrders[Part Name]=$A773)*(T_PlannedOrders[WeekIndex]=65)*(T_PlannedOrders[EffectiveQty]&gt;0)*T_PlannedOrders[Order_Month])),"m月")&amp;"発注)")</f>
        <v/>
      </c>
      <c r="BQ831">
        <f>IF(SUMIFS(T_PlannedOrders[EffectiveQty],T_PlannedOrders[Part Name],$A773,T_PlannedOrders[WeekIndex],66)=0,"",SUMIFS(T_PlannedOrders[EffectiveQty],T_PlannedOrders[Part Name],$A773,T_PlannedOrders[WeekIndex],66)&amp;" ("&amp;TEXT(SUMPRODUCT(MAX((T_PlannedOrders[Part Name]=$A773)*(T_PlannedOrders[WeekIndex]=66)*(T_PlannedOrders[EffectiveQty]&gt;0)*T_PlannedOrders[Order_Month])),"m月")&amp;"発注)")</f>
        <v/>
      </c>
      <c r="BR831">
        <f>IF(SUMIFS(T_PlannedOrders[EffectiveQty],T_PlannedOrders[Part Name],$A773,T_PlannedOrders[WeekIndex],67)=0,"",SUMIFS(T_PlannedOrders[EffectiveQty],T_PlannedOrders[Part Name],$A773,T_PlannedOrders[WeekIndex],67)&amp;" ("&amp;TEXT(SUMPRODUCT(MAX((T_PlannedOrders[Part Name]=$A773)*(T_PlannedOrders[WeekIndex]=67)*(T_PlannedOrders[EffectiveQty]&gt;0)*T_PlannedOrders[Order_Month])),"m月")&amp;"発注)")</f>
        <v/>
      </c>
      <c r="BS831">
        <f>IF(SUMIFS(T_PlannedOrders[EffectiveQty],T_PlannedOrders[Part Name],$A773,T_PlannedOrders[WeekIndex],68)=0,"",SUMIFS(T_PlannedOrders[EffectiveQty],T_PlannedOrders[Part Name],$A773,T_PlannedOrders[WeekIndex],68)&amp;" ("&amp;TEXT(SUMPRODUCT(MAX((T_PlannedOrders[Part Name]=$A773)*(T_PlannedOrders[WeekIndex]=68)*(T_PlannedOrders[EffectiveQty]&gt;0)*T_PlannedOrders[Order_Month])),"m月")&amp;"発注)")</f>
        <v/>
      </c>
      <c r="BT831">
        <f>IF(SUMIFS(T_PlannedOrders[EffectiveQty],T_PlannedOrders[Part Name],$A773,T_PlannedOrders[WeekIndex],69)=0,"",SUMIFS(T_PlannedOrders[EffectiveQty],T_PlannedOrders[Part Name],$A773,T_PlannedOrders[WeekIndex],69)&amp;" ("&amp;TEXT(SUMPRODUCT(MAX((T_PlannedOrders[Part Name]=$A773)*(T_PlannedOrders[WeekIndex]=69)*(T_PlannedOrders[EffectiveQty]&gt;0)*T_PlannedOrders[Order_Month])),"m月")&amp;"発注)")</f>
        <v/>
      </c>
      <c r="BU831">
        <f>IF(SUMIFS(T_PlannedOrders[EffectiveQty],T_PlannedOrders[Part Name],$A773,T_PlannedOrders[WeekIndex],70)=0,"",SUMIFS(T_PlannedOrders[EffectiveQty],T_PlannedOrders[Part Name],$A773,T_PlannedOrders[WeekIndex],70)&amp;" ("&amp;TEXT(SUMPRODUCT(MAX((T_PlannedOrders[Part Name]=$A773)*(T_PlannedOrders[WeekIndex]=70)*(T_PlannedOrders[EffectiveQty]&gt;0)*T_PlannedOrders[Order_Month])),"m月")&amp;"発注)")</f>
        <v/>
      </c>
      <c r="BV831">
        <f>IF(SUMIFS(T_PlannedOrders[EffectiveQty],T_PlannedOrders[Part Name],$A773,T_PlannedOrders[WeekIndex],71)=0,"",SUMIFS(T_PlannedOrders[EffectiveQty],T_PlannedOrders[Part Name],$A773,T_PlannedOrders[WeekIndex],71)&amp;" ("&amp;TEXT(SUMPRODUCT(MAX((T_PlannedOrders[Part Name]=$A773)*(T_PlannedOrders[WeekIndex]=71)*(T_PlannedOrders[EffectiveQty]&gt;0)*T_PlannedOrders[Order_Month])),"m月")&amp;"発注)")</f>
        <v/>
      </c>
      <c r="BW831">
        <f>IF(SUMIFS(T_PlannedOrders[EffectiveQty],T_PlannedOrders[Part Name],$A773,T_PlannedOrders[WeekIndex],72)=0,"",SUMIFS(T_PlannedOrders[EffectiveQty],T_PlannedOrders[Part Name],$A773,T_PlannedOrders[WeekIndex],72)&amp;" ("&amp;TEXT(SUMPRODUCT(MAX((T_PlannedOrders[Part Name]=$A773)*(T_PlannedOrders[WeekIndex]=72)*(T_PlannedOrders[EffectiveQty]&gt;0)*T_PlannedOrders[Order_Month])),"m月")&amp;"発注)")</f>
        <v/>
      </c>
      <c r="BX831">
        <f>IF(SUMIFS(T_PlannedOrders[EffectiveQty],T_PlannedOrders[Part Name],$A773,T_PlannedOrders[WeekIndex],73)=0,"",SUMIFS(T_PlannedOrders[EffectiveQty],T_PlannedOrders[Part Name],$A773,T_PlannedOrders[WeekIndex],73)&amp;" ("&amp;TEXT(SUMPRODUCT(MAX((T_PlannedOrders[Part Name]=$A773)*(T_PlannedOrders[WeekIndex]=73)*(T_PlannedOrders[EffectiveQty]&gt;0)*T_PlannedOrders[Order_Month])),"m月")&amp;"発注)")</f>
        <v/>
      </c>
      <c r="BY831">
        <f>IF(SUMIFS(T_PlannedOrders[EffectiveQty],T_PlannedOrders[Part Name],$A773,T_PlannedOrders[WeekIndex],74)=0,"",SUMIFS(T_PlannedOrders[EffectiveQty],T_PlannedOrders[Part Name],$A773,T_PlannedOrders[WeekIndex],74)&amp;" ("&amp;TEXT(SUMPRODUCT(MAX((T_PlannedOrders[Part Name]=$A773)*(T_PlannedOrders[WeekIndex]=74)*(T_PlannedOrders[EffectiveQty]&gt;0)*T_PlannedOrders[Order_Month])),"m月")&amp;"発注)")</f>
        <v/>
      </c>
      <c r="BZ831">
        <f>IF(SUMIFS(T_PlannedOrders[EffectiveQty],T_PlannedOrders[Part Name],$A773,T_PlannedOrders[WeekIndex],75)=0,"",SUMIFS(T_PlannedOrders[EffectiveQty],T_PlannedOrders[Part Name],$A773,T_PlannedOrders[WeekIndex],75)&amp;" ("&amp;TEXT(SUMPRODUCT(MAX((T_PlannedOrders[Part Name]=$A773)*(T_PlannedOrders[WeekIndex]=75)*(T_PlannedOrders[EffectiveQty]&gt;0)*T_PlannedOrders[Order_Month])),"m月")&amp;"発注)")</f>
        <v/>
      </c>
      <c r="CA831">
        <f>IF(SUMIFS(T_PlannedOrders[EffectiveQty],T_PlannedOrders[Part Name],$A773,T_PlannedOrders[WeekIndex],76)=0,"",SUMIFS(T_PlannedOrders[EffectiveQty],T_PlannedOrders[Part Name],$A773,T_PlannedOrders[WeekIndex],76)&amp;" ("&amp;TEXT(SUMPRODUCT(MAX((T_PlannedOrders[Part Name]=$A773)*(T_PlannedOrders[WeekIndex]=76)*(T_PlannedOrders[EffectiveQty]&gt;0)*T_PlannedOrders[Order_Month])),"m月")&amp;"発注)")</f>
        <v/>
      </c>
      <c r="CB831">
        <f>IF(SUMIFS(T_PlannedOrders[EffectiveQty],T_PlannedOrders[Part Name],$A773,T_PlannedOrders[WeekIndex],77)=0,"",SUMIFS(T_PlannedOrders[EffectiveQty],T_PlannedOrders[Part Name],$A773,T_PlannedOrders[WeekIndex],77)&amp;" ("&amp;TEXT(SUMPRODUCT(MAX((T_PlannedOrders[Part Name]=$A773)*(T_PlannedOrders[WeekIndex]=77)*(T_PlannedOrders[EffectiveQty]&gt;0)*T_PlannedOrders[Order_Month])),"m月")&amp;"発注)")</f>
        <v/>
      </c>
      <c r="CC831">
        <f>IF(SUMIFS(T_PlannedOrders[EffectiveQty],T_PlannedOrders[Part Name],$A773,T_PlannedOrders[WeekIndex],78)=0,"",SUMIFS(T_PlannedOrders[EffectiveQty],T_PlannedOrders[Part Name],$A773,T_PlannedOrders[WeekIndex],78)&amp;" ("&amp;TEXT(SUMPRODUCT(MAX((T_PlannedOrders[Part Name]=$A773)*(T_PlannedOrders[WeekIndex]=78)*(T_PlannedOrders[EffectiveQty]&gt;0)*T_PlannedOrders[Order_Month])),"m月")&amp;"発注)")</f>
        <v/>
      </c>
      <c r="CD831">
        <f>IF(SUMIFS(T_PlannedOrders[EffectiveQty],T_PlannedOrders[Part Name],$A773,T_PlannedOrders[WeekIndex],79)=0,"",SUMIFS(T_PlannedOrders[EffectiveQty],T_PlannedOrders[Part Name],$A773,T_PlannedOrders[WeekIndex],79)&amp;" ("&amp;TEXT(SUMPRODUCT(MAX((T_PlannedOrders[Part Name]=$A773)*(T_PlannedOrders[WeekIndex]=79)*(T_PlannedOrders[EffectiveQty]&gt;0)*T_PlannedOrders[Order_Month])),"m月")&amp;"発注)")</f>
        <v/>
      </c>
      <c r="CE831">
        <f>IF(SUMIFS(T_PlannedOrders[EffectiveQty],T_PlannedOrders[Part Name],$A773,T_PlannedOrders[WeekIndex],80)=0,"",SUMIFS(T_PlannedOrders[EffectiveQty],T_PlannedOrders[Part Name],$A773,T_PlannedOrders[WeekIndex],80)&amp;" ("&amp;TEXT(SUMPRODUCT(MAX((T_PlannedOrders[Part Name]=$A773)*(T_PlannedOrders[WeekIndex]=80)*(T_PlannedOrders[EffectiveQty]&gt;0)*T_PlannedOrders[Order_Month])),"m月")&amp;"発注)")</f>
        <v/>
      </c>
      <c r="CF831">
        <f>IF(SUMIFS(T_PlannedOrders[EffectiveQty],T_PlannedOrders[Part Name],$A773,T_PlannedOrders[WeekIndex],81)=0,"",SUMIFS(T_PlannedOrders[EffectiveQty],T_PlannedOrders[Part Name],$A773,T_PlannedOrders[WeekIndex],81)&amp;" ("&amp;TEXT(SUMPRODUCT(MAX((T_PlannedOrders[Part Name]=$A773)*(T_PlannedOrders[WeekIndex]=81)*(T_PlannedOrders[EffectiveQty]&gt;0)*T_PlannedOrders[Order_Month])),"m月")&amp;"発注)")</f>
        <v/>
      </c>
      <c r="CG831">
        <f>IF(SUMIFS(T_PlannedOrders[EffectiveQty],T_PlannedOrders[Part Name],$A773,T_PlannedOrders[WeekIndex],82)=0,"",SUMIFS(T_PlannedOrders[EffectiveQty],T_PlannedOrders[Part Name],$A773,T_PlannedOrders[WeekIndex],82)&amp;" ("&amp;TEXT(SUMPRODUCT(MAX((T_PlannedOrders[Part Name]=$A773)*(T_PlannedOrders[WeekIndex]=82)*(T_PlannedOrders[EffectiveQty]&gt;0)*T_PlannedOrders[Order_Month])),"m月")&amp;"発注)")</f>
        <v/>
      </c>
      <c r="CH831">
        <f>IF(SUMIFS(T_PlannedOrders[EffectiveQty],T_PlannedOrders[Part Name],$A773,T_PlannedOrders[WeekIndex],83)=0,"",SUMIFS(T_PlannedOrders[EffectiveQty],T_PlannedOrders[Part Name],$A773,T_PlannedOrders[WeekIndex],83)&amp;" ("&amp;TEXT(SUMPRODUCT(MAX((T_PlannedOrders[Part Name]=$A773)*(T_PlannedOrders[WeekIndex]=83)*(T_PlannedOrders[EffectiveQty]&gt;0)*T_PlannedOrders[Order_Month])),"m月")&amp;"発注)")</f>
        <v/>
      </c>
      <c r="CI831">
        <f>IF(SUMIFS(T_PlannedOrders[EffectiveQty],T_PlannedOrders[Part Name],$A773,T_PlannedOrders[WeekIndex],84)=0,"",SUMIFS(T_PlannedOrders[EffectiveQty],T_PlannedOrders[Part Name],$A773,T_PlannedOrders[WeekIndex],84)&amp;" ("&amp;TEXT(SUMPRODUCT(MAX((T_PlannedOrders[Part Name]=$A773)*(T_PlannedOrders[WeekIndex]=84)*(T_PlannedOrders[EffectiveQty]&gt;0)*T_PlannedOrders[Order_Month])),"m月")&amp;"発注)")</f>
        <v/>
      </c>
      <c r="CJ831">
        <f>IF(SUMIFS(T_PlannedOrders[EffectiveQty],T_PlannedOrders[Part Name],$A773,T_PlannedOrders[WeekIndex],85)=0,"",SUMIFS(T_PlannedOrders[EffectiveQty],T_PlannedOrders[Part Name],$A773,T_PlannedOrders[WeekIndex],85)&amp;" ("&amp;TEXT(SUMPRODUCT(MAX((T_PlannedOrders[Part Name]=$A773)*(T_PlannedOrders[WeekIndex]=85)*(T_PlannedOrders[EffectiveQty]&gt;0)*T_PlannedOrders[Order_Month])),"m月")&amp;"発注)")</f>
        <v/>
      </c>
      <c r="CK831">
        <f>IF(SUMIFS(T_PlannedOrders[EffectiveQty],T_PlannedOrders[Part Name],$A773,T_PlannedOrders[WeekIndex],86)=0,"",SUMIFS(T_PlannedOrders[EffectiveQty],T_PlannedOrders[Part Name],$A773,T_PlannedOrders[WeekIndex],86)&amp;" ("&amp;TEXT(SUMPRODUCT(MAX((T_PlannedOrders[Part Name]=$A773)*(T_PlannedOrders[WeekIndex]=86)*(T_PlannedOrders[EffectiveQty]&gt;0)*T_PlannedOrders[Order_Month])),"m月")&amp;"発注)")</f>
        <v/>
      </c>
      <c r="CL831">
        <f>IF(SUMIFS(T_PlannedOrders[EffectiveQty],T_PlannedOrders[Part Name],$A773,T_PlannedOrders[WeekIndex],87)=0,"",SUMIFS(T_PlannedOrders[EffectiveQty],T_PlannedOrders[Part Name],$A773,T_PlannedOrders[WeekIndex],87)&amp;" ("&amp;TEXT(SUMPRODUCT(MAX((T_PlannedOrders[Part Name]=$A773)*(T_PlannedOrders[WeekIndex]=87)*(T_PlannedOrders[EffectiveQty]&gt;0)*T_PlannedOrders[Order_Month])),"m月")&amp;"発注)")</f>
        <v/>
      </c>
      <c r="CM831">
        <f>IF(SUMIFS(T_PlannedOrders[EffectiveQty],T_PlannedOrders[Part Name],$A773,T_PlannedOrders[WeekIndex],88)=0,"",SUMIFS(T_PlannedOrders[EffectiveQty],T_PlannedOrders[Part Name],$A773,T_PlannedOrders[WeekIndex],88)&amp;" ("&amp;TEXT(SUMPRODUCT(MAX((T_PlannedOrders[Part Name]=$A773)*(T_PlannedOrders[WeekIndex]=88)*(T_PlannedOrders[EffectiveQty]&gt;0)*T_PlannedOrders[Order_Month])),"m月")&amp;"発注)")</f>
        <v/>
      </c>
      <c r="CN831">
        <f>IF(SUMIFS(T_PlannedOrders[EffectiveQty],T_PlannedOrders[Part Name],$A773,T_PlannedOrders[WeekIndex],89)=0,"",SUMIFS(T_PlannedOrders[EffectiveQty],T_PlannedOrders[Part Name],$A773,T_PlannedOrders[WeekIndex],89)&amp;" ("&amp;TEXT(SUMPRODUCT(MAX((T_PlannedOrders[Part Name]=$A773)*(T_PlannedOrders[WeekIndex]=89)*(T_PlannedOrders[EffectiveQty]&gt;0)*T_PlannedOrders[Order_Month])),"m月")&amp;"発注)")</f>
        <v/>
      </c>
      <c r="CO831">
        <f>IF(SUMIFS(T_PlannedOrders[EffectiveQty],T_PlannedOrders[Part Name],$A773,T_PlannedOrders[WeekIndex],90)=0,"",SUMIFS(T_PlannedOrders[EffectiveQty],T_PlannedOrders[Part Name],$A773,T_PlannedOrders[WeekIndex],90)&amp;" ("&amp;TEXT(SUMPRODUCT(MAX((T_PlannedOrders[Part Name]=$A773)*(T_PlannedOrders[WeekIndex]=90)*(T_PlannedOrders[EffectiveQty]&gt;0)*T_PlannedOrders[Order_Month])),"m月")&amp;"発注)")</f>
        <v/>
      </c>
      <c r="CP831">
        <f>IF(SUMIFS(T_PlannedOrders[EffectiveQty],T_PlannedOrders[Part Name],$A773,T_PlannedOrders[WeekIndex],91)=0,"",SUMIFS(T_PlannedOrders[EffectiveQty],T_PlannedOrders[Part Name],$A773,T_PlannedOrders[WeekIndex],91)&amp;" ("&amp;TEXT(SUMPRODUCT(MAX((T_PlannedOrders[Part Name]=$A773)*(T_PlannedOrders[WeekIndex]=91)*(T_PlannedOrders[EffectiveQty]&gt;0)*T_PlannedOrders[Order_Month])),"m月")&amp;"発注)")</f>
        <v/>
      </c>
      <c r="CQ831">
        <f>IF(SUMIFS(T_PlannedOrders[EffectiveQty],T_PlannedOrders[Part Name],$A773,T_PlannedOrders[WeekIndex],92)=0,"",SUMIFS(T_PlannedOrders[EffectiveQty],T_PlannedOrders[Part Name],$A773,T_PlannedOrders[WeekIndex],92)&amp;" ("&amp;TEXT(SUMPRODUCT(MAX((T_PlannedOrders[Part Name]=$A773)*(T_PlannedOrders[WeekIndex]=92)*(T_PlannedOrders[EffectiveQty]&gt;0)*T_PlannedOrders[Order_Month])),"m月")&amp;"発注)")</f>
        <v/>
      </c>
      <c r="CR831">
        <f>IF(SUMIFS(T_PlannedOrders[EffectiveQty],T_PlannedOrders[Part Name],$A773,T_PlannedOrders[WeekIndex],93)=0,"",SUMIFS(T_PlannedOrders[EffectiveQty],T_PlannedOrders[Part Name],$A773,T_PlannedOrders[WeekIndex],93)&amp;" ("&amp;TEXT(SUMPRODUCT(MAX((T_PlannedOrders[Part Name]=$A773)*(T_PlannedOrders[WeekIndex]=93)*(T_PlannedOrders[EffectiveQty]&gt;0)*T_PlannedOrders[Order_Month])),"m月")&amp;"発注)")</f>
        <v/>
      </c>
      <c r="CS831">
        <f>IF(SUMIFS(T_PlannedOrders[EffectiveQty],T_PlannedOrders[Part Name],$A773,T_PlannedOrders[WeekIndex],94)=0,"",SUMIFS(T_PlannedOrders[EffectiveQty],T_PlannedOrders[Part Name],$A773,T_PlannedOrders[WeekIndex],94)&amp;" ("&amp;TEXT(SUMPRODUCT(MAX((T_PlannedOrders[Part Name]=$A773)*(T_PlannedOrders[WeekIndex]=94)*(T_PlannedOrders[EffectiveQty]&gt;0)*T_PlannedOrders[Order_Month])),"m月")&amp;"発注)")</f>
        <v/>
      </c>
      <c r="CT831">
        <f>IF(SUMIFS(T_PlannedOrders[EffectiveQty],T_PlannedOrders[Part Name],$A773,T_PlannedOrders[WeekIndex],95)=0,"",SUMIFS(T_PlannedOrders[EffectiveQty],T_PlannedOrders[Part Name],$A773,T_PlannedOrders[WeekIndex],95)&amp;" ("&amp;TEXT(SUMPRODUCT(MAX((T_PlannedOrders[Part Name]=$A773)*(T_PlannedOrders[WeekIndex]=95)*(T_PlannedOrders[EffectiveQty]&gt;0)*T_PlannedOrders[Order_Month])),"m月")&amp;"発注)")</f>
        <v/>
      </c>
      <c r="CU831">
        <f>IF(SUMIFS(T_PlannedOrders[EffectiveQty],T_PlannedOrders[Part Name],$A773,T_PlannedOrders[WeekIndex],96)=0,"",SUMIFS(T_PlannedOrders[EffectiveQty],T_PlannedOrders[Part Name],$A773,T_PlannedOrders[WeekIndex],96)&amp;" ("&amp;TEXT(SUMPRODUCT(MAX((T_PlannedOrders[Part Name]=$A773)*(T_PlannedOrders[WeekIndex]=96)*(T_PlannedOrders[EffectiveQty]&gt;0)*T_PlannedOrders[Order_Month])),"m月")&amp;"発注)")</f>
        <v/>
      </c>
      <c r="CV831">
        <f>IF(SUMIFS(T_PlannedOrders[EffectiveQty],T_PlannedOrders[Part Name],$A773,T_PlannedOrders[WeekIndex],97)=0,"",SUMIFS(T_PlannedOrders[EffectiveQty],T_PlannedOrders[Part Name],$A773,T_PlannedOrders[WeekIndex],97)&amp;" ("&amp;TEXT(SUMPRODUCT(MAX((T_PlannedOrders[Part Name]=$A773)*(T_PlannedOrders[WeekIndex]=97)*(T_PlannedOrders[EffectiveQty]&gt;0)*T_PlannedOrders[Order_Month])),"m月")&amp;"発注)")</f>
        <v/>
      </c>
      <c r="CW831">
        <f>IF(SUMIFS(T_PlannedOrders[EffectiveQty],T_PlannedOrders[Part Name],$A773,T_PlannedOrders[WeekIndex],98)=0,"",SUMIFS(T_PlannedOrders[EffectiveQty],T_PlannedOrders[Part Name],$A773,T_PlannedOrders[WeekIndex],98)&amp;" ("&amp;TEXT(SUMPRODUCT(MAX((T_PlannedOrders[Part Name]=$A773)*(T_PlannedOrders[WeekIndex]=98)*(T_PlannedOrders[EffectiveQty]&gt;0)*T_PlannedOrders[Order_Month])),"m月")&amp;"発注)")</f>
        <v/>
      </c>
      <c r="CX831">
        <f>IF(SUMIFS(T_PlannedOrders[EffectiveQty],T_PlannedOrders[Part Name],$A773,T_PlannedOrders[WeekIndex],99)=0,"",SUMIFS(T_PlannedOrders[EffectiveQty],T_PlannedOrders[Part Name],$A773,T_PlannedOrders[WeekIndex],99)&amp;" ("&amp;TEXT(SUMPRODUCT(MAX((T_PlannedOrders[Part Name]=$A773)*(T_PlannedOrders[WeekIndex]=99)*(T_PlannedOrders[EffectiveQty]&gt;0)*T_PlannedOrders[Order_Month])),"m月")&amp;"発注)")</f>
        <v/>
      </c>
      <c r="CY831">
        <f>IF(SUMIFS(T_PlannedOrders[EffectiveQty],T_PlannedOrders[Part Name],$A773,T_PlannedOrders[WeekIndex],100)=0,"",SUMIFS(T_PlannedOrders[EffectiveQty],T_PlannedOrders[Part Name],$A773,T_PlannedOrders[WeekIndex],100)&amp;" ("&amp;TEXT(SUMPRODUCT(MAX((T_PlannedOrders[Part Name]=$A773)*(T_PlannedOrders[WeekIndex]=100)*(T_PlannedOrders[EffectiveQty]&gt;0)*T_PlannedOrders[Order_Month])),"m月")&amp;"発注)")</f>
        <v/>
      </c>
      <c r="CZ831">
        <f>IF(SUMIFS(T_PlannedOrders[EffectiveQty],T_PlannedOrders[Part Name],$A773,T_PlannedOrders[WeekIndex],101)=0,"",SUMIFS(T_PlannedOrders[EffectiveQty],T_PlannedOrders[Part Name],$A773,T_PlannedOrders[WeekIndex],101)&amp;" ("&amp;TEXT(SUMPRODUCT(MAX((T_PlannedOrders[Part Name]=$A773)*(T_PlannedOrders[WeekIndex]=101)*(T_PlannedOrders[EffectiveQty]&gt;0)*T_PlannedOrders[Order_Month])),"m月")&amp;"発注)")</f>
        <v/>
      </c>
      <c r="DA831">
        <f>IF(SUMIFS(T_PlannedOrders[EffectiveQty],T_PlannedOrders[Part Name],$A773,T_PlannedOrders[WeekIndex],102)=0,"",SUMIFS(T_PlannedOrders[EffectiveQty],T_PlannedOrders[Part Name],$A773,T_PlannedOrders[WeekIndex],102)&amp;" ("&amp;TEXT(SUMPRODUCT(MAX((T_PlannedOrders[Part Name]=$A773)*(T_PlannedOrders[WeekIndex]=102)*(T_PlannedOrders[EffectiveQty]&gt;0)*T_PlannedOrders[Order_Month])),"m月")&amp;"発注)")</f>
        <v/>
      </c>
      <c r="DB831">
        <f>IF(SUMIFS(T_PlannedOrders[EffectiveQty],T_PlannedOrders[Part Name],$A773,T_PlannedOrders[WeekIndex],103)=0,"",SUMIFS(T_PlannedOrders[EffectiveQty],T_PlannedOrders[Part Name],$A773,T_PlannedOrders[WeekIndex],103)&amp;" ("&amp;TEXT(SUMPRODUCT(MAX((T_PlannedOrders[Part Name]=$A773)*(T_PlannedOrders[WeekIndex]=103)*(T_PlannedOrders[EffectiveQty]&gt;0)*T_PlannedOrders[Order_Month])),"m月")&amp;"発注)")</f>
        <v/>
      </c>
      <c r="DC831">
        <f>IF(SUMIFS(T_PlannedOrders[EffectiveQty],T_PlannedOrders[Part Name],$A773,T_PlannedOrders[WeekIndex],104)=0,"",SUMIFS(T_PlannedOrders[EffectiveQty],T_PlannedOrders[Part Name],$A773,T_PlannedOrders[WeekIndex],104)&amp;" ("&amp;TEXT(SUMPRODUCT(MAX((T_PlannedOrders[Part Name]=$A773)*(T_PlannedOrders[WeekIndex]=104)*(T_PlannedOrders[EffectiveQty]&gt;0)*T_PlannedOrders[Order_Month])),"m月")&amp;"発注)")</f>
        <v/>
      </c>
    </row>
    <row r="832">
      <c r="B832" s="4" t="inlineStr">
        <is>
          <t>合計在庫(週末時点,kg)</t>
        </is>
      </c>
      <c r="D832">
        <f>'Grid_Stock'!B17</f>
        <v/>
      </c>
      <c r="E832">
        <f>'Grid_Stock'!C17</f>
        <v/>
      </c>
      <c r="F832">
        <f>'Grid_Stock'!D17</f>
        <v/>
      </c>
      <c r="G832">
        <f>'Grid_Stock'!E17</f>
        <v/>
      </c>
      <c r="H832">
        <f>'Grid_Stock'!F17</f>
        <v/>
      </c>
      <c r="I832">
        <f>'Grid_Stock'!G17</f>
        <v/>
      </c>
      <c r="J832">
        <f>'Grid_Stock'!H17</f>
        <v/>
      </c>
      <c r="K832">
        <f>'Grid_Stock'!I17</f>
        <v/>
      </c>
      <c r="L832">
        <f>'Grid_Stock'!J17</f>
        <v/>
      </c>
      <c r="M832">
        <f>'Grid_Stock'!K17</f>
        <v/>
      </c>
      <c r="N832">
        <f>'Grid_Stock'!L17</f>
        <v/>
      </c>
      <c r="O832">
        <f>'Grid_Stock'!M17</f>
        <v/>
      </c>
      <c r="P832">
        <f>'Grid_Stock'!N17</f>
        <v/>
      </c>
      <c r="Q832">
        <f>'Grid_Stock'!O17</f>
        <v/>
      </c>
      <c r="R832">
        <f>'Grid_Stock'!P17</f>
        <v/>
      </c>
      <c r="S832">
        <f>'Grid_Stock'!Q17</f>
        <v/>
      </c>
      <c r="T832">
        <f>'Grid_Stock'!R17</f>
        <v/>
      </c>
      <c r="U832">
        <f>'Grid_Stock'!S17</f>
        <v/>
      </c>
      <c r="V832">
        <f>'Grid_Stock'!T17</f>
        <v/>
      </c>
      <c r="W832">
        <f>'Grid_Stock'!U17</f>
        <v/>
      </c>
      <c r="X832">
        <f>'Grid_Stock'!V17</f>
        <v/>
      </c>
      <c r="Y832">
        <f>'Grid_Stock'!W17</f>
        <v/>
      </c>
      <c r="Z832">
        <f>'Grid_Stock'!X17</f>
        <v/>
      </c>
      <c r="AA832">
        <f>'Grid_Stock'!Y17</f>
        <v/>
      </c>
      <c r="AB832">
        <f>'Grid_Stock'!Z17</f>
        <v/>
      </c>
      <c r="AC832">
        <f>'Grid_Stock'!AA17</f>
        <v/>
      </c>
      <c r="AD832">
        <f>'Grid_Stock'!AB17</f>
        <v/>
      </c>
      <c r="AE832">
        <f>'Grid_Stock'!AC17</f>
        <v/>
      </c>
      <c r="AF832">
        <f>'Grid_Stock'!AD17</f>
        <v/>
      </c>
      <c r="AG832">
        <f>'Grid_Stock'!AE17</f>
        <v/>
      </c>
      <c r="AH832">
        <f>'Grid_Stock'!AF17</f>
        <v/>
      </c>
      <c r="AI832">
        <f>'Grid_Stock'!AG17</f>
        <v/>
      </c>
      <c r="AJ832">
        <f>'Grid_Stock'!AH17</f>
        <v/>
      </c>
      <c r="AK832">
        <f>'Grid_Stock'!AI17</f>
        <v/>
      </c>
      <c r="AL832">
        <f>'Grid_Stock'!AJ17</f>
        <v/>
      </c>
      <c r="AM832">
        <f>'Grid_Stock'!AK17</f>
        <v/>
      </c>
      <c r="AN832">
        <f>'Grid_Stock'!AL17</f>
        <v/>
      </c>
      <c r="AO832">
        <f>'Grid_Stock'!AM17</f>
        <v/>
      </c>
      <c r="AP832">
        <f>'Grid_Stock'!AN17</f>
        <v/>
      </c>
      <c r="AQ832">
        <f>'Grid_Stock'!AO17</f>
        <v/>
      </c>
      <c r="AR832">
        <f>'Grid_Stock'!AP17</f>
        <v/>
      </c>
      <c r="AS832">
        <f>'Grid_Stock'!AQ17</f>
        <v/>
      </c>
      <c r="AT832">
        <f>'Grid_Stock'!AR17</f>
        <v/>
      </c>
      <c r="AU832">
        <f>'Grid_Stock'!AS17</f>
        <v/>
      </c>
      <c r="AV832">
        <f>'Grid_Stock'!AT17</f>
        <v/>
      </c>
      <c r="AW832">
        <f>'Grid_Stock'!AU17</f>
        <v/>
      </c>
      <c r="AX832">
        <f>'Grid_Stock'!AV17</f>
        <v/>
      </c>
      <c r="AY832">
        <f>'Grid_Stock'!AW17</f>
        <v/>
      </c>
      <c r="AZ832">
        <f>'Grid_Stock'!AX17</f>
        <v/>
      </c>
      <c r="BA832">
        <f>'Grid_Stock'!AY17</f>
        <v/>
      </c>
      <c r="BB832">
        <f>'Grid_Stock'!AZ17</f>
        <v/>
      </c>
      <c r="BC832">
        <f>'Grid_Stock'!BA17</f>
        <v/>
      </c>
      <c r="BD832">
        <f>'Grid_Stock'!BB17</f>
        <v/>
      </c>
      <c r="BE832">
        <f>'Grid_Stock'!BC17</f>
        <v/>
      </c>
      <c r="BF832">
        <f>'Grid_Stock'!BD17</f>
        <v/>
      </c>
      <c r="BG832">
        <f>'Grid_Stock'!BE17</f>
        <v/>
      </c>
      <c r="BH832">
        <f>'Grid_Stock'!BF17</f>
        <v/>
      </c>
      <c r="BI832">
        <f>'Grid_Stock'!BG17</f>
        <v/>
      </c>
      <c r="BJ832">
        <f>'Grid_Stock'!BH17</f>
        <v/>
      </c>
      <c r="BK832">
        <f>'Grid_Stock'!BI17</f>
        <v/>
      </c>
      <c r="BL832">
        <f>'Grid_Stock'!BJ17</f>
        <v/>
      </c>
      <c r="BM832">
        <f>'Grid_Stock'!BK17</f>
        <v/>
      </c>
      <c r="BN832">
        <f>'Grid_Stock'!BL17</f>
        <v/>
      </c>
      <c r="BO832">
        <f>'Grid_Stock'!BM17</f>
        <v/>
      </c>
      <c r="BP832">
        <f>'Grid_Stock'!BN17</f>
        <v/>
      </c>
      <c r="BQ832">
        <f>'Grid_Stock'!BO17</f>
        <v/>
      </c>
      <c r="BR832">
        <f>'Grid_Stock'!BP17</f>
        <v/>
      </c>
      <c r="BS832">
        <f>'Grid_Stock'!BQ17</f>
        <v/>
      </c>
      <c r="BT832">
        <f>'Grid_Stock'!BR17</f>
        <v/>
      </c>
      <c r="BU832">
        <f>'Grid_Stock'!BS17</f>
        <v/>
      </c>
      <c r="BV832">
        <f>'Grid_Stock'!BT17</f>
        <v/>
      </c>
      <c r="BW832">
        <f>'Grid_Stock'!BU17</f>
        <v/>
      </c>
      <c r="BX832">
        <f>'Grid_Stock'!BV17</f>
        <v/>
      </c>
      <c r="BY832">
        <f>'Grid_Stock'!BW17</f>
        <v/>
      </c>
      <c r="BZ832">
        <f>'Grid_Stock'!BX17</f>
        <v/>
      </c>
      <c r="CA832">
        <f>'Grid_Stock'!BY17</f>
        <v/>
      </c>
      <c r="CB832">
        <f>'Grid_Stock'!BZ17</f>
        <v/>
      </c>
      <c r="CC832">
        <f>'Grid_Stock'!CA17</f>
        <v/>
      </c>
      <c r="CD832">
        <f>'Grid_Stock'!CB17</f>
        <v/>
      </c>
      <c r="CE832">
        <f>'Grid_Stock'!CC17</f>
        <v/>
      </c>
      <c r="CF832">
        <f>'Grid_Stock'!CD17</f>
        <v/>
      </c>
      <c r="CG832">
        <f>'Grid_Stock'!CE17</f>
        <v/>
      </c>
      <c r="CH832">
        <f>'Grid_Stock'!CF17</f>
        <v/>
      </c>
      <c r="CI832">
        <f>'Grid_Stock'!CG17</f>
        <v/>
      </c>
      <c r="CJ832">
        <f>'Grid_Stock'!CH17</f>
        <v/>
      </c>
      <c r="CK832">
        <f>'Grid_Stock'!CI17</f>
        <v/>
      </c>
      <c r="CL832">
        <f>'Grid_Stock'!CJ17</f>
        <v/>
      </c>
      <c r="CM832">
        <f>'Grid_Stock'!CK17</f>
        <v/>
      </c>
      <c r="CN832">
        <f>'Grid_Stock'!CL17</f>
        <v/>
      </c>
      <c r="CO832">
        <f>'Grid_Stock'!CM17</f>
        <v/>
      </c>
      <c r="CP832">
        <f>'Grid_Stock'!CN17</f>
        <v/>
      </c>
      <c r="CQ832">
        <f>'Grid_Stock'!CO17</f>
        <v/>
      </c>
      <c r="CR832">
        <f>'Grid_Stock'!CP17</f>
        <v/>
      </c>
      <c r="CS832">
        <f>'Grid_Stock'!CQ17</f>
        <v/>
      </c>
      <c r="CT832">
        <f>'Grid_Stock'!CR17</f>
        <v/>
      </c>
      <c r="CU832">
        <f>'Grid_Stock'!CS17</f>
        <v/>
      </c>
      <c r="CV832">
        <f>'Grid_Stock'!CT17</f>
        <v/>
      </c>
      <c r="CW832">
        <f>'Grid_Stock'!CU17</f>
        <v/>
      </c>
      <c r="CX832">
        <f>'Grid_Stock'!CV17</f>
        <v/>
      </c>
      <c r="CY832">
        <f>'Grid_Stock'!CW17</f>
        <v/>
      </c>
      <c r="CZ832">
        <f>'Grid_Stock'!CX17</f>
        <v/>
      </c>
      <c r="DA832">
        <f>'Grid_Stock'!CY17</f>
        <v/>
      </c>
      <c r="DB832">
        <f>'Grid_Stock'!CZ17</f>
        <v/>
      </c>
      <c r="DC832">
        <f>'Grid_Stock'!DA17</f>
        <v/>
      </c>
    </row>
    <row r="833">
      <c r="B833" s="16" t="inlineStr">
        <is>
          <t>（発注の目安はDashboardの基準在庫[下限/上限]と色分けを参照）</t>
        </is>
      </c>
    </row>
    <row r="835">
      <c r="A835" s="14" t="inlineStr">
        <is>
          <t>CHEM-1690</t>
        </is>
      </c>
      <c r="B835" s="14" t="inlineStr">
        <is>
          <t>TPZ-560</t>
        </is>
      </c>
      <c r="C835" s="15" t="n"/>
      <c r="D835" s="14" t="n"/>
      <c r="E835" s="14" t="n"/>
      <c r="F835" s="14" t="n"/>
      <c r="G835" s="14" t="n"/>
      <c r="H835" s="14" t="n"/>
      <c r="I835" s="14" t="n"/>
      <c r="J835" s="14" t="n"/>
      <c r="K835" s="14" t="n"/>
      <c r="L835" s="14" t="n"/>
      <c r="M835" s="14" t="n"/>
      <c r="N835" s="14" t="n"/>
      <c r="O835" s="14" t="n"/>
      <c r="P835" s="14" t="n"/>
      <c r="Q835" s="14" t="n"/>
      <c r="R835" s="14" t="n"/>
      <c r="S835" s="14" t="n"/>
      <c r="T835" s="14" t="n"/>
      <c r="U835" s="14" t="n"/>
      <c r="V835" s="14" t="n"/>
      <c r="W835" s="14" t="n"/>
      <c r="X835" s="14" t="n"/>
      <c r="Y835" s="14" t="n"/>
      <c r="Z835" s="14" t="n"/>
      <c r="AA835" s="14" t="n"/>
      <c r="AB835" s="14" t="n"/>
      <c r="AC835" s="14" t="n"/>
      <c r="AD835" s="14" t="n"/>
      <c r="AE835" s="14" t="n"/>
      <c r="AF835" s="14" t="n"/>
      <c r="AG835" s="14" t="n"/>
      <c r="AH835" s="14" t="n"/>
      <c r="AI835" s="14" t="n"/>
      <c r="AJ835" s="14" t="n"/>
      <c r="AK835" s="14" t="n"/>
      <c r="AL835" s="14" t="n"/>
      <c r="AM835" s="14" t="n"/>
      <c r="AN835" s="14" t="n"/>
      <c r="AO835" s="14" t="n"/>
      <c r="AP835" s="14" t="n"/>
      <c r="AQ835" s="14" t="n"/>
      <c r="AR835" s="14" t="n"/>
      <c r="AS835" s="14" t="n"/>
      <c r="AT835" s="14" t="n"/>
      <c r="AU835" s="14" t="n"/>
      <c r="AV835" s="14" t="n"/>
      <c r="AW835" s="14" t="n"/>
      <c r="AX835" s="14" t="n"/>
      <c r="AY835" s="14" t="n"/>
      <c r="AZ835" s="14" t="n"/>
      <c r="BA835" s="14" t="n"/>
      <c r="BB835" s="14" t="n"/>
      <c r="BC835" s="14" t="n"/>
      <c r="BD835" s="14" t="n"/>
      <c r="BE835" s="14" t="n"/>
      <c r="BF835" s="14" t="n"/>
      <c r="BG835" s="14" t="n"/>
      <c r="BH835" s="14" t="n"/>
      <c r="BI835" s="14" t="n"/>
      <c r="BJ835" s="14" t="n"/>
      <c r="BK835" s="14" t="n"/>
      <c r="BL835" s="14" t="n"/>
      <c r="BM835" s="14" t="n"/>
      <c r="BN835" s="14" t="n"/>
      <c r="BO835" s="14" t="n"/>
      <c r="BP835" s="14" t="n"/>
      <c r="BQ835" s="14" t="n"/>
      <c r="BR835" s="14" t="n"/>
      <c r="BS835" s="14" t="n"/>
      <c r="BT835" s="14" t="n"/>
      <c r="BU835" s="14" t="n"/>
      <c r="BV835" s="14" t="n"/>
      <c r="BW835" s="14" t="n"/>
      <c r="BX835" s="14" t="n"/>
      <c r="BY835" s="14" t="n"/>
      <c r="BZ835" s="14" t="n"/>
      <c r="CA835" s="14" t="n"/>
      <c r="CB835" s="14" t="n"/>
      <c r="CC835" s="14" t="n"/>
      <c r="CD835" s="14" t="n"/>
      <c r="CE835" s="14" t="n"/>
      <c r="CF835" s="14" t="n"/>
      <c r="CG835" s="14" t="n"/>
      <c r="CH835" s="14" t="n"/>
      <c r="CI835" s="14" t="n"/>
      <c r="CJ835" s="14" t="n"/>
      <c r="CK835" s="14" t="n"/>
      <c r="CL835" s="14" t="n"/>
      <c r="CM835" s="14" t="n"/>
      <c r="CN835" s="14" t="n"/>
      <c r="CO835" s="14" t="n"/>
      <c r="CP835" s="14" t="n"/>
      <c r="CQ835" s="14" t="n"/>
      <c r="CR835" s="14" t="n"/>
      <c r="CS835" s="14" t="n"/>
      <c r="CT835" s="14" t="n"/>
      <c r="CU835" s="14" t="n"/>
      <c r="CV835" s="14" t="n"/>
      <c r="CW835" s="14" t="n"/>
      <c r="CX835" s="14" t="n"/>
      <c r="CY835" s="14" t="n"/>
      <c r="CZ835" s="14" t="n"/>
      <c r="DA835" s="14" t="n"/>
      <c r="DB835" s="14" t="n"/>
      <c r="DC835" s="14" t="n"/>
    </row>
    <row r="836">
      <c r="B836" t="inlineStr">
        <is>
          <t>TSP-618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Name],$A835)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TSP-903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Name],$A835)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TSP-966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Name],$A835)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s="4" t="inlineStr">
        <is>
          <t>合計使用量(kg)/週</t>
        </is>
      </c>
      <c r="D842">
        <f>'Grid_Requirement'!B8</f>
        <v/>
      </c>
      <c r="E842">
        <f>'Grid_Requirement'!C8</f>
        <v/>
      </c>
      <c r="F842">
        <f>'Grid_Requirement'!D8</f>
        <v/>
      </c>
      <c r="G842">
        <f>'Grid_Requirement'!E8</f>
        <v/>
      </c>
      <c r="H842">
        <f>'Grid_Requirement'!F8</f>
        <v/>
      </c>
      <c r="I842">
        <f>'Grid_Requirement'!G8</f>
        <v/>
      </c>
      <c r="J842">
        <f>'Grid_Requirement'!H8</f>
        <v/>
      </c>
      <c r="K842">
        <f>'Grid_Requirement'!I8</f>
        <v/>
      </c>
      <c r="L842">
        <f>'Grid_Requirement'!J8</f>
        <v/>
      </c>
      <c r="M842">
        <f>'Grid_Requirement'!K8</f>
        <v/>
      </c>
      <c r="N842">
        <f>'Grid_Requirement'!L8</f>
        <v/>
      </c>
      <c r="O842">
        <f>'Grid_Requirement'!M8</f>
        <v/>
      </c>
      <c r="P842">
        <f>'Grid_Requirement'!N8</f>
        <v/>
      </c>
      <c r="Q842">
        <f>'Grid_Requirement'!O8</f>
        <v/>
      </c>
      <c r="R842">
        <f>'Grid_Requirement'!P8</f>
        <v/>
      </c>
      <c r="S842">
        <f>'Grid_Requirement'!Q8</f>
        <v/>
      </c>
      <c r="T842">
        <f>'Grid_Requirement'!R8</f>
        <v/>
      </c>
      <c r="U842">
        <f>'Grid_Requirement'!S8</f>
        <v/>
      </c>
      <c r="V842">
        <f>'Grid_Requirement'!T8</f>
        <v/>
      </c>
      <c r="W842">
        <f>'Grid_Requirement'!U8</f>
        <v/>
      </c>
      <c r="X842">
        <f>'Grid_Requirement'!V8</f>
        <v/>
      </c>
      <c r="Y842">
        <f>'Grid_Requirement'!W8</f>
        <v/>
      </c>
      <c r="Z842">
        <f>'Grid_Requirement'!X8</f>
        <v/>
      </c>
      <c r="AA842">
        <f>'Grid_Requirement'!Y8</f>
        <v/>
      </c>
      <c r="AB842">
        <f>'Grid_Requirement'!Z8</f>
        <v/>
      </c>
      <c r="AC842">
        <f>'Grid_Requirement'!AA8</f>
        <v/>
      </c>
      <c r="AD842">
        <f>'Grid_Requirement'!AB8</f>
        <v/>
      </c>
      <c r="AE842">
        <f>'Grid_Requirement'!AC8</f>
        <v/>
      </c>
      <c r="AF842">
        <f>'Grid_Requirement'!AD8</f>
        <v/>
      </c>
      <c r="AG842">
        <f>'Grid_Requirement'!AE8</f>
        <v/>
      </c>
      <c r="AH842">
        <f>'Grid_Requirement'!AF8</f>
        <v/>
      </c>
      <c r="AI842">
        <f>'Grid_Requirement'!AG8</f>
        <v/>
      </c>
      <c r="AJ842">
        <f>'Grid_Requirement'!AH8</f>
        <v/>
      </c>
      <c r="AK842">
        <f>'Grid_Requirement'!AI8</f>
        <v/>
      </c>
      <c r="AL842">
        <f>'Grid_Requirement'!AJ8</f>
        <v/>
      </c>
      <c r="AM842">
        <f>'Grid_Requirement'!AK8</f>
        <v/>
      </c>
      <c r="AN842">
        <f>'Grid_Requirement'!AL8</f>
        <v/>
      </c>
      <c r="AO842">
        <f>'Grid_Requirement'!AM8</f>
        <v/>
      </c>
      <c r="AP842">
        <f>'Grid_Requirement'!AN8</f>
        <v/>
      </c>
      <c r="AQ842">
        <f>'Grid_Requirement'!AO8</f>
        <v/>
      </c>
      <c r="AR842">
        <f>'Grid_Requirement'!AP8</f>
        <v/>
      </c>
      <c r="AS842">
        <f>'Grid_Requirement'!AQ8</f>
        <v/>
      </c>
      <c r="AT842">
        <f>'Grid_Requirement'!AR8</f>
        <v/>
      </c>
      <c r="AU842">
        <f>'Grid_Requirement'!AS8</f>
        <v/>
      </c>
      <c r="AV842">
        <f>'Grid_Requirement'!AT8</f>
        <v/>
      </c>
      <c r="AW842">
        <f>'Grid_Requirement'!AU8</f>
        <v/>
      </c>
      <c r="AX842">
        <f>'Grid_Requirement'!AV8</f>
        <v/>
      </c>
      <c r="AY842">
        <f>'Grid_Requirement'!AW8</f>
        <v/>
      </c>
      <c r="AZ842">
        <f>'Grid_Requirement'!AX8</f>
        <v/>
      </c>
      <c r="BA842">
        <f>'Grid_Requirement'!AY8</f>
        <v/>
      </c>
      <c r="BB842">
        <f>'Grid_Requirement'!AZ8</f>
        <v/>
      </c>
      <c r="BC842">
        <f>'Grid_Requirement'!BA8</f>
        <v/>
      </c>
      <c r="BD842">
        <f>'Grid_Requirement'!BB8</f>
        <v/>
      </c>
      <c r="BE842">
        <f>'Grid_Requirement'!BC8</f>
        <v/>
      </c>
      <c r="BF842">
        <f>'Grid_Requirement'!BD8</f>
        <v/>
      </c>
      <c r="BG842">
        <f>'Grid_Requirement'!BE8</f>
        <v/>
      </c>
      <c r="BH842">
        <f>'Grid_Requirement'!BF8</f>
        <v/>
      </c>
      <c r="BI842">
        <f>'Grid_Requirement'!BG8</f>
        <v/>
      </c>
      <c r="BJ842">
        <f>'Grid_Requirement'!BH8</f>
        <v/>
      </c>
      <c r="BK842">
        <f>'Grid_Requirement'!BI8</f>
        <v/>
      </c>
      <c r="BL842">
        <f>'Grid_Requirement'!BJ8</f>
        <v/>
      </c>
      <c r="BM842">
        <f>'Grid_Requirement'!BK8</f>
        <v/>
      </c>
      <c r="BN842">
        <f>'Grid_Requirement'!BL8</f>
        <v/>
      </c>
      <c r="BO842">
        <f>'Grid_Requirement'!BM8</f>
        <v/>
      </c>
      <c r="BP842">
        <f>'Grid_Requirement'!BN8</f>
        <v/>
      </c>
      <c r="BQ842">
        <f>'Grid_Requirement'!BO8</f>
        <v/>
      </c>
      <c r="BR842">
        <f>'Grid_Requirement'!BP8</f>
        <v/>
      </c>
      <c r="BS842">
        <f>'Grid_Requirement'!BQ8</f>
        <v/>
      </c>
      <c r="BT842">
        <f>'Grid_Requirement'!BR8</f>
        <v/>
      </c>
      <c r="BU842">
        <f>'Grid_Requirement'!BS8</f>
        <v/>
      </c>
      <c r="BV842">
        <f>'Grid_Requirement'!BT8</f>
        <v/>
      </c>
      <c r="BW842">
        <f>'Grid_Requirement'!BU8</f>
        <v/>
      </c>
      <c r="BX842">
        <f>'Grid_Requirement'!BV8</f>
        <v/>
      </c>
      <c r="BY842">
        <f>'Grid_Requirement'!BW8</f>
        <v/>
      </c>
      <c r="BZ842">
        <f>'Grid_Requirement'!BX8</f>
        <v/>
      </c>
      <c r="CA842">
        <f>'Grid_Requirement'!BY8</f>
        <v/>
      </c>
      <c r="CB842">
        <f>'Grid_Requirement'!BZ8</f>
        <v/>
      </c>
      <c r="CC842">
        <f>'Grid_Requirement'!CA8</f>
        <v/>
      </c>
      <c r="CD842">
        <f>'Grid_Requirement'!CB8</f>
        <v/>
      </c>
      <c r="CE842">
        <f>'Grid_Requirement'!CC8</f>
        <v/>
      </c>
      <c r="CF842">
        <f>'Grid_Requirement'!CD8</f>
        <v/>
      </c>
      <c r="CG842">
        <f>'Grid_Requirement'!CE8</f>
        <v/>
      </c>
      <c r="CH842">
        <f>'Grid_Requirement'!CF8</f>
        <v/>
      </c>
      <c r="CI842">
        <f>'Grid_Requirement'!CG8</f>
        <v/>
      </c>
      <c r="CJ842">
        <f>'Grid_Requirement'!CH8</f>
        <v/>
      </c>
      <c r="CK842">
        <f>'Grid_Requirement'!CI8</f>
        <v/>
      </c>
      <c r="CL842">
        <f>'Grid_Requirement'!CJ8</f>
        <v/>
      </c>
      <c r="CM842">
        <f>'Grid_Requirement'!CK8</f>
        <v/>
      </c>
      <c r="CN842">
        <f>'Grid_Requirement'!CL8</f>
        <v/>
      </c>
      <c r="CO842">
        <f>'Grid_Requirement'!CM8</f>
        <v/>
      </c>
      <c r="CP842">
        <f>'Grid_Requirement'!CN8</f>
        <v/>
      </c>
      <c r="CQ842">
        <f>'Grid_Requirement'!CO8</f>
        <v/>
      </c>
      <c r="CR842">
        <f>'Grid_Requirement'!CP8</f>
        <v/>
      </c>
      <c r="CS842">
        <f>'Grid_Requirement'!CQ8</f>
        <v/>
      </c>
      <c r="CT842">
        <f>'Grid_Requirement'!CR8</f>
        <v/>
      </c>
      <c r="CU842">
        <f>'Grid_Requirement'!CS8</f>
        <v/>
      </c>
      <c r="CV842">
        <f>'Grid_Requirement'!CT8</f>
        <v/>
      </c>
      <c r="CW842">
        <f>'Grid_Requirement'!CU8</f>
        <v/>
      </c>
      <c r="CX842">
        <f>'Grid_Requirement'!CV8</f>
        <v/>
      </c>
      <c r="CY842">
        <f>'Grid_Requirement'!CW8</f>
        <v/>
      </c>
      <c r="CZ842">
        <f>'Grid_Requirement'!CX8</f>
        <v/>
      </c>
      <c r="DA842">
        <f>'Grid_Requirement'!CY8</f>
        <v/>
      </c>
      <c r="DB842">
        <f>'Grid_Requirement'!CZ8</f>
        <v/>
      </c>
      <c r="DC842">
        <f>'Grid_Requirement'!DA8</f>
        <v/>
      </c>
    </row>
    <row r="843">
      <c r="B843" t="inlineStr">
        <is>
          <t>TTAF在庫(実績,kg)</t>
        </is>
      </c>
      <c r="D843">
        <f>'T_TTAFStock'!B12</f>
        <v/>
      </c>
      <c r="E843">
        <f>'T_TTAFStock'!C12</f>
        <v/>
      </c>
      <c r="F843">
        <f>'T_TTAFStock'!D12</f>
        <v/>
      </c>
      <c r="G843">
        <f>'T_TTAFStock'!E12</f>
        <v/>
      </c>
      <c r="H843">
        <f>'T_TTAFStock'!F12</f>
        <v/>
      </c>
      <c r="I843">
        <f>'T_TTAFStock'!G12</f>
        <v/>
      </c>
      <c r="J843">
        <f>'T_TTAFStock'!H12</f>
        <v/>
      </c>
      <c r="K843">
        <f>'T_TTAFStock'!I12</f>
        <v/>
      </c>
      <c r="L843">
        <f>'T_TTAFStock'!J12</f>
        <v/>
      </c>
      <c r="M843">
        <f>'T_TTAFStock'!K12</f>
        <v/>
      </c>
      <c r="N843">
        <f>'T_TTAFStock'!L12</f>
        <v/>
      </c>
      <c r="O843">
        <f>'T_TTAFStock'!M12</f>
        <v/>
      </c>
      <c r="P843">
        <f>'T_TTAFStock'!N12</f>
        <v/>
      </c>
      <c r="Q843">
        <f>'T_TTAFStock'!O12</f>
        <v/>
      </c>
      <c r="R843">
        <f>'T_TTAFStock'!P12</f>
        <v/>
      </c>
      <c r="S843">
        <f>'T_TTAFStock'!Q12</f>
        <v/>
      </c>
      <c r="T843">
        <f>'T_TTAFStock'!R12</f>
        <v/>
      </c>
      <c r="U843">
        <f>'T_TTAFStock'!S12</f>
        <v/>
      </c>
      <c r="V843">
        <f>'T_TTAFStock'!T12</f>
        <v/>
      </c>
      <c r="W843">
        <f>'T_TTAFStock'!U12</f>
        <v/>
      </c>
      <c r="X843">
        <f>'T_TTAFStock'!V12</f>
        <v/>
      </c>
      <c r="Y843">
        <f>'T_TTAFStock'!W12</f>
        <v/>
      </c>
      <c r="Z843">
        <f>'T_TTAFStock'!X12</f>
        <v/>
      </c>
      <c r="AA843">
        <f>'T_TTAFStock'!Y12</f>
        <v/>
      </c>
      <c r="AB843">
        <f>'T_TTAFStock'!Z12</f>
        <v/>
      </c>
      <c r="AC843">
        <f>'T_TTAFStock'!AA12</f>
        <v/>
      </c>
      <c r="AD843">
        <f>'T_TTAFStock'!AB12</f>
        <v/>
      </c>
      <c r="AE843">
        <f>'T_TTAFStock'!AC12</f>
        <v/>
      </c>
      <c r="AF843">
        <f>'T_TTAFStock'!AD12</f>
        <v/>
      </c>
      <c r="AG843">
        <f>'T_TTAFStock'!AE12</f>
        <v/>
      </c>
      <c r="AH843">
        <f>'T_TTAFStock'!AF12</f>
        <v/>
      </c>
      <c r="AI843">
        <f>'T_TTAFStock'!AG12</f>
        <v/>
      </c>
      <c r="AJ843">
        <f>'T_TTAFStock'!AH12</f>
        <v/>
      </c>
      <c r="AK843">
        <f>'T_TTAFStock'!AI12</f>
        <v/>
      </c>
      <c r="AL843">
        <f>'T_TTAFStock'!AJ12</f>
        <v/>
      </c>
      <c r="AM843">
        <f>'T_TTAFStock'!AK12</f>
        <v/>
      </c>
      <c r="AN843">
        <f>'T_TTAFStock'!AL12</f>
        <v/>
      </c>
      <c r="AO843">
        <f>'T_TTAFStock'!AM12</f>
        <v/>
      </c>
      <c r="AP843">
        <f>'T_TTAFStock'!AN12</f>
        <v/>
      </c>
      <c r="AQ843">
        <f>'T_TTAFStock'!AO12</f>
        <v/>
      </c>
      <c r="AR843">
        <f>'T_TTAFStock'!AP12</f>
        <v/>
      </c>
      <c r="AS843">
        <f>'T_TTAFStock'!AQ12</f>
        <v/>
      </c>
      <c r="AT843">
        <f>'T_TTAFStock'!AR12</f>
        <v/>
      </c>
      <c r="AU843">
        <f>'T_TTAFStock'!AS12</f>
        <v/>
      </c>
      <c r="AV843">
        <f>'T_TTAFStock'!AT12</f>
        <v/>
      </c>
      <c r="AW843">
        <f>'T_TTAFStock'!AU12</f>
        <v/>
      </c>
      <c r="AX843">
        <f>'T_TTAFStock'!AV12</f>
        <v/>
      </c>
      <c r="AY843">
        <f>'T_TTAFStock'!AW12</f>
        <v/>
      </c>
      <c r="AZ843">
        <f>'T_TTAFStock'!AX12</f>
        <v/>
      </c>
      <c r="BA843">
        <f>'T_TTAFStock'!AY12</f>
        <v/>
      </c>
      <c r="BB843">
        <f>'T_TTAFStock'!AZ12</f>
        <v/>
      </c>
      <c r="BC843">
        <f>'T_TTAFStock'!BA12</f>
        <v/>
      </c>
      <c r="BD843">
        <f>'T_TTAFStock'!BB12</f>
        <v/>
      </c>
      <c r="BE843">
        <f>'T_TTAFStock'!BC12</f>
        <v/>
      </c>
      <c r="BF843">
        <f>'T_TTAFStock'!BD12</f>
        <v/>
      </c>
      <c r="BG843">
        <f>'T_TTAFStock'!BE12</f>
        <v/>
      </c>
      <c r="BH843">
        <f>'T_TTAFStock'!BF12</f>
        <v/>
      </c>
      <c r="BI843">
        <f>'T_TTAFStock'!BG12</f>
        <v/>
      </c>
      <c r="BJ843">
        <f>'T_TTAFStock'!BH12</f>
        <v/>
      </c>
      <c r="BK843">
        <f>'T_TTAFStock'!BI12</f>
        <v/>
      </c>
      <c r="BL843">
        <f>'T_TTAFStock'!BJ12</f>
        <v/>
      </c>
      <c r="BM843">
        <f>'T_TTAFStock'!BK12</f>
        <v/>
      </c>
      <c r="BN843">
        <f>'T_TTAFStock'!BL12</f>
        <v/>
      </c>
      <c r="BO843">
        <f>'T_TTAFStock'!BM12</f>
        <v/>
      </c>
      <c r="BP843">
        <f>'T_TTAFStock'!BN12</f>
        <v/>
      </c>
      <c r="BQ843">
        <f>'T_TTAFStock'!BO12</f>
        <v/>
      </c>
      <c r="BR843">
        <f>'T_TTAFStock'!BP12</f>
        <v/>
      </c>
      <c r="BS843">
        <f>'T_TTAFStock'!BQ12</f>
        <v/>
      </c>
      <c r="BT843">
        <f>'T_TTAFStock'!BR12</f>
        <v/>
      </c>
      <c r="BU843">
        <f>'T_TTAFStock'!BS12</f>
        <v/>
      </c>
      <c r="BV843">
        <f>'T_TTAFStock'!BT12</f>
        <v/>
      </c>
      <c r="BW843">
        <f>'T_TTAFStock'!BU12</f>
        <v/>
      </c>
      <c r="BX843">
        <f>'T_TTAFStock'!BV12</f>
        <v/>
      </c>
      <c r="BY843">
        <f>'T_TTAFStock'!BW12</f>
        <v/>
      </c>
      <c r="BZ843">
        <f>'T_TTAFStock'!BX12</f>
        <v/>
      </c>
      <c r="CA843">
        <f>'T_TTAFStock'!BY12</f>
        <v/>
      </c>
      <c r="CB843">
        <f>'T_TTAFStock'!BZ12</f>
        <v/>
      </c>
      <c r="CC843">
        <f>'T_TTAFStock'!CA12</f>
        <v/>
      </c>
      <c r="CD843">
        <f>'T_TTAFStock'!CB12</f>
        <v/>
      </c>
      <c r="CE843">
        <f>'T_TTAFStock'!CC12</f>
        <v/>
      </c>
      <c r="CF843">
        <f>'T_TTAFStock'!CD12</f>
        <v/>
      </c>
      <c r="CG843">
        <f>'T_TTAFStock'!CE12</f>
        <v/>
      </c>
      <c r="CH843">
        <f>'T_TTAFStock'!CF12</f>
        <v/>
      </c>
      <c r="CI843">
        <f>'T_TTAFStock'!CG12</f>
        <v/>
      </c>
      <c r="CJ843">
        <f>'T_TTAFStock'!CH12</f>
        <v/>
      </c>
      <c r="CK843">
        <f>'T_TTAFStock'!CI12</f>
        <v/>
      </c>
      <c r="CL843">
        <f>'T_TTAFStock'!CJ12</f>
        <v/>
      </c>
      <c r="CM843">
        <f>'T_TTAFStock'!CK12</f>
        <v/>
      </c>
      <c r="CN843">
        <f>'T_TTAFStock'!CL12</f>
        <v/>
      </c>
      <c r="CO843">
        <f>'T_TTAFStock'!CM12</f>
        <v/>
      </c>
      <c r="CP843">
        <f>'T_TTAFStock'!CN12</f>
        <v/>
      </c>
      <c r="CQ843">
        <f>'T_TTAFStock'!CO12</f>
        <v/>
      </c>
      <c r="CR843">
        <f>'T_TTAFStock'!CP12</f>
        <v/>
      </c>
      <c r="CS843">
        <f>'T_TTAFStock'!CQ12</f>
        <v/>
      </c>
      <c r="CT843">
        <f>'T_TTAFStock'!CR12</f>
        <v/>
      </c>
      <c r="CU843">
        <f>'T_TTAFStock'!CS12</f>
        <v/>
      </c>
      <c r="CV843">
        <f>'T_TTAFStock'!CT12</f>
        <v/>
      </c>
      <c r="CW843">
        <f>'T_TTAFStock'!CU12</f>
        <v/>
      </c>
      <c r="CX843">
        <f>'T_TTAFStock'!CV12</f>
        <v/>
      </c>
      <c r="CY843">
        <f>'T_TTAFStock'!CW12</f>
        <v/>
      </c>
      <c r="CZ843">
        <f>'T_TTAFStock'!CX12</f>
        <v/>
      </c>
      <c r="DA843">
        <f>'T_TTAFStock'!CY12</f>
        <v/>
      </c>
      <c r="DB843">
        <f>'T_TTAFStock'!CZ12</f>
        <v/>
      </c>
      <c r="DC843">
        <f>'T_TTAFStock'!DA12</f>
        <v/>
      </c>
    </row>
    <row r="844">
      <c r="B844" t="inlineStr">
        <is>
          <t>自社在庫(実績,kg)</t>
        </is>
      </c>
      <c r="D844">
        <f>'T_SelfStock'!B12</f>
        <v/>
      </c>
      <c r="E844">
        <f>'T_SelfStock'!C12</f>
        <v/>
      </c>
      <c r="F844">
        <f>'T_SelfStock'!D12</f>
        <v/>
      </c>
      <c r="G844">
        <f>'T_SelfStock'!E12</f>
        <v/>
      </c>
      <c r="H844">
        <f>'T_SelfStock'!F12</f>
        <v/>
      </c>
      <c r="I844">
        <f>'T_SelfStock'!G12</f>
        <v/>
      </c>
      <c r="J844">
        <f>'T_SelfStock'!H12</f>
        <v/>
      </c>
      <c r="K844">
        <f>'T_SelfStock'!I12</f>
        <v/>
      </c>
      <c r="L844">
        <f>'T_SelfStock'!J12</f>
        <v/>
      </c>
      <c r="M844">
        <f>'T_SelfStock'!K12</f>
        <v/>
      </c>
      <c r="N844">
        <f>'T_SelfStock'!L12</f>
        <v/>
      </c>
      <c r="O844">
        <f>'T_SelfStock'!M12</f>
        <v/>
      </c>
      <c r="P844">
        <f>'T_SelfStock'!N12</f>
        <v/>
      </c>
      <c r="Q844">
        <f>'T_SelfStock'!O12</f>
        <v/>
      </c>
      <c r="R844">
        <f>'T_SelfStock'!P12</f>
        <v/>
      </c>
      <c r="S844">
        <f>'T_SelfStock'!Q12</f>
        <v/>
      </c>
      <c r="T844">
        <f>'T_SelfStock'!R12</f>
        <v/>
      </c>
      <c r="U844">
        <f>'T_SelfStock'!S12</f>
        <v/>
      </c>
      <c r="V844">
        <f>'T_SelfStock'!T12</f>
        <v/>
      </c>
      <c r="W844">
        <f>'T_SelfStock'!U12</f>
        <v/>
      </c>
      <c r="X844">
        <f>'T_SelfStock'!V12</f>
        <v/>
      </c>
      <c r="Y844">
        <f>'T_SelfStock'!W12</f>
        <v/>
      </c>
      <c r="Z844">
        <f>'T_SelfStock'!X12</f>
        <v/>
      </c>
      <c r="AA844">
        <f>'T_SelfStock'!Y12</f>
        <v/>
      </c>
      <c r="AB844">
        <f>'T_SelfStock'!Z12</f>
        <v/>
      </c>
      <c r="AC844">
        <f>'T_SelfStock'!AA12</f>
        <v/>
      </c>
      <c r="AD844">
        <f>'T_SelfStock'!AB12</f>
        <v/>
      </c>
      <c r="AE844">
        <f>'T_SelfStock'!AC12</f>
        <v/>
      </c>
      <c r="AF844">
        <f>'T_SelfStock'!AD12</f>
        <v/>
      </c>
      <c r="AG844">
        <f>'T_SelfStock'!AE12</f>
        <v/>
      </c>
      <c r="AH844">
        <f>'T_SelfStock'!AF12</f>
        <v/>
      </c>
      <c r="AI844">
        <f>'T_SelfStock'!AG12</f>
        <v/>
      </c>
      <c r="AJ844">
        <f>'T_SelfStock'!AH12</f>
        <v/>
      </c>
      <c r="AK844">
        <f>'T_SelfStock'!AI12</f>
        <v/>
      </c>
      <c r="AL844">
        <f>'T_SelfStock'!AJ12</f>
        <v/>
      </c>
      <c r="AM844">
        <f>'T_SelfStock'!AK12</f>
        <v/>
      </c>
      <c r="AN844">
        <f>'T_SelfStock'!AL12</f>
        <v/>
      </c>
      <c r="AO844">
        <f>'T_SelfStock'!AM12</f>
        <v/>
      </c>
      <c r="AP844">
        <f>'T_SelfStock'!AN12</f>
        <v/>
      </c>
      <c r="AQ844">
        <f>'T_SelfStock'!AO12</f>
        <v/>
      </c>
      <c r="AR844">
        <f>'T_SelfStock'!AP12</f>
        <v/>
      </c>
      <c r="AS844">
        <f>'T_SelfStock'!AQ12</f>
        <v/>
      </c>
      <c r="AT844">
        <f>'T_SelfStock'!AR12</f>
        <v/>
      </c>
      <c r="AU844">
        <f>'T_SelfStock'!AS12</f>
        <v/>
      </c>
      <c r="AV844">
        <f>'T_SelfStock'!AT12</f>
        <v/>
      </c>
      <c r="AW844">
        <f>'T_SelfStock'!AU12</f>
        <v/>
      </c>
      <c r="AX844">
        <f>'T_SelfStock'!AV12</f>
        <v/>
      </c>
      <c r="AY844">
        <f>'T_SelfStock'!AW12</f>
        <v/>
      </c>
      <c r="AZ844">
        <f>'T_SelfStock'!AX12</f>
        <v/>
      </c>
      <c r="BA844">
        <f>'T_SelfStock'!AY12</f>
        <v/>
      </c>
      <c r="BB844">
        <f>'T_SelfStock'!AZ12</f>
        <v/>
      </c>
      <c r="BC844">
        <f>'T_SelfStock'!BA12</f>
        <v/>
      </c>
      <c r="BD844">
        <f>'T_SelfStock'!BB12</f>
        <v/>
      </c>
      <c r="BE844">
        <f>'T_SelfStock'!BC12</f>
        <v/>
      </c>
      <c r="BF844">
        <f>'T_SelfStock'!BD12</f>
        <v/>
      </c>
      <c r="BG844">
        <f>'T_SelfStock'!BE12</f>
        <v/>
      </c>
      <c r="BH844">
        <f>'T_SelfStock'!BF12</f>
        <v/>
      </c>
      <c r="BI844">
        <f>'T_SelfStock'!BG12</f>
        <v/>
      </c>
      <c r="BJ844">
        <f>'T_SelfStock'!BH12</f>
        <v/>
      </c>
      <c r="BK844">
        <f>'T_SelfStock'!BI12</f>
        <v/>
      </c>
      <c r="BL844">
        <f>'T_SelfStock'!BJ12</f>
        <v/>
      </c>
      <c r="BM844">
        <f>'T_SelfStock'!BK12</f>
        <v/>
      </c>
      <c r="BN844">
        <f>'T_SelfStock'!BL12</f>
        <v/>
      </c>
      <c r="BO844">
        <f>'T_SelfStock'!BM12</f>
        <v/>
      </c>
      <c r="BP844">
        <f>'T_SelfStock'!BN12</f>
        <v/>
      </c>
      <c r="BQ844">
        <f>'T_SelfStock'!BO12</f>
        <v/>
      </c>
      <c r="BR844">
        <f>'T_SelfStock'!BP12</f>
        <v/>
      </c>
      <c r="BS844">
        <f>'T_SelfStock'!BQ12</f>
        <v/>
      </c>
      <c r="BT844">
        <f>'T_SelfStock'!BR12</f>
        <v/>
      </c>
      <c r="BU844">
        <f>'T_SelfStock'!BS12</f>
        <v/>
      </c>
      <c r="BV844">
        <f>'T_SelfStock'!BT12</f>
        <v/>
      </c>
      <c r="BW844">
        <f>'T_SelfStock'!BU12</f>
        <v/>
      </c>
      <c r="BX844">
        <f>'T_SelfStock'!BV12</f>
        <v/>
      </c>
      <c r="BY844">
        <f>'T_SelfStock'!BW12</f>
        <v/>
      </c>
      <c r="BZ844">
        <f>'T_SelfStock'!BX12</f>
        <v/>
      </c>
      <c r="CA844">
        <f>'T_SelfStock'!BY12</f>
        <v/>
      </c>
      <c r="CB844">
        <f>'T_SelfStock'!BZ12</f>
        <v/>
      </c>
      <c r="CC844">
        <f>'T_SelfStock'!CA12</f>
        <v/>
      </c>
      <c r="CD844">
        <f>'T_SelfStock'!CB12</f>
        <v/>
      </c>
      <c r="CE844">
        <f>'T_SelfStock'!CC12</f>
        <v/>
      </c>
      <c r="CF844">
        <f>'T_SelfStock'!CD12</f>
        <v/>
      </c>
      <c r="CG844">
        <f>'T_SelfStock'!CE12</f>
        <v/>
      </c>
      <c r="CH844">
        <f>'T_SelfStock'!CF12</f>
        <v/>
      </c>
      <c r="CI844">
        <f>'T_SelfStock'!CG12</f>
        <v/>
      </c>
      <c r="CJ844">
        <f>'T_SelfStock'!CH12</f>
        <v/>
      </c>
      <c r="CK844">
        <f>'T_SelfStock'!CI12</f>
        <v/>
      </c>
      <c r="CL844">
        <f>'T_SelfStock'!CJ12</f>
        <v/>
      </c>
      <c r="CM844">
        <f>'T_SelfStock'!CK12</f>
        <v/>
      </c>
      <c r="CN844">
        <f>'T_SelfStock'!CL12</f>
        <v/>
      </c>
      <c r="CO844">
        <f>'T_SelfStock'!CM12</f>
        <v/>
      </c>
      <c r="CP844">
        <f>'T_SelfStock'!CN12</f>
        <v/>
      </c>
      <c r="CQ844">
        <f>'T_SelfStock'!CO12</f>
        <v/>
      </c>
      <c r="CR844">
        <f>'T_SelfStock'!CP12</f>
        <v/>
      </c>
      <c r="CS844">
        <f>'T_SelfStock'!CQ12</f>
        <v/>
      </c>
      <c r="CT844">
        <f>'T_SelfStock'!CR12</f>
        <v/>
      </c>
      <c r="CU844">
        <f>'T_SelfStock'!CS12</f>
        <v/>
      </c>
      <c r="CV844">
        <f>'T_SelfStock'!CT12</f>
        <v/>
      </c>
      <c r="CW844">
        <f>'T_SelfStock'!CU12</f>
        <v/>
      </c>
      <c r="CX844">
        <f>'T_SelfStock'!CV12</f>
        <v/>
      </c>
      <c r="CY844">
        <f>'T_SelfStock'!CW12</f>
        <v/>
      </c>
      <c r="CZ844">
        <f>'T_SelfStock'!CX12</f>
        <v/>
      </c>
      <c r="DA844">
        <f>'T_SelfStock'!CY12</f>
        <v/>
      </c>
      <c r="DB844">
        <f>'T_SelfStock'!CZ12</f>
        <v/>
      </c>
      <c r="DC844">
        <f>'T_SelfStock'!DA12</f>
        <v/>
      </c>
    </row>
    <row r="845">
      <c r="B845" t="inlineStr">
        <is>
          <t>Order(発注予定,kg)</t>
        </is>
      </c>
      <c r="D845">
        <f>IF(SUMIFS(T_PlannedOrders[EffectiveQty],T_PlannedOrders[Part Name],$A835,T_PlannedOrders[WeekIndex],1)=0,"",SUMIFS(T_PlannedOrders[EffectiveQty],T_PlannedOrders[Part Name],$A835,T_PlannedOrders[WeekIndex],1)&amp;" ("&amp;TEXT(SUMPRODUCT(MAX((T_PlannedOrders[Part Name]=$A835)*(T_PlannedOrders[WeekIndex]=1)*(T_PlannedOrders[EffectiveQty]&gt;0)*T_PlannedOrders[Order_Month])),"m月")&amp;"発注)")</f>
        <v/>
      </c>
      <c r="E845">
        <f>IF(SUMIFS(T_PlannedOrders[EffectiveQty],T_PlannedOrders[Part Name],$A835,T_PlannedOrders[WeekIndex],2)=0,"",SUMIFS(T_PlannedOrders[EffectiveQty],T_PlannedOrders[Part Name],$A835,T_PlannedOrders[WeekIndex],2)&amp;" ("&amp;TEXT(SUMPRODUCT(MAX((T_PlannedOrders[Part Name]=$A835)*(T_PlannedOrders[WeekIndex]=2)*(T_PlannedOrders[EffectiveQty]&gt;0)*T_PlannedOrders[Order_Month])),"m月")&amp;"発注)")</f>
        <v/>
      </c>
      <c r="F845">
        <f>IF(SUMIFS(T_PlannedOrders[EffectiveQty],T_PlannedOrders[Part Name],$A835,T_PlannedOrders[WeekIndex],3)=0,"",SUMIFS(T_PlannedOrders[EffectiveQty],T_PlannedOrders[Part Name],$A835,T_PlannedOrders[WeekIndex],3)&amp;" ("&amp;TEXT(SUMPRODUCT(MAX((T_PlannedOrders[Part Name]=$A835)*(T_PlannedOrders[WeekIndex]=3)*(T_PlannedOrders[EffectiveQty]&gt;0)*T_PlannedOrders[Order_Month])),"m月")&amp;"発注)")</f>
        <v/>
      </c>
      <c r="G845">
        <f>IF(SUMIFS(T_PlannedOrders[EffectiveQty],T_PlannedOrders[Part Name],$A835,T_PlannedOrders[WeekIndex],4)=0,"",SUMIFS(T_PlannedOrders[EffectiveQty],T_PlannedOrders[Part Name],$A835,T_PlannedOrders[WeekIndex],4)&amp;" ("&amp;TEXT(SUMPRODUCT(MAX((T_PlannedOrders[Part Name]=$A835)*(T_PlannedOrders[WeekIndex]=4)*(T_PlannedOrders[EffectiveQty]&gt;0)*T_PlannedOrders[Order_Month])),"m月")&amp;"発注)")</f>
        <v/>
      </c>
      <c r="H845">
        <f>IF(SUMIFS(T_PlannedOrders[EffectiveQty],T_PlannedOrders[Part Name],$A835,T_PlannedOrders[WeekIndex],5)=0,"",SUMIFS(T_PlannedOrders[EffectiveQty],T_PlannedOrders[Part Name],$A835,T_PlannedOrders[WeekIndex],5)&amp;" ("&amp;TEXT(SUMPRODUCT(MAX((T_PlannedOrders[Part Name]=$A835)*(T_PlannedOrders[WeekIndex]=5)*(T_PlannedOrders[EffectiveQty]&gt;0)*T_PlannedOrders[Order_Month])),"m月")&amp;"発注)")</f>
        <v/>
      </c>
      <c r="I845">
        <f>IF(SUMIFS(T_PlannedOrders[EffectiveQty],T_PlannedOrders[Part Name],$A835,T_PlannedOrders[WeekIndex],6)=0,"",SUMIFS(T_PlannedOrders[EffectiveQty],T_PlannedOrders[Part Name],$A835,T_PlannedOrders[WeekIndex],6)&amp;" ("&amp;TEXT(SUMPRODUCT(MAX((T_PlannedOrders[Part Name]=$A835)*(T_PlannedOrders[WeekIndex]=6)*(T_PlannedOrders[EffectiveQty]&gt;0)*T_PlannedOrders[Order_Month])),"m月")&amp;"発注)")</f>
        <v/>
      </c>
      <c r="J845">
        <f>IF(SUMIFS(T_PlannedOrders[EffectiveQty],T_PlannedOrders[Part Name],$A835,T_PlannedOrders[WeekIndex],7)=0,"",SUMIFS(T_PlannedOrders[EffectiveQty],T_PlannedOrders[Part Name],$A835,T_PlannedOrders[WeekIndex],7)&amp;" ("&amp;TEXT(SUMPRODUCT(MAX((T_PlannedOrders[Part Name]=$A835)*(T_PlannedOrders[WeekIndex]=7)*(T_PlannedOrders[EffectiveQty]&gt;0)*T_PlannedOrders[Order_Month])),"m月")&amp;"発注)")</f>
        <v/>
      </c>
      <c r="K845">
        <f>IF(SUMIFS(T_PlannedOrders[EffectiveQty],T_PlannedOrders[Part Name],$A835,T_PlannedOrders[WeekIndex],8)=0,"",SUMIFS(T_PlannedOrders[EffectiveQty],T_PlannedOrders[Part Name],$A835,T_PlannedOrders[WeekIndex],8)&amp;" ("&amp;TEXT(SUMPRODUCT(MAX((T_PlannedOrders[Part Name]=$A835)*(T_PlannedOrders[WeekIndex]=8)*(T_PlannedOrders[EffectiveQty]&gt;0)*T_PlannedOrders[Order_Month])),"m月")&amp;"発注)")</f>
        <v/>
      </c>
      <c r="L845">
        <f>IF(SUMIFS(T_PlannedOrders[EffectiveQty],T_PlannedOrders[Part Name],$A835,T_PlannedOrders[WeekIndex],9)=0,"",SUMIFS(T_PlannedOrders[EffectiveQty],T_PlannedOrders[Part Name],$A835,T_PlannedOrders[WeekIndex],9)&amp;" ("&amp;TEXT(SUMPRODUCT(MAX((T_PlannedOrders[Part Name]=$A835)*(T_PlannedOrders[WeekIndex]=9)*(T_PlannedOrders[EffectiveQty]&gt;0)*T_PlannedOrders[Order_Month])),"m月")&amp;"発注)")</f>
        <v/>
      </c>
      <c r="M845">
        <f>IF(SUMIFS(T_PlannedOrders[EffectiveQty],T_PlannedOrders[Part Name],$A835,T_PlannedOrders[WeekIndex],10)=0,"",SUMIFS(T_PlannedOrders[EffectiveQty],T_PlannedOrders[Part Name],$A835,T_PlannedOrders[WeekIndex],10)&amp;" ("&amp;TEXT(SUMPRODUCT(MAX((T_PlannedOrders[Part Name]=$A835)*(T_PlannedOrders[WeekIndex]=10)*(T_PlannedOrders[EffectiveQty]&gt;0)*T_PlannedOrders[Order_Month])),"m月")&amp;"発注)")</f>
        <v/>
      </c>
      <c r="N845">
        <f>IF(SUMIFS(T_PlannedOrders[EffectiveQty],T_PlannedOrders[Part Name],$A835,T_PlannedOrders[WeekIndex],11)=0,"",SUMIFS(T_PlannedOrders[EffectiveQty],T_PlannedOrders[Part Name],$A835,T_PlannedOrders[WeekIndex],11)&amp;" ("&amp;TEXT(SUMPRODUCT(MAX((T_PlannedOrders[Part Name]=$A835)*(T_PlannedOrders[WeekIndex]=11)*(T_PlannedOrders[EffectiveQty]&gt;0)*T_PlannedOrders[Order_Month])),"m月")&amp;"発注)")</f>
        <v/>
      </c>
      <c r="O845">
        <f>IF(SUMIFS(T_PlannedOrders[EffectiveQty],T_PlannedOrders[Part Name],$A835,T_PlannedOrders[WeekIndex],12)=0,"",SUMIFS(T_PlannedOrders[EffectiveQty],T_PlannedOrders[Part Name],$A835,T_PlannedOrders[WeekIndex],12)&amp;" ("&amp;TEXT(SUMPRODUCT(MAX((T_PlannedOrders[Part Name]=$A835)*(T_PlannedOrders[WeekIndex]=12)*(T_PlannedOrders[EffectiveQty]&gt;0)*T_PlannedOrders[Order_Month])),"m月")&amp;"発注)")</f>
        <v/>
      </c>
      <c r="P845">
        <f>IF(SUMIFS(T_PlannedOrders[EffectiveQty],T_PlannedOrders[Part Name],$A835,T_PlannedOrders[WeekIndex],13)=0,"",SUMIFS(T_PlannedOrders[EffectiveQty],T_PlannedOrders[Part Name],$A835,T_PlannedOrders[WeekIndex],13)&amp;" ("&amp;TEXT(SUMPRODUCT(MAX((T_PlannedOrders[Part Name]=$A835)*(T_PlannedOrders[WeekIndex]=13)*(T_PlannedOrders[EffectiveQty]&gt;0)*T_PlannedOrders[Order_Month])),"m月")&amp;"発注)")</f>
        <v/>
      </c>
      <c r="Q845">
        <f>IF(SUMIFS(T_PlannedOrders[EffectiveQty],T_PlannedOrders[Part Name],$A835,T_PlannedOrders[WeekIndex],14)=0,"",SUMIFS(T_PlannedOrders[EffectiveQty],T_PlannedOrders[Part Name],$A835,T_PlannedOrders[WeekIndex],14)&amp;" ("&amp;TEXT(SUMPRODUCT(MAX((T_PlannedOrders[Part Name]=$A835)*(T_PlannedOrders[WeekIndex]=14)*(T_PlannedOrders[EffectiveQty]&gt;0)*T_PlannedOrders[Order_Month])),"m月")&amp;"発注)")</f>
        <v/>
      </c>
      <c r="R845">
        <f>IF(SUMIFS(T_PlannedOrders[EffectiveQty],T_PlannedOrders[Part Name],$A835,T_PlannedOrders[WeekIndex],15)=0,"",SUMIFS(T_PlannedOrders[EffectiveQty],T_PlannedOrders[Part Name],$A835,T_PlannedOrders[WeekIndex],15)&amp;" ("&amp;TEXT(SUMPRODUCT(MAX((T_PlannedOrders[Part Name]=$A835)*(T_PlannedOrders[WeekIndex]=15)*(T_PlannedOrders[EffectiveQty]&gt;0)*T_PlannedOrders[Order_Month])),"m月")&amp;"発注)")</f>
        <v/>
      </c>
      <c r="S845">
        <f>IF(SUMIFS(T_PlannedOrders[EffectiveQty],T_PlannedOrders[Part Name],$A835,T_PlannedOrders[WeekIndex],16)=0,"",SUMIFS(T_PlannedOrders[EffectiveQty],T_PlannedOrders[Part Name],$A835,T_PlannedOrders[WeekIndex],16)&amp;" ("&amp;TEXT(SUMPRODUCT(MAX((T_PlannedOrders[Part Name]=$A835)*(T_PlannedOrders[WeekIndex]=16)*(T_PlannedOrders[EffectiveQty]&gt;0)*T_PlannedOrders[Order_Month])),"m月")&amp;"発注)")</f>
        <v/>
      </c>
      <c r="T845">
        <f>IF(SUMIFS(T_PlannedOrders[EffectiveQty],T_PlannedOrders[Part Name],$A835,T_PlannedOrders[WeekIndex],17)=0,"",SUMIFS(T_PlannedOrders[EffectiveQty],T_PlannedOrders[Part Name],$A835,T_PlannedOrders[WeekIndex],17)&amp;" ("&amp;TEXT(SUMPRODUCT(MAX((T_PlannedOrders[Part Name]=$A835)*(T_PlannedOrders[WeekIndex]=17)*(T_PlannedOrders[EffectiveQty]&gt;0)*T_PlannedOrders[Order_Month])),"m月")&amp;"発注)")</f>
        <v/>
      </c>
      <c r="U845">
        <f>IF(SUMIFS(T_PlannedOrders[EffectiveQty],T_PlannedOrders[Part Name],$A835,T_PlannedOrders[WeekIndex],18)=0,"",SUMIFS(T_PlannedOrders[EffectiveQty],T_PlannedOrders[Part Name],$A835,T_PlannedOrders[WeekIndex],18)&amp;" ("&amp;TEXT(SUMPRODUCT(MAX((T_PlannedOrders[Part Name]=$A835)*(T_PlannedOrders[WeekIndex]=18)*(T_PlannedOrders[EffectiveQty]&gt;0)*T_PlannedOrders[Order_Month])),"m月")&amp;"発注)")</f>
        <v/>
      </c>
      <c r="V845">
        <f>IF(SUMIFS(T_PlannedOrders[EffectiveQty],T_PlannedOrders[Part Name],$A835,T_PlannedOrders[WeekIndex],19)=0,"",SUMIFS(T_PlannedOrders[EffectiveQty],T_PlannedOrders[Part Name],$A835,T_PlannedOrders[WeekIndex],19)&amp;" ("&amp;TEXT(SUMPRODUCT(MAX((T_PlannedOrders[Part Name]=$A835)*(T_PlannedOrders[WeekIndex]=19)*(T_PlannedOrders[EffectiveQty]&gt;0)*T_PlannedOrders[Order_Month])),"m月")&amp;"発注)")</f>
        <v/>
      </c>
      <c r="W845">
        <f>IF(SUMIFS(T_PlannedOrders[EffectiveQty],T_PlannedOrders[Part Name],$A835,T_PlannedOrders[WeekIndex],20)=0,"",SUMIFS(T_PlannedOrders[EffectiveQty],T_PlannedOrders[Part Name],$A835,T_PlannedOrders[WeekIndex],20)&amp;" ("&amp;TEXT(SUMPRODUCT(MAX((T_PlannedOrders[Part Name]=$A835)*(T_PlannedOrders[WeekIndex]=20)*(T_PlannedOrders[EffectiveQty]&gt;0)*T_PlannedOrders[Order_Month])),"m月")&amp;"発注)")</f>
        <v/>
      </c>
      <c r="X845">
        <f>IF(SUMIFS(T_PlannedOrders[EffectiveQty],T_PlannedOrders[Part Name],$A835,T_PlannedOrders[WeekIndex],21)=0,"",SUMIFS(T_PlannedOrders[EffectiveQty],T_PlannedOrders[Part Name],$A835,T_PlannedOrders[WeekIndex],21)&amp;" ("&amp;TEXT(SUMPRODUCT(MAX((T_PlannedOrders[Part Name]=$A835)*(T_PlannedOrders[WeekIndex]=21)*(T_PlannedOrders[EffectiveQty]&gt;0)*T_PlannedOrders[Order_Month])),"m月")&amp;"発注)")</f>
        <v/>
      </c>
      <c r="Y845">
        <f>IF(SUMIFS(T_PlannedOrders[EffectiveQty],T_PlannedOrders[Part Name],$A835,T_PlannedOrders[WeekIndex],22)=0,"",SUMIFS(T_PlannedOrders[EffectiveQty],T_PlannedOrders[Part Name],$A835,T_PlannedOrders[WeekIndex],22)&amp;" ("&amp;TEXT(SUMPRODUCT(MAX((T_PlannedOrders[Part Name]=$A835)*(T_PlannedOrders[WeekIndex]=22)*(T_PlannedOrders[EffectiveQty]&gt;0)*T_PlannedOrders[Order_Month])),"m月")&amp;"発注)")</f>
        <v/>
      </c>
      <c r="Z845">
        <f>IF(SUMIFS(T_PlannedOrders[EffectiveQty],T_PlannedOrders[Part Name],$A835,T_PlannedOrders[WeekIndex],23)=0,"",SUMIFS(T_PlannedOrders[EffectiveQty],T_PlannedOrders[Part Name],$A835,T_PlannedOrders[WeekIndex],23)&amp;" ("&amp;TEXT(SUMPRODUCT(MAX((T_PlannedOrders[Part Name]=$A835)*(T_PlannedOrders[WeekIndex]=23)*(T_PlannedOrders[EffectiveQty]&gt;0)*T_PlannedOrders[Order_Month])),"m月")&amp;"発注)")</f>
        <v/>
      </c>
      <c r="AA845">
        <f>IF(SUMIFS(T_PlannedOrders[EffectiveQty],T_PlannedOrders[Part Name],$A835,T_PlannedOrders[WeekIndex],24)=0,"",SUMIFS(T_PlannedOrders[EffectiveQty],T_PlannedOrders[Part Name],$A835,T_PlannedOrders[WeekIndex],24)&amp;" ("&amp;TEXT(SUMPRODUCT(MAX((T_PlannedOrders[Part Name]=$A835)*(T_PlannedOrders[WeekIndex]=24)*(T_PlannedOrders[EffectiveQty]&gt;0)*T_PlannedOrders[Order_Month])),"m月")&amp;"発注)")</f>
        <v/>
      </c>
      <c r="AB845">
        <f>IF(SUMIFS(T_PlannedOrders[EffectiveQty],T_PlannedOrders[Part Name],$A835,T_PlannedOrders[WeekIndex],25)=0,"",SUMIFS(T_PlannedOrders[EffectiveQty],T_PlannedOrders[Part Name],$A835,T_PlannedOrders[WeekIndex],25)&amp;" ("&amp;TEXT(SUMPRODUCT(MAX((T_PlannedOrders[Part Name]=$A835)*(T_PlannedOrders[WeekIndex]=25)*(T_PlannedOrders[EffectiveQty]&gt;0)*T_PlannedOrders[Order_Month])),"m月")&amp;"発注)")</f>
        <v/>
      </c>
      <c r="AC845">
        <f>IF(SUMIFS(T_PlannedOrders[EffectiveQty],T_PlannedOrders[Part Name],$A835,T_PlannedOrders[WeekIndex],26)=0,"",SUMIFS(T_PlannedOrders[EffectiveQty],T_PlannedOrders[Part Name],$A835,T_PlannedOrders[WeekIndex],26)&amp;" ("&amp;TEXT(SUMPRODUCT(MAX((T_PlannedOrders[Part Name]=$A835)*(T_PlannedOrders[WeekIndex]=26)*(T_PlannedOrders[EffectiveQty]&gt;0)*T_PlannedOrders[Order_Month])),"m月")&amp;"発注)")</f>
        <v/>
      </c>
      <c r="AD845">
        <f>IF(SUMIFS(T_PlannedOrders[EffectiveQty],T_PlannedOrders[Part Name],$A835,T_PlannedOrders[WeekIndex],27)=0,"",SUMIFS(T_PlannedOrders[EffectiveQty],T_PlannedOrders[Part Name],$A835,T_PlannedOrders[WeekIndex],27)&amp;" ("&amp;TEXT(SUMPRODUCT(MAX((T_PlannedOrders[Part Name]=$A835)*(T_PlannedOrders[WeekIndex]=27)*(T_PlannedOrders[EffectiveQty]&gt;0)*T_PlannedOrders[Order_Month])),"m月")&amp;"発注)")</f>
        <v/>
      </c>
      <c r="AE845">
        <f>IF(SUMIFS(T_PlannedOrders[EffectiveQty],T_PlannedOrders[Part Name],$A835,T_PlannedOrders[WeekIndex],28)=0,"",SUMIFS(T_PlannedOrders[EffectiveQty],T_PlannedOrders[Part Name],$A835,T_PlannedOrders[WeekIndex],28)&amp;" ("&amp;TEXT(SUMPRODUCT(MAX((T_PlannedOrders[Part Name]=$A835)*(T_PlannedOrders[WeekIndex]=28)*(T_PlannedOrders[EffectiveQty]&gt;0)*T_PlannedOrders[Order_Month])),"m月")&amp;"発注)")</f>
        <v/>
      </c>
      <c r="AF845">
        <f>IF(SUMIFS(T_PlannedOrders[EffectiveQty],T_PlannedOrders[Part Name],$A835,T_PlannedOrders[WeekIndex],29)=0,"",SUMIFS(T_PlannedOrders[EffectiveQty],T_PlannedOrders[Part Name],$A835,T_PlannedOrders[WeekIndex],29)&amp;" ("&amp;TEXT(SUMPRODUCT(MAX((T_PlannedOrders[Part Name]=$A835)*(T_PlannedOrders[WeekIndex]=29)*(T_PlannedOrders[EffectiveQty]&gt;0)*T_PlannedOrders[Order_Month])),"m月")&amp;"発注)")</f>
        <v/>
      </c>
      <c r="AG845">
        <f>IF(SUMIFS(T_PlannedOrders[EffectiveQty],T_PlannedOrders[Part Name],$A835,T_PlannedOrders[WeekIndex],30)=0,"",SUMIFS(T_PlannedOrders[EffectiveQty],T_PlannedOrders[Part Name],$A835,T_PlannedOrders[WeekIndex],30)&amp;" ("&amp;TEXT(SUMPRODUCT(MAX((T_PlannedOrders[Part Name]=$A835)*(T_PlannedOrders[WeekIndex]=30)*(T_PlannedOrders[EffectiveQty]&gt;0)*T_PlannedOrders[Order_Month])),"m月")&amp;"発注)")</f>
        <v/>
      </c>
      <c r="AH845">
        <f>IF(SUMIFS(T_PlannedOrders[EffectiveQty],T_PlannedOrders[Part Name],$A835,T_PlannedOrders[WeekIndex],31)=0,"",SUMIFS(T_PlannedOrders[EffectiveQty],T_PlannedOrders[Part Name],$A835,T_PlannedOrders[WeekIndex],31)&amp;" ("&amp;TEXT(SUMPRODUCT(MAX((T_PlannedOrders[Part Name]=$A835)*(T_PlannedOrders[WeekIndex]=31)*(T_PlannedOrders[EffectiveQty]&gt;0)*T_PlannedOrders[Order_Month])),"m月")&amp;"発注)")</f>
        <v/>
      </c>
      <c r="AI845">
        <f>IF(SUMIFS(T_PlannedOrders[EffectiveQty],T_PlannedOrders[Part Name],$A835,T_PlannedOrders[WeekIndex],32)=0,"",SUMIFS(T_PlannedOrders[EffectiveQty],T_PlannedOrders[Part Name],$A835,T_PlannedOrders[WeekIndex],32)&amp;" ("&amp;TEXT(SUMPRODUCT(MAX((T_PlannedOrders[Part Name]=$A835)*(T_PlannedOrders[WeekIndex]=32)*(T_PlannedOrders[EffectiveQty]&gt;0)*T_PlannedOrders[Order_Month])),"m月")&amp;"発注)")</f>
        <v/>
      </c>
      <c r="AJ845">
        <f>IF(SUMIFS(T_PlannedOrders[EffectiveQty],T_PlannedOrders[Part Name],$A835,T_PlannedOrders[WeekIndex],33)=0,"",SUMIFS(T_PlannedOrders[EffectiveQty],T_PlannedOrders[Part Name],$A835,T_PlannedOrders[WeekIndex],33)&amp;" ("&amp;TEXT(SUMPRODUCT(MAX((T_PlannedOrders[Part Name]=$A835)*(T_PlannedOrders[WeekIndex]=33)*(T_PlannedOrders[EffectiveQty]&gt;0)*T_PlannedOrders[Order_Month])),"m月")&amp;"発注)")</f>
        <v/>
      </c>
      <c r="AK845">
        <f>IF(SUMIFS(T_PlannedOrders[EffectiveQty],T_PlannedOrders[Part Name],$A835,T_PlannedOrders[WeekIndex],34)=0,"",SUMIFS(T_PlannedOrders[EffectiveQty],T_PlannedOrders[Part Name],$A835,T_PlannedOrders[WeekIndex],34)&amp;" ("&amp;TEXT(SUMPRODUCT(MAX((T_PlannedOrders[Part Name]=$A835)*(T_PlannedOrders[WeekIndex]=34)*(T_PlannedOrders[EffectiveQty]&gt;0)*T_PlannedOrders[Order_Month])),"m月")&amp;"発注)")</f>
        <v/>
      </c>
      <c r="AL845">
        <f>IF(SUMIFS(T_PlannedOrders[EffectiveQty],T_PlannedOrders[Part Name],$A835,T_PlannedOrders[WeekIndex],35)=0,"",SUMIFS(T_PlannedOrders[EffectiveQty],T_PlannedOrders[Part Name],$A835,T_PlannedOrders[WeekIndex],35)&amp;" ("&amp;TEXT(SUMPRODUCT(MAX((T_PlannedOrders[Part Name]=$A835)*(T_PlannedOrders[WeekIndex]=35)*(T_PlannedOrders[EffectiveQty]&gt;0)*T_PlannedOrders[Order_Month])),"m月")&amp;"発注)")</f>
        <v/>
      </c>
      <c r="AM845">
        <f>IF(SUMIFS(T_PlannedOrders[EffectiveQty],T_PlannedOrders[Part Name],$A835,T_PlannedOrders[WeekIndex],36)=0,"",SUMIFS(T_PlannedOrders[EffectiveQty],T_PlannedOrders[Part Name],$A835,T_PlannedOrders[WeekIndex],36)&amp;" ("&amp;TEXT(SUMPRODUCT(MAX((T_PlannedOrders[Part Name]=$A835)*(T_PlannedOrders[WeekIndex]=36)*(T_PlannedOrders[EffectiveQty]&gt;0)*T_PlannedOrders[Order_Month])),"m月")&amp;"発注)")</f>
        <v/>
      </c>
      <c r="AN845">
        <f>IF(SUMIFS(T_PlannedOrders[EffectiveQty],T_PlannedOrders[Part Name],$A835,T_PlannedOrders[WeekIndex],37)=0,"",SUMIFS(T_PlannedOrders[EffectiveQty],T_PlannedOrders[Part Name],$A835,T_PlannedOrders[WeekIndex],37)&amp;" ("&amp;TEXT(SUMPRODUCT(MAX((T_PlannedOrders[Part Name]=$A835)*(T_PlannedOrders[WeekIndex]=37)*(T_PlannedOrders[EffectiveQty]&gt;0)*T_PlannedOrders[Order_Month])),"m月")&amp;"発注)")</f>
        <v/>
      </c>
      <c r="AO845">
        <f>IF(SUMIFS(T_PlannedOrders[EffectiveQty],T_PlannedOrders[Part Name],$A835,T_PlannedOrders[WeekIndex],38)=0,"",SUMIFS(T_PlannedOrders[EffectiveQty],T_PlannedOrders[Part Name],$A835,T_PlannedOrders[WeekIndex],38)&amp;" ("&amp;TEXT(SUMPRODUCT(MAX((T_PlannedOrders[Part Name]=$A835)*(T_PlannedOrders[WeekIndex]=38)*(T_PlannedOrders[EffectiveQty]&gt;0)*T_PlannedOrders[Order_Month])),"m月")&amp;"発注)")</f>
        <v/>
      </c>
      <c r="AP845">
        <f>IF(SUMIFS(T_PlannedOrders[EffectiveQty],T_PlannedOrders[Part Name],$A835,T_PlannedOrders[WeekIndex],39)=0,"",SUMIFS(T_PlannedOrders[EffectiveQty],T_PlannedOrders[Part Name],$A835,T_PlannedOrders[WeekIndex],39)&amp;" ("&amp;TEXT(SUMPRODUCT(MAX((T_PlannedOrders[Part Name]=$A835)*(T_PlannedOrders[WeekIndex]=39)*(T_PlannedOrders[EffectiveQty]&gt;0)*T_PlannedOrders[Order_Month])),"m月")&amp;"発注)")</f>
        <v/>
      </c>
      <c r="AQ845">
        <f>IF(SUMIFS(T_PlannedOrders[EffectiveQty],T_PlannedOrders[Part Name],$A835,T_PlannedOrders[WeekIndex],40)=0,"",SUMIFS(T_PlannedOrders[EffectiveQty],T_PlannedOrders[Part Name],$A835,T_PlannedOrders[WeekIndex],40)&amp;" ("&amp;TEXT(SUMPRODUCT(MAX((T_PlannedOrders[Part Name]=$A835)*(T_PlannedOrders[WeekIndex]=40)*(T_PlannedOrders[EffectiveQty]&gt;0)*T_PlannedOrders[Order_Month])),"m月")&amp;"発注)")</f>
        <v/>
      </c>
      <c r="AR845">
        <f>IF(SUMIFS(T_PlannedOrders[EffectiveQty],T_PlannedOrders[Part Name],$A835,T_PlannedOrders[WeekIndex],41)=0,"",SUMIFS(T_PlannedOrders[EffectiveQty],T_PlannedOrders[Part Name],$A835,T_PlannedOrders[WeekIndex],41)&amp;" ("&amp;TEXT(SUMPRODUCT(MAX((T_PlannedOrders[Part Name]=$A835)*(T_PlannedOrders[WeekIndex]=41)*(T_PlannedOrders[EffectiveQty]&gt;0)*T_PlannedOrders[Order_Month])),"m月")&amp;"発注)")</f>
        <v/>
      </c>
      <c r="AS845">
        <f>IF(SUMIFS(T_PlannedOrders[EffectiveQty],T_PlannedOrders[Part Name],$A835,T_PlannedOrders[WeekIndex],42)=0,"",SUMIFS(T_PlannedOrders[EffectiveQty],T_PlannedOrders[Part Name],$A835,T_PlannedOrders[WeekIndex],42)&amp;" ("&amp;TEXT(SUMPRODUCT(MAX((T_PlannedOrders[Part Name]=$A835)*(T_PlannedOrders[WeekIndex]=42)*(T_PlannedOrders[EffectiveQty]&gt;0)*T_PlannedOrders[Order_Month])),"m月")&amp;"発注)")</f>
        <v/>
      </c>
      <c r="AT845">
        <f>IF(SUMIFS(T_PlannedOrders[EffectiveQty],T_PlannedOrders[Part Name],$A835,T_PlannedOrders[WeekIndex],43)=0,"",SUMIFS(T_PlannedOrders[EffectiveQty],T_PlannedOrders[Part Name],$A835,T_PlannedOrders[WeekIndex],43)&amp;" ("&amp;TEXT(SUMPRODUCT(MAX((T_PlannedOrders[Part Name]=$A835)*(T_PlannedOrders[WeekIndex]=43)*(T_PlannedOrders[EffectiveQty]&gt;0)*T_PlannedOrders[Order_Month])),"m月")&amp;"発注)")</f>
        <v/>
      </c>
      <c r="AU845">
        <f>IF(SUMIFS(T_PlannedOrders[EffectiveQty],T_PlannedOrders[Part Name],$A835,T_PlannedOrders[WeekIndex],44)=0,"",SUMIFS(T_PlannedOrders[EffectiveQty],T_PlannedOrders[Part Name],$A835,T_PlannedOrders[WeekIndex],44)&amp;" ("&amp;TEXT(SUMPRODUCT(MAX((T_PlannedOrders[Part Name]=$A835)*(T_PlannedOrders[WeekIndex]=44)*(T_PlannedOrders[EffectiveQty]&gt;0)*T_PlannedOrders[Order_Month])),"m月")&amp;"発注)")</f>
        <v/>
      </c>
      <c r="AV845">
        <f>IF(SUMIFS(T_PlannedOrders[EffectiveQty],T_PlannedOrders[Part Name],$A835,T_PlannedOrders[WeekIndex],45)=0,"",SUMIFS(T_PlannedOrders[EffectiveQty],T_PlannedOrders[Part Name],$A835,T_PlannedOrders[WeekIndex],45)&amp;" ("&amp;TEXT(SUMPRODUCT(MAX((T_PlannedOrders[Part Name]=$A835)*(T_PlannedOrders[WeekIndex]=45)*(T_PlannedOrders[EffectiveQty]&gt;0)*T_PlannedOrders[Order_Month])),"m月")&amp;"発注)")</f>
        <v/>
      </c>
      <c r="AW845">
        <f>IF(SUMIFS(T_PlannedOrders[EffectiveQty],T_PlannedOrders[Part Name],$A835,T_PlannedOrders[WeekIndex],46)=0,"",SUMIFS(T_PlannedOrders[EffectiveQty],T_PlannedOrders[Part Name],$A835,T_PlannedOrders[WeekIndex],46)&amp;" ("&amp;TEXT(SUMPRODUCT(MAX((T_PlannedOrders[Part Name]=$A835)*(T_PlannedOrders[WeekIndex]=46)*(T_PlannedOrders[EffectiveQty]&gt;0)*T_PlannedOrders[Order_Month])),"m月")&amp;"発注)")</f>
        <v/>
      </c>
      <c r="AX845">
        <f>IF(SUMIFS(T_PlannedOrders[EffectiveQty],T_PlannedOrders[Part Name],$A835,T_PlannedOrders[WeekIndex],47)=0,"",SUMIFS(T_PlannedOrders[EffectiveQty],T_PlannedOrders[Part Name],$A835,T_PlannedOrders[WeekIndex],47)&amp;" ("&amp;TEXT(SUMPRODUCT(MAX((T_PlannedOrders[Part Name]=$A835)*(T_PlannedOrders[WeekIndex]=47)*(T_PlannedOrders[EffectiveQty]&gt;0)*T_PlannedOrders[Order_Month])),"m月")&amp;"発注)")</f>
        <v/>
      </c>
      <c r="AY845">
        <f>IF(SUMIFS(T_PlannedOrders[EffectiveQty],T_PlannedOrders[Part Name],$A835,T_PlannedOrders[WeekIndex],48)=0,"",SUMIFS(T_PlannedOrders[EffectiveQty],T_PlannedOrders[Part Name],$A835,T_PlannedOrders[WeekIndex],48)&amp;" ("&amp;TEXT(SUMPRODUCT(MAX((T_PlannedOrders[Part Name]=$A835)*(T_PlannedOrders[WeekIndex]=48)*(T_PlannedOrders[EffectiveQty]&gt;0)*T_PlannedOrders[Order_Month])),"m月")&amp;"発注)")</f>
        <v/>
      </c>
      <c r="AZ845">
        <f>IF(SUMIFS(T_PlannedOrders[EffectiveQty],T_PlannedOrders[Part Name],$A835,T_PlannedOrders[WeekIndex],49)=0,"",SUMIFS(T_PlannedOrders[EffectiveQty],T_PlannedOrders[Part Name],$A835,T_PlannedOrders[WeekIndex],49)&amp;" ("&amp;TEXT(SUMPRODUCT(MAX((T_PlannedOrders[Part Name]=$A835)*(T_PlannedOrders[WeekIndex]=49)*(T_PlannedOrders[EffectiveQty]&gt;0)*T_PlannedOrders[Order_Month])),"m月")&amp;"発注)")</f>
        <v/>
      </c>
      <c r="BA845">
        <f>IF(SUMIFS(T_PlannedOrders[EffectiveQty],T_PlannedOrders[Part Name],$A835,T_PlannedOrders[WeekIndex],50)=0,"",SUMIFS(T_PlannedOrders[EffectiveQty],T_PlannedOrders[Part Name],$A835,T_PlannedOrders[WeekIndex],50)&amp;" ("&amp;TEXT(SUMPRODUCT(MAX((T_PlannedOrders[Part Name]=$A835)*(T_PlannedOrders[WeekIndex]=50)*(T_PlannedOrders[EffectiveQty]&gt;0)*T_PlannedOrders[Order_Month])),"m月")&amp;"発注)")</f>
        <v/>
      </c>
      <c r="BB845">
        <f>IF(SUMIFS(T_PlannedOrders[EffectiveQty],T_PlannedOrders[Part Name],$A835,T_PlannedOrders[WeekIndex],51)=0,"",SUMIFS(T_PlannedOrders[EffectiveQty],T_PlannedOrders[Part Name],$A835,T_PlannedOrders[WeekIndex],51)&amp;" ("&amp;TEXT(SUMPRODUCT(MAX((T_PlannedOrders[Part Name]=$A835)*(T_PlannedOrders[WeekIndex]=51)*(T_PlannedOrders[EffectiveQty]&gt;0)*T_PlannedOrders[Order_Month])),"m月")&amp;"発注)")</f>
        <v/>
      </c>
      <c r="BC845">
        <f>IF(SUMIFS(T_PlannedOrders[EffectiveQty],T_PlannedOrders[Part Name],$A835,T_PlannedOrders[WeekIndex],52)=0,"",SUMIFS(T_PlannedOrders[EffectiveQty],T_PlannedOrders[Part Name],$A835,T_PlannedOrders[WeekIndex],52)&amp;" ("&amp;TEXT(SUMPRODUCT(MAX((T_PlannedOrders[Part Name]=$A835)*(T_PlannedOrders[WeekIndex]=52)*(T_PlannedOrders[EffectiveQty]&gt;0)*T_PlannedOrders[Order_Month])),"m月")&amp;"発注)")</f>
        <v/>
      </c>
      <c r="BD845">
        <f>IF(SUMIFS(T_PlannedOrders[EffectiveQty],T_PlannedOrders[Part Name],$A835,T_PlannedOrders[WeekIndex],53)=0,"",SUMIFS(T_PlannedOrders[EffectiveQty],T_PlannedOrders[Part Name],$A835,T_PlannedOrders[WeekIndex],53)&amp;" ("&amp;TEXT(SUMPRODUCT(MAX((T_PlannedOrders[Part Name]=$A835)*(T_PlannedOrders[WeekIndex]=53)*(T_PlannedOrders[EffectiveQty]&gt;0)*T_PlannedOrders[Order_Month])),"m月")&amp;"発注)")</f>
        <v/>
      </c>
      <c r="BE845">
        <f>IF(SUMIFS(T_PlannedOrders[EffectiveQty],T_PlannedOrders[Part Name],$A835,T_PlannedOrders[WeekIndex],54)=0,"",SUMIFS(T_PlannedOrders[EffectiveQty],T_PlannedOrders[Part Name],$A835,T_PlannedOrders[WeekIndex],54)&amp;" ("&amp;TEXT(SUMPRODUCT(MAX((T_PlannedOrders[Part Name]=$A835)*(T_PlannedOrders[WeekIndex]=54)*(T_PlannedOrders[EffectiveQty]&gt;0)*T_PlannedOrders[Order_Month])),"m月")&amp;"発注)")</f>
        <v/>
      </c>
      <c r="BF845">
        <f>IF(SUMIFS(T_PlannedOrders[EffectiveQty],T_PlannedOrders[Part Name],$A835,T_PlannedOrders[WeekIndex],55)=0,"",SUMIFS(T_PlannedOrders[EffectiveQty],T_PlannedOrders[Part Name],$A835,T_PlannedOrders[WeekIndex],55)&amp;" ("&amp;TEXT(SUMPRODUCT(MAX((T_PlannedOrders[Part Name]=$A835)*(T_PlannedOrders[WeekIndex]=55)*(T_PlannedOrders[EffectiveQty]&gt;0)*T_PlannedOrders[Order_Month])),"m月")&amp;"発注)")</f>
        <v/>
      </c>
      <c r="BG845">
        <f>IF(SUMIFS(T_PlannedOrders[EffectiveQty],T_PlannedOrders[Part Name],$A835,T_PlannedOrders[WeekIndex],56)=0,"",SUMIFS(T_PlannedOrders[EffectiveQty],T_PlannedOrders[Part Name],$A835,T_PlannedOrders[WeekIndex],56)&amp;" ("&amp;TEXT(SUMPRODUCT(MAX((T_PlannedOrders[Part Name]=$A835)*(T_PlannedOrders[WeekIndex]=56)*(T_PlannedOrders[EffectiveQty]&gt;0)*T_PlannedOrders[Order_Month])),"m月")&amp;"発注)")</f>
        <v/>
      </c>
      <c r="BH845">
        <f>IF(SUMIFS(T_PlannedOrders[EffectiveQty],T_PlannedOrders[Part Name],$A835,T_PlannedOrders[WeekIndex],57)=0,"",SUMIFS(T_PlannedOrders[EffectiveQty],T_PlannedOrders[Part Name],$A835,T_PlannedOrders[WeekIndex],57)&amp;" ("&amp;TEXT(SUMPRODUCT(MAX((T_PlannedOrders[Part Name]=$A835)*(T_PlannedOrders[WeekIndex]=57)*(T_PlannedOrders[EffectiveQty]&gt;0)*T_PlannedOrders[Order_Month])),"m月")&amp;"発注)")</f>
        <v/>
      </c>
      <c r="BI845">
        <f>IF(SUMIFS(T_PlannedOrders[EffectiveQty],T_PlannedOrders[Part Name],$A835,T_PlannedOrders[WeekIndex],58)=0,"",SUMIFS(T_PlannedOrders[EffectiveQty],T_PlannedOrders[Part Name],$A835,T_PlannedOrders[WeekIndex],58)&amp;" ("&amp;TEXT(SUMPRODUCT(MAX((T_PlannedOrders[Part Name]=$A835)*(T_PlannedOrders[WeekIndex]=58)*(T_PlannedOrders[EffectiveQty]&gt;0)*T_PlannedOrders[Order_Month])),"m月")&amp;"発注)")</f>
        <v/>
      </c>
      <c r="BJ845">
        <f>IF(SUMIFS(T_PlannedOrders[EffectiveQty],T_PlannedOrders[Part Name],$A835,T_PlannedOrders[WeekIndex],59)=0,"",SUMIFS(T_PlannedOrders[EffectiveQty],T_PlannedOrders[Part Name],$A835,T_PlannedOrders[WeekIndex],59)&amp;" ("&amp;TEXT(SUMPRODUCT(MAX((T_PlannedOrders[Part Name]=$A835)*(T_PlannedOrders[WeekIndex]=59)*(T_PlannedOrders[EffectiveQty]&gt;0)*T_PlannedOrders[Order_Month])),"m月")&amp;"発注)")</f>
        <v/>
      </c>
      <c r="BK845">
        <f>IF(SUMIFS(T_PlannedOrders[EffectiveQty],T_PlannedOrders[Part Name],$A835,T_PlannedOrders[WeekIndex],60)=0,"",SUMIFS(T_PlannedOrders[EffectiveQty],T_PlannedOrders[Part Name],$A835,T_PlannedOrders[WeekIndex],60)&amp;" ("&amp;TEXT(SUMPRODUCT(MAX((T_PlannedOrders[Part Name]=$A835)*(T_PlannedOrders[WeekIndex]=60)*(T_PlannedOrders[EffectiveQty]&gt;0)*T_PlannedOrders[Order_Month])),"m月")&amp;"発注)")</f>
        <v/>
      </c>
      <c r="BL845">
        <f>IF(SUMIFS(T_PlannedOrders[EffectiveQty],T_PlannedOrders[Part Name],$A835,T_PlannedOrders[WeekIndex],61)=0,"",SUMIFS(T_PlannedOrders[EffectiveQty],T_PlannedOrders[Part Name],$A835,T_PlannedOrders[WeekIndex],61)&amp;" ("&amp;TEXT(SUMPRODUCT(MAX((T_PlannedOrders[Part Name]=$A835)*(T_PlannedOrders[WeekIndex]=61)*(T_PlannedOrders[EffectiveQty]&gt;0)*T_PlannedOrders[Order_Month])),"m月")&amp;"発注)")</f>
        <v/>
      </c>
      <c r="BM845">
        <f>IF(SUMIFS(T_PlannedOrders[EffectiveQty],T_PlannedOrders[Part Name],$A835,T_PlannedOrders[WeekIndex],62)=0,"",SUMIFS(T_PlannedOrders[EffectiveQty],T_PlannedOrders[Part Name],$A835,T_PlannedOrders[WeekIndex],62)&amp;" ("&amp;TEXT(SUMPRODUCT(MAX((T_PlannedOrders[Part Name]=$A835)*(T_PlannedOrders[WeekIndex]=62)*(T_PlannedOrders[EffectiveQty]&gt;0)*T_PlannedOrders[Order_Month])),"m月")&amp;"発注)")</f>
        <v/>
      </c>
      <c r="BN845">
        <f>IF(SUMIFS(T_PlannedOrders[EffectiveQty],T_PlannedOrders[Part Name],$A835,T_PlannedOrders[WeekIndex],63)=0,"",SUMIFS(T_PlannedOrders[EffectiveQty],T_PlannedOrders[Part Name],$A835,T_PlannedOrders[WeekIndex],63)&amp;" ("&amp;TEXT(SUMPRODUCT(MAX((T_PlannedOrders[Part Name]=$A835)*(T_PlannedOrders[WeekIndex]=63)*(T_PlannedOrders[EffectiveQty]&gt;0)*T_PlannedOrders[Order_Month])),"m月")&amp;"発注)")</f>
        <v/>
      </c>
      <c r="BO845">
        <f>IF(SUMIFS(T_PlannedOrders[EffectiveQty],T_PlannedOrders[Part Name],$A835,T_PlannedOrders[WeekIndex],64)=0,"",SUMIFS(T_PlannedOrders[EffectiveQty],T_PlannedOrders[Part Name],$A835,T_PlannedOrders[WeekIndex],64)&amp;" ("&amp;TEXT(SUMPRODUCT(MAX((T_PlannedOrders[Part Name]=$A835)*(T_PlannedOrders[WeekIndex]=64)*(T_PlannedOrders[EffectiveQty]&gt;0)*T_PlannedOrders[Order_Month])),"m月")&amp;"発注)")</f>
        <v/>
      </c>
      <c r="BP845">
        <f>IF(SUMIFS(T_PlannedOrders[EffectiveQty],T_PlannedOrders[Part Name],$A835,T_PlannedOrders[WeekIndex],65)=0,"",SUMIFS(T_PlannedOrders[EffectiveQty],T_PlannedOrders[Part Name],$A835,T_PlannedOrders[WeekIndex],65)&amp;" ("&amp;TEXT(SUMPRODUCT(MAX((T_PlannedOrders[Part Name]=$A835)*(T_PlannedOrders[WeekIndex]=65)*(T_PlannedOrders[EffectiveQty]&gt;0)*T_PlannedOrders[Order_Month])),"m月")&amp;"発注)")</f>
        <v/>
      </c>
      <c r="BQ845">
        <f>IF(SUMIFS(T_PlannedOrders[EffectiveQty],T_PlannedOrders[Part Name],$A835,T_PlannedOrders[WeekIndex],66)=0,"",SUMIFS(T_PlannedOrders[EffectiveQty],T_PlannedOrders[Part Name],$A835,T_PlannedOrders[WeekIndex],66)&amp;" ("&amp;TEXT(SUMPRODUCT(MAX((T_PlannedOrders[Part Name]=$A835)*(T_PlannedOrders[WeekIndex]=66)*(T_PlannedOrders[EffectiveQty]&gt;0)*T_PlannedOrders[Order_Month])),"m月")&amp;"発注)")</f>
        <v/>
      </c>
      <c r="BR845">
        <f>IF(SUMIFS(T_PlannedOrders[EffectiveQty],T_PlannedOrders[Part Name],$A835,T_PlannedOrders[WeekIndex],67)=0,"",SUMIFS(T_PlannedOrders[EffectiveQty],T_PlannedOrders[Part Name],$A835,T_PlannedOrders[WeekIndex],67)&amp;" ("&amp;TEXT(SUMPRODUCT(MAX((T_PlannedOrders[Part Name]=$A835)*(T_PlannedOrders[WeekIndex]=67)*(T_PlannedOrders[EffectiveQty]&gt;0)*T_PlannedOrders[Order_Month])),"m月")&amp;"発注)")</f>
        <v/>
      </c>
      <c r="BS845">
        <f>IF(SUMIFS(T_PlannedOrders[EffectiveQty],T_PlannedOrders[Part Name],$A835,T_PlannedOrders[WeekIndex],68)=0,"",SUMIFS(T_PlannedOrders[EffectiveQty],T_PlannedOrders[Part Name],$A835,T_PlannedOrders[WeekIndex],68)&amp;" ("&amp;TEXT(SUMPRODUCT(MAX((T_PlannedOrders[Part Name]=$A835)*(T_PlannedOrders[WeekIndex]=68)*(T_PlannedOrders[EffectiveQty]&gt;0)*T_PlannedOrders[Order_Month])),"m月")&amp;"発注)")</f>
        <v/>
      </c>
      <c r="BT845">
        <f>IF(SUMIFS(T_PlannedOrders[EffectiveQty],T_PlannedOrders[Part Name],$A835,T_PlannedOrders[WeekIndex],69)=0,"",SUMIFS(T_PlannedOrders[EffectiveQty],T_PlannedOrders[Part Name],$A835,T_PlannedOrders[WeekIndex],69)&amp;" ("&amp;TEXT(SUMPRODUCT(MAX((T_PlannedOrders[Part Name]=$A835)*(T_PlannedOrders[WeekIndex]=69)*(T_PlannedOrders[EffectiveQty]&gt;0)*T_PlannedOrders[Order_Month])),"m月")&amp;"発注)")</f>
        <v/>
      </c>
      <c r="BU845">
        <f>IF(SUMIFS(T_PlannedOrders[EffectiveQty],T_PlannedOrders[Part Name],$A835,T_PlannedOrders[WeekIndex],70)=0,"",SUMIFS(T_PlannedOrders[EffectiveQty],T_PlannedOrders[Part Name],$A835,T_PlannedOrders[WeekIndex],70)&amp;" ("&amp;TEXT(SUMPRODUCT(MAX((T_PlannedOrders[Part Name]=$A835)*(T_PlannedOrders[WeekIndex]=70)*(T_PlannedOrders[EffectiveQty]&gt;0)*T_PlannedOrders[Order_Month])),"m月")&amp;"発注)")</f>
        <v/>
      </c>
      <c r="BV845">
        <f>IF(SUMIFS(T_PlannedOrders[EffectiveQty],T_PlannedOrders[Part Name],$A835,T_PlannedOrders[WeekIndex],71)=0,"",SUMIFS(T_PlannedOrders[EffectiveQty],T_PlannedOrders[Part Name],$A835,T_PlannedOrders[WeekIndex],71)&amp;" ("&amp;TEXT(SUMPRODUCT(MAX((T_PlannedOrders[Part Name]=$A835)*(T_PlannedOrders[WeekIndex]=71)*(T_PlannedOrders[EffectiveQty]&gt;0)*T_PlannedOrders[Order_Month])),"m月")&amp;"発注)")</f>
        <v/>
      </c>
      <c r="BW845">
        <f>IF(SUMIFS(T_PlannedOrders[EffectiveQty],T_PlannedOrders[Part Name],$A835,T_PlannedOrders[WeekIndex],72)=0,"",SUMIFS(T_PlannedOrders[EffectiveQty],T_PlannedOrders[Part Name],$A835,T_PlannedOrders[WeekIndex],72)&amp;" ("&amp;TEXT(SUMPRODUCT(MAX((T_PlannedOrders[Part Name]=$A835)*(T_PlannedOrders[WeekIndex]=72)*(T_PlannedOrders[EffectiveQty]&gt;0)*T_PlannedOrders[Order_Month])),"m月")&amp;"発注)")</f>
        <v/>
      </c>
      <c r="BX845">
        <f>IF(SUMIFS(T_PlannedOrders[EffectiveQty],T_PlannedOrders[Part Name],$A835,T_PlannedOrders[WeekIndex],73)=0,"",SUMIFS(T_PlannedOrders[EffectiveQty],T_PlannedOrders[Part Name],$A835,T_PlannedOrders[WeekIndex],73)&amp;" ("&amp;TEXT(SUMPRODUCT(MAX((T_PlannedOrders[Part Name]=$A835)*(T_PlannedOrders[WeekIndex]=73)*(T_PlannedOrders[EffectiveQty]&gt;0)*T_PlannedOrders[Order_Month])),"m月")&amp;"発注)")</f>
        <v/>
      </c>
      <c r="BY845">
        <f>IF(SUMIFS(T_PlannedOrders[EffectiveQty],T_PlannedOrders[Part Name],$A835,T_PlannedOrders[WeekIndex],74)=0,"",SUMIFS(T_PlannedOrders[EffectiveQty],T_PlannedOrders[Part Name],$A835,T_PlannedOrders[WeekIndex],74)&amp;" ("&amp;TEXT(SUMPRODUCT(MAX((T_PlannedOrders[Part Name]=$A835)*(T_PlannedOrders[WeekIndex]=74)*(T_PlannedOrders[EffectiveQty]&gt;0)*T_PlannedOrders[Order_Month])),"m月")&amp;"発注)")</f>
        <v/>
      </c>
      <c r="BZ845">
        <f>IF(SUMIFS(T_PlannedOrders[EffectiveQty],T_PlannedOrders[Part Name],$A835,T_PlannedOrders[WeekIndex],75)=0,"",SUMIFS(T_PlannedOrders[EffectiveQty],T_PlannedOrders[Part Name],$A835,T_PlannedOrders[WeekIndex],75)&amp;" ("&amp;TEXT(SUMPRODUCT(MAX((T_PlannedOrders[Part Name]=$A835)*(T_PlannedOrders[WeekIndex]=75)*(T_PlannedOrders[EffectiveQty]&gt;0)*T_PlannedOrders[Order_Month])),"m月")&amp;"発注)")</f>
        <v/>
      </c>
      <c r="CA845">
        <f>IF(SUMIFS(T_PlannedOrders[EffectiveQty],T_PlannedOrders[Part Name],$A835,T_PlannedOrders[WeekIndex],76)=0,"",SUMIFS(T_PlannedOrders[EffectiveQty],T_PlannedOrders[Part Name],$A835,T_PlannedOrders[WeekIndex],76)&amp;" ("&amp;TEXT(SUMPRODUCT(MAX((T_PlannedOrders[Part Name]=$A835)*(T_PlannedOrders[WeekIndex]=76)*(T_PlannedOrders[EffectiveQty]&gt;0)*T_PlannedOrders[Order_Month])),"m月")&amp;"発注)")</f>
        <v/>
      </c>
      <c r="CB845">
        <f>IF(SUMIFS(T_PlannedOrders[EffectiveQty],T_PlannedOrders[Part Name],$A835,T_PlannedOrders[WeekIndex],77)=0,"",SUMIFS(T_PlannedOrders[EffectiveQty],T_PlannedOrders[Part Name],$A835,T_PlannedOrders[WeekIndex],77)&amp;" ("&amp;TEXT(SUMPRODUCT(MAX((T_PlannedOrders[Part Name]=$A835)*(T_PlannedOrders[WeekIndex]=77)*(T_PlannedOrders[EffectiveQty]&gt;0)*T_PlannedOrders[Order_Month])),"m月")&amp;"発注)")</f>
        <v/>
      </c>
      <c r="CC845">
        <f>IF(SUMIFS(T_PlannedOrders[EffectiveQty],T_PlannedOrders[Part Name],$A835,T_PlannedOrders[WeekIndex],78)=0,"",SUMIFS(T_PlannedOrders[EffectiveQty],T_PlannedOrders[Part Name],$A835,T_PlannedOrders[WeekIndex],78)&amp;" ("&amp;TEXT(SUMPRODUCT(MAX((T_PlannedOrders[Part Name]=$A835)*(T_PlannedOrders[WeekIndex]=78)*(T_PlannedOrders[EffectiveQty]&gt;0)*T_PlannedOrders[Order_Month])),"m月")&amp;"発注)")</f>
        <v/>
      </c>
      <c r="CD845">
        <f>IF(SUMIFS(T_PlannedOrders[EffectiveQty],T_PlannedOrders[Part Name],$A835,T_PlannedOrders[WeekIndex],79)=0,"",SUMIFS(T_PlannedOrders[EffectiveQty],T_PlannedOrders[Part Name],$A835,T_PlannedOrders[WeekIndex],79)&amp;" ("&amp;TEXT(SUMPRODUCT(MAX((T_PlannedOrders[Part Name]=$A835)*(T_PlannedOrders[WeekIndex]=79)*(T_PlannedOrders[EffectiveQty]&gt;0)*T_PlannedOrders[Order_Month])),"m月")&amp;"発注)")</f>
        <v/>
      </c>
      <c r="CE845">
        <f>IF(SUMIFS(T_PlannedOrders[EffectiveQty],T_PlannedOrders[Part Name],$A835,T_PlannedOrders[WeekIndex],80)=0,"",SUMIFS(T_PlannedOrders[EffectiveQty],T_PlannedOrders[Part Name],$A835,T_PlannedOrders[WeekIndex],80)&amp;" ("&amp;TEXT(SUMPRODUCT(MAX((T_PlannedOrders[Part Name]=$A835)*(T_PlannedOrders[WeekIndex]=80)*(T_PlannedOrders[EffectiveQty]&gt;0)*T_PlannedOrders[Order_Month])),"m月")&amp;"発注)")</f>
        <v/>
      </c>
      <c r="CF845">
        <f>IF(SUMIFS(T_PlannedOrders[EffectiveQty],T_PlannedOrders[Part Name],$A835,T_PlannedOrders[WeekIndex],81)=0,"",SUMIFS(T_PlannedOrders[EffectiveQty],T_PlannedOrders[Part Name],$A835,T_PlannedOrders[WeekIndex],81)&amp;" ("&amp;TEXT(SUMPRODUCT(MAX((T_PlannedOrders[Part Name]=$A835)*(T_PlannedOrders[WeekIndex]=81)*(T_PlannedOrders[EffectiveQty]&gt;0)*T_PlannedOrders[Order_Month])),"m月")&amp;"発注)")</f>
        <v/>
      </c>
      <c r="CG845">
        <f>IF(SUMIFS(T_PlannedOrders[EffectiveQty],T_PlannedOrders[Part Name],$A835,T_PlannedOrders[WeekIndex],82)=0,"",SUMIFS(T_PlannedOrders[EffectiveQty],T_PlannedOrders[Part Name],$A835,T_PlannedOrders[WeekIndex],82)&amp;" ("&amp;TEXT(SUMPRODUCT(MAX((T_PlannedOrders[Part Name]=$A835)*(T_PlannedOrders[WeekIndex]=82)*(T_PlannedOrders[EffectiveQty]&gt;0)*T_PlannedOrders[Order_Month])),"m月")&amp;"発注)")</f>
        <v/>
      </c>
      <c r="CH845">
        <f>IF(SUMIFS(T_PlannedOrders[EffectiveQty],T_PlannedOrders[Part Name],$A835,T_PlannedOrders[WeekIndex],83)=0,"",SUMIFS(T_PlannedOrders[EffectiveQty],T_PlannedOrders[Part Name],$A835,T_PlannedOrders[WeekIndex],83)&amp;" ("&amp;TEXT(SUMPRODUCT(MAX((T_PlannedOrders[Part Name]=$A835)*(T_PlannedOrders[WeekIndex]=83)*(T_PlannedOrders[EffectiveQty]&gt;0)*T_PlannedOrders[Order_Month])),"m月")&amp;"発注)")</f>
        <v/>
      </c>
      <c r="CI845">
        <f>IF(SUMIFS(T_PlannedOrders[EffectiveQty],T_PlannedOrders[Part Name],$A835,T_PlannedOrders[WeekIndex],84)=0,"",SUMIFS(T_PlannedOrders[EffectiveQty],T_PlannedOrders[Part Name],$A835,T_PlannedOrders[WeekIndex],84)&amp;" ("&amp;TEXT(SUMPRODUCT(MAX((T_PlannedOrders[Part Name]=$A835)*(T_PlannedOrders[WeekIndex]=84)*(T_PlannedOrders[EffectiveQty]&gt;0)*T_PlannedOrders[Order_Month])),"m月")&amp;"発注)")</f>
        <v/>
      </c>
      <c r="CJ845">
        <f>IF(SUMIFS(T_PlannedOrders[EffectiveQty],T_PlannedOrders[Part Name],$A835,T_PlannedOrders[WeekIndex],85)=0,"",SUMIFS(T_PlannedOrders[EffectiveQty],T_PlannedOrders[Part Name],$A835,T_PlannedOrders[WeekIndex],85)&amp;" ("&amp;TEXT(SUMPRODUCT(MAX((T_PlannedOrders[Part Name]=$A835)*(T_PlannedOrders[WeekIndex]=85)*(T_PlannedOrders[EffectiveQty]&gt;0)*T_PlannedOrders[Order_Month])),"m月")&amp;"発注)")</f>
        <v/>
      </c>
      <c r="CK845">
        <f>IF(SUMIFS(T_PlannedOrders[EffectiveQty],T_PlannedOrders[Part Name],$A835,T_PlannedOrders[WeekIndex],86)=0,"",SUMIFS(T_PlannedOrders[EffectiveQty],T_PlannedOrders[Part Name],$A835,T_PlannedOrders[WeekIndex],86)&amp;" ("&amp;TEXT(SUMPRODUCT(MAX((T_PlannedOrders[Part Name]=$A835)*(T_PlannedOrders[WeekIndex]=86)*(T_PlannedOrders[EffectiveQty]&gt;0)*T_PlannedOrders[Order_Month])),"m月")&amp;"発注)")</f>
        <v/>
      </c>
      <c r="CL845">
        <f>IF(SUMIFS(T_PlannedOrders[EffectiveQty],T_PlannedOrders[Part Name],$A835,T_PlannedOrders[WeekIndex],87)=0,"",SUMIFS(T_PlannedOrders[EffectiveQty],T_PlannedOrders[Part Name],$A835,T_PlannedOrders[WeekIndex],87)&amp;" ("&amp;TEXT(SUMPRODUCT(MAX((T_PlannedOrders[Part Name]=$A835)*(T_PlannedOrders[WeekIndex]=87)*(T_PlannedOrders[EffectiveQty]&gt;0)*T_PlannedOrders[Order_Month])),"m月")&amp;"発注)")</f>
        <v/>
      </c>
      <c r="CM845">
        <f>IF(SUMIFS(T_PlannedOrders[EffectiveQty],T_PlannedOrders[Part Name],$A835,T_PlannedOrders[WeekIndex],88)=0,"",SUMIFS(T_PlannedOrders[EffectiveQty],T_PlannedOrders[Part Name],$A835,T_PlannedOrders[WeekIndex],88)&amp;" ("&amp;TEXT(SUMPRODUCT(MAX((T_PlannedOrders[Part Name]=$A835)*(T_PlannedOrders[WeekIndex]=88)*(T_PlannedOrders[EffectiveQty]&gt;0)*T_PlannedOrders[Order_Month])),"m月")&amp;"発注)")</f>
        <v/>
      </c>
      <c r="CN845">
        <f>IF(SUMIFS(T_PlannedOrders[EffectiveQty],T_PlannedOrders[Part Name],$A835,T_PlannedOrders[WeekIndex],89)=0,"",SUMIFS(T_PlannedOrders[EffectiveQty],T_PlannedOrders[Part Name],$A835,T_PlannedOrders[WeekIndex],89)&amp;" ("&amp;TEXT(SUMPRODUCT(MAX((T_PlannedOrders[Part Name]=$A835)*(T_PlannedOrders[WeekIndex]=89)*(T_PlannedOrders[EffectiveQty]&gt;0)*T_PlannedOrders[Order_Month])),"m月")&amp;"発注)")</f>
        <v/>
      </c>
      <c r="CO845">
        <f>IF(SUMIFS(T_PlannedOrders[EffectiveQty],T_PlannedOrders[Part Name],$A835,T_PlannedOrders[WeekIndex],90)=0,"",SUMIFS(T_PlannedOrders[EffectiveQty],T_PlannedOrders[Part Name],$A835,T_PlannedOrders[WeekIndex],90)&amp;" ("&amp;TEXT(SUMPRODUCT(MAX((T_PlannedOrders[Part Name]=$A835)*(T_PlannedOrders[WeekIndex]=90)*(T_PlannedOrders[EffectiveQty]&gt;0)*T_PlannedOrders[Order_Month])),"m月")&amp;"発注)")</f>
        <v/>
      </c>
      <c r="CP845">
        <f>IF(SUMIFS(T_PlannedOrders[EffectiveQty],T_PlannedOrders[Part Name],$A835,T_PlannedOrders[WeekIndex],91)=0,"",SUMIFS(T_PlannedOrders[EffectiveQty],T_PlannedOrders[Part Name],$A835,T_PlannedOrders[WeekIndex],91)&amp;" ("&amp;TEXT(SUMPRODUCT(MAX((T_PlannedOrders[Part Name]=$A835)*(T_PlannedOrders[WeekIndex]=91)*(T_PlannedOrders[EffectiveQty]&gt;0)*T_PlannedOrders[Order_Month])),"m月")&amp;"発注)")</f>
        <v/>
      </c>
      <c r="CQ845">
        <f>IF(SUMIFS(T_PlannedOrders[EffectiveQty],T_PlannedOrders[Part Name],$A835,T_PlannedOrders[WeekIndex],92)=0,"",SUMIFS(T_PlannedOrders[EffectiveQty],T_PlannedOrders[Part Name],$A835,T_PlannedOrders[WeekIndex],92)&amp;" ("&amp;TEXT(SUMPRODUCT(MAX((T_PlannedOrders[Part Name]=$A835)*(T_PlannedOrders[WeekIndex]=92)*(T_PlannedOrders[EffectiveQty]&gt;0)*T_PlannedOrders[Order_Month])),"m月")&amp;"発注)")</f>
        <v/>
      </c>
      <c r="CR845">
        <f>IF(SUMIFS(T_PlannedOrders[EffectiveQty],T_PlannedOrders[Part Name],$A835,T_PlannedOrders[WeekIndex],93)=0,"",SUMIFS(T_PlannedOrders[EffectiveQty],T_PlannedOrders[Part Name],$A835,T_PlannedOrders[WeekIndex],93)&amp;" ("&amp;TEXT(SUMPRODUCT(MAX((T_PlannedOrders[Part Name]=$A835)*(T_PlannedOrders[WeekIndex]=93)*(T_PlannedOrders[EffectiveQty]&gt;0)*T_PlannedOrders[Order_Month])),"m月")&amp;"発注)")</f>
        <v/>
      </c>
      <c r="CS845">
        <f>IF(SUMIFS(T_PlannedOrders[EffectiveQty],T_PlannedOrders[Part Name],$A835,T_PlannedOrders[WeekIndex],94)=0,"",SUMIFS(T_PlannedOrders[EffectiveQty],T_PlannedOrders[Part Name],$A835,T_PlannedOrders[WeekIndex],94)&amp;" ("&amp;TEXT(SUMPRODUCT(MAX((T_PlannedOrders[Part Name]=$A835)*(T_PlannedOrders[WeekIndex]=94)*(T_PlannedOrders[EffectiveQty]&gt;0)*T_PlannedOrders[Order_Month])),"m月")&amp;"発注)")</f>
        <v/>
      </c>
      <c r="CT845">
        <f>IF(SUMIFS(T_PlannedOrders[EffectiveQty],T_PlannedOrders[Part Name],$A835,T_PlannedOrders[WeekIndex],95)=0,"",SUMIFS(T_PlannedOrders[EffectiveQty],T_PlannedOrders[Part Name],$A835,T_PlannedOrders[WeekIndex],95)&amp;" ("&amp;TEXT(SUMPRODUCT(MAX((T_PlannedOrders[Part Name]=$A835)*(T_PlannedOrders[WeekIndex]=95)*(T_PlannedOrders[EffectiveQty]&gt;0)*T_PlannedOrders[Order_Month])),"m月")&amp;"発注)")</f>
        <v/>
      </c>
      <c r="CU845">
        <f>IF(SUMIFS(T_PlannedOrders[EffectiveQty],T_PlannedOrders[Part Name],$A835,T_PlannedOrders[WeekIndex],96)=0,"",SUMIFS(T_PlannedOrders[EffectiveQty],T_PlannedOrders[Part Name],$A835,T_PlannedOrders[WeekIndex],96)&amp;" ("&amp;TEXT(SUMPRODUCT(MAX((T_PlannedOrders[Part Name]=$A835)*(T_PlannedOrders[WeekIndex]=96)*(T_PlannedOrders[EffectiveQty]&gt;0)*T_PlannedOrders[Order_Month])),"m月")&amp;"発注)")</f>
        <v/>
      </c>
      <c r="CV845">
        <f>IF(SUMIFS(T_PlannedOrders[EffectiveQty],T_PlannedOrders[Part Name],$A835,T_PlannedOrders[WeekIndex],97)=0,"",SUMIFS(T_PlannedOrders[EffectiveQty],T_PlannedOrders[Part Name],$A835,T_PlannedOrders[WeekIndex],97)&amp;" ("&amp;TEXT(SUMPRODUCT(MAX((T_PlannedOrders[Part Name]=$A835)*(T_PlannedOrders[WeekIndex]=97)*(T_PlannedOrders[EffectiveQty]&gt;0)*T_PlannedOrders[Order_Month])),"m月")&amp;"発注)")</f>
        <v/>
      </c>
      <c r="CW845">
        <f>IF(SUMIFS(T_PlannedOrders[EffectiveQty],T_PlannedOrders[Part Name],$A835,T_PlannedOrders[WeekIndex],98)=0,"",SUMIFS(T_PlannedOrders[EffectiveQty],T_PlannedOrders[Part Name],$A835,T_PlannedOrders[WeekIndex],98)&amp;" ("&amp;TEXT(SUMPRODUCT(MAX((T_PlannedOrders[Part Name]=$A835)*(T_PlannedOrders[WeekIndex]=98)*(T_PlannedOrders[EffectiveQty]&gt;0)*T_PlannedOrders[Order_Month])),"m月")&amp;"発注)")</f>
        <v/>
      </c>
      <c r="CX845">
        <f>IF(SUMIFS(T_PlannedOrders[EffectiveQty],T_PlannedOrders[Part Name],$A835,T_PlannedOrders[WeekIndex],99)=0,"",SUMIFS(T_PlannedOrders[EffectiveQty],T_PlannedOrders[Part Name],$A835,T_PlannedOrders[WeekIndex],99)&amp;" ("&amp;TEXT(SUMPRODUCT(MAX((T_PlannedOrders[Part Name]=$A835)*(T_PlannedOrders[WeekIndex]=99)*(T_PlannedOrders[EffectiveQty]&gt;0)*T_PlannedOrders[Order_Month])),"m月")&amp;"発注)")</f>
        <v/>
      </c>
      <c r="CY845">
        <f>IF(SUMIFS(T_PlannedOrders[EffectiveQty],T_PlannedOrders[Part Name],$A835,T_PlannedOrders[WeekIndex],100)=0,"",SUMIFS(T_PlannedOrders[EffectiveQty],T_PlannedOrders[Part Name],$A835,T_PlannedOrders[WeekIndex],100)&amp;" ("&amp;TEXT(SUMPRODUCT(MAX((T_PlannedOrders[Part Name]=$A835)*(T_PlannedOrders[WeekIndex]=100)*(T_PlannedOrders[EffectiveQty]&gt;0)*T_PlannedOrders[Order_Month])),"m月")&amp;"発注)")</f>
        <v/>
      </c>
      <c r="CZ845">
        <f>IF(SUMIFS(T_PlannedOrders[EffectiveQty],T_PlannedOrders[Part Name],$A835,T_PlannedOrders[WeekIndex],101)=0,"",SUMIFS(T_PlannedOrders[EffectiveQty],T_PlannedOrders[Part Name],$A835,T_PlannedOrders[WeekIndex],101)&amp;" ("&amp;TEXT(SUMPRODUCT(MAX((T_PlannedOrders[Part Name]=$A835)*(T_PlannedOrders[WeekIndex]=101)*(T_PlannedOrders[EffectiveQty]&gt;0)*T_PlannedOrders[Order_Month])),"m月")&amp;"発注)")</f>
        <v/>
      </c>
      <c r="DA845">
        <f>IF(SUMIFS(T_PlannedOrders[EffectiveQty],T_PlannedOrders[Part Name],$A835,T_PlannedOrders[WeekIndex],102)=0,"",SUMIFS(T_PlannedOrders[EffectiveQty],T_PlannedOrders[Part Name],$A835,T_PlannedOrders[WeekIndex],102)&amp;" ("&amp;TEXT(SUMPRODUCT(MAX((T_PlannedOrders[Part Name]=$A835)*(T_PlannedOrders[WeekIndex]=102)*(T_PlannedOrders[EffectiveQty]&gt;0)*T_PlannedOrders[Order_Month])),"m月")&amp;"発注)")</f>
        <v/>
      </c>
      <c r="DB845">
        <f>IF(SUMIFS(T_PlannedOrders[EffectiveQty],T_PlannedOrders[Part Name],$A835,T_PlannedOrders[WeekIndex],103)=0,"",SUMIFS(T_PlannedOrders[EffectiveQty],T_PlannedOrders[Part Name],$A835,T_PlannedOrders[WeekIndex],103)&amp;" ("&amp;TEXT(SUMPRODUCT(MAX((T_PlannedOrders[Part Name]=$A835)*(T_PlannedOrders[WeekIndex]=103)*(T_PlannedOrders[EffectiveQty]&gt;0)*T_PlannedOrders[Order_Month])),"m月")&amp;"発注)")</f>
        <v/>
      </c>
      <c r="DC845">
        <f>IF(SUMIFS(T_PlannedOrders[EffectiveQty],T_PlannedOrders[Part Name],$A835,T_PlannedOrders[WeekIndex],104)=0,"",SUMIFS(T_PlannedOrders[EffectiveQty],T_PlannedOrders[Part Name],$A835,T_PlannedOrders[WeekIndex],104)&amp;" ("&amp;TEXT(SUMPRODUCT(MAX((T_PlannedOrders[Part Name]=$A835)*(T_PlannedOrders[WeekIndex]=104)*(T_PlannedOrders[EffectiveQty]&gt;0)*T_PlannedOrders[Order_Month])),"m月")&amp;"発注)")</f>
        <v/>
      </c>
    </row>
    <row r="846">
      <c r="B846" s="4" t="inlineStr">
        <is>
          <t>合計在庫(週末時点,kg)</t>
        </is>
      </c>
      <c r="D846">
        <f>'Grid_Stock'!B8</f>
        <v/>
      </c>
      <c r="E846">
        <f>'Grid_Stock'!C8</f>
        <v/>
      </c>
      <c r="F846">
        <f>'Grid_Stock'!D8</f>
        <v/>
      </c>
      <c r="G846">
        <f>'Grid_Stock'!E8</f>
        <v/>
      </c>
      <c r="H846">
        <f>'Grid_Stock'!F8</f>
        <v/>
      </c>
      <c r="I846">
        <f>'Grid_Stock'!G8</f>
        <v/>
      </c>
      <c r="J846">
        <f>'Grid_Stock'!H8</f>
        <v/>
      </c>
      <c r="K846">
        <f>'Grid_Stock'!I8</f>
        <v/>
      </c>
      <c r="L846">
        <f>'Grid_Stock'!J8</f>
        <v/>
      </c>
      <c r="M846">
        <f>'Grid_Stock'!K8</f>
        <v/>
      </c>
      <c r="N846">
        <f>'Grid_Stock'!L8</f>
        <v/>
      </c>
      <c r="O846">
        <f>'Grid_Stock'!M8</f>
        <v/>
      </c>
      <c r="P846">
        <f>'Grid_Stock'!N8</f>
        <v/>
      </c>
      <c r="Q846">
        <f>'Grid_Stock'!O8</f>
        <v/>
      </c>
      <c r="R846">
        <f>'Grid_Stock'!P8</f>
        <v/>
      </c>
      <c r="S846">
        <f>'Grid_Stock'!Q8</f>
        <v/>
      </c>
      <c r="T846">
        <f>'Grid_Stock'!R8</f>
        <v/>
      </c>
      <c r="U846">
        <f>'Grid_Stock'!S8</f>
        <v/>
      </c>
      <c r="V846">
        <f>'Grid_Stock'!T8</f>
        <v/>
      </c>
      <c r="W846">
        <f>'Grid_Stock'!U8</f>
        <v/>
      </c>
      <c r="X846">
        <f>'Grid_Stock'!V8</f>
        <v/>
      </c>
      <c r="Y846">
        <f>'Grid_Stock'!W8</f>
        <v/>
      </c>
      <c r="Z846">
        <f>'Grid_Stock'!X8</f>
        <v/>
      </c>
      <c r="AA846">
        <f>'Grid_Stock'!Y8</f>
        <v/>
      </c>
      <c r="AB846">
        <f>'Grid_Stock'!Z8</f>
        <v/>
      </c>
      <c r="AC846">
        <f>'Grid_Stock'!AA8</f>
        <v/>
      </c>
      <c r="AD846">
        <f>'Grid_Stock'!AB8</f>
        <v/>
      </c>
      <c r="AE846">
        <f>'Grid_Stock'!AC8</f>
        <v/>
      </c>
      <c r="AF846">
        <f>'Grid_Stock'!AD8</f>
        <v/>
      </c>
      <c r="AG846">
        <f>'Grid_Stock'!AE8</f>
        <v/>
      </c>
      <c r="AH846">
        <f>'Grid_Stock'!AF8</f>
        <v/>
      </c>
      <c r="AI846">
        <f>'Grid_Stock'!AG8</f>
        <v/>
      </c>
      <c r="AJ846">
        <f>'Grid_Stock'!AH8</f>
        <v/>
      </c>
      <c r="AK846">
        <f>'Grid_Stock'!AI8</f>
        <v/>
      </c>
      <c r="AL846">
        <f>'Grid_Stock'!AJ8</f>
        <v/>
      </c>
      <c r="AM846">
        <f>'Grid_Stock'!AK8</f>
        <v/>
      </c>
      <c r="AN846">
        <f>'Grid_Stock'!AL8</f>
        <v/>
      </c>
      <c r="AO846">
        <f>'Grid_Stock'!AM8</f>
        <v/>
      </c>
      <c r="AP846">
        <f>'Grid_Stock'!AN8</f>
        <v/>
      </c>
      <c r="AQ846">
        <f>'Grid_Stock'!AO8</f>
        <v/>
      </c>
      <c r="AR846">
        <f>'Grid_Stock'!AP8</f>
        <v/>
      </c>
      <c r="AS846">
        <f>'Grid_Stock'!AQ8</f>
        <v/>
      </c>
      <c r="AT846">
        <f>'Grid_Stock'!AR8</f>
        <v/>
      </c>
      <c r="AU846">
        <f>'Grid_Stock'!AS8</f>
        <v/>
      </c>
      <c r="AV846">
        <f>'Grid_Stock'!AT8</f>
        <v/>
      </c>
      <c r="AW846">
        <f>'Grid_Stock'!AU8</f>
        <v/>
      </c>
      <c r="AX846">
        <f>'Grid_Stock'!AV8</f>
        <v/>
      </c>
      <c r="AY846">
        <f>'Grid_Stock'!AW8</f>
        <v/>
      </c>
      <c r="AZ846">
        <f>'Grid_Stock'!AX8</f>
        <v/>
      </c>
      <c r="BA846">
        <f>'Grid_Stock'!AY8</f>
        <v/>
      </c>
      <c r="BB846">
        <f>'Grid_Stock'!AZ8</f>
        <v/>
      </c>
      <c r="BC846">
        <f>'Grid_Stock'!BA8</f>
        <v/>
      </c>
      <c r="BD846">
        <f>'Grid_Stock'!BB8</f>
        <v/>
      </c>
      <c r="BE846">
        <f>'Grid_Stock'!BC8</f>
        <v/>
      </c>
      <c r="BF846">
        <f>'Grid_Stock'!BD8</f>
        <v/>
      </c>
      <c r="BG846">
        <f>'Grid_Stock'!BE8</f>
        <v/>
      </c>
      <c r="BH846">
        <f>'Grid_Stock'!BF8</f>
        <v/>
      </c>
      <c r="BI846">
        <f>'Grid_Stock'!BG8</f>
        <v/>
      </c>
      <c r="BJ846">
        <f>'Grid_Stock'!BH8</f>
        <v/>
      </c>
      <c r="BK846">
        <f>'Grid_Stock'!BI8</f>
        <v/>
      </c>
      <c r="BL846">
        <f>'Grid_Stock'!BJ8</f>
        <v/>
      </c>
      <c r="BM846">
        <f>'Grid_Stock'!BK8</f>
        <v/>
      </c>
      <c r="BN846">
        <f>'Grid_Stock'!BL8</f>
        <v/>
      </c>
      <c r="BO846">
        <f>'Grid_Stock'!BM8</f>
        <v/>
      </c>
      <c r="BP846">
        <f>'Grid_Stock'!BN8</f>
        <v/>
      </c>
      <c r="BQ846">
        <f>'Grid_Stock'!BO8</f>
        <v/>
      </c>
      <c r="BR846">
        <f>'Grid_Stock'!BP8</f>
        <v/>
      </c>
      <c r="BS846">
        <f>'Grid_Stock'!BQ8</f>
        <v/>
      </c>
      <c r="BT846">
        <f>'Grid_Stock'!BR8</f>
        <v/>
      </c>
      <c r="BU846">
        <f>'Grid_Stock'!BS8</f>
        <v/>
      </c>
      <c r="BV846">
        <f>'Grid_Stock'!BT8</f>
        <v/>
      </c>
      <c r="BW846">
        <f>'Grid_Stock'!BU8</f>
        <v/>
      </c>
      <c r="BX846">
        <f>'Grid_Stock'!BV8</f>
        <v/>
      </c>
      <c r="BY846">
        <f>'Grid_Stock'!BW8</f>
        <v/>
      </c>
      <c r="BZ846">
        <f>'Grid_Stock'!BX8</f>
        <v/>
      </c>
      <c r="CA846">
        <f>'Grid_Stock'!BY8</f>
        <v/>
      </c>
      <c r="CB846">
        <f>'Grid_Stock'!BZ8</f>
        <v/>
      </c>
      <c r="CC846">
        <f>'Grid_Stock'!CA8</f>
        <v/>
      </c>
      <c r="CD846">
        <f>'Grid_Stock'!CB8</f>
        <v/>
      </c>
      <c r="CE846">
        <f>'Grid_Stock'!CC8</f>
        <v/>
      </c>
      <c r="CF846">
        <f>'Grid_Stock'!CD8</f>
        <v/>
      </c>
      <c r="CG846">
        <f>'Grid_Stock'!CE8</f>
        <v/>
      </c>
      <c r="CH846">
        <f>'Grid_Stock'!CF8</f>
        <v/>
      </c>
      <c r="CI846">
        <f>'Grid_Stock'!CG8</f>
        <v/>
      </c>
      <c r="CJ846">
        <f>'Grid_Stock'!CH8</f>
        <v/>
      </c>
      <c r="CK846">
        <f>'Grid_Stock'!CI8</f>
        <v/>
      </c>
      <c r="CL846">
        <f>'Grid_Stock'!CJ8</f>
        <v/>
      </c>
      <c r="CM846">
        <f>'Grid_Stock'!CK8</f>
        <v/>
      </c>
      <c r="CN846">
        <f>'Grid_Stock'!CL8</f>
        <v/>
      </c>
      <c r="CO846">
        <f>'Grid_Stock'!CM8</f>
        <v/>
      </c>
      <c r="CP846">
        <f>'Grid_Stock'!CN8</f>
        <v/>
      </c>
      <c r="CQ846">
        <f>'Grid_Stock'!CO8</f>
        <v/>
      </c>
      <c r="CR846">
        <f>'Grid_Stock'!CP8</f>
        <v/>
      </c>
      <c r="CS846">
        <f>'Grid_Stock'!CQ8</f>
        <v/>
      </c>
      <c r="CT846">
        <f>'Grid_Stock'!CR8</f>
        <v/>
      </c>
      <c r="CU846">
        <f>'Grid_Stock'!CS8</f>
        <v/>
      </c>
      <c r="CV846">
        <f>'Grid_Stock'!CT8</f>
        <v/>
      </c>
      <c r="CW846">
        <f>'Grid_Stock'!CU8</f>
        <v/>
      </c>
      <c r="CX846">
        <f>'Grid_Stock'!CV8</f>
        <v/>
      </c>
      <c r="CY846">
        <f>'Grid_Stock'!CW8</f>
        <v/>
      </c>
      <c r="CZ846">
        <f>'Grid_Stock'!CX8</f>
        <v/>
      </c>
      <c r="DA846">
        <f>'Grid_Stock'!CY8</f>
        <v/>
      </c>
      <c r="DB846">
        <f>'Grid_Stock'!CZ8</f>
        <v/>
      </c>
      <c r="DC846">
        <f>'Grid_Stock'!DA8</f>
        <v/>
      </c>
    </row>
    <row r="847">
      <c r="B847" s="16" t="inlineStr">
        <is>
          <t>（発注の目安はDashboardの基準在庫[下限/上限]と色分けを参照）</t>
        </is>
      </c>
    </row>
    <row r="849">
      <c r="A849" s="14" t="inlineStr">
        <is>
          <t>CHEM-1540</t>
        </is>
      </c>
      <c r="B849" s="14" t="inlineStr">
        <is>
          <t>NAT35</t>
        </is>
      </c>
      <c r="C849" s="15" t="n"/>
      <c r="D849" s="14" t="n"/>
      <c r="E849" s="14" t="n"/>
      <c r="F849" s="14" t="n"/>
      <c r="G849" s="14" t="n"/>
      <c r="H849" s="14" t="n"/>
      <c r="I849" s="14" t="n"/>
      <c r="J849" s="14" t="n"/>
      <c r="K849" s="14" t="n"/>
      <c r="L849" s="14" t="n"/>
      <c r="M849" s="14" t="n"/>
      <c r="N849" s="14" t="n"/>
      <c r="O849" s="14" t="n"/>
      <c r="P849" s="14" t="n"/>
      <c r="Q849" s="14" t="n"/>
      <c r="R849" s="14" t="n"/>
      <c r="S849" s="14" t="n"/>
      <c r="T849" s="14" t="n"/>
      <c r="U849" s="14" t="n"/>
      <c r="V849" s="14" t="n"/>
      <c r="W849" s="14" t="n"/>
      <c r="X849" s="14" t="n"/>
      <c r="Y849" s="14" t="n"/>
      <c r="Z849" s="14" t="n"/>
      <c r="AA849" s="14" t="n"/>
      <c r="AB849" s="14" t="n"/>
      <c r="AC849" s="14" t="n"/>
      <c r="AD849" s="14" t="n"/>
      <c r="AE849" s="14" t="n"/>
      <c r="AF849" s="14" t="n"/>
      <c r="AG849" s="14" t="n"/>
      <c r="AH849" s="14" t="n"/>
      <c r="AI849" s="14" t="n"/>
      <c r="AJ849" s="14" t="n"/>
      <c r="AK849" s="14" t="n"/>
      <c r="AL849" s="14" t="n"/>
      <c r="AM849" s="14" t="n"/>
      <c r="AN849" s="14" t="n"/>
      <c r="AO849" s="14" t="n"/>
      <c r="AP849" s="14" t="n"/>
      <c r="AQ849" s="14" t="n"/>
      <c r="AR849" s="14" t="n"/>
      <c r="AS849" s="14" t="n"/>
      <c r="AT849" s="14" t="n"/>
      <c r="AU849" s="14" t="n"/>
      <c r="AV849" s="14" t="n"/>
      <c r="AW849" s="14" t="n"/>
      <c r="AX849" s="14" t="n"/>
      <c r="AY849" s="14" t="n"/>
      <c r="AZ849" s="14" t="n"/>
      <c r="BA849" s="14" t="n"/>
      <c r="BB849" s="14" t="n"/>
      <c r="BC849" s="14" t="n"/>
      <c r="BD849" s="14" t="n"/>
      <c r="BE849" s="14" t="n"/>
      <c r="BF849" s="14" t="n"/>
      <c r="BG849" s="14" t="n"/>
      <c r="BH849" s="14" t="n"/>
      <c r="BI849" s="14" t="n"/>
      <c r="BJ849" s="14" t="n"/>
      <c r="BK849" s="14" t="n"/>
      <c r="BL849" s="14" t="n"/>
      <c r="BM849" s="14" t="n"/>
      <c r="BN849" s="14" t="n"/>
      <c r="BO849" s="14" t="n"/>
      <c r="BP849" s="14" t="n"/>
      <c r="BQ849" s="14" t="n"/>
      <c r="BR849" s="14" t="n"/>
      <c r="BS849" s="14" t="n"/>
      <c r="BT849" s="14" t="n"/>
      <c r="BU849" s="14" t="n"/>
      <c r="BV849" s="14" t="n"/>
      <c r="BW849" s="14" t="n"/>
      <c r="BX849" s="14" t="n"/>
      <c r="BY849" s="14" t="n"/>
      <c r="BZ849" s="14" t="n"/>
      <c r="CA849" s="14" t="n"/>
      <c r="CB849" s="14" t="n"/>
      <c r="CC849" s="14" t="n"/>
      <c r="CD849" s="14" t="n"/>
      <c r="CE849" s="14" t="n"/>
      <c r="CF849" s="14" t="n"/>
      <c r="CG849" s="14" t="n"/>
      <c r="CH849" s="14" t="n"/>
      <c r="CI849" s="14" t="n"/>
      <c r="CJ849" s="14" t="n"/>
      <c r="CK849" s="14" t="n"/>
      <c r="CL849" s="14" t="n"/>
      <c r="CM849" s="14" t="n"/>
      <c r="CN849" s="14" t="n"/>
      <c r="CO849" s="14" t="n"/>
      <c r="CP849" s="14" t="n"/>
      <c r="CQ849" s="14" t="n"/>
      <c r="CR849" s="14" t="n"/>
      <c r="CS849" s="14" t="n"/>
      <c r="CT849" s="14" t="n"/>
      <c r="CU849" s="14" t="n"/>
      <c r="CV849" s="14" t="n"/>
      <c r="CW849" s="14" t="n"/>
      <c r="CX849" s="14" t="n"/>
      <c r="CY849" s="14" t="n"/>
      <c r="CZ849" s="14" t="n"/>
      <c r="DA849" s="14" t="n"/>
      <c r="DB849" s="14" t="n"/>
      <c r="DC849" s="14" t="n"/>
    </row>
    <row r="850">
      <c r="B850" t="inlineStr">
        <is>
          <t>TSP-620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Name],$A849)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TSP-623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Name],$A849)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TSP-927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Name],$A849)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TSP-928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Name],$A849)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TSP-929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Name],$A849)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TSP-930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Name],$A849)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TSP-934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Name],$A849)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TSP-935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Name],$A849)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TSP-936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Name],$A849)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TSP-937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Name],$A849)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TSP-1444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Name],$A849)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t="inlineStr">
        <is>
          <t>TSP-1448</t>
        </is>
      </c>
      <c r="C872" t="inlineStr">
        <is>
          <t>No. of batches</t>
        </is>
      </c>
      <c r="D872">
        <f>IFERROR(INDEX(PP_Grid[#Data],$DD872,2),0)</f>
        <v/>
      </c>
      <c r="E872">
        <f>IFERROR(INDEX(PP_Grid[#Data],$DD872,3),0)</f>
        <v/>
      </c>
      <c r="F872">
        <f>IFERROR(INDEX(PP_Grid[#Data],$DD872,4),0)</f>
        <v/>
      </c>
      <c r="G872">
        <f>IFERROR(INDEX(PP_Grid[#Data],$DD872,5),0)</f>
        <v/>
      </c>
      <c r="H872">
        <f>IFERROR(INDEX(PP_Grid[#Data],$DD872,6),0)</f>
        <v/>
      </c>
      <c r="I872">
        <f>IFERROR(INDEX(PP_Grid[#Data],$DD872,7),0)</f>
        <v/>
      </c>
      <c r="J872">
        <f>IFERROR(INDEX(PP_Grid[#Data],$DD872,8),0)</f>
        <v/>
      </c>
      <c r="K872">
        <f>IFERROR(INDEX(PP_Grid[#Data],$DD872,9),0)</f>
        <v/>
      </c>
      <c r="L872">
        <f>IFERROR(INDEX(PP_Grid[#Data],$DD872,10),0)</f>
        <v/>
      </c>
      <c r="M872">
        <f>IFERROR(INDEX(PP_Grid[#Data],$DD872,11),0)</f>
        <v/>
      </c>
      <c r="N872">
        <f>IFERROR(INDEX(PP_Grid[#Data],$DD872,12),0)</f>
        <v/>
      </c>
      <c r="O872">
        <f>IFERROR(INDEX(PP_Grid[#Data],$DD872,13),0)</f>
        <v/>
      </c>
      <c r="P872">
        <f>IFERROR(INDEX(PP_Grid[#Data],$DD872,14),0)</f>
        <v/>
      </c>
      <c r="Q872">
        <f>IFERROR(INDEX(PP_Grid[#Data],$DD872,15),0)</f>
        <v/>
      </c>
      <c r="R872">
        <f>IFERROR(INDEX(PP_Grid[#Data],$DD872,16),0)</f>
        <v/>
      </c>
      <c r="S872">
        <f>IFERROR(INDEX(PP_Grid[#Data],$DD872,17),0)</f>
        <v/>
      </c>
      <c r="T872">
        <f>IFERROR(INDEX(PP_Grid[#Data],$DD872,18),0)</f>
        <v/>
      </c>
      <c r="U872">
        <f>IFERROR(INDEX(PP_Grid[#Data],$DD872,19),0)</f>
        <v/>
      </c>
      <c r="V872">
        <f>IFERROR(INDEX(PP_Grid[#Data],$DD872,20),0)</f>
        <v/>
      </c>
      <c r="W872">
        <f>IFERROR(INDEX(PP_Grid[#Data],$DD872,21),0)</f>
        <v/>
      </c>
      <c r="X872">
        <f>IFERROR(INDEX(PP_Grid[#Data],$DD872,22),0)</f>
        <v/>
      </c>
      <c r="Y872">
        <f>IFERROR(INDEX(PP_Grid[#Data],$DD872,23),0)</f>
        <v/>
      </c>
      <c r="Z872">
        <f>IFERROR(INDEX(PP_Grid[#Data],$DD872,24),0)</f>
        <v/>
      </c>
      <c r="AA872">
        <f>IFERROR(INDEX(PP_Grid[#Data],$DD872,25),0)</f>
        <v/>
      </c>
      <c r="AB872">
        <f>IFERROR(INDEX(PP_Grid[#Data],$DD872,26),0)</f>
        <v/>
      </c>
      <c r="AC872">
        <f>IFERROR(INDEX(PP_Grid[#Data],$DD872,27),0)</f>
        <v/>
      </c>
      <c r="AD872">
        <f>IFERROR(INDEX(PP_Grid[#Data],$DD872,28),0)</f>
        <v/>
      </c>
      <c r="AE872">
        <f>IFERROR(INDEX(PP_Grid[#Data],$DD872,29),0)</f>
        <v/>
      </c>
      <c r="AF872">
        <f>IFERROR(INDEX(PP_Grid[#Data],$DD872,30),0)</f>
        <v/>
      </c>
      <c r="AG872">
        <f>IFERROR(INDEX(PP_Grid[#Data],$DD872,31),0)</f>
        <v/>
      </c>
      <c r="AH872">
        <f>IFERROR(INDEX(PP_Grid[#Data],$DD872,32),0)</f>
        <v/>
      </c>
      <c r="AI872">
        <f>IFERROR(INDEX(PP_Grid[#Data],$DD872,33),0)</f>
        <v/>
      </c>
      <c r="AJ872">
        <f>IFERROR(INDEX(PP_Grid[#Data],$DD872,34),0)</f>
        <v/>
      </c>
      <c r="AK872">
        <f>IFERROR(INDEX(PP_Grid[#Data],$DD872,35),0)</f>
        <v/>
      </c>
      <c r="AL872">
        <f>IFERROR(INDEX(PP_Grid[#Data],$DD872,36),0)</f>
        <v/>
      </c>
      <c r="AM872">
        <f>IFERROR(INDEX(PP_Grid[#Data],$DD872,37),0)</f>
        <v/>
      </c>
      <c r="AN872">
        <f>IFERROR(INDEX(PP_Grid[#Data],$DD872,38),0)</f>
        <v/>
      </c>
      <c r="AO872">
        <f>IFERROR(INDEX(PP_Grid[#Data],$DD872,39),0)</f>
        <v/>
      </c>
      <c r="AP872">
        <f>IFERROR(INDEX(PP_Grid[#Data],$DD872,40),0)</f>
        <v/>
      </c>
      <c r="AQ872">
        <f>IFERROR(INDEX(PP_Grid[#Data],$DD872,41),0)</f>
        <v/>
      </c>
      <c r="AR872">
        <f>IFERROR(INDEX(PP_Grid[#Data],$DD872,42),0)</f>
        <v/>
      </c>
      <c r="AS872">
        <f>IFERROR(INDEX(PP_Grid[#Data],$DD872,43),0)</f>
        <v/>
      </c>
      <c r="AT872">
        <f>IFERROR(INDEX(PP_Grid[#Data],$DD872,44),0)</f>
        <v/>
      </c>
      <c r="AU872">
        <f>IFERROR(INDEX(PP_Grid[#Data],$DD872,45),0)</f>
        <v/>
      </c>
      <c r="AV872">
        <f>IFERROR(INDEX(PP_Grid[#Data],$DD872,46),0)</f>
        <v/>
      </c>
      <c r="AW872">
        <f>IFERROR(INDEX(PP_Grid[#Data],$DD872,47),0)</f>
        <v/>
      </c>
      <c r="AX872">
        <f>IFERROR(INDEX(PP_Grid[#Data],$DD872,48),0)</f>
        <v/>
      </c>
      <c r="AY872">
        <f>IFERROR(INDEX(PP_Grid[#Data],$DD872,49),0)</f>
        <v/>
      </c>
      <c r="AZ872">
        <f>IFERROR(INDEX(PP_Grid[#Data],$DD872,50),0)</f>
        <v/>
      </c>
      <c r="BA872">
        <f>IFERROR(INDEX(PP_Grid[#Data],$DD872,51),0)</f>
        <v/>
      </c>
      <c r="BB872">
        <f>IFERROR(INDEX(PP_Grid[#Data],$DD872,52),0)</f>
        <v/>
      </c>
      <c r="BC872">
        <f>IFERROR(INDEX(PP_Grid[#Data],$DD872,53),0)</f>
        <v/>
      </c>
      <c r="BD872">
        <f>IFERROR(INDEX(PP_Grid[#Data],$DD872,54),0)</f>
        <v/>
      </c>
      <c r="BE872">
        <f>IFERROR(INDEX(PP_Grid[#Data],$DD872,55),0)</f>
        <v/>
      </c>
      <c r="BF872">
        <f>IFERROR(INDEX(PP_Grid[#Data],$DD872,56),0)</f>
        <v/>
      </c>
      <c r="BG872">
        <f>IFERROR(INDEX(PP_Grid[#Data],$DD872,57),0)</f>
        <v/>
      </c>
      <c r="BH872">
        <f>IFERROR(INDEX(PP_Grid[#Data],$DD872,58),0)</f>
        <v/>
      </c>
      <c r="BI872">
        <f>IFERROR(INDEX(PP_Grid[#Data],$DD872,59),0)</f>
        <v/>
      </c>
      <c r="BJ872">
        <f>IFERROR(INDEX(PP_Grid[#Data],$DD872,60),0)</f>
        <v/>
      </c>
      <c r="BK872">
        <f>IFERROR(INDEX(PP_Grid[#Data],$DD872,61),0)</f>
        <v/>
      </c>
      <c r="BL872">
        <f>IFERROR(INDEX(PP_Grid[#Data],$DD872,62),0)</f>
        <v/>
      </c>
      <c r="BM872">
        <f>IFERROR(INDEX(PP_Grid[#Data],$DD872,63),0)</f>
        <v/>
      </c>
      <c r="BN872">
        <f>IFERROR(INDEX(PP_Grid[#Data],$DD872,64),0)</f>
        <v/>
      </c>
      <c r="BO872">
        <f>IFERROR(INDEX(PP_Grid[#Data],$DD872,65),0)</f>
        <v/>
      </c>
      <c r="BP872">
        <f>IFERROR(INDEX(PP_Grid[#Data],$DD872,66),0)</f>
        <v/>
      </c>
      <c r="BQ872">
        <f>IFERROR(INDEX(PP_Grid[#Data],$DD872,67),0)</f>
        <v/>
      </c>
      <c r="BR872">
        <f>IFERROR(INDEX(PP_Grid[#Data],$DD872,68),0)</f>
        <v/>
      </c>
      <c r="BS872">
        <f>IFERROR(INDEX(PP_Grid[#Data],$DD872,69),0)</f>
        <v/>
      </c>
      <c r="BT872">
        <f>IFERROR(INDEX(PP_Grid[#Data],$DD872,70),0)</f>
        <v/>
      </c>
      <c r="BU872">
        <f>IFERROR(INDEX(PP_Grid[#Data],$DD872,71),0)</f>
        <v/>
      </c>
      <c r="BV872">
        <f>IFERROR(INDEX(PP_Grid[#Data],$DD872,72),0)</f>
        <v/>
      </c>
      <c r="BW872">
        <f>IFERROR(INDEX(PP_Grid[#Data],$DD872,73),0)</f>
        <v/>
      </c>
      <c r="BX872">
        <f>IFERROR(INDEX(PP_Grid[#Data],$DD872,74),0)</f>
        <v/>
      </c>
      <c r="BY872">
        <f>IFERROR(INDEX(PP_Grid[#Data],$DD872,75),0)</f>
        <v/>
      </c>
      <c r="BZ872">
        <f>IFERROR(INDEX(PP_Grid[#Data],$DD872,76),0)</f>
        <v/>
      </c>
      <c r="CA872">
        <f>IFERROR(INDEX(PP_Grid[#Data],$DD872,77),0)</f>
        <v/>
      </c>
      <c r="CB872">
        <f>IFERROR(INDEX(PP_Grid[#Data],$DD872,78),0)</f>
        <v/>
      </c>
      <c r="CC872">
        <f>IFERROR(INDEX(PP_Grid[#Data],$DD872,79),0)</f>
        <v/>
      </c>
      <c r="CD872">
        <f>IFERROR(INDEX(PP_Grid[#Data],$DD872,80),0)</f>
        <v/>
      </c>
      <c r="CE872">
        <f>IFERROR(INDEX(PP_Grid[#Data],$DD872,81),0)</f>
        <v/>
      </c>
      <c r="CF872">
        <f>IFERROR(INDEX(PP_Grid[#Data],$DD872,82),0)</f>
        <v/>
      </c>
      <c r="CG872">
        <f>IFERROR(INDEX(PP_Grid[#Data],$DD872,83),0)</f>
        <v/>
      </c>
      <c r="CH872">
        <f>IFERROR(INDEX(PP_Grid[#Data],$DD872,84),0)</f>
        <v/>
      </c>
      <c r="CI872">
        <f>IFERROR(INDEX(PP_Grid[#Data],$DD872,85),0)</f>
        <v/>
      </c>
      <c r="CJ872">
        <f>IFERROR(INDEX(PP_Grid[#Data],$DD872,86),0)</f>
        <v/>
      </c>
      <c r="CK872">
        <f>IFERROR(INDEX(PP_Grid[#Data],$DD872,87),0)</f>
        <v/>
      </c>
      <c r="CL872">
        <f>IFERROR(INDEX(PP_Grid[#Data],$DD872,88),0)</f>
        <v/>
      </c>
      <c r="CM872">
        <f>IFERROR(INDEX(PP_Grid[#Data],$DD872,89),0)</f>
        <v/>
      </c>
      <c r="CN872">
        <f>IFERROR(INDEX(PP_Grid[#Data],$DD872,90),0)</f>
        <v/>
      </c>
      <c r="CO872">
        <f>IFERROR(INDEX(PP_Grid[#Data],$DD872,91),0)</f>
        <v/>
      </c>
      <c r="CP872">
        <f>IFERROR(INDEX(PP_Grid[#Data],$DD872,92),0)</f>
        <v/>
      </c>
      <c r="CQ872">
        <f>IFERROR(INDEX(PP_Grid[#Data],$DD872,93),0)</f>
        <v/>
      </c>
      <c r="CR872">
        <f>IFERROR(INDEX(PP_Grid[#Data],$DD872,94),0)</f>
        <v/>
      </c>
      <c r="CS872">
        <f>IFERROR(INDEX(PP_Grid[#Data],$DD872,95),0)</f>
        <v/>
      </c>
      <c r="CT872">
        <f>IFERROR(INDEX(PP_Grid[#Data],$DD872,96),0)</f>
        <v/>
      </c>
      <c r="CU872">
        <f>IFERROR(INDEX(PP_Grid[#Data],$DD872,97),0)</f>
        <v/>
      </c>
      <c r="CV872">
        <f>IFERROR(INDEX(PP_Grid[#Data],$DD872,98),0)</f>
        <v/>
      </c>
      <c r="CW872">
        <f>IFERROR(INDEX(PP_Grid[#Data],$DD872,99),0)</f>
        <v/>
      </c>
      <c r="CX872">
        <f>IFERROR(INDEX(PP_Grid[#Data],$DD872,100),0)</f>
        <v/>
      </c>
      <c r="CY872">
        <f>IFERROR(INDEX(PP_Grid[#Data],$DD872,101),0)</f>
        <v/>
      </c>
      <c r="CZ872">
        <f>IFERROR(INDEX(PP_Grid[#Data],$DD872,102),0)</f>
        <v/>
      </c>
      <c r="DA872">
        <f>IFERROR(INDEX(PP_Grid[#Data],$DD872,103),0)</f>
        <v/>
      </c>
      <c r="DB872">
        <f>IFERROR(INDEX(PP_Grid[#Data],$DD872,104),0)</f>
        <v/>
      </c>
      <c r="DC872">
        <f>IFERROR(INDEX(PP_Grid[#Data],$DD872,105),0)</f>
        <v/>
      </c>
      <c r="DD872" s="7">
        <f>IFERROR(MATCH($B872,PP_Grid[Intermediate],0),99999)</f>
        <v/>
      </c>
    </row>
    <row r="873">
      <c r="B873" t="inlineStr">
        <is>
          <t>使用量(kg)</t>
        </is>
      </c>
      <c r="C873">
        <f>SUMIFS(M_BOM[RM_Qty_Per_Batch],M_BOM[Intermediate],$B872,M_BOM[Part Name],$A849)</f>
        <v/>
      </c>
      <c r="D873">
        <f>$C873*D872</f>
        <v/>
      </c>
      <c r="E873">
        <f>$C873*E872</f>
        <v/>
      </c>
      <c r="F873">
        <f>$C873*F872</f>
        <v/>
      </c>
      <c r="G873">
        <f>$C873*G872</f>
        <v/>
      </c>
      <c r="H873">
        <f>$C873*H872</f>
        <v/>
      </c>
      <c r="I873">
        <f>$C873*I872</f>
        <v/>
      </c>
      <c r="J873">
        <f>$C873*J872</f>
        <v/>
      </c>
      <c r="K873">
        <f>$C873*K872</f>
        <v/>
      </c>
      <c r="L873">
        <f>$C873*L872</f>
        <v/>
      </c>
      <c r="M873">
        <f>$C873*M872</f>
        <v/>
      </c>
      <c r="N873">
        <f>$C873*N872</f>
        <v/>
      </c>
      <c r="O873">
        <f>$C873*O872</f>
        <v/>
      </c>
      <c r="P873">
        <f>$C873*P872</f>
        <v/>
      </c>
      <c r="Q873">
        <f>$C873*Q872</f>
        <v/>
      </c>
      <c r="R873">
        <f>$C873*R872</f>
        <v/>
      </c>
      <c r="S873">
        <f>$C873*S872</f>
        <v/>
      </c>
      <c r="T873">
        <f>$C873*T872</f>
        <v/>
      </c>
      <c r="U873">
        <f>$C873*U872</f>
        <v/>
      </c>
      <c r="V873">
        <f>$C873*V872</f>
        <v/>
      </c>
      <c r="W873">
        <f>$C873*W872</f>
        <v/>
      </c>
      <c r="X873">
        <f>$C873*X872</f>
        <v/>
      </c>
      <c r="Y873">
        <f>$C873*Y872</f>
        <v/>
      </c>
      <c r="Z873">
        <f>$C873*Z872</f>
        <v/>
      </c>
      <c r="AA873">
        <f>$C873*AA872</f>
        <v/>
      </c>
      <c r="AB873">
        <f>$C873*AB872</f>
        <v/>
      </c>
      <c r="AC873">
        <f>$C873*AC872</f>
        <v/>
      </c>
      <c r="AD873">
        <f>$C873*AD872</f>
        <v/>
      </c>
      <c r="AE873">
        <f>$C873*AE872</f>
        <v/>
      </c>
      <c r="AF873">
        <f>$C873*AF872</f>
        <v/>
      </c>
      <c r="AG873">
        <f>$C873*AG872</f>
        <v/>
      </c>
      <c r="AH873">
        <f>$C873*AH872</f>
        <v/>
      </c>
      <c r="AI873">
        <f>$C873*AI872</f>
        <v/>
      </c>
      <c r="AJ873">
        <f>$C873*AJ872</f>
        <v/>
      </c>
      <c r="AK873">
        <f>$C873*AK872</f>
        <v/>
      </c>
      <c r="AL873">
        <f>$C873*AL872</f>
        <v/>
      </c>
      <c r="AM873">
        <f>$C873*AM872</f>
        <v/>
      </c>
      <c r="AN873">
        <f>$C873*AN872</f>
        <v/>
      </c>
      <c r="AO873">
        <f>$C873*AO872</f>
        <v/>
      </c>
      <c r="AP873">
        <f>$C873*AP872</f>
        <v/>
      </c>
      <c r="AQ873">
        <f>$C873*AQ872</f>
        <v/>
      </c>
      <c r="AR873">
        <f>$C873*AR872</f>
        <v/>
      </c>
      <c r="AS873">
        <f>$C873*AS872</f>
        <v/>
      </c>
      <c r="AT873">
        <f>$C873*AT872</f>
        <v/>
      </c>
      <c r="AU873">
        <f>$C873*AU872</f>
        <v/>
      </c>
      <c r="AV873">
        <f>$C873*AV872</f>
        <v/>
      </c>
      <c r="AW873">
        <f>$C873*AW872</f>
        <v/>
      </c>
      <c r="AX873">
        <f>$C873*AX872</f>
        <v/>
      </c>
      <c r="AY873">
        <f>$C873*AY872</f>
        <v/>
      </c>
      <c r="AZ873">
        <f>$C873*AZ872</f>
        <v/>
      </c>
      <c r="BA873">
        <f>$C873*BA872</f>
        <v/>
      </c>
      <c r="BB873">
        <f>$C873*BB872</f>
        <v/>
      </c>
      <c r="BC873">
        <f>$C873*BC872</f>
        <v/>
      </c>
      <c r="BD873">
        <f>$C873*BD872</f>
        <v/>
      </c>
      <c r="BE873">
        <f>$C873*BE872</f>
        <v/>
      </c>
      <c r="BF873">
        <f>$C873*BF872</f>
        <v/>
      </c>
      <c r="BG873">
        <f>$C873*BG872</f>
        <v/>
      </c>
      <c r="BH873">
        <f>$C873*BH872</f>
        <v/>
      </c>
      <c r="BI873">
        <f>$C873*BI872</f>
        <v/>
      </c>
      <c r="BJ873">
        <f>$C873*BJ872</f>
        <v/>
      </c>
      <c r="BK873">
        <f>$C873*BK872</f>
        <v/>
      </c>
      <c r="BL873">
        <f>$C873*BL872</f>
        <v/>
      </c>
      <c r="BM873">
        <f>$C873*BM872</f>
        <v/>
      </c>
      <c r="BN873">
        <f>$C873*BN872</f>
        <v/>
      </c>
      <c r="BO873">
        <f>$C873*BO872</f>
        <v/>
      </c>
      <c r="BP873">
        <f>$C873*BP872</f>
        <v/>
      </c>
      <c r="BQ873">
        <f>$C873*BQ872</f>
        <v/>
      </c>
      <c r="BR873">
        <f>$C873*BR872</f>
        <v/>
      </c>
      <c r="BS873">
        <f>$C873*BS872</f>
        <v/>
      </c>
      <c r="BT873">
        <f>$C873*BT872</f>
        <v/>
      </c>
      <c r="BU873">
        <f>$C873*BU872</f>
        <v/>
      </c>
      <c r="BV873">
        <f>$C873*BV872</f>
        <v/>
      </c>
      <c r="BW873">
        <f>$C873*BW872</f>
        <v/>
      </c>
      <c r="BX873">
        <f>$C873*BX872</f>
        <v/>
      </c>
      <c r="BY873">
        <f>$C873*BY872</f>
        <v/>
      </c>
      <c r="BZ873">
        <f>$C873*BZ872</f>
        <v/>
      </c>
      <c r="CA873">
        <f>$C873*CA872</f>
        <v/>
      </c>
      <c r="CB873">
        <f>$C873*CB872</f>
        <v/>
      </c>
      <c r="CC873">
        <f>$C873*CC872</f>
        <v/>
      </c>
      <c r="CD873">
        <f>$C873*CD872</f>
        <v/>
      </c>
      <c r="CE873">
        <f>$C873*CE872</f>
        <v/>
      </c>
      <c r="CF873">
        <f>$C873*CF872</f>
        <v/>
      </c>
      <c r="CG873">
        <f>$C873*CG872</f>
        <v/>
      </c>
      <c r="CH873">
        <f>$C873*CH872</f>
        <v/>
      </c>
      <c r="CI873">
        <f>$C873*CI872</f>
        <v/>
      </c>
      <c r="CJ873">
        <f>$C873*CJ872</f>
        <v/>
      </c>
      <c r="CK873">
        <f>$C873*CK872</f>
        <v/>
      </c>
      <c r="CL873">
        <f>$C873*CL872</f>
        <v/>
      </c>
      <c r="CM873">
        <f>$C873*CM872</f>
        <v/>
      </c>
      <c r="CN873">
        <f>$C873*CN872</f>
        <v/>
      </c>
      <c r="CO873">
        <f>$C873*CO872</f>
        <v/>
      </c>
      <c r="CP873">
        <f>$C873*CP872</f>
        <v/>
      </c>
      <c r="CQ873">
        <f>$C873*CQ872</f>
        <v/>
      </c>
      <c r="CR873">
        <f>$C873*CR872</f>
        <v/>
      </c>
      <c r="CS873">
        <f>$C873*CS872</f>
        <v/>
      </c>
      <c r="CT873">
        <f>$C873*CT872</f>
        <v/>
      </c>
      <c r="CU873">
        <f>$C873*CU872</f>
        <v/>
      </c>
      <c r="CV873">
        <f>$C873*CV872</f>
        <v/>
      </c>
      <c r="CW873">
        <f>$C873*CW872</f>
        <v/>
      </c>
      <c r="CX873">
        <f>$C873*CX872</f>
        <v/>
      </c>
      <c r="CY873">
        <f>$C873*CY872</f>
        <v/>
      </c>
      <c r="CZ873">
        <f>$C873*CZ872</f>
        <v/>
      </c>
      <c r="DA873">
        <f>$C873*DA872</f>
        <v/>
      </c>
      <c r="DB873">
        <f>$C873*DB872</f>
        <v/>
      </c>
      <c r="DC873">
        <f>$C873*DC872</f>
        <v/>
      </c>
    </row>
    <row r="874">
      <c r="B874" t="inlineStr">
        <is>
          <t>TSP-1445</t>
        </is>
      </c>
      <c r="C874" t="inlineStr">
        <is>
          <t>No. of batches</t>
        </is>
      </c>
      <c r="D874">
        <f>IFERROR(INDEX(PP_Grid[#Data],$DD874,2),0)</f>
        <v/>
      </c>
      <c r="E874">
        <f>IFERROR(INDEX(PP_Grid[#Data],$DD874,3),0)</f>
        <v/>
      </c>
      <c r="F874">
        <f>IFERROR(INDEX(PP_Grid[#Data],$DD874,4),0)</f>
        <v/>
      </c>
      <c r="G874">
        <f>IFERROR(INDEX(PP_Grid[#Data],$DD874,5),0)</f>
        <v/>
      </c>
      <c r="H874">
        <f>IFERROR(INDEX(PP_Grid[#Data],$DD874,6),0)</f>
        <v/>
      </c>
      <c r="I874">
        <f>IFERROR(INDEX(PP_Grid[#Data],$DD874,7),0)</f>
        <v/>
      </c>
      <c r="J874">
        <f>IFERROR(INDEX(PP_Grid[#Data],$DD874,8),0)</f>
        <v/>
      </c>
      <c r="K874">
        <f>IFERROR(INDEX(PP_Grid[#Data],$DD874,9),0)</f>
        <v/>
      </c>
      <c r="L874">
        <f>IFERROR(INDEX(PP_Grid[#Data],$DD874,10),0)</f>
        <v/>
      </c>
      <c r="M874">
        <f>IFERROR(INDEX(PP_Grid[#Data],$DD874,11),0)</f>
        <v/>
      </c>
      <c r="N874">
        <f>IFERROR(INDEX(PP_Grid[#Data],$DD874,12),0)</f>
        <v/>
      </c>
      <c r="O874">
        <f>IFERROR(INDEX(PP_Grid[#Data],$DD874,13),0)</f>
        <v/>
      </c>
      <c r="P874">
        <f>IFERROR(INDEX(PP_Grid[#Data],$DD874,14),0)</f>
        <v/>
      </c>
      <c r="Q874">
        <f>IFERROR(INDEX(PP_Grid[#Data],$DD874,15),0)</f>
        <v/>
      </c>
      <c r="R874">
        <f>IFERROR(INDEX(PP_Grid[#Data],$DD874,16),0)</f>
        <v/>
      </c>
      <c r="S874">
        <f>IFERROR(INDEX(PP_Grid[#Data],$DD874,17),0)</f>
        <v/>
      </c>
      <c r="T874">
        <f>IFERROR(INDEX(PP_Grid[#Data],$DD874,18),0)</f>
        <v/>
      </c>
      <c r="U874">
        <f>IFERROR(INDEX(PP_Grid[#Data],$DD874,19),0)</f>
        <v/>
      </c>
      <c r="V874">
        <f>IFERROR(INDEX(PP_Grid[#Data],$DD874,20),0)</f>
        <v/>
      </c>
      <c r="W874">
        <f>IFERROR(INDEX(PP_Grid[#Data],$DD874,21),0)</f>
        <v/>
      </c>
      <c r="X874">
        <f>IFERROR(INDEX(PP_Grid[#Data],$DD874,22),0)</f>
        <v/>
      </c>
      <c r="Y874">
        <f>IFERROR(INDEX(PP_Grid[#Data],$DD874,23),0)</f>
        <v/>
      </c>
      <c r="Z874">
        <f>IFERROR(INDEX(PP_Grid[#Data],$DD874,24),0)</f>
        <v/>
      </c>
      <c r="AA874">
        <f>IFERROR(INDEX(PP_Grid[#Data],$DD874,25),0)</f>
        <v/>
      </c>
      <c r="AB874">
        <f>IFERROR(INDEX(PP_Grid[#Data],$DD874,26),0)</f>
        <v/>
      </c>
      <c r="AC874">
        <f>IFERROR(INDEX(PP_Grid[#Data],$DD874,27),0)</f>
        <v/>
      </c>
      <c r="AD874">
        <f>IFERROR(INDEX(PP_Grid[#Data],$DD874,28),0)</f>
        <v/>
      </c>
      <c r="AE874">
        <f>IFERROR(INDEX(PP_Grid[#Data],$DD874,29),0)</f>
        <v/>
      </c>
      <c r="AF874">
        <f>IFERROR(INDEX(PP_Grid[#Data],$DD874,30),0)</f>
        <v/>
      </c>
      <c r="AG874">
        <f>IFERROR(INDEX(PP_Grid[#Data],$DD874,31),0)</f>
        <v/>
      </c>
      <c r="AH874">
        <f>IFERROR(INDEX(PP_Grid[#Data],$DD874,32),0)</f>
        <v/>
      </c>
      <c r="AI874">
        <f>IFERROR(INDEX(PP_Grid[#Data],$DD874,33),0)</f>
        <v/>
      </c>
      <c r="AJ874">
        <f>IFERROR(INDEX(PP_Grid[#Data],$DD874,34),0)</f>
        <v/>
      </c>
      <c r="AK874">
        <f>IFERROR(INDEX(PP_Grid[#Data],$DD874,35),0)</f>
        <v/>
      </c>
      <c r="AL874">
        <f>IFERROR(INDEX(PP_Grid[#Data],$DD874,36),0)</f>
        <v/>
      </c>
      <c r="AM874">
        <f>IFERROR(INDEX(PP_Grid[#Data],$DD874,37),0)</f>
        <v/>
      </c>
      <c r="AN874">
        <f>IFERROR(INDEX(PP_Grid[#Data],$DD874,38),0)</f>
        <v/>
      </c>
      <c r="AO874">
        <f>IFERROR(INDEX(PP_Grid[#Data],$DD874,39),0)</f>
        <v/>
      </c>
      <c r="AP874">
        <f>IFERROR(INDEX(PP_Grid[#Data],$DD874,40),0)</f>
        <v/>
      </c>
      <c r="AQ874">
        <f>IFERROR(INDEX(PP_Grid[#Data],$DD874,41),0)</f>
        <v/>
      </c>
      <c r="AR874">
        <f>IFERROR(INDEX(PP_Grid[#Data],$DD874,42),0)</f>
        <v/>
      </c>
      <c r="AS874">
        <f>IFERROR(INDEX(PP_Grid[#Data],$DD874,43),0)</f>
        <v/>
      </c>
      <c r="AT874">
        <f>IFERROR(INDEX(PP_Grid[#Data],$DD874,44),0)</f>
        <v/>
      </c>
      <c r="AU874">
        <f>IFERROR(INDEX(PP_Grid[#Data],$DD874,45),0)</f>
        <v/>
      </c>
      <c r="AV874">
        <f>IFERROR(INDEX(PP_Grid[#Data],$DD874,46),0)</f>
        <v/>
      </c>
      <c r="AW874">
        <f>IFERROR(INDEX(PP_Grid[#Data],$DD874,47),0)</f>
        <v/>
      </c>
      <c r="AX874">
        <f>IFERROR(INDEX(PP_Grid[#Data],$DD874,48),0)</f>
        <v/>
      </c>
      <c r="AY874">
        <f>IFERROR(INDEX(PP_Grid[#Data],$DD874,49),0)</f>
        <v/>
      </c>
      <c r="AZ874">
        <f>IFERROR(INDEX(PP_Grid[#Data],$DD874,50),0)</f>
        <v/>
      </c>
      <c r="BA874">
        <f>IFERROR(INDEX(PP_Grid[#Data],$DD874,51),0)</f>
        <v/>
      </c>
      <c r="BB874">
        <f>IFERROR(INDEX(PP_Grid[#Data],$DD874,52),0)</f>
        <v/>
      </c>
      <c r="BC874">
        <f>IFERROR(INDEX(PP_Grid[#Data],$DD874,53),0)</f>
        <v/>
      </c>
      <c r="BD874">
        <f>IFERROR(INDEX(PP_Grid[#Data],$DD874,54),0)</f>
        <v/>
      </c>
      <c r="BE874">
        <f>IFERROR(INDEX(PP_Grid[#Data],$DD874,55),0)</f>
        <v/>
      </c>
      <c r="BF874">
        <f>IFERROR(INDEX(PP_Grid[#Data],$DD874,56),0)</f>
        <v/>
      </c>
      <c r="BG874">
        <f>IFERROR(INDEX(PP_Grid[#Data],$DD874,57),0)</f>
        <v/>
      </c>
      <c r="BH874">
        <f>IFERROR(INDEX(PP_Grid[#Data],$DD874,58),0)</f>
        <v/>
      </c>
      <c r="BI874">
        <f>IFERROR(INDEX(PP_Grid[#Data],$DD874,59),0)</f>
        <v/>
      </c>
      <c r="BJ874">
        <f>IFERROR(INDEX(PP_Grid[#Data],$DD874,60),0)</f>
        <v/>
      </c>
      <c r="BK874">
        <f>IFERROR(INDEX(PP_Grid[#Data],$DD874,61),0)</f>
        <v/>
      </c>
      <c r="BL874">
        <f>IFERROR(INDEX(PP_Grid[#Data],$DD874,62),0)</f>
        <v/>
      </c>
      <c r="BM874">
        <f>IFERROR(INDEX(PP_Grid[#Data],$DD874,63),0)</f>
        <v/>
      </c>
      <c r="BN874">
        <f>IFERROR(INDEX(PP_Grid[#Data],$DD874,64),0)</f>
        <v/>
      </c>
      <c r="BO874">
        <f>IFERROR(INDEX(PP_Grid[#Data],$DD874,65),0)</f>
        <v/>
      </c>
      <c r="BP874">
        <f>IFERROR(INDEX(PP_Grid[#Data],$DD874,66),0)</f>
        <v/>
      </c>
      <c r="BQ874">
        <f>IFERROR(INDEX(PP_Grid[#Data],$DD874,67),0)</f>
        <v/>
      </c>
      <c r="BR874">
        <f>IFERROR(INDEX(PP_Grid[#Data],$DD874,68),0)</f>
        <v/>
      </c>
      <c r="BS874">
        <f>IFERROR(INDEX(PP_Grid[#Data],$DD874,69),0)</f>
        <v/>
      </c>
      <c r="BT874">
        <f>IFERROR(INDEX(PP_Grid[#Data],$DD874,70),0)</f>
        <v/>
      </c>
      <c r="BU874">
        <f>IFERROR(INDEX(PP_Grid[#Data],$DD874,71),0)</f>
        <v/>
      </c>
      <c r="BV874">
        <f>IFERROR(INDEX(PP_Grid[#Data],$DD874,72),0)</f>
        <v/>
      </c>
      <c r="BW874">
        <f>IFERROR(INDEX(PP_Grid[#Data],$DD874,73),0)</f>
        <v/>
      </c>
      <c r="BX874">
        <f>IFERROR(INDEX(PP_Grid[#Data],$DD874,74),0)</f>
        <v/>
      </c>
      <c r="BY874">
        <f>IFERROR(INDEX(PP_Grid[#Data],$DD874,75),0)</f>
        <v/>
      </c>
      <c r="BZ874">
        <f>IFERROR(INDEX(PP_Grid[#Data],$DD874,76),0)</f>
        <v/>
      </c>
      <c r="CA874">
        <f>IFERROR(INDEX(PP_Grid[#Data],$DD874,77),0)</f>
        <v/>
      </c>
      <c r="CB874">
        <f>IFERROR(INDEX(PP_Grid[#Data],$DD874,78),0)</f>
        <v/>
      </c>
      <c r="CC874">
        <f>IFERROR(INDEX(PP_Grid[#Data],$DD874,79),0)</f>
        <v/>
      </c>
      <c r="CD874">
        <f>IFERROR(INDEX(PP_Grid[#Data],$DD874,80),0)</f>
        <v/>
      </c>
      <c r="CE874">
        <f>IFERROR(INDEX(PP_Grid[#Data],$DD874,81),0)</f>
        <v/>
      </c>
      <c r="CF874">
        <f>IFERROR(INDEX(PP_Grid[#Data],$DD874,82),0)</f>
        <v/>
      </c>
      <c r="CG874">
        <f>IFERROR(INDEX(PP_Grid[#Data],$DD874,83),0)</f>
        <v/>
      </c>
      <c r="CH874">
        <f>IFERROR(INDEX(PP_Grid[#Data],$DD874,84),0)</f>
        <v/>
      </c>
      <c r="CI874">
        <f>IFERROR(INDEX(PP_Grid[#Data],$DD874,85),0)</f>
        <v/>
      </c>
      <c r="CJ874">
        <f>IFERROR(INDEX(PP_Grid[#Data],$DD874,86),0)</f>
        <v/>
      </c>
      <c r="CK874">
        <f>IFERROR(INDEX(PP_Grid[#Data],$DD874,87),0)</f>
        <v/>
      </c>
      <c r="CL874">
        <f>IFERROR(INDEX(PP_Grid[#Data],$DD874,88),0)</f>
        <v/>
      </c>
      <c r="CM874">
        <f>IFERROR(INDEX(PP_Grid[#Data],$DD874,89),0)</f>
        <v/>
      </c>
      <c r="CN874">
        <f>IFERROR(INDEX(PP_Grid[#Data],$DD874,90),0)</f>
        <v/>
      </c>
      <c r="CO874">
        <f>IFERROR(INDEX(PP_Grid[#Data],$DD874,91),0)</f>
        <v/>
      </c>
      <c r="CP874">
        <f>IFERROR(INDEX(PP_Grid[#Data],$DD874,92),0)</f>
        <v/>
      </c>
      <c r="CQ874">
        <f>IFERROR(INDEX(PP_Grid[#Data],$DD874,93),0)</f>
        <v/>
      </c>
      <c r="CR874">
        <f>IFERROR(INDEX(PP_Grid[#Data],$DD874,94),0)</f>
        <v/>
      </c>
      <c r="CS874">
        <f>IFERROR(INDEX(PP_Grid[#Data],$DD874,95),0)</f>
        <v/>
      </c>
      <c r="CT874">
        <f>IFERROR(INDEX(PP_Grid[#Data],$DD874,96),0)</f>
        <v/>
      </c>
      <c r="CU874">
        <f>IFERROR(INDEX(PP_Grid[#Data],$DD874,97),0)</f>
        <v/>
      </c>
      <c r="CV874">
        <f>IFERROR(INDEX(PP_Grid[#Data],$DD874,98),0)</f>
        <v/>
      </c>
      <c r="CW874">
        <f>IFERROR(INDEX(PP_Grid[#Data],$DD874,99),0)</f>
        <v/>
      </c>
      <c r="CX874">
        <f>IFERROR(INDEX(PP_Grid[#Data],$DD874,100),0)</f>
        <v/>
      </c>
      <c r="CY874">
        <f>IFERROR(INDEX(PP_Grid[#Data],$DD874,101),0)</f>
        <v/>
      </c>
      <c r="CZ874">
        <f>IFERROR(INDEX(PP_Grid[#Data],$DD874,102),0)</f>
        <v/>
      </c>
      <c r="DA874">
        <f>IFERROR(INDEX(PP_Grid[#Data],$DD874,103),0)</f>
        <v/>
      </c>
      <c r="DB874">
        <f>IFERROR(INDEX(PP_Grid[#Data],$DD874,104),0)</f>
        <v/>
      </c>
      <c r="DC874">
        <f>IFERROR(INDEX(PP_Grid[#Data],$DD874,105),0)</f>
        <v/>
      </c>
      <c r="DD874" s="7">
        <f>IFERROR(MATCH($B874,PP_Grid[Intermediate],0),99999)</f>
        <v/>
      </c>
    </row>
    <row r="875">
      <c r="B875" t="inlineStr">
        <is>
          <t>使用量(kg)</t>
        </is>
      </c>
      <c r="C875">
        <f>SUMIFS(M_BOM[RM_Qty_Per_Batch],M_BOM[Intermediate],$B874,M_BOM[Part Name],$A849)</f>
        <v/>
      </c>
      <c r="D875">
        <f>$C875*D874</f>
        <v/>
      </c>
      <c r="E875">
        <f>$C875*E874</f>
        <v/>
      </c>
      <c r="F875">
        <f>$C875*F874</f>
        <v/>
      </c>
      <c r="G875">
        <f>$C875*G874</f>
        <v/>
      </c>
      <c r="H875">
        <f>$C875*H874</f>
        <v/>
      </c>
      <c r="I875">
        <f>$C875*I874</f>
        <v/>
      </c>
      <c r="J875">
        <f>$C875*J874</f>
        <v/>
      </c>
      <c r="K875">
        <f>$C875*K874</f>
        <v/>
      </c>
      <c r="L875">
        <f>$C875*L874</f>
        <v/>
      </c>
      <c r="M875">
        <f>$C875*M874</f>
        <v/>
      </c>
      <c r="N875">
        <f>$C875*N874</f>
        <v/>
      </c>
      <c r="O875">
        <f>$C875*O874</f>
        <v/>
      </c>
      <c r="P875">
        <f>$C875*P874</f>
        <v/>
      </c>
      <c r="Q875">
        <f>$C875*Q874</f>
        <v/>
      </c>
      <c r="R875">
        <f>$C875*R874</f>
        <v/>
      </c>
      <c r="S875">
        <f>$C875*S874</f>
        <v/>
      </c>
      <c r="T875">
        <f>$C875*T874</f>
        <v/>
      </c>
      <c r="U875">
        <f>$C875*U874</f>
        <v/>
      </c>
      <c r="V875">
        <f>$C875*V874</f>
        <v/>
      </c>
      <c r="W875">
        <f>$C875*W874</f>
        <v/>
      </c>
      <c r="X875">
        <f>$C875*X874</f>
        <v/>
      </c>
      <c r="Y875">
        <f>$C875*Y874</f>
        <v/>
      </c>
      <c r="Z875">
        <f>$C875*Z874</f>
        <v/>
      </c>
      <c r="AA875">
        <f>$C875*AA874</f>
        <v/>
      </c>
      <c r="AB875">
        <f>$C875*AB874</f>
        <v/>
      </c>
      <c r="AC875">
        <f>$C875*AC874</f>
        <v/>
      </c>
      <c r="AD875">
        <f>$C875*AD874</f>
        <v/>
      </c>
      <c r="AE875">
        <f>$C875*AE874</f>
        <v/>
      </c>
      <c r="AF875">
        <f>$C875*AF874</f>
        <v/>
      </c>
      <c r="AG875">
        <f>$C875*AG874</f>
        <v/>
      </c>
      <c r="AH875">
        <f>$C875*AH874</f>
        <v/>
      </c>
      <c r="AI875">
        <f>$C875*AI874</f>
        <v/>
      </c>
      <c r="AJ875">
        <f>$C875*AJ874</f>
        <v/>
      </c>
      <c r="AK875">
        <f>$C875*AK874</f>
        <v/>
      </c>
      <c r="AL875">
        <f>$C875*AL874</f>
        <v/>
      </c>
      <c r="AM875">
        <f>$C875*AM874</f>
        <v/>
      </c>
      <c r="AN875">
        <f>$C875*AN874</f>
        <v/>
      </c>
      <c r="AO875">
        <f>$C875*AO874</f>
        <v/>
      </c>
      <c r="AP875">
        <f>$C875*AP874</f>
        <v/>
      </c>
      <c r="AQ875">
        <f>$C875*AQ874</f>
        <v/>
      </c>
      <c r="AR875">
        <f>$C875*AR874</f>
        <v/>
      </c>
      <c r="AS875">
        <f>$C875*AS874</f>
        <v/>
      </c>
      <c r="AT875">
        <f>$C875*AT874</f>
        <v/>
      </c>
      <c r="AU875">
        <f>$C875*AU874</f>
        <v/>
      </c>
      <c r="AV875">
        <f>$C875*AV874</f>
        <v/>
      </c>
      <c r="AW875">
        <f>$C875*AW874</f>
        <v/>
      </c>
      <c r="AX875">
        <f>$C875*AX874</f>
        <v/>
      </c>
      <c r="AY875">
        <f>$C875*AY874</f>
        <v/>
      </c>
      <c r="AZ875">
        <f>$C875*AZ874</f>
        <v/>
      </c>
      <c r="BA875">
        <f>$C875*BA874</f>
        <v/>
      </c>
      <c r="BB875">
        <f>$C875*BB874</f>
        <v/>
      </c>
      <c r="BC875">
        <f>$C875*BC874</f>
        <v/>
      </c>
      <c r="BD875">
        <f>$C875*BD874</f>
        <v/>
      </c>
      <c r="BE875">
        <f>$C875*BE874</f>
        <v/>
      </c>
      <c r="BF875">
        <f>$C875*BF874</f>
        <v/>
      </c>
      <c r="BG875">
        <f>$C875*BG874</f>
        <v/>
      </c>
      <c r="BH875">
        <f>$C875*BH874</f>
        <v/>
      </c>
      <c r="BI875">
        <f>$C875*BI874</f>
        <v/>
      </c>
      <c r="BJ875">
        <f>$C875*BJ874</f>
        <v/>
      </c>
      <c r="BK875">
        <f>$C875*BK874</f>
        <v/>
      </c>
      <c r="BL875">
        <f>$C875*BL874</f>
        <v/>
      </c>
      <c r="BM875">
        <f>$C875*BM874</f>
        <v/>
      </c>
      <c r="BN875">
        <f>$C875*BN874</f>
        <v/>
      </c>
      <c r="BO875">
        <f>$C875*BO874</f>
        <v/>
      </c>
      <c r="BP875">
        <f>$C875*BP874</f>
        <v/>
      </c>
      <c r="BQ875">
        <f>$C875*BQ874</f>
        <v/>
      </c>
      <c r="BR875">
        <f>$C875*BR874</f>
        <v/>
      </c>
      <c r="BS875">
        <f>$C875*BS874</f>
        <v/>
      </c>
      <c r="BT875">
        <f>$C875*BT874</f>
        <v/>
      </c>
      <c r="BU875">
        <f>$C875*BU874</f>
        <v/>
      </c>
      <c r="BV875">
        <f>$C875*BV874</f>
        <v/>
      </c>
      <c r="BW875">
        <f>$C875*BW874</f>
        <v/>
      </c>
      <c r="BX875">
        <f>$C875*BX874</f>
        <v/>
      </c>
      <c r="BY875">
        <f>$C875*BY874</f>
        <v/>
      </c>
      <c r="BZ875">
        <f>$C875*BZ874</f>
        <v/>
      </c>
      <c r="CA875">
        <f>$C875*CA874</f>
        <v/>
      </c>
      <c r="CB875">
        <f>$C875*CB874</f>
        <v/>
      </c>
      <c r="CC875">
        <f>$C875*CC874</f>
        <v/>
      </c>
      <c r="CD875">
        <f>$C875*CD874</f>
        <v/>
      </c>
      <c r="CE875">
        <f>$C875*CE874</f>
        <v/>
      </c>
      <c r="CF875">
        <f>$C875*CF874</f>
        <v/>
      </c>
      <c r="CG875">
        <f>$C875*CG874</f>
        <v/>
      </c>
      <c r="CH875">
        <f>$C875*CH874</f>
        <v/>
      </c>
      <c r="CI875">
        <f>$C875*CI874</f>
        <v/>
      </c>
      <c r="CJ875">
        <f>$C875*CJ874</f>
        <v/>
      </c>
      <c r="CK875">
        <f>$C875*CK874</f>
        <v/>
      </c>
      <c r="CL875">
        <f>$C875*CL874</f>
        <v/>
      </c>
      <c r="CM875">
        <f>$C875*CM874</f>
        <v/>
      </c>
      <c r="CN875">
        <f>$C875*CN874</f>
        <v/>
      </c>
      <c r="CO875">
        <f>$C875*CO874</f>
        <v/>
      </c>
      <c r="CP875">
        <f>$C875*CP874</f>
        <v/>
      </c>
      <c r="CQ875">
        <f>$C875*CQ874</f>
        <v/>
      </c>
      <c r="CR875">
        <f>$C875*CR874</f>
        <v/>
      </c>
      <c r="CS875">
        <f>$C875*CS874</f>
        <v/>
      </c>
      <c r="CT875">
        <f>$C875*CT874</f>
        <v/>
      </c>
      <c r="CU875">
        <f>$C875*CU874</f>
        <v/>
      </c>
      <c r="CV875">
        <f>$C875*CV874</f>
        <v/>
      </c>
      <c r="CW875">
        <f>$C875*CW874</f>
        <v/>
      </c>
      <c r="CX875">
        <f>$C875*CX874</f>
        <v/>
      </c>
      <c r="CY875">
        <f>$C875*CY874</f>
        <v/>
      </c>
      <c r="CZ875">
        <f>$C875*CZ874</f>
        <v/>
      </c>
      <c r="DA875">
        <f>$C875*DA874</f>
        <v/>
      </c>
      <c r="DB875">
        <f>$C875*DB874</f>
        <v/>
      </c>
      <c r="DC875">
        <f>$C875*DC874</f>
        <v/>
      </c>
    </row>
    <row r="876">
      <c r="B876" t="inlineStr">
        <is>
          <t>TSP-1446</t>
        </is>
      </c>
      <c r="C876" t="inlineStr">
        <is>
          <t>No. of batches</t>
        </is>
      </c>
      <c r="D876">
        <f>IFERROR(INDEX(PP_Grid[#Data],$DD876,2),0)</f>
        <v/>
      </c>
      <c r="E876">
        <f>IFERROR(INDEX(PP_Grid[#Data],$DD876,3),0)</f>
        <v/>
      </c>
      <c r="F876">
        <f>IFERROR(INDEX(PP_Grid[#Data],$DD876,4),0)</f>
        <v/>
      </c>
      <c r="G876">
        <f>IFERROR(INDEX(PP_Grid[#Data],$DD876,5),0)</f>
        <v/>
      </c>
      <c r="H876">
        <f>IFERROR(INDEX(PP_Grid[#Data],$DD876,6),0)</f>
        <v/>
      </c>
      <c r="I876">
        <f>IFERROR(INDEX(PP_Grid[#Data],$DD876,7),0)</f>
        <v/>
      </c>
      <c r="J876">
        <f>IFERROR(INDEX(PP_Grid[#Data],$DD876,8),0)</f>
        <v/>
      </c>
      <c r="K876">
        <f>IFERROR(INDEX(PP_Grid[#Data],$DD876,9),0)</f>
        <v/>
      </c>
      <c r="L876">
        <f>IFERROR(INDEX(PP_Grid[#Data],$DD876,10),0)</f>
        <v/>
      </c>
      <c r="M876">
        <f>IFERROR(INDEX(PP_Grid[#Data],$DD876,11),0)</f>
        <v/>
      </c>
      <c r="N876">
        <f>IFERROR(INDEX(PP_Grid[#Data],$DD876,12),0)</f>
        <v/>
      </c>
      <c r="O876">
        <f>IFERROR(INDEX(PP_Grid[#Data],$DD876,13),0)</f>
        <v/>
      </c>
      <c r="P876">
        <f>IFERROR(INDEX(PP_Grid[#Data],$DD876,14),0)</f>
        <v/>
      </c>
      <c r="Q876">
        <f>IFERROR(INDEX(PP_Grid[#Data],$DD876,15),0)</f>
        <v/>
      </c>
      <c r="R876">
        <f>IFERROR(INDEX(PP_Grid[#Data],$DD876,16),0)</f>
        <v/>
      </c>
      <c r="S876">
        <f>IFERROR(INDEX(PP_Grid[#Data],$DD876,17),0)</f>
        <v/>
      </c>
      <c r="T876">
        <f>IFERROR(INDEX(PP_Grid[#Data],$DD876,18),0)</f>
        <v/>
      </c>
      <c r="U876">
        <f>IFERROR(INDEX(PP_Grid[#Data],$DD876,19),0)</f>
        <v/>
      </c>
      <c r="V876">
        <f>IFERROR(INDEX(PP_Grid[#Data],$DD876,20),0)</f>
        <v/>
      </c>
      <c r="W876">
        <f>IFERROR(INDEX(PP_Grid[#Data],$DD876,21),0)</f>
        <v/>
      </c>
      <c r="X876">
        <f>IFERROR(INDEX(PP_Grid[#Data],$DD876,22),0)</f>
        <v/>
      </c>
      <c r="Y876">
        <f>IFERROR(INDEX(PP_Grid[#Data],$DD876,23),0)</f>
        <v/>
      </c>
      <c r="Z876">
        <f>IFERROR(INDEX(PP_Grid[#Data],$DD876,24),0)</f>
        <v/>
      </c>
      <c r="AA876">
        <f>IFERROR(INDEX(PP_Grid[#Data],$DD876,25),0)</f>
        <v/>
      </c>
      <c r="AB876">
        <f>IFERROR(INDEX(PP_Grid[#Data],$DD876,26),0)</f>
        <v/>
      </c>
      <c r="AC876">
        <f>IFERROR(INDEX(PP_Grid[#Data],$DD876,27),0)</f>
        <v/>
      </c>
      <c r="AD876">
        <f>IFERROR(INDEX(PP_Grid[#Data],$DD876,28),0)</f>
        <v/>
      </c>
      <c r="AE876">
        <f>IFERROR(INDEX(PP_Grid[#Data],$DD876,29),0)</f>
        <v/>
      </c>
      <c r="AF876">
        <f>IFERROR(INDEX(PP_Grid[#Data],$DD876,30),0)</f>
        <v/>
      </c>
      <c r="AG876">
        <f>IFERROR(INDEX(PP_Grid[#Data],$DD876,31),0)</f>
        <v/>
      </c>
      <c r="AH876">
        <f>IFERROR(INDEX(PP_Grid[#Data],$DD876,32),0)</f>
        <v/>
      </c>
      <c r="AI876">
        <f>IFERROR(INDEX(PP_Grid[#Data],$DD876,33),0)</f>
        <v/>
      </c>
      <c r="AJ876">
        <f>IFERROR(INDEX(PP_Grid[#Data],$DD876,34),0)</f>
        <v/>
      </c>
      <c r="AK876">
        <f>IFERROR(INDEX(PP_Grid[#Data],$DD876,35),0)</f>
        <v/>
      </c>
      <c r="AL876">
        <f>IFERROR(INDEX(PP_Grid[#Data],$DD876,36),0)</f>
        <v/>
      </c>
      <c r="AM876">
        <f>IFERROR(INDEX(PP_Grid[#Data],$DD876,37),0)</f>
        <v/>
      </c>
      <c r="AN876">
        <f>IFERROR(INDEX(PP_Grid[#Data],$DD876,38),0)</f>
        <v/>
      </c>
      <c r="AO876">
        <f>IFERROR(INDEX(PP_Grid[#Data],$DD876,39),0)</f>
        <v/>
      </c>
      <c r="AP876">
        <f>IFERROR(INDEX(PP_Grid[#Data],$DD876,40),0)</f>
        <v/>
      </c>
      <c r="AQ876">
        <f>IFERROR(INDEX(PP_Grid[#Data],$DD876,41),0)</f>
        <v/>
      </c>
      <c r="AR876">
        <f>IFERROR(INDEX(PP_Grid[#Data],$DD876,42),0)</f>
        <v/>
      </c>
      <c r="AS876">
        <f>IFERROR(INDEX(PP_Grid[#Data],$DD876,43),0)</f>
        <v/>
      </c>
      <c r="AT876">
        <f>IFERROR(INDEX(PP_Grid[#Data],$DD876,44),0)</f>
        <v/>
      </c>
      <c r="AU876">
        <f>IFERROR(INDEX(PP_Grid[#Data],$DD876,45),0)</f>
        <v/>
      </c>
      <c r="AV876">
        <f>IFERROR(INDEX(PP_Grid[#Data],$DD876,46),0)</f>
        <v/>
      </c>
      <c r="AW876">
        <f>IFERROR(INDEX(PP_Grid[#Data],$DD876,47),0)</f>
        <v/>
      </c>
      <c r="AX876">
        <f>IFERROR(INDEX(PP_Grid[#Data],$DD876,48),0)</f>
        <v/>
      </c>
      <c r="AY876">
        <f>IFERROR(INDEX(PP_Grid[#Data],$DD876,49),0)</f>
        <v/>
      </c>
      <c r="AZ876">
        <f>IFERROR(INDEX(PP_Grid[#Data],$DD876,50),0)</f>
        <v/>
      </c>
      <c r="BA876">
        <f>IFERROR(INDEX(PP_Grid[#Data],$DD876,51),0)</f>
        <v/>
      </c>
      <c r="BB876">
        <f>IFERROR(INDEX(PP_Grid[#Data],$DD876,52),0)</f>
        <v/>
      </c>
      <c r="BC876">
        <f>IFERROR(INDEX(PP_Grid[#Data],$DD876,53),0)</f>
        <v/>
      </c>
      <c r="BD876">
        <f>IFERROR(INDEX(PP_Grid[#Data],$DD876,54),0)</f>
        <v/>
      </c>
      <c r="BE876">
        <f>IFERROR(INDEX(PP_Grid[#Data],$DD876,55),0)</f>
        <v/>
      </c>
      <c r="BF876">
        <f>IFERROR(INDEX(PP_Grid[#Data],$DD876,56),0)</f>
        <v/>
      </c>
      <c r="BG876">
        <f>IFERROR(INDEX(PP_Grid[#Data],$DD876,57),0)</f>
        <v/>
      </c>
      <c r="BH876">
        <f>IFERROR(INDEX(PP_Grid[#Data],$DD876,58),0)</f>
        <v/>
      </c>
      <c r="BI876">
        <f>IFERROR(INDEX(PP_Grid[#Data],$DD876,59),0)</f>
        <v/>
      </c>
      <c r="BJ876">
        <f>IFERROR(INDEX(PP_Grid[#Data],$DD876,60),0)</f>
        <v/>
      </c>
      <c r="BK876">
        <f>IFERROR(INDEX(PP_Grid[#Data],$DD876,61),0)</f>
        <v/>
      </c>
      <c r="BL876">
        <f>IFERROR(INDEX(PP_Grid[#Data],$DD876,62),0)</f>
        <v/>
      </c>
      <c r="BM876">
        <f>IFERROR(INDEX(PP_Grid[#Data],$DD876,63),0)</f>
        <v/>
      </c>
      <c r="BN876">
        <f>IFERROR(INDEX(PP_Grid[#Data],$DD876,64),0)</f>
        <v/>
      </c>
      <c r="BO876">
        <f>IFERROR(INDEX(PP_Grid[#Data],$DD876,65),0)</f>
        <v/>
      </c>
      <c r="BP876">
        <f>IFERROR(INDEX(PP_Grid[#Data],$DD876,66),0)</f>
        <v/>
      </c>
      <c r="BQ876">
        <f>IFERROR(INDEX(PP_Grid[#Data],$DD876,67),0)</f>
        <v/>
      </c>
      <c r="BR876">
        <f>IFERROR(INDEX(PP_Grid[#Data],$DD876,68),0)</f>
        <v/>
      </c>
      <c r="BS876">
        <f>IFERROR(INDEX(PP_Grid[#Data],$DD876,69),0)</f>
        <v/>
      </c>
      <c r="BT876">
        <f>IFERROR(INDEX(PP_Grid[#Data],$DD876,70),0)</f>
        <v/>
      </c>
      <c r="BU876">
        <f>IFERROR(INDEX(PP_Grid[#Data],$DD876,71),0)</f>
        <v/>
      </c>
      <c r="BV876">
        <f>IFERROR(INDEX(PP_Grid[#Data],$DD876,72),0)</f>
        <v/>
      </c>
      <c r="BW876">
        <f>IFERROR(INDEX(PP_Grid[#Data],$DD876,73),0)</f>
        <v/>
      </c>
      <c r="BX876">
        <f>IFERROR(INDEX(PP_Grid[#Data],$DD876,74),0)</f>
        <v/>
      </c>
      <c r="BY876">
        <f>IFERROR(INDEX(PP_Grid[#Data],$DD876,75),0)</f>
        <v/>
      </c>
      <c r="BZ876">
        <f>IFERROR(INDEX(PP_Grid[#Data],$DD876,76),0)</f>
        <v/>
      </c>
      <c r="CA876">
        <f>IFERROR(INDEX(PP_Grid[#Data],$DD876,77),0)</f>
        <v/>
      </c>
      <c r="CB876">
        <f>IFERROR(INDEX(PP_Grid[#Data],$DD876,78),0)</f>
        <v/>
      </c>
      <c r="CC876">
        <f>IFERROR(INDEX(PP_Grid[#Data],$DD876,79),0)</f>
        <v/>
      </c>
      <c r="CD876">
        <f>IFERROR(INDEX(PP_Grid[#Data],$DD876,80),0)</f>
        <v/>
      </c>
      <c r="CE876">
        <f>IFERROR(INDEX(PP_Grid[#Data],$DD876,81),0)</f>
        <v/>
      </c>
      <c r="CF876">
        <f>IFERROR(INDEX(PP_Grid[#Data],$DD876,82),0)</f>
        <v/>
      </c>
      <c r="CG876">
        <f>IFERROR(INDEX(PP_Grid[#Data],$DD876,83),0)</f>
        <v/>
      </c>
      <c r="CH876">
        <f>IFERROR(INDEX(PP_Grid[#Data],$DD876,84),0)</f>
        <v/>
      </c>
      <c r="CI876">
        <f>IFERROR(INDEX(PP_Grid[#Data],$DD876,85),0)</f>
        <v/>
      </c>
      <c r="CJ876">
        <f>IFERROR(INDEX(PP_Grid[#Data],$DD876,86),0)</f>
        <v/>
      </c>
      <c r="CK876">
        <f>IFERROR(INDEX(PP_Grid[#Data],$DD876,87),0)</f>
        <v/>
      </c>
      <c r="CL876">
        <f>IFERROR(INDEX(PP_Grid[#Data],$DD876,88),0)</f>
        <v/>
      </c>
      <c r="CM876">
        <f>IFERROR(INDEX(PP_Grid[#Data],$DD876,89),0)</f>
        <v/>
      </c>
      <c r="CN876">
        <f>IFERROR(INDEX(PP_Grid[#Data],$DD876,90),0)</f>
        <v/>
      </c>
      <c r="CO876">
        <f>IFERROR(INDEX(PP_Grid[#Data],$DD876,91),0)</f>
        <v/>
      </c>
      <c r="CP876">
        <f>IFERROR(INDEX(PP_Grid[#Data],$DD876,92),0)</f>
        <v/>
      </c>
      <c r="CQ876">
        <f>IFERROR(INDEX(PP_Grid[#Data],$DD876,93),0)</f>
        <v/>
      </c>
      <c r="CR876">
        <f>IFERROR(INDEX(PP_Grid[#Data],$DD876,94),0)</f>
        <v/>
      </c>
      <c r="CS876">
        <f>IFERROR(INDEX(PP_Grid[#Data],$DD876,95),0)</f>
        <v/>
      </c>
      <c r="CT876">
        <f>IFERROR(INDEX(PP_Grid[#Data],$DD876,96),0)</f>
        <v/>
      </c>
      <c r="CU876">
        <f>IFERROR(INDEX(PP_Grid[#Data],$DD876,97),0)</f>
        <v/>
      </c>
      <c r="CV876">
        <f>IFERROR(INDEX(PP_Grid[#Data],$DD876,98),0)</f>
        <v/>
      </c>
      <c r="CW876">
        <f>IFERROR(INDEX(PP_Grid[#Data],$DD876,99),0)</f>
        <v/>
      </c>
      <c r="CX876">
        <f>IFERROR(INDEX(PP_Grid[#Data],$DD876,100),0)</f>
        <v/>
      </c>
      <c r="CY876">
        <f>IFERROR(INDEX(PP_Grid[#Data],$DD876,101),0)</f>
        <v/>
      </c>
      <c r="CZ876">
        <f>IFERROR(INDEX(PP_Grid[#Data],$DD876,102),0)</f>
        <v/>
      </c>
      <c r="DA876">
        <f>IFERROR(INDEX(PP_Grid[#Data],$DD876,103),0)</f>
        <v/>
      </c>
      <c r="DB876">
        <f>IFERROR(INDEX(PP_Grid[#Data],$DD876,104),0)</f>
        <v/>
      </c>
      <c r="DC876">
        <f>IFERROR(INDEX(PP_Grid[#Data],$DD876,105),0)</f>
        <v/>
      </c>
      <c r="DD876" s="7">
        <f>IFERROR(MATCH($B876,PP_Grid[Intermediate],0),99999)</f>
        <v/>
      </c>
    </row>
    <row r="877">
      <c r="B877" t="inlineStr">
        <is>
          <t>使用量(kg)</t>
        </is>
      </c>
      <c r="C877">
        <f>SUMIFS(M_BOM[RM_Qty_Per_Batch],M_BOM[Intermediate],$B876,M_BOM[Part Name],$A849)</f>
        <v/>
      </c>
      <c r="D877">
        <f>$C877*D876</f>
        <v/>
      </c>
      <c r="E877">
        <f>$C877*E876</f>
        <v/>
      </c>
      <c r="F877">
        <f>$C877*F876</f>
        <v/>
      </c>
      <c r="G877">
        <f>$C877*G876</f>
        <v/>
      </c>
      <c r="H877">
        <f>$C877*H876</f>
        <v/>
      </c>
      <c r="I877">
        <f>$C877*I876</f>
        <v/>
      </c>
      <c r="J877">
        <f>$C877*J876</f>
        <v/>
      </c>
      <c r="K877">
        <f>$C877*K876</f>
        <v/>
      </c>
      <c r="L877">
        <f>$C877*L876</f>
        <v/>
      </c>
      <c r="M877">
        <f>$C877*M876</f>
        <v/>
      </c>
      <c r="N877">
        <f>$C877*N876</f>
        <v/>
      </c>
      <c r="O877">
        <f>$C877*O876</f>
        <v/>
      </c>
      <c r="P877">
        <f>$C877*P876</f>
        <v/>
      </c>
      <c r="Q877">
        <f>$C877*Q876</f>
        <v/>
      </c>
      <c r="R877">
        <f>$C877*R876</f>
        <v/>
      </c>
      <c r="S877">
        <f>$C877*S876</f>
        <v/>
      </c>
      <c r="T877">
        <f>$C877*T876</f>
        <v/>
      </c>
      <c r="U877">
        <f>$C877*U876</f>
        <v/>
      </c>
      <c r="V877">
        <f>$C877*V876</f>
        <v/>
      </c>
      <c r="W877">
        <f>$C877*W876</f>
        <v/>
      </c>
      <c r="X877">
        <f>$C877*X876</f>
        <v/>
      </c>
      <c r="Y877">
        <f>$C877*Y876</f>
        <v/>
      </c>
      <c r="Z877">
        <f>$C877*Z876</f>
        <v/>
      </c>
      <c r="AA877">
        <f>$C877*AA876</f>
        <v/>
      </c>
      <c r="AB877">
        <f>$C877*AB876</f>
        <v/>
      </c>
      <c r="AC877">
        <f>$C877*AC876</f>
        <v/>
      </c>
      <c r="AD877">
        <f>$C877*AD876</f>
        <v/>
      </c>
      <c r="AE877">
        <f>$C877*AE876</f>
        <v/>
      </c>
      <c r="AF877">
        <f>$C877*AF876</f>
        <v/>
      </c>
      <c r="AG877">
        <f>$C877*AG876</f>
        <v/>
      </c>
      <c r="AH877">
        <f>$C877*AH876</f>
        <v/>
      </c>
      <c r="AI877">
        <f>$C877*AI876</f>
        <v/>
      </c>
      <c r="AJ877">
        <f>$C877*AJ876</f>
        <v/>
      </c>
      <c r="AK877">
        <f>$C877*AK876</f>
        <v/>
      </c>
      <c r="AL877">
        <f>$C877*AL876</f>
        <v/>
      </c>
      <c r="AM877">
        <f>$C877*AM876</f>
        <v/>
      </c>
      <c r="AN877">
        <f>$C877*AN876</f>
        <v/>
      </c>
      <c r="AO877">
        <f>$C877*AO876</f>
        <v/>
      </c>
      <c r="AP877">
        <f>$C877*AP876</f>
        <v/>
      </c>
      <c r="AQ877">
        <f>$C877*AQ876</f>
        <v/>
      </c>
      <c r="AR877">
        <f>$C877*AR876</f>
        <v/>
      </c>
      <c r="AS877">
        <f>$C877*AS876</f>
        <v/>
      </c>
      <c r="AT877">
        <f>$C877*AT876</f>
        <v/>
      </c>
      <c r="AU877">
        <f>$C877*AU876</f>
        <v/>
      </c>
      <c r="AV877">
        <f>$C877*AV876</f>
        <v/>
      </c>
      <c r="AW877">
        <f>$C877*AW876</f>
        <v/>
      </c>
      <c r="AX877">
        <f>$C877*AX876</f>
        <v/>
      </c>
      <c r="AY877">
        <f>$C877*AY876</f>
        <v/>
      </c>
      <c r="AZ877">
        <f>$C877*AZ876</f>
        <v/>
      </c>
      <c r="BA877">
        <f>$C877*BA876</f>
        <v/>
      </c>
      <c r="BB877">
        <f>$C877*BB876</f>
        <v/>
      </c>
      <c r="BC877">
        <f>$C877*BC876</f>
        <v/>
      </c>
      <c r="BD877">
        <f>$C877*BD876</f>
        <v/>
      </c>
      <c r="BE877">
        <f>$C877*BE876</f>
        <v/>
      </c>
      <c r="BF877">
        <f>$C877*BF876</f>
        <v/>
      </c>
      <c r="BG877">
        <f>$C877*BG876</f>
        <v/>
      </c>
      <c r="BH877">
        <f>$C877*BH876</f>
        <v/>
      </c>
      <c r="BI877">
        <f>$C877*BI876</f>
        <v/>
      </c>
      <c r="BJ877">
        <f>$C877*BJ876</f>
        <v/>
      </c>
      <c r="BK877">
        <f>$C877*BK876</f>
        <v/>
      </c>
      <c r="BL877">
        <f>$C877*BL876</f>
        <v/>
      </c>
      <c r="BM877">
        <f>$C877*BM876</f>
        <v/>
      </c>
      <c r="BN877">
        <f>$C877*BN876</f>
        <v/>
      </c>
      <c r="BO877">
        <f>$C877*BO876</f>
        <v/>
      </c>
      <c r="BP877">
        <f>$C877*BP876</f>
        <v/>
      </c>
      <c r="BQ877">
        <f>$C877*BQ876</f>
        <v/>
      </c>
      <c r="BR877">
        <f>$C877*BR876</f>
        <v/>
      </c>
      <c r="BS877">
        <f>$C877*BS876</f>
        <v/>
      </c>
      <c r="BT877">
        <f>$C877*BT876</f>
        <v/>
      </c>
      <c r="BU877">
        <f>$C877*BU876</f>
        <v/>
      </c>
      <c r="BV877">
        <f>$C877*BV876</f>
        <v/>
      </c>
      <c r="BW877">
        <f>$C877*BW876</f>
        <v/>
      </c>
      <c r="BX877">
        <f>$C877*BX876</f>
        <v/>
      </c>
      <c r="BY877">
        <f>$C877*BY876</f>
        <v/>
      </c>
      <c r="BZ877">
        <f>$C877*BZ876</f>
        <v/>
      </c>
      <c r="CA877">
        <f>$C877*CA876</f>
        <v/>
      </c>
      <c r="CB877">
        <f>$C877*CB876</f>
        <v/>
      </c>
      <c r="CC877">
        <f>$C877*CC876</f>
        <v/>
      </c>
      <c r="CD877">
        <f>$C877*CD876</f>
        <v/>
      </c>
      <c r="CE877">
        <f>$C877*CE876</f>
        <v/>
      </c>
      <c r="CF877">
        <f>$C877*CF876</f>
        <v/>
      </c>
      <c r="CG877">
        <f>$C877*CG876</f>
        <v/>
      </c>
      <c r="CH877">
        <f>$C877*CH876</f>
        <v/>
      </c>
      <c r="CI877">
        <f>$C877*CI876</f>
        <v/>
      </c>
      <c r="CJ877">
        <f>$C877*CJ876</f>
        <v/>
      </c>
      <c r="CK877">
        <f>$C877*CK876</f>
        <v/>
      </c>
      <c r="CL877">
        <f>$C877*CL876</f>
        <v/>
      </c>
      <c r="CM877">
        <f>$C877*CM876</f>
        <v/>
      </c>
      <c r="CN877">
        <f>$C877*CN876</f>
        <v/>
      </c>
      <c r="CO877">
        <f>$C877*CO876</f>
        <v/>
      </c>
      <c r="CP877">
        <f>$C877*CP876</f>
        <v/>
      </c>
      <c r="CQ877">
        <f>$C877*CQ876</f>
        <v/>
      </c>
      <c r="CR877">
        <f>$C877*CR876</f>
        <v/>
      </c>
      <c r="CS877">
        <f>$C877*CS876</f>
        <v/>
      </c>
      <c r="CT877">
        <f>$C877*CT876</f>
        <v/>
      </c>
      <c r="CU877">
        <f>$C877*CU876</f>
        <v/>
      </c>
      <c r="CV877">
        <f>$C877*CV876</f>
        <v/>
      </c>
      <c r="CW877">
        <f>$C877*CW876</f>
        <v/>
      </c>
      <c r="CX877">
        <f>$C877*CX876</f>
        <v/>
      </c>
      <c r="CY877">
        <f>$C877*CY876</f>
        <v/>
      </c>
      <c r="CZ877">
        <f>$C877*CZ876</f>
        <v/>
      </c>
      <c r="DA877">
        <f>$C877*DA876</f>
        <v/>
      </c>
      <c r="DB877">
        <f>$C877*DB876</f>
        <v/>
      </c>
      <c r="DC877">
        <f>$C877*DC876</f>
        <v/>
      </c>
    </row>
    <row r="878">
      <c r="B878" t="inlineStr">
        <is>
          <t>TPP-358</t>
        </is>
      </c>
      <c r="C878" t="inlineStr">
        <is>
          <t>No. of batches</t>
        </is>
      </c>
      <c r="D878">
        <f>IFERROR(INDEX(PP_Grid[#Data],$DD878,2),0)</f>
        <v/>
      </c>
      <c r="E878">
        <f>IFERROR(INDEX(PP_Grid[#Data],$DD878,3),0)</f>
        <v/>
      </c>
      <c r="F878">
        <f>IFERROR(INDEX(PP_Grid[#Data],$DD878,4),0)</f>
        <v/>
      </c>
      <c r="G878">
        <f>IFERROR(INDEX(PP_Grid[#Data],$DD878,5),0)</f>
        <v/>
      </c>
      <c r="H878">
        <f>IFERROR(INDEX(PP_Grid[#Data],$DD878,6),0)</f>
        <v/>
      </c>
      <c r="I878">
        <f>IFERROR(INDEX(PP_Grid[#Data],$DD878,7),0)</f>
        <v/>
      </c>
      <c r="J878">
        <f>IFERROR(INDEX(PP_Grid[#Data],$DD878,8),0)</f>
        <v/>
      </c>
      <c r="K878">
        <f>IFERROR(INDEX(PP_Grid[#Data],$DD878,9),0)</f>
        <v/>
      </c>
      <c r="L878">
        <f>IFERROR(INDEX(PP_Grid[#Data],$DD878,10),0)</f>
        <v/>
      </c>
      <c r="M878">
        <f>IFERROR(INDEX(PP_Grid[#Data],$DD878,11),0)</f>
        <v/>
      </c>
      <c r="N878">
        <f>IFERROR(INDEX(PP_Grid[#Data],$DD878,12),0)</f>
        <v/>
      </c>
      <c r="O878">
        <f>IFERROR(INDEX(PP_Grid[#Data],$DD878,13),0)</f>
        <v/>
      </c>
      <c r="P878">
        <f>IFERROR(INDEX(PP_Grid[#Data],$DD878,14),0)</f>
        <v/>
      </c>
      <c r="Q878">
        <f>IFERROR(INDEX(PP_Grid[#Data],$DD878,15),0)</f>
        <v/>
      </c>
      <c r="R878">
        <f>IFERROR(INDEX(PP_Grid[#Data],$DD878,16),0)</f>
        <v/>
      </c>
      <c r="S878">
        <f>IFERROR(INDEX(PP_Grid[#Data],$DD878,17),0)</f>
        <v/>
      </c>
      <c r="T878">
        <f>IFERROR(INDEX(PP_Grid[#Data],$DD878,18),0)</f>
        <v/>
      </c>
      <c r="U878">
        <f>IFERROR(INDEX(PP_Grid[#Data],$DD878,19),0)</f>
        <v/>
      </c>
      <c r="V878">
        <f>IFERROR(INDEX(PP_Grid[#Data],$DD878,20),0)</f>
        <v/>
      </c>
      <c r="W878">
        <f>IFERROR(INDEX(PP_Grid[#Data],$DD878,21),0)</f>
        <v/>
      </c>
      <c r="X878">
        <f>IFERROR(INDEX(PP_Grid[#Data],$DD878,22),0)</f>
        <v/>
      </c>
      <c r="Y878">
        <f>IFERROR(INDEX(PP_Grid[#Data],$DD878,23),0)</f>
        <v/>
      </c>
      <c r="Z878">
        <f>IFERROR(INDEX(PP_Grid[#Data],$DD878,24),0)</f>
        <v/>
      </c>
      <c r="AA878">
        <f>IFERROR(INDEX(PP_Grid[#Data],$DD878,25),0)</f>
        <v/>
      </c>
      <c r="AB878">
        <f>IFERROR(INDEX(PP_Grid[#Data],$DD878,26),0)</f>
        <v/>
      </c>
      <c r="AC878">
        <f>IFERROR(INDEX(PP_Grid[#Data],$DD878,27),0)</f>
        <v/>
      </c>
      <c r="AD878">
        <f>IFERROR(INDEX(PP_Grid[#Data],$DD878,28),0)</f>
        <v/>
      </c>
      <c r="AE878">
        <f>IFERROR(INDEX(PP_Grid[#Data],$DD878,29),0)</f>
        <v/>
      </c>
      <c r="AF878">
        <f>IFERROR(INDEX(PP_Grid[#Data],$DD878,30),0)</f>
        <v/>
      </c>
      <c r="AG878">
        <f>IFERROR(INDEX(PP_Grid[#Data],$DD878,31),0)</f>
        <v/>
      </c>
      <c r="AH878">
        <f>IFERROR(INDEX(PP_Grid[#Data],$DD878,32),0)</f>
        <v/>
      </c>
      <c r="AI878">
        <f>IFERROR(INDEX(PP_Grid[#Data],$DD878,33),0)</f>
        <v/>
      </c>
      <c r="AJ878">
        <f>IFERROR(INDEX(PP_Grid[#Data],$DD878,34),0)</f>
        <v/>
      </c>
      <c r="AK878">
        <f>IFERROR(INDEX(PP_Grid[#Data],$DD878,35),0)</f>
        <v/>
      </c>
      <c r="AL878">
        <f>IFERROR(INDEX(PP_Grid[#Data],$DD878,36),0)</f>
        <v/>
      </c>
      <c r="AM878">
        <f>IFERROR(INDEX(PP_Grid[#Data],$DD878,37),0)</f>
        <v/>
      </c>
      <c r="AN878">
        <f>IFERROR(INDEX(PP_Grid[#Data],$DD878,38),0)</f>
        <v/>
      </c>
      <c r="AO878">
        <f>IFERROR(INDEX(PP_Grid[#Data],$DD878,39),0)</f>
        <v/>
      </c>
      <c r="AP878">
        <f>IFERROR(INDEX(PP_Grid[#Data],$DD878,40),0)</f>
        <v/>
      </c>
      <c r="AQ878">
        <f>IFERROR(INDEX(PP_Grid[#Data],$DD878,41),0)</f>
        <v/>
      </c>
      <c r="AR878">
        <f>IFERROR(INDEX(PP_Grid[#Data],$DD878,42),0)</f>
        <v/>
      </c>
      <c r="AS878">
        <f>IFERROR(INDEX(PP_Grid[#Data],$DD878,43),0)</f>
        <v/>
      </c>
      <c r="AT878">
        <f>IFERROR(INDEX(PP_Grid[#Data],$DD878,44),0)</f>
        <v/>
      </c>
      <c r="AU878">
        <f>IFERROR(INDEX(PP_Grid[#Data],$DD878,45),0)</f>
        <v/>
      </c>
      <c r="AV878">
        <f>IFERROR(INDEX(PP_Grid[#Data],$DD878,46),0)</f>
        <v/>
      </c>
      <c r="AW878">
        <f>IFERROR(INDEX(PP_Grid[#Data],$DD878,47),0)</f>
        <v/>
      </c>
      <c r="AX878">
        <f>IFERROR(INDEX(PP_Grid[#Data],$DD878,48),0)</f>
        <v/>
      </c>
      <c r="AY878">
        <f>IFERROR(INDEX(PP_Grid[#Data],$DD878,49),0)</f>
        <v/>
      </c>
      <c r="AZ878">
        <f>IFERROR(INDEX(PP_Grid[#Data],$DD878,50),0)</f>
        <v/>
      </c>
      <c r="BA878">
        <f>IFERROR(INDEX(PP_Grid[#Data],$DD878,51),0)</f>
        <v/>
      </c>
      <c r="BB878">
        <f>IFERROR(INDEX(PP_Grid[#Data],$DD878,52),0)</f>
        <v/>
      </c>
      <c r="BC878">
        <f>IFERROR(INDEX(PP_Grid[#Data],$DD878,53),0)</f>
        <v/>
      </c>
      <c r="BD878">
        <f>IFERROR(INDEX(PP_Grid[#Data],$DD878,54),0)</f>
        <v/>
      </c>
      <c r="BE878">
        <f>IFERROR(INDEX(PP_Grid[#Data],$DD878,55),0)</f>
        <v/>
      </c>
      <c r="BF878">
        <f>IFERROR(INDEX(PP_Grid[#Data],$DD878,56),0)</f>
        <v/>
      </c>
      <c r="BG878">
        <f>IFERROR(INDEX(PP_Grid[#Data],$DD878,57),0)</f>
        <v/>
      </c>
      <c r="BH878">
        <f>IFERROR(INDEX(PP_Grid[#Data],$DD878,58),0)</f>
        <v/>
      </c>
      <c r="BI878">
        <f>IFERROR(INDEX(PP_Grid[#Data],$DD878,59),0)</f>
        <v/>
      </c>
      <c r="BJ878">
        <f>IFERROR(INDEX(PP_Grid[#Data],$DD878,60),0)</f>
        <v/>
      </c>
      <c r="BK878">
        <f>IFERROR(INDEX(PP_Grid[#Data],$DD878,61),0)</f>
        <v/>
      </c>
      <c r="BL878">
        <f>IFERROR(INDEX(PP_Grid[#Data],$DD878,62),0)</f>
        <v/>
      </c>
      <c r="BM878">
        <f>IFERROR(INDEX(PP_Grid[#Data],$DD878,63),0)</f>
        <v/>
      </c>
      <c r="BN878">
        <f>IFERROR(INDEX(PP_Grid[#Data],$DD878,64),0)</f>
        <v/>
      </c>
      <c r="BO878">
        <f>IFERROR(INDEX(PP_Grid[#Data],$DD878,65),0)</f>
        <v/>
      </c>
      <c r="BP878">
        <f>IFERROR(INDEX(PP_Grid[#Data],$DD878,66),0)</f>
        <v/>
      </c>
      <c r="BQ878">
        <f>IFERROR(INDEX(PP_Grid[#Data],$DD878,67),0)</f>
        <v/>
      </c>
      <c r="BR878">
        <f>IFERROR(INDEX(PP_Grid[#Data],$DD878,68),0)</f>
        <v/>
      </c>
      <c r="BS878">
        <f>IFERROR(INDEX(PP_Grid[#Data],$DD878,69),0)</f>
        <v/>
      </c>
      <c r="BT878">
        <f>IFERROR(INDEX(PP_Grid[#Data],$DD878,70),0)</f>
        <v/>
      </c>
      <c r="BU878">
        <f>IFERROR(INDEX(PP_Grid[#Data],$DD878,71),0)</f>
        <v/>
      </c>
      <c r="BV878">
        <f>IFERROR(INDEX(PP_Grid[#Data],$DD878,72),0)</f>
        <v/>
      </c>
      <c r="BW878">
        <f>IFERROR(INDEX(PP_Grid[#Data],$DD878,73),0)</f>
        <v/>
      </c>
      <c r="BX878">
        <f>IFERROR(INDEX(PP_Grid[#Data],$DD878,74),0)</f>
        <v/>
      </c>
      <c r="BY878">
        <f>IFERROR(INDEX(PP_Grid[#Data],$DD878,75),0)</f>
        <v/>
      </c>
      <c r="BZ878">
        <f>IFERROR(INDEX(PP_Grid[#Data],$DD878,76),0)</f>
        <v/>
      </c>
      <c r="CA878">
        <f>IFERROR(INDEX(PP_Grid[#Data],$DD878,77),0)</f>
        <v/>
      </c>
      <c r="CB878">
        <f>IFERROR(INDEX(PP_Grid[#Data],$DD878,78),0)</f>
        <v/>
      </c>
      <c r="CC878">
        <f>IFERROR(INDEX(PP_Grid[#Data],$DD878,79),0)</f>
        <v/>
      </c>
      <c r="CD878">
        <f>IFERROR(INDEX(PP_Grid[#Data],$DD878,80),0)</f>
        <v/>
      </c>
      <c r="CE878">
        <f>IFERROR(INDEX(PP_Grid[#Data],$DD878,81),0)</f>
        <v/>
      </c>
      <c r="CF878">
        <f>IFERROR(INDEX(PP_Grid[#Data],$DD878,82),0)</f>
        <v/>
      </c>
      <c r="CG878">
        <f>IFERROR(INDEX(PP_Grid[#Data],$DD878,83),0)</f>
        <v/>
      </c>
      <c r="CH878">
        <f>IFERROR(INDEX(PP_Grid[#Data],$DD878,84),0)</f>
        <v/>
      </c>
      <c r="CI878">
        <f>IFERROR(INDEX(PP_Grid[#Data],$DD878,85),0)</f>
        <v/>
      </c>
      <c r="CJ878">
        <f>IFERROR(INDEX(PP_Grid[#Data],$DD878,86),0)</f>
        <v/>
      </c>
      <c r="CK878">
        <f>IFERROR(INDEX(PP_Grid[#Data],$DD878,87),0)</f>
        <v/>
      </c>
      <c r="CL878">
        <f>IFERROR(INDEX(PP_Grid[#Data],$DD878,88),0)</f>
        <v/>
      </c>
      <c r="CM878">
        <f>IFERROR(INDEX(PP_Grid[#Data],$DD878,89),0)</f>
        <v/>
      </c>
      <c r="CN878">
        <f>IFERROR(INDEX(PP_Grid[#Data],$DD878,90),0)</f>
        <v/>
      </c>
      <c r="CO878">
        <f>IFERROR(INDEX(PP_Grid[#Data],$DD878,91),0)</f>
        <v/>
      </c>
      <c r="CP878">
        <f>IFERROR(INDEX(PP_Grid[#Data],$DD878,92),0)</f>
        <v/>
      </c>
      <c r="CQ878">
        <f>IFERROR(INDEX(PP_Grid[#Data],$DD878,93),0)</f>
        <v/>
      </c>
      <c r="CR878">
        <f>IFERROR(INDEX(PP_Grid[#Data],$DD878,94),0)</f>
        <v/>
      </c>
      <c r="CS878">
        <f>IFERROR(INDEX(PP_Grid[#Data],$DD878,95),0)</f>
        <v/>
      </c>
      <c r="CT878">
        <f>IFERROR(INDEX(PP_Grid[#Data],$DD878,96),0)</f>
        <v/>
      </c>
      <c r="CU878">
        <f>IFERROR(INDEX(PP_Grid[#Data],$DD878,97),0)</f>
        <v/>
      </c>
      <c r="CV878">
        <f>IFERROR(INDEX(PP_Grid[#Data],$DD878,98),0)</f>
        <v/>
      </c>
      <c r="CW878">
        <f>IFERROR(INDEX(PP_Grid[#Data],$DD878,99),0)</f>
        <v/>
      </c>
      <c r="CX878">
        <f>IFERROR(INDEX(PP_Grid[#Data],$DD878,100),0)</f>
        <v/>
      </c>
      <c r="CY878">
        <f>IFERROR(INDEX(PP_Grid[#Data],$DD878,101),0)</f>
        <v/>
      </c>
      <c r="CZ878">
        <f>IFERROR(INDEX(PP_Grid[#Data],$DD878,102),0)</f>
        <v/>
      </c>
      <c r="DA878">
        <f>IFERROR(INDEX(PP_Grid[#Data],$DD878,103),0)</f>
        <v/>
      </c>
      <c r="DB878">
        <f>IFERROR(INDEX(PP_Grid[#Data],$DD878,104),0)</f>
        <v/>
      </c>
      <c r="DC878">
        <f>IFERROR(INDEX(PP_Grid[#Data],$DD878,105),0)</f>
        <v/>
      </c>
      <c r="DD878" s="7">
        <f>IFERROR(MATCH($B878,PP_Grid[Intermediate],0),99999)</f>
        <v/>
      </c>
    </row>
    <row r="879">
      <c r="B879" t="inlineStr">
        <is>
          <t>使用量(kg)</t>
        </is>
      </c>
      <c r="C879">
        <f>SUMIFS(M_BOM[RM_Qty_Per_Batch],M_BOM[Intermediate],$B878,M_BOM[Part Name],$A849)</f>
        <v/>
      </c>
      <c r="D879">
        <f>$C879*D878</f>
        <v/>
      </c>
      <c r="E879">
        <f>$C879*E878</f>
        <v/>
      </c>
      <c r="F879">
        <f>$C879*F878</f>
        <v/>
      </c>
      <c r="G879">
        <f>$C879*G878</f>
        <v/>
      </c>
      <c r="H879">
        <f>$C879*H878</f>
        <v/>
      </c>
      <c r="I879">
        <f>$C879*I878</f>
        <v/>
      </c>
      <c r="J879">
        <f>$C879*J878</f>
        <v/>
      </c>
      <c r="K879">
        <f>$C879*K878</f>
        <v/>
      </c>
      <c r="L879">
        <f>$C879*L878</f>
        <v/>
      </c>
      <c r="M879">
        <f>$C879*M878</f>
        <v/>
      </c>
      <c r="N879">
        <f>$C879*N878</f>
        <v/>
      </c>
      <c r="O879">
        <f>$C879*O878</f>
        <v/>
      </c>
      <c r="P879">
        <f>$C879*P878</f>
        <v/>
      </c>
      <c r="Q879">
        <f>$C879*Q878</f>
        <v/>
      </c>
      <c r="R879">
        <f>$C879*R878</f>
        <v/>
      </c>
      <c r="S879">
        <f>$C879*S878</f>
        <v/>
      </c>
      <c r="T879">
        <f>$C879*T878</f>
        <v/>
      </c>
      <c r="U879">
        <f>$C879*U878</f>
        <v/>
      </c>
      <c r="V879">
        <f>$C879*V878</f>
        <v/>
      </c>
      <c r="W879">
        <f>$C879*W878</f>
        <v/>
      </c>
      <c r="X879">
        <f>$C879*X878</f>
        <v/>
      </c>
      <c r="Y879">
        <f>$C879*Y878</f>
        <v/>
      </c>
      <c r="Z879">
        <f>$C879*Z878</f>
        <v/>
      </c>
      <c r="AA879">
        <f>$C879*AA878</f>
        <v/>
      </c>
      <c r="AB879">
        <f>$C879*AB878</f>
        <v/>
      </c>
      <c r="AC879">
        <f>$C879*AC878</f>
        <v/>
      </c>
      <c r="AD879">
        <f>$C879*AD878</f>
        <v/>
      </c>
      <c r="AE879">
        <f>$C879*AE878</f>
        <v/>
      </c>
      <c r="AF879">
        <f>$C879*AF878</f>
        <v/>
      </c>
      <c r="AG879">
        <f>$C879*AG878</f>
        <v/>
      </c>
      <c r="AH879">
        <f>$C879*AH878</f>
        <v/>
      </c>
      <c r="AI879">
        <f>$C879*AI878</f>
        <v/>
      </c>
      <c r="AJ879">
        <f>$C879*AJ878</f>
        <v/>
      </c>
      <c r="AK879">
        <f>$C879*AK878</f>
        <v/>
      </c>
      <c r="AL879">
        <f>$C879*AL878</f>
        <v/>
      </c>
      <c r="AM879">
        <f>$C879*AM878</f>
        <v/>
      </c>
      <c r="AN879">
        <f>$C879*AN878</f>
        <v/>
      </c>
      <c r="AO879">
        <f>$C879*AO878</f>
        <v/>
      </c>
      <c r="AP879">
        <f>$C879*AP878</f>
        <v/>
      </c>
      <c r="AQ879">
        <f>$C879*AQ878</f>
        <v/>
      </c>
      <c r="AR879">
        <f>$C879*AR878</f>
        <v/>
      </c>
      <c r="AS879">
        <f>$C879*AS878</f>
        <v/>
      </c>
      <c r="AT879">
        <f>$C879*AT878</f>
        <v/>
      </c>
      <c r="AU879">
        <f>$C879*AU878</f>
        <v/>
      </c>
      <c r="AV879">
        <f>$C879*AV878</f>
        <v/>
      </c>
      <c r="AW879">
        <f>$C879*AW878</f>
        <v/>
      </c>
      <c r="AX879">
        <f>$C879*AX878</f>
        <v/>
      </c>
      <c r="AY879">
        <f>$C879*AY878</f>
        <v/>
      </c>
      <c r="AZ879">
        <f>$C879*AZ878</f>
        <v/>
      </c>
      <c r="BA879">
        <f>$C879*BA878</f>
        <v/>
      </c>
      <c r="BB879">
        <f>$C879*BB878</f>
        <v/>
      </c>
      <c r="BC879">
        <f>$C879*BC878</f>
        <v/>
      </c>
      <c r="BD879">
        <f>$C879*BD878</f>
        <v/>
      </c>
      <c r="BE879">
        <f>$C879*BE878</f>
        <v/>
      </c>
      <c r="BF879">
        <f>$C879*BF878</f>
        <v/>
      </c>
      <c r="BG879">
        <f>$C879*BG878</f>
        <v/>
      </c>
      <c r="BH879">
        <f>$C879*BH878</f>
        <v/>
      </c>
      <c r="BI879">
        <f>$C879*BI878</f>
        <v/>
      </c>
      <c r="BJ879">
        <f>$C879*BJ878</f>
        <v/>
      </c>
      <c r="BK879">
        <f>$C879*BK878</f>
        <v/>
      </c>
      <c r="BL879">
        <f>$C879*BL878</f>
        <v/>
      </c>
      <c r="BM879">
        <f>$C879*BM878</f>
        <v/>
      </c>
      <c r="BN879">
        <f>$C879*BN878</f>
        <v/>
      </c>
      <c r="BO879">
        <f>$C879*BO878</f>
        <v/>
      </c>
      <c r="BP879">
        <f>$C879*BP878</f>
        <v/>
      </c>
      <c r="BQ879">
        <f>$C879*BQ878</f>
        <v/>
      </c>
      <c r="BR879">
        <f>$C879*BR878</f>
        <v/>
      </c>
      <c r="BS879">
        <f>$C879*BS878</f>
        <v/>
      </c>
      <c r="BT879">
        <f>$C879*BT878</f>
        <v/>
      </c>
      <c r="BU879">
        <f>$C879*BU878</f>
        <v/>
      </c>
      <c r="BV879">
        <f>$C879*BV878</f>
        <v/>
      </c>
      <c r="BW879">
        <f>$C879*BW878</f>
        <v/>
      </c>
      <c r="BX879">
        <f>$C879*BX878</f>
        <v/>
      </c>
      <c r="BY879">
        <f>$C879*BY878</f>
        <v/>
      </c>
      <c r="BZ879">
        <f>$C879*BZ878</f>
        <v/>
      </c>
      <c r="CA879">
        <f>$C879*CA878</f>
        <v/>
      </c>
      <c r="CB879">
        <f>$C879*CB878</f>
        <v/>
      </c>
      <c r="CC879">
        <f>$C879*CC878</f>
        <v/>
      </c>
      <c r="CD879">
        <f>$C879*CD878</f>
        <v/>
      </c>
      <c r="CE879">
        <f>$C879*CE878</f>
        <v/>
      </c>
      <c r="CF879">
        <f>$C879*CF878</f>
        <v/>
      </c>
      <c r="CG879">
        <f>$C879*CG878</f>
        <v/>
      </c>
      <c r="CH879">
        <f>$C879*CH878</f>
        <v/>
      </c>
      <c r="CI879">
        <f>$C879*CI878</f>
        <v/>
      </c>
      <c r="CJ879">
        <f>$C879*CJ878</f>
        <v/>
      </c>
      <c r="CK879">
        <f>$C879*CK878</f>
        <v/>
      </c>
      <c r="CL879">
        <f>$C879*CL878</f>
        <v/>
      </c>
      <c r="CM879">
        <f>$C879*CM878</f>
        <v/>
      </c>
      <c r="CN879">
        <f>$C879*CN878</f>
        <v/>
      </c>
      <c r="CO879">
        <f>$C879*CO878</f>
        <v/>
      </c>
      <c r="CP879">
        <f>$C879*CP878</f>
        <v/>
      </c>
      <c r="CQ879">
        <f>$C879*CQ878</f>
        <v/>
      </c>
      <c r="CR879">
        <f>$C879*CR878</f>
        <v/>
      </c>
      <c r="CS879">
        <f>$C879*CS878</f>
        <v/>
      </c>
      <c r="CT879">
        <f>$C879*CT878</f>
        <v/>
      </c>
      <c r="CU879">
        <f>$C879*CU878</f>
        <v/>
      </c>
      <c r="CV879">
        <f>$C879*CV878</f>
        <v/>
      </c>
      <c r="CW879">
        <f>$C879*CW878</f>
        <v/>
      </c>
      <c r="CX879">
        <f>$C879*CX878</f>
        <v/>
      </c>
      <c r="CY879">
        <f>$C879*CY878</f>
        <v/>
      </c>
      <c r="CZ879">
        <f>$C879*CZ878</f>
        <v/>
      </c>
      <c r="DA879">
        <f>$C879*DA878</f>
        <v/>
      </c>
      <c r="DB879">
        <f>$C879*DB878</f>
        <v/>
      </c>
      <c r="DC879">
        <f>$C879*DC878</f>
        <v/>
      </c>
    </row>
    <row r="880">
      <c r="B880" t="inlineStr">
        <is>
          <t>TPP-533(98%)</t>
        </is>
      </c>
      <c r="C880" t="inlineStr">
        <is>
          <t>No. of batches</t>
        </is>
      </c>
      <c r="D880">
        <f>IFERROR(INDEX(PP_Grid[#Data],$DD880,2),0)</f>
        <v/>
      </c>
      <c r="E880">
        <f>IFERROR(INDEX(PP_Grid[#Data],$DD880,3),0)</f>
        <v/>
      </c>
      <c r="F880">
        <f>IFERROR(INDEX(PP_Grid[#Data],$DD880,4),0)</f>
        <v/>
      </c>
      <c r="G880">
        <f>IFERROR(INDEX(PP_Grid[#Data],$DD880,5),0)</f>
        <v/>
      </c>
      <c r="H880">
        <f>IFERROR(INDEX(PP_Grid[#Data],$DD880,6),0)</f>
        <v/>
      </c>
      <c r="I880">
        <f>IFERROR(INDEX(PP_Grid[#Data],$DD880,7),0)</f>
        <v/>
      </c>
      <c r="J880">
        <f>IFERROR(INDEX(PP_Grid[#Data],$DD880,8),0)</f>
        <v/>
      </c>
      <c r="K880">
        <f>IFERROR(INDEX(PP_Grid[#Data],$DD880,9),0)</f>
        <v/>
      </c>
      <c r="L880">
        <f>IFERROR(INDEX(PP_Grid[#Data],$DD880,10),0)</f>
        <v/>
      </c>
      <c r="M880">
        <f>IFERROR(INDEX(PP_Grid[#Data],$DD880,11),0)</f>
        <v/>
      </c>
      <c r="N880">
        <f>IFERROR(INDEX(PP_Grid[#Data],$DD880,12),0)</f>
        <v/>
      </c>
      <c r="O880">
        <f>IFERROR(INDEX(PP_Grid[#Data],$DD880,13),0)</f>
        <v/>
      </c>
      <c r="P880">
        <f>IFERROR(INDEX(PP_Grid[#Data],$DD880,14),0)</f>
        <v/>
      </c>
      <c r="Q880">
        <f>IFERROR(INDEX(PP_Grid[#Data],$DD880,15),0)</f>
        <v/>
      </c>
      <c r="R880">
        <f>IFERROR(INDEX(PP_Grid[#Data],$DD880,16),0)</f>
        <v/>
      </c>
      <c r="S880">
        <f>IFERROR(INDEX(PP_Grid[#Data],$DD880,17),0)</f>
        <v/>
      </c>
      <c r="T880">
        <f>IFERROR(INDEX(PP_Grid[#Data],$DD880,18),0)</f>
        <v/>
      </c>
      <c r="U880">
        <f>IFERROR(INDEX(PP_Grid[#Data],$DD880,19),0)</f>
        <v/>
      </c>
      <c r="V880">
        <f>IFERROR(INDEX(PP_Grid[#Data],$DD880,20),0)</f>
        <v/>
      </c>
      <c r="W880">
        <f>IFERROR(INDEX(PP_Grid[#Data],$DD880,21),0)</f>
        <v/>
      </c>
      <c r="X880">
        <f>IFERROR(INDEX(PP_Grid[#Data],$DD880,22),0)</f>
        <v/>
      </c>
      <c r="Y880">
        <f>IFERROR(INDEX(PP_Grid[#Data],$DD880,23),0)</f>
        <v/>
      </c>
      <c r="Z880">
        <f>IFERROR(INDEX(PP_Grid[#Data],$DD880,24),0)</f>
        <v/>
      </c>
      <c r="AA880">
        <f>IFERROR(INDEX(PP_Grid[#Data],$DD880,25),0)</f>
        <v/>
      </c>
      <c r="AB880">
        <f>IFERROR(INDEX(PP_Grid[#Data],$DD880,26),0)</f>
        <v/>
      </c>
      <c r="AC880">
        <f>IFERROR(INDEX(PP_Grid[#Data],$DD880,27),0)</f>
        <v/>
      </c>
      <c r="AD880">
        <f>IFERROR(INDEX(PP_Grid[#Data],$DD880,28),0)</f>
        <v/>
      </c>
      <c r="AE880">
        <f>IFERROR(INDEX(PP_Grid[#Data],$DD880,29),0)</f>
        <v/>
      </c>
      <c r="AF880">
        <f>IFERROR(INDEX(PP_Grid[#Data],$DD880,30),0)</f>
        <v/>
      </c>
      <c r="AG880">
        <f>IFERROR(INDEX(PP_Grid[#Data],$DD880,31),0)</f>
        <v/>
      </c>
      <c r="AH880">
        <f>IFERROR(INDEX(PP_Grid[#Data],$DD880,32),0)</f>
        <v/>
      </c>
      <c r="AI880">
        <f>IFERROR(INDEX(PP_Grid[#Data],$DD880,33),0)</f>
        <v/>
      </c>
      <c r="AJ880">
        <f>IFERROR(INDEX(PP_Grid[#Data],$DD880,34),0)</f>
        <v/>
      </c>
      <c r="AK880">
        <f>IFERROR(INDEX(PP_Grid[#Data],$DD880,35),0)</f>
        <v/>
      </c>
      <c r="AL880">
        <f>IFERROR(INDEX(PP_Grid[#Data],$DD880,36),0)</f>
        <v/>
      </c>
      <c r="AM880">
        <f>IFERROR(INDEX(PP_Grid[#Data],$DD880,37),0)</f>
        <v/>
      </c>
      <c r="AN880">
        <f>IFERROR(INDEX(PP_Grid[#Data],$DD880,38),0)</f>
        <v/>
      </c>
      <c r="AO880">
        <f>IFERROR(INDEX(PP_Grid[#Data],$DD880,39),0)</f>
        <v/>
      </c>
      <c r="AP880">
        <f>IFERROR(INDEX(PP_Grid[#Data],$DD880,40),0)</f>
        <v/>
      </c>
      <c r="AQ880">
        <f>IFERROR(INDEX(PP_Grid[#Data],$DD880,41),0)</f>
        <v/>
      </c>
      <c r="AR880">
        <f>IFERROR(INDEX(PP_Grid[#Data],$DD880,42),0)</f>
        <v/>
      </c>
      <c r="AS880">
        <f>IFERROR(INDEX(PP_Grid[#Data],$DD880,43),0)</f>
        <v/>
      </c>
      <c r="AT880">
        <f>IFERROR(INDEX(PP_Grid[#Data],$DD880,44),0)</f>
        <v/>
      </c>
      <c r="AU880">
        <f>IFERROR(INDEX(PP_Grid[#Data],$DD880,45),0)</f>
        <v/>
      </c>
      <c r="AV880">
        <f>IFERROR(INDEX(PP_Grid[#Data],$DD880,46),0)</f>
        <v/>
      </c>
      <c r="AW880">
        <f>IFERROR(INDEX(PP_Grid[#Data],$DD880,47),0)</f>
        <v/>
      </c>
      <c r="AX880">
        <f>IFERROR(INDEX(PP_Grid[#Data],$DD880,48),0)</f>
        <v/>
      </c>
      <c r="AY880">
        <f>IFERROR(INDEX(PP_Grid[#Data],$DD880,49),0)</f>
        <v/>
      </c>
      <c r="AZ880">
        <f>IFERROR(INDEX(PP_Grid[#Data],$DD880,50),0)</f>
        <v/>
      </c>
      <c r="BA880">
        <f>IFERROR(INDEX(PP_Grid[#Data],$DD880,51),0)</f>
        <v/>
      </c>
      <c r="BB880">
        <f>IFERROR(INDEX(PP_Grid[#Data],$DD880,52),0)</f>
        <v/>
      </c>
      <c r="BC880">
        <f>IFERROR(INDEX(PP_Grid[#Data],$DD880,53),0)</f>
        <v/>
      </c>
      <c r="BD880">
        <f>IFERROR(INDEX(PP_Grid[#Data],$DD880,54),0)</f>
        <v/>
      </c>
      <c r="BE880">
        <f>IFERROR(INDEX(PP_Grid[#Data],$DD880,55),0)</f>
        <v/>
      </c>
      <c r="BF880">
        <f>IFERROR(INDEX(PP_Grid[#Data],$DD880,56),0)</f>
        <v/>
      </c>
      <c r="BG880">
        <f>IFERROR(INDEX(PP_Grid[#Data],$DD880,57),0)</f>
        <v/>
      </c>
      <c r="BH880">
        <f>IFERROR(INDEX(PP_Grid[#Data],$DD880,58),0)</f>
        <v/>
      </c>
      <c r="BI880">
        <f>IFERROR(INDEX(PP_Grid[#Data],$DD880,59),0)</f>
        <v/>
      </c>
      <c r="BJ880">
        <f>IFERROR(INDEX(PP_Grid[#Data],$DD880,60),0)</f>
        <v/>
      </c>
      <c r="BK880">
        <f>IFERROR(INDEX(PP_Grid[#Data],$DD880,61),0)</f>
        <v/>
      </c>
      <c r="BL880">
        <f>IFERROR(INDEX(PP_Grid[#Data],$DD880,62),0)</f>
        <v/>
      </c>
      <c r="BM880">
        <f>IFERROR(INDEX(PP_Grid[#Data],$DD880,63),0)</f>
        <v/>
      </c>
      <c r="BN880">
        <f>IFERROR(INDEX(PP_Grid[#Data],$DD880,64),0)</f>
        <v/>
      </c>
      <c r="BO880">
        <f>IFERROR(INDEX(PP_Grid[#Data],$DD880,65),0)</f>
        <v/>
      </c>
      <c r="BP880">
        <f>IFERROR(INDEX(PP_Grid[#Data],$DD880,66),0)</f>
        <v/>
      </c>
      <c r="BQ880">
        <f>IFERROR(INDEX(PP_Grid[#Data],$DD880,67),0)</f>
        <v/>
      </c>
      <c r="BR880">
        <f>IFERROR(INDEX(PP_Grid[#Data],$DD880,68),0)</f>
        <v/>
      </c>
      <c r="BS880">
        <f>IFERROR(INDEX(PP_Grid[#Data],$DD880,69),0)</f>
        <v/>
      </c>
      <c r="BT880">
        <f>IFERROR(INDEX(PP_Grid[#Data],$DD880,70),0)</f>
        <v/>
      </c>
      <c r="BU880">
        <f>IFERROR(INDEX(PP_Grid[#Data],$DD880,71),0)</f>
        <v/>
      </c>
      <c r="BV880">
        <f>IFERROR(INDEX(PP_Grid[#Data],$DD880,72),0)</f>
        <v/>
      </c>
      <c r="BW880">
        <f>IFERROR(INDEX(PP_Grid[#Data],$DD880,73),0)</f>
        <v/>
      </c>
      <c r="BX880">
        <f>IFERROR(INDEX(PP_Grid[#Data],$DD880,74),0)</f>
        <v/>
      </c>
      <c r="BY880">
        <f>IFERROR(INDEX(PP_Grid[#Data],$DD880,75),0)</f>
        <v/>
      </c>
      <c r="BZ880">
        <f>IFERROR(INDEX(PP_Grid[#Data],$DD880,76),0)</f>
        <v/>
      </c>
      <c r="CA880">
        <f>IFERROR(INDEX(PP_Grid[#Data],$DD880,77),0)</f>
        <v/>
      </c>
      <c r="CB880">
        <f>IFERROR(INDEX(PP_Grid[#Data],$DD880,78),0)</f>
        <v/>
      </c>
      <c r="CC880">
        <f>IFERROR(INDEX(PP_Grid[#Data],$DD880,79),0)</f>
        <v/>
      </c>
      <c r="CD880">
        <f>IFERROR(INDEX(PP_Grid[#Data],$DD880,80),0)</f>
        <v/>
      </c>
      <c r="CE880">
        <f>IFERROR(INDEX(PP_Grid[#Data],$DD880,81),0)</f>
        <v/>
      </c>
      <c r="CF880">
        <f>IFERROR(INDEX(PP_Grid[#Data],$DD880,82),0)</f>
        <v/>
      </c>
      <c r="CG880">
        <f>IFERROR(INDEX(PP_Grid[#Data],$DD880,83),0)</f>
        <v/>
      </c>
      <c r="CH880">
        <f>IFERROR(INDEX(PP_Grid[#Data],$DD880,84),0)</f>
        <v/>
      </c>
      <c r="CI880">
        <f>IFERROR(INDEX(PP_Grid[#Data],$DD880,85),0)</f>
        <v/>
      </c>
      <c r="CJ880">
        <f>IFERROR(INDEX(PP_Grid[#Data],$DD880,86),0)</f>
        <v/>
      </c>
      <c r="CK880">
        <f>IFERROR(INDEX(PP_Grid[#Data],$DD880,87),0)</f>
        <v/>
      </c>
      <c r="CL880">
        <f>IFERROR(INDEX(PP_Grid[#Data],$DD880,88),0)</f>
        <v/>
      </c>
      <c r="CM880">
        <f>IFERROR(INDEX(PP_Grid[#Data],$DD880,89),0)</f>
        <v/>
      </c>
      <c r="CN880">
        <f>IFERROR(INDEX(PP_Grid[#Data],$DD880,90),0)</f>
        <v/>
      </c>
      <c r="CO880">
        <f>IFERROR(INDEX(PP_Grid[#Data],$DD880,91),0)</f>
        <v/>
      </c>
      <c r="CP880">
        <f>IFERROR(INDEX(PP_Grid[#Data],$DD880,92),0)</f>
        <v/>
      </c>
      <c r="CQ880">
        <f>IFERROR(INDEX(PP_Grid[#Data],$DD880,93),0)</f>
        <v/>
      </c>
      <c r="CR880">
        <f>IFERROR(INDEX(PP_Grid[#Data],$DD880,94),0)</f>
        <v/>
      </c>
      <c r="CS880">
        <f>IFERROR(INDEX(PP_Grid[#Data],$DD880,95),0)</f>
        <v/>
      </c>
      <c r="CT880">
        <f>IFERROR(INDEX(PP_Grid[#Data],$DD880,96),0)</f>
        <v/>
      </c>
      <c r="CU880">
        <f>IFERROR(INDEX(PP_Grid[#Data],$DD880,97),0)</f>
        <v/>
      </c>
      <c r="CV880">
        <f>IFERROR(INDEX(PP_Grid[#Data],$DD880,98),0)</f>
        <v/>
      </c>
      <c r="CW880">
        <f>IFERROR(INDEX(PP_Grid[#Data],$DD880,99),0)</f>
        <v/>
      </c>
      <c r="CX880">
        <f>IFERROR(INDEX(PP_Grid[#Data],$DD880,100),0)</f>
        <v/>
      </c>
      <c r="CY880">
        <f>IFERROR(INDEX(PP_Grid[#Data],$DD880,101),0)</f>
        <v/>
      </c>
      <c r="CZ880">
        <f>IFERROR(INDEX(PP_Grid[#Data],$DD880,102),0)</f>
        <v/>
      </c>
      <c r="DA880">
        <f>IFERROR(INDEX(PP_Grid[#Data],$DD880,103),0)</f>
        <v/>
      </c>
      <c r="DB880">
        <f>IFERROR(INDEX(PP_Grid[#Data],$DD880,104),0)</f>
        <v/>
      </c>
      <c r="DC880">
        <f>IFERROR(INDEX(PP_Grid[#Data],$DD880,105),0)</f>
        <v/>
      </c>
      <c r="DD880" s="7">
        <f>IFERROR(MATCH($B880,PP_Grid[Intermediate],0),99999)</f>
        <v/>
      </c>
    </row>
    <row r="881">
      <c r="B881" t="inlineStr">
        <is>
          <t>使用量(kg)</t>
        </is>
      </c>
      <c r="C881">
        <f>SUMIFS(M_BOM[RM_Qty_Per_Batch],M_BOM[Intermediate],$B880,M_BOM[Part Name],$A849)</f>
        <v/>
      </c>
      <c r="D881">
        <f>$C881*D880</f>
        <v/>
      </c>
      <c r="E881">
        <f>$C881*E880</f>
        <v/>
      </c>
      <c r="F881">
        <f>$C881*F880</f>
        <v/>
      </c>
      <c r="G881">
        <f>$C881*G880</f>
        <v/>
      </c>
      <c r="H881">
        <f>$C881*H880</f>
        <v/>
      </c>
      <c r="I881">
        <f>$C881*I880</f>
        <v/>
      </c>
      <c r="J881">
        <f>$C881*J880</f>
        <v/>
      </c>
      <c r="K881">
        <f>$C881*K880</f>
        <v/>
      </c>
      <c r="L881">
        <f>$C881*L880</f>
        <v/>
      </c>
      <c r="M881">
        <f>$C881*M880</f>
        <v/>
      </c>
      <c r="N881">
        <f>$C881*N880</f>
        <v/>
      </c>
      <c r="O881">
        <f>$C881*O880</f>
        <v/>
      </c>
      <c r="P881">
        <f>$C881*P880</f>
        <v/>
      </c>
      <c r="Q881">
        <f>$C881*Q880</f>
        <v/>
      </c>
      <c r="R881">
        <f>$C881*R880</f>
        <v/>
      </c>
      <c r="S881">
        <f>$C881*S880</f>
        <v/>
      </c>
      <c r="T881">
        <f>$C881*T880</f>
        <v/>
      </c>
      <c r="U881">
        <f>$C881*U880</f>
        <v/>
      </c>
      <c r="V881">
        <f>$C881*V880</f>
        <v/>
      </c>
      <c r="W881">
        <f>$C881*W880</f>
        <v/>
      </c>
      <c r="X881">
        <f>$C881*X880</f>
        <v/>
      </c>
      <c r="Y881">
        <f>$C881*Y880</f>
        <v/>
      </c>
      <c r="Z881">
        <f>$C881*Z880</f>
        <v/>
      </c>
      <c r="AA881">
        <f>$C881*AA880</f>
        <v/>
      </c>
      <c r="AB881">
        <f>$C881*AB880</f>
        <v/>
      </c>
      <c r="AC881">
        <f>$C881*AC880</f>
        <v/>
      </c>
      <c r="AD881">
        <f>$C881*AD880</f>
        <v/>
      </c>
      <c r="AE881">
        <f>$C881*AE880</f>
        <v/>
      </c>
      <c r="AF881">
        <f>$C881*AF880</f>
        <v/>
      </c>
      <c r="AG881">
        <f>$C881*AG880</f>
        <v/>
      </c>
      <c r="AH881">
        <f>$C881*AH880</f>
        <v/>
      </c>
      <c r="AI881">
        <f>$C881*AI880</f>
        <v/>
      </c>
      <c r="AJ881">
        <f>$C881*AJ880</f>
        <v/>
      </c>
      <c r="AK881">
        <f>$C881*AK880</f>
        <v/>
      </c>
      <c r="AL881">
        <f>$C881*AL880</f>
        <v/>
      </c>
      <c r="AM881">
        <f>$C881*AM880</f>
        <v/>
      </c>
      <c r="AN881">
        <f>$C881*AN880</f>
        <v/>
      </c>
      <c r="AO881">
        <f>$C881*AO880</f>
        <v/>
      </c>
      <c r="AP881">
        <f>$C881*AP880</f>
        <v/>
      </c>
      <c r="AQ881">
        <f>$C881*AQ880</f>
        <v/>
      </c>
      <c r="AR881">
        <f>$C881*AR880</f>
        <v/>
      </c>
      <c r="AS881">
        <f>$C881*AS880</f>
        <v/>
      </c>
      <c r="AT881">
        <f>$C881*AT880</f>
        <v/>
      </c>
      <c r="AU881">
        <f>$C881*AU880</f>
        <v/>
      </c>
      <c r="AV881">
        <f>$C881*AV880</f>
        <v/>
      </c>
      <c r="AW881">
        <f>$C881*AW880</f>
        <v/>
      </c>
      <c r="AX881">
        <f>$C881*AX880</f>
        <v/>
      </c>
      <c r="AY881">
        <f>$C881*AY880</f>
        <v/>
      </c>
      <c r="AZ881">
        <f>$C881*AZ880</f>
        <v/>
      </c>
      <c r="BA881">
        <f>$C881*BA880</f>
        <v/>
      </c>
      <c r="BB881">
        <f>$C881*BB880</f>
        <v/>
      </c>
      <c r="BC881">
        <f>$C881*BC880</f>
        <v/>
      </c>
      <c r="BD881">
        <f>$C881*BD880</f>
        <v/>
      </c>
      <c r="BE881">
        <f>$C881*BE880</f>
        <v/>
      </c>
      <c r="BF881">
        <f>$C881*BF880</f>
        <v/>
      </c>
      <c r="BG881">
        <f>$C881*BG880</f>
        <v/>
      </c>
      <c r="BH881">
        <f>$C881*BH880</f>
        <v/>
      </c>
      <c r="BI881">
        <f>$C881*BI880</f>
        <v/>
      </c>
      <c r="BJ881">
        <f>$C881*BJ880</f>
        <v/>
      </c>
      <c r="BK881">
        <f>$C881*BK880</f>
        <v/>
      </c>
      <c r="BL881">
        <f>$C881*BL880</f>
        <v/>
      </c>
      <c r="BM881">
        <f>$C881*BM880</f>
        <v/>
      </c>
      <c r="BN881">
        <f>$C881*BN880</f>
        <v/>
      </c>
      <c r="BO881">
        <f>$C881*BO880</f>
        <v/>
      </c>
      <c r="BP881">
        <f>$C881*BP880</f>
        <v/>
      </c>
      <c r="BQ881">
        <f>$C881*BQ880</f>
        <v/>
      </c>
      <c r="BR881">
        <f>$C881*BR880</f>
        <v/>
      </c>
      <c r="BS881">
        <f>$C881*BS880</f>
        <v/>
      </c>
      <c r="BT881">
        <f>$C881*BT880</f>
        <v/>
      </c>
      <c r="BU881">
        <f>$C881*BU880</f>
        <v/>
      </c>
      <c r="BV881">
        <f>$C881*BV880</f>
        <v/>
      </c>
      <c r="BW881">
        <f>$C881*BW880</f>
        <v/>
      </c>
      <c r="BX881">
        <f>$C881*BX880</f>
        <v/>
      </c>
      <c r="BY881">
        <f>$C881*BY880</f>
        <v/>
      </c>
      <c r="BZ881">
        <f>$C881*BZ880</f>
        <v/>
      </c>
      <c r="CA881">
        <f>$C881*CA880</f>
        <v/>
      </c>
      <c r="CB881">
        <f>$C881*CB880</f>
        <v/>
      </c>
      <c r="CC881">
        <f>$C881*CC880</f>
        <v/>
      </c>
      <c r="CD881">
        <f>$C881*CD880</f>
        <v/>
      </c>
      <c r="CE881">
        <f>$C881*CE880</f>
        <v/>
      </c>
      <c r="CF881">
        <f>$C881*CF880</f>
        <v/>
      </c>
      <c r="CG881">
        <f>$C881*CG880</f>
        <v/>
      </c>
      <c r="CH881">
        <f>$C881*CH880</f>
        <v/>
      </c>
      <c r="CI881">
        <f>$C881*CI880</f>
        <v/>
      </c>
      <c r="CJ881">
        <f>$C881*CJ880</f>
        <v/>
      </c>
      <c r="CK881">
        <f>$C881*CK880</f>
        <v/>
      </c>
      <c r="CL881">
        <f>$C881*CL880</f>
        <v/>
      </c>
      <c r="CM881">
        <f>$C881*CM880</f>
        <v/>
      </c>
      <c r="CN881">
        <f>$C881*CN880</f>
        <v/>
      </c>
      <c r="CO881">
        <f>$C881*CO880</f>
        <v/>
      </c>
      <c r="CP881">
        <f>$C881*CP880</f>
        <v/>
      </c>
      <c r="CQ881">
        <f>$C881*CQ880</f>
        <v/>
      </c>
      <c r="CR881">
        <f>$C881*CR880</f>
        <v/>
      </c>
      <c r="CS881">
        <f>$C881*CS880</f>
        <v/>
      </c>
      <c r="CT881">
        <f>$C881*CT880</f>
        <v/>
      </c>
      <c r="CU881">
        <f>$C881*CU880</f>
        <v/>
      </c>
      <c r="CV881">
        <f>$C881*CV880</f>
        <v/>
      </c>
      <c r="CW881">
        <f>$C881*CW880</f>
        <v/>
      </c>
      <c r="CX881">
        <f>$C881*CX880</f>
        <v/>
      </c>
      <c r="CY881">
        <f>$C881*CY880</f>
        <v/>
      </c>
      <c r="CZ881">
        <f>$C881*CZ880</f>
        <v/>
      </c>
      <c r="DA881">
        <f>$C881*DA880</f>
        <v/>
      </c>
      <c r="DB881">
        <f>$C881*DB880</f>
        <v/>
      </c>
      <c r="DC881">
        <f>$C881*DC880</f>
        <v/>
      </c>
    </row>
    <row r="882">
      <c r="B882" t="inlineStr">
        <is>
          <t>TPP-533(A)</t>
        </is>
      </c>
      <c r="C882" t="inlineStr">
        <is>
          <t>No. of batches</t>
        </is>
      </c>
      <c r="D882">
        <f>IFERROR(INDEX(PP_Grid[#Data],$DD882,2),0)</f>
        <v/>
      </c>
      <c r="E882">
        <f>IFERROR(INDEX(PP_Grid[#Data],$DD882,3),0)</f>
        <v/>
      </c>
      <c r="F882">
        <f>IFERROR(INDEX(PP_Grid[#Data],$DD882,4),0)</f>
        <v/>
      </c>
      <c r="G882">
        <f>IFERROR(INDEX(PP_Grid[#Data],$DD882,5),0)</f>
        <v/>
      </c>
      <c r="H882">
        <f>IFERROR(INDEX(PP_Grid[#Data],$DD882,6),0)</f>
        <v/>
      </c>
      <c r="I882">
        <f>IFERROR(INDEX(PP_Grid[#Data],$DD882,7),0)</f>
        <v/>
      </c>
      <c r="J882">
        <f>IFERROR(INDEX(PP_Grid[#Data],$DD882,8),0)</f>
        <v/>
      </c>
      <c r="K882">
        <f>IFERROR(INDEX(PP_Grid[#Data],$DD882,9),0)</f>
        <v/>
      </c>
      <c r="L882">
        <f>IFERROR(INDEX(PP_Grid[#Data],$DD882,10),0)</f>
        <v/>
      </c>
      <c r="M882">
        <f>IFERROR(INDEX(PP_Grid[#Data],$DD882,11),0)</f>
        <v/>
      </c>
      <c r="N882">
        <f>IFERROR(INDEX(PP_Grid[#Data],$DD882,12),0)</f>
        <v/>
      </c>
      <c r="O882">
        <f>IFERROR(INDEX(PP_Grid[#Data],$DD882,13),0)</f>
        <v/>
      </c>
      <c r="P882">
        <f>IFERROR(INDEX(PP_Grid[#Data],$DD882,14),0)</f>
        <v/>
      </c>
      <c r="Q882">
        <f>IFERROR(INDEX(PP_Grid[#Data],$DD882,15),0)</f>
        <v/>
      </c>
      <c r="R882">
        <f>IFERROR(INDEX(PP_Grid[#Data],$DD882,16),0)</f>
        <v/>
      </c>
      <c r="S882">
        <f>IFERROR(INDEX(PP_Grid[#Data],$DD882,17),0)</f>
        <v/>
      </c>
      <c r="T882">
        <f>IFERROR(INDEX(PP_Grid[#Data],$DD882,18),0)</f>
        <v/>
      </c>
      <c r="U882">
        <f>IFERROR(INDEX(PP_Grid[#Data],$DD882,19),0)</f>
        <v/>
      </c>
      <c r="V882">
        <f>IFERROR(INDEX(PP_Grid[#Data],$DD882,20),0)</f>
        <v/>
      </c>
      <c r="W882">
        <f>IFERROR(INDEX(PP_Grid[#Data],$DD882,21),0)</f>
        <v/>
      </c>
      <c r="X882">
        <f>IFERROR(INDEX(PP_Grid[#Data],$DD882,22),0)</f>
        <v/>
      </c>
      <c r="Y882">
        <f>IFERROR(INDEX(PP_Grid[#Data],$DD882,23),0)</f>
        <v/>
      </c>
      <c r="Z882">
        <f>IFERROR(INDEX(PP_Grid[#Data],$DD882,24),0)</f>
        <v/>
      </c>
      <c r="AA882">
        <f>IFERROR(INDEX(PP_Grid[#Data],$DD882,25),0)</f>
        <v/>
      </c>
      <c r="AB882">
        <f>IFERROR(INDEX(PP_Grid[#Data],$DD882,26),0)</f>
        <v/>
      </c>
      <c r="AC882">
        <f>IFERROR(INDEX(PP_Grid[#Data],$DD882,27),0)</f>
        <v/>
      </c>
      <c r="AD882">
        <f>IFERROR(INDEX(PP_Grid[#Data],$DD882,28),0)</f>
        <v/>
      </c>
      <c r="AE882">
        <f>IFERROR(INDEX(PP_Grid[#Data],$DD882,29),0)</f>
        <v/>
      </c>
      <c r="AF882">
        <f>IFERROR(INDEX(PP_Grid[#Data],$DD882,30),0)</f>
        <v/>
      </c>
      <c r="AG882">
        <f>IFERROR(INDEX(PP_Grid[#Data],$DD882,31),0)</f>
        <v/>
      </c>
      <c r="AH882">
        <f>IFERROR(INDEX(PP_Grid[#Data],$DD882,32),0)</f>
        <v/>
      </c>
      <c r="AI882">
        <f>IFERROR(INDEX(PP_Grid[#Data],$DD882,33),0)</f>
        <v/>
      </c>
      <c r="AJ882">
        <f>IFERROR(INDEX(PP_Grid[#Data],$DD882,34),0)</f>
        <v/>
      </c>
      <c r="AK882">
        <f>IFERROR(INDEX(PP_Grid[#Data],$DD882,35),0)</f>
        <v/>
      </c>
      <c r="AL882">
        <f>IFERROR(INDEX(PP_Grid[#Data],$DD882,36),0)</f>
        <v/>
      </c>
      <c r="AM882">
        <f>IFERROR(INDEX(PP_Grid[#Data],$DD882,37),0)</f>
        <v/>
      </c>
      <c r="AN882">
        <f>IFERROR(INDEX(PP_Grid[#Data],$DD882,38),0)</f>
        <v/>
      </c>
      <c r="AO882">
        <f>IFERROR(INDEX(PP_Grid[#Data],$DD882,39),0)</f>
        <v/>
      </c>
      <c r="AP882">
        <f>IFERROR(INDEX(PP_Grid[#Data],$DD882,40),0)</f>
        <v/>
      </c>
      <c r="AQ882">
        <f>IFERROR(INDEX(PP_Grid[#Data],$DD882,41),0)</f>
        <v/>
      </c>
      <c r="AR882">
        <f>IFERROR(INDEX(PP_Grid[#Data],$DD882,42),0)</f>
        <v/>
      </c>
      <c r="AS882">
        <f>IFERROR(INDEX(PP_Grid[#Data],$DD882,43),0)</f>
        <v/>
      </c>
      <c r="AT882">
        <f>IFERROR(INDEX(PP_Grid[#Data],$DD882,44),0)</f>
        <v/>
      </c>
      <c r="AU882">
        <f>IFERROR(INDEX(PP_Grid[#Data],$DD882,45),0)</f>
        <v/>
      </c>
      <c r="AV882">
        <f>IFERROR(INDEX(PP_Grid[#Data],$DD882,46),0)</f>
        <v/>
      </c>
      <c r="AW882">
        <f>IFERROR(INDEX(PP_Grid[#Data],$DD882,47),0)</f>
        <v/>
      </c>
      <c r="AX882">
        <f>IFERROR(INDEX(PP_Grid[#Data],$DD882,48),0)</f>
        <v/>
      </c>
      <c r="AY882">
        <f>IFERROR(INDEX(PP_Grid[#Data],$DD882,49),0)</f>
        <v/>
      </c>
      <c r="AZ882">
        <f>IFERROR(INDEX(PP_Grid[#Data],$DD882,50),0)</f>
        <v/>
      </c>
      <c r="BA882">
        <f>IFERROR(INDEX(PP_Grid[#Data],$DD882,51),0)</f>
        <v/>
      </c>
      <c r="BB882">
        <f>IFERROR(INDEX(PP_Grid[#Data],$DD882,52),0)</f>
        <v/>
      </c>
      <c r="BC882">
        <f>IFERROR(INDEX(PP_Grid[#Data],$DD882,53),0)</f>
        <v/>
      </c>
      <c r="BD882">
        <f>IFERROR(INDEX(PP_Grid[#Data],$DD882,54),0)</f>
        <v/>
      </c>
      <c r="BE882">
        <f>IFERROR(INDEX(PP_Grid[#Data],$DD882,55),0)</f>
        <v/>
      </c>
      <c r="BF882">
        <f>IFERROR(INDEX(PP_Grid[#Data],$DD882,56),0)</f>
        <v/>
      </c>
      <c r="BG882">
        <f>IFERROR(INDEX(PP_Grid[#Data],$DD882,57),0)</f>
        <v/>
      </c>
      <c r="BH882">
        <f>IFERROR(INDEX(PP_Grid[#Data],$DD882,58),0)</f>
        <v/>
      </c>
      <c r="BI882">
        <f>IFERROR(INDEX(PP_Grid[#Data],$DD882,59),0)</f>
        <v/>
      </c>
      <c r="BJ882">
        <f>IFERROR(INDEX(PP_Grid[#Data],$DD882,60),0)</f>
        <v/>
      </c>
      <c r="BK882">
        <f>IFERROR(INDEX(PP_Grid[#Data],$DD882,61),0)</f>
        <v/>
      </c>
      <c r="BL882">
        <f>IFERROR(INDEX(PP_Grid[#Data],$DD882,62),0)</f>
        <v/>
      </c>
      <c r="BM882">
        <f>IFERROR(INDEX(PP_Grid[#Data],$DD882,63),0)</f>
        <v/>
      </c>
      <c r="BN882">
        <f>IFERROR(INDEX(PP_Grid[#Data],$DD882,64),0)</f>
        <v/>
      </c>
      <c r="BO882">
        <f>IFERROR(INDEX(PP_Grid[#Data],$DD882,65),0)</f>
        <v/>
      </c>
      <c r="BP882">
        <f>IFERROR(INDEX(PP_Grid[#Data],$DD882,66),0)</f>
        <v/>
      </c>
      <c r="BQ882">
        <f>IFERROR(INDEX(PP_Grid[#Data],$DD882,67),0)</f>
        <v/>
      </c>
      <c r="BR882">
        <f>IFERROR(INDEX(PP_Grid[#Data],$DD882,68),0)</f>
        <v/>
      </c>
      <c r="BS882">
        <f>IFERROR(INDEX(PP_Grid[#Data],$DD882,69),0)</f>
        <v/>
      </c>
      <c r="BT882">
        <f>IFERROR(INDEX(PP_Grid[#Data],$DD882,70),0)</f>
        <v/>
      </c>
      <c r="BU882">
        <f>IFERROR(INDEX(PP_Grid[#Data],$DD882,71),0)</f>
        <v/>
      </c>
      <c r="BV882">
        <f>IFERROR(INDEX(PP_Grid[#Data],$DD882,72),0)</f>
        <v/>
      </c>
      <c r="BW882">
        <f>IFERROR(INDEX(PP_Grid[#Data],$DD882,73),0)</f>
        <v/>
      </c>
      <c r="BX882">
        <f>IFERROR(INDEX(PP_Grid[#Data],$DD882,74),0)</f>
        <v/>
      </c>
      <c r="BY882">
        <f>IFERROR(INDEX(PP_Grid[#Data],$DD882,75),0)</f>
        <v/>
      </c>
      <c r="BZ882">
        <f>IFERROR(INDEX(PP_Grid[#Data],$DD882,76),0)</f>
        <v/>
      </c>
      <c r="CA882">
        <f>IFERROR(INDEX(PP_Grid[#Data],$DD882,77),0)</f>
        <v/>
      </c>
      <c r="CB882">
        <f>IFERROR(INDEX(PP_Grid[#Data],$DD882,78),0)</f>
        <v/>
      </c>
      <c r="CC882">
        <f>IFERROR(INDEX(PP_Grid[#Data],$DD882,79),0)</f>
        <v/>
      </c>
      <c r="CD882">
        <f>IFERROR(INDEX(PP_Grid[#Data],$DD882,80),0)</f>
        <v/>
      </c>
      <c r="CE882">
        <f>IFERROR(INDEX(PP_Grid[#Data],$DD882,81),0)</f>
        <v/>
      </c>
      <c r="CF882">
        <f>IFERROR(INDEX(PP_Grid[#Data],$DD882,82),0)</f>
        <v/>
      </c>
      <c r="CG882">
        <f>IFERROR(INDEX(PP_Grid[#Data],$DD882,83),0)</f>
        <v/>
      </c>
      <c r="CH882">
        <f>IFERROR(INDEX(PP_Grid[#Data],$DD882,84),0)</f>
        <v/>
      </c>
      <c r="CI882">
        <f>IFERROR(INDEX(PP_Grid[#Data],$DD882,85),0)</f>
        <v/>
      </c>
      <c r="CJ882">
        <f>IFERROR(INDEX(PP_Grid[#Data],$DD882,86),0)</f>
        <v/>
      </c>
      <c r="CK882">
        <f>IFERROR(INDEX(PP_Grid[#Data],$DD882,87),0)</f>
        <v/>
      </c>
      <c r="CL882">
        <f>IFERROR(INDEX(PP_Grid[#Data],$DD882,88),0)</f>
        <v/>
      </c>
      <c r="CM882">
        <f>IFERROR(INDEX(PP_Grid[#Data],$DD882,89),0)</f>
        <v/>
      </c>
      <c r="CN882">
        <f>IFERROR(INDEX(PP_Grid[#Data],$DD882,90),0)</f>
        <v/>
      </c>
      <c r="CO882">
        <f>IFERROR(INDEX(PP_Grid[#Data],$DD882,91),0)</f>
        <v/>
      </c>
      <c r="CP882">
        <f>IFERROR(INDEX(PP_Grid[#Data],$DD882,92),0)</f>
        <v/>
      </c>
      <c r="CQ882">
        <f>IFERROR(INDEX(PP_Grid[#Data],$DD882,93),0)</f>
        <v/>
      </c>
      <c r="CR882">
        <f>IFERROR(INDEX(PP_Grid[#Data],$DD882,94),0)</f>
        <v/>
      </c>
      <c r="CS882">
        <f>IFERROR(INDEX(PP_Grid[#Data],$DD882,95),0)</f>
        <v/>
      </c>
      <c r="CT882">
        <f>IFERROR(INDEX(PP_Grid[#Data],$DD882,96),0)</f>
        <v/>
      </c>
      <c r="CU882">
        <f>IFERROR(INDEX(PP_Grid[#Data],$DD882,97),0)</f>
        <v/>
      </c>
      <c r="CV882">
        <f>IFERROR(INDEX(PP_Grid[#Data],$DD882,98),0)</f>
        <v/>
      </c>
      <c r="CW882">
        <f>IFERROR(INDEX(PP_Grid[#Data],$DD882,99),0)</f>
        <v/>
      </c>
      <c r="CX882">
        <f>IFERROR(INDEX(PP_Grid[#Data],$DD882,100),0)</f>
        <v/>
      </c>
      <c r="CY882">
        <f>IFERROR(INDEX(PP_Grid[#Data],$DD882,101),0)</f>
        <v/>
      </c>
      <c r="CZ882">
        <f>IFERROR(INDEX(PP_Grid[#Data],$DD882,102),0)</f>
        <v/>
      </c>
      <c r="DA882">
        <f>IFERROR(INDEX(PP_Grid[#Data],$DD882,103),0)</f>
        <v/>
      </c>
      <c r="DB882">
        <f>IFERROR(INDEX(PP_Grid[#Data],$DD882,104),0)</f>
        <v/>
      </c>
      <c r="DC882">
        <f>IFERROR(INDEX(PP_Grid[#Data],$DD882,105),0)</f>
        <v/>
      </c>
      <c r="DD882" s="7">
        <f>IFERROR(MATCH($B882,PP_Grid[Intermediate],0),99999)</f>
        <v/>
      </c>
    </row>
    <row r="883">
      <c r="B883" t="inlineStr">
        <is>
          <t>使用量(kg)</t>
        </is>
      </c>
      <c r="C883">
        <f>SUMIFS(M_BOM[RM_Qty_Per_Batch],M_BOM[Intermediate],$B882,M_BOM[Part Name],$A849)</f>
        <v/>
      </c>
      <c r="D883">
        <f>$C883*D882</f>
        <v/>
      </c>
      <c r="E883">
        <f>$C883*E882</f>
        <v/>
      </c>
      <c r="F883">
        <f>$C883*F882</f>
        <v/>
      </c>
      <c r="G883">
        <f>$C883*G882</f>
        <v/>
      </c>
      <c r="H883">
        <f>$C883*H882</f>
        <v/>
      </c>
      <c r="I883">
        <f>$C883*I882</f>
        <v/>
      </c>
      <c r="J883">
        <f>$C883*J882</f>
        <v/>
      </c>
      <c r="K883">
        <f>$C883*K882</f>
        <v/>
      </c>
      <c r="L883">
        <f>$C883*L882</f>
        <v/>
      </c>
      <c r="M883">
        <f>$C883*M882</f>
        <v/>
      </c>
      <c r="N883">
        <f>$C883*N882</f>
        <v/>
      </c>
      <c r="O883">
        <f>$C883*O882</f>
        <v/>
      </c>
      <c r="P883">
        <f>$C883*P882</f>
        <v/>
      </c>
      <c r="Q883">
        <f>$C883*Q882</f>
        <v/>
      </c>
      <c r="R883">
        <f>$C883*R882</f>
        <v/>
      </c>
      <c r="S883">
        <f>$C883*S882</f>
        <v/>
      </c>
      <c r="T883">
        <f>$C883*T882</f>
        <v/>
      </c>
      <c r="U883">
        <f>$C883*U882</f>
        <v/>
      </c>
      <c r="V883">
        <f>$C883*V882</f>
        <v/>
      </c>
      <c r="W883">
        <f>$C883*W882</f>
        <v/>
      </c>
      <c r="X883">
        <f>$C883*X882</f>
        <v/>
      </c>
      <c r="Y883">
        <f>$C883*Y882</f>
        <v/>
      </c>
      <c r="Z883">
        <f>$C883*Z882</f>
        <v/>
      </c>
      <c r="AA883">
        <f>$C883*AA882</f>
        <v/>
      </c>
      <c r="AB883">
        <f>$C883*AB882</f>
        <v/>
      </c>
      <c r="AC883">
        <f>$C883*AC882</f>
        <v/>
      </c>
      <c r="AD883">
        <f>$C883*AD882</f>
        <v/>
      </c>
      <c r="AE883">
        <f>$C883*AE882</f>
        <v/>
      </c>
      <c r="AF883">
        <f>$C883*AF882</f>
        <v/>
      </c>
      <c r="AG883">
        <f>$C883*AG882</f>
        <v/>
      </c>
      <c r="AH883">
        <f>$C883*AH882</f>
        <v/>
      </c>
      <c r="AI883">
        <f>$C883*AI882</f>
        <v/>
      </c>
      <c r="AJ883">
        <f>$C883*AJ882</f>
        <v/>
      </c>
      <c r="AK883">
        <f>$C883*AK882</f>
        <v/>
      </c>
      <c r="AL883">
        <f>$C883*AL882</f>
        <v/>
      </c>
      <c r="AM883">
        <f>$C883*AM882</f>
        <v/>
      </c>
      <c r="AN883">
        <f>$C883*AN882</f>
        <v/>
      </c>
      <c r="AO883">
        <f>$C883*AO882</f>
        <v/>
      </c>
      <c r="AP883">
        <f>$C883*AP882</f>
        <v/>
      </c>
      <c r="AQ883">
        <f>$C883*AQ882</f>
        <v/>
      </c>
      <c r="AR883">
        <f>$C883*AR882</f>
        <v/>
      </c>
      <c r="AS883">
        <f>$C883*AS882</f>
        <v/>
      </c>
      <c r="AT883">
        <f>$C883*AT882</f>
        <v/>
      </c>
      <c r="AU883">
        <f>$C883*AU882</f>
        <v/>
      </c>
      <c r="AV883">
        <f>$C883*AV882</f>
        <v/>
      </c>
      <c r="AW883">
        <f>$C883*AW882</f>
        <v/>
      </c>
      <c r="AX883">
        <f>$C883*AX882</f>
        <v/>
      </c>
      <c r="AY883">
        <f>$C883*AY882</f>
        <v/>
      </c>
      <c r="AZ883">
        <f>$C883*AZ882</f>
        <v/>
      </c>
      <c r="BA883">
        <f>$C883*BA882</f>
        <v/>
      </c>
      <c r="BB883">
        <f>$C883*BB882</f>
        <v/>
      </c>
      <c r="BC883">
        <f>$C883*BC882</f>
        <v/>
      </c>
      <c r="BD883">
        <f>$C883*BD882</f>
        <v/>
      </c>
      <c r="BE883">
        <f>$C883*BE882</f>
        <v/>
      </c>
      <c r="BF883">
        <f>$C883*BF882</f>
        <v/>
      </c>
      <c r="BG883">
        <f>$C883*BG882</f>
        <v/>
      </c>
      <c r="BH883">
        <f>$C883*BH882</f>
        <v/>
      </c>
      <c r="BI883">
        <f>$C883*BI882</f>
        <v/>
      </c>
      <c r="BJ883">
        <f>$C883*BJ882</f>
        <v/>
      </c>
      <c r="BK883">
        <f>$C883*BK882</f>
        <v/>
      </c>
      <c r="BL883">
        <f>$C883*BL882</f>
        <v/>
      </c>
      <c r="BM883">
        <f>$C883*BM882</f>
        <v/>
      </c>
      <c r="BN883">
        <f>$C883*BN882</f>
        <v/>
      </c>
      <c r="BO883">
        <f>$C883*BO882</f>
        <v/>
      </c>
      <c r="BP883">
        <f>$C883*BP882</f>
        <v/>
      </c>
      <c r="BQ883">
        <f>$C883*BQ882</f>
        <v/>
      </c>
      <c r="BR883">
        <f>$C883*BR882</f>
        <v/>
      </c>
      <c r="BS883">
        <f>$C883*BS882</f>
        <v/>
      </c>
      <c r="BT883">
        <f>$C883*BT882</f>
        <v/>
      </c>
      <c r="BU883">
        <f>$C883*BU882</f>
        <v/>
      </c>
      <c r="BV883">
        <f>$C883*BV882</f>
        <v/>
      </c>
      <c r="BW883">
        <f>$C883*BW882</f>
        <v/>
      </c>
      <c r="BX883">
        <f>$C883*BX882</f>
        <v/>
      </c>
      <c r="BY883">
        <f>$C883*BY882</f>
        <v/>
      </c>
      <c r="BZ883">
        <f>$C883*BZ882</f>
        <v/>
      </c>
      <c r="CA883">
        <f>$C883*CA882</f>
        <v/>
      </c>
      <c r="CB883">
        <f>$C883*CB882</f>
        <v/>
      </c>
      <c r="CC883">
        <f>$C883*CC882</f>
        <v/>
      </c>
      <c r="CD883">
        <f>$C883*CD882</f>
        <v/>
      </c>
      <c r="CE883">
        <f>$C883*CE882</f>
        <v/>
      </c>
      <c r="CF883">
        <f>$C883*CF882</f>
        <v/>
      </c>
      <c r="CG883">
        <f>$C883*CG882</f>
        <v/>
      </c>
      <c r="CH883">
        <f>$C883*CH882</f>
        <v/>
      </c>
      <c r="CI883">
        <f>$C883*CI882</f>
        <v/>
      </c>
      <c r="CJ883">
        <f>$C883*CJ882</f>
        <v/>
      </c>
      <c r="CK883">
        <f>$C883*CK882</f>
        <v/>
      </c>
      <c r="CL883">
        <f>$C883*CL882</f>
        <v/>
      </c>
      <c r="CM883">
        <f>$C883*CM882</f>
        <v/>
      </c>
      <c r="CN883">
        <f>$C883*CN882</f>
        <v/>
      </c>
      <c r="CO883">
        <f>$C883*CO882</f>
        <v/>
      </c>
      <c r="CP883">
        <f>$C883*CP882</f>
        <v/>
      </c>
      <c r="CQ883">
        <f>$C883*CQ882</f>
        <v/>
      </c>
      <c r="CR883">
        <f>$C883*CR882</f>
        <v/>
      </c>
      <c r="CS883">
        <f>$C883*CS882</f>
        <v/>
      </c>
      <c r="CT883">
        <f>$C883*CT882</f>
        <v/>
      </c>
      <c r="CU883">
        <f>$C883*CU882</f>
        <v/>
      </c>
      <c r="CV883">
        <f>$C883*CV882</f>
        <v/>
      </c>
      <c r="CW883">
        <f>$C883*CW882</f>
        <v/>
      </c>
      <c r="CX883">
        <f>$C883*CX882</f>
        <v/>
      </c>
      <c r="CY883">
        <f>$C883*CY882</f>
        <v/>
      </c>
      <c r="CZ883">
        <f>$C883*CZ882</f>
        <v/>
      </c>
      <c r="DA883">
        <f>$C883*DA882</f>
        <v/>
      </c>
      <c r="DB883">
        <f>$C883*DB882</f>
        <v/>
      </c>
      <c r="DC883">
        <f>$C883*DC882</f>
        <v/>
      </c>
    </row>
    <row r="884">
      <c r="B884" t="inlineStr">
        <is>
          <t>No of times used</t>
        </is>
      </c>
      <c r="C884" t="inlineStr">
        <is>
          <t>No. of batches</t>
        </is>
      </c>
      <c r="D884">
        <f>IFERROR(INDEX(PP_Grid[#Data],$DD884,2),0)</f>
        <v/>
      </c>
      <c r="E884">
        <f>IFERROR(INDEX(PP_Grid[#Data],$DD884,3),0)</f>
        <v/>
      </c>
      <c r="F884">
        <f>IFERROR(INDEX(PP_Grid[#Data],$DD884,4),0)</f>
        <v/>
      </c>
      <c r="G884">
        <f>IFERROR(INDEX(PP_Grid[#Data],$DD884,5),0)</f>
        <v/>
      </c>
      <c r="H884">
        <f>IFERROR(INDEX(PP_Grid[#Data],$DD884,6),0)</f>
        <v/>
      </c>
      <c r="I884">
        <f>IFERROR(INDEX(PP_Grid[#Data],$DD884,7),0)</f>
        <v/>
      </c>
      <c r="J884">
        <f>IFERROR(INDEX(PP_Grid[#Data],$DD884,8),0)</f>
        <v/>
      </c>
      <c r="K884">
        <f>IFERROR(INDEX(PP_Grid[#Data],$DD884,9),0)</f>
        <v/>
      </c>
      <c r="L884">
        <f>IFERROR(INDEX(PP_Grid[#Data],$DD884,10),0)</f>
        <v/>
      </c>
      <c r="M884">
        <f>IFERROR(INDEX(PP_Grid[#Data],$DD884,11),0)</f>
        <v/>
      </c>
      <c r="N884">
        <f>IFERROR(INDEX(PP_Grid[#Data],$DD884,12),0)</f>
        <v/>
      </c>
      <c r="O884">
        <f>IFERROR(INDEX(PP_Grid[#Data],$DD884,13),0)</f>
        <v/>
      </c>
      <c r="P884">
        <f>IFERROR(INDEX(PP_Grid[#Data],$DD884,14),0)</f>
        <v/>
      </c>
      <c r="Q884">
        <f>IFERROR(INDEX(PP_Grid[#Data],$DD884,15),0)</f>
        <v/>
      </c>
      <c r="R884">
        <f>IFERROR(INDEX(PP_Grid[#Data],$DD884,16),0)</f>
        <v/>
      </c>
      <c r="S884">
        <f>IFERROR(INDEX(PP_Grid[#Data],$DD884,17),0)</f>
        <v/>
      </c>
      <c r="T884">
        <f>IFERROR(INDEX(PP_Grid[#Data],$DD884,18),0)</f>
        <v/>
      </c>
      <c r="U884">
        <f>IFERROR(INDEX(PP_Grid[#Data],$DD884,19),0)</f>
        <v/>
      </c>
      <c r="V884">
        <f>IFERROR(INDEX(PP_Grid[#Data],$DD884,20),0)</f>
        <v/>
      </c>
      <c r="W884">
        <f>IFERROR(INDEX(PP_Grid[#Data],$DD884,21),0)</f>
        <v/>
      </c>
      <c r="X884">
        <f>IFERROR(INDEX(PP_Grid[#Data],$DD884,22),0)</f>
        <v/>
      </c>
      <c r="Y884">
        <f>IFERROR(INDEX(PP_Grid[#Data],$DD884,23),0)</f>
        <v/>
      </c>
      <c r="Z884">
        <f>IFERROR(INDEX(PP_Grid[#Data],$DD884,24),0)</f>
        <v/>
      </c>
      <c r="AA884">
        <f>IFERROR(INDEX(PP_Grid[#Data],$DD884,25),0)</f>
        <v/>
      </c>
      <c r="AB884">
        <f>IFERROR(INDEX(PP_Grid[#Data],$DD884,26),0)</f>
        <v/>
      </c>
      <c r="AC884">
        <f>IFERROR(INDEX(PP_Grid[#Data],$DD884,27),0)</f>
        <v/>
      </c>
      <c r="AD884">
        <f>IFERROR(INDEX(PP_Grid[#Data],$DD884,28),0)</f>
        <v/>
      </c>
      <c r="AE884">
        <f>IFERROR(INDEX(PP_Grid[#Data],$DD884,29),0)</f>
        <v/>
      </c>
      <c r="AF884">
        <f>IFERROR(INDEX(PP_Grid[#Data],$DD884,30),0)</f>
        <v/>
      </c>
      <c r="AG884">
        <f>IFERROR(INDEX(PP_Grid[#Data],$DD884,31),0)</f>
        <v/>
      </c>
      <c r="AH884">
        <f>IFERROR(INDEX(PP_Grid[#Data],$DD884,32),0)</f>
        <v/>
      </c>
      <c r="AI884">
        <f>IFERROR(INDEX(PP_Grid[#Data],$DD884,33),0)</f>
        <v/>
      </c>
      <c r="AJ884">
        <f>IFERROR(INDEX(PP_Grid[#Data],$DD884,34),0)</f>
        <v/>
      </c>
      <c r="AK884">
        <f>IFERROR(INDEX(PP_Grid[#Data],$DD884,35),0)</f>
        <v/>
      </c>
      <c r="AL884">
        <f>IFERROR(INDEX(PP_Grid[#Data],$DD884,36),0)</f>
        <v/>
      </c>
      <c r="AM884">
        <f>IFERROR(INDEX(PP_Grid[#Data],$DD884,37),0)</f>
        <v/>
      </c>
      <c r="AN884">
        <f>IFERROR(INDEX(PP_Grid[#Data],$DD884,38),0)</f>
        <v/>
      </c>
      <c r="AO884">
        <f>IFERROR(INDEX(PP_Grid[#Data],$DD884,39),0)</f>
        <v/>
      </c>
      <c r="AP884">
        <f>IFERROR(INDEX(PP_Grid[#Data],$DD884,40),0)</f>
        <v/>
      </c>
      <c r="AQ884">
        <f>IFERROR(INDEX(PP_Grid[#Data],$DD884,41),0)</f>
        <v/>
      </c>
      <c r="AR884">
        <f>IFERROR(INDEX(PP_Grid[#Data],$DD884,42),0)</f>
        <v/>
      </c>
      <c r="AS884">
        <f>IFERROR(INDEX(PP_Grid[#Data],$DD884,43),0)</f>
        <v/>
      </c>
      <c r="AT884">
        <f>IFERROR(INDEX(PP_Grid[#Data],$DD884,44),0)</f>
        <v/>
      </c>
      <c r="AU884">
        <f>IFERROR(INDEX(PP_Grid[#Data],$DD884,45),0)</f>
        <v/>
      </c>
      <c r="AV884">
        <f>IFERROR(INDEX(PP_Grid[#Data],$DD884,46),0)</f>
        <v/>
      </c>
      <c r="AW884">
        <f>IFERROR(INDEX(PP_Grid[#Data],$DD884,47),0)</f>
        <v/>
      </c>
      <c r="AX884">
        <f>IFERROR(INDEX(PP_Grid[#Data],$DD884,48),0)</f>
        <v/>
      </c>
      <c r="AY884">
        <f>IFERROR(INDEX(PP_Grid[#Data],$DD884,49),0)</f>
        <v/>
      </c>
      <c r="AZ884">
        <f>IFERROR(INDEX(PP_Grid[#Data],$DD884,50),0)</f>
        <v/>
      </c>
      <c r="BA884">
        <f>IFERROR(INDEX(PP_Grid[#Data],$DD884,51),0)</f>
        <v/>
      </c>
      <c r="BB884">
        <f>IFERROR(INDEX(PP_Grid[#Data],$DD884,52),0)</f>
        <v/>
      </c>
      <c r="BC884">
        <f>IFERROR(INDEX(PP_Grid[#Data],$DD884,53),0)</f>
        <v/>
      </c>
      <c r="BD884">
        <f>IFERROR(INDEX(PP_Grid[#Data],$DD884,54),0)</f>
        <v/>
      </c>
      <c r="BE884">
        <f>IFERROR(INDEX(PP_Grid[#Data],$DD884,55),0)</f>
        <v/>
      </c>
      <c r="BF884">
        <f>IFERROR(INDEX(PP_Grid[#Data],$DD884,56),0)</f>
        <v/>
      </c>
      <c r="BG884">
        <f>IFERROR(INDEX(PP_Grid[#Data],$DD884,57),0)</f>
        <v/>
      </c>
      <c r="BH884">
        <f>IFERROR(INDEX(PP_Grid[#Data],$DD884,58),0)</f>
        <v/>
      </c>
      <c r="BI884">
        <f>IFERROR(INDEX(PP_Grid[#Data],$DD884,59),0)</f>
        <v/>
      </c>
      <c r="BJ884">
        <f>IFERROR(INDEX(PP_Grid[#Data],$DD884,60),0)</f>
        <v/>
      </c>
      <c r="BK884">
        <f>IFERROR(INDEX(PP_Grid[#Data],$DD884,61),0)</f>
        <v/>
      </c>
      <c r="BL884">
        <f>IFERROR(INDEX(PP_Grid[#Data],$DD884,62),0)</f>
        <v/>
      </c>
      <c r="BM884">
        <f>IFERROR(INDEX(PP_Grid[#Data],$DD884,63),0)</f>
        <v/>
      </c>
      <c r="BN884">
        <f>IFERROR(INDEX(PP_Grid[#Data],$DD884,64),0)</f>
        <v/>
      </c>
      <c r="BO884">
        <f>IFERROR(INDEX(PP_Grid[#Data],$DD884,65),0)</f>
        <v/>
      </c>
      <c r="BP884">
        <f>IFERROR(INDEX(PP_Grid[#Data],$DD884,66),0)</f>
        <v/>
      </c>
      <c r="BQ884">
        <f>IFERROR(INDEX(PP_Grid[#Data],$DD884,67),0)</f>
        <v/>
      </c>
      <c r="BR884">
        <f>IFERROR(INDEX(PP_Grid[#Data],$DD884,68),0)</f>
        <v/>
      </c>
      <c r="BS884">
        <f>IFERROR(INDEX(PP_Grid[#Data],$DD884,69),0)</f>
        <v/>
      </c>
      <c r="BT884">
        <f>IFERROR(INDEX(PP_Grid[#Data],$DD884,70),0)</f>
        <v/>
      </c>
      <c r="BU884">
        <f>IFERROR(INDEX(PP_Grid[#Data],$DD884,71),0)</f>
        <v/>
      </c>
      <c r="BV884">
        <f>IFERROR(INDEX(PP_Grid[#Data],$DD884,72),0)</f>
        <v/>
      </c>
      <c r="BW884">
        <f>IFERROR(INDEX(PP_Grid[#Data],$DD884,73),0)</f>
        <v/>
      </c>
      <c r="BX884">
        <f>IFERROR(INDEX(PP_Grid[#Data],$DD884,74),0)</f>
        <v/>
      </c>
      <c r="BY884">
        <f>IFERROR(INDEX(PP_Grid[#Data],$DD884,75),0)</f>
        <v/>
      </c>
      <c r="BZ884">
        <f>IFERROR(INDEX(PP_Grid[#Data],$DD884,76),0)</f>
        <v/>
      </c>
      <c r="CA884">
        <f>IFERROR(INDEX(PP_Grid[#Data],$DD884,77),0)</f>
        <v/>
      </c>
      <c r="CB884">
        <f>IFERROR(INDEX(PP_Grid[#Data],$DD884,78),0)</f>
        <v/>
      </c>
      <c r="CC884">
        <f>IFERROR(INDEX(PP_Grid[#Data],$DD884,79),0)</f>
        <v/>
      </c>
      <c r="CD884">
        <f>IFERROR(INDEX(PP_Grid[#Data],$DD884,80),0)</f>
        <v/>
      </c>
      <c r="CE884">
        <f>IFERROR(INDEX(PP_Grid[#Data],$DD884,81),0)</f>
        <v/>
      </c>
      <c r="CF884">
        <f>IFERROR(INDEX(PP_Grid[#Data],$DD884,82),0)</f>
        <v/>
      </c>
      <c r="CG884">
        <f>IFERROR(INDEX(PP_Grid[#Data],$DD884,83),0)</f>
        <v/>
      </c>
      <c r="CH884">
        <f>IFERROR(INDEX(PP_Grid[#Data],$DD884,84),0)</f>
        <v/>
      </c>
      <c r="CI884">
        <f>IFERROR(INDEX(PP_Grid[#Data],$DD884,85),0)</f>
        <v/>
      </c>
      <c r="CJ884">
        <f>IFERROR(INDEX(PP_Grid[#Data],$DD884,86),0)</f>
        <v/>
      </c>
      <c r="CK884">
        <f>IFERROR(INDEX(PP_Grid[#Data],$DD884,87),0)</f>
        <v/>
      </c>
      <c r="CL884">
        <f>IFERROR(INDEX(PP_Grid[#Data],$DD884,88),0)</f>
        <v/>
      </c>
      <c r="CM884">
        <f>IFERROR(INDEX(PP_Grid[#Data],$DD884,89),0)</f>
        <v/>
      </c>
      <c r="CN884">
        <f>IFERROR(INDEX(PP_Grid[#Data],$DD884,90),0)</f>
        <v/>
      </c>
      <c r="CO884">
        <f>IFERROR(INDEX(PP_Grid[#Data],$DD884,91),0)</f>
        <v/>
      </c>
      <c r="CP884">
        <f>IFERROR(INDEX(PP_Grid[#Data],$DD884,92),0)</f>
        <v/>
      </c>
      <c r="CQ884">
        <f>IFERROR(INDEX(PP_Grid[#Data],$DD884,93),0)</f>
        <v/>
      </c>
      <c r="CR884">
        <f>IFERROR(INDEX(PP_Grid[#Data],$DD884,94),0)</f>
        <v/>
      </c>
      <c r="CS884">
        <f>IFERROR(INDEX(PP_Grid[#Data],$DD884,95),0)</f>
        <v/>
      </c>
      <c r="CT884">
        <f>IFERROR(INDEX(PP_Grid[#Data],$DD884,96),0)</f>
        <v/>
      </c>
      <c r="CU884">
        <f>IFERROR(INDEX(PP_Grid[#Data],$DD884,97),0)</f>
        <v/>
      </c>
      <c r="CV884">
        <f>IFERROR(INDEX(PP_Grid[#Data],$DD884,98),0)</f>
        <v/>
      </c>
      <c r="CW884">
        <f>IFERROR(INDEX(PP_Grid[#Data],$DD884,99),0)</f>
        <v/>
      </c>
      <c r="CX884">
        <f>IFERROR(INDEX(PP_Grid[#Data],$DD884,100),0)</f>
        <v/>
      </c>
      <c r="CY884">
        <f>IFERROR(INDEX(PP_Grid[#Data],$DD884,101),0)</f>
        <v/>
      </c>
      <c r="CZ884">
        <f>IFERROR(INDEX(PP_Grid[#Data],$DD884,102),0)</f>
        <v/>
      </c>
      <c r="DA884">
        <f>IFERROR(INDEX(PP_Grid[#Data],$DD884,103),0)</f>
        <v/>
      </c>
      <c r="DB884">
        <f>IFERROR(INDEX(PP_Grid[#Data],$DD884,104),0)</f>
        <v/>
      </c>
      <c r="DC884">
        <f>IFERROR(INDEX(PP_Grid[#Data],$DD884,105),0)</f>
        <v/>
      </c>
      <c r="DD884" s="7">
        <f>IFERROR(MATCH($B884,PP_Grid[Intermediate],0),99999)</f>
        <v/>
      </c>
    </row>
    <row r="885">
      <c r="B885" t="inlineStr">
        <is>
          <t>使用量(kg)</t>
        </is>
      </c>
      <c r="C885">
        <f>SUMIFS(M_BOM[RM_Qty_Per_Batch],M_BOM[Intermediate],$B884,M_BOM[Part Name],$A849)</f>
        <v/>
      </c>
      <c r="D885">
        <f>$C885*D884</f>
        <v/>
      </c>
      <c r="E885">
        <f>$C885*E884</f>
        <v/>
      </c>
      <c r="F885">
        <f>$C885*F884</f>
        <v/>
      </c>
      <c r="G885">
        <f>$C885*G884</f>
        <v/>
      </c>
      <c r="H885">
        <f>$C885*H884</f>
        <v/>
      </c>
      <c r="I885">
        <f>$C885*I884</f>
        <v/>
      </c>
      <c r="J885">
        <f>$C885*J884</f>
        <v/>
      </c>
      <c r="K885">
        <f>$C885*K884</f>
        <v/>
      </c>
      <c r="L885">
        <f>$C885*L884</f>
        <v/>
      </c>
      <c r="M885">
        <f>$C885*M884</f>
        <v/>
      </c>
      <c r="N885">
        <f>$C885*N884</f>
        <v/>
      </c>
      <c r="O885">
        <f>$C885*O884</f>
        <v/>
      </c>
      <c r="P885">
        <f>$C885*P884</f>
        <v/>
      </c>
      <c r="Q885">
        <f>$C885*Q884</f>
        <v/>
      </c>
      <c r="R885">
        <f>$C885*R884</f>
        <v/>
      </c>
      <c r="S885">
        <f>$C885*S884</f>
        <v/>
      </c>
      <c r="T885">
        <f>$C885*T884</f>
        <v/>
      </c>
      <c r="U885">
        <f>$C885*U884</f>
        <v/>
      </c>
      <c r="V885">
        <f>$C885*V884</f>
        <v/>
      </c>
      <c r="W885">
        <f>$C885*W884</f>
        <v/>
      </c>
      <c r="X885">
        <f>$C885*X884</f>
        <v/>
      </c>
      <c r="Y885">
        <f>$C885*Y884</f>
        <v/>
      </c>
      <c r="Z885">
        <f>$C885*Z884</f>
        <v/>
      </c>
      <c r="AA885">
        <f>$C885*AA884</f>
        <v/>
      </c>
      <c r="AB885">
        <f>$C885*AB884</f>
        <v/>
      </c>
      <c r="AC885">
        <f>$C885*AC884</f>
        <v/>
      </c>
      <c r="AD885">
        <f>$C885*AD884</f>
        <v/>
      </c>
      <c r="AE885">
        <f>$C885*AE884</f>
        <v/>
      </c>
      <c r="AF885">
        <f>$C885*AF884</f>
        <v/>
      </c>
      <c r="AG885">
        <f>$C885*AG884</f>
        <v/>
      </c>
      <c r="AH885">
        <f>$C885*AH884</f>
        <v/>
      </c>
      <c r="AI885">
        <f>$C885*AI884</f>
        <v/>
      </c>
      <c r="AJ885">
        <f>$C885*AJ884</f>
        <v/>
      </c>
      <c r="AK885">
        <f>$C885*AK884</f>
        <v/>
      </c>
      <c r="AL885">
        <f>$C885*AL884</f>
        <v/>
      </c>
      <c r="AM885">
        <f>$C885*AM884</f>
        <v/>
      </c>
      <c r="AN885">
        <f>$C885*AN884</f>
        <v/>
      </c>
      <c r="AO885">
        <f>$C885*AO884</f>
        <v/>
      </c>
      <c r="AP885">
        <f>$C885*AP884</f>
        <v/>
      </c>
      <c r="AQ885">
        <f>$C885*AQ884</f>
        <v/>
      </c>
      <c r="AR885">
        <f>$C885*AR884</f>
        <v/>
      </c>
      <c r="AS885">
        <f>$C885*AS884</f>
        <v/>
      </c>
      <c r="AT885">
        <f>$C885*AT884</f>
        <v/>
      </c>
      <c r="AU885">
        <f>$C885*AU884</f>
        <v/>
      </c>
      <c r="AV885">
        <f>$C885*AV884</f>
        <v/>
      </c>
      <c r="AW885">
        <f>$C885*AW884</f>
        <v/>
      </c>
      <c r="AX885">
        <f>$C885*AX884</f>
        <v/>
      </c>
      <c r="AY885">
        <f>$C885*AY884</f>
        <v/>
      </c>
      <c r="AZ885">
        <f>$C885*AZ884</f>
        <v/>
      </c>
      <c r="BA885">
        <f>$C885*BA884</f>
        <v/>
      </c>
      <c r="BB885">
        <f>$C885*BB884</f>
        <v/>
      </c>
      <c r="BC885">
        <f>$C885*BC884</f>
        <v/>
      </c>
      <c r="BD885">
        <f>$C885*BD884</f>
        <v/>
      </c>
      <c r="BE885">
        <f>$C885*BE884</f>
        <v/>
      </c>
      <c r="BF885">
        <f>$C885*BF884</f>
        <v/>
      </c>
      <c r="BG885">
        <f>$C885*BG884</f>
        <v/>
      </c>
      <c r="BH885">
        <f>$C885*BH884</f>
        <v/>
      </c>
      <c r="BI885">
        <f>$C885*BI884</f>
        <v/>
      </c>
      <c r="BJ885">
        <f>$C885*BJ884</f>
        <v/>
      </c>
      <c r="BK885">
        <f>$C885*BK884</f>
        <v/>
      </c>
      <c r="BL885">
        <f>$C885*BL884</f>
        <v/>
      </c>
      <c r="BM885">
        <f>$C885*BM884</f>
        <v/>
      </c>
      <c r="BN885">
        <f>$C885*BN884</f>
        <v/>
      </c>
      <c r="BO885">
        <f>$C885*BO884</f>
        <v/>
      </c>
      <c r="BP885">
        <f>$C885*BP884</f>
        <v/>
      </c>
      <c r="BQ885">
        <f>$C885*BQ884</f>
        <v/>
      </c>
      <c r="BR885">
        <f>$C885*BR884</f>
        <v/>
      </c>
      <c r="BS885">
        <f>$C885*BS884</f>
        <v/>
      </c>
      <c r="BT885">
        <f>$C885*BT884</f>
        <v/>
      </c>
      <c r="BU885">
        <f>$C885*BU884</f>
        <v/>
      </c>
      <c r="BV885">
        <f>$C885*BV884</f>
        <v/>
      </c>
      <c r="BW885">
        <f>$C885*BW884</f>
        <v/>
      </c>
      <c r="BX885">
        <f>$C885*BX884</f>
        <v/>
      </c>
      <c r="BY885">
        <f>$C885*BY884</f>
        <v/>
      </c>
      <c r="BZ885">
        <f>$C885*BZ884</f>
        <v/>
      </c>
      <c r="CA885">
        <f>$C885*CA884</f>
        <v/>
      </c>
      <c r="CB885">
        <f>$C885*CB884</f>
        <v/>
      </c>
      <c r="CC885">
        <f>$C885*CC884</f>
        <v/>
      </c>
      <c r="CD885">
        <f>$C885*CD884</f>
        <v/>
      </c>
      <c r="CE885">
        <f>$C885*CE884</f>
        <v/>
      </c>
      <c r="CF885">
        <f>$C885*CF884</f>
        <v/>
      </c>
      <c r="CG885">
        <f>$C885*CG884</f>
        <v/>
      </c>
      <c r="CH885">
        <f>$C885*CH884</f>
        <v/>
      </c>
      <c r="CI885">
        <f>$C885*CI884</f>
        <v/>
      </c>
      <c r="CJ885">
        <f>$C885*CJ884</f>
        <v/>
      </c>
      <c r="CK885">
        <f>$C885*CK884</f>
        <v/>
      </c>
      <c r="CL885">
        <f>$C885*CL884</f>
        <v/>
      </c>
      <c r="CM885">
        <f>$C885*CM884</f>
        <v/>
      </c>
      <c r="CN885">
        <f>$C885*CN884</f>
        <v/>
      </c>
      <c r="CO885">
        <f>$C885*CO884</f>
        <v/>
      </c>
      <c r="CP885">
        <f>$C885*CP884</f>
        <v/>
      </c>
      <c r="CQ885">
        <f>$C885*CQ884</f>
        <v/>
      </c>
      <c r="CR885">
        <f>$C885*CR884</f>
        <v/>
      </c>
      <c r="CS885">
        <f>$C885*CS884</f>
        <v/>
      </c>
      <c r="CT885">
        <f>$C885*CT884</f>
        <v/>
      </c>
      <c r="CU885">
        <f>$C885*CU884</f>
        <v/>
      </c>
      <c r="CV885">
        <f>$C885*CV884</f>
        <v/>
      </c>
      <c r="CW885">
        <f>$C885*CW884</f>
        <v/>
      </c>
      <c r="CX885">
        <f>$C885*CX884</f>
        <v/>
      </c>
      <c r="CY885">
        <f>$C885*CY884</f>
        <v/>
      </c>
      <c r="CZ885">
        <f>$C885*CZ884</f>
        <v/>
      </c>
      <c r="DA885">
        <f>$C885*DA884</f>
        <v/>
      </c>
      <c r="DB885">
        <f>$C885*DB884</f>
        <v/>
      </c>
      <c r="DC885">
        <f>$C885*DC884</f>
        <v/>
      </c>
    </row>
    <row r="886">
      <c r="B886" t="inlineStr">
        <is>
          <t>TSP-1449</t>
        </is>
      </c>
      <c r="C886" t="inlineStr">
        <is>
          <t>No. of batches</t>
        </is>
      </c>
      <c r="D886">
        <f>IFERROR(INDEX(PP_Grid[#Data],$DD886,2),0)</f>
        <v/>
      </c>
      <c r="E886">
        <f>IFERROR(INDEX(PP_Grid[#Data],$DD886,3),0)</f>
        <v/>
      </c>
      <c r="F886">
        <f>IFERROR(INDEX(PP_Grid[#Data],$DD886,4),0)</f>
        <v/>
      </c>
      <c r="G886">
        <f>IFERROR(INDEX(PP_Grid[#Data],$DD886,5),0)</f>
        <v/>
      </c>
      <c r="H886">
        <f>IFERROR(INDEX(PP_Grid[#Data],$DD886,6),0)</f>
        <v/>
      </c>
      <c r="I886">
        <f>IFERROR(INDEX(PP_Grid[#Data],$DD886,7),0)</f>
        <v/>
      </c>
      <c r="J886">
        <f>IFERROR(INDEX(PP_Grid[#Data],$DD886,8),0)</f>
        <v/>
      </c>
      <c r="K886">
        <f>IFERROR(INDEX(PP_Grid[#Data],$DD886,9),0)</f>
        <v/>
      </c>
      <c r="L886">
        <f>IFERROR(INDEX(PP_Grid[#Data],$DD886,10),0)</f>
        <v/>
      </c>
      <c r="M886">
        <f>IFERROR(INDEX(PP_Grid[#Data],$DD886,11),0)</f>
        <v/>
      </c>
      <c r="N886">
        <f>IFERROR(INDEX(PP_Grid[#Data],$DD886,12),0)</f>
        <v/>
      </c>
      <c r="O886">
        <f>IFERROR(INDEX(PP_Grid[#Data],$DD886,13),0)</f>
        <v/>
      </c>
      <c r="P886">
        <f>IFERROR(INDEX(PP_Grid[#Data],$DD886,14),0)</f>
        <v/>
      </c>
      <c r="Q886">
        <f>IFERROR(INDEX(PP_Grid[#Data],$DD886,15),0)</f>
        <v/>
      </c>
      <c r="R886">
        <f>IFERROR(INDEX(PP_Grid[#Data],$DD886,16),0)</f>
        <v/>
      </c>
      <c r="S886">
        <f>IFERROR(INDEX(PP_Grid[#Data],$DD886,17),0)</f>
        <v/>
      </c>
      <c r="T886">
        <f>IFERROR(INDEX(PP_Grid[#Data],$DD886,18),0)</f>
        <v/>
      </c>
      <c r="U886">
        <f>IFERROR(INDEX(PP_Grid[#Data],$DD886,19),0)</f>
        <v/>
      </c>
      <c r="V886">
        <f>IFERROR(INDEX(PP_Grid[#Data],$DD886,20),0)</f>
        <v/>
      </c>
      <c r="W886">
        <f>IFERROR(INDEX(PP_Grid[#Data],$DD886,21),0)</f>
        <v/>
      </c>
      <c r="X886">
        <f>IFERROR(INDEX(PP_Grid[#Data],$DD886,22),0)</f>
        <v/>
      </c>
      <c r="Y886">
        <f>IFERROR(INDEX(PP_Grid[#Data],$DD886,23),0)</f>
        <v/>
      </c>
      <c r="Z886">
        <f>IFERROR(INDEX(PP_Grid[#Data],$DD886,24),0)</f>
        <v/>
      </c>
      <c r="AA886">
        <f>IFERROR(INDEX(PP_Grid[#Data],$DD886,25),0)</f>
        <v/>
      </c>
      <c r="AB886">
        <f>IFERROR(INDEX(PP_Grid[#Data],$DD886,26),0)</f>
        <v/>
      </c>
      <c r="AC886">
        <f>IFERROR(INDEX(PP_Grid[#Data],$DD886,27),0)</f>
        <v/>
      </c>
      <c r="AD886">
        <f>IFERROR(INDEX(PP_Grid[#Data],$DD886,28),0)</f>
        <v/>
      </c>
      <c r="AE886">
        <f>IFERROR(INDEX(PP_Grid[#Data],$DD886,29),0)</f>
        <v/>
      </c>
      <c r="AF886">
        <f>IFERROR(INDEX(PP_Grid[#Data],$DD886,30),0)</f>
        <v/>
      </c>
      <c r="AG886">
        <f>IFERROR(INDEX(PP_Grid[#Data],$DD886,31),0)</f>
        <v/>
      </c>
      <c r="AH886">
        <f>IFERROR(INDEX(PP_Grid[#Data],$DD886,32),0)</f>
        <v/>
      </c>
      <c r="AI886">
        <f>IFERROR(INDEX(PP_Grid[#Data],$DD886,33),0)</f>
        <v/>
      </c>
      <c r="AJ886">
        <f>IFERROR(INDEX(PP_Grid[#Data],$DD886,34),0)</f>
        <v/>
      </c>
      <c r="AK886">
        <f>IFERROR(INDEX(PP_Grid[#Data],$DD886,35),0)</f>
        <v/>
      </c>
      <c r="AL886">
        <f>IFERROR(INDEX(PP_Grid[#Data],$DD886,36),0)</f>
        <v/>
      </c>
      <c r="AM886">
        <f>IFERROR(INDEX(PP_Grid[#Data],$DD886,37),0)</f>
        <v/>
      </c>
      <c r="AN886">
        <f>IFERROR(INDEX(PP_Grid[#Data],$DD886,38),0)</f>
        <v/>
      </c>
      <c r="AO886">
        <f>IFERROR(INDEX(PP_Grid[#Data],$DD886,39),0)</f>
        <v/>
      </c>
      <c r="AP886">
        <f>IFERROR(INDEX(PP_Grid[#Data],$DD886,40),0)</f>
        <v/>
      </c>
      <c r="AQ886">
        <f>IFERROR(INDEX(PP_Grid[#Data],$DD886,41),0)</f>
        <v/>
      </c>
      <c r="AR886">
        <f>IFERROR(INDEX(PP_Grid[#Data],$DD886,42),0)</f>
        <v/>
      </c>
      <c r="AS886">
        <f>IFERROR(INDEX(PP_Grid[#Data],$DD886,43),0)</f>
        <v/>
      </c>
      <c r="AT886">
        <f>IFERROR(INDEX(PP_Grid[#Data],$DD886,44),0)</f>
        <v/>
      </c>
      <c r="AU886">
        <f>IFERROR(INDEX(PP_Grid[#Data],$DD886,45),0)</f>
        <v/>
      </c>
      <c r="AV886">
        <f>IFERROR(INDEX(PP_Grid[#Data],$DD886,46),0)</f>
        <v/>
      </c>
      <c r="AW886">
        <f>IFERROR(INDEX(PP_Grid[#Data],$DD886,47),0)</f>
        <v/>
      </c>
      <c r="AX886">
        <f>IFERROR(INDEX(PP_Grid[#Data],$DD886,48),0)</f>
        <v/>
      </c>
      <c r="AY886">
        <f>IFERROR(INDEX(PP_Grid[#Data],$DD886,49),0)</f>
        <v/>
      </c>
      <c r="AZ886">
        <f>IFERROR(INDEX(PP_Grid[#Data],$DD886,50),0)</f>
        <v/>
      </c>
      <c r="BA886">
        <f>IFERROR(INDEX(PP_Grid[#Data],$DD886,51),0)</f>
        <v/>
      </c>
      <c r="BB886">
        <f>IFERROR(INDEX(PP_Grid[#Data],$DD886,52),0)</f>
        <v/>
      </c>
      <c r="BC886">
        <f>IFERROR(INDEX(PP_Grid[#Data],$DD886,53),0)</f>
        <v/>
      </c>
      <c r="BD886">
        <f>IFERROR(INDEX(PP_Grid[#Data],$DD886,54),0)</f>
        <v/>
      </c>
      <c r="BE886">
        <f>IFERROR(INDEX(PP_Grid[#Data],$DD886,55),0)</f>
        <v/>
      </c>
      <c r="BF886">
        <f>IFERROR(INDEX(PP_Grid[#Data],$DD886,56),0)</f>
        <v/>
      </c>
      <c r="BG886">
        <f>IFERROR(INDEX(PP_Grid[#Data],$DD886,57),0)</f>
        <v/>
      </c>
      <c r="BH886">
        <f>IFERROR(INDEX(PP_Grid[#Data],$DD886,58),0)</f>
        <v/>
      </c>
      <c r="BI886">
        <f>IFERROR(INDEX(PP_Grid[#Data],$DD886,59),0)</f>
        <v/>
      </c>
      <c r="BJ886">
        <f>IFERROR(INDEX(PP_Grid[#Data],$DD886,60),0)</f>
        <v/>
      </c>
      <c r="BK886">
        <f>IFERROR(INDEX(PP_Grid[#Data],$DD886,61),0)</f>
        <v/>
      </c>
      <c r="BL886">
        <f>IFERROR(INDEX(PP_Grid[#Data],$DD886,62),0)</f>
        <v/>
      </c>
      <c r="BM886">
        <f>IFERROR(INDEX(PP_Grid[#Data],$DD886,63),0)</f>
        <v/>
      </c>
      <c r="BN886">
        <f>IFERROR(INDEX(PP_Grid[#Data],$DD886,64),0)</f>
        <v/>
      </c>
      <c r="BO886">
        <f>IFERROR(INDEX(PP_Grid[#Data],$DD886,65),0)</f>
        <v/>
      </c>
      <c r="BP886">
        <f>IFERROR(INDEX(PP_Grid[#Data],$DD886,66),0)</f>
        <v/>
      </c>
      <c r="BQ886">
        <f>IFERROR(INDEX(PP_Grid[#Data],$DD886,67),0)</f>
        <v/>
      </c>
      <c r="BR886">
        <f>IFERROR(INDEX(PP_Grid[#Data],$DD886,68),0)</f>
        <v/>
      </c>
      <c r="BS886">
        <f>IFERROR(INDEX(PP_Grid[#Data],$DD886,69),0)</f>
        <v/>
      </c>
      <c r="BT886">
        <f>IFERROR(INDEX(PP_Grid[#Data],$DD886,70),0)</f>
        <v/>
      </c>
      <c r="BU886">
        <f>IFERROR(INDEX(PP_Grid[#Data],$DD886,71),0)</f>
        <v/>
      </c>
      <c r="BV886">
        <f>IFERROR(INDEX(PP_Grid[#Data],$DD886,72),0)</f>
        <v/>
      </c>
      <c r="BW886">
        <f>IFERROR(INDEX(PP_Grid[#Data],$DD886,73),0)</f>
        <v/>
      </c>
      <c r="BX886">
        <f>IFERROR(INDEX(PP_Grid[#Data],$DD886,74),0)</f>
        <v/>
      </c>
      <c r="BY886">
        <f>IFERROR(INDEX(PP_Grid[#Data],$DD886,75),0)</f>
        <v/>
      </c>
      <c r="BZ886">
        <f>IFERROR(INDEX(PP_Grid[#Data],$DD886,76),0)</f>
        <v/>
      </c>
      <c r="CA886">
        <f>IFERROR(INDEX(PP_Grid[#Data],$DD886,77),0)</f>
        <v/>
      </c>
      <c r="CB886">
        <f>IFERROR(INDEX(PP_Grid[#Data],$DD886,78),0)</f>
        <v/>
      </c>
      <c r="CC886">
        <f>IFERROR(INDEX(PP_Grid[#Data],$DD886,79),0)</f>
        <v/>
      </c>
      <c r="CD886">
        <f>IFERROR(INDEX(PP_Grid[#Data],$DD886,80),0)</f>
        <v/>
      </c>
      <c r="CE886">
        <f>IFERROR(INDEX(PP_Grid[#Data],$DD886,81),0)</f>
        <v/>
      </c>
      <c r="CF886">
        <f>IFERROR(INDEX(PP_Grid[#Data],$DD886,82),0)</f>
        <v/>
      </c>
      <c r="CG886">
        <f>IFERROR(INDEX(PP_Grid[#Data],$DD886,83),0)</f>
        <v/>
      </c>
      <c r="CH886">
        <f>IFERROR(INDEX(PP_Grid[#Data],$DD886,84),0)</f>
        <v/>
      </c>
      <c r="CI886">
        <f>IFERROR(INDEX(PP_Grid[#Data],$DD886,85),0)</f>
        <v/>
      </c>
      <c r="CJ886">
        <f>IFERROR(INDEX(PP_Grid[#Data],$DD886,86),0)</f>
        <v/>
      </c>
      <c r="CK886">
        <f>IFERROR(INDEX(PP_Grid[#Data],$DD886,87),0)</f>
        <v/>
      </c>
      <c r="CL886">
        <f>IFERROR(INDEX(PP_Grid[#Data],$DD886,88),0)</f>
        <v/>
      </c>
      <c r="CM886">
        <f>IFERROR(INDEX(PP_Grid[#Data],$DD886,89),0)</f>
        <v/>
      </c>
      <c r="CN886">
        <f>IFERROR(INDEX(PP_Grid[#Data],$DD886,90),0)</f>
        <v/>
      </c>
      <c r="CO886">
        <f>IFERROR(INDEX(PP_Grid[#Data],$DD886,91),0)</f>
        <v/>
      </c>
      <c r="CP886">
        <f>IFERROR(INDEX(PP_Grid[#Data],$DD886,92),0)</f>
        <v/>
      </c>
      <c r="CQ886">
        <f>IFERROR(INDEX(PP_Grid[#Data],$DD886,93),0)</f>
        <v/>
      </c>
      <c r="CR886">
        <f>IFERROR(INDEX(PP_Grid[#Data],$DD886,94),0)</f>
        <v/>
      </c>
      <c r="CS886">
        <f>IFERROR(INDEX(PP_Grid[#Data],$DD886,95),0)</f>
        <v/>
      </c>
      <c r="CT886">
        <f>IFERROR(INDEX(PP_Grid[#Data],$DD886,96),0)</f>
        <v/>
      </c>
      <c r="CU886">
        <f>IFERROR(INDEX(PP_Grid[#Data],$DD886,97),0)</f>
        <v/>
      </c>
      <c r="CV886">
        <f>IFERROR(INDEX(PP_Grid[#Data],$DD886,98),0)</f>
        <v/>
      </c>
      <c r="CW886">
        <f>IFERROR(INDEX(PP_Grid[#Data],$DD886,99),0)</f>
        <v/>
      </c>
      <c r="CX886">
        <f>IFERROR(INDEX(PP_Grid[#Data],$DD886,100),0)</f>
        <v/>
      </c>
      <c r="CY886">
        <f>IFERROR(INDEX(PP_Grid[#Data],$DD886,101),0)</f>
        <v/>
      </c>
      <c r="CZ886">
        <f>IFERROR(INDEX(PP_Grid[#Data],$DD886,102),0)</f>
        <v/>
      </c>
      <c r="DA886">
        <f>IFERROR(INDEX(PP_Grid[#Data],$DD886,103),0)</f>
        <v/>
      </c>
      <c r="DB886">
        <f>IFERROR(INDEX(PP_Grid[#Data],$DD886,104),0)</f>
        <v/>
      </c>
      <c r="DC886">
        <f>IFERROR(INDEX(PP_Grid[#Data],$DD886,105),0)</f>
        <v/>
      </c>
      <c r="DD886" s="7">
        <f>IFERROR(MATCH($B886,PP_Grid[Intermediate],0),99999)</f>
        <v/>
      </c>
    </row>
    <row r="887">
      <c r="B887" t="inlineStr">
        <is>
          <t>使用量(kg)</t>
        </is>
      </c>
      <c r="C887">
        <f>SUMIFS(M_BOM[RM_Qty_Per_Batch],M_BOM[Intermediate],$B886,M_BOM[Part Name],$A849)</f>
        <v/>
      </c>
      <c r="D887">
        <f>$C887*D886</f>
        <v/>
      </c>
      <c r="E887">
        <f>$C887*E886</f>
        <v/>
      </c>
      <c r="F887">
        <f>$C887*F886</f>
        <v/>
      </c>
      <c r="G887">
        <f>$C887*G886</f>
        <v/>
      </c>
      <c r="H887">
        <f>$C887*H886</f>
        <v/>
      </c>
      <c r="I887">
        <f>$C887*I886</f>
        <v/>
      </c>
      <c r="J887">
        <f>$C887*J886</f>
        <v/>
      </c>
      <c r="K887">
        <f>$C887*K886</f>
        <v/>
      </c>
      <c r="L887">
        <f>$C887*L886</f>
        <v/>
      </c>
      <c r="M887">
        <f>$C887*M886</f>
        <v/>
      </c>
      <c r="N887">
        <f>$C887*N886</f>
        <v/>
      </c>
      <c r="O887">
        <f>$C887*O886</f>
        <v/>
      </c>
      <c r="P887">
        <f>$C887*P886</f>
        <v/>
      </c>
      <c r="Q887">
        <f>$C887*Q886</f>
        <v/>
      </c>
      <c r="R887">
        <f>$C887*R886</f>
        <v/>
      </c>
      <c r="S887">
        <f>$C887*S886</f>
        <v/>
      </c>
      <c r="T887">
        <f>$C887*T886</f>
        <v/>
      </c>
      <c r="U887">
        <f>$C887*U886</f>
        <v/>
      </c>
      <c r="V887">
        <f>$C887*V886</f>
        <v/>
      </c>
      <c r="W887">
        <f>$C887*W886</f>
        <v/>
      </c>
      <c r="X887">
        <f>$C887*X886</f>
        <v/>
      </c>
      <c r="Y887">
        <f>$C887*Y886</f>
        <v/>
      </c>
      <c r="Z887">
        <f>$C887*Z886</f>
        <v/>
      </c>
      <c r="AA887">
        <f>$C887*AA886</f>
        <v/>
      </c>
      <c r="AB887">
        <f>$C887*AB886</f>
        <v/>
      </c>
      <c r="AC887">
        <f>$C887*AC886</f>
        <v/>
      </c>
      <c r="AD887">
        <f>$C887*AD886</f>
        <v/>
      </c>
      <c r="AE887">
        <f>$C887*AE886</f>
        <v/>
      </c>
      <c r="AF887">
        <f>$C887*AF886</f>
        <v/>
      </c>
      <c r="AG887">
        <f>$C887*AG886</f>
        <v/>
      </c>
      <c r="AH887">
        <f>$C887*AH886</f>
        <v/>
      </c>
      <c r="AI887">
        <f>$C887*AI886</f>
        <v/>
      </c>
      <c r="AJ887">
        <f>$C887*AJ886</f>
        <v/>
      </c>
      <c r="AK887">
        <f>$C887*AK886</f>
        <v/>
      </c>
      <c r="AL887">
        <f>$C887*AL886</f>
        <v/>
      </c>
      <c r="AM887">
        <f>$C887*AM886</f>
        <v/>
      </c>
      <c r="AN887">
        <f>$C887*AN886</f>
        <v/>
      </c>
      <c r="AO887">
        <f>$C887*AO886</f>
        <v/>
      </c>
      <c r="AP887">
        <f>$C887*AP886</f>
        <v/>
      </c>
      <c r="AQ887">
        <f>$C887*AQ886</f>
        <v/>
      </c>
      <c r="AR887">
        <f>$C887*AR886</f>
        <v/>
      </c>
      <c r="AS887">
        <f>$C887*AS886</f>
        <v/>
      </c>
      <c r="AT887">
        <f>$C887*AT886</f>
        <v/>
      </c>
      <c r="AU887">
        <f>$C887*AU886</f>
        <v/>
      </c>
      <c r="AV887">
        <f>$C887*AV886</f>
        <v/>
      </c>
      <c r="AW887">
        <f>$C887*AW886</f>
        <v/>
      </c>
      <c r="AX887">
        <f>$C887*AX886</f>
        <v/>
      </c>
      <c r="AY887">
        <f>$C887*AY886</f>
        <v/>
      </c>
      <c r="AZ887">
        <f>$C887*AZ886</f>
        <v/>
      </c>
      <c r="BA887">
        <f>$C887*BA886</f>
        <v/>
      </c>
      <c r="BB887">
        <f>$C887*BB886</f>
        <v/>
      </c>
      <c r="BC887">
        <f>$C887*BC886</f>
        <v/>
      </c>
      <c r="BD887">
        <f>$C887*BD886</f>
        <v/>
      </c>
      <c r="BE887">
        <f>$C887*BE886</f>
        <v/>
      </c>
      <c r="BF887">
        <f>$C887*BF886</f>
        <v/>
      </c>
      <c r="BG887">
        <f>$C887*BG886</f>
        <v/>
      </c>
      <c r="BH887">
        <f>$C887*BH886</f>
        <v/>
      </c>
      <c r="BI887">
        <f>$C887*BI886</f>
        <v/>
      </c>
      <c r="BJ887">
        <f>$C887*BJ886</f>
        <v/>
      </c>
      <c r="BK887">
        <f>$C887*BK886</f>
        <v/>
      </c>
      <c r="BL887">
        <f>$C887*BL886</f>
        <v/>
      </c>
      <c r="BM887">
        <f>$C887*BM886</f>
        <v/>
      </c>
      <c r="BN887">
        <f>$C887*BN886</f>
        <v/>
      </c>
      <c r="BO887">
        <f>$C887*BO886</f>
        <v/>
      </c>
      <c r="BP887">
        <f>$C887*BP886</f>
        <v/>
      </c>
      <c r="BQ887">
        <f>$C887*BQ886</f>
        <v/>
      </c>
      <c r="BR887">
        <f>$C887*BR886</f>
        <v/>
      </c>
      <c r="BS887">
        <f>$C887*BS886</f>
        <v/>
      </c>
      <c r="BT887">
        <f>$C887*BT886</f>
        <v/>
      </c>
      <c r="BU887">
        <f>$C887*BU886</f>
        <v/>
      </c>
      <c r="BV887">
        <f>$C887*BV886</f>
        <v/>
      </c>
      <c r="BW887">
        <f>$C887*BW886</f>
        <v/>
      </c>
      <c r="BX887">
        <f>$C887*BX886</f>
        <v/>
      </c>
      <c r="BY887">
        <f>$C887*BY886</f>
        <v/>
      </c>
      <c r="BZ887">
        <f>$C887*BZ886</f>
        <v/>
      </c>
      <c r="CA887">
        <f>$C887*CA886</f>
        <v/>
      </c>
      <c r="CB887">
        <f>$C887*CB886</f>
        <v/>
      </c>
      <c r="CC887">
        <f>$C887*CC886</f>
        <v/>
      </c>
      <c r="CD887">
        <f>$C887*CD886</f>
        <v/>
      </c>
      <c r="CE887">
        <f>$C887*CE886</f>
        <v/>
      </c>
      <c r="CF887">
        <f>$C887*CF886</f>
        <v/>
      </c>
      <c r="CG887">
        <f>$C887*CG886</f>
        <v/>
      </c>
      <c r="CH887">
        <f>$C887*CH886</f>
        <v/>
      </c>
      <c r="CI887">
        <f>$C887*CI886</f>
        <v/>
      </c>
      <c r="CJ887">
        <f>$C887*CJ886</f>
        <v/>
      </c>
      <c r="CK887">
        <f>$C887*CK886</f>
        <v/>
      </c>
      <c r="CL887">
        <f>$C887*CL886</f>
        <v/>
      </c>
      <c r="CM887">
        <f>$C887*CM886</f>
        <v/>
      </c>
      <c r="CN887">
        <f>$C887*CN886</f>
        <v/>
      </c>
      <c r="CO887">
        <f>$C887*CO886</f>
        <v/>
      </c>
      <c r="CP887">
        <f>$C887*CP886</f>
        <v/>
      </c>
      <c r="CQ887">
        <f>$C887*CQ886</f>
        <v/>
      </c>
      <c r="CR887">
        <f>$C887*CR886</f>
        <v/>
      </c>
      <c r="CS887">
        <f>$C887*CS886</f>
        <v/>
      </c>
      <c r="CT887">
        <f>$C887*CT886</f>
        <v/>
      </c>
      <c r="CU887">
        <f>$C887*CU886</f>
        <v/>
      </c>
      <c r="CV887">
        <f>$C887*CV886</f>
        <v/>
      </c>
      <c r="CW887">
        <f>$C887*CW886</f>
        <v/>
      </c>
      <c r="CX887">
        <f>$C887*CX886</f>
        <v/>
      </c>
      <c r="CY887">
        <f>$C887*CY886</f>
        <v/>
      </c>
      <c r="CZ887">
        <f>$C887*CZ886</f>
        <v/>
      </c>
      <c r="DA887">
        <f>$C887*DA886</f>
        <v/>
      </c>
      <c r="DB887">
        <f>$C887*DB886</f>
        <v/>
      </c>
      <c r="DC887">
        <f>$C887*DC886</f>
        <v/>
      </c>
    </row>
    <row r="888">
      <c r="B888" s="4" t="inlineStr">
        <is>
          <t>合計使用量(kg)/週</t>
        </is>
      </c>
      <c r="D888">
        <f>'Grid_Requirement'!B7</f>
        <v/>
      </c>
      <c r="E888">
        <f>'Grid_Requirement'!C7</f>
        <v/>
      </c>
      <c r="F888">
        <f>'Grid_Requirement'!D7</f>
        <v/>
      </c>
      <c r="G888">
        <f>'Grid_Requirement'!E7</f>
        <v/>
      </c>
      <c r="H888">
        <f>'Grid_Requirement'!F7</f>
        <v/>
      </c>
      <c r="I888">
        <f>'Grid_Requirement'!G7</f>
        <v/>
      </c>
      <c r="J888">
        <f>'Grid_Requirement'!H7</f>
        <v/>
      </c>
      <c r="K888">
        <f>'Grid_Requirement'!I7</f>
        <v/>
      </c>
      <c r="L888">
        <f>'Grid_Requirement'!J7</f>
        <v/>
      </c>
      <c r="M888">
        <f>'Grid_Requirement'!K7</f>
        <v/>
      </c>
      <c r="N888">
        <f>'Grid_Requirement'!L7</f>
        <v/>
      </c>
      <c r="O888">
        <f>'Grid_Requirement'!M7</f>
        <v/>
      </c>
      <c r="P888">
        <f>'Grid_Requirement'!N7</f>
        <v/>
      </c>
      <c r="Q888">
        <f>'Grid_Requirement'!O7</f>
        <v/>
      </c>
      <c r="R888">
        <f>'Grid_Requirement'!P7</f>
        <v/>
      </c>
      <c r="S888">
        <f>'Grid_Requirement'!Q7</f>
        <v/>
      </c>
      <c r="T888">
        <f>'Grid_Requirement'!R7</f>
        <v/>
      </c>
      <c r="U888">
        <f>'Grid_Requirement'!S7</f>
        <v/>
      </c>
      <c r="V888">
        <f>'Grid_Requirement'!T7</f>
        <v/>
      </c>
      <c r="W888">
        <f>'Grid_Requirement'!U7</f>
        <v/>
      </c>
      <c r="X888">
        <f>'Grid_Requirement'!V7</f>
        <v/>
      </c>
      <c r="Y888">
        <f>'Grid_Requirement'!W7</f>
        <v/>
      </c>
      <c r="Z888">
        <f>'Grid_Requirement'!X7</f>
        <v/>
      </c>
      <c r="AA888">
        <f>'Grid_Requirement'!Y7</f>
        <v/>
      </c>
      <c r="AB888">
        <f>'Grid_Requirement'!Z7</f>
        <v/>
      </c>
      <c r="AC888">
        <f>'Grid_Requirement'!AA7</f>
        <v/>
      </c>
      <c r="AD888">
        <f>'Grid_Requirement'!AB7</f>
        <v/>
      </c>
      <c r="AE888">
        <f>'Grid_Requirement'!AC7</f>
        <v/>
      </c>
      <c r="AF888">
        <f>'Grid_Requirement'!AD7</f>
        <v/>
      </c>
      <c r="AG888">
        <f>'Grid_Requirement'!AE7</f>
        <v/>
      </c>
      <c r="AH888">
        <f>'Grid_Requirement'!AF7</f>
        <v/>
      </c>
      <c r="AI888">
        <f>'Grid_Requirement'!AG7</f>
        <v/>
      </c>
      <c r="AJ888">
        <f>'Grid_Requirement'!AH7</f>
        <v/>
      </c>
      <c r="AK888">
        <f>'Grid_Requirement'!AI7</f>
        <v/>
      </c>
      <c r="AL888">
        <f>'Grid_Requirement'!AJ7</f>
        <v/>
      </c>
      <c r="AM888">
        <f>'Grid_Requirement'!AK7</f>
        <v/>
      </c>
      <c r="AN888">
        <f>'Grid_Requirement'!AL7</f>
        <v/>
      </c>
      <c r="AO888">
        <f>'Grid_Requirement'!AM7</f>
        <v/>
      </c>
      <c r="AP888">
        <f>'Grid_Requirement'!AN7</f>
        <v/>
      </c>
      <c r="AQ888">
        <f>'Grid_Requirement'!AO7</f>
        <v/>
      </c>
      <c r="AR888">
        <f>'Grid_Requirement'!AP7</f>
        <v/>
      </c>
      <c r="AS888">
        <f>'Grid_Requirement'!AQ7</f>
        <v/>
      </c>
      <c r="AT888">
        <f>'Grid_Requirement'!AR7</f>
        <v/>
      </c>
      <c r="AU888">
        <f>'Grid_Requirement'!AS7</f>
        <v/>
      </c>
      <c r="AV888">
        <f>'Grid_Requirement'!AT7</f>
        <v/>
      </c>
      <c r="AW888">
        <f>'Grid_Requirement'!AU7</f>
        <v/>
      </c>
      <c r="AX888">
        <f>'Grid_Requirement'!AV7</f>
        <v/>
      </c>
      <c r="AY888">
        <f>'Grid_Requirement'!AW7</f>
        <v/>
      </c>
      <c r="AZ888">
        <f>'Grid_Requirement'!AX7</f>
        <v/>
      </c>
      <c r="BA888">
        <f>'Grid_Requirement'!AY7</f>
        <v/>
      </c>
      <c r="BB888">
        <f>'Grid_Requirement'!AZ7</f>
        <v/>
      </c>
      <c r="BC888">
        <f>'Grid_Requirement'!BA7</f>
        <v/>
      </c>
      <c r="BD888">
        <f>'Grid_Requirement'!BB7</f>
        <v/>
      </c>
      <c r="BE888">
        <f>'Grid_Requirement'!BC7</f>
        <v/>
      </c>
      <c r="BF888">
        <f>'Grid_Requirement'!BD7</f>
        <v/>
      </c>
      <c r="BG888">
        <f>'Grid_Requirement'!BE7</f>
        <v/>
      </c>
      <c r="BH888">
        <f>'Grid_Requirement'!BF7</f>
        <v/>
      </c>
      <c r="BI888">
        <f>'Grid_Requirement'!BG7</f>
        <v/>
      </c>
      <c r="BJ888">
        <f>'Grid_Requirement'!BH7</f>
        <v/>
      </c>
      <c r="BK888">
        <f>'Grid_Requirement'!BI7</f>
        <v/>
      </c>
      <c r="BL888">
        <f>'Grid_Requirement'!BJ7</f>
        <v/>
      </c>
      <c r="BM888">
        <f>'Grid_Requirement'!BK7</f>
        <v/>
      </c>
      <c r="BN888">
        <f>'Grid_Requirement'!BL7</f>
        <v/>
      </c>
      <c r="BO888">
        <f>'Grid_Requirement'!BM7</f>
        <v/>
      </c>
      <c r="BP888">
        <f>'Grid_Requirement'!BN7</f>
        <v/>
      </c>
      <c r="BQ888">
        <f>'Grid_Requirement'!BO7</f>
        <v/>
      </c>
      <c r="BR888">
        <f>'Grid_Requirement'!BP7</f>
        <v/>
      </c>
      <c r="BS888">
        <f>'Grid_Requirement'!BQ7</f>
        <v/>
      </c>
      <c r="BT888">
        <f>'Grid_Requirement'!BR7</f>
        <v/>
      </c>
      <c r="BU888">
        <f>'Grid_Requirement'!BS7</f>
        <v/>
      </c>
      <c r="BV888">
        <f>'Grid_Requirement'!BT7</f>
        <v/>
      </c>
      <c r="BW888">
        <f>'Grid_Requirement'!BU7</f>
        <v/>
      </c>
      <c r="BX888">
        <f>'Grid_Requirement'!BV7</f>
        <v/>
      </c>
      <c r="BY888">
        <f>'Grid_Requirement'!BW7</f>
        <v/>
      </c>
      <c r="BZ888">
        <f>'Grid_Requirement'!BX7</f>
        <v/>
      </c>
      <c r="CA888">
        <f>'Grid_Requirement'!BY7</f>
        <v/>
      </c>
      <c r="CB888">
        <f>'Grid_Requirement'!BZ7</f>
        <v/>
      </c>
      <c r="CC888">
        <f>'Grid_Requirement'!CA7</f>
        <v/>
      </c>
      <c r="CD888">
        <f>'Grid_Requirement'!CB7</f>
        <v/>
      </c>
      <c r="CE888">
        <f>'Grid_Requirement'!CC7</f>
        <v/>
      </c>
      <c r="CF888">
        <f>'Grid_Requirement'!CD7</f>
        <v/>
      </c>
      <c r="CG888">
        <f>'Grid_Requirement'!CE7</f>
        <v/>
      </c>
      <c r="CH888">
        <f>'Grid_Requirement'!CF7</f>
        <v/>
      </c>
      <c r="CI888">
        <f>'Grid_Requirement'!CG7</f>
        <v/>
      </c>
      <c r="CJ888">
        <f>'Grid_Requirement'!CH7</f>
        <v/>
      </c>
      <c r="CK888">
        <f>'Grid_Requirement'!CI7</f>
        <v/>
      </c>
      <c r="CL888">
        <f>'Grid_Requirement'!CJ7</f>
        <v/>
      </c>
      <c r="CM888">
        <f>'Grid_Requirement'!CK7</f>
        <v/>
      </c>
      <c r="CN888">
        <f>'Grid_Requirement'!CL7</f>
        <v/>
      </c>
      <c r="CO888">
        <f>'Grid_Requirement'!CM7</f>
        <v/>
      </c>
      <c r="CP888">
        <f>'Grid_Requirement'!CN7</f>
        <v/>
      </c>
      <c r="CQ888">
        <f>'Grid_Requirement'!CO7</f>
        <v/>
      </c>
      <c r="CR888">
        <f>'Grid_Requirement'!CP7</f>
        <v/>
      </c>
      <c r="CS888">
        <f>'Grid_Requirement'!CQ7</f>
        <v/>
      </c>
      <c r="CT888">
        <f>'Grid_Requirement'!CR7</f>
        <v/>
      </c>
      <c r="CU888">
        <f>'Grid_Requirement'!CS7</f>
        <v/>
      </c>
      <c r="CV888">
        <f>'Grid_Requirement'!CT7</f>
        <v/>
      </c>
      <c r="CW888">
        <f>'Grid_Requirement'!CU7</f>
        <v/>
      </c>
      <c r="CX888">
        <f>'Grid_Requirement'!CV7</f>
        <v/>
      </c>
      <c r="CY888">
        <f>'Grid_Requirement'!CW7</f>
        <v/>
      </c>
      <c r="CZ888">
        <f>'Grid_Requirement'!CX7</f>
        <v/>
      </c>
      <c r="DA888">
        <f>'Grid_Requirement'!CY7</f>
        <v/>
      </c>
      <c r="DB888">
        <f>'Grid_Requirement'!CZ7</f>
        <v/>
      </c>
      <c r="DC888">
        <f>'Grid_Requirement'!DA7</f>
        <v/>
      </c>
    </row>
    <row r="889">
      <c r="B889" t="inlineStr">
        <is>
          <t>TTAF在庫(実績,kg)</t>
        </is>
      </c>
      <c r="D889">
        <f>'T_TTAFStock'!B11</f>
        <v/>
      </c>
      <c r="E889">
        <f>'T_TTAFStock'!C11</f>
        <v/>
      </c>
      <c r="F889">
        <f>'T_TTAFStock'!D11</f>
        <v/>
      </c>
      <c r="G889">
        <f>'T_TTAFStock'!E11</f>
        <v/>
      </c>
      <c r="H889">
        <f>'T_TTAFStock'!F11</f>
        <v/>
      </c>
      <c r="I889">
        <f>'T_TTAFStock'!G11</f>
        <v/>
      </c>
      <c r="J889">
        <f>'T_TTAFStock'!H11</f>
        <v/>
      </c>
      <c r="K889">
        <f>'T_TTAFStock'!I11</f>
        <v/>
      </c>
      <c r="L889">
        <f>'T_TTAFStock'!J11</f>
        <v/>
      </c>
      <c r="M889">
        <f>'T_TTAFStock'!K11</f>
        <v/>
      </c>
      <c r="N889">
        <f>'T_TTAFStock'!L11</f>
        <v/>
      </c>
      <c r="O889">
        <f>'T_TTAFStock'!M11</f>
        <v/>
      </c>
      <c r="P889">
        <f>'T_TTAFStock'!N11</f>
        <v/>
      </c>
      <c r="Q889">
        <f>'T_TTAFStock'!O11</f>
        <v/>
      </c>
      <c r="R889">
        <f>'T_TTAFStock'!P11</f>
        <v/>
      </c>
      <c r="S889">
        <f>'T_TTAFStock'!Q11</f>
        <v/>
      </c>
      <c r="T889">
        <f>'T_TTAFStock'!R11</f>
        <v/>
      </c>
      <c r="U889">
        <f>'T_TTAFStock'!S11</f>
        <v/>
      </c>
      <c r="V889">
        <f>'T_TTAFStock'!T11</f>
        <v/>
      </c>
      <c r="W889">
        <f>'T_TTAFStock'!U11</f>
        <v/>
      </c>
      <c r="X889">
        <f>'T_TTAFStock'!V11</f>
        <v/>
      </c>
      <c r="Y889">
        <f>'T_TTAFStock'!W11</f>
        <v/>
      </c>
      <c r="Z889">
        <f>'T_TTAFStock'!X11</f>
        <v/>
      </c>
      <c r="AA889">
        <f>'T_TTAFStock'!Y11</f>
        <v/>
      </c>
      <c r="AB889">
        <f>'T_TTAFStock'!Z11</f>
        <v/>
      </c>
      <c r="AC889">
        <f>'T_TTAFStock'!AA11</f>
        <v/>
      </c>
      <c r="AD889">
        <f>'T_TTAFStock'!AB11</f>
        <v/>
      </c>
      <c r="AE889">
        <f>'T_TTAFStock'!AC11</f>
        <v/>
      </c>
      <c r="AF889">
        <f>'T_TTAFStock'!AD11</f>
        <v/>
      </c>
      <c r="AG889">
        <f>'T_TTAFStock'!AE11</f>
        <v/>
      </c>
      <c r="AH889">
        <f>'T_TTAFStock'!AF11</f>
        <v/>
      </c>
      <c r="AI889">
        <f>'T_TTAFStock'!AG11</f>
        <v/>
      </c>
      <c r="AJ889">
        <f>'T_TTAFStock'!AH11</f>
        <v/>
      </c>
      <c r="AK889">
        <f>'T_TTAFStock'!AI11</f>
        <v/>
      </c>
      <c r="AL889">
        <f>'T_TTAFStock'!AJ11</f>
        <v/>
      </c>
      <c r="AM889">
        <f>'T_TTAFStock'!AK11</f>
        <v/>
      </c>
      <c r="AN889">
        <f>'T_TTAFStock'!AL11</f>
        <v/>
      </c>
      <c r="AO889">
        <f>'T_TTAFStock'!AM11</f>
        <v/>
      </c>
      <c r="AP889">
        <f>'T_TTAFStock'!AN11</f>
        <v/>
      </c>
      <c r="AQ889">
        <f>'T_TTAFStock'!AO11</f>
        <v/>
      </c>
      <c r="AR889">
        <f>'T_TTAFStock'!AP11</f>
        <v/>
      </c>
      <c r="AS889">
        <f>'T_TTAFStock'!AQ11</f>
        <v/>
      </c>
      <c r="AT889">
        <f>'T_TTAFStock'!AR11</f>
        <v/>
      </c>
      <c r="AU889">
        <f>'T_TTAFStock'!AS11</f>
        <v/>
      </c>
      <c r="AV889">
        <f>'T_TTAFStock'!AT11</f>
        <v/>
      </c>
      <c r="AW889">
        <f>'T_TTAFStock'!AU11</f>
        <v/>
      </c>
      <c r="AX889">
        <f>'T_TTAFStock'!AV11</f>
        <v/>
      </c>
      <c r="AY889">
        <f>'T_TTAFStock'!AW11</f>
        <v/>
      </c>
      <c r="AZ889">
        <f>'T_TTAFStock'!AX11</f>
        <v/>
      </c>
      <c r="BA889">
        <f>'T_TTAFStock'!AY11</f>
        <v/>
      </c>
      <c r="BB889">
        <f>'T_TTAFStock'!AZ11</f>
        <v/>
      </c>
      <c r="BC889">
        <f>'T_TTAFStock'!BA11</f>
        <v/>
      </c>
      <c r="BD889">
        <f>'T_TTAFStock'!BB11</f>
        <v/>
      </c>
      <c r="BE889">
        <f>'T_TTAFStock'!BC11</f>
        <v/>
      </c>
      <c r="BF889">
        <f>'T_TTAFStock'!BD11</f>
        <v/>
      </c>
      <c r="BG889">
        <f>'T_TTAFStock'!BE11</f>
        <v/>
      </c>
      <c r="BH889">
        <f>'T_TTAFStock'!BF11</f>
        <v/>
      </c>
      <c r="BI889">
        <f>'T_TTAFStock'!BG11</f>
        <v/>
      </c>
      <c r="BJ889">
        <f>'T_TTAFStock'!BH11</f>
        <v/>
      </c>
      <c r="BK889">
        <f>'T_TTAFStock'!BI11</f>
        <v/>
      </c>
      <c r="BL889">
        <f>'T_TTAFStock'!BJ11</f>
        <v/>
      </c>
      <c r="BM889">
        <f>'T_TTAFStock'!BK11</f>
        <v/>
      </c>
      <c r="BN889">
        <f>'T_TTAFStock'!BL11</f>
        <v/>
      </c>
      <c r="BO889">
        <f>'T_TTAFStock'!BM11</f>
        <v/>
      </c>
      <c r="BP889">
        <f>'T_TTAFStock'!BN11</f>
        <v/>
      </c>
      <c r="BQ889">
        <f>'T_TTAFStock'!BO11</f>
        <v/>
      </c>
      <c r="BR889">
        <f>'T_TTAFStock'!BP11</f>
        <v/>
      </c>
      <c r="BS889">
        <f>'T_TTAFStock'!BQ11</f>
        <v/>
      </c>
      <c r="BT889">
        <f>'T_TTAFStock'!BR11</f>
        <v/>
      </c>
      <c r="BU889">
        <f>'T_TTAFStock'!BS11</f>
        <v/>
      </c>
      <c r="BV889">
        <f>'T_TTAFStock'!BT11</f>
        <v/>
      </c>
      <c r="BW889">
        <f>'T_TTAFStock'!BU11</f>
        <v/>
      </c>
      <c r="BX889">
        <f>'T_TTAFStock'!BV11</f>
        <v/>
      </c>
      <c r="BY889">
        <f>'T_TTAFStock'!BW11</f>
        <v/>
      </c>
      <c r="BZ889">
        <f>'T_TTAFStock'!BX11</f>
        <v/>
      </c>
      <c r="CA889">
        <f>'T_TTAFStock'!BY11</f>
        <v/>
      </c>
      <c r="CB889">
        <f>'T_TTAFStock'!BZ11</f>
        <v/>
      </c>
      <c r="CC889">
        <f>'T_TTAFStock'!CA11</f>
        <v/>
      </c>
      <c r="CD889">
        <f>'T_TTAFStock'!CB11</f>
        <v/>
      </c>
      <c r="CE889">
        <f>'T_TTAFStock'!CC11</f>
        <v/>
      </c>
      <c r="CF889">
        <f>'T_TTAFStock'!CD11</f>
        <v/>
      </c>
      <c r="CG889">
        <f>'T_TTAFStock'!CE11</f>
        <v/>
      </c>
      <c r="CH889">
        <f>'T_TTAFStock'!CF11</f>
        <v/>
      </c>
      <c r="CI889">
        <f>'T_TTAFStock'!CG11</f>
        <v/>
      </c>
      <c r="CJ889">
        <f>'T_TTAFStock'!CH11</f>
        <v/>
      </c>
      <c r="CK889">
        <f>'T_TTAFStock'!CI11</f>
        <v/>
      </c>
      <c r="CL889">
        <f>'T_TTAFStock'!CJ11</f>
        <v/>
      </c>
      <c r="CM889">
        <f>'T_TTAFStock'!CK11</f>
        <v/>
      </c>
      <c r="CN889">
        <f>'T_TTAFStock'!CL11</f>
        <v/>
      </c>
      <c r="CO889">
        <f>'T_TTAFStock'!CM11</f>
        <v/>
      </c>
      <c r="CP889">
        <f>'T_TTAFStock'!CN11</f>
        <v/>
      </c>
      <c r="CQ889">
        <f>'T_TTAFStock'!CO11</f>
        <v/>
      </c>
      <c r="CR889">
        <f>'T_TTAFStock'!CP11</f>
        <v/>
      </c>
      <c r="CS889">
        <f>'T_TTAFStock'!CQ11</f>
        <v/>
      </c>
      <c r="CT889">
        <f>'T_TTAFStock'!CR11</f>
        <v/>
      </c>
      <c r="CU889">
        <f>'T_TTAFStock'!CS11</f>
        <v/>
      </c>
      <c r="CV889">
        <f>'T_TTAFStock'!CT11</f>
        <v/>
      </c>
      <c r="CW889">
        <f>'T_TTAFStock'!CU11</f>
        <v/>
      </c>
      <c r="CX889">
        <f>'T_TTAFStock'!CV11</f>
        <v/>
      </c>
      <c r="CY889">
        <f>'T_TTAFStock'!CW11</f>
        <v/>
      </c>
      <c r="CZ889">
        <f>'T_TTAFStock'!CX11</f>
        <v/>
      </c>
      <c r="DA889">
        <f>'T_TTAFStock'!CY11</f>
        <v/>
      </c>
      <c r="DB889">
        <f>'T_TTAFStock'!CZ11</f>
        <v/>
      </c>
      <c r="DC889">
        <f>'T_TTAFStock'!DA11</f>
        <v/>
      </c>
    </row>
    <row r="890">
      <c r="B890" t="inlineStr">
        <is>
          <t>自社在庫(実績,kg)</t>
        </is>
      </c>
      <c r="D890">
        <f>'T_SelfStock'!B11</f>
        <v/>
      </c>
      <c r="E890">
        <f>'T_SelfStock'!C11</f>
        <v/>
      </c>
      <c r="F890">
        <f>'T_SelfStock'!D11</f>
        <v/>
      </c>
      <c r="G890">
        <f>'T_SelfStock'!E11</f>
        <v/>
      </c>
      <c r="H890">
        <f>'T_SelfStock'!F11</f>
        <v/>
      </c>
      <c r="I890">
        <f>'T_SelfStock'!G11</f>
        <v/>
      </c>
      <c r="J890">
        <f>'T_SelfStock'!H11</f>
        <v/>
      </c>
      <c r="K890">
        <f>'T_SelfStock'!I11</f>
        <v/>
      </c>
      <c r="L890">
        <f>'T_SelfStock'!J11</f>
        <v/>
      </c>
      <c r="M890">
        <f>'T_SelfStock'!K11</f>
        <v/>
      </c>
      <c r="N890">
        <f>'T_SelfStock'!L11</f>
        <v/>
      </c>
      <c r="O890">
        <f>'T_SelfStock'!M11</f>
        <v/>
      </c>
      <c r="P890">
        <f>'T_SelfStock'!N11</f>
        <v/>
      </c>
      <c r="Q890">
        <f>'T_SelfStock'!O11</f>
        <v/>
      </c>
      <c r="R890">
        <f>'T_SelfStock'!P11</f>
        <v/>
      </c>
      <c r="S890">
        <f>'T_SelfStock'!Q11</f>
        <v/>
      </c>
      <c r="T890">
        <f>'T_SelfStock'!R11</f>
        <v/>
      </c>
      <c r="U890">
        <f>'T_SelfStock'!S11</f>
        <v/>
      </c>
      <c r="V890">
        <f>'T_SelfStock'!T11</f>
        <v/>
      </c>
      <c r="W890">
        <f>'T_SelfStock'!U11</f>
        <v/>
      </c>
      <c r="X890">
        <f>'T_SelfStock'!V11</f>
        <v/>
      </c>
      <c r="Y890">
        <f>'T_SelfStock'!W11</f>
        <v/>
      </c>
      <c r="Z890">
        <f>'T_SelfStock'!X11</f>
        <v/>
      </c>
      <c r="AA890">
        <f>'T_SelfStock'!Y11</f>
        <v/>
      </c>
      <c r="AB890">
        <f>'T_SelfStock'!Z11</f>
        <v/>
      </c>
      <c r="AC890">
        <f>'T_SelfStock'!AA11</f>
        <v/>
      </c>
      <c r="AD890">
        <f>'T_SelfStock'!AB11</f>
        <v/>
      </c>
      <c r="AE890">
        <f>'T_SelfStock'!AC11</f>
        <v/>
      </c>
      <c r="AF890">
        <f>'T_SelfStock'!AD11</f>
        <v/>
      </c>
      <c r="AG890">
        <f>'T_SelfStock'!AE11</f>
        <v/>
      </c>
      <c r="AH890">
        <f>'T_SelfStock'!AF11</f>
        <v/>
      </c>
      <c r="AI890">
        <f>'T_SelfStock'!AG11</f>
        <v/>
      </c>
      <c r="AJ890">
        <f>'T_SelfStock'!AH11</f>
        <v/>
      </c>
      <c r="AK890">
        <f>'T_SelfStock'!AI11</f>
        <v/>
      </c>
      <c r="AL890">
        <f>'T_SelfStock'!AJ11</f>
        <v/>
      </c>
      <c r="AM890">
        <f>'T_SelfStock'!AK11</f>
        <v/>
      </c>
      <c r="AN890">
        <f>'T_SelfStock'!AL11</f>
        <v/>
      </c>
      <c r="AO890">
        <f>'T_SelfStock'!AM11</f>
        <v/>
      </c>
      <c r="AP890">
        <f>'T_SelfStock'!AN11</f>
        <v/>
      </c>
      <c r="AQ890">
        <f>'T_SelfStock'!AO11</f>
        <v/>
      </c>
      <c r="AR890">
        <f>'T_SelfStock'!AP11</f>
        <v/>
      </c>
      <c r="AS890">
        <f>'T_SelfStock'!AQ11</f>
        <v/>
      </c>
      <c r="AT890">
        <f>'T_SelfStock'!AR11</f>
        <v/>
      </c>
      <c r="AU890">
        <f>'T_SelfStock'!AS11</f>
        <v/>
      </c>
      <c r="AV890">
        <f>'T_SelfStock'!AT11</f>
        <v/>
      </c>
      <c r="AW890">
        <f>'T_SelfStock'!AU11</f>
        <v/>
      </c>
      <c r="AX890">
        <f>'T_SelfStock'!AV11</f>
        <v/>
      </c>
      <c r="AY890">
        <f>'T_SelfStock'!AW11</f>
        <v/>
      </c>
      <c r="AZ890">
        <f>'T_SelfStock'!AX11</f>
        <v/>
      </c>
      <c r="BA890">
        <f>'T_SelfStock'!AY11</f>
        <v/>
      </c>
      <c r="BB890">
        <f>'T_SelfStock'!AZ11</f>
        <v/>
      </c>
      <c r="BC890">
        <f>'T_SelfStock'!BA11</f>
        <v/>
      </c>
      <c r="BD890">
        <f>'T_SelfStock'!BB11</f>
        <v/>
      </c>
      <c r="BE890">
        <f>'T_SelfStock'!BC11</f>
        <v/>
      </c>
      <c r="BF890">
        <f>'T_SelfStock'!BD11</f>
        <v/>
      </c>
      <c r="BG890">
        <f>'T_SelfStock'!BE11</f>
        <v/>
      </c>
      <c r="BH890">
        <f>'T_SelfStock'!BF11</f>
        <v/>
      </c>
      <c r="BI890">
        <f>'T_SelfStock'!BG11</f>
        <v/>
      </c>
      <c r="BJ890">
        <f>'T_SelfStock'!BH11</f>
        <v/>
      </c>
      <c r="BK890">
        <f>'T_SelfStock'!BI11</f>
        <v/>
      </c>
      <c r="BL890">
        <f>'T_SelfStock'!BJ11</f>
        <v/>
      </c>
      <c r="BM890">
        <f>'T_SelfStock'!BK11</f>
        <v/>
      </c>
      <c r="BN890">
        <f>'T_SelfStock'!BL11</f>
        <v/>
      </c>
      <c r="BO890">
        <f>'T_SelfStock'!BM11</f>
        <v/>
      </c>
      <c r="BP890">
        <f>'T_SelfStock'!BN11</f>
        <v/>
      </c>
      <c r="BQ890">
        <f>'T_SelfStock'!BO11</f>
        <v/>
      </c>
      <c r="BR890">
        <f>'T_SelfStock'!BP11</f>
        <v/>
      </c>
      <c r="BS890">
        <f>'T_SelfStock'!BQ11</f>
        <v/>
      </c>
      <c r="BT890">
        <f>'T_SelfStock'!BR11</f>
        <v/>
      </c>
      <c r="BU890">
        <f>'T_SelfStock'!BS11</f>
        <v/>
      </c>
      <c r="BV890">
        <f>'T_SelfStock'!BT11</f>
        <v/>
      </c>
      <c r="BW890">
        <f>'T_SelfStock'!BU11</f>
        <v/>
      </c>
      <c r="BX890">
        <f>'T_SelfStock'!BV11</f>
        <v/>
      </c>
      <c r="BY890">
        <f>'T_SelfStock'!BW11</f>
        <v/>
      </c>
      <c r="BZ890">
        <f>'T_SelfStock'!BX11</f>
        <v/>
      </c>
      <c r="CA890">
        <f>'T_SelfStock'!BY11</f>
        <v/>
      </c>
      <c r="CB890">
        <f>'T_SelfStock'!BZ11</f>
        <v/>
      </c>
      <c r="CC890">
        <f>'T_SelfStock'!CA11</f>
        <v/>
      </c>
      <c r="CD890">
        <f>'T_SelfStock'!CB11</f>
        <v/>
      </c>
      <c r="CE890">
        <f>'T_SelfStock'!CC11</f>
        <v/>
      </c>
      <c r="CF890">
        <f>'T_SelfStock'!CD11</f>
        <v/>
      </c>
      <c r="CG890">
        <f>'T_SelfStock'!CE11</f>
        <v/>
      </c>
      <c r="CH890">
        <f>'T_SelfStock'!CF11</f>
        <v/>
      </c>
      <c r="CI890">
        <f>'T_SelfStock'!CG11</f>
        <v/>
      </c>
      <c r="CJ890">
        <f>'T_SelfStock'!CH11</f>
        <v/>
      </c>
      <c r="CK890">
        <f>'T_SelfStock'!CI11</f>
        <v/>
      </c>
      <c r="CL890">
        <f>'T_SelfStock'!CJ11</f>
        <v/>
      </c>
      <c r="CM890">
        <f>'T_SelfStock'!CK11</f>
        <v/>
      </c>
      <c r="CN890">
        <f>'T_SelfStock'!CL11</f>
        <v/>
      </c>
      <c r="CO890">
        <f>'T_SelfStock'!CM11</f>
        <v/>
      </c>
      <c r="CP890">
        <f>'T_SelfStock'!CN11</f>
        <v/>
      </c>
      <c r="CQ890">
        <f>'T_SelfStock'!CO11</f>
        <v/>
      </c>
      <c r="CR890">
        <f>'T_SelfStock'!CP11</f>
        <v/>
      </c>
      <c r="CS890">
        <f>'T_SelfStock'!CQ11</f>
        <v/>
      </c>
      <c r="CT890">
        <f>'T_SelfStock'!CR11</f>
        <v/>
      </c>
      <c r="CU890">
        <f>'T_SelfStock'!CS11</f>
        <v/>
      </c>
      <c r="CV890">
        <f>'T_SelfStock'!CT11</f>
        <v/>
      </c>
      <c r="CW890">
        <f>'T_SelfStock'!CU11</f>
        <v/>
      </c>
      <c r="CX890">
        <f>'T_SelfStock'!CV11</f>
        <v/>
      </c>
      <c r="CY890">
        <f>'T_SelfStock'!CW11</f>
        <v/>
      </c>
      <c r="CZ890">
        <f>'T_SelfStock'!CX11</f>
        <v/>
      </c>
      <c r="DA890">
        <f>'T_SelfStock'!CY11</f>
        <v/>
      </c>
      <c r="DB890">
        <f>'T_SelfStock'!CZ11</f>
        <v/>
      </c>
      <c r="DC890">
        <f>'T_SelfStock'!DA11</f>
        <v/>
      </c>
    </row>
    <row r="891">
      <c r="B891" t="inlineStr">
        <is>
          <t>Order(発注予定,kg)</t>
        </is>
      </c>
      <c r="D891">
        <f>IF(SUMIFS(T_PlannedOrders[EffectiveQty],T_PlannedOrders[Part Name],$A849,T_PlannedOrders[WeekIndex],1)=0,"",SUMIFS(T_PlannedOrders[EffectiveQty],T_PlannedOrders[Part Name],$A849,T_PlannedOrders[WeekIndex],1)&amp;" ("&amp;TEXT(SUMPRODUCT(MAX((T_PlannedOrders[Part Name]=$A849)*(T_PlannedOrders[WeekIndex]=1)*(T_PlannedOrders[EffectiveQty]&gt;0)*T_PlannedOrders[Order_Month])),"m月")&amp;"発注)")</f>
        <v/>
      </c>
      <c r="E891">
        <f>IF(SUMIFS(T_PlannedOrders[EffectiveQty],T_PlannedOrders[Part Name],$A849,T_PlannedOrders[WeekIndex],2)=0,"",SUMIFS(T_PlannedOrders[EffectiveQty],T_PlannedOrders[Part Name],$A849,T_PlannedOrders[WeekIndex],2)&amp;" ("&amp;TEXT(SUMPRODUCT(MAX((T_PlannedOrders[Part Name]=$A849)*(T_PlannedOrders[WeekIndex]=2)*(T_PlannedOrders[EffectiveQty]&gt;0)*T_PlannedOrders[Order_Month])),"m月")&amp;"発注)")</f>
        <v/>
      </c>
      <c r="F891">
        <f>IF(SUMIFS(T_PlannedOrders[EffectiveQty],T_PlannedOrders[Part Name],$A849,T_PlannedOrders[WeekIndex],3)=0,"",SUMIFS(T_PlannedOrders[EffectiveQty],T_PlannedOrders[Part Name],$A849,T_PlannedOrders[WeekIndex],3)&amp;" ("&amp;TEXT(SUMPRODUCT(MAX((T_PlannedOrders[Part Name]=$A849)*(T_PlannedOrders[WeekIndex]=3)*(T_PlannedOrders[EffectiveQty]&gt;0)*T_PlannedOrders[Order_Month])),"m月")&amp;"発注)")</f>
        <v/>
      </c>
      <c r="G891">
        <f>IF(SUMIFS(T_PlannedOrders[EffectiveQty],T_PlannedOrders[Part Name],$A849,T_PlannedOrders[WeekIndex],4)=0,"",SUMIFS(T_PlannedOrders[EffectiveQty],T_PlannedOrders[Part Name],$A849,T_PlannedOrders[WeekIndex],4)&amp;" ("&amp;TEXT(SUMPRODUCT(MAX((T_PlannedOrders[Part Name]=$A849)*(T_PlannedOrders[WeekIndex]=4)*(T_PlannedOrders[EffectiveQty]&gt;0)*T_PlannedOrders[Order_Month])),"m月")&amp;"発注)")</f>
        <v/>
      </c>
      <c r="H891">
        <f>IF(SUMIFS(T_PlannedOrders[EffectiveQty],T_PlannedOrders[Part Name],$A849,T_PlannedOrders[WeekIndex],5)=0,"",SUMIFS(T_PlannedOrders[EffectiveQty],T_PlannedOrders[Part Name],$A849,T_PlannedOrders[WeekIndex],5)&amp;" ("&amp;TEXT(SUMPRODUCT(MAX((T_PlannedOrders[Part Name]=$A849)*(T_PlannedOrders[WeekIndex]=5)*(T_PlannedOrders[EffectiveQty]&gt;0)*T_PlannedOrders[Order_Month])),"m月")&amp;"発注)")</f>
        <v/>
      </c>
      <c r="I891">
        <f>IF(SUMIFS(T_PlannedOrders[EffectiveQty],T_PlannedOrders[Part Name],$A849,T_PlannedOrders[WeekIndex],6)=0,"",SUMIFS(T_PlannedOrders[EffectiveQty],T_PlannedOrders[Part Name],$A849,T_PlannedOrders[WeekIndex],6)&amp;" ("&amp;TEXT(SUMPRODUCT(MAX((T_PlannedOrders[Part Name]=$A849)*(T_PlannedOrders[WeekIndex]=6)*(T_PlannedOrders[EffectiveQty]&gt;0)*T_PlannedOrders[Order_Month])),"m月")&amp;"発注)")</f>
        <v/>
      </c>
      <c r="J891">
        <f>IF(SUMIFS(T_PlannedOrders[EffectiveQty],T_PlannedOrders[Part Name],$A849,T_PlannedOrders[WeekIndex],7)=0,"",SUMIFS(T_PlannedOrders[EffectiveQty],T_PlannedOrders[Part Name],$A849,T_PlannedOrders[WeekIndex],7)&amp;" ("&amp;TEXT(SUMPRODUCT(MAX((T_PlannedOrders[Part Name]=$A849)*(T_PlannedOrders[WeekIndex]=7)*(T_PlannedOrders[EffectiveQty]&gt;0)*T_PlannedOrders[Order_Month])),"m月")&amp;"発注)")</f>
        <v/>
      </c>
      <c r="K891">
        <f>IF(SUMIFS(T_PlannedOrders[EffectiveQty],T_PlannedOrders[Part Name],$A849,T_PlannedOrders[WeekIndex],8)=0,"",SUMIFS(T_PlannedOrders[EffectiveQty],T_PlannedOrders[Part Name],$A849,T_PlannedOrders[WeekIndex],8)&amp;" ("&amp;TEXT(SUMPRODUCT(MAX((T_PlannedOrders[Part Name]=$A849)*(T_PlannedOrders[WeekIndex]=8)*(T_PlannedOrders[EffectiveQty]&gt;0)*T_PlannedOrders[Order_Month])),"m月")&amp;"発注)")</f>
        <v/>
      </c>
      <c r="L891">
        <f>IF(SUMIFS(T_PlannedOrders[EffectiveQty],T_PlannedOrders[Part Name],$A849,T_PlannedOrders[WeekIndex],9)=0,"",SUMIFS(T_PlannedOrders[EffectiveQty],T_PlannedOrders[Part Name],$A849,T_PlannedOrders[WeekIndex],9)&amp;" ("&amp;TEXT(SUMPRODUCT(MAX((T_PlannedOrders[Part Name]=$A849)*(T_PlannedOrders[WeekIndex]=9)*(T_PlannedOrders[EffectiveQty]&gt;0)*T_PlannedOrders[Order_Month])),"m月")&amp;"発注)")</f>
        <v/>
      </c>
      <c r="M891">
        <f>IF(SUMIFS(T_PlannedOrders[EffectiveQty],T_PlannedOrders[Part Name],$A849,T_PlannedOrders[WeekIndex],10)=0,"",SUMIFS(T_PlannedOrders[EffectiveQty],T_PlannedOrders[Part Name],$A849,T_PlannedOrders[WeekIndex],10)&amp;" ("&amp;TEXT(SUMPRODUCT(MAX((T_PlannedOrders[Part Name]=$A849)*(T_PlannedOrders[WeekIndex]=10)*(T_PlannedOrders[EffectiveQty]&gt;0)*T_PlannedOrders[Order_Month])),"m月")&amp;"発注)")</f>
        <v/>
      </c>
      <c r="N891">
        <f>IF(SUMIFS(T_PlannedOrders[EffectiveQty],T_PlannedOrders[Part Name],$A849,T_PlannedOrders[WeekIndex],11)=0,"",SUMIFS(T_PlannedOrders[EffectiveQty],T_PlannedOrders[Part Name],$A849,T_PlannedOrders[WeekIndex],11)&amp;" ("&amp;TEXT(SUMPRODUCT(MAX((T_PlannedOrders[Part Name]=$A849)*(T_PlannedOrders[WeekIndex]=11)*(T_PlannedOrders[EffectiveQty]&gt;0)*T_PlannedOrders[Order_Month])),"m月")&amp;"発注)")</f>
        <v/>
      </c>
      <c r="O891">
        <f>IF(SUMIFS(T_PlannedOrders[EffectiveQty],T_PlannedOrders[Part Name],$A849,T_PlannedOrders[WeekIndex],12)=0,"",SUMIFS(T_PlannedOrders[EffectiveQty],T_PlannedOrders[Part Name],$A849,T_PlannedOrders[WeekIndex],12)&amp;" ("&amp;TEXT(SUMPRODUCT(MAX((T_PlannedOrders[Part Name]=$A849)*(T_PlannedOrders[WeekIndex]=12)*(T_PlannedOrders[EffectiveQty]&gt;0)*T_PlannedOrders[Order_Month])),"m月")&amp;"発注)")</f>
        <v/>
      </c>
      <c r="P891">
        <f>IF(SUMIFS(T_PlannedOrders[EffectiveQty],T_PlannedOrders[Part Name],$A849,T_PlannedOrders[WeekIndex],13)=0,"",SUMIFS(T_PlannedOrders[EffectiveQty],T_PlannedOrders[Part Name],$A849,T_PlannedOrders[WeekIndex],13)&amp;" ("&amp;TEXT(SUMPRODUCT(MAX((T_PlannedOrders[Part Name]=$A849)*(T_PlannedOrders[WeekIndex]=13)*(T_PlannedOrders[EffectiveQty]&gt;0)*T_PlannedOrders[Order_Month])),"m月")&amp;"発注)")</f>
        <v/>
      </c>
      <c r="Q891">
        <f>IF(SUMIFS(T_PlannedOrders[EffectiveQty],T_PlannedOrders[Part Name],$A849,T_PlannedOrders[WeekIndex],14)=0,"",SUMIFS(T_PlannedOrders[EffectiveQty],T_PlannedOrders[Part Name],$A849,T_PlannedOrders[WeekIndex],14)&amp;" ("&amp;TEXT(SUMPRODUCT(MAX((T_PlannedOrders[Part Name]=$A849)*(T_PlannedOrders[WeekIndex]=14)*(T_PlannedOrders[EffectiveQty]&gt;0)*T_PlannedOrders[Order_Month])),"m月")&amp;"発注)")</f>
        <v/>
      </c>
      <c r="R891">
        <f>IF(SUMIFS(T_PlannedOrders[EffectiveQty],T_PlannedOrders[Part Name],$A849,T_PlannedOrders[WeekIndex],15)=0,"",SUMIFS(T_PlannedOrders[EffectiveQty],T_PlannedOrders[Part Name],$A849,T_PlannedOrders[WeekIndex],15)&amp;" ("&amp;TEXT(SUMPRODUCT(MAX((T_PlannedOrders[Part Name]=$A849)*(T_PlannedOrders[WeekIndex]=15)*(T_PlannedOrders[EffectiveQty]&gt;0)*T_PlannedOrders[Order_Month])),"m月")&amp;"発注)")</f>
        <v/>
      </c>
      <c r="S891">
        <f>IF(SUMIFS(T_PlannedOrders[EffectiveQty],T_PlannedOrders[Part Name],$A849,T_PlannedOrders[WeekIndex],16)=0,"",SUMIFS(T_PlannedOrders[EffectiveQty],T_PlannedOrders[Part Name],$A849,T_PlannedOrders[WeekIndex],16)&amp;" ("&amp;TEXT(SUMPRODUCT(MAX((T_PlannedOrders[Part Name]=$A849)*(T_PlannedOrders[WeekIndex]=16)*(T_PlannedOrders[EffectiveQty]&gt;0)*T_PlannedOrders[Order_Month])),"m月")&amp;"発注)")</f>
        <v/>
      </c>
      <c r="T891">
        <f>IF(SUMIFS(T_PlannedOrders[EffectiveQty],T_PlannedOrders[Part Name],$A849,T_PlannedOrders[WeekIndex],17)=0,"",SUMIFS(T_PlannedOrders[EffectiveQty],T_PlannedOrders[Part Name],$A849,T_PlannedOrders[WeekIndex],17)&amp;" ("&amp;TEXT(SUMPRODUCT(MAX((T_PlannedOrders[Part Name]=$A849)*(T_PlannedOrders[WeekIndex]=17)*(T_PlannedOrders[EffectiveQty]&gt;0)*T_PlannedOrders[Order_Month])),"m月")&amp;"発注)")</f>
        <v/>
      </c>
      <c r="U891">
        <f>IF(SUMIFS(T_PlannedOrders[EffectiveQty],T_PlannedOrders[Part Name],$A849,T_PlannedOrders[WeekIndex],18)=0,"",SUMIFS(T_PlannedOrders[EffectiveQty],T_PlannedOrders[Part Name],$A849,T_PlannedOrders[WeekIndex],18)&amp;" ("&amp;TEXT(SUMPRODUCT(MAX((T_PlannedOrders[Part Name]=$A849)*(T_PlannedOrders[WeekIndex]=18)*(T_PlannedOrders[EffectiveQty]&gt;0)*T_PlannedOrders[Order_Month])),"m月")&amp;"発注)")</f>
        <v/>
      </c>
      <c r="V891">
        <f>IF(SUMIFS(T_PlannedOrders[EffectiveQty],T_PlannedOrders[Part Name],$A849,T_PlannedOrders[WeekIndex],19)=0,"",SUMIFS(T_PlannedOrders[EffectiveQty],T_PlannedOrders[Part Name],$A849,T_PlannedOrders[WeekIndex],19)&amp;" ("&amp;TEXT(SUMPRODUCT(MAX((T_PlannedOrders[Part Name]=$A849)*(T_PlannedOrders[WeekIndex]=19)*(T_PlannedOrders[EffectiveQty]&gt;0)*T_PlannedOrders[Order_Month])),"m月")&amp;"発注)")</f>
        <v/>
      </c>
      <c r="W891">
        <f>IF(SUMIFS(T_PlannedOrders[EffectiveQty],T_PlannedOrders[Part Name],$A849,T_PlannedOrders[WeekIndex],20)=0,"",SUMIFS(T_PlannedOrders[EffectiveQty],T_PlannedOrders[Part Name],$A849,T_PlannedOrders[WeekIndex],20)&amp;" ("&amp;TEXT(SUMPRODUCT(MAX((T_PlannedOrders[Part Name]=$A849)*(T_PlannedOrders[WeekIndex]=20)*(T_PlannedOrders[EffectiveQty]&gt;0)*T_PlannedOrders[Order_Month])),"m月")&amp;"発注)")</f>
        <v/>
      </c>
      <c r="X891">
        <f>IF(SUMIFS(T_PlannedOrders[EffectiveQty],T_PlannedOrders[Part Name],$A849,T_PlannedOrders[WeekIndex],21)=0,"",SUMIFS(T_PlannedOrders[EffectiveQty],T_PlannedOrders[Part Name],$A849,T_PlannedOrders[WeekIndex],21)&amp;" ("&amp;TEXT(SUMPRODUCT(MAX((T_PlannedOrders[Part Name]=$A849)*(T_PlannedOrders[WeekIndex]=21)*(T_PlannedOrders[EffectiveQty]&gt;0)*T_PlannedOrders[Order_Month])),"m月")&amp;"発注)")</f>
        <v/>
      </c>
      <c r="Y891">
        <f>IF(SUMIFS(T_PlannedOrders[EffectiveQty],T_PlannedOrders[Part Name],$A849,T_PlannedOrders[WeekIndex],22)=0,"",SUMIFS(T_PlannedOrders[EffectiveQty],T_PlannedOrders[Part Name],$A849,T_PlannedOrders[WeekIndex],22)&amp;" ("&amp;TEXT(SUMPRODUCT(MAX((T_PlannedOrders[Part Name]=$A849)*(T_PlannedOrders[WeekIndex]=22)*(T_PlannedOrders[EffectiveQty]&gt;0)*T_PlannedOrders[Order_Month])),"m月")&amp;"発注)")</f>
        <v/>
      </c>
      <c r="Z891">
        <f>IF(SUMIFS(T_PlannedOrders[EffectiveQty],T_PlannedOrders[Part Name],$A849,T_PlannedOrders[WeekIndex],23)=0,"",SUMIFS(T_PlannedOrders[EffectiveQty],T_PlannedOrders[Part Name],$A849,T_PlannedOrders[WeekIndex],23)&amp;" ("&amp;TEXT(SUMPRODUCT(MAX((T_PlannedOrders[Part Name]=$A849)*(T_PlannedOrders[WeekIndex]=23)*(T_PlannedOrders[EffectiveQty]&gt;0)*T_PlannedOrders[Order_Month])),"m月")&amp;"発注)")</f>
        <v/>
      </c>
      <c r="AA891">
        <f>IF(SUMIFS(T_PlannedOrders[EffectiveQty],T_PlannedOrders[Part Name],$A849,T_PlannedOrders[WeekIndex],24)=0,"",SUMIFS(T_PlannedOrders[EffectiveQty],T_PlannedOrders[Part Name],$A849,T_PlannedOrders[WeekIndex],24)&amp;" ("&amp;TEXT(SUMPRODUCT(MAX((T_PlannedOrders[Part Name]=$A849)*(T_PlannedOrders[WeekIndex]=24)*(T_PlannedOrders[EffectiveQty]&gt;0)*T_PlannedOrders[Order_Month])),"m月")&amp;"発注)")</f>
        <v/>
      </c>
      <c r="AB891">
        <f>IF(SUMIFS(T_PlannedOrders[EffectiveQty],T_PlannedOrders[Part Name],$A849,T_PlannedOrders[WeekIndex],25)=0,"",SUMIFS(T_PlannedOrders[EffectiveQty],T_PlannedOrders[Part Name],$A849,T_PlannedOrders[WeekIndex],25)&amp;" ("&amp;TEXT(SUMPRODUCT(MAX((T_PlannedOrders[Part Name]=$A849)*(T_PlannedOrders[WeekIndex]=25)*(T_PlannedOrders[EffectiveQty]&gt;0)*T_PlannedOrders[Order_Month])),"m月")&amp;"発注)")</f>
        <v/>
      </c>
      <c r="AC891">
        <f>IF(SUMIFS(T_PlannedOrders[EffectiveQty],T_PlannedOrders[Part Name],$A849,T_PlannedOrders[WeekIndex],26)=0,"",SUMIFS(T_PlannedOrders[EffectiveQty],T_PlannedOrders[Part Name],$A849,T_PlannedOrders[WeekIndex],26)&amp;" ("&amp;TEXT(SUMPRODUCT(MAX((T_PlannedOrders[Part Name]=$A849)*(T_PlannedOrders[WeekIndex]=26)*(T_PlannedOrders[EffectiveQty]&gt;0)*T_PlannedOrders[Order_Month])),"m月")&amp;"発注)")</f>
        <v/>
      </c>
      <c r="AD891">
        <f>IF(SUMIFS(T_PlannedOrders[EffectiveQty],T_PlannedOrders[Part Name],$A849,T_PlannedOrders[WeekIndex],27)=0,"",SUMIFS(T_PlannedOrders[EffectiveQty],T_PlannedOrders[Part Name],$A849,T_PlannedOrders[WeekIndex],27)&amp;" ("&amp;TEXT(SUMPRODUCT(MAX((T_PlannedOrders[Part Name]=$A849)*(T_PlannedOrders[WeekIndex]=27)*(T_PlannedOrders[EffectiveQty]&gt;0)*T_PlannedOrders[Order_Month])),"m月")&amp;"発注)")</f>
        <v/>
      </c>
      <c r="AE891">
        <f>IF(SUMIFS(T_PlannedOrders[EffectiveQty],T_PlannedOrders[Part Name],$A849,T_PlannedOrders[WeekIndex],28)=0,"",SUMIFS(T_PlannedOrders[EffectiveQty],T_PlannedOrders[Part Name],$A849,T_PlannedOrders[WeekIndex],28)&amp;" ("&amp;TEXT(SUMPRODUCT(MAX((T_PlannedOrders[Part Name]=$A849)*(T_PlannedOrders[WeekIndex]=28)*(T_PlannedOrders[EffectiveQty]&gt;0)*T_PlannedOrders[Order_Month])),"m月")&amp;"発注)")</f>
        <v/>
      </c>
      <c r="AF891">
        <f>IF(SUMIFS(T_PlannedOrders[EffectiveQty],T_PlannedOrders[Part Name],$A849,T_PlannedOrders[WeekIndex],29)=0,"",SUMIFS(T_PlannedOrders[EffectiveQty],T_PlannedOrders[Part Name],$A849,T_PlannedOrders[WeekIndex],29)&amp;" ("&amp;TEXT(SUMPRODUCT(MAX((T_PlannedOrders[Part Name]=$A849)*(T_PlannedOrders[WeekIndex]=29)*(T_PlannedOrders[EffectiveQty]&gt;0)*T_PlannedOrders[Order_Month])),"m月")&amp;"発注)")</f>
        <v/>
      </c>
      <c r="AG891">
        <f>IF(SUMIFS(T_PlannedOrders[EffectiveQty],T_PlannedOrders[Part Name],$A849,T_PlannedOrders[WeekIndex],30)=0,"",SUMIFS(T_PlannedOrders[EffectiveQty],T_PlannedOrders[Part Name],$A849,T_PlannedOrders[WeekIndex],30)&amp;" ("&amp;TEXT(SUMPRODUCT(MAX((T_PlannedOrders[Part Name]=$A849)*(T_PlannedOrders[WeekIndex]=30)*(T_PlannedOrders[EffectiveQty]&gt;0)*T_PlannedOrders[Order_Month])),"m月")&amp;"発注)")</f>
        <v/>
      </c>
      <c r="AH891">
        <f>IF(SUMIFS(T_PlannedOrders[EffectiveQty],T_PlannedOrders[Part Name],$A849,T_PlannedOrders[WeekIndex],31)=0,"",SUMIFS(T_PlannedOrders[EffectiveQty],T_PlannedOrders[Part Name],$A849,T_PlannedOrders[WeekIndex],31)&amp;" ("&amp;TEXT(SUMPRODUCT(MAX((T_PlannedOrders[Part Name]=$A849)*(T_PlannedOrders[WeekIndex]=31)*(T_PlannedOrders[EffectiveQty]&gt;0)*T_PlannedOrders[Order_Month])),"m月")&amp;"発注)")</f>
        <v/>
      </c>
      <c r="AI891">
        <f>IF(SUMIFS(T_PlannedOrders[EffectiveQty],T_PlannedOrders[Part Name],$A849,T_PlannedOrders[WeekIndex],32)=0,"",SUMIFS(T_PlannedOrders[EffectiveQty],T_PlannedOrders[Part Name],$A849,T_PlannedOrders[WeekIndex],32)&amp;" ("&amp;TEXT(SUMPRODUCT(MAX((T_PlannedOrders[Part Name]=$A849)*(T_PlannedOrders[WeekIndex]=32)*(T_PlannedOrders[EffectiveQty]&gt;0)*T_PlannedOrders[Order_Month])),"m月")&amp;"発注)")</f>
        <v/>
      </c>
      <c r="AJ891">
        <f>IF(SUMIFS(T_PlannedOrders[EffectiveQty],T_PlannedOrders[Part Name],$A849,T_PlannedOrders[WeekIndex],33)=0,"",SUMIFS(T_PlannedOrders[EffectiveQty],T_PlannedOrders[Part Name],$A849,T_PlannedOrders[WeekIndex],33)&amp;" ("&amp;TEXT(SUMPRODUCT(MAX((T_PlannedOrders[Part Name]=$A849)*(T_PlannedOrders[WeekIndex]=33)*(T_PlannedOrders[EffectiveQty]&gt;0)*T_PlannedOrders[Order_Month])),"m月")&amp;"発注)")</f>
        <v/>
      </c>
      <c r="AK891">
        <f>IF(SUMIFS(T_PlannedOrders[EffectiveQty],T_PlannedOrders[Part Name],$A849,T_PlannedOrders[WeekIndex],34)=0,"",SUMIFS(T_PlannedOrders[EffectiveQty],T_PlannedOrders[Part Name],$A849,T_PlannedOrders[WeekIndex],34)&amp;" ("&amp;TEXT(SUMPRODUCT(MAX((T_PlannedOrders[Part Name]=$A849)*(T_PlannedOrders[WeekIndex]=34)*(T_PlannedOrders[EffectiveQty]&gt;0)*T_PlannedOrders[Order_Month])),"m月")&amp;"発注)")</f>
        <v/>
      </c>
      <c r="AL891">
        <f>IF(SUMIFS(T_PlannedOrders[EffectiveQty],T_PlannedOrders[Part Name],$A849,T_PlannedOrders[WeekIndex],35)=0,"",SUMIFS(T_PlannedOrders[EffectiveQty],T_PlannedOrders[Part Name],$A849,T_PlannedOrders[WeekIndex],35)&amp;" ("&amp;TEXT(SUMPRODUCT(MAX((T_PlannedOrders[Part Name]=$A849)*(T_PlannedOrders[WeekIndex]=35)*(T_PlannedOrders[EffectiveQty]&gt;0)*T_PlannedOrders[Order_Month])),"m月")&amp;"発注)")</f>
        <v/>
      </c>
      <c r="AM891">
        <f>IF(SUMIFS(T_PlannedOrders[EffectiveQty],T_PlannedOrders[Part Name],$A849,T_PlannedOrders[WeekIndex],36)=0,"",SUMIFS(T_PlannedOrders[EffectiveQty],T_PlannedOrders[Part Name],$A849,T_PlannedOrders[WeekIndex],36)&amp;" ("&amp;TEXT(SUMPRODUCT(MAX((T_PlannedOrders[Part Name]=$A849)*(T_PlannedOrders[WeekIndex]=36)*(T_PlannedOrders[EffectiveQty]&gt;0)*T_PlannedOrders[Order_Month])),"m月")&amp;"発注)")</f>
        <v/>
      </c>
      <c r="AN891">
        <f>IF(SUMIFS(T_PlannedOrders[EffectiveQty],T_PlannedOrders[Part Name],$A849,T_PlannedOrders[WeekIndex],37)=0,"",SUMIFS(T_PlannedOrders[EffectiveQty],T_PlannedOrders[Part Name],$A849,T_PlannedOrders[WeekIndex],37)&amp;" ("&amp;TEXT(SUMPRODUCT(MAX((T_PlannedOrders[Part Name]=$A849)*(T_PlannedOrders[WeekIndex]=37)*(T_PlannedOrders[EffectiveQty]&gt;0)*T_PlannedOrders[Order_Month])),"m月")&amp;"発注)")</f>
        <v/>
      </c>
      <c r="AO891">
        <f>IF(SUMIFS(T_PlannedOrders[EffectiveQty],T_PlannedOrders[Part Name],$A849,T_PlannedOrders[WeekIndex],38)=0,"",SUMIFS(T_PlannedOrders[EffectiveQty],T_PlannedOrders[Part Name],$A849,T_PlannedOrders[WeekIndex],38)&amp;" ("&amp;TEXT(SUMPRODUCT(MAX((T_PlannedOrders[Part Name]=$A849)*(T_PlannedOrders[WeekIndex]=38)*(T_PlannedOrders[EffectiveQty]&gt;0)*T_PlannedOrders[Order_Month])),"m月")&amp;"発注)")</f>
        <v/>
      </c>
      <c r="AP891">
        <f>IF(SUMIFS(T_PlannedOrders[EffectiveQty],T_PlannedOrders[Part Name],$A849,T_PlannedOrders[WeekIndex],39)=0,"",SUMIFS(T_PlannedOrders[EffectiveQty],T_PlannedOrders[Part Name],$A849,T_PlannedOrders[WeekIndex],39)&amp;" ("&amp;TEXT(SUMPRODUCT(MAX((T_PlannedOrders[Part Name]=$A849)*(T_PlannedOrders[WeekIndex]=39)*(T_PlannedOrders[EffectiveQty]&gt;0)*T_PlannedOrders[Order_Month])),"m月")&amp;"発注)")</f>
        <v/>
      </c>
      <c r="AQ891">
        <f>IF(SUMIFS(T_PlannedOrders[EffectiveQty],T_PlannedOrders[Part Name],$A849,T_PlannedOrders[WeekIndex],40)=0,"",SUMIFS(T_PlannedOrders[EffectiveQty],T_PlannedOrders[Part Name],$A849,T_PlannedOrders[WeekIndex],40)&amp;" ("&amp;TEXT(SUMPRODUCT(MAX((T_PlannedOrders[Part Name]=$A849)*(T_PlannedOrders[WeekIndex]=40)*(T_PlannedOrders[EffectiveQty]&gt;0)*T_PlannedOrders[Order_Month])),"m月")&amp;"発注)")</f>
        <v/>
      </c>
      <c r="AR891">
        <f>IF(SUMIFS(T_PlannedOrders[EffectiveQty],T_PlannedOrders[Part Name],$A849,T_PlannedOrders[WeekIndex],41)=0,"",SUMIFS(T_PlannedOrders[EffectiveQty],T_PlannedOrders[Part Name],$A849,T_PlannedOrders[WeekIndex],41)&amp;" ("&amp;TEXT(SUMPRODUCT(MAX((T_PlannedOrders[Part Name]=$A849)*(T_PlannedOrders[WeekIndex]=41)*(T_PlannedOrders[EffectiveQty]&gt;0)*T_PlannedOrders[Order_Month])),"m月")&amp;"発注)")</f>
        <v/>
      </c>
      <c r="AS891">
        <f>IF(SUMIFS(T_PlannedOrders[EffectiveQty],T_PlannedOrders[Part Name],$A849,T_PlannedOrders[WeekIndex],42)=0,"",SUMIFS(T_PlannedOrders[EffectiveQty],T_PlannedOrders[Part Name],$A849,T_PlannedOrders[WeekIndex],42)&amp;" ("&amp;TEXT(SUMPRODUCT(MAX((T_PlannedOrders[Part Name]=$A849)*(T_PlannedOrders[WeekIndex]=42)*(T_PlannedOrders[EffectiveQty]&gt;0)*T_PlannedOrders[Order_Month])),"m月")&amp;"発注)")</f>
        <v/>
      </c>
      <c r="AT891">
        <f>IF(SUMIFS(T_PlannedOrders[EffectiveQty],T_PlannedOrders[Part Name],$A849,T_PlannedOrders[WeekIndex],43)=0,"",SUMIFS(T_PlannedOrders[EffectiveQty],T_PlannedOrders[Part Name],$A849,T_PlannedOrders[WeekIndex],43)&amp;" ("&amp;TEXT(SUMPRODUCT(MAX((T_PlannedOrders[Part Name]=$A849)*(T_PlannedOrders[WeekIndex]=43)*(T_PlannedOrders[EffectiveQty]&gt;0)*T_PlannedOrders[Order_Month])),"m月")&amp;"発注)")</f>
        <v/>
      </c>
      <c r="AU891">
        <f>IF(SUMIFS(T_PlannedOrders[EffectiveQty],T_PlannedOrders[Part Name],$A849,T_PlannedOrders[WeekIndex],44)=0,"",SUMIFS(T_PlannedOrders[EffectiveQty],T_PlannedOrders[Part Name],$A849,T_PlannedOrders[WeekIndex],44)&amp;" ("&amp;TEXT(SUMPRODUCT(MAX((T_PlannedOrders[Part Name]=$A849)*(T_PlannedOrders[WeekIndex]=44)*(T_PlannedOrders[EffectiveQty]&gt;0)*T_PlannedOrders[Order_Month])),"m月")&amp;"発注)")</f>
        <v/>
      </c>
      <c r="AV891">
        <f>IF(SUMIFS(T_PlannedOrders[EffectiveQty],T_PlannedOrders[Part Name],$A849,T_PlannedOrders[WeekIndex],45)=0,"",SUMIFS(T_PlannedOrders[EffectiveQty],T_PlannedOrders[Part Name],$A849,T_PlannedOrders[WeekIndex],45)&amp;" ("&amp;TEXT(SUMPRODUCT(MAX((T_PlannedOrders[Part Name]=$A849)*(T_PlannedOrders[WeekIndex]=45)*(T_PlannedOrders[EffectiveQty]&gt;0)*T_PlannedOrders[Order_Month])),"m月")&amp;"発注)")</f>
        <v/>
      </c>
      <c r="AW891">
        <f>IF(SUMIFS(T_PlannedOrders[EffectiveQty],T_PlannedOrders[Part Name],$A849,T_PlannedOrders[WeekIndex],46)=0,"",SUMIFS(T_PlannedOrders[EffectiveQty],T_PlannedOrders[Part Name],$A849,T_PlannedOrders[WeekIndex],46)&amp;" ("&amp;TEXT(SUMPRODUCT(MAX((T_PlannedOrders[Part Name]=$A849)*(T_PlannedOrders[WeekIndex]=46)*(T_PlannedOrders[EffectiveQty]&gt;0)*T_PlannedOrders[Order_Month])),"m月")&amp;"発注)")</f>
        <v/>
      </c>
      <c r="AX891">
        <f>IF(SUMIFS(T_PlannedOrders[EffectiveQty],T_PlannedOrders[Part Name],$A849,T_PlannedOrders[WeekIndex],47)=0,"",SUMIFS(T_PlannedOrders[EffectiveQty],T_PlannedOrders[Part Name],$A849,T_PlannedOrders[WeekIndex],47)&amp;" ("&amp;TEXT(SUMPRODUCT(MAX((T_PlannedOrders[Part Name]=$A849)*(T_PlannedOrders[WeekIndex]=47)*(T_PlannedOrders[EffectiveQty]&gt;0)*T_PlannedOrders[Order_Month])),"m月")&amp;"発注)")</f>
        <v/>
      </c>
      <c r="AY891">
        <f>IF(SUMIFS(T_PlannedOrders[EffectiveQty],T_PlannedOrders[Part Name],$A849,T_PlannedOrders[WeekIndex],48)=0,"",SUMIFS(T_PlannedOrders[EffectiveQty],T_PlannedOrders[Part Name],$A849,T_PlannedOrders[WeekIndex],48)&amp;" ("&amp;TEXT(SUMPRODUCT(MAX((T_PlannedOrders[Part Name]=$A849)*(T_PlannedOrders[WeekIndex]=48)*(T_PlannedOrders[EffectiveQty]&gt;0)*T_PlannedOrders[Order_Month])),"m月")&amp;"発注)")</f>
        <v/>
      </c>
      <c r="AZ891">
        <f>IF(SUMIFS(T_PlannedOrders[EffectiveQty],T_PlannedOrders[Part Name],$A849,T_PlannedOrders[WeekIndex],49)=0,"",SUMIFS(T_PlannedOrders[EffectiveQty],T_PlannedOrders[Part Name],$A849,T_PlannedOrders[WeekIndex],49)&amp;" ("&amp;TEXT(SUMPRODUCT(MAX((T_PlannedOrders[Part Name]=$A849)*(T_PlannedOrders[WeekIndex]=49)*(T_PlannedOrders[EffectiveQty]&gt;0)*T_PlannedOrders[Order_Month])),"m月")&amp;"発注)")</f>
        <v/>
      </c>
      <c r="BA891">
        <f>IF(SUMIFS(T_PlannedOrders[EffectiveQty],T_PlannedOrders[Part Name],$A849,T_PlannedOrders[WeekIndex],50)=0,"",SUMIFS(T_PlannedOrders[EffectiveQty],T_PlannedOrders[Part Name],$A849,T_PlannedOrders[WeekIndex],50)&amp;" ("&amp;TEXT(SUMPRODUCT(MAX((T_PlannedOrders[Part Name]=$A849)*(T_PlannedOrders[WeekIndex]=50)*(T_PlannedOrders[EffectiveQty]&gt;0)*T_PlannedOrders[Order_Month])),"m月")&amp;"発注)")</f>
        <v/>
      </c>
      <c r="BB891">
        <f>IF(SUMIFS(T_PlannedOrders[EffectiveQty],T_PlannedOrders[Part Name],$A849,T_PlannedOrders[WeekIndex],51)=0,"",SUMIFS(T_PlannedOrders[EffectiveQty],T_PlannedOrders[Part Name],$A849,T_PlannedOrders[WeekIndex],51)&amp;" ("&amp;TEXT(SUMPRODUCT(MAX((T_PlannedOrders[Part Name]=$A849)*(T_PlannedOrders[WeekIndex]=51)*(T_PlannedOrders[EffectiveQty]&gt;0)*T_PlannedOrders[Order_Month])),"m月")&amp;"発注)")</f>
        <v/>
      </c>
      <c r="BC891">
        <f>IF(SUMIFS(T_PlannedOrders[EffectiveQty],T_PlannedOrders[Part Name],$A849,T_PlannedOrders[WeekIndex],52)=0,"",SUMIFS(T_PlannedOrders[EffectiveQty],T_PlannedOrders[Part Name],$A849,T_PlannedOrders[WeekIndex],52)&amp;" ("&amp;TEXT(SUMPRODUCT(MAX((T_PlannedOrders[Part Name]=$A849)*(T_PlannedOrders[WeekIndex]=52)*(T_PlannedOrders[EffectiveQty]&gt;0)*T_PlannedOrders[Order_Month])),"m月")&amp;"発注)")</f>
        <v/>
      </c>
      <c r="BD891">
        <f>IF(SUMIFS(T_PlannedOrders[EffectiveQty],T_PlannedOrders[Part Name],$A849,T_PlannedOrders[WeekIndex],53)=0,"",SUMIFS(T_PlannedOrders[EffectiveQty],T_PlannedOrders[Part Name],$A849,T_PlannedOrders[WeekIndex],53)&amp;" ("&amp;TEXT(SUMPRODUCT(MAX((T_PlannedOrders[Part Name]=$A849)*(T_PlannedOrders[WeekIndex]=53)*(T_PlannedOrders[EffectiveQty]&gt;0)*T_PlannedOrders[Order_Month])),"m月")&amp;"発注)")</f>
        <v/>
      </c>
      <c r="BE891">
        <f>IF(SUMIFS(T_PlannedOrders[EffectiveQty],T_PlannedOrders[Part Name],$A849,T_PlannedOrders[WeekIndex],54)=0,"",SUMIFS(T_PlannedOrders[EffectiveQty],T_PlannedOrders[Part Name],$A849,T_PlannedOrders[WeekIndex],54)&amp;" ("&amp;TEXT(SUMPRODUCT(MAX((T_PlannedOrders[Part Name]=$A849)*(T_PlannedOrders[WeekIndex]=54)*(T_PlannedOrders[EffectiveQty]&gt;0)*T_PlannedOrders[Order_Month])),"m月")&amp;"発注)")</f>
        <v/>
      </c>
      <c r="BF891">
        <f>IF(SUMIFS(T_PlannedOrders[EffectiveQty],T_PlannedOrders[Part Name],$A849,T_PlannedOrders[WeekIndex],55)=0,"",SUMIFS(T_PlannedOrders[EffectiveQty],T_PlannedOrders[Part Name],$A849,T_PlannedOrders[WeekIndex],55)&amp;" ("&amp;TEXT(SUMPRODUCT(MAX((T_PlannedOrders[Part Name]=$A849)*(T_PlannedOrders[WeekIndex]=55)*(T_PlannedOrders[EffectiveQty]&gt;0)*T_PlannedOrders[Order_Month])),"m月")&amp;"発注)")</f>
        <v/>
      </c>
      <c r="BG891">
        <f>IF(SUMIFS(T_PlannedOrders[EffectiveQty],T_PlannedOrders[Part Name],$A849,T_PlannedOrders[WeekIndex],56)=0,"",SUMIFS(T_PlannedOrders[EffectiveQty],T_PlannedOrders[Part Name],$A849,T_PlannedOrders[WeekIndex],56)&amp;" ("&amp;TEXT(SUMPRODUCT(MAX((T_PlannedOrders[Part Name]=$A849)*(T_PlannedOrders[WeekIndex]=56)*(T_PlannedOrders[EffectiveQty]&gt;0)*T_PlannedOrders[Order_Month])),"m月")&amp;"発注)")</f>
        <v/>
      </c>
      <c r="BH891">
        <f>IF(SUMIFS(T_PlannedOrders[EffectiveQty],T_PlannedOrders[Part Name],$A849,T_PlannedOrders[WeekIndex],57)=0,"",SUMIFS(T_PlannedOrders[EffectiveQty],T_PlannedOrders[Part Name],$A849,T_PlannedOrders[WeekIndex],57)&amp;" ("&amp;TEXT(SUMPRODUCT(MAX((T_PlannedOrders[Part Name]=$A849)*(T_PlannedOrders[WeekIndex]=57)*(T_PlannedOrders[EffectiveQty]&gt;0)*T_PlannedOrders[Order_Month])),"m月")&amp;"発注)")</f>
        <v/>
      </c>
      <c r="BI891">
        <f>IF(SUMIFS(T_PlannedOrders[EffectiveQty],T_PlannedOrders[Part Name],$A849,T_PlannedOrders[WeekIndex],58)=0,"",SUMIFS(T_PlannedOrders[EffectiveQty],T_PlannedOrders[Part Name],$A849,T_PlannedOrders[WeekIndex],58)&amp;" ("&amp;TEXT(SUMPRODUCT(MAX((T_PlannedOrders[Part Name]=$A849)*(T_PlannedOrders[WeekIndex]=58)*(T_PlannedOrders[EffectiveQty]&gt;0)*T_PlannedOrders[Order_Month])),"m月")&amp;"発注)")</f>
        <v/>
      </c>
      <c r="BJ891">
        <f>IF(SUMIFS(T_PlannedOrders[EffectiveQty],T_PlannedOrders[Part Name],$A849,T_PlannedOrders[WeekIndex],59)=0,"",SUMIFS(T_PlannedOrders[EffectiveQty],T_PlannedOrders[Part Name],$A849,T_PlannedOrders[WeekIndex],59)&amp;" ("&amp;TEXT(SUMPRODUCT(MAX((T_PlannedOrders[Part Name]=$A849)*(T_PlannedOrders[WeekIndex]=59)*(T_PlannedOrders[EffectiveQty]&gt;0)*T_PlannedOrders[Order_Month])),"m月")&amp;"発注)")</f>
        <v/>
      </c>
      <c r="BK891">
        <f>IF(SUMIFS(T_PlannedOrders[EffectiveQty],T_PlannedOrders[Part Name],$A849,T_PlannedOrders[WeekIndex],60)=0,"",SUMIFS(T_PlannedOrders[EffectiveQty],T_PlannedOrders[Part Name],$A849,T_PlannedOrders[WeekIndex],60)&amp;" ("&amp;TEXT(SUMPRODUCT(MAX((T_PlannedOrders[Part Name]=$A849)*(T_PlannedOrders[WeekIndex]=60)*(T_PlannedOrders[EffectiveQty]&gt;0)*T_PlannedOrders[Order_Month])),"m月")&amp;"発注)")</f>
        <v/>
      </c>
      <c r="BL891">
        <f>IF(SUMIFS(T_PlannedOrders[EffectiveQty],T_PlannedOrders[Part Name],$A849,T_PlannedOrders[WeekIndex],61)=0,"",SUMIFS(T_PlannedOrders[EffectiveQty],T_PlannedOrders[Part Name],$A849,T_PlannedOrders[WeekIndex],61)&amp;" ("&amp;TEXT(SUMPRODUCT(MAX((T_PlannedOrders[Part Name]=$A849)*(T_PlannedOrders[WeekIndex]=61)*(T_PlannedOrders[EffectiveQty]&gt;0)*T_PlannedOrders[Order_Month])),"m月")&amp;"発注)")</f>
        <v/>
      </c>
      <c r="BM891">
        <f>IF(SUMIFS(T_PlannedOrders[EffectiveQty],T_PlannedOrders[Part Name],$A849,T_PlannedOrders[WeekIndex],62)=0,"",SUMIFS(T_PlannedOrders[EffectiveQty],T_PlannedOrders[Part Name],$A849,T_PlannedOrders[WeekIndex],62)&amp;" ("&amp;TEXT(SUMPRODUCT(MAX((T_PlannedOrders[Part Name]=$A849)*(T_PlannedOrders[WeekIndex]=62)*(T_PlannedOrders[EffectiveQty]&gt;0)*T_PlannedOrders[Order_Month])),"m月")&amp;"発注)")</f>
        <v/>
      </c>
      <c r="BN891">
        <f>IF(SUMIFS(T_PlannedOrders[EffectiveQty],T_PlannedOrders[Part Name],$A849,T_PlannedOrders[WeekIndex],63)=0,"",SUMIFS(T_PlannedOrders[EffectiveQty],T_PlannedOrders[Part Name],$A849,T_PlannedOrders[WeekIndex],63)&amp;" ("&amp;TEXT(SUMPRODUCT(MAX((T_PlannedOrders[Part Name]=$A849)*(T_PlannedOrders[WeekIndex]=63)*(T_PlannedOrders[EffectiveQty]&gt;0)*T_PlannedOrders[Order_Month])),"m月")&amp;"発注)")</f>
        <v/>
      </c>
      <c r="BO891">
        <f>IF(SUMIFS(T_PlannedOrders[EffectiveQty],T_PlannedOrders[Part Name],$A849,T_PlannedOrders[WeekIndex],64)=0,"",SUMIFS(T_PlannedOrders[EffectiveQty],T_PlannedOrders[Part Name],$A849,T_PlannedOrders[WeekIndex],64)&amp;" ("&amp;TEXT(SUMPRODUCT(MAX((T_PlannedOrders[Part Name]=$A849)*(T_PlannedOrders[WeekIndex]=64)*(T_PlannedOrders[EffectiveQty]&gt;0)*T_PlannedOrders[Order_Month])),"m月")&amp;"発注)")</f>
        <v/>
      </c>
      <c r="BP891">
        <f>IF(SUMIFS(T_PlannedOrders[EffectiveQty],T_PlannedOrders[Part Name],$A849,T_PlannedOrders[WeekIndex],65)=0,"",SUMIFS(T_PlannedOrders[EffectiveQty],T_PlannedOrders[Part Name],$A849,T_PlannedOrders[WeekIndex],65)&amp;" ("&amp;TEXT(SUMPRODUCT(MAX((T_PlannedOrders[Part Name]=$A849)*(T_PlannedOrders[WeekIndex]=65)*(T_PlannedOrders[EffectiveQty]&gt;0)*T_PlannedOrders[Order_Month])),"m月")&amp;"発注)")</f>
        <v/>
      </c>
      <c r="BQ891">
        <f>IF(SUMIFS(T_PlannedOrders[EffectiveQty],T_PlannedOrders[Part Name],$A849,T_PlannedOrders[WeekIndex],66)=0,"",SUMIFS(T_PlannedOrders[EffectiveQty],T_PlannedOrders[Part Name],$A849,T_PlannedOrders[WeekIndex],66)&amp;" ("&amp;TEXT(SUMPRODUCT(MAX((T_PlannedOrders[Part Name]=$A849)*(T_PlannedOrders[WeekIndex]=66)*(T_PlannedOrders[EffectiveQty]&gt;0)*T_PlannedOrders[Order_Month])),"m月")&amp;"発注)")</f>
        <v/>
      </c>
      <c r="BR891">
        <f>IF(SUMIFS(T_PlannedOrders[EffectiveQty],T_PlannedOrders[Part Name],$A849,T_PlannedOrders[WeekIndex],67)=0,"",SUMIFS(T_PlannedOrders[EffectiveQty],T_PlannedOrders[Part Name],$A849,T_PlannedOrders[WeekIndex],67)&amp;" ("&amp;TEXT(SUMPRODUCT(MAX((T_PlannedOrders[Part Name]=$A849)*(T_PlannedOrders[WeekIndex]=67)*(T_PlannedOrders[EffectiveQty]&gt;0)*T_PlannedOrders[Order_Month])),"m月")&amp;"発注)")</f>
        <v/>
      </c>
      <c r="BS891">
        <f>IF(SUMIFS(T_PlannedOrders[EffectiveQty],T_PlannedOrders[Part Name],$A849,T_PlannedOrders[WeekIndex],68)=0,"",SUMIFS(T_PlannedOrders[EffectiveQty],T_PlannedOrders[Part Name],$A849,T_PlannedOrders[WeekIndex],68)&amp;" ("&amp;TEXT(SUMPRODUCT(MAX((T_PlannedOrders[Part Name]=$A849)*(T_PlannedOrders[WeekIndex]=68)*(T_PlannedOrders[EffectiveQty]&gt;0)*T_PlannedOrders[Order_Month])),"m月")&amp;"発注)")</f>
        <v/>
      </c>
      <c r="BT891">
        <f>IF(SUMIFS(T_PlannedOrders[EffectiveQty],T_PlannedOrders[Part Name],$A849,T_PlannedOrders[WeekIndex],69)=0,"",SUMIFS(T_PlannedOrders[EffectiveQty],T_PlannedOrders[Part Name],$A849,T_PlannedOrders[WeekIndex],69)&amp;" ("&amp;TEXT(SUMPRODUCT(MAX((T_PlannedOrders[Part Name]=$A849)*(T_PlannedOrders[WeekIndex]=69)*(T_PlannedOrders[EffectiveQty]&gt;0)*T_PlannedOrders[Order_Month])),"m月")&amp;"発注)")</f>
        <v/>
      </c>
      <c r="BU891">
        <f>IF(SUMIFS(T_PlannedOrders[EffectiveQty],T_PlannedOrders[Part Name],$A849,T_PlannedOrders[WeekIndex],70)=0,"",SUMIFS(T_PlannedOrders[EffectiveQty],T_PlannedOrders[Part Name],$A849,T_PlannedOrders[WeekIndex],70)&amp;" ("&amp;TEXT(SUMPRODUCT(MAX((T_PlannedOrders[Part Name]=$A849)*(T_PlannedOrders[WeekIndex]=70)*(T_PlannedOrders[EffectiveQty]&gt;0)*T_PlannedOrders[Order_Month])),"m月")&amp;"発注)")</f>
        <v/>
      </c>
      <c r="BV891">
        <f>IF(SUMIFS(T_PlannedOrders[EffectiveQty],T_PlannedOrders[Part Name],$A849,T_PlannedOrders[WeekIndex],71)=0,"",SUMIFS(T_PlannedOrders[EffectiveQty],T_PlannedOrders[Part Name],$A849,T_PlannedOrders[WeekIndex],71)&amp;" ("&amp;TEXT(SUMPRODUCT(MAX((T_PlannedOrders[Part Name]=$A849)*(T_PlannedOrders[WeekIndex]=71)*(T_PlannedOrders[EffectiveQty]&gt;0)*T_PlannedOrders[Order_Month])),"m月")&amp;"発注)")</f>
        <v/>
      </c>
      <c r="BW891">
        <f>IF(SUMIFS(T_PlannedOrders[EffectiveQty],T_PlannedOrders[Part Name],$A849,T_PlannedOrders[WeekIndex],72)=0,"",SUMIFS(T_PlannedOrders[EffectiveQty],T_PlannedOrders[Part Name],$A849,T_PlannedOrders[WeekIndex],72)&amp;" ("&amp;TEXT(SUMPRODUCT(MAX((T_PlannedOrders[Part Name]=$A849)*(T_PlannedOrders[WeekIndex]=72)*(T_PlannedOrders[EffectiveQty]&gt;0)*T_PlannedOrders[Order_Month])),"m月")&amp;"発注)")</f>
        <v/>
      </c>
      <c r="BX891">
        <f>IF(SUMIFS(T_PlannedOrders[EffectiveQty],T_PlannedOrders[Part Name],$A849,T_PlannedOrders[WeekIndex],73)=0,"",SUMIFS(T_PlannedOrders[EffectiveQty],T_PlannedOrders[Part Name],$A849,T_PlannedOrders[WeekIndex],73)&amp;" ("&amp;TEXT(SUMPRODUCT(MAX((T_PlannedOrders[Part Name]=$A849)*(T_PlannedOrders[WeekIndex]=73)*(T_PlannedOrders[EffectiveQty]&gt;0)*T_PlannedOrders[Order_Month])),"m月")&amp;"発注)")</f>
        <v/>
      </c>
      <c r="BY891">
        <f>IF(SUMIFS(T_PlannedOrders[EffectiveQty],T_PlannedOrders[Part Name],$A849,T_PlannedOrders[WeekIndex],74)=0,"",SUMIFS(T_PlannedOrders[EffectiveQty],T_PlannedOrders[Part Name],$A849,T_PlannedOrders[WeekIndex],74)&amp;" ("&amp;TEXT(SUMPRODUCT(MAX((T_PlannedOrders[Part Name]=$A849)*(T_PlannedOrders[WeekIndex]=74)*(T_PlannedOrders[EffectiveQty]&gt;0)*T_PlannedOrders[Order_Month])),"m月")&amp;"発注)")</f>
        <v/>
      </c>
      <c r="BZ891">
        <f>IF(SUMIFS(T_PlannedOrders[EffectiveQty],T_PlannedOrders[Part Name],$A849,T_PlannedOrders[WeekIndex],75)=0,"",SUMIFS(T_PlannedOrders[EffectiveQty],T_PlannedOrders[Part Name],$A849,T_PlannedOrders[WeekIndex],75)&amp;" ("&amp;TEXT(SUMPRODUCT(MAX((T_PlannedOrders[Part Name]=$A849)*(T_PlannedOrders[WeekIndex]=75)*(T_PlannedOrders[EffectiveQty]&gt;0)*T_PlannedOrders[Order_Month])),"m月")&amp;"発注)")</f>
        <v/>
      </c>
      <c r="CA891">
        <f>IF(SUMIFS(T_PlannedOrders[EffectiveQty],T_PlannedOrders[Part Name],$A849,T_PlannedOrders[WeekIndex],76)=0,"",SUMIFS(T_PlannedOrders[EffectiveQty],T_PlannedOrders[Part Name],$A849,T_PlannedOrders[WeekIndex],76)&amp;" ("&amp;TEXT(SUMPRODUCT(MAX((T_PlannedOrders[Part Name]=$A849)*(T_PlannedOrders[WeekIndex]=76)*(T_PlannedOrders[EffectiveQty]&gt;0)*T_PlannedOrders[Order_Month])),"m月")&amp;"発注)")</f>
        <v/>
      </c>
      <c r="CB891">
        <f>IF(SUMIFS(T_PlannedOrders[EffectiveQty],T_PlannedOrders[Part Name],$A849,T_PlannedOrders[WeekIndex],77)=0,"",SUMIFS(T_PlannedOrders[EffectiveQty],T_PlannedOrders[Part Name],$A849,T_PlannedOrders[WeekIndex],77)&amp;" ("&amp;TEXT(SUMPRODUCT(MAX((T_PlannedOrders[Part Name]=$A849)*(T_PlannedOrders[WeekIndex]=77)*(T_PlannedOrders[EffectiveQty]&gt;0)*T_PlannedOrders[Order_Month])),"m月")&amp;"発注)")</f>
        <v/>
      </c>
      <c r="CC891">
        <f>IF(SUMIFS(T_PlannedOrders[EffectiveQty],T_PlannedOrders[Part Name],$A849,T_PlannedOrders[WeekIndex],78)=0,"",SUMIFS(T_PlannedOrders[EffectiveQty],T_PlannedOrders[Part Name],$A849,T_PlannedOrders[WeekIndex],78)&amp;" ("&amp;TEXT(SUMPRODUCT(MAX((T_PlannedOrders[Part Name]=$A849)*(T_PlannedOrders[WeekIndex]=78)*(T_PlannedOrders[EffectiveQty]&gt;0)*T_PlannedOrders[Order_Month])),"m月")&amp;"発注)")</f>
        <v/>
      </c>
      <c r="CD891">
        <f>IF(SUMIFS(T_PlannedOrders[EffectiveQty],T_PlannedOrders[Part Name],$A849,T_PlannedOrders[WeekIndex],79)=0,"",SUMIFS(T_PlannedOrders[EffectiveQty],T_PlannedOrders[Part Name],$A849,T_PlannedOrders[WeekIndex],79)&amp;" ("&amp;TEXT(SUMPRODUCT(MAX((T_PlannedOrders[Part Name]=$A849)*(T_PlannedOrders[WeekIndex]=79)*(T_PlannedOrders[EffectiveQty]&gt;0)*T_PlannedOrders[Order_Month])),"m月")&amp;"発注)")</f>
        <v/>
      </c>
      <c r="CE891">
        <f>IF(SUMIFS(T_PlannedOrders[EffectiveQty],T_PlannedOrders[Part Name],$A849,T_PlannedOrders[WeekIndex],80)=0,"",SUMIFS(T_PlannedOrders[EffectiveQty],T_PlannedOrders[Part Name],$A849,T_PlannedOrders[WeekIndex],80)&amp;" ("&amp;TEXT(SUMPRODUCT(MAX((T_PlannedOrders[Part Name]=$A849)*(T_PlannedOrders[WeekIndex]=80)*(T_PlannedOrders[EffectiveQty]&gt;0)*T_PlannedOrders[Order_Month])),"m月")&amp;"発注)")</f>
        <v/>
      </c>
      <c r="CF891">
        <f>IF(SUMIFS(T_PlannedOrders[EffectiveQty],T_PlannedOrders[Part Name],$A849,T_PlannedOrders[WeekIndex],81)=0,"",SUMIFS(T_PlannedOrders[EffectiveQty],T_PlannedOrders[Part Name],$A849,T_PlannedOrders[WeekIndex],81)&amp;" ("&amp;TEXT(SUMPRODUCT(MAX((T_PlannedOrders[Part Name]=$A849)*(T_PlannedOrders[WeekIndex]=81)*(T_PlannedOrders[EffectiveQty]&gt;0)*T_PlannedOrders[Order_Month])),"m月")&amp;"発注)")</f>
        <v/>
      </c>
      <c r="CG891">
        <f>IF(SUMIFS(T_PlannedOrders[EffectiveQty],T_PlannedOrders[Part Name],$A849,T_PlannedOrders[WeekIndex],82)=0,"",SUMIFS(T_PlannedOrders[EffectiveQty],T_PlannedOrders[Part Name],$A849,T_PlannedOrders[WeekIndex],82)&amp;" ("&amp;TEXT(SUMPRODUCT(MAX((T_PlannedOrders[Part Name]=$A849)*(T_PlannedOrders[WeekIndex]=82)*(T_PlannedOrders[EffectiveQty]&gt;0)*T_PlannedOrders[Order_Month])),"m月")&amp;"発注)")</f>
        <v/>
      </c>
      <c r="CH891">
        <f>IF(SUMIFS(T_PlannedOrders[EffectiveQty],T_PlannedOrders[Part Name],$A849,T_PlannedOrders[WeekIndex],83)=0,"",SUMIFS(T_PlannedOrders[EffectiveQty],T_PlannedOrders[Part Name],$A849,T_PlannedOrders[WeekIndex],83)&amp;" ("&amp;TEXT(SUMPRODUCT(MAX((T_PlannedOrders[Part Name]=$A849)*(T_PlannedOrders[WeekIndex]=83)*(T_PlannedOrders[EffectiveQty]&gt;0)*T_PlannedOrders[Order_Month])),"m月")&amp;"発注)")</f>
        <v/>
      </c>
      <c r="CI891">
        <f>IF(SUMIFS(T_PlannedOrders[EffectiveQty],T_PlannedOrders[Part Name],$A849,T_PlannedOrders[WeekIndex],84)=0,"",SUMIFS(T_PlannedOrders[EffectiveQty],T_PlannedOrders[Part Name],$A849,T_PlannedOrders[WeekIndex],84)&amp;" ("&amp;TEXT(SUMPRODUCT(MAX((T_PlannedOrders[Part Name]=$A849)*(T_PlannedOrders[WeekIndex]=84)*(T_PlannedOrders[EffectiveQty]&gt;0)*T_PlannedOrders[Order_Month])),"m月")&amp;"発注)")</f>
        <v/>
      </c>
      <c r="CJ891">
        <f>IF(SUMIFS(T_PlannedOrders[EffectiveQty],T_PlannedOrders[Part Name],$A849,T_PlannedOrders[WeekIndex],85)=0,"",SUMIFS(T_PlannedOrders[EffectiveQty],T_PlannedOrders[Part Name],$A849,T_PlannedOrders[WeekIndex],85)&amp;" ("&amp;TEXT(SUMPRODUCT(MAX((T_PlannedOrders[Part Name]=$A849)*(T_PlannedOrders[WeekIndex]=85)*(T_PlannedOrders[EffectiveQty]&gt;0)*T_PlannedOrders[Order_Month])),"m月")&amp;"発注)")</f>
        <v/>
      </c>
      <c r="CK891">
        <f>IF(SUMIFS(T_PlannedOrders[EffectiveQty],T_PlannedOrders[Part Name],$A849,T_PlannedOrders[WeekIndex],86)=0,"",SUMIFS(T_PlannedOrders[EffectiveQty],T_PlannedOrders[Part Name],$A849,T_PlannedOrders[WeekIndex],86)&amp;" ("&amp;TEXT(SUMPRODUCT(MAX((T_PlannedOrders[Part Name]=$A849)*(T_PlannedOrders[WeekIndex]=86)*(T_PlannedOrders[EffectiveQty]&gt;0)*T_PlannedOrders[Order_Month])),"m月")&amp;"発注)")</f>
        <v/>
      </c>
      <c r="CL891">
        <f>IF(SUMIFS(T_PlannedOrders[EffectiveQty],T_PlannedOrders[Part Name],$A849,T_PlannedOrders[WeekIndex],87)=0,"",SUMIFS(T_PlannedOrders[EffectiveQty],T_PlannedOrders[Part Name],$A849,T_PlannedOrders[WeekIndex],87)&amp;" ("&amp;TEXT(SUMPRODUCT(MAX((T_PlannedOrders[Part Name]=$A849)*(T_PlannedOrders[WeekIndex]=87)*(T_PlannedOrders[EffectiveQty]&gt;0)*T_PlannedOrders[Order_Month])),"m月")&amp;"発注)")</f>
        <v/>
      </c>
      <c r="CM891">
        <f>IF(SUMIFS(T_PlannedOrders[EffectiveQty],T_PlannedOrders[Part Name],$A849,T_PlannedOrders[WeekIndex],88)=0,"",SUMIFS(T_PlannedOrders[EffectiveQty],T_PlannedOrders[Part Name],$A849,T_PlannedOrders[WeekIndex],88)&amp;" ("&amp;TEXT(SUMPRODUCT(MAX((T_PlannedOrders[Part Name]=$A849)*(T_PlannedOrders[WeekIndex]=88)*(T_PlannedOrders[EffectiveQty]&gt;0)*T_PlannedOrders[Order_Month])),"m月")&amp;"発注)")</f>
        <v/>
      </c>
      <c r="CN891">
        <f>IF(SUMIFS(T_PlannedOrders[EffectiveQty],T_PlannedOrders[Part Name],$A849,T_PlannedOrders[WeekIndex],89)=0,"",SUMIFS(T_PlannedOrders[EffectiveQty],T_PlannedOrders[Part Name],$A849,T_PlannedOrders[WeekIndex],89)&amp;" ("&amp;TEXT(SUMPRODUCT(MAX((T_PlannedOrders[Part Name]=$A849)*(T_PlannedOrders[WeekIndex]=89)*(T_PlannedOrders[EffectiveQty]&gt;0)*T_PlannedOrders[Order_Month])),"m月")&amp;"発注)")</f>
        <v/>
      </c>
      <c r="CO891">
        <f>IF(SUMIFS(T_PlannedOrders[EffectiveQty],T_PlannedOrders[Part Name],$A849,T_PlannedOrders[WeekIndex],90)=0,"",SUMIFS(T_PlannedOrders[EffectiveQty],T_PlannedOrders[Part Name],$A849,T_PlannedOrders[WeekIndex],90)&amp;" ("&amp;TEXT(SUMPRODUCT(MAX((T_PlannedOrders[Part Name]=$A849)*(T_PlannedOrders[WeekIndex]=90)*(T_PlannedOrders[EffectiveQty]&gt;0)*T_PlannedOrders[Order_Month])),"m月")&amp;"発注)")</f>
        <v/>
      </c>
      <c r="CP891">
        <f>IF(SUMIFS(T_PlannedOrders[EffectiveQty],T_PlannedOrders[Part Name],$A849,T_PlannedOrders[WeekIndex],91)=0,"",SUMIFS(T_PlannedOrders[EffectiveQty],T_PlannedOrders[Part Name],$A849,T_PlannedOrders[WeekIndex],91)&amp;" ("&amp;TEXT(SUMPRODUCT(MAX((T_PlannedOrders[Part Name]=$A849)*(T_PlannedOrders[WeekIndex]=91)*(T_PlannedOrders[EffectiveQty]&gt;0)*T_PlannedOrders[Order_Month])),"m月")&amp;"発注)")</f>
        <v/>
      </c>
      <c r="CQ891">
        <f>IF(SUMIFS(T_PlannedOrders[EffectiveQty],T_PlannedOrders[Part Name],$A849,T_PlannedOrders[WeekIndex],92)=0,"",SUMIFS(T_PlannedOrders[EffectiveQty],T_PlannedOrders[Part Name],$A849,T_PlannedOrders[WeekIndex],92)&amp;" ("&amp;TEXT(SUMPRODUCT(MAX((T_PlannedOrders[Part Name]=$A849)*(T_PlannedOrders[WeekIndex]=92)*(T_PlannedOrders[EffectiveQty]&gt;0)*T_PlannedOrders[Order_Month])),"m月")&amp;"発注)")</f>
        <v/>
      </c>
      <c r="CR891">
        <f>IF(SUMIFS(T_PlannedOrders[EffectiveQty],T_PlannedOrders[Part Name],$A849,T_PlannedOrders[WeekIndex],93)=0,"",SUMIFS(T_PlannedOrders[EffectiveQty],T_PlannedOrders[Part Name],$A849,T_PlannedOrders[WeekIndex],93)&amp;" ("&amp;TEXT(SUMPRODUCT(MAX((T_PlannedOrders[Part Name]=$A849)*(T_PlannedOrders[WeekIndex]=93)*(T_PlannedOrders[EffectiveQty]&gt;0)*T_PlannedOrders[Order_Month])),"m月")&amp;"発注)")</f>
        <v/>
      </c>
      <c r="CS891">
        <f>IF(SUMIFS(T_PlannedOrders[EffectiveQty],T_PlannedOrders[Part Name],$A849,T_PlannedOrders[WeekIndex],94)=0,"",SUMIFS(T_PlannedOrders[EffectiveQty],T_PlannedOrders[Part Name],$A849,T_PlannedOrders[WeekIndex],94)&amp;" ("&amp;TEXT(SUMPRODUCT(MAX((T_PlannedOrders[Part Name]=$A849)*(T_PlannedOrders[WeekIndex]=94)*(T_PlannedOrders[EffectiveQty]&gt;0)*T_PlannedOrders[Order_Month])),"m月")&amp;"発注)")</f>
        <v/>
      </c>
      <c r="CT891">
        <f>IF(SUMIFS(T_PlannedOrders[EffectiveQty],T_PlannedOrders[Part Name],$A849,T_PlannedOrders[WeekIndex],95)=0,"",SUMIFS(T_PlannedOrders[EffectiveQty],T_PlannedOrders[Part Name],$A849,T_PlannedOrders[WeekIndex],95)&amp;" ("&amp;TEXT(SUMPRODUCT(MAX((T_PlannedOrders[Part Name]=$A849)*(T_PlannedOrders[WeekIndex]=95)*(T_PlannedOrders[EffectiveQty]&gt;0)*T_PlannedOrders[Order_Month])),"m月")&amp;"発注)")</f>
        <v/>
      </c>
      <c r="CU891">
        <f>IF(SUMIFS(T_PlannedOrders[EffectiveQty],T_PlannedOrders[Part Name],$A849,T_PlannedOrders[WeekIndex],96)=0,"",SUMIFS(T_PlannedOrders[EffectiveQty],T_PlannedOrders[Part Name],$A849,T_PlannedOrders[WeekIndex],96)&amp;" ("&amp;TEXT(SUMPRODUCT(MAX((T_PlannedOrders[Part Name]=$A849)*(T_PlannedOrders[WeekIndex]=96)*(T_PlannedOrders[EffectiveQty]&gt;0)*T_PlannedOrders[Order_Month])),"m月")&amp;"発注)")</f>
        <v/>
      </c>
      <c r="CV891">
        <f>IF(SUMIFS(T_PlannedOrders[EffectiveQty],T_PlannedOrders[Part Name],$A849,T_PlannedOrders[WeekIndex],97)=0,"",SUMIFS(T_PlannedOrders[EffectiveQty],T_PlannedOrders[Part Name],$A849,T_PlannedOrders[WeekIndex],97)&amp;" ("&amp;TEXT(SUMPRODUCT(MAX((T_PlannedOrders[Part Name]=$A849)*(T_PlannedOrders[WeekIndex]=97)*(T_PlannedOrders[EffectiveQty]&gt;0)*T_PlannedOrders[Order_Month])),"m月")&amp;"発注)")</f>
        <v/>
      </c>
      <c r="CW891">
        <f>IF(SUMIFS(T_PlannedOrders[EffectiveQty],T_PlannedOrders[Part Name],$A849,T_PlannedOrders[WeekIndex],98)=0,"",SUMIFS(T_PlannedOrders[EffectiveQty],T_PlannedOrders[Part Name],$A849,T_PlannedOrders[WeekIndex],98)&amp;" ("&amp;TEXT(SUMPRODUCT(MAX((T_PlannedOrders[Part Name]=$A849)*(T_PlannedOrders[WeekIndex]=98)*(T_PlannedOrders[EffectiveQty]&gt;0)*T_PlannedOrders[Order_Month])),"m月")&amp;"発注)")</f>
        <v/>
      </c>
      <c r="CX891">
        <f>IF(SUMIFS(T_PlannedOrders[EffectiveQty],T_PlannedOrders[Part Name],$A849,T_PlannedOrders[WeekIndex],99)=0,"",SUMIFS(T_PlannedOrders[EffectiveQty],T_PlannedOrders[Part Name],$A849,T_PlannedOrders[WeekIndex],99)&amp;" ("&amp;TEXT(SUMPRODUCT(MAX((T_PlannedOrders[Part Name]=$A849)*(T_PlannedOrders[WeekIndex]=99)*(T_PlannedOrders[EffectiveQty]&gt;0)*T_PlannedOrders[Order_Month])),"m月")&amp;"発注)")</f>
        <v/>
      </c>
      <c r="CY891">
        <f>IF(SUMIFS(T_PlannedOrders[EffectiveQty],T_PlannedOrders[Part Name],$A849,T_PlannedOrders[WeekIndex],100)=0,"",SUMIFS(T_PlannedOrders[EffectiveQty],T_PlannedOrders[Part Name],$A849,T_PlannedOrders[WeekIndex],100)&amp;" ("&amp;TEXT(SUMPRODUCT(MAX((T_PlannedOrders[Part Name]=$A849)*(T_PlannedOrders[WeekIndex]=100)*(T_PlannedOrders[EffectiveQty]&gt;0)*T_PlannedOrders[Order_Month])),"m月")&amp;"発注)")</f>
        <v/>
      </c>
      <c r="CZ891">
        <f>IF(SUMIFS(T_PlannedOrders[EffectiveQty],T_PlannedOrders[Part Name],$A849,T_PlannedOrders[WeekIndex],101)=0,"",SUMIFS(T_PlannedOrders[EffectiveQty],T_PlannedOrders[Part Name],$A849,T_PlannedOrders[WeekIndex],101)&amp;" ("&amp;TEXT(SUMPRODUCT(MAX((T_PlannedOrders[Part Name]=$A849)*(T_PlannedOrders[WeekIndex]=101)*(T_PlannedOrders[EffectiveQty]&gt;0)*T_PlannedOrders[Order_Month])),"m月")&amp;"発注)")</f>
        <v/>
      </c>
      <c r="DA891">
        <f>IF(SUMIFS(T_PlannedOrders[EffectiveQty],T_PlannedOrders[Part Name],$A849,T_PlannedOrders[WeekIndex],102)=0,"",SUMIFS(T_PlannedOrders[EffectiveQty],T_PlannedOrders[Part Name],$A849,T_PlannedOrders[WeekIndex],102)&amp;" ("&amp;TEXT(SUMPRODUCT(MAX((T_PlannedOrders[Part Name]=$A849)*(T_PlannedOrders[WeekIndex]=102)*(T_PlannedOrders[EffectiveQty]&gt;0)*T_PlannedOrders[Order_Month])),"m月")&amp;"発注)")</f>
        <v/>
      </c>
      <c r="DB891">
        <f>IF(SUMIFS(T_PlannedOrders[EffectiveQty],T_PlannedOrders[Part Name],$A849,T_PlannedOrders[WeekIndex],103)=0,"",SUMIFS(T_PlannedOrders[EffectiveQty],T_PlannedOrders[Part Name],$A849,T_PlannedOrders[WeekIndex],103)&amp;" ("&amp;TEXT(SUMPRODUCT(MAX((T_PlannedOrders[Part Name]=$A849)*(T_PlannedOrders[WeekIndex]=103)*(T_PlannedOrders[EffectiveQty]&gt;0)*T_PlannedOrders[Order_Month])),"m月")&amp;"発注)")</f>
        <v/>
      </c>
      <c r="DC891">
        <f>IF(SUMIFS(T_PlannedOrders[EffectiveQty],T_PlannedOrders[Part Name],$A849,T_PlannedOrders[WeekIndex],104)=0,"",SUMIFS(T_PlannedOrders[EffectiveQty],T_PlannedOrders[Part Name],$A849,T_PlannedOrders[WeekIndex],104)&amp;" ("&amp;TEXT(SUMPRODUCT(MAX((T_PlannedOrders[Part Name]=$A849)*(T_PlannedOrders[WeekIndex]=104)*(T_PlannedOrders[EffectiveQty]&gt;0)*T_PlannedOrders[Order_Month])),"m月")&amp;"発注)")</f>
        <v/>
      </c>
    </row>
    <row r="892">
      <c r="B892" s="4" t="inlineStr">
        <is>
          <t>合計在庫(週末時点,kg)</t>
        </is>
      </c>
      <c r="D892">
        <f>'Grid_Stock'!B7</f>
        <v/>
      </c>
      <c r="E892">
        <f>'Grid_Stock'!C7</f>
        <v/>
      </c>
      <c r="F892">
        <f>'Grid_Stock'!D7</f>
        <v/>
      </c>
      <c r="G892">
        <f>'Grid_Stock'!E7</f>
        <v/>
      </c>
      <c r="H892">
        <f>'Grid_Stock'!F7</f>
        <v/>
      </c>
      <c r="I892">
        <f>'Grid_Stock'!G7</f>
        <v/>
      </c>
      <c r="J892">
        <f>'Grid_Stock'!H7</f>
        <v/>
      </c>
      <c r="K892">
        <f>'Grid_Stock'!I7</f>
        <v/>
      </c>
      <c r="L892">
        <f>'Grid_Stock'!J7</f>
        <v/>
      </c>
      <c r="M892">
        <f>'Grid_Stock'!K7</f>
        <v/>
      </c>
      <c r="N892">
        <f>'Grid_Stock'!L7</f>
        <v/>
      </c>
      <c r="O892">
        <f>'Grid_Stock'!M7</f>
        <v/>
      </c>
      <c r="P892">
        <f>'Grid_Stock'!N7</f>
        <v/>
      </c>
      <c r="Q892">
        <f>'Grid_Stock'!O7</f>
        <v/>
      </c>
      <c r="R892">
        <f>'Grid_Stock'!P7</f>
        <v/>
      </c>
      <c r="S892">
        <f>'Grid_Stock'!Q7</f>
        <v/>
      </c>
      <c r="T892">
        <f>'Grid_Stock'!R7</f>
        <v/>
      </c>
      <c r="U892">
        <f>'Grid_Stock'!S7</f>
        <v/>
      </c>
      <c r="V892">
        <f>'Grid_Stock'!T7</f>
        <v/>
      </c>
      <c r="W892">
        <f>'Grid_Stock'!U7</f>
        <v/>
      </c>
      <c r="X892">
        <f>'Grid_Stock'!V7</f>
        <v/>
      </c>
      <c r="Y892">
        <f>'Grid_Stock'!W7</f>
        <v/>
      </c>
      <c r="Z892">
        <f>'Grid_Stock'!X7</f>
        <v/>
      </c>
      <c r="AA892">
        <f>'Grid_Stock'!Y7</f>
        <v/>
      </c>
      <c r="AB892">
        <f>'Grid_Stock'!Z7</f>
        <v/>
      </c>
      <c r="AC892">
        <f>'Grid_Stock'!AA7</f>
        <v/>
      </c>
      <c r="AD892">
        <f>'Grid_Stock'!AB7</f>
        <v/>
      </c>
      <c r="AE892">
        <f>'Grid_Stock'!AC7</f>
        <v/>
      </c>
      <c r="AF892">
        <f>'Grid_Stock'!AD7</f>
        <v/>
      </c>
      <c r="AG892">
        <f>'Grid_Stock'!AE7</f>
        <v/>
      </c>
      <c r="AH892">
        <f>'Grid_Stock'!AF7</f>
        <v/>
      </c>
      <c r="AI892">
        <f>'Grid_Stock'!AG7</f>
        <v/>
      </c>
      <c r="AJ892">
        <f>'Grid_Stock'!AH7</f>
        <v/>
      </c>
      <c r="AK892">
        <f>'Grid_Stock'!AI7</f>
        <v/>
      </c>
      <c r="AL892">
        <f>'Grid_Stock'!AJ7</f>
        <v/>
      </c>
      <c r="AM892">
        <f>'Grid_Stock'!AK7</f>
        <v/>
      </c>
      <c r="AN892">
        <f>'Grid_Stock'!AL7</f>
        <v/>
      </c>
      <c r="AO892">
        <f>'Grid_Stock'!AM7</f>
        <v/>
      </c>
      <c r="AP892">
        <f>'Grid_Stock'!AN7</f>
        <v/>
      </c>
      <c r="AQ892">
        <f>'Grid_Stock'!AO7</f>
        <v/>
      </c>
      <c r="AR892">
        <f>'Grid_Stock'!AP7</f>
        <v/>
      </c>
      <c r="AS892">
        <f>'Grid_Stock'!AQ7</f>
        <v/>
      </c>
      <c r="AT892">
        <f>'Grid_Stock'!AR7</f>
        <v/>
      </c>
      <c r="AU892">
        <f>'Grid_Stock'!AS7</f>
        <v/>
      </c>
      <c r="AV892">
        <f>'Grid_Stock'!AT7</f>
        <v/>
      </c>
      <c r="AW892">
        <f>'Grid_Stock'!AU7</f>
        <v/>
      </c>
      <c r="AX892">
        <f>'Grid_Stock'!AV7</f>
        <v/>
      </c>
      <c r="AY892">
        <f>'Grid_Stock'!AW7</f>
        <v/>
      </c>
      <c r="AZ892">
        <f>'Grid_Stock'!AX7</f>
        <v/>
      </c>
      <c r="BA892">
        <f>'Grid_Stock'!AY7</f>
        <v/>
      </c>
      <c r="BB892">
        <f>'Grid_Stock'!AZ7</f>
        <v/>
      </c>
      <c r="BC892">
        <f>'Grid_Stock'!BA7</f>
        <v/>
      </c>
      <c r="BD892">
        <f>'Grid_Stock'!BB7</f>
        <v/>
      </c>
      <c r="BE892">
        <f>'Grid_Stock'!BC7</f>
        <v/>
      </c>
      <c r="BF892">
        <f>'Grid_Stock'!BD7</f>
        <v/>
      </c>
      <c r="BG892">
        <f>'Grid_Stock'!BE7</f>
        <v/>
      </c>
      <c r="BH892">
        <f>'Grid_Stock'!BF7</f>
        <v/>
      </c>
      <c r="BI892">
        <f>'Grid_Stock'!BG7</f>
        <v/>
      </c>
      <c r="BJ892">
        <f>'Grid_Stock'!BH7</f>
        <v/>
      </c>
      <c r="BK892">
        <f>'Grid_Stock'!BI7</f>
        <v/>
      </c>
      <c r="BL892">
        <f>'Grid_Stock'!BJ7</f>
        <v/>
      </c>
      <c r="BM892">
        <f>'Grid_Stock'!BK7</f>
        <v/>
      </c>
      <c r="BN892">
        <f>'Grid_Stock'!BL7</f>
        <v/>
      </c>
      <c r="BO892">
        <f>'Grid_Stock'!BM7</f>
        <v/>
      </c>
      <c r="BP892">
        <f>'Grid_Stock'!BN7</f>
        <v/>
      </c>
      <c r="BQ892">
        <f>'Grid_Stock'!BO7</f>
        <v/>
      </c>
      <c r="BR892">
        <f>'Grid_Stock'!BP7</f>
        <v/>
      </c>
      <c r="BS892">
        <f>'Grid_Stock'!BQ7</f>
        <v/>
      </c>
      <c r="BT892">
        <f>'Grid_Stock'!BR7</f>
        <v/>
      </c>
      <c r="BU892">
        <f>'Grid_Stock'!BS7</f>
        <v/>
      </c>
      <c r="BV892">
        <f>'Grid_Stock'!BT7</f>
        <v/>
      </c>
      <c r="BW892">
        <f>'Grid_Stock'!BU7</f>
        <v/>
      </c>
      <c r="BX892">
        <f>'Grid_Stock'!BV7</f>
        <v/>
      </c>
      <c r="BY892">
        <f>'Grid_Stock'!BW7</f>
        <v/>
      </c>
      <c r="BZ892">
        <f>'Grid_Stock'!BX7</f>
        <v/>
      </c>
      <c r="CA892">
        <f>'Grid_Stock'!BY7</f>
        <v/>
      </c>
      <c r="CB892">
        <f>'Grid_Stock'!BZ7</f>
        <v/>
      </c>
      <c r="CC892">
        <f>'Grid_Stock'!CA7</f>
        <v/>
      </c>
      <c r="CD892">
        <f>'Grid_Stock'!CB7</f>
        <v/>
      </c>
      <c r="CE892">
        <f>'Grid_Stock'!CC7</f>
        <v/>
      </c>
      <c r="CF892">
        <f>'Grid_Stock'!CD7</f>
        <v/>
      </c>
      <c r="CG892">
        <f>'Grid_Stock'!CE7</f>
        <v/>
      </c>
      <c r="CH892">
        <f>'Grid_Stock'!CF7</f>
        <v/>
      </c>
      <c r="CI892">
        <f>'Grid_Stock'!CG7</f>
        <v/>
      </c>
      <c r="CJ892">
        <f>'Grid_Stock'!CH7</f>
        <v/>
      </c>
      <c r="CK892">
        <f>'Grid_Stock'!CI7</f>
        <v/>
      </c>
      <c r="CL892">
        <f>'Grid_Stock'!CJ7</f>
        <v/>
      </c>
      <c r="CM892">
        <f>'Grid_Stock'!CK7</f>
        <v/>
      </c>
      <c r="CN892">
        <f>'Grid_Stock'!CL7</f>
        <v/>
      </c>
      <c r="CO892">
        <f>'Grid_Stock'!CM7</f>
        <v/>
      </c>
      <c r="CP892">
        <f>'Grid_Stock'!CN7</f>
        <v/>
      </c>
      <c r="CQ892">
        <f>'Grid_Stock'!CO7</f>
        <v/>
      </c>
      <c r="CR892">
        <f>'Grid_Stock'!CP7</f>
        <v/>
      </c>
      <c r="CS892">
        <f>'Grid_Stock'!CQ7</f>
        <v/>
      </c>
      <c r="CT892">
        <f>'Grid_Stock'!CR7</f>
        <v/>
      </c>
      <c r="CU892">
        <f>'Grid_Stock'!CS7</f>
        <v/>
      </c>
      <c r="CV892">
        <f>'Grid_Stock'!CT7</f>
        <v/>
      </c>
      <c r="CW892">
        <f>'Grid_Stock'!CU7</f>
        <v/>
      </c>
      <c r="CX892">
        <f>'Grid_Stock'!CV7</f>
        <v/>
      </c>
      <c r="CY892">
        <f>'Grid_Stock'!CW7</f>
        <v/>
      </c>
      <c r="CZ892">
        <f>'Grid_Stock'!CX7</f>
        <v/>
      </c>
      <c r="DA892">
        <f>'Grid_Stock'!CY7</f>
        <v/>
      </c>
      <c r="DB892">
        <f>'Grid_Stock'!CZ7</f>
        <v/>
      </c>
      <c r="DC892">
        <f>'Grid_Stock'!DA7</f>
        <v/>
      </c>
    </row>
    <row r="893">
      <c r="B893" s="16" t="inlineStr">
        <is>
          <t>（発注の目安はDashboardの基準在庫[下限/上限]と色分けを参照）</t>
        </is>
      </c>
    </row>
    <row r="895">
      <c r="A895" s="14" t="inlineStr">
        <is>
          <t>CHEM-1700</t>
        </is>
      </c>
      <c r="B895" s="14" t="inlineStr">
        <is>
          <t>TepyrusCT38</t>
        </is>
      </c>
      <c r="C895" s="15" t="n"/>
      <c r="D895" s="14" t="n"/>
      <c r="E895" s="14" t="n"/>
      <c r="F895" s="14" t="n"/>
      <c r="G895" s="14" t="n"/>
      <c r="H895" s="14" t="n"/>
      <c r="I895" s="14" t="n"/>
      <c r="J895" s="14" t="n"/>
      <c r="K895" s="14" t="n"/>
      <c r="L895" s="14" t="n"/>
      <c r="M895" s="14" t="n"/>
      <c r="N895" s="14" t="n"/>
      <c r="O895" s="14" t="n"/>
      <c r="P895" s="14" t="n"/>
      <c r="Q895" s="14" t="n"/>
      <c r="R895" s="14" t="n"/>
      <c r="S895" s="14" t="n"/>
      <c r="T895" s="14" t="n"/>
      <c r="U895" s="14" t="n"/>
      <c r="V895" s="14" t="n"/>
      <c r="W895" s="14" t="n"/>
      <c r="X895" s="14" t="n"/>
      <c r="Y895" s="14" t="n"/>
      <c r="Z895" s="14" t="n"/>
      <c r="AA895" s="14" t="n"/>
      <c r="AB895" s="14" t="n"/>
      <c r="AC895" s="14" t="n"/>
      <c r="AD895" s="14" t="n"/>
      <c r="AE895" s="14" t="n"/>
      <c r="AF895" s="14" t="n"/>
      <c r="AG895" s="14" t="n"/>
      <c r="AH895" s="14" t="n"/>
      <c r="AI895" s="14" t="n"/>
      <c r="AJ895" s="14" t="n"/>
      <c r="AK895" s="14" t="n"/>
      <c r="AL895" s="14" t="n"/>
      <c r="AM895" s="14" t="n"/>
      <c r="AN895" s="14" t="n"/>
      <c r="AO895" s="14" t="n"/>
      <c r="AP895" s="14" t="n"/>
      <c r="AQ895" s="14" t="n"/>
      <c r="AR895" s="14" t="n"/>
      <c r="AS895" s="14" t="n"/>
      <c r="AT895" s="14" t="n"/>
      <c r="AU895" s="14" t="n"/>
      <c r="AV895" s="14" t="n"/>
      <c r="AW895" s="14" t="n"/>
      <c r="AX895" s="14" t="n"/>
      <c r="AY895" s="14" t="n"/>
      <c r="AZ895" s="14" t="n"/>
      <c r="BA895" s="14" t="n"/>
      <c r="BB895" s="14" t="n"/>
      <c r="BC895" s="14" t="n"/>
      <c r="BD895" s="14" t="n"/>
      <c r="BE895" s="14" t="n"/>
      <c r="BF895" s="14" t="n"/>
      <c r="BG895" s="14" t="n"/>
      <c r="BH895" s="14" t="n"/>
      <c r="BI895" s="14" t="n"/>
      <c r="BJ895" s="14" t="n"/>
      <c r="BK895" s="14" t="n"/>
      <c r="BL895" s="14" t="n"/>
      <c r="BM895" s="14" t="n"/>
      <c r="BN895" s="14" t="n"/>
      <c r="BO895" s="14" t="n"/>
      <c r="BP895" s="14" t="n"/>
      <c r="BQ895" s="14" t="n"/>
      <c r="BR895" s="14" t="n"/>
      <c r="BS895" s="14" t="n"/>
      <c r="BT895" s="14" t="n"/>
      <c r="BU895" s="14" t="n"/>
      <c r="BV895" s="14" t="n"/>
      <c r="BW895" s="14" t="n"/>
      <c r="BX895" s="14" t="n"/>
      <c r="BY895" s="14" t="n"/>
      <c r="BZ895" s="14" t="n"/>
      <c r="CA895" s="14" t="n"/>
      <c r="CB895" s="14" t="n"/>
      <c r="CC895" s="14" t="n"/>
      <c r="CD895" s="14" t="n"/>
      <c r="CE895" s="14" t="n"/>
      <c r="CF895" s="14" t="n"/>
      <c r="CG895" s="14" t="n"/>
      <c r="CH895" s="14" t="n"/>
      <c r="CI895" s="14" t="n"/>
      <c r="CJ895" s="14" t="n"/>
      <c r="CK895" s="14" t="n"/>
      <c r="CL895" s="14" t="n"/>
      <c r="CM895" s="14" t="n"/>
      <c r="CN895" s="14" t="n"/>
      <c r="CO895" s="14" t="n"/>
      <c r="CP895" s="14" t="n"/>
      <c r="CQ895" s="14" t="n"/>
      <c r="CR895" s="14" t="n"/>
      <c r="CS895" s="14" t="n"/>
      <c r="CT895" s="14" t="n"/>
      <c r="CU895" s="14" t="n"/>
      <c r="CV895" s="14" t="n"/>
      <c r="CW895" s="14" t="n"/>
      <c r="CX895" s="14" t="n"/>
      <c r="CY895" s="14" t="n"/>
      <c r="CZ895" s="14" t="n"/>
      <c r="DA895" s="14" t="n"/>
      <c r="DB895" s="14" t="n"/>
      <c r="DC895" s="14" t="n"/>
    </row>
    <row r="896">
      <c r="B896" t="inlineStr">
        <is>
          <t>TSP-620</t>
        </is>
      </c>
      <c r="C896" t="inlineStr">
        <is>
          <t>No. of batches</t>
        </is>
      </c>
      <c r="D896">
        <f>IFERROR(INDEX(PP_Grid[#Data],$DD896,2),0)</f>
        <v/>
      </c>
      <c r="E896">
        <f>IFERROR(INDEX(PP_Grid[#Data],$DD896,3),0)</f>
        <v/>
      </c>
      <c r="F896">
        <f>IFERROR(INDEX(PP_Grid[#Data],$DD896,4),0)</f>
        <v/>
      </c>
      <c r="G896">
        <f>IFERROR(INDEX(PP_Grid[#Data],$DD896,5),0)</f>
        <v/>
      </c>
      <c r="H896">
        <f>IFERROR(INDEX(PP_Grid[#Data],$DD896,6),0)</f>
        <v/>
      </c>
      <c r="I896">
        <f>IFERROR(INDEX(PP_Grid[#Data],$DD896,7),0)</f>
        <v/>
      </c>
      <c r="J896">
        <f>IFERROR(INDEX(PP_Grid[#Data],$DD896,8),0)</f>
        <v/>
      </c>
      <c r="K896">
        <f>IFERROR(INDEX(PP_Grid[#Data],$DD896,9),0)</f>
        <v/>
      </c>
      <c r="L896">
        <f>IFERROR(INDEX(PP_Grid[#Data],$DD896,10),0)</f>
        <v/>
      </c>
      <c r="M896">
        <f>IFERROR(INDEX(PP_Grid[#Data],$DD896,11),0)</f>
        <v/>
      </c>
      <c r="N896">
        <f>IFERROR(INDEX(PP_Grid[#Data],$DD896,12),0)</f>
        <v/>
      </c>
      <c r="O896">
        <f>IFERROR(INDEX(PP_Grid[#Data],$DD896,13),0)</f>
        <v/>
      </c>
      <c r="P896">
        <f>IFERROR(INDEX(PP_Grid[#Data],$DD896,14),0)</f>
        <v/>
      </c>
      <c r="Q896">
        <f>IFERROR(INDEX(PP_Grid[#Data],$DD896,15),0)</f>
        <v/>
      </c>
      <c r="R896">
        <f>IFERROR(INDEX(PP_Grid[#Data],$DD896,16),0)</f>
        <v/>
      </c>
      <c r="S896">
        <f>IFERROR(INDEX(PP_Grid[#Data],$DD896,17),0)</f>
        <v/>
      </c>
      <c r="T896">
        <f>IFERROR(INDEX(PP_Grid[#Data],$DD896,18),0)</f>
        <v/>
      </c>
      <c r="U896">
        <f>IFERROR(INDEX(PP_Grid[#Data],$DD896,19),0)</f>
        <v/>
      </c>
      <c r="V896">
        <f>IFERROR(INDEX(PP_Grid[#Data],$DD896,20),0)</f>
        <v/>
      </c>
      <c r="W896">
        <f>IFERROR(INDEX(PP_Grid[#Data],$DD896,21),0)</f>
        <v/>
      </c>
      <c r="X896">
        <f>IFERROR(INDEX(PP_Grid[#Data],$DD896,22),0)</f>
        <v/>
      </c>
      <c r="Y896">
        <f>IFERROR(INDEX(PP_Grid[#Data],$DD896,23),0)</f>
        <v/>
      </c>
      <c r="Z896">
        <f>IFERROR(INDEX(PP_Grid[#Data],$DD896,24),0)</f>
        <v/>
      </c>
      <c r="AA896">
        <f>IFERROR(INDEX(PP_Grid[#Data],$DD896,25),0)</f>
        <v/>
      </c>
      <c r="AB896">
        <f>IFERROR(INDEX(PP_Grid[#Data],$DD896,26),0)</f>
        <v/>
      </c>
      <c r="AC896">
        <f>IFERROR(INDEX(PP_Grid[#Data],$DD896,27),0)</f>
        <v/>
      </c>
      <c r="AD896">
        <f>IFERROR(INDEX(PP_Grid[#Data],$DD896,28),0)</f>
        <v/>
      </c>
      <c r="AE896">
        <f>IFERROR(INDEX(PP_Grid[#Data],$DD896,29),0)</f>
        <v/>
      </c>
      <c r="AF896">
        <f>IFERROR(INDEX(PP_Grid[#Data],$DD896,30),0)</f>
        <v/>
      </c>
      <c r="AG896">
        <f>IFERROR(INDEX(PP_Grid[#Data],$DD896,31),0)</f>
        <v/>
      </c>
      <c r="AH896">
        <f>IFERROR(INDEX(PP_Grid[#Data],$DD896,32),0)</f>
        <v/>
      </c>
      <c r="AI896">
        <f>IFERROR(INDEX(PP_Grid[#Data],$DD896,33),0)</f>
        <v/>
      </c>
      <c r="AJ896">
        <f>IFERROR(INDEX(PP_Grid[#Data],$DD896,34),0)</f>
        <v/>
      </c>
      <c r="AK896">
        <f>IFERROR(INDEX(PP_Grid[#Data],$DD896,35),0)</f>
        <v/>
      </c>
      <c r="AL896">
        <f>IFERROR(INDEX(PP_Grid[#Data],$DD896,36),0)</f>
        <v/>
      </c>
      <c r="AM896">
        <f>IFERROR(INDEX(PP_Grid[#Data],$DD896,37),0)</f>
        <v/>
      </c>
      <c r="AN896">
        <f>IFERROR(INDEX(PP_Grid[#Data],$DD896,38),0)</f>
        <v/>
      </c>
      <c r="AO896">
        <f>IFERROR(INDEX(PP_Grid[#Data],$DD896,39),0)</f>
        <v/>
      </c>
      <c r="AP896">
        <f>IFERROR(INDEX(PP_Grid[#Data],$DD896,40),0)</f>
        <v/>
      </c>
      <c r="AQ896">
        <f>IFERROR(INDEX(PP_Grid[#Data],$DD896,41),0)</f>
        <v/>
      </c>
      <c r="AR896">
        <f>IFERROR(INDEX(PP_Grid[#Data],$DD896,42),0)</f>
        <v/>
      </c>
      <c r="AS896">
        <f>IFERROR(INDEX(PP_Grid[#Data],$DD896,43),0)</f>
        <v/>
      </c>
      <c r="AT896">
        <f>IFERROR(INDEX(PP_Grid[#Data],$DD896,44),0)</f>
        <v/>
      </c>
      <c r="AU896">
        <f>IFERROR(INDEX(PP_Grid[#Data],$DD896,45),0)</f>
        <v/>
      </c>
      <c r="AV896">
        <f>IFERROR(INDEX(PP_Grid[#Data],$DD896,46),0)</f>
        <v/>
      </c>
      <c r="AW896">
        <f>IFERROR(INDEX(PP_Grid[#Data],$DD896,47),0)</f>
        <v/>
      </c>
      <c r="AX896">
        <f>IFERROR(INDEX(PP_Grid[#Data],$DD896,48),0)</f>
        <v/>
      </c>
      <c r="AY896">
        <f>IFERROR(INDEX(PP_Grid[#Data],$DD896,49),0)</f>
        <v/>
      </c>
      <c r="AZ896">
        <f>IFERROR(INDEX(PP_Grid[#Data],$DD896,50),0)</f>
        <v/>
      </c>
      <c r="BA896">
        <f>IFERROR(INDEX(PP_Grid[#Data],$DD896,51),0)</f>
        <v/>
      </c>
      <c r="BB896">
        <f>IFERROR(INDEX(PP_Grid[#Data],$DD896,52),0)</f>
        <v/>
      </c>
      <c r="BC896">
        <f>IFERROR(INDEX(PP_Grid[#Data],$DD896,53),0)</f>
        <v/>
      </c>
      <c r="BD896">
        <f>IFERROR(INDEX(PP_Grid[#Data],$DD896,54),0)</f>
        <v/>
      </c>
      <c r="BE896">
        <f>IFERROR(INDEX(PP_Grid[#Data],$DD896,55),0)</f>
        <v/>
      </c>
      <c r="BF896">
        <f>IFERROR(INDEX(PP_Grid[#Data],$DD896,56),0)</f>
        <v/>
      </c>
      <c r="BG896">
        <f>IFERROR(INDEX(PP_Grid[#Data],$DD896,57),0)</f>
        <v/>
      </c>
      <c r="BH896">
        <f>IFERROR(INDEX(PP_Grid[#Data],$DD896,58),0)</f>
        <v/>
      </c>
      <c r="BI896">
        <f>IFERROR(INDEX(PP_Grid[#Data],$DD896,59),0)</f>
        <v/>
      </c>
      <c r="BJ896">
        <f>IFERROR(INDEX(PP_Grid[#Data],$DD896,60),0)</f>
        <v/>
      </c>
      <c r="BK896">
        <f>IFERROR(INDEX(PP_Grid[#Data],$DD896,61),0)</f>
        <v/>
      </c>
      <c r="BL896">
        <f>IFERROR(INDEX(PP_Grid[#Data],$DD896,62),0)</f>
        <v/>
      </c>
      <c r="BM896">
        <f>IFERROR(INDEX(PP_Grid[#Data],$DD896,63),0)</f>
        <v/>
      </c>
      <c r="BN896">
        <f>IFERROR(INDEX(PP_Grid[#Data],$DD896,64),0)</f>
        <v/>
      </c>
      <c r="BO896">
        <f>IFERROR(INDEX(PP_Grid[#Data],$DD896,65),0)</f>
        <v/>
      </c>
      <c r="BP896">
        <f>IFERROR(INDEX(PP_Grid[#Data],$DD896,66),0)</f>
        <v/>
      </c>
      <c r="BQ896">
        <f>IFERROR(INDEX(PP_Grid[#Data],$DD896,67),0)</f>
        <v/>
      </c>
      <c r="BR896">
        <f>IFERROR(INDEX(PP_Grid[#Data],$DD896,68),0)</f>
        <v/>
      </c>
      <c r="BS896">
        <f>IFERROR(INDEX(PP_Grid[#Data],$DD896,69),0)</f>
        <v/>
      </c>
      <c r="BT896">
        <f>IFERROR(INDEX(PP_Grid[#Data],$DD896,70),0)</f>
        <v/>
      </c>
      <c r="BU896">
        <f>IFERROR(INDEX(PP_Grid[#Data],$DD896,71),0)</f>
        <v/>
      </c>
      <c r="BV896">
        <f>IFERROR(INDEX(PP_Grid[#Data],$DD896,72),0)</f>
        <v/>
      </c>
      <c r="BW896">
        <f>IFERROR(INDEX(PP_Grid[#Data],$DD896,73),0)</f>
        <v/>
      </c>
      <c r="BX896">
        <f>IFERROR(INDEX(PP_Grid[#Data],$DD896,74),0)</f>
        <v/>
      </c>
      <c r="BY896">
        <f>IFERROR(INDEX(PP_Grid[#Data],$DD896,75),0)</f>
        <v/>
      </c>
      <c r="BZ896">
        <f>IFERROR(INDEX(PP_Grid[#Data],$DD896,76),0)</f>
        <v/>
      </c>
      <c r="CA896">
        <f>IFERROR(INDEX(PP_Grid[#Data],$DD896,77),0)</f>
        <v/>
      </c>
      <c r="CB896">
        <f>IFERROR(INDEX(PP_Grid[#Data],$DD896,78),0)</f>
        <v/>
      </c>
      <c r="CC896">
        <f>IFERROR(INDEX(PP_Grid[#Data],$DD896,79),0)</f>
        <v/>
      </c>
      <c r="CD896">
        <f>IFERROR(INDEX(PP_Grid[#Data],$DD896,80),0)</f>
        <v/>
      </c>
      <c r="CE896">
        <f>IFERROR(INDEX(PP_Grid[#Data],$DD896,81),0)</f>
        <v/>
      </c>
      <c r="CF896">
        <f>IFERROR(INDEX(PP_Grid[#Data],$DD896,82),0)</f>
        <v/>
      </c>
      <c r="CG896">
        <f>IFERROR(INDEX(PP_Grid[#Data],$DD896,83),0)</f>
        <v/>
      </c>
      <c r="CH896">
        <f>IFERROR(INDEX(PP_Grid[#Data],$DD896,84),0)</f>
        <v/>
      </c>
      <c r="CI896">
        <f>IFERROR(INDEX(PP_Grid[#Data],$DD896,85),0)</f>
        <v/>
      </c>
      <c r="CJ896">
        <f>IFERROR(INDEX(PP_Grid[#Data],$DD896,86),0)</f>
        <v/>
      </c>
      <c r="CK896">
        <f>IFERROR(INDEX(PP_Grid[#Data],$DD896,87),0)</f>
        <v/>
      </c>
      <c r="CL896">
        <f>IFERROR(INDEX(PP_Grid[#Data],$DD896,88),0)</f>
        <v/>
      </c>
      <c r="CM896">
        <f>IFERROR(INDEX(PP_Grid[#Data],$DD896,89),0)</f>
        <v/>
      </c>
      <c r="CN896">
        <f>IFERROR(INDEX(PP_Grid[#Data],$DD896,90),0)</f>
        <v/>
      </c>
      <c r="CO896">
        <f>IFERROR(INDEX(PP_Grid[#Data],$DD896,91),0)</f>
        <v/>
      </c>
      <c r="CP896">
        <f>IFERROR(INDEX(PP_Grid[#Data],$DD896,92),0)</f>
        <v/>
      </c>
      <c r="CQ896">
        <f>IFERROR(INDEX(PP_Grid[#Data],$DD896,93),0)</f>
        <v/>
      </c>
      <c r="CR896">
        <f>IFERROR(INDEX(PP_Grid[#Data],$DD896,94),0)</f>
        <v/>
      </c>
      <c r="CS896">
        <f>IFERROR(INDEX(PP_Grid[#Data],$DD896,95),0)</f>
        <v/>
      </c>
      <c r="CT896">
        <f>IFERROR(INDEX(PP_Grid[#Data],$DD896,96),0)</f>
        <v/>
      </c>
      <c r="CU896">
        <f>IFERROR(INDEX(PP_Grid[#Data],$DD896,97),0)</f>
        <v/>
      </c>
      <c r="CV896">
        <f>IFERROR(INDEX(PP_Grid[#Data],$DD896,98),0)</f>
        <v/>
      </c>
      <c r="CW896">
        <f>IFERROR(INDEX(PP_Grid[#Data],$DD896,99),0)</f>
        <v/>
      </c>
      <c r="CX896">
        <f>IFERROR(INDEX(PP_Grid[#Data],$DD896,100),0)</f>
        <v/>
      </c>
      <c r="CY896">
        <f>IFERROR(INDEX(PP_Grid[#Data],$DD896,101),0)</f>
        <v/>
      </c>
      <c r="CZ896">
        <f>IFERROR(INDEX(PP_Grid[#Data],$DD896,102),0)</f>
        <v/>
      </c>
      <c r="DA896">
        <f>IFERROR(INDEX(PP_Grid[#Data],$DD896,103),0)</f>
        <v/>
      </c>
      <c r="DB896">
        <f>IFERROR(INDEX(PP_Grid[#Data],$DD896,104),0)</f>
        <v/>
      </c>
      <c r="DC896">
        <f>IFERROR(INDEX(PP_Grid[#Data],$DD896,105),0)</f>
        <v/>
      </c>
      <c r="DD896" s="7">
        <f>IFERROR(MATCH($B896,PP_Grid[Intermediate],0),99999)</f>
        <v/>
      </c>
    </row>
    <row r="897">
      <c r="B897" t="inlineStr">
        <is>
          <t>使用量(kg)</t>
        </is>
      </c>
      <c r="C897">
        <f>SUMIFS(M_BOM[RM_Qty_Per_Batch],M_BOM[Intermediate],$B896,M_BOM[Part Name],$A895)</f>
        <v/>
      </c>
      <c r="D897">
        <f>$C897*D896</f>
        <v/>
      </c>
      <c r="E897">
        <f>$C897*E896</f>
        <v/>
      </c>
      <c r="F897">
        <f>$C897*F896</f>
        <v/>
      </c>
      <c r="G897">
        <f>$C897*G896</f>
        <v/>
      </c>
      <c r="H897">
        <f>$C897*H896</f>
        <v/>
      </c>
      <c r="I897">
        <f>$C897*I896</f>
        <v/>
      </c>
      <c r="J897">
        <f>$C897*J896</f>
        <v/>
      </c>
      <c r="K897">
        <f>$C897*K896</f>
        <v/>
      </c>
      <c r="L897">
        <f>$C897*L896</f>
        <v/>
      </c>
      <c r="M897">
        <f>$C897*M896</f>
        <v/>
      </c>
      <c r="N897">
        <f>$C897*N896</f>
        <v/>
      </c>
      <c r="O897">
        <f>$C897*O896</f>
        <v/>
      </c>
      <c r="P897">
        <f>$C897*P896</f>
        <v/>
      </c>
      <c r="Q897">
        <f>$C897*Q896</f>
        <v/>
      </c>
      <c r="R897">
        <f>$C897*R896</f>
        <v/>
      </c>
      <c r="S897">
        <f>$C897*S896</f>
        <v/>
      </c>
      <c r="T897">
        <f>$C897*T896</f>
        <v/>
      </c>
      <c r="U897">
        <f>$C897*U896</f>
        <v/>
      </c>
      <c r="V897">
        <f>$C897*V896</f>
        <v/>
      </c>
      <c r="W897">
        <f>$C897*W896</f>
        <v/>
      </c>
      <c r="X897">
        <f>$C897*X896</f>
        <v/>
      </c>
      <c r="Y897">
        <f>$C897*Y896</f>
        <v/>
      </c>
      <c r="Z897">
        <f>$C897*Z896</f>
        <v/>
      </c>
      <c r="AA897">
        <f>$C897*AA896</f>
        <v/>
      </c>
      <c r="AB897">
        <f>$C897*AB896</f>
        <v/>
      </c>
      <c r="AC897">
        <f>$C897*AC896</f>
        <v/>
      </c>
      <c r="AD897">
        <f>$C897*AD896</f>
        <v/>
      </c>
      <c r="AE897">
        <f>$C897*AE896</f>
        <v/>
      </c>
      <c r="AF897">
        <f>$C897*AF896</f>
        <v/>
      </c>
      <c r="AG897">
        <f>$C897*AG896</f>
        <v/>
      </c>
      <c r="AH897">
        <f>$C897*AH896</f>
        <v/>
      </c>
      <c r="AI897">
        <f>$C897*AI896</f>
        <v/>
      </c>
      <c r="AJ897">
        <f>$C897*AJ896</f>
        <v/>
      </c>
      <c r="AK897">
        <f>$C897*AK896</f>
        <v/>
      </c>
      <c r="AL897">
        <f>$C897*AL896</f>
        <v/>
      </c>
      <c r="AM897">
        <f>$C897*AM896</f>
        <v/>
      </c>
      <c r="AN897">
        <f>$C897*AN896</f>
        <v/>
      </c>
      <c r="AO897">
        <f>$C897*AO896</f>
        <v/>
      </c>
      <c r="AP897">
        <f>$C897*AP896</f>
        <v/>
      </c>
      <c r="AQ897">
        <f>$C897*AQ896</f>
        <v/>
      </c>
      <c r="AR897">
        <f>$C897*AR896</f>
        <v/>
      </c>
      <c r="AS897">
        <f>$C897*AS896</f>
        <v/>
      </c>
      <c r="AT897">
        <f>$C897*AT896</f>
        <v/>
      </c>
      <c r="AU897">
        <f>$C897*AU896</f>
        <v/>
      </c>
      <c r="AV897">
        <f>$C897*AV896</f>
        <v/>
      </c>
      <c r="AW897">
        <f>$C897*AW896</f>
        <v/>
      </c>
      <c r="AX897">
        <f>$C897*AX896</f>
        <v/>
      </c>
      <c r="AY897">
        <f>$C897*AY896</f>
        <v/>
      </c>
      <c r="AZ897">
        <f>$C897*AZ896</f>
        <v/>
      </c>
      <c r="BA897">
        <f>$C897*BA896</f>
        <v/>
      </c>
      <c r="BB897">
        <f>$C897*BB896</f>
        <v/>
      </c>
      <c r="BC897">
        <f>$C897*BC896</f>
        <v/>
      </c>
      <c r="BD897">
        <f>$C897*BD896</f>
        <v/>
      </c>
      <c r="BE897">
        <f>$C897*BE896</f>
        <v/>
      </c>
      <c r="BF897">
        <f>$C897*BF896</f>
        <v/>
      </c>
      <c r="BG897">
        <f>$C897*BG896</f>
        <v/>
      </c>
      <c r="BH897">
        <f>$C897*BH896</f>
        <v/>
      </c>
      <c r="BI897">
        <f>$C897*BI896</f>
        <v/>
      </c>
      <c r="BJ897">
        <f>$C897*BJ896</f>
        <v/>
      </c>
      <c r="BK897">
        <f>$C897*BK896</f>
        <v/>
      </c>
      <c r="BL897">
        <f>$C897*BL896</f>
        <v/>
      </c>
      <c r="BM897">
        <f>$C897*BM896</f>
        <v/>
      </c>
      <c r="BN897">
        <f>$C897*BN896</f>
        <v/>
      </c>
      <c r="BO897">
        <f>$C897*BO896</f>
        <v/>
      </c>
      <c r="BP897">
        <f>$C897*BP896</f>
        <v/>
      </c>
      <c r="BQ897">
        <f>$C897*BQ896</f>
        <v/>
      </c>
      <c r="BR897">
        <f>$C897*BR896</f>
        <v/>
      </c>
      <c r="BS897">
        <f>$C897*BS896</f>
        <v/>
      </c>
      <c r="BT897">
        <f>$C897*BT896</f>
        <v/>
      </c>
      <c r="BU897">
        <f>$C897*BU896</f>
        <v/>
      </c>
      <c r="BV897">
        <f>$C897*BV896</f>
        <v/>
      </c>
      <c r="BW897">
        <f>$C897*BW896</f>
        <v/>
      </c>
      <c r="BX897">
        <f>$C897*BX896</f>
        <v/>
      </c>
      <c r="BY897">
        <f>$C897*BY896</f>
        <v/>
      </c>
      <c r="BZ897">
        <f>$C897*BZ896</f>
        <v/>
      </c>
      <c r="CA897">
        <f>$C897*CA896</f>
        <v/>
      </c>
      <c r="CB897">
        <f>$C897*CB896</f>
        <v/>
      </c>
      <c r="CC897">
        <f>$C897*CC896</f>
        <v/>
      </c>
      <c r="CD897">
        <f>$C897*CD896</f>
        <v/>
      </c>
      <c r="CE897">
        <f>$C897*CE896</f>
        <v/>
      </c>
      <c r="CF897">
        <f>$C897*CF896</f>
        <v/>
      </c>
      <c r="CG897">
        <f>$C897*CG896</f>
        <v/>
      </c>
      <c r="CH897">
        <f>$C897*CH896</f>
        <v/>
      </c>
      <c r="CI897">
        <f>$C897*CI896</f>
        <v/>
      </c>
      <c r="CJ897">
        <f>$C897*CJ896</f>
        <v/>
      </c>
      <c r="CK897">
        <f>$C897*CK896</f>
        <v/>
      </c>
      <c r="CL897">
        <f>$C897*CL896</f>
        <v/>
      </c>
      <c r="CM897">
        <f>$C897*CM896</f>
        <v/>
      </c>
      <c r="CN897">
        <f>$C897*CN896</f>
        <v/>
      </c>
      <c r="CO897">
        <f>$C897*CO896</f>
        <v/>
      </c>
      <c r="CP897">
        <f>$C897*CP896</f>
        <v/>
      </c>
      <c r="CQ897">
        <f>$C897*CQ896</f>
        <v/>
      </c>
      <c r="CR897">
        <f>$C897*CR896</f>
        <v/>
      </c>
      <c r="CS897">
        <f>$C897*CS896</f>
        <v/>
      </c>
      <c r="CT897">
        <f>$C897*CT896</f>
        <v/>
      </c>
      <c r="CU897">
        <f>$C897*CU896</f>
        <v/>
      </c>
      <c r="CV897">
        <f>$C897*CV896</f>
        <v/>
      </c>
      <c r="CW897">
        <f>$C897*CW896</f>
        <v/>
      </c>
      <c r="CX897">
        <f>$C897*CX896</f>
        <v/>
      </c>
      <c r="CY897">
        <f>$C897*CY896</f>
        <v/>
      </c>
      <c r="CZ897">
        <f>$C897*CZ896</f>
        <v/>
      </c>
      <c r="DA897">
        <f>$C897*DA896</f>
        <v/>
      </c>
      <c r="DB897">
        <f>$C897*DB896</f>
        <v/>
      </c>
      <c r="DC897">
        <f>$C897*DC896</f>
        <v/>
      </c>
    </row>
    <row r="898">
      <c r="B898" t="inlineStr">
        <is>
          <t>TSP-623</t>
        </is>
      </c>
      <c r="C898" t="inlineStr">
        <is>
          <t>No. of batches</t>
        </is>
      </c>
      <c r="D898">
        <f>IFERROR(INDEX(PP_Grid[#Data],$DD898,2),0)</f>
        <v/>
      </c>
      <c r="E898">
        <f>IFERROR(INDEX(PP_Grid[#Data],$DD898,3),0)</f>
        <v/>
      </c>
      <c r="F898">
        <f>IFERROR(INDEX(PP_Grid[#Data],$DD898,4),0)</f>
        <v/>
      </c>
      <c r="G898">
        <f>IFERROR(INDEX(PP_Grid[#Data],$DD898,5),0)</f>
        <v/>
      </c>
      <c r="H898">
        <f>IFERROR(INDEX(PP_Grid[#Data],$DD898,6),0)</f>
        <v/>
      </c>
      <c r="I898">
        <f>IFERROR(INDEX(PP_Grid[#Data],$DD898,7),0)</f>
        <v/>
      </c>
      <c r="J898">
        <f>IFERROR(INDEX(PP_Grid[#Data],$DD898,8),0)</f>
        <v/>
      </c>
      <c r="K898">
        <f>IFERROR(INDEX(PP_Grid[#Data],$DD898,9),0)</f>
        <v/>
      </c>
      <c r="L898">
        <f>IFERROR(INDEX(PP_Grid[#Data],$DD898,10),0)</f>
        <v/>
      </c>
      <c r="M898">
        <f>IFERROR(INDEX(PP_Grid[#Data],$DD898,11),0)</f>
        <v/>
      </c>
      <c r="N898">
        <f>IFERROR(INDEX(PP_Grid[#Data],$DD898,12),0)</f>
        <v/>
      </c>
      <c r="O898">
        <f>IFERROR(INDEX(PP_Grid[#Data],$DD898,13),0)</f>
        <v/>
      </c>
      <c r="P898">
        <f>IFERROR(INDEX(PP_Grid[#Data],$DD898,14),0)</f>
        <v/>
      </c>
      <c r="Q898">
        <f>IFERROR(INDEX(PP_Grid[#Data],$DD898,15),0)</f>
        <v/>
      </c>
      <c r="R898">
        <f>IFERROR(INDEX(PP_Grid[#Data],$DD898,16),0)</f>
        <v/>
      </c>
      <c r="S898">
        <f>IFERROR(INDEX(PP_Grid[#Data],$DD898,17),0)</f>
        <v/>
      </c>
      <c r="T898">
        <f>IFERROR(INDEX(PP_Grid[#Data],$DD898,18),0)</f>
        <v/>
      </c>
      <c r="U898">
        <f>IFERROR(INDEX(PP_Grid[#Data],$DD898,19),0)</f>
        <v/>
      </c>
      <c r="V898">
        <f>IFERROR(INDEX(PP_Grid[#Data],$DD898,20),0)</f>
        <v/>
      </c>
      <c r="W898">
        <f>IFERROR(INDEX(PP_Grid[#Data],$DD898,21),0)</f>
        <v/>
      </c>
      <c r="X898">
        <f>IFERROR(INDEX(PP_Grid[#Data],$DD898,22),0)</f>
        <v/>
      </c>
      <c r="Y898">
        <f>IFERROR(INDEX(PP_Grid[#Data],$DD898,23),0)</f>
        <v/>
      </c>
      <c r="Z898">
        <f>IFERROR(INDEX(PP_Grid[#Data],$DD898,24),0)</f>
        <v/>
      </c>
      <c r="AA898">
        <f>IFERROR(INDEX(PP_Grid[#Data],$DD898,25),0)</f>
        <v/>
      </c>
      <c r="AB898">
        <f>IFERROR(INDEX(PP_Grid[#Data],$DD898,26),0)</f>
        <v/>
      </c>
      <c r="AC898">
        <f>IFERROR(INDEX(PP_Grid[#Data],$DD898,27),0)</f>
        <v/>
      </c>
      <c r="AD898">
        <f>IFERROR(INDEX(PP_Grid[#Data],$DD898,28),0)</f>
        <v/>
      </c>
      <c r="AE898">
        <f>IFERROR(INDEX(PP_Grid[#Data],$DD898,29),0)</f>
        <v/>
      </c>
      <c r="AF898">
        <f>IFERROR(INDEX(PP_Grid[#Data],$DD898,30),0)</f>
        <v/>
      </c>
      <c r="AG898">
        <f>IFERROR(INDEX(PP_Grid[#Data],$DD898,31),0)</f>
        <v/>
      </c>
      <c r="AH898">
        <f>IFERROR(INDEX(PP_Grid[#Data],$DD898,32),0)</f>
        <v/>
      </c>
      <c r="AI898">
        <f>IFERROR(INDEX(PP_Grid[#Data],$DD898,33),0)</f>
        <v/>
      </c>
      <c r="AJ898">
        <f>IFERROR(INDEX(PP_Grid[#Data],$DD898,34),0)</f>
        <v/>
      </c>
      <c r="AK898">
        <f>IFERROR(INDEX(PP_Grid[#Data],$DD898,35),0)</f>
        <v/>
      </c>
      <c r="AL898">
        <f>IFERROR(INDEX(PP_Grid[#Data],$DD898,36),0)</f>
        <v/>
      </c>
      <c r="AM898">
        <f>IFERROR(INDEX(PP_Grid[#Data],$DD898,37),0)</f>
        <v/>
      </c>
      <c r="AN898">
        <f>IFERROR(INDEX(PP_Grid[#Data],$DD898,38),0)</f>
        <v/>
      </c>
      <c r="AO898">
        <f>IFERROR(INDEX(PP_Grid[#Data],$DD898,39),0)</f>
        <v/>
      </c>
      <c r="AP898">
        <f>IFERROR(INDEX(PP_Grid[#Data],$DD898,40),0)</f>
        <v/>
      </c>
      <c r="AQ898">
        <f>IFERROR(INDEX(PP_Grid[#Data],$DD898,41),0)</f>
        <v/>
      </c>
      <c r="AR898">
        <f>IFERROR(INDEX(PP_Grid[#Data],$DD898,42),0)</f>
        <v/>
      </c>
      <c r="AS898">
        <f>IFERROR(INDEX(PP_Grid[#Data],$DD898,43),0)</f>
        <v/>
      </c>
      <c r="AT898">
        <f>IFERROR(INDEX(PP_Grid[#Data],$DD898,44),0)</f>
        <v/>
      </c>
      <c r="AU898">
        <f>IFERROR(INDEX(PP_Grid[#Data],$DD898,45),0)</f>
        <v/>
      </c>
      <c r="AV898">
        <f>IFERROR(INDEX(PP_Grid[#Data],$DD898,46),0)</f>
        <v/>
      </c>
      <c r="AW898">
        <f>IFERROR(INDEX(PP_Grid[#Data],$DD898,47),0)</f>
        <v/>
      </c>
      <c r="AX898">
        <f>IFERROR(INDEX(PP_Grid[#Data],$DD898,48),0)</f>
        <v/>
      </c>
      <c r="AY898">
        <f>IFERROR(INDEX(PP_Grid[#Data],$DD898,49),0)</f>
        <v/>
      </c>
      <c r="AZ898">
        <f>IFERROR(INDEX(PP_Grid[#Data],$DD898,50),0)</f>
        <v/>
      </c>
      <c r="BA898">
        <f>IFERROR(INDEX(PP_Grid[#Data],$DD898,51),0)</f>
        <v/>
      </c>
      <c r="BB898">
        <f>IFERROR(INDEX(PP_Grid[#Data],$DD898,52),0)</f>
        <v/>
      </c>
      <c r="BC898">
        <f>IFERROR(INDEX(PP_Grid[#Data],$DD898,53),0)</f>
        <v/>
      </c>
      <c r="BD898">
        <f>IFERROR(INDEX(PP_Grid[#Data],$DD898,54),0)</f>
        <v/>
      </c>
      <c r="BE898">
        <f>IFERROR(INDEX(PP_Grid[#Data],$DD898,55),0)</f>
        <v/>
      </c>
      <c r="BF898">
        <f>IFERROR(INDEX(PP_Grid[#Data],$DD898,56),0)</f>
        <v/>
      </c>
      <c r="BG898">
        <f>IFERROR(INDEX(PP_Grid[#Data],$DD898,57),0)</f>
        <v/>
      </c>
      <c r="BH898">
        <f>IFERROR(INDEX(PP_Grid[#Data],$DD898,58),0)</f>
        <v/>
      </c>
      <c r="BI898">
        <f>IFERROR(INDEX(PP_Grid[#Data],$DD898,59),0)</f>
        <v/>
      </c>
      <c r="BJ898">
        <f>IFERROR(INDEX(PP_Grid[#Data],$DD898,60),0)</f>
        <v/>
      </c>
      <c r="BK898">
        <f>IFERROR(INDEX(PP_Grid[#Data],$DD898,61),0)</f>
        <v/>
      </c>
      <c r="BL898">
        <f>IFERROR(INDEX(PP_Grid[#Data],$DD898,62),0)</f>
        <v/>
      </c>
      <c r="BM898">
        <f>IFERROR(INDEX(PP_Grid[#Data],$DD898,63),0)</f>
        <v/>
      </c>
      <c r="BN898">
        <f>IFERROR(INDEX(PP_Grid[#Data],$DD898,64),0)</f>
        <v/>
      </c>
      <c r="BO898">
        <f>IFERROR(INDEX(PP_Grid[#Data],$DD898,65),0)</f>
        <v/>
      </c>
      <c r="BP898">
        <f>IFERROR(INDEX(PP_Grid[#Data],$DD898,66),0)</f>
        <v/>
      </c>
      <c r="BQ898">
        <f>IFERROR(INDEX(PP_Grid[#Data],$DD898,67),0)</f>
        <v/>
      </c>
      <c r="BR898">
        <f>IFERROR(INDEX(PP_Grid[#Data],$DD898,68),0)</f>
        <v/>
      </c>
      <c r="BS898">
        <f>IFERROR(INDEX(PP_Grid[#Data],$DD898,69),0)</f>
        <v/>
      </c>
      <c r="BT898">
        <f>IFERROR(INDEX(PP_Grid[#Data],$DD898,70),0)</f>
        <v/>
      </c>
      <c r="BU898">
        <f>IFERROR(INDEX(PP_Grid[#Data],$DD898,71),0)</f>
        <v/>
      </c>
      <c r="BV898">
        <f>IFERROR(INDEX(PP_Grid[#Data],$DD898,72),0)</f>
        <v/>
      </c>
      <c r="BW898">
        <f>IFERROR(INDEX(PP_Grid[#Data],$DD898,73),0)</f>
        <v/>
      </c>
      <c r="BX898">
        <f>IFERROR(INDEX(PP_Grid[#Data],$DD898,74),0)</f>
        <v/>
      </c>
      <c r="BY898">
        <f>IFERROR(INDEX(PP_Grid[#Data],$DD898,75),0)</f>
        <v/>
      </c>
      <c r="BZ898">
        <f>IFERROR(INDEX(PP_Grid[#Data],$DD898,76),0)</f>
        <v/>
      </c>
      <c r="CA898">
        <f>IFERROR(INDEX(PP_Grid[#Data],$DD898,77),0)</f>
        <v/>
      </c>
      <c r="CB898">
        <f>IFERROR(INDEX(PP_Grid[#Data],$DD898,78),0)</f>
        <v/>
      </c>
      <c r="CC898">
        <f>IFERROR(INDEX(PP_Grid[#Data],$DD898,79),0)</f>
        <v/>
      </c>
      <c r="CD898">
        <f>IFERROR(INDEX(PP_Grid[#Data],$DD898,80),0)</f>
        <v/>
      </c>
      <c r="CE898">
        <f>IFERROR(INDEX(PP_Grid[#Data],$DD898,81),0)</f>
        <v/>
      </c>
      <c r="CF898">
        <f>IFERROR(INDEX(PP_Grid[#Data],$DD898,82),0)</f>
        <v/>
      </c>
      <c r="CG898">
        <f>IFERROR(INDEX(PP_Grid[#Data],$DD898,83),0)</f>
        <v/>
      </c>
      <c r="CH898">
        <f>IFERROR(INDEX(PP_Grid[#Data],$DD898,84),0)</f>
        <v/>
      </c>
      <c r="CI898">
        <f>IFERROR(INDEX(PP_Grid[#Data],$DD898,85),0)</f>
        <v/>
      </c>
      <c r="CJ898">
        <f>IFERROR(INDEX(PP_Grid[#Data],$DD898,86),0)</f>
        <v/>
      </c>
      <c r="CK898">
        <f>IFERROR(INDEX(PP_Grid[#Data],$DD898,87),0)</f>
        <v/>
      </c>
      <c r="CL898">
        <f>IFERROR(INDEX(PP_Grid[#Data],$DD898,88),0)</f>
        <v/>
      </c>
      <c r="CM898">
        <f>IFERROR(INDEX(PP_Grid[#Data],$DD898,89),0)</f>
        <v/>
      </c>
      <c r="CN898">
        <f>IFERROR(INDEX(PP_Grid[#Data],$DD898,90),0)</f>
        <v/>
      </c>
      <c r="CO898">
        <f>IFERROR(INDEX(PP_Grid[#Data],$DD898,91),0)</f>
        <v/>
      </c>
      <c r="CP898">
        <f>IFERROR(INDEX(PP_Grid[#Data],$DD898,92),0)</f>
        <v/>
      </c>
      <c r="CQ898">
        <f>IFERROR(INDEX(PP_Grid[#Data],$DD898,93),0)</f>
        <v/>
      </c>
      <c r="CR898">
        <f>IFERROR(INDEX(PP_Grid[#Data],$DD898,94),0)</f>
        <v/>
      </c>
      <c r="CS898">
        <f>IFERROR(INDEX(PP_Grid[#Data],$DD898,95),0)</f>
        <v/>
      </c>
      <c r="CT898">
        <f>IFERROR(INDEX(PP_Grid[#Data],$DD898,96),0)</f>
        <v/>
      </c>
      <c r="CU898">
        <f>IFERROR(INDEX(PP_Grid[#Data],$DD898,97),0)</f>
        <v/>
      </c>
      <c r="CV898">
        <f>IFERROR(INDEX(PP_Grid[#Data],$DD898,98),0)</f>
        <v/>
      </c>
      <c r="CW898">
        <f>IFERROR(INDEX(PP_Grid[#Data],$DD898,99),0)</f>
        <v/>
      </c>
      <c r="CX898">
        <f>IFERROR(INDEX(PP_Grid[#Data],$DD898,100),0)</f>
        <v/>
      </c>
      <c r="CY898">
        <f>IFERROR(INDEX(PP_Grid[#Data],$DD898,101),0)</f>
        <v/>
      </c>
      <c r="CZ898">
        <f>IFERROR(INDEX(PP_Grid[#Data],$DD898,102),0)</f>
        <v/>
      </c>
      <c r="DA898">
        <f>IFERROR(INDEX(PP_Grid[#Data],$DD898,103),0)</f>
        <v/>
      </c>
      <c r="DB898">
        <f>IFERROR(INDEX(PP_Grid[#Data],$DD898,104),0)</f>
        <v/>
      </c>
      <c r="DC898">
        <f>IFERROR(INDEX(PP_Grid[#Data],$DD898,105),0)</f>
        <v/>
      </c>
      <c r="DD898" s="7">
        <f>IFERROR(MATCH($B898,PP_Grid[Intermediate],0),99999)</f>
        <v/>
      </c>
    </row>
    <row r="899">
      <c r="B899" t="inlineStr">
        <is>
          <t>使用量(kg)</t>
        </is>
      </c>
      <c r="C899">
        <f>SUMIFS(M_BOM[RM_Qty_Per_Batch],M_BOM[Intermediate],$B898,M_BOM[Part Name],$A895)</f>
        <v/>
      </c>
      <c r="D899">
        <f>$C899*D898</f>
        <v/>
      </c>
      <c r="E899">
        <f>$C899*E898</f>
        <v/>
      </c>
      <c r="F899">
        <f>$C899*F898</f>
        <v/>
      </c>
      <c r="G899">
        <f>$C899*G898</f>
        <v/>
      </c>
      <c r="H899">
        <f>$C899*H898</f>
        <v/>
      </c>
      <c r="I899">
        <f>$C899*I898</f>
        <v/>
      </c>
      <c r="J899">
        <f>$C899*J898</f>
        <v/>
      </c>
      <c r="K899">
        <f>$C899*K898</f>
        <v/>
      </c>
      <c r="L899">
        <f>$C899*L898</f>
        <v/>
      </c>
      <c r="M899">
        <f>$C899*M898</f>
        <v/>
      </c>
      <c r="N899">
        <f>$C899*N898</f>
        <v/>
      </c>
      <c r="O899">
        <f>$C899*O898</f>
        <v/>
      </c>
      <c r="P899">
        <f>$C899*P898</f>
        <v/>
      </c>
      <c r="Q899">
        <f>$C899*Q898</f>
        <v/>
      </c>
      <c r="R899">
        <f>$C899*R898</f>
        <v/>
      </c>
      <c r="S899">
        <f>$C899*S898</f>
        <v/>
      </c>
      <c r="T899">
        <f>$C899*T898</f>
        <v/>
      </c>
      <c r="U899">
        <f>$C899*U898</f>
        <v/>
      </c>
      <c r="V899">
        <f>$C899*V898</f>
        <v/>
      </c>
      <c r="W899">
        <f>$C899*W898</f>
        <v/>
      </c>
      <c r="X899">
        <f>$C899*X898</f>
        <v/>
      </c>
      <c r="Y899">
        <f>$C899*Y898</f>
        <v/>
      </c>
      <c r="Z899">
        <f>$C899*Z898</f>
        <v/>
      </c>
      <c r="AA899">
        <f>$C899*AA898</f>
        <v/>
      </c>
      <c r="AB899">
        <f>$C899*AB898</f>
        <v/>
      </c>
      <c r="AC899">
        <f>$C899*AC898</f>
        <v/>
      </c>
      <c r="AD899">
        <f>$C899*AD898</f>
        <v/>
      </c>
      <c r="AE899">
        <f>$C899*AE898</f>
        <v/>
      </c>
      <c r="AF899">
        <f>$C899*AF898</f>
        <v/>
      </c>
      <c r="AG899">
        <f>$C899*AG898</f>
        <v/>
      </c>
      <c r="AH899">
        <f>$C899*AH898</f>
        <v/>
      </c>
      <c r="AI899">
        <f>$C899*AI898</f>
        <v/>
      </c>
      <c r="AJ899">
        <f>$C899*AJ898</f>
        <v/>
      </c>
      <c r="AK899">
        <f>$C899*AK898</f>
        <v/>
      </c>
      <c r="AL899">
        <f>$C899*AL898</f>
        <v/>
      </c>
      <c r="AM899">
        <f>$C899*AM898</f>
        <v/>
      </c>
      <c r="AN899">
        <f>$C899*AN898</f>
        <v/>
      </c>
      <c r="AO899">
        <f>$C899*AO898</f>
        <v/>
      </c>
      <c r="AP899">
        <f>$C899*AP898</f>
        <v/>
      </c>
      <c r="AQ899">
        <f>$C899*AQ898</f>
        <v/>
      </c>
      <c r="AR899">
        <f>$C899*AR898</f>
        <v/>
      </c>
      <c r="AS899">
        <f>$C899*AS898</f>
        <v/>
      </c>
      <c r="AT899">
        <f>$C899*AT898</f>
        <v/>
      </c>
      <c r="AU899">
        <f>$C899*AU898</f>
        <v/>
      </c>
      <c r="AV899">
        <f>$C899*AV898</f>
        <v/>
      </c>
      <c r="AW899">
        <f>$C899*AW898</f>
        <v/>
      </c>
      <c r="AX899">
        <f>$C899*AX898</f>
        <v/>
      </c>
      <c r="AY899">
        <f>$C899*AY898</f>
        <v/>
      </c>
      <c r="AZ899">
        <f>$C899*AZ898</f>
        <v/>
      </c>
      <c r="BA899">
        <f>$C899*BA898</f>
        <v/>
      </c>
      <c r="BB899">
        <f>$C899*BB898</f>
        <v/>
      </c>
      <c r="BC899">
        <f>$C899*BC898</f>
        <v/>
      </c>
      <c r="BD899">
        <f>$C899*BD898</f>
        <v/>
      </c>
      <c r="BE899">
        <f>$C899*BE898</f>
        <v/>
      </c>
      <c r="BF899">
        <f>$C899*BF898</f>
        <v/>
      </c>
      <c r="BG899">
        <f>$C899*BG898</f>
        <v/>
      </c>
      <c r="BH899">
        <f>$C899*BH898</f>
        <v/>
      </c>
      <c r="BI899">
        <f>$C899*BI898</f>
        <v/>
      </c>
      <c r="BJ899">
        <f>$C899*BJ898</f>
        <v/>
      </c>
      <c r="BK899">
        <f>$C899*BK898</f>
        <v/>
      </c>
      <c r="BL899">
        <f>$C899*BL898</f>
        <v/>
      </c>
      <c r="BM899">
        <f>$C899*BM898</f>
        <v/>
      </c>
      <c r="BN899">
        <f>$C899*BN898</f>
        <v/>
      </c>
      <c r="BO899">
        <f>$C899*BO898</f>
        <v/>
      </c>
      <c r="BP899">
        <f>$C899*BP898</f>
        <v/>
      </c>
      <c r="BQ899">
        <f>$C899*BQ898</f>
        <v/>
      </c>
      <c r="BR899">
        <f>$C899*BR898</f>
        <v/>
      </c>
      <c r="BS899">
        <f>$C899*BS898</f>
        <v/>
      </c>
      <c r="BT899">
        <f>$C899*BT898</f>
        <v/>
      </c>
      <c r="BU899">
        <f>$C899*BU898</f>
        <v/>
      </c>
      <c r="BV899">
        <f>$C899*BV898</f>
        <v/>
      </c>
      <c r="BW899">
        <f>$C899*BW898</f>
        <v/>
      </c>
      <c r="BX899">
        <f>$C899*BX898</f>
        <v/>
      </c>
      <c r="BY899">
        <f>$C899*BY898</f>
        <v/>
      </c>
      <c r="BZ899">
        <f>$C899*BZ898</f>
        <v/>
      </c>
      <c r="CA899">
        <f>$C899*CA898</f>
        <v/>
      </c>
      <c r="CB899">
        <f>$C899*CB898</f>
        <v/>
      </c>
      <c r="CC899">
        <f>$C899*CC898</f>
        <v/>
      </c>
      <c r="CD899">
        <f>$C899*CD898</f>
        <v/>
      </c>
      <c r="CE899">
        <f>$C899*CE898</f>
        <v/>
      </c>
      <c r="CF899">
        <f>$C899*CF898</f>
        <v/>
      </c>
      <c r="CG899">
        <f>$C899*CG898</f>
        <v/>
      </c>
      <c r="CH899">
        <f>$C899*CH898</f>
        <v/>
      </c>
      <c r="CI899">
        <f>$C899*CI898</f>
        <v/>
      </c>
      <c r="CJ899">
        <f>$C899*CJ898</f>
        <v/>
      </c>
      <c r="CK899">
        <f>$C899*CK898</f>
        <v/>
      </c>
      <c r="CL899">
        <f>$C899*CL898</f>
        <v/>
      </c>
      <c r="CM899">
        <f>$C899*CM898</f>
        <v/>
      </c>
      <c r="CN899">
        <f>$C899*CN898</f>
        <v/>
      </c>
      <c r="CO899">
        <f>$C899*CO898</f>
        <v/>
      </c>
      <c r="CP899">
        <f>$C899*CP898</f>
        <v/>
      </c>
      <c r="CQ899">
        <f>$C899*CQ898</f>
        <v/>
      </c>
      <c r="CR899">
        <f>$C899*CR898</f>
        <v/>
      </c>
      <c r="CS899">
        <f>$C899*CS898</f>
        <v/>
      </c>
      <c r="CT899">
        <f>$C899*CT898</f>
        <v/>
      </c>
      <c r="CU899">
        <f>$C899*CU898</f>
        <v/>
      </c>
      <c r="CV899">
        <f>$C899*CV898</f>
        <v/>
      </c>
      <c r="CW899">
        <f>$C899*CW898</f>
        <v/>
      </c>
      <c r="CX899">
        <f>$C899*CX898</f>
        <v/>
      </c>
      <c r="CY899">
        <f>$C899*CY898</f>
        <v/>
      </c>
      <c r="CZ899">
        <f>$C899*CZ898</f>
        <v/>
      </c>
      <c r="DA899">
        <f>$C899*DA898</f>
        <v/>
      </c>
      <c r="DB899">
        <f>$C899*DB898</f>
        <v/>
      </c>
      <c r="DC899">
        <f>$C899*DC898</f>
        <v/>
      </c>
    </row>
    <row r="900">
      <c r="B900" t="inlineStr">
        <is>
          <t>TSP-934</t>
        </is>
      </c>
      <c r="C900" t="inlineStr">
        <is>
          <t>No. of batches</t>
        </is>
      </c>
      <c r="D900">
        <f>IFERROR(INDEX(PP_Grid[#Data],$DD900,2),0)</f>
        <v/>
      </c>
      <c r="E900">
        <f>IFERROR(INDEX(PP_Grid[#Data],$DD900,3),0)</f>
        <v/>
      </c>
      <c r="F900">
        <f>IFERROR(INDEX(PP_Grid[#Data],$DD900,4),0)</f>
        <v/>
      </c>
      <c r="G900">
        <f>IFERROR(INDEX(PP_Grid[#Data],$DD900,5),0)</f>
        <v/>
      </c>
      <c r="H900">
        <f>IFERROR(INDEX(PP_Grid[#Data],$DD900,6),0)</f>
        <v/>
      </c>
      <c r="I900">
        <f>IFERROR(INDEX(PP_Grid[#Data],$DD900,7),0)</f>
        <v/>
      </c>
      <c r="J900">
        <f>IFERROR(INDEX(PP_Grid[#Data],$DD900,8),0)</f>
        <v/>
      </c>
      <c r="K900">
        <f>IFERROR(INDEX(PP_Grid[#Data],$DD900,9),0)</f>
        <v/>
      </c>
      <c r="L900">
        <f>IFERROR(INDEX(PP_Grid[#Data],$DD900,10),0)</f>
        <v/>
      </c>
      <c r="M900">
        <f>IFERROR(INDEX(PP_Grid[#Data],$DD900,11),0)</f>
        <v/>
      </c>
      <c r="N900">
        <f>IFERROR(INDEX(PP_Grid[#Data],$DD900,12),0)</f>
        <v/>
      </c>
      <c r="O900">
        <f>IFERROR(INDEX(PP_Grid[#Data],$DD900,13),0)</f>
        <v/>
      </c>
      <c r="P900">
        <f>IFERROR(INDEX(PP_Grid[#Data],$DD900,14),0)</f>
        <v/>
      </c>
      <c r="Q900">
        <f>IFERROR(INDEX(PP_Grid[#Data],$DD900,15),0)</f>
        <v/>
      </c>
      <c r="R900">
        <f>IFERROR(INDEX(PP_Grid[#Data],$DD900,16),0)</f>
        <v/>
      </c>
      <c r="S900">
        <f>IFERROR(INDEX(PP_Grid[#Data],$DD900,17),0)</f>
        <v/>
      </c>
      <c r="T900">
        <f>IFERROR(INDEX(PP_Grid[#Data],$DD900,18),0)</f>
        <v/>
      </c>
      <c r="U900">
        <f>IFERROR(INDEX(PP_Grid[#Data],$DD900,19),0)</f>
        <v/>
      </c>
      <c r="V900">
        <f>IFERROR(INDEX(PP_Grid[#Data],$DD900,20),0)</f>
        <v/>
      </c>
      <c r="W900">
        <f>IFERROR(INDEX(PP_Grid[#Data],$DD900,21),0)</f>
        <v/>
      </c>
      <c r="X900">
        <f>IFERROR(INDEX(PP_Grid[#Data],$DD900,22),0)</f>
        <v/>
      </c>
      <c r="Y900">
        <f>IFERROR(INDEX(PP_Grid[#Data],$DD900,23),0)</f>
        <v/>
      </c>
      <c r="Z900">
        <f>IFERROR(INDEX(PP_Grid[#Data],$DD900,24),0)</f>
        <v/>
      </c>
      <c r="AA900">
        <f>IFERROR(INDEX(PP_Grid[#Data],$DD900,25),0)</f>
        <v/>
      </c>
      <c r="AB900">
        <f>IFERROR(INDEX(PP_Grid[#Data],$DD900,26),0)</f>
        <v/>
      </c>
      <c r="AC900">
        <f>IFERROR(INDEX(PP_Grid[#Data],$DD900,27),0)</f>
        <v/>
      </c>
      <c r="AD900">
        <f>IFERROR(INDEX(PP_Grid[#Data],$DD900,28),0)</f>
        <v/>
      </c>
      <c r="AE900">
        <f>IFERROR(INDEX(PP_Grid[#Data],$DD900,29),0)</f>
        <v/>
      </c>
      <c r="AF900">
        <f>IFERROR(INDEX(PP_Grid[#Data],$DD900,30),0)</f>
        <v/>
      </c>
      <c r="AG900">
        <f>IFERROR(INDEX(PP_Grid[#Data],$DD900,31),0)</f>
        <v/>
      </c>
      <c r="AH900">
        <f>IFERROR(INDEX(PP_Grid[#Data],$DD900,32),0)</f>
        <v/>
      </c>
      <c r="AI900">
        <f>IFERROR(INDEX(PP_Grid[#Data],$DD900,33),0)</f>
        <v/>
      </c>
      <c r="AJ900">
        <f>IFERROR(INDEX(PP_Grid[#Data],$DD900,34),0)</f>
        <v/>
      </c>
      <c r="AK900">
        <f>IFERROR(INDEX(PP_Grid[#Data],$DD900,35),0)</f>
        <v/>
      </c>
      <c r="AL900">
        <f>IFERROR(INDEX(PP_Grid[#Data],$DD900,36),0)</f>
        <v/>
      </c>
      <c r="AM900">
        <f>IFERROR(INDEX(PP_Grid[#Data],$DD900,37),0)</f>
        <v/>
      </c>
      <c r="AN900">
        <f>IFERROR(INDEX(PP_Grid[#Data],$DD900,38),0)</f>
        <v/>
      </c>
      <c r="AO900">
        <f>IFERROR(INDEX(PP_Grid[#Data],$DD900,39),0)</f>
        <v/>
      </c>
      <c r="AP900">
        <f>IFERROR(INDEX(PP_Grid[#Data],$DD900,40),0)</f>
        <v/>
      </c>
      <c r="AQ900">
        <f>IFERROR(INDEX(PP_Grid[#Data],$DD900,41),0)</f>
        <v/>
      </c>
      <c r="AR900">
        <f>IFERROR(INDEX(PP_Grid[#Data],$DD900,42),0)</f>
        <v/>
      </c>
      <c r="AS900">
        <f>IFERROR(INDEX(PP_Grid[#Data],$DD900,43),0)</f>
        <v/>
      </c>
      <c r="AT900">
        <f>IFERROR(INDEX(PP_Grid[#Data],$DD900,44),0)</f>
        <v/>
      </c>
      <c r="AU900">
        <f>IFERROR(INDEX(PP_Grid[#Data],$DD900,45),0)</f>
        <v/>
      </c>
      <c r="AV900">
        <f>IFERROR(INDEX(PP_Grid[#Data],$DD900,46),0)</f>
        <v/>
      </c>
      <c r="AW900">
        <f>IFERROR(INDEX(PP_Grid[#Data],$DD900,47),0)</f>
        <v/>
      </c>
      <c r="AX900">
        <f>IFERROR(INDEX(PP_Grid[#Data],$DD900,48),0)</f>
        <v/>
      </c>
      <c r="AY900">
        <f>IFERROR(INDEX(PP_Grid[#Data],$DD900,49),0)</f>
        <v/>
      </c>
      <c r="AZ900">
        <f>IFERROR(INDEX(PP_Grid[#Data],$DD900,50),0)</f>
        <v/>
      </c>
      <c r="BA900">
        <f>IFERROR(INDEX(PP_Grid[#Data],$DD900,51),0)</f>
        <v/>
      </c>
      <c r="BB900">
        <f>IFERROR(INDEX(PP_Grid[#Data],$DD900,52),0)</f>
        <v/>
      </c>
      <c r="BC900">
        <f>IFERROR(INDEX(PP_Grid[#Data],$DD900,53),0)</f>
        <v/>
      </c>
      <c r="BD900">
        <f>IFERROR(INDEX(PP_Grid[#Data],$DD900,54),0)</f>
        <v/>
      </c>
      <c r="BE900">
        <f>IFERROR(INDEX(PP_Grid[#Data],$DD900,55),0)</f>
        <v/>
      </c>
      <c r="BF900">
        <f>IFERROR(INDEX(PP_Grid[#Data],$DD900,56),0)</f>
        <v/>
      </c>
      <c r="BG900">
        <f>IFERROR(INDEX(PP_Grid[#Data],$DD900,57),0)</f>
        <v/>
      </c>
      <c r="BH900">
        <f>IFERROR(INDEX(PP_Grid[#Data],$DD900,58),0)</f>
        <v/>
      </c>
      <c r="BI900">
        <f>IFERROR(INDEX(PP_Grid[#Data],$DD900,59),0)</f>
        <v/>
      </c>
      <c r="BJ900">
        <f>IFERROR(INDEX(PP_Grid[#Data],$DD900,60),0)</f>
        <v/>
      </c>
      <c r="BK900">
        <f>IFERROR(INDEX(PP_Grid[#Data],$DD900,61),0)</f>
        <v/>
      </c>
      <c r="BL900">
        <f>IFERROR(INDEX(PP_Grid[#Data],$DD900,62),0)</f>
        <v/>
      </c>
      <c r="BM900">
        <f>IFERROR(INDEX(PP_Grid[#Data],$DD900,63),0)</f>
        <v/>
      </c>
      <c r="BN900">
        <f>IFERROR(INDEX(PP_Grid[#Data],$DD900,64),0)</f>
        <v/>
      </c>
      <c r="BO900">
        <f>IFERROR(INDEX(PP_Grid[#Data],$DD900,65),0)</f>
        <v/>
      </c>
      <c r="BP900">
        <f>IFERROR(INDEX(PP_Grid[#Data],$DD900,66),0)</f>
        <v/>
      </c>
      <c r="BQ900">
        <f>IFERROR(INDEX(PP_Grid[#Data],$DD900,67),0)</f>
        <v/>
      </c>
      <c r="BR900">
        <f>IFERROR(INDEX(PP_Grid[#Data],$DD900,68),0)</f>
        <v/>
      </c>
      <c r="BS900">
        <f>IFERROR(INDEX(PP_Grid[#Data],$DD900,69),0)</f>
        <v/>
      </c>
      <c r="BT900">
        <f>IFERROR(INDEX(PP_Grid[#Data],$DD900,70),0)</f>
        <v/>
      </c>
      <c r="BU900">
        <f>IFERROR(INDEX(PP_Grid[#Data],$DD900,71),0)</f>
        <v/>
      </c>
      <c r="BV900">
        <f>IFERROR(INDEX(PP_Grid[#Data],$DD900,72),0)</f>
        <v/>
      </c>
      <c r="BW900">
        <f>IFERROR(INDEX(PP_Grid[#Data],$DD900,73),0)</f>
        <v/>
      </c>
      <c r="BX900">
        <f>IFERROR(INDEX(PP_Grid[#Data],$DD900,74),0)</f>
        <v/>
      </c>
      <c r="BY900">
        <f>IFERROR(INDEX(PP_Grid[#Data],$DD900,75),0)</f>
        <v/>
      </c>
      <c r="BZ900">
        <f>IFERROR(INDEX(PP_Grid[#Data],$DD900,76),0)</f>
        <v/>
      </c>
      <c r="CA900">
        <f>IFERROR(INDEX(PP_Grid[#Data],$DD900,77),0)</f>
        <v/>
      </c>
      <c r="CB900">
        <f>IFERROR(INDEX(PP_Grid[#Data],$DD900,78),0)</f>
        <v/>
      </c>
      <c r="CC900">
        <f>IFERROR(INDEX(PP_Grid[#Data],$DD900,79),0)</f>
        <v/>
      </c>
      <c r="CD900">
        <f>IFERROR(INDEX(PP_Grid[#Data],$DD900,80),0)</f>
        <v/>
      </c>
      <c r="CE900">
        <f>IFERROR(INDEX(PP_Grid[#Data],$DD900,81),0)</f>
        <v/>
      </c>
      <c r="CF900">
        <f>IFERROR(INDEX(PP_Grid[#Data],$DD900,82),0)</f>
        <v/>
      </c>
      <c r="CG900">
        <f>IFERROR(INDEX(PP_Grid[#Data],$DD900,83),0)</f>
        <v/>
      </c>
      <c r="CH900">
        <f>IFERROR(INDEX(PP_Grid[#Data],$DD900,84),0)</f>
        <v/>
      </c>
      <c r="CI900">
        <f>IFERROR(INDEX(PP_Grid[#Data],$DD900,85),0)</f>
        <v/>
      </c>
      <c r="CJ900">
        <f>IFERROR(INDEX(PP_Grid[#Data],$DD900,86),0)</f>
        <v/>
      </c>
      <c r="CK900">
        <f>IFERROR(INDEX(PP_Grid[#Data],$DD900,87),0)</f>
        <v/>
      </c>
      <c r="CL900">
        <f>IFERROR(INDEX(PP_Grid[#Data],$DD900,88),0)</f>
        <v/>
      </c>
      <c r="CM900">
        <f>IFERROR(INDEX(PP_Grid[#Data],$DD900,89),0)</f>
        <v/>
      </c>
      <c r="CN900">
        <f>IFERROR(INDEX(PP_Grid[#Data],$DD900,90),0)</f>
        <v/>
      </c>
      <c r="CO900">
        <f>IFERROR(INDEX(PP_Grid[#Data],$DD900,91),0)</f>
        <v/>
      </c>
      <c r="CP900">
        <f>IFERROR(INDEX(PP_Grid[#Data],$DD900,92),0)</f>
        <v/>
      </c>
      <c r="CQ900">
        <f>IFERROR(INDEX(PP_Grid[#Data],$DD900,93),0)</f>
        <v/>
      </c>
      <c r="CR900">
        <f>IFERROR(INDEX(PP_Grid[#Data],$DD900,94),0)</f>
        <v/>
      </c>
      <c r="CS900">
        <f>IFERROR(INDEX(PP_Grid[#Data],$DD900,95),0)</f>
        <v/>
      </c>
      <c r="CT900">
        <f>IFERROR(INDEX(PP_Grid[#Data],$DD900,96),0)</f>
        <v/>
      </c>
      <c r="CU900">
        <f>IFERROR(INDEX(PP_Grid[#Data],$DD900,97),0)</f>
        <v/>
      </c>
      <c r="CV900">
        <f>IFERROR(INDEX(PP_Grid[#Data],$DD900,98),0)</f>
        <v/>
      </c>
      <c r="CW900">
        <f>IFERROR(INDEX(PP_Grid[#Data],$DD900,99),0)</f>
        <v/>
      </c>
      <c r="CX900">
        <f>IFERROR(INDEX(PP_Grid[#Data],$DD900,100),0)</f>
        <v/>
      </c>
      <c r="CY900">
        <f>IFERROR(INDEX(PP_Grid[#Data],$DD900,101),0)</f>
        <v/>
      </c>
      <c r="CZ900">
        <f>IFERROR(INDEX(PP_Grid[#Data],$DD900,102),0)</f>
        <v/>
      </c>
      <c r="DA900">
        <f>IFERROR(INDEX(PP_Grid[#Data],$DD900,103),0)</f>
        <v/>
      </c>
      <c r="DB900">
        <f>IFERROR(INDEX(PP_Grid[#Data],$DD900,104),0)</f>
        <v/>
      </c>
      <c r="DC900">
        <f>IFERROR(INDEX(PP_Grid[#Data],$DD900,105),0)</f>
        <v/>
      </c>
      <c r="DD900" s="7">
        <f>IFERROR(MATCH($B900,PP_Grid[Intermediate],0),99999)</f>
        <v/>
      </c>
    </row>
    <row r="901">
      <c r="B901" t="inlineStr">
        <is>
          <t>使用量(kg)</t>
        </is>
      </c>
      <c r="C901">
        <f>SUMIFS(M_BOM[RM_Qty_Per_Batch],M_BOM[Intermediate],$B900,M_BOM[Part Name],$A895)</f>
        <v/>
      </c>
      <c r="D901">
        <f>$C901*D900</f>
        <v/>
      </c>
      <c r="E901">
        <f>$C901*E900</f>
        <v/>
      </c>
      <c r="F901">
        <f>$C901*F900</f>
        <v/>
      </c>
      <c r="G901">
        <f>$C901*G900</f>
        <v/>
      </c>
      <c r="H901">
        <f>$C901*H900</f>
        <v/>
      </c>
      <c r="I901">
        <f>$C901*I900</f>
        <v/>
      </c>
      <c r="J901">
        <f>$C901*J900</f>
        <v/>
      </c>
      <c r="K901">
        <f>$C901*K900</f>
        <v/>
      </c>
      <c r="L901">
        <f>$C901*L900</f>
        <v/>
      </c>
      <c r="M901">
        <f>$C901*M900</f>
        <v/>
      </c>
      <c r="N901">
        <f>$C901*N900</f>
        <v/>
      </c>
      <c r="O901">
        <f>$C901*O900</f>
        <v/>
      </c>
      <c r="P901">
        <f>$C901*P900</f>
        <v/>
      </c>
      <c r="Q901">
        <f>$C901*Q900</f>
        <v/>
      </c>
      <c r="R901">
        <f>$C901*R900</f>
        <v/>
      </c>
      <c r="S901">
        <f>$C901*S900</f>
        <v/>
      </c>
      <c r="T901">
        <f>$C901*T900</f>
        <v/>
      </c>
      <c r="U901">
        <f>$C901*U900</f>
        <v/>
      </c>
      <c r="V901">
        <f>$C901*V900</f>
        <v/>
      </c>
      <c r="W901">
        <f>$C901*W900</f>
        <v/>
      </c>
      <c r="X901">
        <f>$C901*X900</f>
        <v/>
      </c>
      <c r="Y901">
        <f>$C901*Y900</f>
        <v/>
      </c>
      <c r="Z901">
        <f>$C901*Z900</f>
        <v/>
      </c>
      <c r="AA901">
        <f>$C901*AA900</f>
        <v/>
      </c>
      <c r="AB901">
        <f>$C901*AB900</f>
        <v/>
      </c>
      <c r="AC901">
        <f>$C901*AC900</f>
        <v/>
      </c>
      <c r="AD901">
        <f>$C901*AD900</f>
        <v/>
      </c>
      <c r="AE901">
        <f>$C901*AE900</f>
        <v/>
      </c>
      <c r="AF901">
        <f>$C901*AF900</f>
        <v/>
      </c>
      <c r="AG901">
        <f>$C901*AG900</f>
        <v/>
      </c>
      <c r="AH901">
        <f>$C901*AH900</f>
        <v/>
      </c>
      <c r="AI901">
        <f>$C901*AI900</f>
        <v/>
      </c>
      <c r="AJ901">
        <f>$C901*AJ900</f>
        <v/>
      </c>
      <c r="AK901">
        <f>$C901*AK900</f>
        <v/>
      </c>
      <c r="AL901">
        <f>$C901*AL900</f>
        <v/>
      </c>
      <c r="AM901">
        <f>$C901*AM900</f>
        <v/>
      </c>
      <c r="AN901">
        <f>$C901*AN900</f>
        <v/>
      </c>
      <c r="AO901">
        <f>$C901*AO900</f>
        <v/>
      </c>
      <c r="AP901">
        <f>$C901*AP900</f>
        <v/>
      </c>
      <c r="AQ901">
        <f>$C901*AQ900</f>
        <v/>
      </c>
      <c r="AR901">
        <f>$C901*AR900</f>
        <v/>
      </c>
      <c r="AS901">
        <f>$C901*AS900</f>
        <v/>
      </c>
      <c r="AT901">
        <f>$C901*AT900</f>
        <v/>
      </c>
      <c r="AU901">
        <f>$C901*AU900</f>
        <v/>
      </c>
      <c r="AV901">
        <f>$C901*AV900</f>
        <v/>
      </c>
      <c r="AW901">
        <f>$C901*AW900</f>
        <v/>
      </c>
      <c r="AX901">
        <f>$C901*AX900</f>
        <v/>
      </c>
      <c r="AY901">
        <f>$C901*AY900</f>
        <v/>
      </c>
      <c r="AZ901">
        <f>$C901*AZ900</f>
        <v/>
      </c>
      <c r="BA901">
        <f>$C901*BA900</f>
        <v/>
      </c>
      <c r="BB901">
        <f>$C901*BB900</f>
        <v/>
      </c>
      <c r="BC901">
        <f>$C901*BC900</f>
        <v/>
      </c>
      <c r="BD901">
        <f>$C901*BD900</f>
        <v/>
      </c>
      <c r="BE901">
        <f>$C901*BE900</f>
        <v/>
      </c>
      <c r="BF901">
        <f>$C901*BF900</f>
        <v/>
      </c>
      <c r="BG901">
        <f>$C901*BG900</f>
        <v/>
      </c>
      <c r="BH901">
        <f>$C901*BH900</f>
        <v/>
      </c>
      <c r="BI901">
        <f>$C901*BI900</f>
        <v/>
      </c>
      <c r="BJ901">
        <f>$C901*BJ900</f>
        <v/>
      </c>
      <c r="BK901">
        <f>$C901*BK900</f>
        <v/>
      </c>
      <c r="BL901">
        <f>$C901*BL900</f>
        <v/>
      </c>
      <c r="BM901">
        <f>$C901*BM900</f>
        <v/>
      </c>
      <c r="BN901">
        <f>$C901*BN900</f>
        <v/>
      </c>
      <c r="BO901">
        <f>$C901*BO900</f>
        <v/>
      </c>
      <c r="BP901">
        <f>$C901*BP900</f>
        <v/>
      </c>
      <c r="BQ901">
        <f>$C901*BQ900</f>
        <v/>
      </c>
      <c r="BR901">
        <f>$C901*BR900</f>
        <v/>
      </c>
      <c r="BS901">
        <f>$C901*BS900</f>
        <v/>
      </c>
      <c r="BT901">
        <f>$C901*BT900</f>
        <v/>
      </c>
      <c r="BU901">
        <f>$C901*BU900</f>
        <v/>
      </c>
      <c r="BV901">
        <f>$C901*BV900</f>
        <v/>
      </c>
      <c r="BW901">
        <f>$C901*BW900</f>
        <v/>
      </c>
      <c r="BX901">
        <f>$C901*BX900</f>
        <v/>
      </c>
      <c r="BY901">
        <f>$C901*BY900</f>
        <v/>
      </c>
      <c r="BZ901">
        <f>$C901*BZ900</f>
        <v/>
      </c>
      <c r="CA901">
        <f>$C901*CA900</f>
        <v/>
      </c>
      <c r="CB901">
        <f>$C901*CB900</f>
        <v/>
      </c>
      <c r="CC901">
        <f>$C901*CC900</f>
        <v/>
      </c>
      <c r="CD901">
        <f>$C901*CD900</f>
        <v/>
      </c>
      <c r="CE901">
        <f>$C901*CE900</f>
        <v/>
      </c>
      <c r="CF901">
        <f>$C901*CF900</f>
        <v/>
      </c>
      <c r="CG901">
        <f>$C901*CG900</f>
        <v/>
      </c>
      <c r="CH901">
        <f>$C901*CH900</f>
        <v/>
      </c>
      <c r="CI901">
        <f>$C901*CI900</f>
        <v/>
      </c>
      <c r="CJ901">
        <f>$C901*CJ900</f>
        <v/>
      </c>
      <c r="CK901">
        <f>$C901*CK900</f>
        <v/>
      </c>
      <c r="CL901">
        <f>$C901*CL900</f>
        <v/>
      </c>
      <c r="CM901">
        <f>$C901*CM900</f>
        <v/>
      </c>
      <c r="CN901">
        <f>$C901*CN900</f>
        <v/>
      </c>
      <c r="CO901">
        <f>$C901*CO900</f>
        <v/>
      </c>
      <c r="CP901">
        <f>$C901*CP900</f>
        <v/>
      </c>
      <c r="CQ901">
        <f>$C901*CQ900</f>
        <v/>
      </c>
      <c r="CR901">
        <f>$C901*CR900</f>
        <v/>
      </c>
      <c r="CS901">
        <f>$C901*CS900</f>
        <v/>
      </c>
      <c r="CT901">
        <f>$C901*CT900</f>
        <v/>
      </c>
      <c r="CU901">
        <f>$C901*CU900</f>
        <v/>
      </c>
      <c r="CV901">
        <f>$C901*CV900</f>
        <v/>
      </c>
      <c r="CW901">
        <f>$C901*CW900</f>
        <v/>
      </c>
      <c r="CX901">
        <f>$C901*CX900</f>
        <v/>
      </c>
      <c r="CY901">
        <f>$C901*CY900</f>
        <v/>
      </c>
      <c r="CZ901">
        <f>$C901*CZ900</f>
        <v/>
      </c>
      <c r="DA901">
        <f>$C901*DA900</f>
        <v/>
      </c>
      <c r="DB901">
        <f>$C901*DB900</f>
        <v/>
      </c>
      <c r="DC901">
        <f>$C901*DC900</f>
        <v/>
      </c>
    </row>
    <row r="902">
      <c r="B902" t="inlineStr">
        <is>
          <t>TSP-935</t>
        </is>
      </c>
      <c r="C902" t="inlineStr">
        <is>
          <t>No. of batches</t>
        </is>
      </c>
      <c r="D902">
        <f>IFERROR(INDEX(PP_Grid[#Data],$DD902,2),0)</f>
        <v/>
      </c>
      <c r="E902">
        <f>IFERROR(INDEX(PP_Grid[#Data],$DD902,3),0)</f>
        <v/>
      </c>
      <c r="F902">
        <f>IFERROR(INDEX(PP_Grid[#Data],$DD902,4),0)</f>
        <v/>
      </c>
      <c r="G902">
        <f>IFERROR(INDEX(PP_Grid[#Data],$DD902,5),0)</f>
        <v/>
      </c>
      <c r="H902">
        <f>IFERROR(INDEX(PP_Grid[#Data],$DD902,6),0)</f>
        <v/>
      </c>
      <c r="I902">
        <f>IFERROR(INDEX(PP_Grid[#Data],$DD902,7),0)</f>
        <v/>
      </c>
      <c r="J902">
        <f>IFERROR(INDEX(PP_Grid[#Data],$DD902,8),0)</f>
        <v/>
      </c>
      <c r="K902">
        <f>IFERROR(INDEX(PP_Grid[#Data],$DD902,9),0)</f>
        <v/>
      </c>
      <c r="L902">
        <f>IFERROR(INDEX(PP_Grid[#Data],$DD902,10),0)</f>
        <v/>
      </c>
      <c r="M902">
        <f>IFERROR(INDEX(PP_Grid[#Data],$DD902,11),0)</f>
        <v/>
      </c>
      <c r="N902">
        <f>IFERROR(INDEX(PP_Grid[#Data],$DD902,12),0)</f>
        <v/>
      </c>
      <c r="O902">
        <f>IFERROR(INDEX(PP_Grid[#Data],$DD902,13),0)</f>
        <v/>
      </c>
      <c r="P902">
        <f>IFERROR(INDEX(PP_Grid[#Data],$DD902,14),0)</f>
        <v/>
      </c>
      <c r="Q902">
        <f>IFERROR(INDEX(PP_Grid[#Data],$DD902,15),0)</f>
        <v/>
      </c>
      <c r="R902">
        <f>IFERROR(INDEX(PP_Grid[#Data],$DD902,16),0)</f>
        <v/>
      </c>
      <c r="S902">
        <f>IFERROR(INDEX(PP_Grid[#Data],$DD902,17),0)</f>
        <v/>
      </c>
      <c r="T902">
        <f>IFERROR(INDEX(PP_Grid[#Data],$DD902,18),0)</f>
        <v/>
      </c>
      <c r="U902">
        <f>IFERROR(INDEX(PP_Grid[#Data],$DD902,19),0)</f>
        <v/>
      </c>
      <c r="V902">
        <f>IFERROR(INDEX(PP_Grid[#Data],$DD902,20),0)</f>
        <v/>
      </c>
      <c r="W902">
        <f>IFERROR(INDEX(PP_Grid[#Data],$DD902,21),0)</f>
        <v/>
      </c>
      <c r="X902">
        <f>IFERROR(INDEX(PP_Grid[#Data],$DD902,22),0)</f>
        <v/>
      </c>
      <c r="Y902">
        <f>IFERROR(INDEX(PP_Grid[#Data],$DD902,23),0)</f>
        <v/>
      </c>
      <c r="Z902">
        <f>IFERROR(INDEX(PP_Grid[#Data],$DD902,24),0)</f>
        <v/>
      </c>
      <c r="AA902">
        <f>IFERROR(INDEX(PP_Grid[#Data],$DD902,25),0)</f>
        <v/>
      </c>
      <c r="AB902">
        <f>IFERROR(INDEX(PP_Grid[#Data],$DD902,26),0)</f>
        <v/>
      </c>
      <c r="AC902">
        <f>IFERROR(INDEX(PP_Grid[#Data],$DD902,27),0)</f>
        <v/>
      </c>
      <c r="AD902">
        <f>IFERROR(INDEX(PP_Grid[#Data],$DD902,28),0)</f>
        <v/>
      </c>
      <c r="AE902">
        <f>IFERROR(INDEX(PP_Grid[#Data],$DD902,29),0)</f>
        <v/>
      </c>
      <c r="AF902">
        <f>IFERROR(INDEX(PP_Grid[#Data],$DD902,30),0)</f>
        <v/>
      </c>
      <c r="AG902">
        <f>IFERROR(INDEX(PP_Grid[#Data],$DD902,31),0)</f>
        <v/>
      </c>
      <c r="AH902">
        <f>IFERROR(INDEX(PP_Grid[#Data],$DD902,32),0)</f>
        <v/>
      </c>
      <c r="AI902">
        <f>IFERROR(INDEX(PP_Grid[#Data],$DD902,33),0)</f>
        <v/>
      </c>
      <c r="AJ902">
        <f>IFERROR(INDEX(PP_Grid[#Data],$DD902,34),0)</f>
        <v/>
      </c>
      <c r="AK902">
        <f>IFERROR(INDEX(PP_Grid[#Data],$DD902,35),0)</f>
        <v/>
      </c>
      <c r="AL902">
        <f>IFERROR(INDEX(PP_Grid[#Data],$DD902,36),0)</f>
        <v/>
      </c>
      <c r="AM902">
        <f>IFERROR(INDEX(PP_Grid[#Data],$DD902,37),0)</f>
        <v/>
      </c>
      <c r="AN902">
        <f>IFERROR(INDEX(PP_Grid[#Data],$DD902,38),0)</f>
        <v/>
      </c>
      <c r="AO902">
        <f>IFERROR(INDEX(PP_Grid[#Data],$DD902,39),0)</f>
        <v/>
      </c>
      <c r="AP902">
        <f>IFERROR(INDEX(PP_Grid[#Data],$DD902,40),0)</f>
        <v/>
      </c>
      <c r="AQ902">
        <f>IFERROR(INDEX(PP_Grid[#Data],$DD902,41),0)</f>
        <v/>
      </c>
      <c r="AR902">
        <f>IFERROR(INDEX(PP_Grid[#Data],$DD902,42),0)</f>
        <v/>
      </c>
      <c r="AS902">
        <f>IFERROR(INDEX(PP_Grid[#Data],$DD902,43),0)</f>
        <v/>
      </c>
      <c r="AT902">
        <f>IFERROR(INDEX(PP_Grid[#Data],$DD902,44),0)</f>
        <v/>
      </c>
      <c r="AU902">
        <f>IFERROR(INDEX(PP_Grid[#Data],$DD902,45),0)</f>
        <v/>
      </c>
      <c r="AV902">
        <f>IFERROR(INDEX(PP_Grid[#Data],$DD902,46),0)</f>
        <v/>
      </c>
      <c r="AW902">
        <f>IFERROR(INDEX(PP_Grid[#Data],$DD902,47),0)</f>
        <v/>
      </c>
      <c r="AX902">
        <f>IFERROR(INDEX(PP_Grid[#Data],$DD902,48),0)</f>
        <v/>
      </c>
      <c r="AY902">
        <f>IFERROR(INDEX(PP_Grid[#Data],$DD902,49),0)</f>
        <v/>
      </c>
      <c r="AZ902">
        <f>IFERROR(INDEX(PP_Grid[#Data],$DD902,50),0)</f>
        <v/>
      </c>
      <c r="BA902">
        <f>IFERROR(INDEX(PP_Grid[#Data],$DD902,51),0)</f>
        <v/>
      </c>
      <c r="BB902">
        <f>IFERROR(INDEX(PP_Grid[#Data],$DD902,52),0)</f>
        <v/>
      </c>
      <c r="BC902">
        <f>IFERROR(INDEX(PP_Grid[#Data],$DD902,53),0)</f>
        <v/>
      </c>
      <c r="BD902">
        <f>IFERROR(INDEX(PP_Grid[#Data],$DD902,54),0)</f>
        <v/>
      </c>
      <c r="BE902">
        <f>IFERROR(INDEX(PP_Grid[#Data],$DD902,55),0)</f>
        <v/>
      </c>
      <c r="BF902">
        <f>IFERROR(INDEX(PP_Grid[#Data],$DD902,56),0)</f>
        <v/>
      </c>
      <c r="BG902">
        <f>IFERROR(INDEX(PP_Grid[#Data],$DD902,57),0)</f>
        <v/>
      </c>
      <c r="BH902">
        <f>IFERROR(INDEX(PP_Grid[#Data],$DD902,58),0)</f>
        <v/>
      </c>
      <c r="BI902">
        <f>IFERROR(INDEX(PP_Grid[#Data],$DD902,59),0)</f>
        <v/>
      </c>
      <c r="BJ902">
        <f>IFERROR(INDEX(PP_Grid[#Data],$DD902,60),0)</f>
        <v/>
      </c>
      <c r="BK902">
        <f>IFERROR(INDEX(PP_Grid[#Data],$DD902,61),0)</f>
        <v/>
      </c>
      <c r="BL902">
        <f>IFERROR(INDEX(PP_Grid[#Data],$DD902,62),0)</f>
        <v/>
      </c>
      <c r="BM902">
        <f>IFERROR(INDEX(PP_Grid[#Data],$DD902,63),0)</f>
        <v/>
      </c>
      <c r="BN902">
        <f>IFERROR(INDEX(PP_Grid[#Data],$DD902,64),0)</f>
        <v/>
      </c>
      <c r="BO902">
        <f>IFERROR(INDEX(PP_Grid[#Data],$DD902,65),0)</f>
        <v/>
      </c>
      <c r="BP902">
        <f>IFERROR(INDEX(PP_Grid[#Data],$DD902,66),0)</f>
        <v/>
      </c>
      <c r="BQ902">
        <f>IFERROR(INDEX(PP_Grid[#Data],$DD902,67),0)</f>
        <v/>
      </c>
      <c r="BR902">
        <f>IFERROR(INDEX(PP_Grid[#Data],$DD902,68),0)</f>
        <v/>
      </c>
      <c r="BS902">
        <f>IFERROR(INDEX(PP_Grid[#Data],$DD902,69),0)</f>
        <v/>
      </c>
      <c r="BT902">
        <f>IFERROR(INDEX(PP_Grid[#Data],$DD902,70),0)</f>
        <v/>
      </c>
      <c r="BU902">
        <f>IFERROR(INDEX(PP_Grid[#Data],$DD902,71),0)</f>
        <v/>
      </c>
      <c r="BV902">
        <f>IFERROR(INDEX(PP_Grid[#Data],$DD902,72),0)</f>
        <v/>
      </c>
      <c r="BW902">
        <f>IFERROR(INDEX(PP_Grid[#Data],$DD902,73),0)</f>
        <v/>
      </c>
      <c r="BX902">
        <f>IFERROR(INDEX(PP_Grid[#Data],$DD902,74),0)</f>
        <v/>
      </c>
      <c r="BY902">
        <f>IFERROR(INDEX(PP_Grid[#Data],$DD902,75),0)</f>
        <v/>
      </c>
      <c r="BZ902">
        <f>IFERROR(INDEX(PP_Grid[#Data],$DD902,76),0)</f>
        <v/>
      </c>
      <c r="CA902">
        <f>IFERROR(INDEX(PP_Grid[#Data],$DD902,77),0)</f>
        <v/>
      </c>
      <c r="CB902">
        <f>IFERROR(INDEX(PP_Grid[#Data],$DD902,78),0)</f>
        <v/>
      </c>
      <c r="CC902">
        <f>IFERROR(INDEX(PP_Grid[#Data],$DD902,79),0)</f>
        <v/>
      </c>
      <c r="CD902">
        <f>IFERROR(INDEX(PP_Grid[#Data],$DD902,80),0)</f>
        <v/>
      </c>
      <c r="CE902">
        <f>IFERROR(INDEX(PP_Grid[#Data],$DD902,81),0)</f>
        <v/>
      </c>
      <c r="CF902">
        <f>IFERROR(INDEX(PP_Grid[#Data],$DD902,82),0)</f>
        <v/>
      </c>
      <c r="CG902">
        <f>IFERROR(INDEX(PP_Grid[#Data],$DD902,83),0)</f>
        <v/>
      </c>
      <c r="CH902">
        <f>IFERROR(INDEX(PP_Grid[#Data],$DD902,84),0)</f>
        <v/>
      </c>
      <c r="CI902">
        <f>IFERROR(INDEX(PP_Grid[#Data],$DD902,85),0)</f>
        <v/>
      </c>
      <c r="CJ902">
        <f>IFERROR(INDEX(PP_Grid[#Data],$DD902,86),0)</f>
        <v/>
      </c>
      <c r="CK902">
        <f>IFERROR(INDEX(PP_Grid[#Data],$DD902,87),0)</f>
        <v/>
      </c>
      <c r="CL902">
        <f>IFERROR(INDEX(PP_Grid[#Data],$DD902,88),0)</f>
        <v/>
      </c>
      <c r="CM902">
        <f>IFERROR(INDEX(PP_Grid[#Data],$DD902,89),0)</f>
        <v/>
      </c>
      <c r="CN902">
        <f>IFERROR(INDEX(PP_Grid[#Data],$DD902,90),0)</f>
        <v/>
      </c>
      <c r="CO902">
        <f>IFERROR(INDEX(PP_Grid[#Data],$DD902,91),0)</f>
        <v/>
      </c>
      <c r="CP902">
        <f>IFERROR(INDEX(PP_Grid[#Data],$DD902,92),0)</f>
        <v/>
      </c>
      <c r="CQ902">
        <f>IFERROR(INDEX(PP_Grid[#Data],$DD902,93),0)</f>
        <v/>
      </c>
      <c r="CR902">
        <f>IFERROR(INDEX(PP_Grid[#Data],$DD902,94),0)</f>
        <v/>
      </c>
      <c r="CS902">
        <f>IFERROR(INDEX(PP_Grid[#Data],$DD902,95),0)</f>
        <v/>
      </c>
      <c r="CT902">
        <f>IFERROR(INDEX(PP_Grid[#Data],$DD902,96),0)</f>
        <v/>
      </c>
      <c r="CU902">
        <f>IFERROR(INDEX(PP_Grid[#Data],$DD902,97),0)</f>
        <v/>
      </c>
      <c r="CV902">
        <f>IFERROR(INDEX(PP_Grid[#Data],$DD902,98),0)</f>
        <v/>
      </c>
      <c r="CW902">
        <f>IFERROR(INDEX(PP_Grid[#Data],$DD902,99),0)</f>
        <v/>
      </c>
      <c r="CX902">
        <f>IFERROR(INDEX(PP_Grid[#Data],$DD902,100),0)</f>
        <v/>
      </c>
      <c r="CY902">
        <f>IFERROR(INDEX(PP_Grid[#Data],$DD902,101),0)</f>
        <v/>
      </c>
      <c r="CZ902">
        <f>IFERROR(INDEX(PP_Grid[#Data],$DD902,102),0)</f>
        <v/>
      </c>
      <c r="DA902">
        <f>IFERROR(INDEX(PP_Grid[#Data],$DD902,103),0)</f>
        <v/>
      </c>
      <c r="DB902">
        <f>IFERROR(INDEX(PP_Grid[#Data],$DD902,104),0)</f>
        <v/>
      </c>
      <c r="DC902">
        <f>IFERROR(INDEX(PP_Grid[#Data],$DD902,105),0)</f>
        <v/>
      </c>
      <c r="DD902" s="7">
        <f>IFERROR(MATCH($B902,PP_Grid[Intermediate],0),99999)</f>
        <v/>
      </c>
    </row>
    <row r="903">
      <c r="B903" t="inlineStr">
        <is>
          <t>使用量(kg)</t>
        </is>
      </c>
      <c r="C903">
        <f>SUMIFS(M_BOM[RM_Qty_Per_Batch],M_BOM[Intermediate],$B902,M_BOM[Part Name],$A895)</f>
        <v/>
      </c>
      <c r="D903">
        <f>$C903*D902</f>
        <v/>
      </c>
      <c r="E903">
        <f>$C903*E902</f>
        <v/>
      </c>
      <c r="F903">
        <f>$C903*F902</f>
        <v/>
      </c>
      <c r="G903">
        <f>$C903*G902</f>
        <v/>
      </c>
      <c r="H903">
        <f>$C903*H902</f>
        <v/>
      </c>
      <c r="I903">
        <f>$C903*I902</f>
        <v/>
      </c>
      <c r="J903">
        <f>$C903*J902</f>
        <v/>
      </c>
      <c r="K903">
        <f>$C903*K902</f>
        <v/>
      </c>
      <c r="L903">
        <f>$C903*L902</f>
        <v/>
      </c>
      <c r="M903">
        <f>$C903*M902</f>
        <v/>
      </c>
      <c r="N903">
        <f>$C903*N902</f>
        <v/>
      </c>
      <c r="O903">
        <f>$C903*O902</f>
        <v/>
      </c>
      <c r="P903">
        <f>$C903*P902</f>
        <v/>
      </c>
      <c r="Q903">
        <f>$C903*Q902</f>
        <v/>
      </c>
      <c r="R903">
        <f>$C903*R902</f>
        <v/>
      </c>
      <c r="S903">
        <f>$C903*S902</f>
        <v/>
      </c>
      <c r="T903">
        <f>$C903*T902</f>
        <v/>
      </c>
      <c r="U903">
        <f>$C903*U902</f>
        <v/>
      </c>
      <c r="V903">
        <f>$C903*V902</f>
        <v/>
      </c>
      <c r="W903">
        <f>$C903*W902</f>
        <v/>
      </c>
      <c r="X903">
        <f>$C903*X902</f>
        <v/>
      </c>
      <c r="Y903">
        <f>$C903*Y902</f>
        <v/>
      </c>
      <c r="Z903">
        <f>$C903*Z902</f>
        <v/>
      </c>
      <c r="AA903">
        <f>$C903*AA902</f>
        <v/>
      </c>
      <c r="AB903">
        <f>$C903*AB902</f>
        <v/>
      </c>
      <c r="AC903">
        <f>$C903*AC902</f>
        <v/>
      </c>
      <c r="AD903">
        <f>$C903*AD902</f>
        <v/>
      </c>
      <c r="AE903">
        <f>$C903*AE902</f>
        <v/>
      </c>
      <c r="AF903">
        <f>$C903*AF902</f>
        <v/>
      </c>
      <c r="AG903">
        <f>$C903*AG902</f>
        <v/>
      </c>
      <c r="AH903">
        <f>$C903*AH902</f>
        <v/>
      </c>
      <c r="AI903">
        <f>$C903*AI902</f>
        <v/>
      </c>
      <c r="AJ903">
        <f>$C903*AJ902</f>
        <v/>
      </c>
      <c r="AK903">
        <f>$C903*AK902</f>
        <v/>
      </c>
      <c r="AL903">
        <f>$C903*AL902</f>
        <v/>
      </c>
      <c r="AM903">
        <f>$C903*AM902</f>
        <v/>
      </c>
      <c r="AN903">
        <f>$C903*AN902</f>
        <v/>
      </c>
      <c r="AO903">
        <f>$C903*AO902</f>
        <v/>
      </c>
      <c r="AP903">
        <f>$C903*AP902</f>
        <v/>
      </c>
      <c r="AQ903">
        <f>$C903*AQ902</f>
        <v/>
      </c>
      <c r="AR903">
        <f>$C903*AR902</f>
        <v/>
      </c>
      <c r="AS903">
        <f>$C903*AS902</f>
        <v/>
      </c>
      <c r="AT903">
        <f>$C903*AT902</f>
        <v/>
      </c>
      <c r="AU903">
        <f>$C903*AU902</f>
        <v/>
      </c>
      <c r="AV903">
        <f>$C903*AV902</f>
        <v/>
      </c>
      <c r="AW903">
        <f>$C903*AW902</f>
        <v/>
      </c>
      <c r="AX903">
        <f>$C903*AX902</f>
        <v/>
      </c>
      <c r="AY903">
        <f>$C903*AY902</f>
        <v/>
      </c>
      <c r="AZ903">
        <f>$C903*AZ902</f>
        <v/>
      </c>
      <c r="BA903">
        <f>$C903*BA902</f>
        <v/>
      </c>
      <c r="BB903">
        <f>$C903*BB902</f>
        <v/>
      </c>
      <c r="BC903">
        <f>$C903*BC902</f>
        <v/>
      </c>
      <c r="BD903">
        <f>$C903*BD902</f>
        <v/>
      </c>
      <c r="BE903">
        <f>$C903*BE902</f>
        <v/>
      </c>
      <c r="BF903">
        <f>$C903*BF902</f>
        <v/>
      </c>
      <c r="BG903">
        <f>$C903*BG902</f>
        <v/>
      </c>
      <c r="BH903">
        <f>$C903*BH902</f>
        <v/>
      </c>
      <c r="BI903">
        <f>$C903*BI902</f>
        <v/>
      </c>
      <c r="BJ903">
        <f>$C903*BJ902</f>
        <v/>
      </c>
      <c r="BK903">
        <f>$C903*BK902</f>
        <v/>
      </c>
      <c r="BL903">
        <f>$C903*BL902</f>
        <v/>
      </c>
      <c r="BM903">
        <f>$C903*BM902</f>
        <v/>
      </c>
      <c r="BN903">
        <f>$C903*BN902</f>
        <v/>
      </c>
      <c r="BO903">
        <f>$C903*BO902</f>
        <v/>
      </c>
      <c r="BP903">
        <f>$C903*BP902</f>
        <v/>
      </c>
      <c r="BQ903">
        <f>$C903*BQ902</f>
        <v/>
      </c>
      <c r="BR903">
        <f>$C903*BR902</f>
        <v/>
      </c>
      <c r="BS903">
        <f>$C903*BS902</f>
        <v/>
      </c>
      <c r="BT903">
        <f>$C903*BT902</f>
        <v/>
      </c>
      <c r="BU903">
        <f>$C903*BU902</f>
        <v/>
      </c>
      <c r="BV903">
        <f>$C903*BV902</f>
        <v/>
      </c>
      <c r="BW903">
        <f>$C903*BW902</f>
        <v/>
      </c>
      <c r="BX903">
        <f>$C903*BX902</f>
        <v/>
      </c>
      <c r="BY903">
        <f>$C903*BY902</f>
        <v/>
      </c>
      <c r="BZ903">
        <f>$C903*BZ902</f>
        <v/>
      </c>
      <c r="CA903">
        <f>$C903*CA902</f>
        <v/>
      </c>
      <c r="CB903">
        <f>$C903*CB902</f>
        <v/>
      </c>
      <c r="CC903">
        <f>$C903*CC902</f>
        <v/>
      </c>
      <c r="CD903">
        <f>$C903*CD902</f>
        <v/>
      </c>
      <c r="CE903">
        <f>$C903*CE902</f>
        <v/>
      </c>
      <c r="CF903">
        <f>$C903*CF902</f>
        <v/>
      </c>
      <c r="CG903">
        <f>$C903*CG902</f>
        <v/>
      </c>
      <c r="CH903">
        <f>$C903*CH902</f>
        <v/>
      </c>
      <c r="CI903">
        <f>$C903*CI902</f>
        <v/>
      </c>
      <c r="CJ903">
        <f>$C903*CJ902</f>
        <v/>
      </c>
      <c r="CK903">
        <f>$C903*CK902</f>
        <v/>
      </c>
      <c r="CL903">
        <f>$C903*CL902</f>
        <v/>
      </c>
      <c r="CM903">
        <f>$C903*CM902</f>
        <v/>
      </c>
      <c r="CN903">
        <f>$C903*CN902</f>
        <v/>
      </c>
      <c r="CO903">
        <f>$C903*CO902</f>
        <v/>
      </c>
      <c r="CP903">
        <f>$C903*CP902</f>
        <v/>
      </c>
      <c r="CQ903">
        <f>$C903*CQ902</f>
        <v/>
      </c>
      <c r="CR903">
        <f>$C903*CR902</f>
        <v/>
      </c>
      <c r="CS903">
        <f>$C903*CS902</f>
        <v/>
      </c>
      <c r="CT903">
        <f>$C903*CT902</f>
        <v/>
      </c>
      <c r="CU903">
        <f>$C903*CU902</f>
        <v/>
      </c>
      <c r="CV903">
        <f>$C903*CV902</f>
        <v/>
      </c>
      <c r="CW903">
        <f>$C903*CW902</f>
        <v/>
      </c>
      <c r="CX903">
        <f>$C903*CX902</f>
        <v/>
      </c>
      <c r="CY903">
        <f>$C903*CY902</f>
        <v/>
      </c>
      <c r="CZ903">
        <f>$C903*CZ902</f>
        <v/>
      </c>
      <c r="DA903">
        <f>$C903*DA902</f>
        <v/>
      </c>
      <c r="DB903">
        <f>$C903*DB902</f>
        <v/>
      </c>
      <c r="DC903">
        <f>$C903*DC902</f>
        <v/>
      </c>
    </row>
    <row r="904">
      <c r="B904" t="inlineStr">
        <is>
          <t>TSP-936</t>
        </is>
      </c>
      <c r="C904" t="inlineStr">
        <is>
          <t>No. of batches</t>
        </is>
      </c>
      <c r="D904">
        <f>IFERROR(INDEX(PP_Grid[#Data],$DD904,2),0)</f>
        <v/>
      </c>
      <c r="E904">
        <f>IFERROR(INDEX(PP_Grid[#Data],$DD904,3),0)</f>
        <v/>
      </c>
      <c r="F904">
        <f>IFERROR(INDEX(PP_Grid[#Data],$DD904,4),0)</f>
        <v/>
      </c>
      <c r="G904">
        <f>IFERROR(INDEX(PP_Grid[#Data],$DD904,5),0)</f>
        <v/>
      </c>
      <c r="H904">
        <f>IFERROR(INDEX(PP_Grid[#Data],$DD904,6),0)</f>
        <v/>
      </c>
      <c r="I904">
        <f>IFERROR(INDEX(PP_Grid[#Data],$DD904,7),0)</f>
        <v/>
      </c>
      <c r="J904">
        <f>IFERROR(INDEX(PP_Grid[#Data],$DD904,8),0)</f>
        <v/>
      </c>
      <c r="K904">
        <f>IFERROR(INDEX(PP_Grid[#Data],$DD904,9),0)</f>
        <v/>
      </c>
      <c r="L904">
        <f>IFERROR(INDEX(PP_Grid[#Data],$DD904,10),0)</f>
        <v/>
      </c>
      <c r="M904">
        <f>IFERROR(INDEX(PP_Grid[#Data],$DD904,11),0)</f>
        <v/>
      </c>
      <c r="N904">
        <f>IFERROR(INDEX(PP_Grid[#Data],$DD904,12),0)</f>
        <v/>
      </c>
      <c r="O904">
        <f>IFERROR(INDEX(PP_Grid[#Data],$DD904,13),0)</f>
        <v/>
      </c>
      <c r="P904">
        <f>IFERROR(INDEX(PP_Grid[#Data],$DD904,14),0)</f>
        <v/>
      </c>
      <c r="Q904">
        <f>IFERROR(INDEX(PP_Grid[#Data],$DD904,15),0)</f>
        <v/>
      </c>
      <c r="R904">
        <f>IFERROR(INDEX(PP_Grid[#Data],$DD904,16),0)</f>
        <v/>
      </c>
      <c r="S904">
        <f>IFERROR(INDEX(PP_Grid[#Data],$DD904,17),0)</f>
        <v/>
      </c>
      <c r="T904">
        <f>IFERROR(INDEX(PP_Grid[#Data],$DD904,18),0)</f>
        <v/>
      </c>
      <c r="U904">
        <f>IFERROR(INDEX(PP_Grid[#Data],$DD904,19),0)</f>
        <v/>
      </c>
      <c r="V904">
        <f>IFERROR(INDEX(PP_Grid[#Data],$DD904,20),0)</f>
        <v/>
      </c>
      <c r="W904">
        <f>IFERROR(INDEX(PP_Grid[#Data],$DD904,21),0)</f>
        <v/>
      </c>
      <c r="X904">
        <f>IFERROR(INDEX(PP_Grid[#Data],$DD904,22),0)</f>
        <v/>
      </c>
      <c r="Y904">
        <f>IFERROR(INDEX(PP_Grid[#Data],$DD904,23),0)</f>
        <v/>
      </c>
      <c r="Z904">
        <f>IFERROR(INDEX(PP_Grid[#Data],$DD904,24),0)</f>
        <v/>
      </c>
      <c r="AA904">
        <f>IFERROR(INDEX(PP_Grid[#Data],$DD904,25),0)</f>
        <v/>
      </c>
      <c r="AB904">
        <f>IFERROR(INDEX(PP_Grid[#Data],$DD904,26),0)</f>
        <v/>
      </c>
      <c r="AC904">
        <f>IFERROR(INDEX(PP_Grid[#Data],$DD904,27),0)</f>
        <v/>
      </c>
      <c r="AD904">
        <f>IFERROR(INDEX(PP_Grid[#Data],$DD904,28),0)</f>
        <v/>
      </c>
      <c r="AE904">
        <f>IFERROR(INDEX(PP_Grid[#Data],$DD904,29),0)</f>
        <v/>
      </c>
      <c r="AF904">
        <f>IFERROR(INDEX(PP_Grid[#Data],$DD904,30),0)</f>
        <v/>
      </c>
      <c r="AG904">
        <f>IFERROR(INDEX(PP_Grid[#Data],$DD904,31),0)</f>
        <v/>
      </c>
      <c r="AH904">
        <f>IFERROR(INDEX(PP_Grid[#Data],$DD904,32),0)</f>
        <v/>
      </c>
      <c r="AI904">
        <f>IFERROR(INDEX(PP_Grid[#Data],$DD904,33),0)</f>
        <v/>
      </c>
      <c r="AJ904">
        <f>IFERROR(INDEX(PP_Grid[#Data],$DD904,34),0)</f>
        <v/>
      </c>
      <c r="AK904">
        <f>IFERROR(INDEX(PP_Grid[#Data],$DD904,35),0)</f>
        <v/>
      </c>
      <c r="AL904">
        <f>IFERROR(INDEX(PP_Grid[#Data],$DD904,36),0)</f>
        <v/>
      </c>
      <c r="AM904">
        <f>IFERROR(INDEX(PP_Grid[#Data],$DD904,37),0)</f>
        <v/>
      </c>
      <c r="AN904">
        <f>IFERROR(INDEX(PP_Grid[#Data],$DD904,38),0)</f>
        <v/>
      </c>
      <c r="AO904">
        <f>IFERROR(INDEX(PP_Grid[#Data],$DD904,39),0)</f>
        <v/>
      </c>
      <c r="AP904">
        <f>IFERROR(INDEX(PP_Grid[#Data],$DD904,40),0)</f>
        <v/>
      </c>
      <c r="AQ904">
        <f>IFERROR(INDEX(PP_Grid[#Data],$DD904,41),0)</f>
        <v/>
      </c>
      <c r="AR904">
        <f>IFERROR(INDEX(PP_Grid[#Data],$DD904,42),0)</f>
        <v/>
      </c>
      <c r="AS904">
        <f>IFERROR(INDEX(PP_Grid[#Data],$DD904,43),0)</f>
        <v/>
      </c>
      <c r="AT904">
        <f>IFERROR(INDEX(PP_Grid[#Data],$DD904,44),0)</f>
        <v/>
      </c>
      <c r="AU904">
        <f>IFERROR(INDEX(PP_Grid[#Data],$DD904,45),0)</f>
        <v/>
      </c>
      <c r="AV904">
        <f>IFERROR(INDEX(PP_Grid[#Data],$DD904,46),0)</f>
        <v/>
      </c>
      <c r="AW904">
        <f>IFERROR(INDEX(PP_Grid[#Data],$DD904,47),0)</f>
        <v/>
      </c>
      <c r="AX904">
        <f>IFERROR(INDEX(PP_Grid[#Data],$DD904,48),0)</f>
        <v/>
      </c>
      <c r="AY904">
        <f>IFERROR(INDEX(PP_Grid[#Data],$DD904,49),0)</f>
        <v/>
      </c>
      <c r="AZ904">
        <f>IFERROR(INDEX(PP_Grid[#Data],$DD904,50),0)</f>
        <v/>
      </c>
      <c r="BA904">
        <f>IFERROR(INDEX(PP_Grid[#Data],$DD904,51),0)</f>
        <v/>
      </c>
      <c r="BB904">
        <f>IFERROR(INDEX(PP_Grid[#Data],$DD904,52),0)</f>
        <v/>
      </c>
      <c r="BC904">
        <f>IFERROR(INDEX(PP_Grid[#Data],$DD904,53),0)</f>
        <v/>
      </c>
      <c r="BD904">
        <f>IFERROR(INDEX(PP_Grid[#Data],$DD904,54),0)</f>
        <v/>
      </c>
      <c r="BE904">
        <f>IFERROR(INDEX(PP_Grid[#Data],$DD904,55),0)</f>
        <v/>
      </c>
      <c r="BF904">
        <f>IFERROR(INDEX(PP_Grid[#Data],$DD904,56),0)</f>
        <v/>
      </c>
      <c r="BG904">
        <f>IFERROR(INDEX(PP_Grid[#Data],$DD904,57),0)</f>
        <v/>
      </c>
      <c r="BH904">
        <f>IFERROR(INDEX(PP_Grid[#Data],$DD904,58),0)</f>
        <v/>
      </c>
      <c r="BI904">
        <f>IFERROR(INDEX(PP_Grid[#Data],$DD904,59),0)</f>
        <v/>
      </c>
      <c r="BJ904">
        <f>IFERROR(INDEX(PP_Grid[#Data],$DD904,60),0)</f>
        <v/>
      </c>
      <c r="BK904">
        <f>IFERROR(INDEX(PP_Grid[#Data],$DD904,61),0)</f>
        <v/>
      </c>
      <c r="BL904">
        <f>IFERROR(INDEX(PP_Grid[#Data],$DD904,62),0)</f>
        <v/>
      </c>
      <c r="BM904">
        <f>IFERROR(INDEX(PP_Grid[#Data],$DD904,63),0)</f>
        <v/>
      </c>
      <c r="BN904">
        <f>IFERROR(INDEX(PP_Grid[#Data],$DD904,64),0)</f>
        <v/>
      </c>
      <c r="BO904">
        <f>IFERROR(INDEX(PP_Grid[#Data],$DD904,65),0)</f>
        <v/>
      </c>
      <c r="BP904">
        <f>IFERROR(INDEX(PP_Grid[#Data],$DD904,66),0)</f>
        <v/>
      </c>
      <c r="BQ904">
        <f>IFERROR(INDEX(PP_Grid[#Data],$DD904,67),0)</f>
        <v/>
      </c>
      <c r="BR904">
        <f>IFERROR(INDEX(PP_Grid[#Data],$DD904,68),0)</f>
        <v/>
      </c>
      <c r="BS904">
        <f>IFERROR(INDEX(PP_Grid[#Data],$DD904,69),0)</f>
        <v/>
      </c>
      <c r="BT904">
        <f>IFERROR(INDEX(PP_Grid[#Data],$DD904,70),0)</f>
        <v/>
      </c>
      <c r="BU904">
        <f>IFERROR(INDEX(PP_Grid[#Data],$DD904,71),0)</f>
        <v/>
      </c>
      <c r="BV904">
        <f>IFERROR(INDEX(PP_Grid[#Data],$DD904,72),0)</f>
        <v/>
      </c>
      <c r="BW904">
        <f>IFERROR(INDEX(PP_Grid[#Data],$DD904,73),0)</f>
        <v/>
      </c>
      <c r="BX904">
        <f>IFERROR(INDEX(PP_Grid[#Data],$DD904,74),0)</f>
        <v/>
      </c>
      <c r="BY904">
        <f>IFERROR(INDEX(PP_Grid[#Data],$DD904,75),0)</f>
        <v/>
      </c>
      <c r="BZ904">
        <f>IFERROR(INDEX(PP_Grid[#Data],$DD904,76),0)</f>
        <v/>
      </c>
      <c r="CA904">
        <f>IFERROR(INDEX(PP_Grid[#Data],$DD904,77),0)</f>
        <v/>
      </c>
      <c r="CB904">
        <f>IFERROR(INDEX(PP_Grid[#Data],$DD904,78),0)</f>
        <v/>
      </c>
      <c r="CC904">
        <f>IFERROR(INDEX(PP_Grid[#Data],$DD904,79),0)</f>
        <v/>
      </c>
      <c r="CD904">
        <f>IFERROR(INDEX(PP_Grid[#Data],$DD904,80),0)</f>
        <v/>
      </c>
      <c r="CE904">
        <f>IFERROR(INDEX(PP_Grid[#Data],$DD904,81),0)</f>
        <v/>
      </c>
      <c r="CF904">
        <f>IFERROR(INDEX(PP_Grid[#Data],$DD904,82),0)</f>
        <v/>
      </c>
      <c r="CG904">
        <f>IFERROR(INDEX(PP_Grid[#Data],$DD904,83),0)</f>
        <v/>
      </c>
      <c r="CH904">
        <f>IFERROR(INDEX(PP_Grid[#Data],$DD904,84),0)</f>
        <v/>
      </c>
      <c r="CI904">
        <f>IFERROR(INDEX(PP_Grid[#Data],$DD904,85),0)</f>
        <v/>
      </c>
      <c r="CJ904">
        <f>IFERROR(INDEX(PP_Grid[#Data],$DD904,86),0)</f>
        <v/>
      </c>
      <c r="CK904">
        <f>IFERROR(INDEX(PP_Grid[#Data],$DD904,87),0)</f>
        <v/>
      </c>
      <c r="CL904">
        <f>IFERROR(INDEX(PP_Grid[#Data],$DD904,88),0)</f>
        <v/>
      </c>
      <c r="CM904">
        <f>IFERROR(INDEX(PP_Grid[#Data],$DD904,89),0)</f>
        <v/>
      </c>
      <c r="CN904">
        <f>IFERROR(INDEX(PP_Grid[#Data],$DD904,90),0)</f>
        <v/>
      </c>
      <c r="CO904">
        <f>IFERROR(INDEX(PP_Grid[#Data],$DD904,91),0)</f>
        <v/>
      </c>
      <c r="CP904">
        <f>IFERROR(INDEX(PP_Grid[#Data],$DD904,92),0)</f>
        <v/>
      </c>
      <c r="CQ904">
        <f>IFERROR(INDEX(PP_Grid[#Data],$DD904,93),0)</f>
        <v/>
      </c>
      <c r="CR904">
        <f>IFERROR(INDEX(PP_Grid[#Data],$DD904,94),0)</f>
        <v/>
      </c>
      <c r="CS904">
        <f>IFERROR(INDEX(PP_Grid[#Data],$DD904,95),0)</f>
        <v/>
      </c>
      <c r="CT904">
        <f>IFERROR(INDEX(PP_Grid[#Data],$DD904,96),0)</f>
        <v/>
      </c>
      <c r="CU904">
        <f>IFERROR(INDEX(PP_Grid[#Data],$DD904,97),0)</f>
        <v/>
      </c>
      <c r="CV904">
        <f>IFERROR(INDEX(PP_Grid[#Data],$DD904,98),0)</f>
        <v/>
      </c>
      <c r="CW904">
        <f>IFERROR(INDEX(PP_Grid[#Data],$DD904,99),0)</f>
        <v/>
      </c>
      <c r="CX904">
        <f>IFERROR(INDEX(PP_Grid[#Data],$DD904,100),0)</f>
        <v/>
      </c>
      <c r="CY904">
        <f>IFERROR(INDEX(PP_Grid[#Data],$DD904,101),0)</f>
        <v/>
      </c>
      <c r="CZ904">
        <f>IFERROR(INDEX(PP_Grid[#Data],$DD904,102),0)</f>
        <v/>
      </c>
      <c r="DA904">
        <f>IFERROR(INDEX(PP_Grid[#Data],$DD904,103),0)</f>
        <v/>
      </c>
      <c r="DB904">
        <f>IFERROR(INDEX(PP_Grid[#Data],$DD904,104),0)</f>
        <v/>
      </c>
      <c r="DC904">
        <f>IFERROR(INDEX(PP_Grid[#Data],$DD904,105),0)</f>
        <v/>
      </c>
      <c r="DD904" s="7">
        <f>IFERROR(MATCH($B904,PP_Grid[Intermediate],0),99999)</f>
        <v/>
      </c>
    </row>
    <row r="905">
      <c r="B905" t="inlineStr">
        <is>
          <t>使用量(kg)</t>
        </is>
      </c>
      <c r="C905">
        <f>SUMIFS(M_BOM[RM_Qty_Per_Batch],M_BOM[Intermediate],$B904,M_BOM[Part Name],$A895)</f>
        <v/>
      </c>
      <c r="D905">
        <f>$C905*D904</f>
        <v/>
      </c>
      <c r="E905">
        <f>$C905*E904</f>
        <v/>
      </c>
      <c r="F905">
        <f>$C905*F904</f>
        <v/>
      </c>
      <c r="G905">
        <f>$C905*G904</f>
        <v/>
      </c>
      <c r="H905">
        <f>$C905*H904</f>
        <v/>
      </c>
      <c r="I905">
        <f>$C905*I904</f>
        <v/>
      </c>
      <c r="J905">
        <f>$C905*J904</f>
        <v/>
      </c>
      <c r="K905">
        <f>$C905*K904</f>
        <v/>
      </c>
      <c r="L905">
        <f>$C905*L904</f>
        <v/>
      </c>
      <c r="M905">
        <f>$C905*M904</f>
        <v/>
      </c>
      <c r="N905">
        <f>$C905*N904</f>
        <v/>
      </c>
      <c r="O905">
        <f>$C905*O904</f>
        <v/>
      </c>
      <c r="P905">
        <f>$C905*P904</f>
        <v/>
      </c>
      <c r="Q905">
        <f>$C905*Q904</f>
        <v/>
      </c>
      <c r="R905">
        <f>$C905*R904</f>
        <v/>
      </c>
      <c r="S905">
        <f>$C905*S904</f>
        <v/>
      </c>
      <c r="T905">
        <f>$C905*T904</f>
        <v/>
      </c>
      <c r="U905">
        <f>$C905*U904</f>
        <v/>
      </c>
      <c r="V905">
        <f>$C905*V904</f>
        <v/>
      </c>
      <c r="W905">
        <f>$C905*W904</f>
        <v/>
      </c>
      <c r="X905">
        <f>$C905*X904</f>
        <v/>
      </c>
      <c r="Y905">
        <f>$C905*Y904</f>
        <v/>
      </c>
      <c r="Z905">
        <f>$C905*Z904</f>
        <v/>
      </c>
      <c r="AA905">
        <f>$C905*AA904</f>
        <v/>
      </c>
      <c r="AB905">
        <f>$C905*AB904</f>
        <v/>
      </c>
      <c r="AC905">
        <f>$C905*AC904</f>
        <v/>
      </c>
      <c r="AD905">
        <f>$C905*AD904</f>
        <v/>
      </c>
      <c r="AE905">
        <f>$C905*AE904</f>
        <v/>
      </c>
      <c r="AF905">
        <f>$C905*AF904</f>
        <v/>
      </c>
      <c r="AG905">
        <f>$C905*AG904</f>
        <v/>
      </c>
      <c r="AH905">
        <f>$C905*AH904</f>
        <v/>
      </c>
      <c r="AI905">
        <f>$C905*AI904</f>
        <v/>
      </c>
      <c r="AJ905">
        <f>$C905*AJ904</f>
        <v/>
      </c>
      <c r="AK905">
        <f>$C905*AK904</f>
        <v/>
      </c>
      <c r="AL905">
        <f>$C905*AL904</f>
        <v/>
      </c>
      <c r="AM905">
        <f>$C905*AM904</f>
        <v/>
      </c>
      <c r="AN905">
        <f>$C905*AN904</f>
        <v/>
      </c>
      <c r="AO905">
        <f>$C905*AO904</f>
        <v/>
      </c>
      <c r="AP905">
        <f>$C905*AP904</f>
        <v/>
      </c>
      <c r="AQ905">
        <f>$C905*AQ904</f>
        <v/>
      </c>
      <c r="AR905">
        <f>$C905*AR904</f>
        <v/>
      </c>
      <c r="AS905">
        <f>$C905*AS904</f>
        <v/>
      </c>
      <c r="AT905">
        <f>$C905*AT904</f>
        <v/>
      </c>
      <c r="AU905">
        <f>$C905*AU904</f>
        <v/>
      </c>
      <c r="AV905">
        <f>$C905*AV904</f>
        <v/>
      </c>
      <c r="AW905">
        <f>$C905*AW904</f>
        <v/>
      </c>
      <c r="AX905">
        <f>$C905*AX904</f>
        <v/>
      </c>
      <c r="AY905">
        <f>$C905*AY904</f>
        <v/>
      </c>
      <c r="AZ905">
        <f>$C905*AZ904</f>
        <v/>
      </c>
      <c r="BA905">
        <f>$C905*BA904</f>
        <v/>
      </c>
      <c r="BB905">
        <f>$C905*BB904</f>
        <v/>
      </c>
      <c r="BC905">
        <f>$C905*BC904</f>
        <v/>
      </c>
      <c r="BD905">
        <f>$C905*BD904</f>
        <v/>
      </c>
      <c r="BE905">
        <f>$C905*BE904</f>
        <v/>
      </c>
      <c r="BF905">
        <f>$C905*BF904</f>
        <v/>
      </c>
      <c r="BG905">
        <f>$C905*BG904</f>
        <v/>
      </c>
      <c r="BH905">
        <f>$C905*BH904</f>
        <v/>
      </c>
      <c r="BI905">
        <f>$C905*BI904</f>
        <v/>
      </c>
      <c r="BJ905">
        <f>$C905*BJ904</f>
        <v/>
      </c>
      <c r="BK905">
        <f>$C905*BK904</f>
        <v/>
      </c>
      <c r="BL905">
        <f>$C905*BL904</f>
        <v/>
      </c>
      <c r="BM905">
        <f>$C905*BM904</f>
        <v/>
      </c>
      <c r="BN905">
        <f>$C905*BN904</f>
        <v/>
      </c>
      <c r="BO905">
        <f>$C905*BO904</f>
        <v/>
      </c>
      <c r="BP905">
        <f>$C905*BP904</f>
        <v/>
      </c>
      <c r="BQ905">
        <f>$C905*BQ904</f>
        <v/>
      </c>
      <c r="BR905">
        <f>$C905*BR904</f>
        <v/>
      </c>
      <c r="BS905">
        <f>$C905*BS904</f>
        <v/>
      </c>
      <c r="BT905">
        <f>$C905*BT904</f>
        <v/>
      </c>
      <c r="BU905">
        <f>$C905*BU904</f>
        <v/>
      </c>
      <c r="BV905">
        <f>$C905*BV904</f>
        <v/>
      </c>
      <c r="BW905">
        <f>$C905*BW904</f>
        <v/>
      </c>
      <c r="BX905">
        <f>$C905*BX904</f>
        <v/>
      </c>
      <c r="BY905">
        <f>$C905*BY904</f>
        <v/>
      </c>
      <c r="BZ905">
        <f>$C905*BZ904</f>
        <v/>
      </c>
      <c r="CA905">
        <f>$C905*CA904</f>
        <v/>
      </c>
      <c r="CB905">
        <f>$C905*CB904</f>
        <v/>
      </c>
      <c r="CC905">
        <f>$C905*CC904</f>
        <v/>
      </c>
      <c r="CD905">
        <f>$C905*CD904</f>
        <v/>
      </c>
      <c r="CE905">
        <f>$C905*CE904</f>
        <v/>
      </c>
      <c r="CF905">
        <f>$C905*CF904</f>
        <v/>
      </c>
      <c r="CG905">
        <f>$C905*CG904</f>
        <v/>
      </c>
      <c r="CH905">
        <f>$C905*CH904</f>
        <v/>
      </c>
      <c r="CI905">
        <f>$C905*CI904</f>
        <v/>
      </c>
      <c r="CJ905">
        <f>$C905*CJ904</f>
        <v/>
      </c>
      <c r="CK905">
        <f>$C905*CK904</f>
        <v/>
      </c>
      <c r="CL905">
        <f>$C905*CL904</f>
        <v/>
      </c>
      <c r="CM905">
        <f>$C905*CM904</f>
        <v/>
      </c>
      <c r="CN905">
        <f>$C905*CN904</f>
        <v/>
      </c>
      <c r="CO905">
        <f>$C905*CO904</f>
        <v/>
      </c>
      <c r="CP905">
        <f>$C905*CP904</f>
        <v/>
      </c>
      <c r="CQ905">
        <f>$C905*CQ904</f>
        <v/>
      </c>
      <c r="CR905">
        <f>$C905*CR904</f>
        <v/>
      </c>
      <c r="CS905">
        <f>$C905*CS904</f>
        <v/>
      </c>
      <c r="CT905">
        <f>$C905*CT904</f>
        <v/>
      </c>
      <c r="CU905">
        <f>$C905*CU904</f>
        <v/>
      </c>
      <c r="CV905">
        <f>$C905*CV904</f>
        <v/>
      </c>
      <c r="CW905">
        <f>$C905*CW904</f>
        <v/>
      </c>
      <c r="CX905">
        <f>$C905*CX904</f>
        <v/>
      </c>
      <c r="CY905">
        <f>$C905*CY904</f>
        <v/>
      </c>
      <c r="CZ905">
        <f>$C905*CZ904</f>
        <v/>
      </c>
      <c r="DA905">
        <f>$C905*DA904</f>
        <v/>
      </c>
      <c r="DB905">
        <f>$C905*DB904</f>
        <v/>
      </c>
      <c r="DC905">
        <f>$C905*DC904</f>
        <v/>
      </c>
    </row>
    <row r="906">
      <c r="B906" t="inlineStr">
        <is>
          <t>TSP-937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Name],$A895)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TSP-1388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Name],$A895)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TSP-1448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Name],$A895)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TSP-1449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Name],$A895)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TSP-1499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Name],$A895)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s="4" t="inlineStr">
        <is>
          <t>合計使用量(kg)/週</t>
        </is>
      </c>
      <c r="D916">
        <f>'Grid_Requirement'!B4</f>
        <v/>
      </c>
      <c r="E916">
        <f>'Grid_Requirement'!C4</f>
        <v/>
      </c>
      <c r="F916">
        <f>'Grid_Requirement'!D4</f>
        <v/>
      </c>
      <c r="G916">
        <f>'Grid_Requirement'!E4</f>
        <v/>
      </c>
      <c r="H916">
        <f>'Grid_Requirement'!F4</f>
        <v/>
      </c>
      <c r="I916">
        <f>'Grid_Requirement'!G4</f>
        <v/>
      </c>
      <c r="J916">
        <f>'Grid_Requirement'!H4</f>
        <v/>
      </c>
      <c r="K916">
        <f>'Grid_Requirement'!I4</f>
        <v/>
      </c>
      <c r="L916">
        <f>'Grid_Requirement'!J4</f>
        <v/>
      </c>
      <c r="M916">
        <f>'Grid_Requirement'!K4</f>
        <v/>
      </c>
      <c r="N916">
        <f>'Grid_Requirement'!L4</f>
        <v/>
      </c>
      <c r="O916">
        <f>'Grid_Requirement'!M4</f>
        <v/>
      </c>
      <c r="P916">
        <f>'Grid_Requirement'!N4</f>
        <v/>
      </c>
      <c r="Q916">
        <f>'Grid_Requirement'!O4</f>
        <v/>
      </c>
      <c r="R916">
        <f>'Grid_Requirement'!P4</f>
        <v/>
      </c>
      <c r="S916">
        <f>'Grid_Requirement'!Q4</f>
        <v/>
      </c>
      <c r="T916">
        <f>'Grid_Requirement'!R4</f>
        <v/>
      </c>
      <c r="U916">
        <f>'Grid_Requirement'!S4</f>
        <v/>
      </c>
      <c r="V916">
        <f>'Grid_Requirement'!T4</f>
        <v/>
      </c>
      <c r="W916">
        <f>'Grid_Requirement'!U4</f>
        <v/>
      </c>
      <c r="X916">
        <f>'Grid_Requirement'!V4</f>
        <v/>
      </c>
      <c r="Y916">
        <f>'Grid_Requirement'!W4</f>
        <v/>
      </c>
      <c r="Z916">
        <f>'Grid_Requirement'!X4</f>
        <v/>
      </c>
      <c r="AA916">
        <f>'Grid_Requirement'!Y4</f>
        <v/>
      </c>
      <c r="AB916">
        <f>'Grid_Requirement'!Z4</f>
        <v/>
      </c>
      <c r="AC916">
        <f>'Grid_Requirement'!AA4</f>
        <v/>
      </c>
      <c r="AD916">
        <f>'Grid_Requirement'!AB4</f>
        <v/>
      </c>
      <c r="AE916">
        <f>'Grid_Requirement'!AC4</f>
        <v/>
      </c>
      <c r="AF916">
        <f>'Grid_Requirement'!AD4</f>
        <v/>
      </c>
      <c r="AG916">
        <f>'Grid_Requirement'!AE4</f>
        <v/>
      </c>
      <c r="AH916">
        <f>'Grid_Requirement'!AF4</f>
        <v/>
      </c>
      <c r="AI916">
        <f>'Grid_Requirement'!AG4</f>
        <v/>
      </c>
      <c r="AJ916">
        <f>'Grid_Requirement'!AH4</f>
        <v/>
      </c>
      <c r="AK916">
        <f>'Grid_Requirement'!AI4</f>
        <v/>
      </c>
      <c r="AL916">
        <f>'Grid_Requirement'!AJ4</f>
        <v/>
      </c>
      <c r="AM916">
        <f>'Grid_Requirement'!AK4</f>
        <v/>
      </c>
      <c r="AN916">
        <f>'Grid_Requirement'!AL4</f>
        <v/>
      </c>
      <c r="AO916">
        <f>'Grid_Requirement'!AM4</f>
        <v/>
      </c>
      <c r="AP916">
        <f>'Grid_Requirement'!AN4</f>
        <v/>
      </c>
      <c r="AQ916">
        <f>'Grid_Requirement'!AO4</f>
        <v/>
      </c>
      <c r="AR916">
        <f>'Grid_Requirement'!AP4</f>
        <v/>
      </c>
      <c r="AS916">
        <f>'Grid_Requirement'!AQ4</f>
        <v/>
      </c>
      <c r="AT916">
        <f>'Grid_Requirement'!AR4</f>
        <v/>
      </c>
      <c r="AU916">
        <f>'Grid_Requirement'!AS4</f>
        <v/>
      </c>
      <c r="AV916">
        <f>'Grid_Requirement'!AT4</f>
        <v/>
      </c>
      <c r="AW916">
        <f>'Grid_Requirement'!AU4</f>
        <v/>
      </c>
      <c r="AX916">
        <f>'Grid_Requirement'!AV4</f>
        <v/>
      </c>
      <c r="AY916">
        <f>'Grid_Requirement'!AW4</f>
        <v/>
      </c>
      <c r="AZ916">
        <f>'Grid_Requirement'!AX4</f>
        <v/>
      </c>
      <c r="BA916">
        <f>'Grid_Requirement'!AY4</f>
        <v/>
      </c>
      <c r="BB916">
        <f>'Grid_Requirement'!AZ4</f>
        <v/>
      </c>
      <c r="BC916">
        <f>'Grid_Requirement'!BA4</f>
        <v/>
      </c>
      <c r="BD916">
        <f>'Grid_Requirement'!BB4</f>
        <v/>
      </c>
      <c r="BE916">
        <f>'Grid_Requirement'!BC4</f>
        <v/>
      </c>
      <c r="BF916">
        <f>'Grid_Requirement'!BD4</f>
        <v/>
      </c>
      <c r="BG916">
        <f>'Grid_Requirement'!BE4</f>
        <v/>
      </c>
      <c r="BH916">
        <f>'Grid_Requirement'!BF4</f>
        <v/>
      </c>
      <c r="BI916">
        <f>'Grid_Requirement'!BG4</f>
        <v/>
      </c>
      <c r="BJ916">
        <f>'Grid_Requirement'!BH4</f>
        <v/>
      </c>
      <c r="BK916">
        <f>'Grid_Requirement'!BI4</f>
        <v/>
      </c>
      <c r="BL916">
        <f>'Grid_Requirement'!BJ4</f>
        <v/>
      </c>
      <c r="BM916">
        <f>'Grid_Requirement'!BK4</f>
        <v/>
      </c>
      <c r="BN916">
        <f>'Grid_Requirement'!BL4</f>
        <v/>
      </c>
      <c r="BO916">
        <f>'Grid_Requirement'!BM4</f>
        <v/>
      </c>
      <c r="BP916">
        <f>'Grid_Requirement'!BN4</f>
        <v/>
      </c>
      <c r="BQ916">
        <f>'Grid_Requirement'!BO4</f>
        <v/>
      </c>
      <c r="BR916">
        <f>'Grid_Requirement'!BP4</f>
        <v/>
      </c>
      <c r="BS916">
        <f>'Grid_Requirement'!BQ4</f>
        <v/>
      </c>
      <c r="BT916">
        <f>'Grid_Requirement'!BR4</f>
        <v/>
      </c>
      <c r="BU916">
        <f>'Grid_Requirement'!BS4</f>
        <v/>
      </c>
      <c r="BV916">
        <f>'Grid_Requirement'!BT4</f>
        <v/>
      </c>
      <c r="BW916">
        <f>'Grid_Requirement'!BU4</f>
        <v/>
      </c>
      <c r="BX916">
        <f>'Grid_Requirement'!BV4</f>
        <v/>
      </c>
      <c r="BY916">
        <f>'Grid_Requirement'!BW4</f>
        <v/>
      </c>
      <c r="BZ916">
        <f>'Grid_Requirement'!BX4</f>
        <v/>
      </c>
      <c r="CA916">
        <f>'Grid_Requirement'!BY4</f>
        <v/>
      </c>
      <c r="CB916">
        <f>'Grid_Requirement'!BZ4</f>
        <v/>
      </c>
      <c r="CC916">
        <f>'Grid_Requirement'!CA4</f>
        <v/>
      </c>
      <c r="CD916">
        <f>'Grid_Requirement'!CB4</f>
        <v/>
      </c>
      <c r="CE916">
        <f>'Grid_Requirement'!CC4</f>
        <v/>
      </c>
      <c r="CF916">
        <f>'Grid_Requirement'!CD4</f>
        <v/>
      </c>
      <c r="CG916">
        <f>'Grid_Requirement'!CE4</f>
        <v/>
      </c>
      <c r="CH916">
        <f>'Grid_Requirement'!CF4</f>
        <v/>
      </c>
      <c r="CI916">
        <f>'Grid_Requirement'!CG4</f>
        <v/>
      </c>
      <c r="CJ916">
        <f>'Grid_Requirement'!CH4</f>
        <v/>
      </c>
      <c r="CK916">
        <f>'Grid_Requirement'!CI4</f>
        <v/>
      </c>
      <c r="CL916">
        <f>'Grid_Requirement'!CJ4</f>
        <v/>
      </c>
      <c r="CM916">
        <f>'Grid_Requirement'!CK4</f>
        <v/>
      </c>
      <c r="CN916">
        <f>'Grid_Requirement'!CL4</f>
        <v/>
      </c>
      <c r="CO916">
        <f>'Grid_Requirement'!CM4</f>
        <v/>
      </c>
      <c r="CP916">
        <f>'Grid_Requirement'!CN4</f>
        <v/>
      </c>
      <c r="CQ916">
        <f>'Grid_Requirement'!CO4</f>
        <v/>
      </c>
      <c r="CR916">
        <f>'Grid_Requirement'!CP4</f>
        <v/>
      </c>
      <c r="CS916">
        <f>'Grid_Requirement'!CQ4</f>
        <v/>
      </c>
      <c r="CT916">
        <f>'Grid_Requirement'!CR4</f>
        <v/>
      </c>
      <c r="CU916">
        <f>'Grid_Requirement'!CS4</f>
        <v/>
      </c>
      <c r="CV916">
        <f>'Grid_Requirement'!CT4</f>
        <v/>
      </c>
      <c r="CW916">
        <f>'Grid_Requirement'!CU4</f>
        <v/>
      </c>
      <c r="CX916">
        <f>'Grid_Requirement'!CV4</f>
        <v/>
      </c>
      <c r="CY916">
        <f>'Grid_Requirement'!CW4</f>
        <v/>
      </c>
      <c r="CZ916">
        <f>'Grid_Requirement'!CX4</f>
        <v/>
      </c>
      <c r="DA916">
        <f>'Grid_Requirement'!CY4</f>
        <v/>
      </c>
      <c r="DB916">
        <f>'Grid_Requirement'!CZ4</f>
        <v/>
      </c>
      <c r="DC916">
        <f>'Grid_Requirement'!DA4</f>
        <v/>
      </c>
    </row>
    <row r="917">
      <c r="B917" t="inlineStr">
        <is>
          <t>TTAF在庫(実績,kg)</t>
        </is>
      </c>
      <c r="D917">
        <f>'T_TTAFStock'!B8</f>
        <v/>
      </c>
      <c r="E917">
        <f>'T_TTAFStock'!C8</f>
        <v/>
      </c>
      <c r="F917">
        <f>'T_TTAFStock'!D8</f>
        <v/>
      </c>
      <c r="G917">
        <f>'T_TTAFStock'!E8</f>
        <v/>
      </c>
      <c r="H917">
        <f>'T_TTAFStock'!F8</f>
        <v/>
      </c>
      <c r="I917">
        <f>'T_TTAFStock'!G8</f>
        <v/>
      </c>
      <c r="J917">
        <f>'T_TTAFStock'!H8</f>
        <v/>
      </c>
      <c r="K917">
        <f>'T_TTAFStock'!I8</f>
        <v/>
      </c>
      <c r="L917">
        <f>'T_TTAFStock'!J8</f>
        <v/>
      </c>
      <c r="M917">
        <f>'T_TTAFStock'!K8</f>
        <v/>
      </c>
      <c r="N917">
        <f>'T_TTAFStock'!L8</f>
        <v/>
      </c>
      <c r="O917">
        <f>'T_TTAFStock'!M8</f>
        <v/>
      </c>
      <c r="P917">
        <f>'T_TTAFStock'!N8</f>
        <v/>
      </c>
      <c r="Q917">
        <f>'T_TTAFStock'!O8</f>
        <v/>
      </c>
      <c r="R917">
        <f>'T_TTAFStock'!P8</f>
        <v/>
      </c>
      <c r="S917">
        <f>'T_TTAFStock'!Q8</f>
        <v/>
      </c>
      <c r="T917">
        <f>'T_TTAFStock'!R8</f>
        <v/>
      </c>
      <c r="U917">
        <f>'T_TTAFStock'!S8</f>
        <v/>
      </c>
      <c r="V917">
        <f>'T_TTAFStock'!T8</f>
        <v/>
      </c>
      <c r="W917">
        <f>'T_TTAFStock'!U8</f>
        <v/>
      </c>
      <c r="X917">
        <f>'T_TTAFStock'!V8</f>
        <v/>
      </c>
      <c r="Y917">
        <f>'T_TTAFStock'!W8</f>
        <v/>
      </c>
      <c r="Z917">
        <f>'T_TTAFStock'!X8</f>
        <v/>
      </c>
      <c r="AA917">
        <f>'T_TTAFStock'!Y8</f>
        <v/>
      </c>
      <c r="AB917">
        <f>'T_TTAFStock'!Z8</f>
        <v/>
      </c>
      <c r="AC917">
        <f>'T_TTAFStock'!AA8</f>
        <v/>
      </c>
      <c r="AD917">
        <f>'T_TTAFStock'!AB8</f>
        <v/>
      </c>
      <c r="AE917">
        <f>'T_TTAFStock'!AC8</f>
        <v/>
      </c>
      <c r="AF917">
        <f>'T_TTAFStock'!AD8</f>
        <v/>
      </c>
      <c r="AG917">
        <f>'T_TTAFStock'!AE8</f>
        <v/>
      </c>
      <c r="AH917">
        <f>'T_TTAFStock'!AF8</f>
        <v/>
      </c>
      <c r="AI917">
        <f>'T_TTAFStock'!AG8</f>
        <v/>
      </c>
      <c r="AJ917">
        <f>'T_TTAFStock'!AH8</f>
        <v/>
      </c>
      <c r="AK917">
        <f>'T_TTAFStock'!AI8</f>
        <v/>
      </c>
      <c r="AL917">
        <f>'T_TTAFStock'!AJ8</f>
        <v/>
      </c>
      <c r="AM917">
        <f>'T_TTAFStock'!AK8</f>
        <v/>
      </c>
      <c r="AN917">
        <f>'T_TTAFStock'!AL8</f>
        <v/>
      </c>
      <c r="AO917">
        <f>'T_TTAFStock'!AM8</f>
        <v/>
      </c>
      <c r="AP917">
        <f>'T_TTAFStock'!AN8</f>
        <v/>
      </c>
      <c r="AQ917">
        <f>'T_TTAFStock'!AO8</f>
        <v/>
      </c>
      <c r="AR917">
        <f>'T_TTAFStock'!AP8</f>
        <v/>
      </c>
      <c r="AS917">
        <f>'T_TTAFStock'!AQ8</f>
        <v/>
      </c>
      <c r="AT917">
        <f>'T_TTAFStock'!AR8</f>
        <v/>
      </c>
      <c r="AU917">
        <f>'T_TTAFStock'!AS8</f>
        <v/>
      </c>
      <c r="AV917">
        <f>'T_TTAFStock'!AT8</f>
        <v/>
      </c>
      <c r="AW917">
        <f>'T_TTAFStock'!AU8</f>
        <v/>
      </c>
      <c r="AX917">
        <f>'T_TTAFStock'!AV8</f>
        <v/>
      </c>
      <c r="AY917">
        <f>'T_TTAFStock'!AW8</f>
        <v/>
      </c>
      <c r="AZ917">
        <f>'T_TTAFStock'!AX8</f>
        <v/>
      </c>
      <c r="BA917">
        <f>'T_TTAFStock'!AY8</f>
        <v/>
      </c>
      <c r="BB917">
        <f>'T_TTAFStock'!AZ8</f>
        <v/>
      </c>
      <c r="BC917">
        <f>'T_TTAFStock'!BA8</f>
        <v/>
      </c>
      <c r="BD917">
        <f>'T_TTAFStock'!BB8</f>
        <v/>
      </c>
      <c r="BE917">
        <f>'T_TTAFStock'!BC8</f>
        <v/>
      </c>
      <c r="BF917">
        <f>'T_TTAFStock'!BD8</f>
        <v/>
      </c>
      <c r="BG917">
        <f>'T_TTAFStock'!BE8</f>
        <v/>
      </c>
      <c r="BH917">
        <f>'T_TTAFStock'!BF8</f>
        <v/>
      </c>
      <c r="BI917">
        <f>'T_TTAFStock'!BG8</f>
        <v/>
      </c>
      <c r="BJ917">
        <f>'T_TTAFStock'!BH8</f>
        <v/>
      </c>
      <c r="BK917">
        <f>'T_TTAFStock'!BI8</f>
        <v/>
      </c>
      <c r="BL917">
        <f>'T_TTAFStock'!BJ8</f>
        <v/>
      </c>
      <c r="BM917">
        <f>'T_TTAFStock'!BK8</f>
        <v/>
      </c>
      <c r="BN917">
        <f>'T_TTAFStock'!BL8</f>
        <v/>
      </c>
      <c r="BO917">
        <f>'T_TTAFStock'!BM8</f>
        <v/>
      </c>
      <c r="BP917">
        <f>'T_TTAFStock'!BN8</f>
        <v/>
      </c>
      <c r="BQ917">
        <f>'T_TTAFStock'!BO8</f>
        <v/>
      </c>
      <c r="BR917">
        <f>'T_TTAFStock'!BP8</f>
        <v/>
      </c>
      <c r="BS917">
        <f>'T_TTAFStock'!BQ8</f>
        <v/>
      </c>
      <c r="BT917">
        <f>'T_TTAFStock'!BR8</f>
        <v/>
      </c>
      <c r="BU917">
        <f>'T_TTAFStock'!BS8</f>
        <v/>
      </c>
      <c r="BV917">
        <f>'T_TTAFStock'!BT8</f>
        <v/>
      </c>
      <c r="BW917">
        <f>'T_TTAFStock'!BU8</f>
        <v/>
      </c>
      <c r="BX917">
        <f>'T_TTAFStock'!BV8</f>
        <v/>
      </c>
      <c r="BY917">
        <f>'T_TTAFStock'!BW8</f>
        <v/>
      </c>
      <c r="BZ917">
        <f>'T_TTAFStock'!BX8</f>
        <v/>
      </c>
      <c r="CA917">
        <f>'T_TTAFStock'!BY8</f>
        <v/>
      </c>
      <c r="CB917">
        <f>'T_TTAFStock'!BZ8</f>
        <v/>
      </c>
      <c r="CC917">
        <f>'T_TTAFStock'!CA8</f>
        <v/>
      </c>
      <c r="CD917">
        <f>'T_TTAFStock'!CB8</f>
        <v/>
      </c>
      <c r="CE917">
        <f>'T_TTAFStock'!CC8</f>
        <v/>
      </c>
      <c r="CF917">
        <f>'T_TTAFStock'!CD8</f>
        <v/>
      </c>
      <c r="CG917">
        <f>'T_TTAFStock'!CE8</f>
        <v/>
      </c>
      <c r="CH917">
        <f>'T_TTAFStock'!CF8</f>
        <v/>
      </c>
      <c r="CI917">
        <f>'T_TTAFStock'!CG8</f>
        <v/>
      </c>
      <c r="CJ917">
        <f>'T_TTAFStock'!CH8</f>
        <v/>
      </c>
      <c r="CK917">
        <f>'T_TTAFStock'!CI8</f>
        <v/>
      </c>
      <c r="CL917">
        <f>'T_TTAFStock'!CJ8</f>
        <v/>
      </c>
      <c r="CM917">
        <f>'T_TTAFStock'!CK8</f>
        <v/>
      </c>
      <c r="CN917">
        <f>'T_TTAFStock'!CL8</f>
        <v/>
      </c>
      <c r="CO917">
        <f>'T_TTAFStock'!CM8</f>
        <v/>
      </c>
      <c r="CP917">
        <f>'T_TTAFStock'!CN8</f>
        <v/>
      </c>
      <c r="CQ917">
        <f>'T_TTAFStock'!CO8</f>
        <v/>
      </c>
      <c r="CR917">
        <f>'T_TTAFStock'!CP8</f>
        <v/>
      </c>
      <c r="CS917">
        <f>'T_TTAFStock'!CQ8</f>
        <v/>
      </c>
      <c r="CT917">
        <f>'T_TTAFStock'!CR8</f>
        <v/>
      </c>
      <c r="CU917">
        <f>'T_TTAFStock'!CS8</f>
        <v/>
      </c>
      <c r="CV917">
        <f>'T_TTAFStock'!CT8</f>
        <v/>
      </c>
      <c r="CW917">
        <f>'T_TTAFStock'!CU8</f>
        <v/>
      </c>
      <c r="CX917">
        <f>'T_TTAFStock'!CV8</f>
        <v/>
      </c>
      <c r="CY917">
        <f>'T_TTAFStock'!CW8</f>
        <v/>
      </c>
      <c r="CZ917">
        <f>'T_TTAFStock'!CX8</f>
        <v/>
      </c>
      <c r="DA917">
        <f>'T_TTAFStock'!CY8</f>
        <v/>
      </c>
      <c r="DB917">
        <f>'T_TTAFStock'!CZ8</f>
        <v/>
      </c>
      <c r="DC917">
        <f>'T_TTAFStock'!DA8</f>
        <v/>
      </c>
    </row>
    <row r="918">
      <c r="B918" t="inlineStr">
        <is>
          <t>自社在庫(実績,kg)</t>
        </is>
      </c>
      <c r="D918">
        <f>'T_SelfStock'!B8</f>
        <v/>
      </c>
      <c r="E918">
        <f>'T_SelfStock'!C8</f>
        <v/>
      </c>
      <c r="F918">
        <f>'T_SelfStock'!D8</f>
        <v/>
      </c>
      <c r="G918">
        <f>'T_SelfStock'!E8</f>
        <v/>
      </c>
      <c r="H918">
        <f>'T_SelfStock'!F8</f>
        <v/>
      </c>
      <c r="I918">
        <f>'T_SelfStock'!G8</f>
        <v/>
      </c>
      <c r="J918">
        <f>'T_SelfStock'!H8</f>
        <v/>
      </c>
      <c r="K918">
        <f>'T_SelfStock'!I8</f>
        <v/>
      </c>
      <c r="L918">
        <f>'T_SelfStock'!J8</f>
        <v/>
      </c>
      <c r="M918">
        <f>'T_SelfStock'!K8</f>
        <v/>
      </c>
      <c r="N918">
        <f>'T_SelfStock'!L8</f>
        <v/>
      </c>
      <c r="O918">
        <f>'T_SelfStock'!M8</f>
        <v/>
      </c>
      <c r="P918">
        <f>'T_SelfStock'!N8</f>
        <v/>
      </c>
      <c r="Q918">
        <f>'T_SelfStock'!O8</f>
        <v/>
      </c>
      <c r="R918">
        <f>'T_SelfStock'!P8</f>
        <v/>
      </c>
      <c r="S918">
        <f>'T_SelfStock'!Q8</f>
        <v/>
      </c>
      <c r="T918">
        <f>'T_SelfStock'!R8</f>
        <v/>
      </c>
      <c r="U918">
        <f>'T_SelfStock'!S8</f>
        <v/>
      </c>
      <c r="V918">
        <f>'T_SelfStock'!T8</f>
        <v/>
      </c>
      <c r="W918">
        <f>'T_SelfStock'!U8</f>
        <v/>
      </c>
      <c r="X918">
        <f>'T_SelfStock'!V8</f>
        <v/>
      </c>
      <c r="Y918">
        <f>'T_SelfStock'!W8</f>
        <v/>
      </c>
      <c r="Z918">
        <f>'T_SelfStock'!X8</f>
        <v/>
      </c>
      <c r="AA918">
        <f>'T_SelfStock'!Y8</f>
        <v/>
      </c>
      <c r="AB918">
        <f>'T_SelfStock'!Z8</f>
        <v/>
      </c>
      <c r="AC918">
        <f>'T_SelfStock'!AA8</f>
        <v/>
      </c>
      <c r="AD918">
        <f>'T_SelfStock'!AB8</f>
        <v/>
      </c>
      <c r="AE918">
        <f>'T_SelfStock'!AC8</f>
        <v/>
      </c>
      <c r="AF918">
        <f>'T_SelfStock'!AD8</f>
        <v/>
      </c>
      <c r="AG918">
        <f>'T_SelfStock'!AE8</f>
        <v/>
      </c>
      <c r="AH918">
        <f>'T_SelfStock'!AF8</f>
        <v/>
      </c>
      <c r="AI918">
        <f>'T_SelfStock'!AG8</f>
        <v/>
      </c>
      <c r="AJ918">
        <f>'T_SelfStock'!AH8</f>
        <v/>
      </c>
      <c r="AK918">
        <f>'T_SelfStock'!AI8</f>
        <v/>
      </c>
      <c r="AL918">
        <f>'T_SelfStock'!AJ8</f>
        <v/>
      </c>
      <c r="AM918">
        <f>'T_SelfStock'!AK8</f>
        <v/>
      </c>
      <c r="AN918">
        <f>'T_SelfStock'!AL8</f>
        <v/>
      </c>
      <c r="AO918">
        <f>'T_SelfStock'!AM8</f>
        <v/>
      </c>
      <c r="AP918">
        <f>'T_SelfStock'!AN8</f>
        <v/>
      </c>
      <c r="AQ918">
        <f>'T_SelfStock'!AO8</f>
        <v/>
      </c>
      <c r="AR918">
        <f>'T_SelfStock'!AP8</f>
        <v/>
      </c>
      <c r="AS918">
        <f>'T_SelfStock'!AQ8</f>
        <v/>
      </c>
      <c r="AT918">
        <f>'T_SelfStock'!AR8</f>
        <v/>
      </c>
      <c r="AU918">
        <f>'T_SelfStock'!AS8</f>
        <v/>
      </c>
      <c r="AV918">
        <f>'T_SelfStock'!AT8</f>
        <v/>
      </c>
      <c r="AW918">
        <f>'T_SelfStock'!AU8</f>
        <v/>
      </c>
      <c r="AX918">
        <f>'T_SelfStock'!AV8</f>
        <v/>
      </c>
      <c r="AY918">
        <f>'T_SelfStock'!AW8</f>
        <v/>
      </c>
      <c r="AZ918">
        <f>'T_SelfStock'!AX8</f>
        <v/>
      </c>
      <c r="BA918">
        <f>'T_SelfStock'!AY8</f>
        <v/>
      </c>
      <c r="BB918">
        <f>'T_SelfStock'!AZ8</f>
        <v/>
      </c>
      <c r="BC918">
        <f>'T_SelfStock'!BA8</f>
        <v/>
      </c>
      <c r="BD918">
        <f>'T_SelfStock'!BB8</f>
        <v/>
      </c>
      <c r="BE918">
        <f>'T_SelfStock'!BC8</f>
        <v/>
      </c>
      <c r="BF918">
        <f>'T_SelfStock'!BD8</f>
        <v/>
      </c>
      <c r="BG918">
        <f>'T_SelfStock'!BE8</f>
        <v/>
      </c>
      <c r="BH918">
        <f>'T_SelfStock'!BF8</f>
        <v/>
      </c>
      <c r="BI918">
        <f>'T_SelfStock'!BG8</f>
        <v/>
      </c>
      <c r="BJ918">
        <f>'T_SelfStock'!BH8</f>
        <v/>
      </c>
      <c r="BK918">
        <f>'T_SelfStock'!BI8</f>
        <v/>
      </c>
      <c r="BL918">
        <f>'T_SelfStock'!BJ8</f>
        <v/>
      </c>
      <c r="BM918">
        <f>'T_SelfStock'!BK8</f>
        <v/>
      </c>
      <c r="BN918">
        <f>'T_SelfStock'!BL8</f>
        <v/>
      </c>
      <c r="BO918">
        <f>'T_SelfStock'!BM8</f>
        <v/>
      </c>
      <c r="BP918">
        <f>'T_SelfStock'!BN8</f>
        <v/>
      </c>
      <c r="BQ918">
        <f>'T_SelfStock'!BO8</f>
        <v/>
      </c>
      <c r="BR918">
        <f>'T_SelfStock'!BP8</f>
        <v/>
      </c>
      <c r="BS918">
        <f>'T_SelfStock'!BQ8</f>
        <v/>
      </c>
      <c r="BT918">
        <f>'T_SelfStock'!BR8</f>
        <v/>
      </c>
      <c r="BU918">
        <f>'T_SelfStock'!BS8</f>
        <v/>
      </c>
      <c r="BV918">
        <f>'T_SelfStock'!BT8</f>
        <v/>
      </c>
      <c r="BW918">
        <f>'T_SelfStock'!BU8</f>
        <v/>
      </c>
      <c r="BX918">
        <f>'T_SelfStock'!BV8</f>
        <v/>
      </c>
      <c r="BY918">
        <f>'T_SelfStock'!BW8</f>
        <v/>
      </c>
      <c r="BZ918">
        <f>'T_SelfStock'!BX8</f>
        <v/>
      </c>
      <c r="CA918">
        <f>'T_SelfStock'!BY8</f>
        <v/>
      </c>
      <c r="CB918">
        <f>'T_SelfStock'!BZ8</f>
        <v/>
      </c>
      <c r="CC918">
        <f>'T_SelfStock'!CA8</f>
        <v/>
      </c>
      <c r="CD918">
        <f>'T_SelfStock'!CB8</f>
        <v/>
      </c>
      <c r="CE918">
        <f>'T_SelfStock'!CC8</f>
        <v/>
      </c>
      <c r="CF918">
        <f>'T_SelfStock'!CD8</f>
        <v/>
      </c>
      <c r="CG918">
        <f>'T_SelfStock'!CE8</f>
        <v/>
      </c>
      <c r="CH918">
        <f>'T_SelfStock'!CF8</f>
        <v/>
      </c>
      <c r="CI918">
        <f>'T_SelfStock'!CG8</f>
        <v/>
      </c>
      <c r="CJ918">
        <f>'T_SelfStock'!CH8</f>
        <v/>
      </c>
      <c r="CK918">
        <f>'T_SelfStock'!CI8</f>
        <v/>
      </c>
      <c r="CL918">
        <f>'T_SelfStock'!CJ8</f>
        <v/>
      </c>
      <c r="CM918">
        <f>'T_SelfStock'!CK8</f>
        <v/>
      </c>
      <c r="CN918">
        <f>'T_SelfStock'!CL8</f>
        <v/>
      </c>
      <c r="CO918">
        <f>'T_SelfStock'!CM8</f>
        <v/>
      </c>
      <c r="CP918">
        <f>'T_SelfStock'!CN8</f>
        <v/>
      </c>
      <c r="CQ918">
        <f>'T_SelfStock'!CO8</f>
        <v/>
      </c>
      <c r="CR918">
        <f>'T_SelfStock'!CP8</f>
        <v/>
      </c>
      <c r="CS918">
        <f>'T_SelfStock'!CQ8</f>
        <v/>
      </c>
      <c r="CT918">
        <f>'T_SelfStock'!CR8</f>
        <v/>
      </c>
      <c r="CU918">
        <f>'T_SelfStock'!CS8</f>
        <v/>
      </c>
      <c r="CV918">
        <f>'T_SelfStock'!CT8</f>
        <v/>
      </c>
      <c r="CW918">
        <f>'T_SelfStock'!CU8</f>
        <v/>
      </c>
      <c r="CX918">
        <f>'T_SelfStock'!CV8</f>
        <v/>
      </c>
      <c r="CY918">
        <f>'T_SelfStock'!CW8</f>
        <v/>
      </c>
      <c r="CZ918">
        <f>'T_SelfStock'!CX8</f>
        <v/>
      </c>
      <c r="DA918">
        <f>'T_SelfStock'!CY8</f>
        <v/>
      </c>
      <c r="DB918">
        <f>'T_SelfStock'!CZ8</f>
        <v/>
      </c>
      <c r="DC918">
        <f>'T_SelfStock'!DA8</f>
        <v/>
      </c>
    </row>
    <row r="919">
      <c r="B919" t="inlineStr">
        <is>
          <t>Order(発注予定,kg)</t>
        </is>
      </c>
      <c r="D919">
        <f>IF(SUMIFS(T_PlannedOrders[EffectiveQty],T_PlannedOrders[Part Name],$A895,T_PlannedOrders[WeekIndex],1)=0,"",SUMIFS(T_PlannedOrders[EffectiveQty],T_PlannedOrders[Part Name],$A895,T_PlannedOrders[WeekIndex],1)&amp;" ("&amp;TEXT(SUMPRODUCT(MAX((T_PlannedOrders[Part Name]=$A895)*(T_PlannedOrders[WeekIndex]=1)*(T_PlannedOrders[EffectiveQty]&gt;0)*T_PlannedOrders[Order_Month])),"m月")&amp;"発注)")</f>
        <v/>
      </c>
      <c r="E919">
        <f>IF(SUMIFS(T_PlannedOrders[EffectiveQty],T_PlannedOrders[Part Name],$A895,T_PlannedOrders[WeekIndex],2)=0,"",SUMIFS(T_PlannedOrders[EffectiveQty],T_PlannedOrders[Part Name],$A895,T_PlannedOrders[WeekIndex],2)&amp;" ("&amp;TEXT(SUMPRODUCT(MAX((T_PlannedOrders[Part Name]=$A895)*(T_PlannedOrders[WeekIndex]=2)*(T_PlannedOrders[EffectiveQty]&gt;0)*T_PlannedOrders[Order_Month])),"m月")&amp;"発注)")</f>
        <v/>
      </c>
      <c r="F919">
        <f>IF(SUMIFS(T_PlannedOrders[EffectiveQty],T_PlannedOrders[Part Name],$A895,T_PlannedOrders[WeekIndex],3)=0,"",SUMIFS(T_PlannedOrders[EffectiveQty],T_PlannedOrders[Part Name],$A895,T_PlannedOrders[WeekIndex],3)&amp;" ("&amp;TEXT(SUMPRODUCT(MAX((T_PlannedOrders[Part Name]=$A895)*(T_PlannedOrders[WeekIndex]=3)*(T_PlannedOrders[EffectiveQty]&gt;0)*T_PlannedOrders[Order_Month])),"m月")&amp;"発注)")</f>
        <v/>
      </c>
      <c r="G919">
        <f>IF(SUMIFS(T_PlannedOrders[EffectiveQty],T_PlannedOrders[Part Name],$A895,T_PlannedOrders[WeekIndex],4)=0,"",SUMIFS(T_PlannedOrders[EffectiveQty],T_PlannedOrders[Part Name],$A895,T_PlannedOrders[WeekIndex],4)&amp;" ("&amp;TEXT(SUMPRODUCT(MAX((T_PlannedOrders[Part Name]=$A895)*(T_PlannedOrders[WeekIndex]=4)*(T_PlannedOrders[EffectiveQty]&gt;0)*T_PlannedOrders[Order_Month])),"m月")&amp;"発注)")</f>
        <v/>
      </c>
      <c r="H919">
        <f>IF(SUMIFS(T_PlannedOrders[EffectiveQty],T_PlannedOrders[Part Name],$A895,T_PlannedOrders[WeekIndex],5)=0,"",SUMIFS(T_PlannedOrders[EffectiveQty],T_PlannedOrders[Part Name],$A895,T_PlannedOrders[WeekIndex],5)&amp;" ("&amp;TEXT(SUMPRODUCT(MAX((T_PlannedOrders[Part Name]=$A895)*(T_PlannedOrders[WeekIndex]=5)*(T_PlannedOrders[EffectiveQty]&gt;0)*T_PlannedOrders[Order_Month])),"m月")&amp;"発注)")</f>
        <v/>
      </c>
      <c r="I919">
        <f>IF(SUMIFS(T_PlannedOrders[EffectiveQty],T_PlannedOrders[Part Name],$A895,T_PlannedOrders[WeekIndex],6)=0,"",SUMIFS(T_PlannedOrders[EffectiveQty],T_PlannedOrders[Part Name],$A895,T_PlannedOrders[WeekIndex],6)&amp;" ("&amp;TEXT(SUMPRODUCT(MAX((T_PlannedOrders[Part Name]=$A895)*(T_PlannedOrders[WeekIndex]=6)*(T_PlannedOrders[EffectiveQty]&gt;0)*T_PlannedOrders[Order_Month])),"m月")&amp;"発注)")</f>
        <v/>
      </c>
      <c r="J919">
        <f>IF(SUMIFS(T_PlannedOrders[EffectiveQty],T_PlannedOrders[Part Name],$A895,T_PlannedOrders[WeekIndex],7)=0,"",SUMIFS(T_PlannedOrders[EffectiveQty],T_PlannedOrders[Part Name],$A895,T_PlannedOrders[WeekIndex],7)&amp;" ("&amp;TEXT(SUMPRODUCT(MAX((T_PlannedOrders[Part Name]=$A895)*(T_PlannedOrders[WeekIndex]=7)*(T_PlannedOrders[EffectiveQty]&gt;0)*T_PlannedOrders[Order_Month])),"m月")&amp;"発注)")</f>
        <v/>
      </c>
      <c r="K919">
        <f>IF(SUMIFS(T_PlannedOrders[EffectiveQty],T_PlannedOrders[Part Name],$A895,T_PlannedOrders[WeekIndex],8)=0,"",SUMIFS(T_PlannedOrders[EffectiveQty],T_PlannedOrders[Part Name],$A895,T_PlannedOrders[WeekIndex],8)&amp;" ("&amp;TEXT(SUMPRODUCT(MAX((T_PlannedOrders[Part Name]=$A895)*(T_PlannedOrders[WeekIndex]=8)*(T_PlannedOrders[EffectiveQty]&gt;0)*T_PlannedOrders[Order_Month])),"m月")&amp;"発注)")</f>
        <v/>
      </c>
      <c r="L919">
        <f>IF(SUMIFS(T_PlannedOrders[EffectiveQty],T_PlannedOrders[Part Name],$A895,T_PlannedOrders[WeekIndex],9)=0,"",SUMIFS(T_PlannedOrders[EffectiveQty],T_PlannedOrders[Part Name],$A895,T_PlannedOrders[WeekIndex],9)&amp;" ("&amp;TEXT(SUMPRODUCT(MAX((T_PlannedOrders[Part Name]=$A895)*(T_PlannedOrders[WeekIndex]=9)*(T_PlannedOrders[EffectiveQty]&gt;0)*T_PlannedOrders[Order_Month])),"m月")&amp;"発注)")</f>
        <v/>
      </c>
      <c r="M919">
        <f>IF(SUMIFS(T_PlannedOrders[EffectiveQty],T_PlannedOrders[Part Name],$A895,T_PlannedOrders[WeekIndex],10)=0,"",SUMIFS(T_PlannedOrders[EffectiveQty],T_PlannedOrders[Part Name],$A895,T_PlannedOrders[WeekIndex],10)&amp;" ("&amp;TEXT(SUMPRODUCT(MAX((T_PlannedOrders[Part Name]=$A895)*(T_PlannedOrders[WeekIndex]=10)*(T_PlannedOrders[EffectiveQty]&gt;0)*T_PlannedOrders[Order_Month])),"m月")&amp;"発注)")</f>
        <v/>
      </c>
      <c r="N919">
        <f>IF(SUMIFS(T_PlannedOrders[EffectiveQty],T_PlannedOrders[Part Name],$A895,T_PlannedOrders[WeekIndex],11)=0,"",SUMIFS(T_PlannedOrders[EffectiveQty],T_PlannedOrders[Part Name],$A895,T_PlannedOrders[WeekIndex],11)&amp;" ("&amp;TEXT(SUMPRODUCT(MAX((T_PlannedOrders[Part Name]=$A895)*(T_PlannedOrders[WeekIndex]=11)*(T_PlannedOrders[EffectiveQty]&gt;0)*T_PlannedOrders[Order_Month])),"m月")&amp;"発注)")</f>
        <v/>
      </c>
      <c r="O919">
        <f>IF(SUMIFS(T_PlannedOrders[EffectiveQty],T_PlannedOrders[Part Name],$A895,T_PlannedOrders[WeekIndex],12)=0,"",SUMIFS(T_PlannedOrders[EffectiveQty],T_PlannedOrders[Part Name],$A895,T_PlannedOrders[WeekIndex],12)&amp;" ("&amp;TEXT(SUMPRODUCT(MAX((T_PlannedOrders[Part Name]=$A895)*(T_PlannedOrders[WeekIndex]=12)*(T_PlannedOrders[EffectiveQty]&gt;0)*T_PlannedOrders[Order_Month])),"m月")&amp;"発注)")</f>
        <v/>
      </c>
      <c r="P919">
        <f>IF(SUMIFS(T_PlannedOrders[EffectiveQty],T_PlannedOrders[Part Name],$A895,T_PlannedOrders[WeekIndex],13)=0,"",SUMIFS(T_PlannedOrders[EffectiveQty],T_PlannedOrders[Part Name],$A895,T_PlannedOrders[WeekIndex],13)&amp;" ("&amp;TEXT(SUMPRODUCT(MAX((T_PlannedOrders[Part Name]=$A895)*(T_PlannedOrders[WeekIndex]=13)*(T_PlannedOrders[EffectiveQty]&gt;0)*T_PlannedOrders[Order_Month])),"m月")&amp;"発注)")</f>
        <v/>
      </c>
      <c r="Q919">
        <f>IF(SUMIFS(T_PlannedOrders[EffectiveQty],T_PlannedOrders[Part Name],$A895,T_PlannedOrders[WeekIndex],14)=0,"",SUMIFS(T_PlannedOrders[EffectiveQty],T_PlannedOrders[Part Name],$A895,T_PlannedOrders[WeekIndex],14)&amp;" ("&amp;TEXT(SUMPRODUCT(MAX((T_PlannedOrders[Part Name]=$A895)*(T_PlannedOrders[WeekIndex]=14)*(T_PlannedOrders[EffectiveQty]&gt;0)*T_PlannedOrders[Order_Month])),"m月")&amp;"発注)")</f>
        <v/>
      </c>
      <c r="R919">
        <f>IF(SUMIFS(T_PlannedOrders[EffectiveQty],T_PlannedOrders[Part Name],$A895,T_PlannedOrders[WeekIndex],15)=0,"",SUMIFS(T_PlannedOrders[EffectiveQty],T_PlannedOrders[Part Name],$A895,T_PlannedOrders[WeekIndex],15)&amp;" ("&amp;TEXT(SUMPRODUCT(MAX((T_PlannedOrders[Part Name]=$A895)*(T_PlannedOrders[WeekIndex]=15)*(T_PlannedOrders[EffectiveQty]&gt;0)*T_PlannedOrders[Order_Month])),"m月")&amp;"発注)")</f>
        <v/>
      </c>
      <c r="S919">
        <f>IF(SUMIFS(T_PlannedOrders[EffectiveQty],T_PlannedOrders[Part Name],$A895,T_PlannedOrders[WeekIndex],16)=0,"",SUMIFS(T_PlannedOrders[EffectiveQty],T_PlannedOrders[Part Name],$A895,T_PlannedOrders[WeekIndex],16)&amp;" ("&amp;TEXT(SUMPRODUCT(MAX((T_PlannedOrders[Part Name]=$A895)*(T_PlannedOrders[WeekIndex]=16)*(T_PlannedOrders[EffectiveQty]&gt;0)*T_PlannedOrders[Order_Month])),"m月")&amp;"発注)")</f>
        <v/>
      </c>
      <c r="T919">
        <f>IF(SUMIFS(T_PlannedOrders[EffectiveQty],T_PlannedOrders[Part Name],$A895,T_PlannedOrders[WeekIndex],17)=0,"",SUMIFS(T_PlannedOrders[EffectiveQty],T_PlannedOrders[Part Name],$A895,T_PlannedOrders[WeekIndex],17)&amp;" ("&amp;TEXT(SUMPRODUCT(MAX((T_PlannedOrders[Part Name]=$A895)*(T_PlannedOrders[WeekIndex]=17)*(T_PlannedOrders[EffectiveQty]&gt;0)*T_PlannedOrders[Order_Month])),"m月")&amp;"発注)")</f>
        <v/>
      </c>
      <c r="U919">
        <f>IF(SUMIFS(T_PlannedOrders[EffectiveQty],T_PlannedOrders[Part Name],$A895,T_PlannedOrders[WeekIndex],18)=0,"",SUMIFS(T_PlannedOrders[EffectiveQty],T_PlannedOrders[Part Name],$A895,T_PlannedOrders[WeekIndex],18)&amp;" ("&amp;TEXT(SUMPRODUCT(MAX((T_PlannedOrders[Part Name]=$A895)*(T_PlannedOrders[WeekIndex]=18)*(T_PlannedOrders[EffectiveQty]&gt;0)*T_PlannedOrders[Order_Month])),"m月")&amp;"発注)")</f>
        <v/>
      </c>
      <c r="V919">
        <f>IF(SUMIFS(T_PlannedOrders[EffectiveQty],T_PlannedOrders[Part Name],$A895,T_PlannedOrders[WeekIndex],19)=0,"",SUMIFS(T_PlannedOrders[EffectiveQty],T_PlannedOrders[Part Name],$A895,T_PlannedOrders[WeekIndex],19)&amp;" ("&amp;TEXT(SUMPRODUCT(MAX((T_PlannedOrders[Part Name]=$A895)*(T_PlannedOrders[WeekIndex]=19)*(T_PlannedOrders[EffectiveQty]&gt;0)*T_PlannedOrders[Order_Month])),"m月")&amp;"発注)")</f>
        <v/>
      </c>
      <c r="W919">
        <f>IF(SUMIFS(T_PlannedOrders[EffectiveQty],T_PlannedOrders[Part Name],$A895,T_PlannedOrders[WeekIndex],20)=0,"",SUMIFS(T_PlannedOrders[EffectiveQty],T_PlannedOrders[Part Name],$A895,T_PlannedOrders[WeekIndex],20)&amp;" ("&amp;TEXT(SUMPRODUCT(MAX((T_PlannedOrders[Part Name]=$A895)*(T_PlannedOrders[WeekIndex]=20)*(T_PlannedOrders[EffectiveQty]&gt;0)*T_PlannedOrders[Order_Month])),"m月")&amp;"発注)")</f>
        <v/>
      </c>
      <c r="X919">
        <f>IF(SUMIFS(T_PlannedOrders[EffectiveQty],T_PlannedOrders[Part Name],$A895,T_PlannedOrders[WeekIndex],21)=0,"",SUMIFS(T_PlannedOrders[EffectiveQty],T_PlannedOrders[Part Name],$A895,T_PlannedOrders[WeekIndex],21)&amp;" ("&amp;TEXT(SUMPRODUCT(MAX((T_PlannedOrders[Part Name]=$A895)*(T_PlannedOrders[WeekIndex]=21)*(T_PlannedOrders[EffectiveQty]&gt;0)*T_PlannedOrders[Order_Month])),"m月")&amp;"発注)")</f>
        <v/>
      </c>
      <c r="Y919">
        <f>IF(SUMIFS(T_PlannedOrders[EffectiveQty],T_PlannedOrders[Part Name],$A895,T_PlannedOrders[WeekIndex],22)=0,"",SUMIFS(T_PlannedOrders[EffectiveQty],T_PlannedOrders[Part Name],$A895,T_PlannedOrders[WeekIndex],22)&amp;" ("&amp;TEXT(SUMPRODUCT(MAX((T_PlannedOrders[Part Name]=$A895)*(T_PlannedOrders[WeekIndex]=22)*(T_PlannedOrders[EffectiveQty]&gt;0)*T_PlannedOrders[Order_Month])),"m月")&amp;"発注)")</f>
        <v/>
      </c>
      <c r="Z919">
        <f>IF(SUMIFS(T_PlannedOrders[EffectiveQty],T_PlannedOrders[Part Name],$A895,T_PlannedOrders[WeekIndex],23)=0,"",SUMIFS(T_PlannedOrders[EffectiveQty],T_PlannedOrders[Part Name],$A895,T_PlannedOrders[WeekIndex],23)&amp;" ("&amp;TEXT(SUMPRODUCT(MAX((T_PlannedOrders[Part Name]=$A895)*(T_PlannedOrders[WeekIndex]=23)*(T_PlannedOrders[EffectiveQty]&gt;0)*T_PlannedOrders[Order_Month])),"m月")&amp;"発注)")</f>
        <v/>
      </c>
      <c r="AA919">
        <f>IF(SUMIFS(T_PlannedOrders[EffectiveQty],T_PlannedOrders[Part Name],$A895,T_PlannedOrders[WeekIndex],24)=0,"",SUMIFS(T_PlannedOrders[EffectiveQty],T_PlannedOrders[Part Name],$A895,T_PlannedOrders[WeekIndex],24)&amp;" ("&amp;TEXT(SUMPRODUCT(MAX((T_PlannedOrders[Part Name]=$A895)*(T_PlannedOrders[WeekIndex]=24)*(T_PlannedOrders[EffectiveQty]&gt;0)*T_PlannedOrders[Order_Month])),"m月")&amp;"発注)")</f>
        <v/>
      </c>
      <c r="AB919">
        <f>IF(SUMIFS(T_PlannedOrders[EffectiveQty],T_PlannedOrders[Part Name],$A895,T_PlannedOrders[WeekIndex],25)=0,"",SUMIFS(T_PlannedOrders[EffectiveQty],T_PlannedOrders[Part Name],$A895,T_PlannedOrders[WeekIndex],25)&amp;" ("&amp;TEXT(SUMPRODUCT(MAX((T_PlannedOrders[Part Name]=$A895)*(T_PlannedOrders[WeekIndex]=25)*(T_PlannedOrders[EffectiveQty]&gt;0)*T_PlannedOrders[Order_Month])),"m月")&amp;"発注)")</f>
        <v/>
      </c>
      <c r="AC919">
        <f>IF(SUMIFS(T_PlannedOrders[EffectiveQty],T_PlannedOrders[Part Name],$A895,T_PlannedOrders[WeekIndex],26)=0,"",SUMIFS(T_PlannedOrders[EffectiveQty],T_PlannedOrders[Part Name],$A895,T_PlannedOrders[WeekIndex],26)&amp;" ("&amp;TEXT(SUMPRODUCT(MAX((T_PlannedOrders[Part Name]=$A895)*(T_PlannedOrders[WeekIndex]=26)*(T_PlannedOrders[EffectiveQty]&gt;0)*T_PlannedOrders[Order_Month])),"m月")&amp;"発注)")</f>
        <v/>
      </c>
      <c r="AD919">
        <f>IF(SUMIFS(T_PlannedOrders[EffectiveQty],T_PlannedOrders[Part Name],$A895,T_PlannedOrders[WeekIndex],27)=0,"",SUMIFS(T_PlannedOrders[EffectiveQty],T_PlannedOrders[Part Name],$A895,T_PlannedOrders[WeekIndex],27)&amp;" ("&amp;TEXT(SUMPRODUCT(MAX((T_PlannedOrders[Part Name]=$A895)*(T_PlannedOrders[WeekIndex]=27)*(T_PlannedOrders[EffectiveQty]&gt;0)*T_PlannedOrders[Order_Month])),"m月")&amp;"発注)")</f>
        <v/>
      </c>
      <c r="AE919">
        <f>IF(SUMIFS(T_PlannedOrders[EffectiveQty],T_PlannedOrders[Part Name],$A895,T_PlannedOrders[WeekIndex],28)=0,"",SUMIFS(T_PlannedOrders[EffectiveQty],T_PlannedOrders[Part Name],$A895,T_PlannedOrders[WeekIndex],28)&amp;" ("&amp;TEXT(SUMPRODUCT(MAX((T_PlannedOrders[Part Name]=$A895)*(T_PlannedOrders[WeekIndex]=28)*(T_PlannedOrders[EffectiveQty]&gt;0)*T_PlannedOrders[Order_Month])),"m月")&amp;"発注)")</f>
        <v/>
      </c>
      <c r="AF919">
        <f>IF(SUMIFS(T_PlannedOrders[EffectiveQty],T_PlannedOrders[Part Name],$A895,T_PlannedOrders[WeekIndex],29)=0,"",SUMIFS(T_PlannedOrders[EffectiveQty],T_PlannedOrders[Part Name],$A895,T_PlannedOrders[WeekIndex],29)&amp;" ("&amp;TEXT(SUMPRODUCT(MAX((T_PlannedOrders[Part Name]=$A895)*(T_PlannedOrders[WeekIndex]=29)*(T_PlannedOrders[EffectiveQty]&gt;0)*T_PlannedOrders[Order_Month])),"m月")&amp;"発注)")</f>
        <v/>
      </c>
      <c r="AG919">
        <f>IF(SUMIFS(T_PlannedOrders[EffectiveQty],T_PlannedOrders[Part Name],$A895,T_PlannedOrders[WeekIndex],30)=0,"",SUMIFS(T_PlannedOrders[EffectiveQty],T_PlannedOrders[Part Name],$A895,T_PlannedOrders[WeekIndex],30)&amp;" ("&amp;TEXT(SUMPRODUCT(MAX((T_PlannedOrders[Part Name]=$A895)*(T_PlannedOrders[WeekIndex]=30)*(T_PlannedOrders[EffectiveQty]&gt;0)*T_PlannedOrders[Order_Month])),"m月")&amp;"発注)")</f>
        <v/>
      </c>
      <c r="AH919">
        <f>IF(SUMIFS(T_PlannedOrders[EffectiveQty],T_PlannedOrders[Part Name],$A895,T_PlannedOrders[WeekIndex],31)=0,"",SUMIFS(T_PlannedOrders[EffectiveQty],T_PlannedOrders[Part Name],$A895,T_PlannedOrders[WeekIndex],31)&amp;" ("&amp;TEXT(SUMPRODUCT(MAX((T_PlannedOrders[Part Name]=$A895)*(T_PlannedOrders[WeekIndex]=31)*(T_PlannedOrders[EffectiveQty]&gt;0)*T_PlannedOrders[Order_Month])),"m月")&amp;"発注)")</f>
        <v/>
      </c>
      <c r="AI919">
        <f>IF(SUMIFS(T_PlannedOrders[EffectiveQty],T_PlannedOrders[Part Name],$A895,T_PlannedOrders[WeekIndex],32)=0,"",SUMIFS(T_PlannedOrders[EffectiveQty],T_PlannedOrders[Part Name],$A895,T_PlannedOrders[WeekIndex],32)&amp;" ("&amp;TEXT(SUMPRODUCT(MAX((T_PlannedOrders[Part Name]=$A895)*(T_PlannedOrders[WeekIndex]=32)*(T_PlannedOrders[EffectiveQty]&gt;0)*T_PlannedOrders[Order_Month])),"m月")&amp;"発注)")</f>
        <v/>
      </c>
      <c r="AJ919">
        <f>IF(SUMIFS(T_PlannedOrders[EffectiveQty],T_PlannedOrders[Part Name],$A895,T_PlannedOrders[WeekIndex],33)=0,"",SUMIFS(T_PlannedOrders[EffectiveQty],T_PlannedOrders[Part Name],$A895,T_PlannedOrders[WeekIndex],33)&amp;" ("&amp;TEXT(SUMPRODUCT(MAX((T_PlannedOrders[Part Name]=$A895)*(T_PlannedOrders[WeekIndex]=33)*(T_PlannedOrders[EffectiveQty]&gt;0)*T_PlannedOrders[Order_Month])),"m月")&amp;"発注)")</f>
        <v/>
      </c>
      <c r="AK919">
        <f>IF(SUMIFS(T_PlannedOrders[EffectiveQty],T_PlannedOrders[Part Name],$A895,T_PlannedOrders[WeekIndex],34)=0,"",SUMIFS(T_PlannedOrders[EffectiveQty],T_PlannedOrders[Part Name],$A895,T_PlannedOrders[WeekIndex],34)&amp;" ("&amp;TEXT(SUMPRODUCT(MAX((T_PlannedOrders[Part Name]=$A895)*(T_PlannedOrders[WeekIndex]=34)*(T_PlannedOrders[EffectiveQty]&gt;0)*T_PlannedOrders[Order_Month])),"m月")&amp;"発注)")</f>
        <v/>
      </c>
      <c r="AL919">
        <f>IF(SUMIFS(T_PlannedOrders[EffectiveQty],T_PlannedOrders[Part Name],$A895,T_PlannedOrders[WeekIndex],35)=0,"",SUMIFS(T_PlannedOrders[EffectiveQty],T_PlannedOrders[Part Name],$A895,T_PlannedOrders[WeekIndex],35)&amp;" ("&amp;TEXT(SUMPRODUCT(MAX((T_PlannedOrders[Part Name]=$A895)*(T_PlannedOrders[WeekIndex]=35)*(T_PlannedOrders[EffectiveQty]&gt;0)*T_PlannedOrders[Order_Month])),"m月")&amp;"発注)")</f>
        <v/>
      </c>
      <c r="AM919">
        <f>IF(SUMIFS(T_PlannedOrders[EffectiveQty],T_PlannedOrders[Part Name],$A895,T_PlannedOrders[WeekIndex],36)=0,"",SUMIFS(T_PlannedOrders[EffectiveQty],T_PlannedOrders[Part Name],$A895,T_PlannedOrders[WeekIndex],36)&amp;" ("&amp;TEXT(SUMPRODUCT(MAX((T_PlannedOrders[Part Name]=$A895)*(T_PlannedOrders[WeekIndex]=36)*(T_PlannedOrders[EffectiveQty]&gt;0)*T_PlannedOrders[Order_Month])),"m月")&amp;"発注)")</f>
        <v/>
      </c>
      <c r="AN919">
        <f>IF(SUMIFS(T_PlannedOrders[EffectiveQty],T_PlannedOrders[Part Name],$A895,T_PlannedOrders[WeekIndex],37)=0,"",SUMIFS(T_PlannedOrders[EffectiveQty],T_PlannedOrders[Part Name],$A895,T_PlannedOrders[WeekIndex],37)&amp;" ("&amp;TEXT(SUMPRODUCT(MAX((T_PlannedOrders[Part Name]=$A895)*(T_PlannedOrders[WeekIndex]=37)*(T_PlannedOrders[EffectiveQty]&gt;0)*T_PlannedOrders[Order_Month])),"m月")&amp;"発注)")</f>
        <v/>
      </c>
      <c r="AO919">
        <f>IF(SUMIFS(T_PlannedOrders[EffectiveQty],T_PlannedOrders[Part Name],$A895,T_PlannedOrders[WeekIndex],38)=0,"",SUMIFS(T_PlannedOrders[EffectiveQty],T_PlannedOrders[Part Name],$A895,T_PlannedOrders[WeekIndex],38)&amp;" ("&amp;TEXT(SUMPRODUCT(MAX((T_PlannedOrders[Part Name]=$A895)*(T_PlannedOrders[WeekIndex]=38)*(T_PlannedOrders[EffectiveQty]&gt;0)*T_PlannedOrders[Order_Month])),"m月")&amp;"発注)")</f>
        <v/>
      </c>
      <c r="AP919">
        <f>IF(SUMIFS(T_PlannedOrders[EffectiveQty],T_PlannedOrders[Part Name],$A895,T_PlannedOrders[WeekIndex],39)=0,"",SUMIFS(T_PlannedOrders[EffectiveQty],T_PlannedOrders[Part Name],$A895,T_PlannedOrders[WeekIndex],39)&amp;" ("&amp;TEXT(SUMPRODUCT(MAX((T_PlannedOrders[Part Name]=$A895)*(T_PlannedOrders[WeekIndex]=39)*(T_PlannedOrders[EffectiveQty]&gt;0)*T_PlannedOrders[Order_Month])),"m月")&amp;"発注)")</f>
        <v/>
      </c>
      <c r="AQ919">
        <f>IF(SUMIFS(T_PlannedOrders[EffectiveQty],T_PlannedOrders[Part Name],$A895,T_PlannedOrders[WeekIndex],40)=0,"",SUMIFS(T_PlannedOrders[EffectiveQty],T_PlannedOrders[Part Name],$A895,T_PlannedOrders[WeekIndex],40)&amp;" ("&amp;TEXT(SUMPRODUCT(MAX((T_PlannedOrders[Part Name]=$A895)*(T_PlannedOrders[WeekIndex]=40)*(T_PlannedOrders[EffectiveQty]&gt;0)*T_PlannedOrders[Order_Month])),"m月")&amp;"発注)")</f>
        <v/>
      </c>
      <c r="AR919">
        <f>IF(SUMIFS(T_PlannedOrders[EffectiveQty],T_PlannedOrders[Part Name],$A895,T_PlannedOrders[WeekIndex],41)=0,"",SUMIFS(T_PlannedOrders[EffectiveQty],T_PlannedOrders[Part Name],$A895,T_PlannedOrders[WeekIndex],41)&amp;" ("&amp;TEXT(SUMPRODUCT(MAX((T_PlannedOrders[Part Name]=$A895)*(T_PlannedOrders[WeekIndex]=41)*(T_PlannedOrders[EffectiveQty]&gt;0)*T_PlannedOrders[Order_Month])),"m月")&amp;"発注)")</f>
        <v/>
      </c>
      <c r="AS919">
        <f>IF(SUMIFS(T_PlannedOrders[EffectiveQty],T_PlannedOrders[Part Name],$A895,T_PlannedOrders[WeekIndex],42)=0,"",SUMIFS(T_PlannedOrders[EffectiveQty],T_PlannedOrders[Part Name],$A895,T_PlannedOrders[WeekIndex],42)&amp;" ("&amp;TEXT(SUMPRODUCT(MAX((T_PlannedOrders[Part Name]=$A895)*(T_PlannedOrders[WeekIndex]=42)*(T_PlannedOrders[EffectiveQty]&gt;0)*T_PlannedOrders[Order_Month])),"m月")&amp;"発注)")</f>
        <v/>
      </c>
      <c r="AT919">
        <f>IF(SUMIFS(T_PlannedOrders[EffectiveQty],T_PlannedOrders[Part Name],$A895,T_PlannedOrders[WeekIndex],43)=0,"",SUMIFS(T_PlannedOrders[EffectiveQty],T_PlannedOrders[Part Name],$A895,T_PlannedOrders[WeekIndex],43)&amp;" ("&amp;TEXT(SUMPRODUCT(MAX((T_PlannedOrders[Part Name]=$A895)*(T_PlannedOrders[WeekIndex]=43)*(T_PlannedOrders[EffectiveQty]&gt;0)*T_PlannedOrders[Order_Month])),"m月")&amp;"発注)")</f>
        <v/>
      </c>
      <c r="AU919">
        <f>IF(SUMIFS(T_PlannedOrders[EffectiveQty],T_PlannedOrders[Part Name],$A895,T_PlannedOrders[WeekIndex],44)=0,"",SUMIFS(T_PlannedOrders[EffectiveQty],T_PlannedOrders[Part Name],$A895,T_PlannedOrders[WeekIndex],44)&amp;" ("&amp;TEXT(SUMPRODUCT(MAX((T_PlannedOrders[Part Name]=$A895)*(T_PlannedOrders[WeekIndex]=44)*(T_PlannedOrders[EffectiveQty]&gt;0)*T_PlannedOrders[Order_Month])),"m月")&amp;"発注)")</f>
        <v/>
      </c>
      <c r="AV919">
        <f>IF(SUMIFS(T_PlannedOrders[EffectiveQty],T_PlannedOrders[Part Name],$A895,T_PlannedOrders[WeekIndex],45)=0,"",SUMIFS(T_PlannedOrders[EffectiveQty],T_PlannedOrders[Part Name],$A895,T_PlannedOrders[WeekIndex],45)&amp;" ("&amp;TEXT(SUMPRODUCT(MAX((T_PlannedOrders[Part Name]=$A895)*(T_PlannedOrders[WeekIndex]=45)*(T_PlannedOrders[EffectiveQty]&gt;0)*T_PlannedOrders[Order_Month])),"m月")&amp;"発注)")</f>
        <v/>
      </c>
      <c r="AW919">
        <f>IF(SUMIFS(T_PlannedOrders[EffectiveQty],T_PlannedOrders[Part Name],$A895,T_PlannedOrders[WeekIndex],46)=0,"",SUMIFS(T_PlannedOrders[EffectiveQty],T_PlannedOrders[Part Name],$A895,T_PlannedOrders[WeekIndex],46)&amp;" ("&amp;TEXT(SUMPRODUCT(MAX((T_PlannedOrders[Part Name]=$A895)*(T_PlannedOrders[WeekIndex]=46)*(T_PlannedOrders[EffectiveQty]&gt;0)*T_PlannedOrders[Order_Month])),"m月")&amp;"発注)")</f>
        <v/>
      </c>
      <c r="AX919">
        <f>IF(SUMIFS(T_PlannedOrders[EffectiveQty],T_PlannedOrders[Part Name],$A895,T_PlannedOrders[WeekIndex],47)=0,"",SUMIFS(T_PlannedOrders[EffectiveQty],T_PlannedOrders[Part Name],$A895,T_PlannedOrders[WeekIndex],47)&amp;" ("&amp;TEXT(SUMPRODUCT(MAX((T_PlannedOrders[Part Name]=$A895)*(T_PlannedOrders[WeekIndex]=47)*(T_PlannedOrders[EffectiveQty]&gt;0)*T_PlannedOrders[Order_Month])),"m月")&amp;"発注)")</f>
        <v/>
      </c>
      <c r="AY919">
        <f>IF(SUMIFS(T_PlannedOrders[EffectiveQty],T_PlannedOrders[Part Name],$A895,T_PlannedOrders[WeekIndex],48)=0,"",SUMIFS(T_PlannedOrders[EffectiveQty],T_PlannedOrders[Part Name],$A895,T_PlannedOrders[WeekIndex],48)&amp;" ("&amp;TEXT(SUMPRODUCT(MAX((T_PlannedOrders[Part Name]=$A895)*(T_PlannedOrders[WeekIndex]=48)*(T_PlannedOrders[EffectiveQty]&gt;0)*T_PlannedOrders[Order_Month])),"m月")&amp;"発注)")</f>
        <v/>
      </c>
      <c r="AZ919">
        <f>IF(SUMIFS(T_PlannedOrders[EffectiveQty],T_PlannedOrders[Part Name],$A895,T_PlannedOrders[WeekIndex],49)=0,"",SUMIFS(T_PlannedOrders[EffectiveQty],T_PlannedOrders[Part Name],$A895,T_PlannedOrders[WeekIndex],49)&amp;" ("&amp;TEXT(SUMPRODUCT(MAX((T_PlannedOrders[Part Name]=$A895)*(T_PlannedOrders[WeekIndex]=49)*(T_PlannedOrders[EffectiveQty]&gt;0)*T_PlannedOrders[Order_Month])),"m月")&amp;"発注)")</f>
        <v/>
      </c>
      <c r="BA919">
        <f>IF(SUMIFS(T_PlannedOrders[EffectiveQty],T_PlannedOrders[Part Name],$A895,T_PlannedOrders[WeekIndex],50)=0,"",SUMIFS(T_PlannedOrders[EffectiveQty],T_PlannedOrders[Part Name],$A895,T_PlannedOrders[WeekIndex],50)&amp;" ("&amp;TEXT(SUMPRODUCT(MAX((T_PlannedOrders[Part Name]=$A895)*(T_PlannedOrders[WeekIndex]=50)*(T_PlannedOrders[EffectiveQty]&gt;0)*T_PlannedOrders[Order_Month])),"m月")&amp;"発注)")</f>
        <v/>
      </c>
      <c r="BB919">
        <f>IF(SUMIFS(T_PlannedOrders[EffectiveQty],T_PlannedOrders[Part Name],$A895,T_PlannedOrders[WeekIndex],51)=0,"",SUMIFS(T_PlannedOrders[EffectiveQty],T_PlannedOrders[Part Name],$A895,T_PlannedOrders[WeekIndex],51)&amp;" ("&amp;TEXT(SUMPRODUCT(MAX((T_PlannedOrders[Part Name]=$A895)*(T_PlannedOrders[WeekIndex]=51)*(T_PlannedOrders[EffectiveQty]&gt;0)*T_PlannedOrders[Order_Month])),"m月")&amp;"発注)")</f>
        <v/>
      </c>
      <c r="BC919">
        <f>IF(SUMIFS(T_PlannedOrders[EffectiveQty],T_PlannedOrders[Part Name],$A895,T_PlannedOrders[WeekIndex],52)=0,"",SUMIFS(T_PlannedOrders[EffectiveQty],T_PlannedOrders[Part Name],$A895,T_PlannedOrders[WeekIndex],52)&amp;" ("&amp;TEXT(SUMPRODUCT(MAX((T_PlannedOrders[Part Name]=$A895)*(T_PlannedOrders[WeekIndex]=52)*(T_PlannedOrders[EffectiveQty]&gt;0)*T_PlannedOrders[Order_Month])),"m月")&amp;"発注)")</f>
        <v/>
      </c>
      <c r="BD919">
        <f>IF(SUMIFS(T_PlannedOrders[EffectiveQty],T_PlannedOrders[Part Name],$A895,T_PlannedOrders[WeekIndex],53)=0,"",SUMIFS(T_PlannedOrders[EffectiveQty],T_PlannedOrders[Part Name],$A895,T_PlannedOrders[WeekIndex],53)&amp;" ("&amp;TEXT(SUMPRODUCT(MAX((T_PlannedOrders[Part Name]=$A895)*(T_PlannedOrders[WeekIndex]=53)*(T_PlannedOrders[EffectiveQty]&gt;0)*T_PlannedOrders[Order_Month])),"m月")&amp;"発注)")</f>
        <v/>
      </c>
      <c r="BE919">
        <f>IF(SUMIFS(T_PlannedOrders[EffectiveQty],T_PlannedOrders[Part Name],$A895,T_PlannedOrders[WeekIndex],54)=0,"",SUMIFS(T_PlannedOrders[EffectiveQty],T_PlannedOrders[Part Name],$A895,T_PlannedOrders[WeekIndex],54)&amp;" ("&amp;TEXT(SUMPRODUCT(MAX((T_PlannedOrders[Part Name]=$A895)*(T_PlannedOrders[WeekIndex]=54)*(T_PlannedOrders[EffectiveQty]&gt;0)*T_PlannedOrders[Order_Month])),"m月")&amp;"発注)")</f>
        <v/>
      </c>
      <c r="BF919">
        <f>IF(SUMIFS(T_PlannedOrders[EffectiveQty],T_PlannedOrders[Part Name],$A895,T_PlannedOrders[WeekIndex],55)=0,"",SUMIFS(T_PlannedOrders[EffectiveQty],T_PlannedOrders[Part Name],$A895,T_PlannedOrders[WeekIndex],55)&amp;" ("&amp;TEXT(SUMPRODUCT(MAX((T_PlannedOrders[Part Name]=$A895)*(T_PlannedOrders[WeekIndex]=55)*(T_PlannedOrders[EffectiveQty]&gt;0)*T_PlannedOrders[Order_Month])),"m月")&amp;"発注)")</f>
        <v/>
      </c>
      <c r="BG919">
        <f>IF(SUMIFS(T_PlannedOrders[EffectiveQty],T_PlannedOrders[Part Name],$A895,T_PlannedOrders[WeekIndex],56)=0,"",SUMIFS(T_PlannedOrders[EffectiveQty],T_PlannedOrders[Part Name],$A895,T_PlannedOrders[WeekIndex],56)&amp;" ("&amp;TEXT(SUMPRODUCT(MAX((T_PlannedOrders[Part Name]=$A895)*(T_PlannedOrders[WeekIndex]=56)*(T_PlannedOrders[EffectiveQty]&gt;0)*T_PlannedOrders[Order_Month])),"m月")&amp;"発注)")</f>
        <v/>
      </c>
      <c r="BH919">
        <f>IF(SUMIFS(T_PlannedOrders[EffectiveQty],T_PlannedOrders[Part Name],$A895,T_PlannedOrders[WeekIndex],57)=0,"",SUMIFS(T_PlannedOrders[EffectiveQty],T_PlannedOrders[Part Name],$A895,T_PlannedOrders[WeekIndex],57)&amp;" ("&amp;TEXT(SUMPRODUCT(MAX((T_PlannedOrders[Part Name]=$A895)*(T_PlannedOrders[WeekIndex]=57)*(T_PlannedOrders[EffectiveQty]&gt;0)*T_PlannedOrders[Order_Month])),"m月")&amp;"発注)")</f>
        <v/>
      </c>
      <c r="BI919">
        <f>IF(SUMIFS(T_PlannedOrders[EffectiveQty],T_PlannedOrders[Part Name],$A895,T_PlannedOrders[WeekIndex],58)=0,"",SUMIFS(T_PlannedOrders[EffectiveQty],T_PlannedOrders[Part Name],$A895,T_PlannedOrders[WeekIndex],58)&amp;" ("&amp;TEXT(SUMPRODUCT(MAX((T_PlannedOrders[Part Name]=$A895)*(T_PlannedOrders[WeekIndex]=58)*(T_PlannedOrders[EffectiveQty]&gt;0)*T_PlannedOrders[Order_Month])),"m月")&amp;"発注)")</f>
        <v/>
      </c>
      <c r="BJ919">
        <f>IF(SUMIFS(T_PlannedOrders[EffectiveQty],T_PlannedOrders[Part Name],$A895,T_PlannedOrders[WeekIndex],59)=0,"",SUMIFS(T_PlannedOrders[EffectiveQty],T_PlannedOrders[Part Name],$A895,T_PlannedOrders[WeekIndex],59)&amp;" ("&amp;TEXT(SUMPRODUCT(MAX((T_PlannedOrders[Part Name]=$A895)*(T_PlannedOrders[WeekIndex]=59)*(T_PlannedOrders[EffectiveQty]&gt;0)*T_PlannedOrders[Order_Month])),"m月")&amp;"発注)")</f>
        <v/>
      </c>
      <c r="BK919">
        <f>IF(SUMIFS(T_PlannedOrders[EffectiveQty],T_PlannedOrders[Part Name],$A895,T_PlannedOrders[WeekIndex],60)=0,"",SUMIFS(T_PlannedOrders[EffectiveQty],T_PlannedOrders[Part Name],$A895,T_PlannedOrders[WeekIndex],60)&amp;" ("&amp;TEXT(SUMPRODUCT(MAX((T_PlannedOrders[Part Name]=$A895)*(T_PlannedOrders[WeekIndex]=60)*(T_PlannedOrders[EffectiveQty]&gt;0)*T_PlannedOrders[Order_Month])),"m月")&amp;"発注)")</f>
        <v/>
      </c>
      <c r="BL919">
        <f>IF(SUMIFS(T_PlannedOrders[EffectiveQty],T_PlannedOrders[Part Name],$A895,T_PlannedOrders[WeekIndex],61)=0,"",SUMIFS(T_PlannedOrders[EffectiveQty],T_PlannedOrders[Part Name],$A895,T_PlannedOrders[WeekIndex],61)&amp;" ("&amp;TEXT(SUMPRODUCT(MAX((T_PlannedOrders[Part Name]=$A895)*(T_PlannedOrders[WeekIndex]=61)*(T_PlannedOrders[EffectiveQty]&gt;0)*T_PlannedOrders[Order_Month])),"m月")&amp;"発注)")</f>
        <v/>
      </c>
      <c r="BM919">
        <f>IF(SUMIFS(T_PlannedOrders[EffectiveQty],T_PlannedOrders[Part Name],$A895,T_PlannedOrders[WeekIndex],62)=0,"",SUMIFS(T_PlannedOrders[EffectiveQty],T_PlannedOrders[Part Name],$A895,T_PlannedOrders[WeekIndex],62)&amp;" ("&amp;TEXT(SUMPRODUCT(MAX((T_PlannedOrders[Part Name]=$A895)*(T_PlannedOrders[WeekIndex]=62)*(T_PlannedOrders[EffectiveQty]&gt;0)*T_PlannedOrders[Order_Month])),"m月")&amp;"発注)")</f>
        <v/>
      </c>
      <c r="BN919">
        <f>IF(SUMIFS(T_PlannedOrders[EffectiveQty],T_PlannedOrders[Part Name],$A895,T_PlannedOrders[WeekIndex],63)=0,"",SUMIFS(T_PlannedOrders[EffectiveQty],T_PlannedOrders[Part Name],$A895,T_PlannedOrders[WeekIndex],63)&amp;" ("&amp;TEXT(SUMPRODUCT(MAX((T_PlannedOrders[Part Name]=$A895)*(T_PlannedOrders[WeekIndex]=63)*(T_PlannedOrders[EffectiveQty]&gt;0)*T_PlannedOrders[Order_Month])),"m月")&amp;"発注)")</f>
        <v/>
      </c>
      <c r="BO919">
        <f>IF(SUMIFS(T_PlannedOrders[EffectiveQty],T_PlannedOrders[Part Name],$A895,T_PlannedOrders[WeekIndex],64)=0,"",SUMIFS(T_PlannedOrders[EffectiveQty],T_PlannedOrders[Part Name],$A895,T_PlannedOrders[WeekIndex],64)&amp;" ("&amp;TEXT(SUMPRODUCT(MAX((T_PlannedOrders[Part Name]=$A895)*(T_PlannedOrders[WeekIndex]=64)*(T_PlannedOrders[EffectiveQty]&gt;0)*T_PlannedOrders[Order_Month])),"m月")&amp;"発注)")</f>
        <v/>
      </c>
      <c r="BP919">
        <f>IF(SUMIFS(T_PlannedOrders[EffectiveQty],T_PlannedOrders[Part Name],$A895,T_PlannedOrders[WeekIndex],65)=0,"",SUMIFS(T_PlannedOrders[EffectiveQty],T_PlannedOrders[Part Name],$A895,T_PlannedOrders[WeekIndex],65)&amp;" ("&amp;TEXT(SUMPRODUCT(MAX((T_PlannedOrders[Part Name]=$A895)*(T_PlannedOrders[WeekIndex]=65)*(T_PlannedOrders[EffectiveQty]&gt;0)*T_PlannedOrders[Order_Month])),"m月")&amp;"発注)")</f>
        <v/>
      </c>
      <c r="BQ919">
        <f>IF(SUMIFS(T_PlannedOrders[EffectiveQty],T_PlannedOrders[Part Name],$A895,T_PlannedOrders[WeekIndex],66)=0,"",SUMIFS(T_PlannedOrders[EffectiveQty],T_PlannedOrders[Part Name],$A895,T_PlannedOrders[WeekIndex],66)&amp;" ("&amp;TEXT(SUMPRODUCT(MAX((T_PlannedOrders[Part Name]=$A895)*(T_PlannedOrders[WeekIndex]=66)*(T_PlannedOrders[EffectiveQty]&gt;0)*T_PlannedOrders[Order_Month])),"m月")&amp;"発注)")</f>
        <v/>
      </c>
      <c r="BR919">
        <f>IF(SUMIFS(T_PlannedOrders[EffectiveQty],T_PlannedOrders[Part Name],$A895,T_PlannedOrders[WeekIndex],67)=0,"",SUMIFS(T_PlannedOrders[EffectiveQty],T_PlannedOrders[Part Name],$A895,T_PlannedOrders[WeekIndex],67)&amp;" ("&amp;TEXT(SUMPRODUCT(MAX((T_PlannedOrders[Part Name]=$A895)*(T_PlannedOrders[WeekIndex]=67)*(T_PlannedOrders[EffectiveQty]&gt;0)*T_PlannedOrders[Order_Month])),"m月")&amp;"発注)")</f>
        <v/>
      </c>
      <c r="BS919">
        <f>IF(SUMIFS(T_PlannedOrders[EffectiveQty],T_PlannedOrders[Part Name],$A895,T_PlannedOrders[WeekIndex],68)=0,"",SUMIFS(T_PlannedOrders[EffectiveQty],T_PlannedOrders[Part Name],$A895,T_PlannedOrders[WeekIndex],68)&amp;" ("&amp;TEXT(SUMPRODUCT(MAX((T_PlannedOrders[Part Name]=$A895)*(T_PlannedOrders[WeekIndex]=68)*(T_PlannedOrders[EffectiveQty]&gt;0)*T_PlannedOrders[Order_Month])),"m月")&amp;"発注)")</f>
        <v/>
      </c>
      <c r="BT919">
        <f>IF(SUMIFS(T_PlannedOrders[EffectiveQty],T_PlannedOrders[Part Name],$A895,T_PlannedOrders[WeekIndex],69)=0,"",SUMIFS(T_PlannedOrders[EffectiveQty],T_PlannedOrders[Part Name],$A895,T_PlannedOrders[WeekIndex],69)&amp;" ("&amp;TEXT(SUMPRODUCT(MAX((T_PlannedOrders[Part Name]=$A895)*(T_PlannedOrders[WeekIndex]=69)*(T_PlannedOrders[EffectiveQty]&gt;0)*T_PlannedOrders[Order_Month])),"m月")&amp;"発注)")</f>
        <v/>
      </c>
      <c r="BU919">
        <f>IF(SUMIFS(T_PlannedOrders[EffectiveQty],T_PlannedOrders[Part Name],$A895,T_PlannedOrders[WeekIndex],70)=0,"",SUMIFS(T_PlannedOrders[EffectiveQty],T_PlannedOrders[Part Name],$A895,T_PlannedOrders[WeekIndex],70)&amp;" ("&amp;TEXT(SUMPRODUCT(MAX((T_PlannedOrders[Part Name]=$A895)*(T_PlannedOrders[WeekIndex]=70)*(T_PlannedOrders[EffectiveQty]&gt;0)*T_PlannedOrders[Order_Month])),"m月")&amp;"発注)")</f>
        <v/>
      </c>
      <c r="BV919">
        <f>IF(SUMIFS(T_PlannedOrders[EffectiveQty],T_PlannedOrders[Part Name],$A895,T_PlannedOrders[WeekIndex],71)=0,"",SUMIFS(T_PlannedOrders[EffectiveQty],T_PlannedOrders[Part Name],$A895,T_PlannedOrders[WeekIndex],71)&amp;" ("&amp;TEXT(SUMPRODUCT(MAX((T_PlannedOrders[Part Name]=$A895)*(T_PlannedOrders[WeekIndex]=71)*(T_PlannedOrders[EffectiveQty]&gt;0)*T_PlannedOrders[Order_Month])),"m月")&amp;"発注)")</f>
        <v/>
      </c>
      <c r="BW919">
        <f>IF(SUMIFS(T_PlannedOrders[EffectiveQty],T_PlannedOrders[Part Name],$A895,T_PlannedOrders[WeekIndex],72)=0,"",SUMIFS(T_PlannedOrders[EffectiveQty],T_PlannedOrders[Part Name],$A895,T_PlannedOrders[WeekIndex],72)&amp;" ("&amp;TEXT(SUMPRODUCT(MAX((T_PlannedOrders[Part Name]=$A895)*(T_PlannedOrders[WeekIndex]=72)*(T_PlannedOrders[EffectiveQty]&gt;0)*T_PlannedOrders[Order_Month])),"m月")&amp;"発注)")</f>
        <v/>
      </c>
      <c r="BX919">
        <f>IF(SUMIFS(T_PlannedOrders[EffectiveQty],T_PlannedOrders[Part Name],$A895,T_PlannedOrders[WeekIndex],73)=0,"",SUMIFS(T_PlannedOrders[EffectiveQty],T_PlannedOrders[Part Name],$A895,T_PlannedOrders[WeekIndex],73)&amp;" ("&amp;TEXT(SUMPRODUCT(MAX((T_PlannedOrders[Part Name]=$A895)*(T_PlannedOrders[WeekIndex]=73)*(T_PlannedOrders[EffectiveQty]&gt;0)*T_PlannedOrders[Order_Month])),"m月")&amp;"発注)")</f>
        <v/>
      </c>
      <c r="BY919">
        <f>IF(SUMIFS(T_PlannedOrders[EffectiveQty],T_PlannedOrders[Part Name],$A895,T_PlannedOrders[WeekIndex],74)=0,"",SUMIFS(T_PlannedOrders[EffectiveQty],T_PlannedOrders[Part Name],$A895,T_PlannedOrders[WeekIndex],74)&amp;" ("&amp;TEXT(SUMPRODUCT(MAX((T_PlannedOrders[Part Name]=$A895)*(T_PlannedOrders[WeekIndex]=74)*(T_PlannedOrders[EffectiveQty]&gt;0)*T_PlannedOrders[Order_Month])),"m月")&amp;"発注)")</f>
        <v/>
      </c>
      <c r="BZ919">
        <f>IF(SUMIFS(T_PlannedOrders[EffectiveQty],T_PlannedOrders[Part Name],$A895,T_PlannedOrders[WeekIndex],75)=0,"",SUMIFS(T_PlannedOrders[EffectiveQty],T_PlannedOrders[Part Name],$A895,T_PlannedOrders[WeekIndex],75)&amp;" ("&amp;TEXT(SUMPRODUCT(MAX((T_PlannedOrders[Part Name]=$A895)*(T_PlannedOrders[WeekIndex]=75)*(T_PlannedOrders[EffectiveQty]&gt;0)*T_PlannedOrders[Order_Month])),"m月")&amp;"発注)")</f>
        <v/>
      </c>
      <c r="CA919">
        <f>IF(SUMIFS(T_PlannedOrders[EffectiveQty],T_PlannedOrders[Part Name],$A895,T_PlannedOrders[WeekIndex],76)=0,"",SUMIFS(T_PlannedOrders[EffectiveQty],T_PlannedOrders[Part Name],$A895,T_PlannedOrders[WeekIndex],76)&amp;" ("&amp;TEXT(SUMPRODUCT(MAX((T_PlannedOrders[Part Name]=$A895)*(T_PlannedOrders[WeekIndex]=76)*(T_PlannedOrders[EffectiveQty]&gt;0)*T_PlannedOrders[Order_Month])),"m月")&amp;"発注)")</f>
        <v/>
      </c>
      <c r="CB919">
        <f>IF(SUMIFS(T_PlannedOrders[EffectiveQty],T_PlannedOrders[Part Name],$A895,T_PlannedOrders[WeekIndex],77)=0,"",SUMIFS(T_PlannedOrders[EffectiveQty],T_PlannedOrders[Part Name],$A895,T_PlannedOrders[WeekIndex],77)&amp;" ("&amp;TEXT(SUMPRODUCT(MAX((T_PlannedOrders[Part Name]=$A895)*(T_PlannedOrders[WeekIndex]=77)*(T_PlannedOrders[EffectiveQty]&gt;0)*T_PlannedOrders[Order_Month])),"m月")&amp;"発注)")</f>
        <v/>
      </c>
      <c r="CC919">
        <f>IF(SUMIFS(T_PlannedOrders[EffectiveQty],T_PlannedOrders[Part Name],$A895,T_PlannedOrders[WeekIndex],78)=0,"",SUMIFS(T_PlannedOrders[EffectiveQty],T_PlannedOrders[Part Name],$A895,T_PlannedOrders[WeekIndex],78)&amp;" ("&amp;TEXT(SUMPRODUCT(MAX((T_PlannedOrders[Part Name]=$A895)*(T_PlannedOrders[WeekIndex]=78)*(T_PlannedOrders[EffectiveQty]&gt;0)*T_PlannedOrders[Order_Month])),"m月")&amp;"発注)")</f>
        <v/>
      </c>
      <c r="CD919">
        <f>IF(SUMIFS(T_PlannedOrders[EffectiveQty],T_PlannedOrders[Part Name],$A895,T_PlannedOrders[WeekIndex],79)=0,"",SUMIFS(T_PlannedOrders[EffectiveQty],T_PlannedOrders[Part Name],$A895,T_PlannedOrders[WeekIndex],79)&amp;" ("&amp;TEXT(SUMPRODUCT(MAX((T_PlannedOrders[Part Name]=$A895)*(T_PlannedOrders[WeekIndex]=79)*(T_PlannedOrders[EffectiveQty]&gt;0)*T_PlannedOrders[Order_Month])),"m月")&amp;"発注)")</f>
        <v/>
      </c>
      <c r="CE919">
        <f>IF(SUMIFS(T_PlannedOrders[EffectiveQty],T_PlannedOrders[Part Name],$A895,T_PlannedOrders[WeekIndex],80)=0,"",SUMIFS(T_PlannedOrders[EffectiveQty],T_PlannedOrders[Part Name],$A895,T_PlannedOrders[WeekIndex],80)&amp;" ("&amp;TEXT(SUMPRODUCT(MAX((T_PlannedOrders[Part Name]=$A895)*(T_PlannedOrders[WeekIndex]=80)*(T_PlannedOrders[EffectiveQty]&gt;0)*T_PlannedOrders[Order_Month])),"m月")&amp;"発注)")</f>
        <v/>
      </c>
      <c r="CF919">
        <f>IF(SUMIFS(T_PlannedOrders[EffectiveQty],T_PlannedOrders[Part Name],$A895,T_PlannedOrders[WeekIndex],81)=0,"",SUMIFS(T_PlannedOrders[EffectiveQty],T_PlannedOrders[Part Name],$A895,T_PlannedOrders[WeekIndex],81)&amp;" ("&amp;TEXT(SUMPRODUCT(MAX((T_PlannedOrders[Part Name]=$A895)*(T_PlannedOrders[WeekIndex]=81)*(T_PlannedOrders[EffectiveQty]&gt;0)*T_PlannedOrders[Order_Month])),"m月")&amp;"発注)")</f>
        <v/>
      </c>
      <c r="CG919">
        <f>IF(SUMIFS(T_PlannedOrders[EffectiveQty],T_PlannedOrders[Part Name],$A895,T_PlannedOrders[WeekIndex],82)=0,"",SUMIFS(T_PlannedOrders[EffectiveQty],T_PlannedOrders[Part Name],$A895,T_PlannedOrders[WeekIndex],82)&amp;" ("&amp;TEXT(SUMPRODUCT(MAX((T_PlannedOrders[Part Name]=$A895)*(T_PlannedOrders[WeekIndex]=82)*(T_PlannedOrders[EffectiveQty]&gt;0)*T_PlannedOrders[Order_Month])),"m月")&amp;"発注)")</f>
        <v/>
      </c>
      <c r="CH919">
        <f>IF(SUMIFS(T_PlannedOrders[EffectiveQty],T_PlannedOrders[Part Name],$A895,T_PlannedOrders[WeekIndex],83)=0,"",SUMIFS(T_PlannedOrders[EffectiveQty],T_PlannedOrders[Part Name],$A895,T_PlannedOrders[WeekIndex],83)&amp;" ("&amp;TEXT(SUMPRODUCT(MAX((T_PlannedOrders[Part Name]=$A895)*(T_PlannedOrders[WeekIndex]=83)*(T_PlannedOrders[EffectiveQty]&gt;0)*T_PlannedOrders[Order_Month])),"m月")&amp;"発注)")</f>
        <v/>
      </c>
      <c r="CI919">
        <f>IF(SUMIFS(T_PlannedOrders[EffectiveQty],T_PlannedOrders[Part Name],$A895,T_PlannedOrders[WeekIndex],84)=0,"",SUMIFS(T_PlannedOrders[EffectiveQty],T_PlannedOrders[Part Name],$A895,T_PlannedOrders[WeekIndex],84)&amp;" ("&amp;TEXT(SUMPRODUCT(MAX((T_PlannedOrders[Part Name]=$A895)*(T_PlannedOrders[WeekIndex]=84)*(T_PlannedOrders[EffectiveQty]&gt;0)*T_PlannedOrders[Order_Month])),"m月")&amp;"発注)")</f>
        <v/>
      </c>
      <c r="CJ919">
        <f>IF(SUMIFS(T_PlannedOrders[EffectiveQty],T_PlannedOrders[Part Name],$A895,T_PlannedOrders[WeekIndex],85)=0,"",SUMIFS(T_PlannedOrders[EffectiveQty],T_PlannedOrders[Part Name],$A895,T_PlannedOrders[WeekIndex],85)&amp;" ("&amp;TEXT(SUMPRODUCT(MAX((T_PlannedOrders[Part Name]=$A895)*(T_PlannedOrders[WeekIndex]=85)*(T_PlannedOrders[EffectiveQty]&gt;0)*T_PlannedOrders[Order_Month])),"m月")&amp;"発注)")</f>
        <v/>
      </c>
      <c r="CK919">
        <f>IF(SUMIFS(T_PlannedOrders[EffectiveQty],T_PlannedOrders[Part Name],$A895,T_PlannedOrders[WeekIndex],86)=0,"",SUMIFS(T_PlannedOrders[EffectiveQty],T_PlannedOrders[Part Name],$A895,T_PlannedOrders[WeekIndex],86)&amp;" ("&amp;TEXT(SUMPRODUCT(MAX((T_PlannedOrders[Part Name]=$A895)*(T_PlannedOrders[WeekIndex]=86)*(T_PlannedOrders[EffectiveQty]&gt;0)*T_PlannedOrders[Order_Month])),"m月")&amp;"発注)")</f>
        <v/>
      </c>
      <c r="CL919">
        <f>IF(SUMIFS(T_PlannedOrders[EffectiveQty],T_PlannedOrders[Part Name],$A895,T_PlannedOrders[WeekIndex],87)=0,"",SUMIFS(T_PlannedOrders[EffectiveQty],T_PlannedOrders[Part Name],$A895,T_PlannedOrders[WeekIndex],87)&amp;" ("&amp;TEXT(SUMPRODUCT(MAX((T_PlannedOrders[Part Name]=$A895)*(T_PlannedOrders[WeekIndex]=87)*(T_PlannedOrders[EffectiveQty]&gt;0)*T_PlannedOrders[Order_Month])),"m月")&amp;"発注)")</f>
        <v/>
      </c>
      <c r="CM919">
        <f>IF(SUMIFS(T_PlannedOrders[EffectiveQty],T_PlannedOrders[Part Name],$A895,T_PlannedOrders[WeekIndex],88)=0,"",SUMIFS(T_PlannedOrders[EffectiveQty],T_PlannedOrders[Part Name],$A895,T_PlannedOrders[WeekIndex],88)&amp;" ("&amp;TEXT(SUMPRODUCT(MAX((T_PlannedOrders[Part Name]=$A895)*(T_PlannedOrders[WeekIndex]=88)*(T_PlannedOrders[EffectiveQty]&gt;0)*T_PlannedOrders[Order_Month])),"m月")&amp;"発注)")</f>
        <v/>
      </c>
      <c r="CN919">
        <f>IF(SUMIFS(T_PlannedOrders[EffectiveQty],T_PlannedOrders[Part Name],$A895,T_PlannedOrders[WeekIndex],89)=0,"",SUMIFS(T_PlannedOrders[EffectiveQty],T_PlannedOrders[Part Name],$A895,T_PlannedOrders[WeekIndex],89)&amp;" ("&amp;TEXT(SUMPRODUCT(MAX((T_PlannedOrders[Part Name]=$A895)*(T_PlannedOrders[WeekIndex]=89)*(T_PlannedOrders[EffectiveQty]&gt;0)*T_PlannedOrders[Order_Month])),"m月")&amp;"発注)")</f>
        <v/>
      </c>
      <c r="CO919">
        <f>IF(SUMIFS(T_PlannedOrders[EffectiveQty],T_PlannedOrders[Part Name],$A895,T_PlannedOrders[WeekIndex],90)=0,"",SUMIFS(T_PlannedOrders[EffectiveQty],T_PlannedOrders[Part Name],$A895,T_PlannedOrders[WeekIndex],90)&amp;" ("&amp;TEXT(SUMPRODUCT(MAX((T_PlannedOrders[Part Name]=$A895)*(T_PlannedOrders[WeekIndex]=90)*(T_PlannedOrders[EffectiveQty]&gt;0)*T_PlannedOrders[Order_Month])),"m月")&amp;"発注)")</f>
        <v/>
      </c>
      <c r="CP919">
        <f>IF(SUMIFS(T_PlannedOrders[EffectiveQty],T_PlannedOrders[Part Name],$A895,T_PlannedOrders[WeekIndex],91)=0,"",SUMIFS(T_PlannedOrders[EffectiveQty],T_PlannedOrders[Part Name],$A895,T_PlannedOrders[WeekIndex],91)&amp;" ("&amp;TEXT(SUMPRODUCT(MAX((T_PlannedOrders[Part Name]=$A895)*(T_PlannedOrders[WeekIndex]=91)*(T_PlannedOrders[EffectiveQty]&gt;0)*T_PlannedOrders[Order_Month])),"m月")&amp;"発注)")</f>
        <v/>
      </c>
      <c r="CQ919">
        <f>IF(SUMIFS(T_PlannedOrders[EffectiveQty],T_PlannedOrders[Part Name],$A895,T_PlannedOrders[WeekIndex],92)=0,"",SUMIFS(T_PlannedOrders[EffectiveQty],T_PlannedOrders[Part Name],$A895,T_PlannedOrders[WeekIndex],92)&amp;" ("&amp;TEXT(SUMPRODUCT(MAX((T_PlannedOrders[Part Name]=$A895)*(T_PlannedOrders[WeekIndex]=92)*(T_PlannedOrders[EffectiveQty]&gt;0)*T_PlannedOrders[Order_Month])),"m月")&amp;"発注)")</f>
        <v/>
      </c>
      <c r="CR919">
        <f>IF(SUMIFS(T_PlannedOrders[EffectiveQty],T_PlannedOrders[Part Name],$A895,T_PlannedOrders[WeekIndex],93)=0,"",SUMIFS(T_PlannedOrders[EffectiveQty],T_PlannedOrders[Part Name],$A895,T_PlannedOrders[WeekIndex],93)&amp;" ("&amp;TEXT(SUMPRODUCT(MAX((T_PlannedOrders[Part Name]=$A895)*(T_PlannedOrders[WeekIndex]=93)*(T_PlannedOrders[EffectiveQty]&gt;0)*T_PlannedOrders[Order_Month])),"m月")&amp;"発注)")</f>
        <v/>
      </c>
      <c r="CS919">
        <f>IF(SUMIFS(T_PlannedOrders[EffectiveQty],T_PlannedOrders[Part Name],$A895,T_PlannedOrders[WeekIndex],94)=0,"",SUMIFS(T_PlannedOrders[EffectiveQty],T_PlannedOrders[Part Name],$A895,T_PlannedOrders[WeekIndex],94)&amp;" ("&amp;TEXT(SUMPRODUCT(MAX((T_PlannedOrders[Part Name]=$A895)*(T_PlannedOrders[WeekIndex]=94)*(T_PlannedOrders[EffectiveQty]&gt;0)*T_PlannedOrders[Order_Month])),"m月")&amp;"発注)")</f>
        <v/>
      </c>
      <c r="CT919">
        <f>IF(SUMIFS(T_PlannedOrders[EffectiveQty],T_PlannedOrders[Part Name],$A895,T_PlannedOrders[WeekIndex],95)=0,"",SUMIFS(T_PlannedOrders[EffectiveQty],T_PlannedOrders[Part Name],$A895,T_PlannedOrders[WeekIndex],95)&amp;" ("&amp;TEXT(SUMPRODUCT(MAX((T_PlannedOrders[Part Name]=$A895)*(T_PlannedOrders[WeekIndex]=95)*(T_PlannedOrders[EffectiveQty]&gt;0)*T_PlannedOrders[Order_Month])),"m月")&amp;"発注)")</f>
        <v/>
      </c>
      <c r="CU919">
        <f>IF(SUMIFS(T_PlannedOrders[EffectiveQty],T_PlannedOrders[Part Name],$A895,T_PlannedOrders[WeekIndex],96)=0,"",SUMIFS(T_PlannedOrders[EffectiveQty],T_PlannedOrders[Part Name],$A895,T_PlannedOrders[WeekIndex],96)&amp;" ("&amp;TEXT(SUMPRODUCT(MAX((T_PlannedOrders[Part Name]=$A895)*(T_PlannedOrders[WeekIndex]=96)*(T_PlannedOrders[EffectiveQty]&gt;0)*T_PlannedOrders[Order_Month])),"m月")&amp;"発注)")</f>
        <v/>
      </c>
      <c r="CV919">
        <f>IF(SUMIFS(T_PlannedOrders[EffectiveQty],T_PlannedOrders[Part Name],$A895,T_PlannedOrders[WeekIndex],97)=0,"",SUMIFS(T_PlannedOrders[EffectiveQty],T_PlannedOrders[Part Name],$A895,T_PlannedOrders[WeekIndex],97)&amp;" ("&amp;TEXT(SUMPRODUCT(MAX((T_PlannedOrders[Part Name]=$A895)*(T_PlannedOrders[WeekIndex]=97)*(T_PlannedOrders[EffectiveQty]&gt;0)*T_PlannedOrders[Order_Month])),"m月")&amp;"発注)")</f>
        <v/>
      </c>
      <c r="CW919">
        <f>IF(SUMIFS(T_PlannedOrders[EffectiveQty],T_PlannedOrders[Part Name],$A895,T_PlannedOrders[WeekIndex],98)=0,"",SUMIFS(T_PlannedOrders[EffectiveQty],T_PlannedOrders[Part Name],$A895,T_PlannedOrders[WeekIndex],98)&amp;" ("&amp;TEXT(SUMPRODUCT(MAX((T_PlannedOrders[Part Name]=$A895)*(T_PlannedOrders[WeekIndex]=98)*(T_PlannedOrders[EffectiveQty]&gt;0)*T_PlannedOrders[Order_Month])),"m月")&amp;"発注)")</f>
        <v/>
      </c>
      <c r="CX919">
        <f>IF(SUMIFS(T_PlannedOrders[EffectiveQty],T_PlannedOrders[Part Name],$A895,T_PlannedOrders[WeekIndex],99)=0,"",SUMIFS(T_PlannedOrders[EffectiveQty],T_PlannedOrders[Part Name],$A895,T_PlannedOrders[WeekIndex],99)&amp;" ("&amp;TEXT(SUMPRODUCT(MAX((T_PlannedOrders[Part Name]=$A895)*(T_PlannedOrders[WeekIndex]=99)*(T_PlannedOrders[EffectiveQty]&gt;0)*T_PlannedOrders[Order_Month])),"m月")&amp;"発注)")</f>
        <v/>
      </c>
      <c r="CY919">
        <f>IF(SUMIFS(T_PlannedOrders[EffectiveQty],T_PlannedOrders[Part Name],$A895,T_PlannedOrders[WeekIndex],100)=0,"",SUMIFS(T_PlannedOrders[EffectiveQty],T_PlannedOrders[Part Name],$A895,T_PlannedOrders[WeekIndex],100)&amp;" ("&amp;TEXT(SUMPRODUCT(MAX((T_PlannedOrders[Part Name]=$A895)*(T_PlannedOrders[WeekIndex]=100)*(T_PlannedOrders[EffectiveQty]&gt;0)*T_PlannedOrders[Order_Month])),"m月")&amp;"発注)")</f>
        <v/>
      </c>
      <c r="CZ919">
        <f>IF(SUMIFS(T_PlannedOrders[EffectiveQty],T_PlannedOrders[Part Name],$A895,T_PlannedOrders[WeekIndex],101)=0,"",SUMIFS(T_PlannedOrders[EffectiveQty],T_PlannedOrders[Part Name],$A895,T_PlannedOrders[WeekIndex],101)&amp;" ("&amp;TEXT(SUMPRODUCT(MAX((T_PlannedOrders[Part Name]=$A895)*(T_PlannedOrders[WeekIndex]=101)*(T_PlannedOrders[EffectiveQty]&gt;0)*T_PlannedOrders[Order_Month])),"m月")&amp;"発注)")</f>
        <v/>
      </c>
      <c r="DA919">
        <f>IF(SUMIFS(T_PlannedOrders[EffectiveQty],T_PlannedOrders[Part Name],$A895,T_PlannedOrders[WeekIndex],102)=0,"",SUMIFS(T_PlannedOrders[EffectiveQty],T_PlannedOrders[Part Name],$A895,T_PlannedOrders[WeekIndex],102)&amp;" ("&amp;TEXT(SUMPRODUCT(MAX((T_PlannedOrders[Part Name]=$A895)*(T_PlannedOrders[WeekIndex]=102)*(T_PlannedOrders[EffectiveQty]&gt;0)*T_PlannedOrders[Order_Month])),"m月")&amp;"発注)")</f>
        <v/>
      </c>
      <c r="DB919">
        <f>IF(SUMIFS(T_PlannedOrders[EffectiveQty],T_PlannedOrders[Part Name],$A895,T_PlannedOrders[WeekIndex],103)=0,"",SUMIFS(T_PlannedOrders[EffectiveQty],T_PlannedOrders[Part Name],$A895,T_PlannedOrders[WeekIndex],103)&amp;" ("&amp;TEXT(SUMPRODUCT(MAX((T_PlannedOrders[Part Name]=$A895)*(T_PlannedOrders[WeekIndex]=103)*(T_PlannedOrders[EffectiveQty]&gt;0)*T_PlannedOrders[Order_Month])),"m月")&amp;"発注)")</f>
        <v/>
      </c>
      <c r="DC919">
        <f>IF(SUMIFS(T_PlannedOrders[EffectiveQty],T_PlannedOrders[Part Name],$A895,T_PlannedOrders[WeekIndex],104)=0,"",SUMIFS(T_PlannedOrders[EffectiveQty],T_PlannedOrders[Part Name],$A895,T_PlannedOrders[WeekIndex],104)&amp;" ("&amp;TEXT(SUMPRODUCT(MAX((T_PlannedOrders[Part Name]=$A895)*(T_PlannedOrders[WeekIndex]=104)*(T_PlannedOrders[EffectiveQty]&gt;0)*T_PlannedOrders[Order_Month])),"m月")&amp;"発注)")</f>
        <v/>
      </c>
    </row>
    <row r="920">
      <c r="B920" s="4" t="inlineStr">
        <is>
          <t>合計在庫(週末時点,kg)</t>
        </is>
      </c>
      <c r="D920">
        <f>'Grid_Stock'!B4</f>
        <v/>
      </c>
      <c r="E920">
        <f>'Grid_Stock'!C4</f>
        <v/>
      </c>
      <c r="F920">
        <f>'Grid_Stock'!D4</f>
        <v/>
      </c>
      <c r="G920">
        <f>'Grid_Stock'!E4</f>
        <v/>
      </c>
      <c r="H920">
        <f>'Grid_Stock'!F4</f>
        <v/>
      </c>
      <c r="I920">
        <f>'Grid_Stock'!G4</f>
        <v/>
      </c>
      <c r="J920">
        <f>'Grid_Stock'!H4</f>
        <v/>
      </c>
      <c r="K920">
        <f>'Grid_Stock'!I4</f>
        <v/>
      </c>
      <c r="L920">
        <f>'Grid_Stock'!J4</f>
        <v/>
      </c>
      <c r="M920">
        <f>'Grid_Stock'!K4</f>
        <v/>
      </c>
      <c r="N920">
        <f>'Grid_Stock'!L4</f>
        <v/>
      </c>
      <c r="O920">
        <f>'Grid_Stock'!M4</f>
        <v/>
      </c>
      <c r="P920">
        <f>'Grid_Stock'!N4</f>
        <v/>
      </c>
      <c r="Q920">
        <f>'Grid_Stock'!O4</f>
        <v/>
      </c>
      <c r="R920">
        <f>'Grid_Stock'!P4</f>
        <v/>
      </c>
      <c r="S920">
        <f>'Grid_Stock'!Q4</f>
        <v/>
      </c>
      <c r="T920">
        <f>'Grid_Stock'!R4</f>
        <v/>
      </c>
      <c r="U920">
        <f>'Grid_Stock'!S4</f>
        <v/>
      </c>
      <c r="V920">
        <f>'Grid_Stock'!T4</f>
        <v/>
      </c>
      <c r="W920">
        <f>'Grid_Stock'!U4</f>
        <v/>
      </c>
      <c r="X920">
        <f>'Grid_Stock'!V4</f>
        <v/>
      </c>
      <c r="Y920">
        <f>'Grid_Stock'!W4</f>
        <v/>
      </c>
      <c r="Z920">
        <f>'Grid_Stock'!X4</f>
        <v/>
      </c>
      <c r="AA920">
        <f>'Grid_Stock'!Y4</f>
        <v/>
      </c>
      <c r="AB920">
        <f>'Grid_Stock'!Z4</f>
        <v/>
      </c>
      <c r="AC920">
        <f>'Grid_Stock'!AA4</f>
        <v/>
      </c>
      <c r="AD920">
        <f>'Grid_Stock'!AB4</f>
        <v/>
      </c>
      <c r="AE920">
        <f>'Grid_Stock'!AC4</f>
        <v/>
      </c>
      <c r="AF920">
        <f>'Grid_Stock'!AD4</f>
        <v/>
      </c>
      <c r="AG920">
        <f>'Grid_Stock'!AE4</f>
        <v/>
      </c>
      <c r="AH920">
        <f>'Grid_Stock'!AF4</f>
        <v/>
      </c>
      <c r="AI920">
        <f>'Grid_Stock'!AG4</f>
        <v/>
      </c>
      <c r="AJ920">
        <f>'Grid_Stock'!AH4</f>
        <v/>
      </c>
      <c r="AK920">
        <f>'Grid_Stock'!AI4</f>
        <v/>
      </c>
      <c r="AL920">
        <f>'Grid_Stock'!AJ4</f>
        <v/>
      </c>
      <c r="AM920">
        <f>'Grid_Stock'!AK4</f>
        <v/>
      </c>
      <c r="AN920">
        <f>'Grid_Stock'!AL4</f>
        <v/>
      </c>
      <c r="AO920">
        <f>'Grid_Stock'!AM4</f>
        <v/>
      </c>
      <c r="AP920">
        <f>'Grid_Stock'!AN4</f>
        <v/>
      </c>
      <c r="AQ920">
        <f>'Grid_Stock'!AO4</f>
        <v/>
      </c>
      <c r="AR920">
        <f>'Grid_Stock'!AP4</f>
        <v/>
      </c>
      <c r="AS920">
        <f>'Grid_Stock'!AQ4</f>
        <v/>
      </c>
      <c r="AT920">
        <f>'Grid_Stock'!AR4</f>
        <v/>
      </c>
      <c r="AU920">
        <f>'Grid_Stock'!AS4</f>
        <v/>
      </c>
      <c r="AV920">
        <f>'Grid_Stock'!AT4</f>
        <v/>
      </c>
      <c r="AW920">
        <f>'Grid_Stock'!AU4</f>
        <v/>
      </c>
      <c r="AX920">
        <f>'Grid_Stock'!AV4</f>
        <v/>
      </c>
      <c r="AY920">
        <f>'Grid_Stock'!AW4</f>
        <v/>
      </c>
      <c r="AZ920">
        <f>'Grid_Stock'!AX4</f>
        <v/>
      </c>
      <c r="BA920">
        <f>'Grid_Stock'!AY4</f>
        <v/>
      </c>
      <c r="BB920">
        <f>'Grid_Stock'!AZ4</f>
        <v/>
      </c>
      <c r="BC920">
        <f>'Grid_Stock'!BA4</f>
        <v/>
      </c>
      <c r="BD920">
        <f>'Grid_Stock'!BB4</f>
        <v/>
      </c>
      <c r="BE920">
        <f>'Grid_Stock'!BC4</f>
        <v/>
      </c>
      <c r="BF920">
        <f>'Grid_Stock'!BD4</f>
        <v/>
      </c>
      <c r="BG920">
        <f>'Grid_Stock'!BE4</f>
        <v/>
      </c>
      <c r="BH920">
        <f>'Grid_Stock'!BF4</f>
        <v/>
      </c>
      <c r="BI920">
        <f>'Grid_Stock'!BG4</f>
        <v/>
      </c>
      <c r="BJ920">
        <f>'Grid_Stock'!BH4</f>
        <v/>
      </c>
      <c r="BK920">
        <f>'Grid_Stock'!BI4</f>
        <v/>
      </c>
      <c r="BL920">
        <f>'Grid_Stock'!BJ4</f>
        <v/>
      </c>
      <c r="BM920">
        <f>'Grid_Stock'!BK4</f>
        <v/>
      </c>
      <c r="BN920">
        <f>'Grid_Stock'!BL4</f>
        <v/>
      </c>
      <c r="BO920">
        <f>'Grid_Stock'!BM4</f>
        <v/>
      </c>
      <c r="BP920">
        <f>'Grid_Stock'!BN4</f>
        <v/>
      </c>
      <c r="BQ920">
        <f>'Grid_Stock'!BO4</f>
        <v/>
      </c>
      <c r="BR920">
        <f>'Grid_Stock'!BP4</f>
        <v/>
      </c>
      <c r="BS920">
        <f>'Grid_Stock'!BQ4</f>
        <v/>
      </c>
      <c r="BT920">
        <f>'Grid_Stock'!BR4</f>
        <v/>
      </c>
      <c r="BU920">
        <f>'Grid_Stock'!BS4</f>
        <v/>
      </c>
      <c r="BV920">
        <f>'Grid_Stock'!BT4</f>
        <v/>
      </c>
      <c r="BW920">
        <f>'Grid_Stock'!BU4</f>
        <v/>
      </c>
      <c r="BX920">
        <f>'Grid_Stock'!BV4</f>
        <v/>
      </c>
      <c r="BY920">
        <f>'Grid_Stock'!BW4</f>
        <v/>
      </c>
      <c r="BZ920">
        <f>'Grid_Stock'!BX4</f>
        <v/>
      </c>
      <c r="CA920">
        <f>'Grid_Stock'!BY4</f>
        <v/>
      </c>
      <c r="CB920">
        <f>'Grid_Stock'!BZ4</f>
        <v/>
      </c>
      <c r="CC920">
        <f>'Grid_Stock'!CA4</f>
        <v/>
      </c>
      <c r="CD920">
        <f>'Grid_Stock'!CB4</f>
        <v/>
      </c>
      <c r="CE920">
        <f>'Grid_Stock'!CC4</f>
        <v/>
      </c>
      <c r="CF920">
        <f>'Grid_Stock'!CD4</f>
        <v/>
      </c>
      <c r="CG920">
        <f>'Grid_Stock'!CE4</f>
        <v/>
      </c>
      <c r="CH920">
        <f>'Grid_Stock'!CF4</f>
        <v/>
      </c>
      <c r="CI920">
        <f>'Grid_Stock'!CG4</f>
        <v/>
      </c>
      <c r="CJ920">
        <f>'Grid_Stock'!CH4</f>
        <v/>
      </c>
      <c r="CK920">
        <f>'Grid_Stock'!CI4</f>
        <v/>
      </c>
      <c r="CL920">
        <f>'Grid_Stock'!CJ4</f>
        <v/>
      </c>
      <c r="CM920">
        <f>'Grid_Stock'!CK4</f>
        <v/>
      </c>
      <c r="CN920">
        <f>'Grid_Stock'!CL4</f>
        <v/>
      </c>
      <c r="CO920">
        <f>'Grid_Stock'!CM4</f>
        <v/>
      </c>
      <c r="CP920">
        <f>'Grid_Stock'!CN4</f>
        <v/>
      </c>
      <c r="CQ920">
        <f>'Grid_Stock'!CO4</f>
        <v/>
      </c>
      <c r="CR920">
        <f>'Grid_Stock'!CP4</f>
        <v/>
      </c>
      <c r="CS920">
        <f>'Grid_Stock'!CQ4</f>
        <v/>
      </c>
      <c r="CT920">
        <f>'Grid_Stock'!CR4</f>
        <v/>
      </c>
      <c r="CU920">
        <f>'Grid_Stock'!CS4</f>
        <v/>
      </c>
      <c r="CV920">
        <f>'Grid_Stock'!CT4</f>
        <v/>
      </c>
      <c r="CW920">
        <f>'Grid_Stock'!CU4</f>
        <v/>
      </c>
      <c r="CX920">
        <f>'Grid_Stock'!CV4</f>
        <v/>
      </c>
      <c r="CY920">
        <f>'Grid_Stock'!CW4</f>
        <v/>
      </c>
      <c r="CZ920">
        <f>'Grid_Stock'!CX4</f>
        <v/>
      </c>
      <c r="DA920">
        <f>'Grid_Stock'!CY4</f>
        <v/>
      </c>
      <c r="DB920">
        <f>'Grid_Stock'!CZ4</f>
        <v/>
      </c>
      <c r="DC920">
        <f>'Grid_Stock'!DA4</f>
        <v/>
      </c>
    </row>
    <row r="921">
      <c r="B921" s="16" t="inlineStr">
        <is>
          <t>（発注の目安はDashboardの基準在庫[下限/上限]と色分けを参照）</t>
        </is>
      </c>
    </row>
    <row r="923">
      <c r="A923" s="14" t="inlineStr">
        <is>
          <t>CHEM-1720</t>
        </is>
      </c>
      <c r="B923" s="14" t="inlineStr">
        <is>
          <t>CeZr oxide(TPZ-868)</t>
        </is>
      </c>
      <c r="C923" s="15" t="n"/>
      <c r="D923" s="14" t="n"/>
      <c r="E923" s="14" t="n"/>
      <c r="F923" s="14" t="n"/>
      <c r="G923" s="14" t="n"/>
      <c r="H923" s="14" t="n"/>
      <c r="I923" s="14" t="n"/>
      <c r="J923" s="14" t="n"/>
      <c r="K923" s="14" t="n"/>
      <c r="L923" s="14" t="n"/>
      <c r="M923" s="14" t="n"/>
      <c r="N923" s="14" t="n"/>
      <c r="O923" s="14" t="n"/>
      <c r="P923" s="14" t="n"/>
      <c r="Q923" s="14" t="n"/>
      <c r="R923" s="14" t="n"/>
      <c r="S923" s="14" t="n"/>
      <c r="T923" s="14" t="n"/>
      <c r="U923" s="14" t="n"/>
      <c r="V923" s="14" t="n"/>
      <c r="W923" s="14" t="n"/>
      <c r="X923" s="14" t="n"/>
      <c r="Y923" s="14" t="n"/>
      <c r="Z923" s="14" t="n"/>
      <c r="AA923" s="14" t="n"/>
      <c r="AB923" s="14" t="n"/>
      <c r="AC923" s="14" t="n"/>
      <c r="AD923" s="14" t="n"/>
      <c r="AE923" s="14" t="n"/>
      <c r="AF923" s="14" t="n"/>
      <c r="AG923" s="14" t="n"/>
      <c r="AH923" s="14" t="n"/>
      <c r="AI923" s="14" t="n"/>
      <c r="AJ923" s="14" t="n"/>
      <c r="AK923" s="14" t="n"/>
      <c r="AL923" s="14" t="n"/>
      <c r="AM923" s="14" t="n"/>
      <c r="AN923" s="14" t="n"/>
      <c r="AO923" s="14" t="n"/>
      <c r="AP923" s="14" t="n"/>
      <c r="AQ923" s="14" t="n"/>
      <c r="AR923" s="14" t="n"/>
      <c r="AS923" s="14" t="n"/>
      <c r="AT923" s="14" t="n"/>
      <c r="AU923" s="14" t="n"/>
      <c r="AV923" s="14" t="n"/>
      <c r="AW923" s="14" t="n"/>
      <c r="AX923" s="14" t="n"/>
      <c r="AY923" s="14" t="n"/>
      <c r="AZ923" s="14" t="n"/>
      <c r="BA923" s="14" t="n"/>
      <c r="BB923" s="14" t="n"/>
      <c r="BC923" s="14" t="n"/>
      <c r="BD923" s="14" t="n"/>
      <c r="BE923" s="14" t="n"/>
      <c r="BF923" s="14" t="n"/>
      <c r="BG923" s="14" t="n"/>
      <c r="BH923" s="14" t="n"/>
      <c r="BI923" s="14" t="n"/>
      <c r="BJ923" s="14" t="n"/>
      <c r="BK923" s="14" t="n"/>
      <c r="BL923" s="14" t="n"/>
      <c r="BM923" s="14" t="n"/>
      <c r="BN923" s="14" t="n"/>
      <c r="BO923" s="14" t="n"/>
      <c r="BP923" s="14" t="n"/>
      <c r="BQ923" s="14" t="n"/>
      <c r="BR923" s="14" t="n"/>
      <c r="BS923" s="14" t="n"/>
      <c r="BT923" s="14" t="n"/>
      <c r="BU923" s="14" t="n"/>
      <c r="BV923" s="14" t="n"/>
      <c r="BW923" s="14" t="n"/>
      <c r="BX923" s="14" t="n"/>
      <c r="BY923" s="14" t="n"/>
      <c r="BZ923" s="14" t="n"/>
      <c r="CA923" s="14" t="n"/>
      <c r="CB923" s="14" t="n"/>
      <c r="CC923" s="14" t="n"/>
      <c r="CD923" s="14" t="n"/>
      <c r="CE923" s="14" t="n"/>
      <c r="CF923" s="14" t="n"/>
      <c r="CG923" s="14" t="n"/>
      <c r="CH923" s="14" t="n"/>
      <c r="CI923" s="14" t="n"/>
      <c r="CJ923" s="14" t="n"/>
      <c r="CK923" s="14" t="n"/>
      <c r="CL923" s="14" t="n"/>
      <c r="CM923" s="14" t="n"/>
      <c r="CN923" s="14" t="n"/>
      <c r="CO923" s="14" t="n"/>
      <c r="CP923" s="14" t="n"/>
      <c r="CQ923" s="14" t="n"/>
      <c r="CR923" s="14" t="n"/>
      <c r="CS923" s="14" t="n"/>
      <c r="CT923" s="14" t="n"/>
      <c r="CU923" s="14" t="n"/>
      <c r="CV923" s="14" t="n"/>
      <c r="CW923" s="14" t="n"/>
      <c r="CX923" s="14" t="n"/>
      <c r="CY923" s="14" t="n"/>
      <c r="CZ923" s="14" t="n"/>
      <c r="DA923" s="14" t="n"/>
      <c r="DB923" s="14" t="n"/>
      <c r="DC923" s="14" t="n"/>
    </row>
    <row r="924">
      <c r="B924" t="inlineStr">
        <is>
          <t>TSP-927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Name],$A923)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TSP-928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Name],$A923)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TSP-929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Name],$A923)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TSP-930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Name],$A923)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TSP-934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Name],$A923)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t="inlineStr">
        <is>
          <t>TSP-935</t>
        </is>
      </c>
      <c r="C934" t="inlineStr">
        <is>
          <t>No. of batches</t>
        </is>
      </c>
      <c r="D934">
        <f>IFERROR(INDEX(PP_Grid[#Data],$DD934,2),0)</f>
        <v/>
      </c>
      <c r="E934">
        <f>IFERROR(INDEX(PP_Grid[#Data],$DD934,3),0)</f>
        <v/>
      </c>
      <c r="F934">
        <f>IFERROR(INDEX(PP_Grid[#Data],$DD934,4),0)</f>
        <v/>
      </c>
      <c r="G934">
        <f>IFERROR(INDEX(PP_Grid[#Data],$DD934,5),0)</f>
        <v/>
      </c>
      <c r="H934">
        <f>IFERROR(INDEX(PP_Grid[#Data],$DD934,6),0)</f>
        <v/>
      </c>
      <c r="I934">
        <f>IFERROR(INDEX(PP_Grid[#Data],$DD934,7),0)</f>
        <v/>
      </c>
      <c r="J934">
        <f>IFERROR(INDEX(PP_Grid[#Data],$DD934,8),0)</f>
        <v/>
      </c>
      <c r="K934">
        <f>IFERROR(INDEX(PP_Grid[#Data],$DD934,9),0)</f>
        <v/>
      </c>
      <c r="L934">
        <f>IFERROR(INDEX(PP_Grid[#Data],$DD934,10),0)</f>
        <v/>
      </c>
      <c r="M934">
        <f>IFERROR(INDEX(PP_Grid[#Data],$DD934,11),0)</f>
        <v/>
      </c>
      <c r="N934">
        <f>IFERROR(INDEX(PP_Grid[#Data],$DD934,12),0)</f>
        <v/>
      </c>
      <c r="O934">
        <f>IFERROR(INDEX(PP_Grid[#Data],$DD934,13),0)</f>
        <v/>
      </c>
      <c r="P934">
        <f>IFERROR(INDEX(PP_Grid[#Data],$DD934,14),0)</f>
        <v/>
      </c>
      <c r="Q934">
        <f>IFERROR(INDEX(PP_Grid[#Data],$DD934,15),0)</f>
        <v/>
      </c>
      <c r="R934">
        <f>IFERROR(INDEX(PP_Grid[#Data],$DD934,16),0)</f>
        <v/>
      </c>
      <c r="S934">
        <f>IFERROR(INDEX(PP_Grid[#Data],$DD934,17),0)</f>
        <v/>
      </c>
      <c r="T934">
        <f>IFERROR(INDEX(PP_Grid[#Data],$DD934,18),0)</f>
        <v/>
      </c>
      <c r="U934">
        <f>IFERROR(INDEX(PP_Grid[#Data],$DD934,19),0)</f>
        <v/>
      </c>
      <c r="V934">
        <f>IFERROR(INDEX(PP_Grid[#Data],$DD934,20),0)</f>
        <v/>
      </c>
      <c r="W934">
        <f>IFERROR(INDEX(PP_Grid[#Data],$DD934,21),0)</f>
        <v/>
      </c>
      <c r="X934">
        <f>IFERROR(INDEX(PP_Grid[#Data],$DD934,22),0)</f>
        <v/>
      </c>
      <c r="Y934">
        <f>IFERROR(INDEX(PP_Grid[#Data],$DD934,23),0)</f>
        <v/>
      </c>
      <c r="Z934">
        <f>IFERROR(INDEX(PP_Grid[#Data],$DD934,24),0)</f>
        <v/>
      </c>
      <c r="AA934">
        <f>IFERROR(INDEX(PP_Grid[#Data],$DD934,25),0)</f>
        <v/>
      </c>
      <c r="AB934">
        <f>IFERROR(INDEX(PP_Grid[#Data],$DD934,26),0)</f>
        <v/>
      </c>
      <c r="AC934">
        <f>IFERROR(INDEX(PP_Grid[#Data],$DD934,27),0)</f>
        <v/>
      </c>
      <c r="AD934">
        <f>IFERROR(INDEX(PP_Grid[#Data],$DD934,28),0)</f>
        <v/>
      </c>
      <c r="AE934">
        <f>IFERROR(INDEX(PP_Grid[#Data],$DD934,29),0)</f>
        <v/>
      </c>
      <c r="AF934">
        <f>IFERROR(INDEX(PP_Grid[#Data],$DD934,30),0)</f>
        <v/>
      </c>
      <c r="AG934">
        <f>IFERROR(INDEX(PP_Grid[#Data],$DD934,31),0)</f>
        <v/>
      </c>
      <c r="AH934">
        <f>IFERROR(INDEX(PP_Grid[#Data],$DD934,32),0)</f>
        <v/>
      </c>
      <c r="AI934">
        <f>IFERROR(INDEX(PP_Grid[#Data],$DD934,33),0)</f>
        <v/>
      </c>
      <c r="AJ934">
        <f>IFERROR(INDEX(PP_Grid[#Data],$DD934,34),0)</f>
        <v/>
      </c>
      <c r="AK934">
        <f>IFERROR(INDEX(PP_Grid[#Data],$DD934,35),0)</f>
        <v/>
      </c>
      <c r="AL934">
        <f>IFERROR(INDEX(PP_Grid[#Data],$DD934,36),0)</f>
        <v/>
      </c>
      <c r="AM934">
        <f>IFERROR(INDEX(PP_Grid[#Data],$DD934,37),0)</f>
        <v/>
      </c>
      <c r="AN934">
        <f>IFERROR(INDEX(PP_Grid[#Data],$DD934,38),0)</f>
        <v/>
      </c>
      <c r="AO934">
        <f>IFERROR(INDEX(PP_Grid[#Data],$DD934,39),0)</f>
        <v/>
      </c>
      <c r="AP934">
        <f>IFERROR(INDEX(PP_Grid[#Data],$DD934,40),0)</f>
        <v/>
      </c>
      <c r="AQ934">
        <f>IFERROR(INDEX(PP_Grid[#Data],$DD934,41),0)</f>
        <v/>
      </c>
      <c r="AR934">
        <f>IFERROR(INDEX(PP_Grid[#Data],$DD934,42),0)</f>
        <v/>
      </c>
      <c r="AS934">
        <f>IFERROR(INDEX(PP_Grid[#Data],$DD934,43),0)</f>
        <v/>
      </c>
      <c r="AT934">
        <f>IFERROR(INDEX(PP_Grid[#Data],$DD934,44),0)</f>
        <v/>
      </c>
      <c r="AU934">
        <f>IFERROR(INDEX(PP_Grid[#Data],$DD934,45),0)</f>
        <v/>
      </c>
      <c r="AV934">
        <f>IFERROR(INDEX(PP_Grid[#Data],$DD934,46),0)</f>
        <v/>
      </c>
      <c r="AW934">
        <f>IFERROR(INDEX(PP_Grid[#Data],$DD934,47),0)</f>
        <v/>
      </c>
      <c r="AX934">
        <f>IFERROR(INDEX(PP_Grid[#Data],$DD934,48),0)</f>
        <v/>
      </c>
      <c r="AY934">
        <f>IFERROR(INDEX(PP_Grid[#Data],$DD934,49),0)</f>
        <v/>
      </c>
      <c r="AZ934">
        <f>IFERROR(INDEX(PP_Grid[#Data],$DD934,50),0)</f>
        <v/>
      </c>
      <c r="BA934">
        <f>IFERROR(INDEX(PP_Grid[#Data],$DD934,51),0)</f>
        <v/>
      </c>
      <c r="BB934">
        <f>IFERROR(INDEX(PP_Grid[#Data],$DD934,52),0)</f>
        <v/>
      </c>
      <c r="BC934">
        <f>IFERROR(INDEX(PP_Grid[#Data],$DD934,53),0)</f>
        <v/>
      </c>
      <c r="BD934">
        <f>IFERROR(INDEX(PP_Grid[#Data],$DD934,54),0)</f>
        <v/>
      </c>
      <c r="BE934">
        <f>IFERROR(INDEX(PP_Grid[#Data],$DD934,55),0)</f>
        <v/>
      </c>
      <c r="BF934">
        <f>IFERROR(INDEX(PP_Grid[#Data],$DD934,56),0)</f>
        <v/>
      </c>
      <c r="BG934">
        <f>IFERROR(INDEX(PP_Grid[#Data],$DD934,57),0)</f>
        <v/>
      </c>
      <c r="BH934">
        <f>IFERROR(INDEX(PP_Grid[#Data],$DD934,58),0)</f>
        <v/>
      </c>
      <c r="BI934">
        <f>IFERROR(INDEX(PP_Grid[#Data],$DD934,59),0)</f>
        <v/>
      </c>
      <c r="BJ934">
        <f>IFERROR(INDEX(PP_Grid[#Data],$DD934,60),0)</f>
        <v/>
      </c>
      <c r="BK934">
        <f>IFERROR(INDEX(PP_Grid[#Data],$DD934,61),0)</f>
        <v/>
      </c>
      <c r="BL934">
        <f>IFERROR(INDEX(PP_Grid[#Data],$DD934,62),0)</f>
        <v/>
      </c>
      <c r="BM934">
        <f>IFERROR(INDEX(PP_Grid[#Data],$DD934,63),0)</f>
        <v/>
      </c>
      <c r="BN934">
        <f>IFERROR(INDEX(PP_Grid[#Data],$DD934,64),0)</f>
        <v/>
      </c>
      <c r="BO934">
        <f>IFERROR(INDEX(PP_Grid[#Data],$DD934,65),0)</f>
        <v/>
      </c>
      <c r="BP934">
        <f>IFERROR(INDEX(PP_Grid[#Data],$DD934,66),0)</f>
        <v/>
      </c>
      <c r="BQ934">
        <f>IFERROR(INDEX(PP_Grid[#Data],$DD934,67),0)</f>
        <v/>
      </c>
      <c r="BR934">
        <f>IFERROR(INDEX(PP_Grid[#Data],$DD934,68),0)</f>
        <v/>
      </c>
      <c r="BS934">
        <f>IFERROR(INDEX(PP_Grid[#Data],$DD934,69),0)</f>
        <v/>
      </c>
      <c r="BT934">
        <f>IFERROR(INDEX(PP_Grid[#Data],$DD934,70),0)</f>
        <v/>
      </c>
      <c r="BU934">
        <f>IFERROR(INDEX(PP_Grid[#Data],$DD934,71),0)</f>
        <v/>
      </c>
      <c r="BV934">
        <f>IFERROR(INDEX(PP_Grid[#Data],$DD934,72),0)</f>
        <v/>
      </c>
      <c r="BW934">
        <f>IFERROR(INDEX(PP_Grid[#Data],$DD934,73),0)</f>
        <v/>
      </c>
      <c r="BX934">
        <f>IFERROR(INDEX(PP_Grid[#Data],$DD934,74),0)</f>
        <v/>
      </c>
      <c r="BY934">
        <f>IFERROR(INDEX(PP_Grid[#Data],$DD934,75),0)</f>
        <v/>
      </c>
      <c r="BZ934">
        <f>IFERROR(INDEX(PP_Grid[#Data],$DD934,76),0)</f>
        <v/>
      </c>
      <c r="CA934">
        <f>IFERROR(INDEX(PP_Grid[#Data],$DD934,77),0)</f>
        <v/>
      </c>
      <c r="CB934">
        <f>IFERROR(INDEX(PP_Grid[#Data],$DD934,78),0)</f>
        <v/>
      </c>
      <c r="CC934">
        <f>IFERROR(INDEX(PP_Grid[#Data],$DD934,79),0)</f>
        <v/>
      </c>
      <c r="CD934">
        <f>IFERROR(INDEX(PP_Grid[#Data],$DD934,80),0)</f>
        <v/>
      </c>
      <c r="CE934">
        <f>IFERROR(INDEX(PP_Grid[#Data],$DD934,81),0)</f>
        <v/>
      </c>
      <c r="CF934">
        <f>IFERROR(INDEX(PP_Grid[#Data],$DD934,82),0)</f>
        <v/>
      </c>
      <c r="CG934">
        <f>IFERROR(INDEX(PP_Grid[#Data],$DD934,83),0)</f>
        <v/>
      </c>
      <c r="CH934">
        <f>IFERROR(INDEX(PP_Grid[#Data],$DD934,84),0)</f>
        <v/>
      </c>
      <c r="CI934">
        <f>IFERROR(INDEX(PP_Grid[#Data],$DD934,85),0)</f>
        <v/>
      </c>
      <c r="CJ934">
        <f>IFERROR(INDEX(PP_Grid[#Data],$DD934,86),0)</f>
        <v/>
      </c>
      <c r="CK934">
        <f>IFERROR(INDEX(PP_Grid[#Data],$DD934,87),0)</f>
        <v/>
      </c>
      <c r="CL934">
        <f>IFERROR(INDEX(PP_Grid[#Data],$DD934,88),0)</f>
        <v/>
      </c>
      <c r="CM934">
        <f>IFERROR(INDEX(PP_Grid[#Data],$DD934,89),0)</f>
        <v/>
      </c>
      <c r="CN934">
        <f>IFERROR(INDEX(PP_Grid[#Data],$DD934,90),0)</f>
        <v/>
      </c>
      <c r="CO934">
        <f>IFERROR(INDEX(PP_Grid[#Data],$DD934,91),0)</f>
        <v/>
      </c>
      <c r="CP934">
        <f>IFERROR(INDEX(PP_Grid[#Data],$DD934,92),0)</f>
        <v/>
      </c>
      <c r="CQ934">
        <f>IFERROR(INDEX(PP_Grid[#Data],$DD934,93),0)</f>
        <v/>
      </c>
      <c r="CR934">
        <f>IFERROR(INDEX(PP_Grid[#Data],$DD934,94),0)</f>
        <v/>
      </c>
      <c r="CS934">
        <f>IFERROR(INDEX(PP_Grid[#Data],$DD934,95),0)</f>
        <v/>
      </c>
      <c r="CT934">
        <f>IFERROR(INDEX(PP_Grid[#Data],$DD934,96),0)</f>
        <v/>
      </c>
      <c r="CU934">
        <f>IFERROR(INDEX(PP_Grid[#Data],$DD934,97),0)</f>
        <v/>
      </c>
      <c r="CV934">
        <f>IFERROR(INDEX(PP_Grid[#Data],$DD934,98),0)</f>
        <v/>
      </c>
      <c r="CW934">
        <f>IFERROR(INDEX(PP_Grid[#Data],$DD934,99),0)</f>
        <v/>
      </c>
      <c r="CX934">
        <f>IFERROR(INDEX(PP_Grid[#Data],$DD934,100),0)</f>
        <v/>
      </c>
      <c r="CY934">
        <f>IFERROR(INDEX(PP_Grid[#Data],$DD934,101),0)</f>
        <v/>
      </c>
      <c r="CZ934">
        <f>IFERROR(INDEX(PP_Grid[#Data],$DD934,102),0)</f>
        <v/>
      </c>
      <c r="DA934">
        <f>IFERROR(INDEX(PP_Grid[#Data],$DD934,103),0)</f>
        <v/>
      </c>
      <c r="DB934">
        <f>IFERROR(INDEX(PP_Grid[#Data],$DD934,104),0)</f>
        <v/>
      </c>
      <c r="DC934">
        <f>IFERROR(INDEX(PP_Grid[#Data],$DD934,105),0)</f>
        <v/>
      </c>
      <c r="DD934" s="7">
        <f>IFERROR(MATCH($B934,PP_Grid[Intermediate],0),99999)</f>
        <v/>
      </c>
    </row>
    <row r="935">
      <c r="B935" t="inlineStr">
        <is>
          <t>使用量(kg)</t>
        </is>
      </c>
      <c r="C935">
        <f>SUMIFS(M_BOM[RM_Qty_Per_Batch],M_BOM[Intermediate],$B934,M_BOM[Part Name],$A923)</f>
        <v/>
      </c>
      <c r="D935">
        <f>$C935*D934</f>
        <v/>
      </c>
      <c r="E935">
        <f>$C935*E934</f>
        <v/>
      </c>
      <c r="F935">
        <f>$C935*F934</f>
        <v/>
      </c>
      <c r="G935">
        <f>$C935*G934</f>
        <v/>
      </c>
      <c r="H935">
        <f>$C935*H934</f>
        <v/>
      </c>
      <c r="I935">
        <f>$C935*I934</f>
        <v/>
      </c>
      <c r="J935">
        <f>$C935*J934</f>
        <v/>
      </c>
      <c r="K935">
        <f>$C935*K934</f>
        <v/>
      </c>
      <c r="L935">
        <f>$C935*L934</f>
        <v/>
      </c>
      <c r="M935">
        <f>$C935*M934</f>
        <v/>
      </c>
      <c r="N935">
        <f>$C935*N934</f>
        <v/>
      </c>
      <c r="O935">
        <f>$C935*O934</f>
        <v/>
      </c>
      <c r="P935">
        <f>$C935*P934</f>
        <v/>
      </c>
      <c r="Q935">
        <f>$C935*Q934</f>
        <v/>
      </c>
      <c r="R935">
        <f>$C935*R934</f>
        <v/>
      </c>
      <c r="S935">
        <f>$C935*S934</f>
        <v/>
      </c>
      <c r="T935">
        <f>$C935*T934</f>
        <v/>
      </c>
      <c r="U935">
        <f>$C935*U934</f>
        <v/>
      </c>
      <c r="V935">
        <f>$C935*V934</f>
        <v/>
      </c>
      <c r="W935">
        <f>$C935*W934</f>
        <v/>
      </c>
      <c r="X935">
        <f>$C935*X934</f>
        <v/>
      </c>
      <c r="Y935">
        <f>$C935*Y934</f>
        <v/>
      </c>
      <c r="Z935">
        <f>$C935*Z934</f>
        <v/>
      </c>
      <c r="AA935">
        <f>$C935*AA934</f>
        <v/>
      </c>
      <c r="AB935">
        <f>$C935*AB934</f>
        <v/>
      </c>
      <c r="AC935">
        <f>$C935*AC934</f>
        <v/>
      </c>
      <c r="AD935">
        <f>$C935*AD934</f>
        <v/>
      </c>
      <c r="AE935">
        <f>$C935*AE934</f>
        <v/>
      </c>
      <c r="AF935">
        <f>$C935*AF934</f>
        <v/>
      </c>
      <c r="AG935">
        <f>$C935*AG934</f>
        <v/>
      </c>
      <c r="AH935">
        <f>$C935*AH934</f>
        <v/>
      </c>
      <c r="AI935">
        <f>$C935*AI934</f>
        <v/>
      </c>
      <c r="AJ935">
        <f>$C935*AJ934</f>
        <v/>
      </c>
      <c r="AK935">
        <f>$C935*AK934</f>
        <v/>
      </c>
      <c r="AL935">
        <f>$C935*AL934</f>
        <v/>
      </c>
      <c r="AM935">
        <f>$C935*AM934</f>
        <v/>
      </c>
      <c r="AN935">
        <f>$C935*AN934</f>
        <v/>
      </c>
      <c r="AO935">
        <f>$C935*AO934</f>
        <v/>
      </c>
      <c r="AP935">
        <f>$C935*AP934</f>
        <v/>
      </c>
      <c r="AQ935">
        <f>$C935*AQ934</f>
        <v/>
      </c>
      <c r="AR935">
        <f>$C935*AR934</f>
        <v/>
      </c>
      <c r="AS935">
        <f>$C935*AS934</f>
        <v/>
      </c>
      <c r="AT935">
        <f>$C935*AT934</f>
        <v/>
      </c>
      <c r="AU935">
        <f>$C935*AU934</f>
        <v/>
      </c>
      <c r="AV935">
        <f>$C935*AV934</f>
        <v/>
      </c>
      <c r="AW935">
        <f>$C935*AW934</f>
        <v/>
      </c>
      <c r="AX935">
        <f>$C935*AX934</f>
        <v/>
      </c>
      <c r="AY935">
        <f>$C935*AY934</f>
        <v/>
      </c>
      <c r="AZ935">
        <f>$C935*AZ934</f>
        <v/>
      </c>
      <c r="BA935">
        <f>$C935*BA934</f>
        <v/>
      </c>
      <c r="BB935">
        <f>$C935*BB934</f>
        <v/>
      </c>
      <c r="BC935">
        <f>$C935*BC934</f>
        <v/>
      </c>
      <c r="BD935">
        <f>$C935*BD934</f>
        <v/>
      </c>
      <c r="BE935">
        <f>$C935*BE934</f>
        <v/>
      </c>
      <c r="BF935">
        <f>$C935*BF934</f>
        <v/>
      </c>
      <c r="BG935">
        <f>$C935*BG934</f>
        <v/>
      </c>
      <c r="BH935">
        <f>$C935*BH934</f>
        <v/>
      </c>
      <c r="BI935">
        <f>$C935*BI934</f>
        <v/>
      </c>
      <c r="BJ935">
        <f>$C935*BJ934</f>
        <v/>
      </c>
      <c r="BK935">
        <f>$C935*BK934</f>
        <v/>
      </c>
      <c r="BL935">
        <f>$C935*BL934</f>
        <v/>
      </c>
      <c r="BM935">
        <f>$C935*BM934</f>
        <v/>
      </c>
      <c r="BN935">
        <f>$C935*BN934</f>
        <v/>
      </c>
      <c r="BO935">
        <f>$C935*BO934</f>
        <v/>
      </c>
      <c r="BP935">
        <f>$C935*BP934</f>
        <v/>
      </c>
      <c r="BQ935">
        <f>$C935*BQ934</f>
        <v/>
      </c>
      <c r="BR935">
        <f>$C935*BR934</f>
        <v/>
      </c>
      <c r="BS935">
        <f>$C935*BS934</f>
        <v/>
      </c>
      <c r="BT935">
        <f>$C935*BT934</f>
        <v/>
      </c>
      <c r="BU935">
        <f>$C935*BU934</f>
        <v/>
      </c>
      <c r="BV935">
        <f>$C935*BV934</f>
        <v/>
      </c>
      <c r="BW935">
        <f>$C935*BW934</f>
        <v/>
      </c>
      <c r="BX935">
        <f>$C935*BX934</f>
        <v/>
      </c>
      <c r="BY935">
        <f>$C935*BY934</f>
        <v/>
      </c>
      <c r="BZ935">
        <f>$C935*BZ934</f>
        <v/>
      </c>
      <c r="CA935">
        <f>$C935*CA934</f>
        <v/>
      </c>
      <c r="CB935">
        <f>$C935*CB934</f>
        <v/>
      </c>
      <c r="CC935">
        <f>$C935*CC934</f>
        <v/>
      </c>
      <c r="CD935">
        <f>$C935*CD934</f>
        <v/>
      </c>
      <c r="CE935">
        <f>$C935*CE934</f>
        <v/>
      </c>
      <c r="CF935">
        <f>$C935*CF934</f>
        <v/>
      </c>
      <c r="CG935">
        <f>$C935*CG934</f>
        <v/>
      </c>
      <c r="CH935">
        <f>$C935*CH934</f>
        <v/>
      </c>
      <c r="CI935">
        <f>$C935*CI934</f>
        <v/>
      </c>
      <c r="CJ935">
        <f>$C935*CJ934</f>
        <v/>
      </c>
      <c r="CK935">
        <f>$C935*CK934</f>
        <v/>
      </c>
      <c r="CL935">
        <f>$C935*CL934</f>
        <v/>
      </c>
      <c r="CM935">
        <f>$C935*CM934</f>
        <v/>
      </c>
      <c r="CN935">
        <f>$C935*CN934</f>
        <v/>
      </c>
      <c r="CO935">
        <f>$C935*CO934</f>
        <v/>
      </c>
      <c r="CP935">
        <f>$C935*CP934</f>
        <v/>
      </c>
      <c r="CQ935">
        <f>$C935*CQ934</f>
        <v/>
      </c>
      <c r="CR935">
        <f>$C935*CR934</f>
        <v/>
      </c>
      <c r="CS935">
        <f>$C935*CS934</f>
        <v/>
      </c>
      <c r="CT935">
        <f>$C935*CT934</f>
        <v/>
      </c>
      <c r="CU935">
        <f>$C935*CU934</f>
        <v/>
      </c>
      <c r="CV935">
        <f>$C935*CV934</f>
        <v/>
      </c>
      <c r="CW935">
        <f>$C935*CW934</f>
        <v/>
      </c>
      <c r="CX935">
        <f>$C935*CX934</f>
        <v/>
      </c>
      <c r="CY935">
        <f>$C935*CY934</f>
        <v/>
      </c>
      <c r="CZ935">
        <f>$C935*CZ934</f>
        <v/>
      </c>
      <c r="DA935">
        <f>$C935*DA934</f>
        <v/>
      </c>
      <c r="DB935">
        <f>$C935*DB934</f>
        <v/>
      </c>
      <c r="DC935">
        <f>$C935*DC934</f>
        <v/>
      </c>
    </row>
    <row r="936">
      <c r="B936" t="inlineStr">
        <is>
          <t>TSP-936</t>
        </is>
      </c>
      <c r="C936" t="inlineStr">
        <is>
          <t>No. of batches</t>
        </is>
      </c>
      <c r="D936">
        <f>IFERROR(INDEX(PP_Grid[#Data],$DD936,2),0)</f>
        <v/>
      </c>
      <c r="E936">
        <f>IFERROR(INDEX(PP_Grid[#Data],$DD936,3),0)</f>
        <v/>
      </c>
      <c r="F936">
        <f>IFERROR(INDEX(PP_Grid[#Data],$DD936,4),0)</f>
        <v/>
      </c>
      <c r="G936">
        <f>IFERROR(INDEX(PP_Grid[#Data],$DD936,5),0)</f>
        <v/>
      </c>
      <c r="H936">
        <f>IFERROR(INDEX(PP_Grid[#Data],$DD936,6),0)</f>
        <v/>
      </c>
      <c r="I936">
        <f>IFERROR(INDEX(PP_Grid[#Data],$DD936,7),0)</f>
        <v/>
      </c>
      <c r="J936">
        <f>IFERROR(INDEX(PP_Grid[#Data],$DD936,8),0)</f>
        <v/>
      </c>
      <c r="K936">
        <f>IFERROR(INDEX(PP_Grid[#Data],$DD936,9),0)</f>
        <v/>
      </c>
      <c r="L936">
        <f>IFERROR(INDEX(PP_Grid[#Data],$DD936,10),0)</f>
        <v/>
      </c>
      <c r="M936">
        <f>IFERROR(INDEX(PP_Grid[#Data],$DD936,11),0)</f>
        <v/>
      </c>
      <c r="N936">
        <f>IFERROR(INDEX(PP_Grid[#Data],$DD936,12),0)</f>
        <v/>
      </c>
      <c r="O936">
        <f>IFERROR(INDEX(PP_Grid[#Data],$DD936,13),0)</f>
        <v/>
      </c>
      <c r="P936">
        <f>IFERROR(INDEX(PP_Grid[#Data],$DD936,14),0)</f>
        <v/>
      </c>
      <c r="Q936">
        <f>IFERROR(INDEX(PP_Grid[#Data],$DD936,15),0)</f>
        <v/>
      </c>
      <c r="R936">
        <f>IFERROR(INDEX(PP_Grid[#Data],$DD936,16),0)</f>
        <v/>
      </c>
      <c r="S936">
        <f>IFERROR(INDEX(PP_Grid[#Data],$DD936,17),0)</f>
        <v/>
      </c>
      <c r="T936">
        <f>IFERROR(INDEX(PP_Grid[#Data],$DD936,18),0)</f>
        <v/>
      </c>
      <c r="U936">
        <f>IFERROR(INDEX(PP_Grid[#Data],$DD936,19),0)</f>
        <v/>
      </c>
      <c r="V936">
        <f>IFERROR(INDEX(PP_Grid[#Data],$DD936,20),0)</f>
        <v/>
      </c>
      <c r="W936">
        <f>IFERROR(INDEX(PP_Grid[#Data],$DD936,21),0)</f>
        <v/>
      </c>
      <c r="X936">
        <f>IFERROR(INDEX(PP_Grid[#Data],$DD936,22),0)</f>
        <v/>
      </c>
      <c r="Y936">
        <f>IFERROR(INDEX(PP_Grid[#Data],$DD936,23),0)</f>
        <v/>
      </c>
      <c r="Z936">
        <f>IFERROR(INDEX(PP_Grid[#Data],$DD936,24),0)</f>
        <v/>
      </c>
      <c r="AA936">
        <f>IFERROR(INDEX(PP_Grid[#Data],$DD936,25),0)</f>
        <v/>
      </c>
      <c r="AB936">
        <f>IFERROR(INDEX(PP_Grid[#Data],$DD936,26),0)</f>
        <v/>
      </c>
      <c r="AC936">
        <f>IFERROR(INDEX(PP_Grid[#Data],$DD936,27),0)</f>
        <v/>
      </c>
      <c r="AD936">
        <f>IFERROR(INDEX(PP_Grid[#Data],$DD936,28),0)</f>
        <v/>
      </c>
      <c r="AE936">
        <f>IFERROR(INDEX(PP_Grid[#Data],$DD936,29),0)</f>
        <v/>
      </c>
      <c r="AF936">
        <f>IFERROR(INDEX(PP_Grid[#Data],$DD936,30),0)</f>
        <v/>
      </c>
      <c r="AG936">
        <f>IFERROR(INDEX(PP_Grid[#Data],$DD936,31),0)</f>
        <v/>
      </c>
      <c r="AH936">
        <f>IFERROR(INDEX(PP_Grid[#Data],$DD936,32),0)</f>
        <v/>
      </c>
      <c r="AI936">
        <f>IFERROR(INDEX(PP_Grid[#Data],$DD936,33),0)</f>
        <v/>
      </c>
      <c r="AJ936">
        <f>IFERROR(INDEX(PP_Grid[#Data],$DD936,34),0)</f>
        <v/>
      </c>
      <c r="AK936">
        <f>IFERROR(INDEX(PP_Grid[#Data],$DD936,35),0)</f>
        <v/>
      </c>
      <c r="AL936">
        <f>IFERROR(INDEX(PP_Grid[#Data],$DD936,36),0)</f>
        <v/>
      </c>
      <c r="AM936">
        <f>IFERROR(INDEX(PP_Grid[#Data],$DD936,37),0)</f>
        <v/>
      </c>
      <c r="AN936">
        <f>IFERROR(INDEX(PP_Grid[#Data],$DD936,38),0)</f>
        <v/>
      </c>
      <c r="AO936">
        <f>IFERROR(INDEX(PP_Grid[#Data],$DD936,39),0)</f>
        <v/>
      </c>
      <c r="AP936">
        <f>IFERROR(INDEX(PP_Grid[#Data],$DD936,40),0)</f>
        <v/>
      </c>
      <c r="AQ936">
        <f>IFERROR(INDEX(PP_Grid[#Data],$DD936,41),0)</f>
        <v/>
      </c>
      <c r="AR936">
        <f>IFERROR(INDEX(PP_Grid[#Data],$DD936,42),0)</f>
        <v/>
      </c>
      <c r="AS936">
        <f>IFERROR(INDEX(PP_Grid[#Data],$DD936,43),0)</f>
        <v/>
      </c>
      <c r="AT936">
        <f>IFERROR(INDEX(PP_Grid[#Data],$DD936,44),0)</f>
        <v/>
      </c>
      <c r="AU936">
        <f>IFERROR(INDEX(PP_Grid[#Data],$DD936,45),0)</f>
        <v/>
      </c>
      <c r="AV936">
        <f>IFERROR(INDEX(PP_Grid[#Data],$DD936,46),0)</f>
        <v/>
      </c>
      <c r="AW936">
        <f>IFERROR(INDEX(PP_Grid[#Data],$DD936,47),0)</f>
        <v/>
      </c>
      <c r="AX936">
        <f>IFERROR(INDEX(PP_Grid[#Data],$DD936,48),0)</f>
        <v/>
      </c>
      <c r="AY936">
        <f>IFERROR(INDEX(PP_Grid[#Data],$DD936,49),0)</f>
        <v/>
      </c>
      <c r="AZ936">
        <f>IFERROR(INDEX(PP_Grid[#Data],$DD936,50),0)</f>
        <v/>
      </c>
      <c r="BA936">
        <f>IFERROR(INDEX(PP_Grid[#Data],$DD936,51),0)</f>
        <v/>
      </c>
      <c r="BB936">
        <f>IFERROR(INDEX(PP_Grid[#Data],$DD936,52),0)</f>
        <v/>
      </c>
      <c r="BC936">
        <f>IFERROR(INDEX(PP_Grid[#Data],$DD936,53),0)</f>
        <v/>
      </c>
      <c r="BD936">
        <f>IFERROR(INDEX(PP_Grid[#Data],$DD936,54),0)</f>
        <v/>
      </c>
      <c r="BE936">
        <f>IFERROR(INDEX(PP_Grid[#Data],$DD936,55),0)</f>
        <v/>
      </c>
      <c r="BF936">
        <f>IFERROR(INDEX(PP_Grid[#Data],$DD936,56),0)</f>
        <v/>
      </c>
      <c r="BG936">
        <f>IFERROR(INDEX(PP_Grid[#Data],$DD936,57),0)</f>
        <v/>
      </c>
      <c r="BH936">
        <f>IFERROR(INDEX(PP_Grid[#Data],$DD936,58),0)</f>
        <v/>
      </c>
      <c r="BI936">
        <f>IFERROR(INDEX(PP_Grid[#Data],$DD936,59),0)</f>
        <v/>
      </c>
      <c r="BJ936">
        <f>IFERROR(INDEX(PP_Grid[#Data],$DD936,60),0)</f>
        <v/>
      </c>
      <c r="BK936">
        <f>IFERROR(INDEX(PP_Grid[#Data],$DD936,61),0)</f>
        <v/>
      </c>
      <c r="BL936">
        <f>IFERROR(INDEX(PP_Grid[#Data],$DD936,62),0)</f>
        <v/>
      </c>
      <c r="BM936">
        <f>IFERROR(INDEX(PP_Grid[#Data],$DD936,63),0)</f>
        <v/>
      </c>
      <c r="BN936">
        <f>IFERROR(INDEX(PP_Grid[#Data],$DD936,64),0)</f>
        <v/>
      </c>
      <c r="BO936">
        <f>IFERROR(INDEX(PP_Grid[#Data],$DD936,65),0)</f>
        <v/>
      </c>
      <c r="BP936">
        <f>IFERROR(INDEX(PP_Grid[#Data],$DD936,66),0)</f>
        <v/>
      </c>
      <c r="BQ936">
        <f>IFERROR(INDEX(PP_Grid[#Data],$DD936,67),0)</f>
        <v/>
      </c>
      <c r="BR936">
        <f>IFERROR(INDEX(PP_Grid[#Data],$DD936,68),0)</f>
        <v/>
      </c>
      <c r="BS936">
        <f>IFERROR(INDEX(PP_Grid[#Data],$DD936,69),0)</f>
        <v/>
      </c>
      <c r="BT936">
        <f>IFERROR(INDEX(PP_Grid[#Data],$DD936,70),0)</f>
        <v/>
      </c>
      <c r="BU936">
        <f>IFERROR(INDEX(PP_Grid[#Data],$DD936,71),0)</f>
        <v/>
      </c>
      <c r="BV936">
        <f>IFERROR(INDEX(PP_Grid[#Data],$DD936,72),0)</f>
        <v/>
      </c>
      <c r="BW936">
        <f>IFERROR(INDEX(PP_Grid[#Data],$DD936,73),0)</f>
        <v/>
      </c>
      <c r="BX936">
        <f>IFERROR(INDEX(PP_Grid[#Data],$DD936,74),0)</f>
        <v/>
      </c>
      <c r="BY936">
        <f>IFERROR(INDEX(PP_Grid[#Data],$DD936,75),0)</f>
        <v/>
      </c>
      <c r="BZ936">
        <f>IFERROR(INDEX(PP_Grid[#Data],$DD936,76),0)</f>
        <v/>
      </c>
      <c r="CA936">
        <f>IFERROR(INDEX(PP_Grid[#Data],$DD936,77),0)</f>
        <v/>
      </c>
      <c r="CB936">
        <f>IFERROR(INDEX(PP_Grid[#Data],$DD936,78),0)</f>
        <v/>
      </c>
      <c r="CC936">
        <f>IFERROR(INDEX(PP_Grid[#Data],$DD936,79),0)</f>
        <v/>
      </c>
      <c r="CD936">
        <f>IFERROR(INDEX(PP_Grid[#Data],$DD936,80),0)</f>
        <v/>
      </c>
      <c r="CE936">
        <f>IFERROR(INDEX(PP_Grid[#Data],$DD936,81),0)</f>
        <v/>
      </c>
      <c r="CF936">
        <f>IFERROR(INDEX(PP_Grid[#Data],$DD936,82),0)</f>
        <v/>
      </c>
      <c r="CG936">
        <f>IFERROR(INDEX(PP_Grid[#Data],$DD936,83),0)</f>
        <v/>
      </c>
      <c r="CH936">
        <f>IFERROR(INDEX(PP_Grid[#Data],$DD936,84),0)</f>
        <v/>
      </c>
      <c r="CI936">
        <f>IFERROR(INDEX(PP_Grid[#Data],$DD936,85),0)</f>
        <v/>
      </c>
      <c r="CJ936">
        <f>IFERROR(INDEX(PP_Grid[#Data],$DD936,86),0)</f>
        <v/>
      </c>
      <c r="CK936">
        <f>IFERROR(INDEX(PP_Grid[#Data],$DD936,87),0)</f>
        <v/>
      </c>
      <c r="CL936">
        <f>IFERROR(INDEX(PP_Grid[#Data],$DD936,88),0)</f>
        <v/>
      </c>
      <c r="CM936">
        <f>IFERROR(INDEX(PP_Grid[#Data],$DD936,89),0)</f>
        <v/>
      </c>
      <c r="CN936">
        <f>IFERROR(INDEX(PP_Grid[#Data],$DD936,90),0)</f>
        <v/>
      </c>
      <c r="CO936">
        <f>IFERROR(INDEX(PP_Grid[#Data],$DD936,91),0)</f>
        <v/>
      </c>
      <c r="CP936">
        <f>IFERROR(INDEX(PP_Grid[#Data],$DD936,92),0)</f>
        <v/>
      </c>
      <c r="CQ936">
        <f>IFERROR(INDEX(PP_Grid[#Data],$DD936,93),0)</f>
        <v/>
      </c>
      <c r="CR936">
        <f>IFERROR(INDEX(PP_Grid[#Data],$DD936,94),0)</f>
        <v/>
      </c>
      <c r="CS936">
        <f>IFERROR(INDEX(PP_Grid[#Data],$DD936,95),0)</f>
        <v/>
      </c>
      <c r="CT936">
        <f>IFERROR(INDEX(PP_Grid[#Data],$DD936,96),0)</f>
        <v/>
      </c>
      <c r="CU936">
        <f>IFERROR(INDEX(PP_Grid[#Data],$DD936,97),0)</f>
        <v/>
      </c>
      <c r="CV936">
        <f>IFERROR(INDEX(PP_Grid[#Data],$DD936,98),0)</f>
        <v/>
      </c>
      <c r="CW936">
        <f>IFERROR(INDEX(PP_Grid[#Data],$DD936,99),0)</f>
        <v/>
      </c>
      <c r="CX936">
        <f>IFERROR(INDEX(PP_Grid[#Data],$DD936,100),0)</f>
        <v/>
      </c>
      <c r="CY936">
        <f>IFERROR(INDEX(PP_Grid[#Data],$DD936,101),0)</f>
        <v/>
      </c>
      <c r="CZ936">
        <f>IFERROR(INDEX(PP_Grid[#Data],$DD936,102),0)</f>
        <v/>
      </c>
      <c r="DA936">
        <f>IFERROR(INDEX(PP_Grid[#Data],$DD936,103),0)</f>
        <v/>
      </c>
      <c r="DB936">
        <f>IFERROR(INDEX(PP_Grid[#Data],$DD936,104),0)</f>
        <v/>
      </c>
      <c r="DC936">
        <f>IFERROR(INDEX(PP_Grid[#Data],$DD936,105),0)</f>
        <v/>
      </c>
      <c r="DD936" s="7">
        <f>IFERROR(MATCH($B936,PP_Grid[Intermediate],0),99999)</f>
        <v/>
      </c>
    </row>
    <row r="937">
      <c r="B937" t="inlineStr">
        <is>
          <t>使用量(kg)</t>
        </is>
      </c>
      <c r="C937">
        <f>SUMIFS(M_BOM[RM_Qty_Per_Batch],M_BOM[Intermediate],$B936,M_BOM[Part Name],$A923)</f>
        <v/>
      </c>
      <c r="D937">
        <f>$C937*D936</f>
        <v/>
      </c>
      <c r="E937">
        <f>$C937*E936</f>
        <v/>
      </c>
      <c r="F937">
        <f>$C937*F936</f>
        <v/>
      </c>
      <c r="G937">
        <f>$C937*G936</f>
        <v/>
      </c>
      <c r="H937">
        <f>$C937*H936</f>
        <v/>
      </c>
      <c r="I937">
        <f>$C937*I936</f>
        <v/>
      </c>
      <c r="J937">
        <f>$C937*J936</f>
        <v/>
      </c>
      <c r="K937">
        <f>$C937*K936</f>
        <v/>
      </c>
      <c r="L937">
        <f>$C937*L936</f>
        <v/>
      </c>
      <c r="M937">
        <f>$C937*M936</f>
        <v/>
      </c>
      <c r="N937">
        <f>$C937*N936</f>
        <v/>
      </c>
      <c r="O937">
        <f>$C937*O936</f>
        <v/>
      </c>
      <c r="P937">
        <f>$C937*P936</f>
        <v/>
      </c>
      <c r="Q937">
        <f>$C937*Q936</f>
        <v/>
      </c>
      <c r="R937">
        <f>$C937*R936</f>
        <v/>
      </c>
      <c r="S937">
        <f>$C937*S936</f>
        <v/>
      </c>
      <c r="T937">
        <f>$C937*T936</f>
        <v/>
      </c>
      <c r="U937">
        <f>$C937*U936</f>
        <v/>
      </c>
      <c r="V937">
        <f>$C937*V936</f>
        <v/>
      </c>
      <c r="W937">
        <f>$C937*W936</f>
        <v/>
      </c>
      <c r="X937">
        <f>$C937*X936</f>
        <v/>
      </c>
      <c r="Y937">
        <f>$C937*Y936</f>
        <v/>
      </c>
      <c r="Z937">
        <f>$C937*Z936</f>
        <v/>
      </c>
      <c r="AA937">
        <f>$C937*AA936</f>
        <v/>
      </c>
      <c r="AB937">
        <f>$C937*AB936</f>
        <v/>
      </c>
      <c r="AC937">
        <f>$C937*AC936</f>
        <v/>
      </c>
      <c r="AD937">
        <f>$C937*AD936</f>
        <v/>
      </c>
      <c r="AE937">
        <f>$C937*AE936</f>
        <v/>
      </c>
      <c r="AF937">
        <f>$C937*AF936</f>
        <v/>
      </c>
      <c r="AG937">
        <f>$C937*AG936</f>
        <v/>
      </c>
      <c r="AH937">
        <f>$C937*AH936</f>
        <v/>
      </c>
      <c r="AI937">
        <f>$C937*AI936</f>
        <v/>
      </c>
      <c r="AJ937">
        <f>$C937*AJ936</f>
        <v/>
      </c>
      <c r="AK937">
        <f>$C937*AK936</f>
        <v/>
      </c>
      <c r="AL937">
        <f>$C937*AL936</f>
        <v/>
      </c>
      <c r="AM937">
        <f>$C937*AM936</f>
        <v/>
      </c>
      <c r="AN937">
        <f>$C937*AN936</f>
        <v/>
      </c>
      <c r="AO937">
        <f>$C937*AO936</f>
        <v/>
      </c>
      <c r="AP937">
        <f>$C937*AP936</f>
        <v/>
      </c>
      <c r="AQ937">
        <f>$C937*AQ936</f>
        <v/>
      </c>
      <c r="AR937">
        <f>$C937*AR936</f>
        <v/>
      </c>
      <c r="AS937">
        <f>$C937*AS936</f>
        <v/>
      </c>
      <c r="AT937">
        <f>$C937*AT936</f>
        <v/>
      </c>
      <c r="AU937">
        <f>$C937*AU936</f>
        <v/>
      </c>
      <c r="AV937">
        <f>$C937*AV936</f>
        <v/>
      </c>
      <c r="AW937">
        <f>$C937*AW936</f>
        <v/>
      </c>
      <c r="AX937">
        <f>$C937*AX936</f>
        <v/>
      </c>
      <c r="AY937">
        <f>$C937*AY936</f>
        <v/>
      </c>
      <c r="AZ937">
        <f>$C937*AZ936</f>
        <v/>
      </c>
      <c r="BA937">
        <f>$C937*BA936</f>
        <v/>
      </c>
      <c r="BB937">
        <f>$C937*BB936</f>
        <v/>
      </c>
      <c r="BC937">
        <f>$C937*BC936</f>
        <v/>
      </c>
      <c r="BD937">
        <f>$C937*BD936</f>
        <v/>
      </c>
      <c r="BE937">
        <f>$C937*BE936</f>
        <v/>
      </c>
      <c r="BF937">
        <f>$C937*BF936</f>
        <v/>
      </c>
      <c r="BG937">
        <f>$C937*BG936</f>
        <v/>
      </c>
      <c r="BH937">
        <f>$C937*BH936</f>
        <v/>
      </c>
      <c r="BI937">
        <f>$C937*BI936</f>
        <v/>
      </c>
      <c r="BJ937">
        <f>$C937*BJ936</f>
        <v/>
      </c>
      <c r="BK937">
        <f>$C937*BK936</f>
        <v/>
      </c>
      <c r="BL937">
        <f>$C937*BL936</f>
        <v/>
      </c>
      <c r="BM937">
        <f>$C937*BM936</f>
        <v/>
      </c>
      <c r="BN937">
        <f>$C937*BN936</f>
        <v/>
      </c>
      <c r="BO937">
        <f>$C937*BO936</f>
        <v/>
      </c>
      <c r="BP937">
        <f>$C937*BP936</f>
        <v/>
      </c>
      <c r="BQ937">
        <f>$C937*BQ936</f>
        <v/>
      </c>
      <c r="BR937">
        <f>$C937*BR936</f>
        <v/>
      </c>
      <c r="BS937">
        <f>$C937*BS936</f>
        <v/>
      </c>
      <c r="BT937">
        <f>$C937*BT936</f>
        <v/>
      </c>
      <c r="BU937">
        <f>$C937*BU936</f>
        <v/>
      </c>
      <c r="BV937">
        <f>$C937*BV936</f>
        <v/>
      </c>
      <c r="BW937">
        <f>$C937*BW936</f>
        <v/>
      </c>
      <c r="BX937">
        <f>$C937*BX936</f>
        <v/>
      </c>
      <c r="BY937">
        <f>$C937*BY936</f>
        <v/>
      </c>
      <c r="BZ937">
        <f>$C937*BZ936</f>
        <v/>
      </c>
      <c r="CA937">
        <f>$C937*CA936</f>
        <v/>
      </c>
      <c r="CB937">
        <f>$C937*CB936</f>
        <v/>
      </c>
      <c r="CC937">
        <f>$C937*CC936</f>
        <v/>
      </c>
      <c r="CD937">
        <f>$C937*CD936</f>
        <v/>
      </c>
      <c r="CE937">
        <f>$C937*CE936</f>
        <v/>
      </c>
      <c r="CF937">
        <f>$C937*CF936</f>
        <v/>
      </c>
      <c r="CG937">
        <f>$C937*CG936</f>
        <v/>
      </c>
      <c r="CH937">
        <f>$C937*CH936</f>
        <v/>
      </c>
      <c r="CI937">
        <f>$C937*CI936</f>
        <v/>
      </c>
      <c r="CJ937">
        <f>$C937*CJ936</f>
        <v/>
      </c>
      <c r="CK937">
        <f>$C937*CK936</f>
        <v/>
      </c>
      <c r="CL937">
        <f>$C937*CL936</f>
        <v/>
      </c>
      <c r="CM937">
        <f>$C937*CM936</f>
        <v/>
      </c>
      <c r="CN937">
        <f>$C937*CN936</f>
        <v/>
      </c>
      <c r="CO937">
        <f>$C937*CO936</f>
        <v/>
      </c>
      <c r="CP937">
        <f>$C937*CP936</f>
        <v/>
      </c>
      <c r="CQ937">
        <f>$C937*CQ936</f>
        <v/>
      </c>
      <c r="CR937">
        <f>$C937*CR936</f>
        <v/>
      </c>
      <c r="CS937">
        <f>$C937*CS936</f>
        <v/>
      </c>
      <c r="CT937">
        <f>$C937*CT936</f>
        <v/>
      </c>
      <c r="CU937">
        <f>$C937*CU936</f>
        <v/>
      </c>
      <c r="CV937">
        <f>$C937*CV936</f>
        <v/>
      </c>
      <c r="CW937">
        <f>$C937*CW936</f>
        <v/>
      </c>
      <c r="CX937">
        <f>$C937*CX936</f>
        <v/>
      </c>
      <c r="CY937">
        <f>$C937*CY936</f>
        <v/>
      </c>
      <c r="CZ937">
        <f>$C937*CZ936</f>
        <v/>
      </c>
      <c r="DA937">
        <f>$C937*DA936</f>
        <v/>
      </c>
      <c r="DB937">
        <f>$C937*DB936</f>
        <v/>
      </c>
      <c r="DC937">
        <f>$C937*DC936</f>
        <v/>
      </c>
    </row>
    <row r="938">
      <c r="B938" t="inlineStr">
        <is>
          <t>TSP-937</t>
        </is>
      </c>
      <c r="C938" t="inlineStr">
        <is>
          <t>No. of batches</t>
        </is>
      </c>
      <c r="D938">
        <f>IFERROR(INDEX(PP_Grid[#Data],$DD938,2),0)</f>
        <v/>
      </c>
      <c r="E938">
        <f>IFERROR(INDEX(PP_Grid[#Data],$DD938,3),0)</f>
        <v/>
      </c>
      <c r="F938">
        <f>IFERROR(INDEX(PP_Grid[#Data],$DD938,4),0)</f>
        <v/>
      </c>
      <c r="G938">
        <f>IFERROR(INDEX(PP_Grid[#Data],$DD938,5),0)</f>
        <v/>
      </c>
      <c r="H938">
        <f>IFERROR(INDEX(PP_Grid[#Data],$DD938,6),0)</f>
        <v/>
      </c>
      <c r="I938">
        <f>IFERROR(INDEX(PP_Grid[#Data],$DD938,7),0)</f>
        <v/>
      </c>
      <c r="J938">
        <f>IFERROR(INDEX(PP_Grid[#Data],$DD938,8),0)</f>
        <v/>
      </c>
      <c r="K938">
        <f>IFERROR(INDEX(PP_Grid[#Data],$DD938,9),0)</f>
        <v/>
      </c>
      <c r="L938">
        <f>IFERROR(INDEX(PP_Grid[#Data],$DD938,10),0)</f>
        <v/>
      </c>
      <c r="M938">
        <f>IFERROR(INDEX(PP_Grid[#Data],$DD938,11),0)</f>
        <v/>
      </c>
      <c r="N938">
        <f>IFERROR(INDEX(PP_Grid[#Data],$DD938,12),0)</f>
        <v/>
      </c>
      <c r="O938">
        <f>IFERROR(INDEX(PP_Grid[#Data],$DD938,13),0)</f>
        <v/>
      </c>
      <c r="P938">
        <f>IFERROR(INDEX(PP_Grid[#Data],$DD938,14),0)</f>
        <v/>
      </c>
      <c r="Q938">
        <f>IFERROR(INDEX(PP_Grid[#Data],$DD938,15),0)</f>
        <v/>
      </c>
      <c r="R938">
        <f>IFERROR(INDEX(PP_Grid[#Data],$DD938,16),0)</f>
        <v/>
      </c>
      <c r="S938">
        <f>IFERROR(INDEX(PP_Grid[#Data],$DD938,17),0)</f>
        <v/>
      </c>
      <c r="T938">
        <f>IFERROR(INDEX(PP_Grid[#Data],$DD938,18),0)</f>
        <v/>
      </c>
      <c r="U938">
        <f>IFERROR(INDEX(PP_Grid[#Data],$DD938,19),0)</f>
        <v/>
      </c>
      <c r="V938">
        <f>IFERROR(INDEX(PP_Grid[#Data],$DD938,20),0)</f>
        <v/>
      </c>
      <c r="W938">
        <f>IFERROR(INDEX(PP_Grid[#Data],$DD938,21),0)</f>
        <v/>
      </c>
      <c r="X938">
        <f>IFERROR(INDEX(PP_Grid[#Data],$DD938,22),0)</f>
        <v/>
      </c>
      <c r="Y938">
        <f>IFERROR(INDEX(PP_Grid[#Data],$DD938,23),0)</f>
        <v/>
      </c>
      <c r="Z938">
        <f>IFERROR(INDEX(PP_Grid[#Data],$DD938,24),0)</f>
        <v/>
      </c>
      <c r="AA938">
        <f>IFERROR(INDEX(PP_Grid[#Data],$DD938,25),0)</f>
        <v/>
      </c>
      <c r="AB938">
        <f>IFERROR(INDEX(PP_Grid[#Data],$DD938,26),0)</f>
        <v/>
      </c>
      <c r="AC938">
        <f>IFERROR(INDEX(PP_Grid[#Data],$DD938,27),0)</f>
        <v/>
      </c>
      <c r="AD938">
        <f>IFERROR(INDEX(PP_Grid[#Data],$DD938,28),0)</f>
        <v/>
      </c>
      <c r="AE938">
        <f>IFERROR(INDEX(PP_Grid[#Data],$DD938,29),0)</f>
        <v/>
      </c>
      <c r="AF938">
        <f>IFERROR(INDEX(PP_Grid[#Data],$DD938,30),0)</f>
        <v/>
      </c>
      <c r="AG938">
        <f>IFERROR(INDEX(PP_Grid[#Data],$DD938,31),0)</f>
        <v/>
      </c>
      <c r="AH938">
        <f>IFERROR(INDEX(PP_Grid[#Data],$DD938,32),0)</f>
        <v/>
      </c>
      <c r="AI938">
        <f>IFERROR(INDEX(PP_Grid[#Data],$DD938,33),0)</f>
        <v/>
      </c>
      <c r="AJ938">
        <f>IFERROR(INDEX(PP_Grid[#Data],$DD938,34),0)</f>
        <v/>
      </c>
      <c r="AK938">
        <f>IFERROR(INDEX(PP_Grid[#Data],$DD938,35),0)</f>
        <v/>
      </c>
      <c r="AL938">
        <f>IFERROR(INDEX(PP_Grid[#Data],$DD938,36),0)</f>
        <v/>
      </c>
      <c r="AM938">
        <f>IFERROR(INDEX(PP_Grid[#Data],$DD938,37),0)</f>
        <v/>
      </c>
      <c r="AN938">
        <f>IFERROR(INDEX(PP_Grid[#Data],$DD938,38),0)</f>
        <v/>
      </c>
      <c r="AO938">
        <f>IFERROR(INDEX(PP_Grid[#Data],$DD938,39),0)</f>
        <v/>
      </c>
      <c r="AP938">
        <f>IFERROR(INDEX(PP_Grid[#Data],$DD938,40),0)</f>
        <v/>
      </c>
      <c r="AQ938">
        <f>IFERROR(INDEX(PP_Grid[#Data],$DD938,41),0)</f>
        <v/>
      </c>
      <c r="AR938">
        <f>IFERROR(INDEX(PP_Grid[#Data],$DD938,42),0)</f>
        <v/>
      </c>
      <c r="AS938">
        <f>IFERROR(INDEX(PP_Grid[#Data],$DD938,43),0)</f>
        <v/>
      </c>
      <c r="AT938">
        <f>IFERROR(INDEX(PP_Grid[#Data],$DD938,44),0)</f>
        <v/>
      </c>
      <c r="AU938">
        <f>IFERROR(INDEX(PP_Grid[#Data],$DD938,45),0)</f>
        <v/>
      </c>
      <c r="AV938">
        <f>IFERROR(INDEX(PP_Grid[#Data],$DD938,46),0)</f>
        <v/>
      </c>
      <c r="AW938">
        <f>IFERROR(INDEX(PP_Grid[#Data],$DD938,47),0)</f>
        <v/>
      </c>
      <c r="AX938">
        <f>IFERROR(INDEX(PP_Grid[#Data],$DD938,48),0)</f>
        <v/>
      </c>
      <c r="AY938">
        <f>IFERROR(INDEX(PP_Grid[#Data],$DD938,49),0)</f>
        <v/>
      </c>
      <c r="AZ938">
        <f>IFERROR(INDEX(PP_Grid[#Data],$DD938,50),0)</f>
        <v/>
      </c>
      <c r="BA938">
        <f>IFERROR(INDEX(PP_Grid[#Data],$DD938,51),0)</f>
        <v/>
      </c>
      <c r="BB938">
        <f>IFERROR(INDEX(PP_Grid[#Data],$DD938,52),0)</f>
        <v/>
      </c>
      <c r="BC938">
        <f>IFERROR(INDEX(PP_Grid[#Data],$DD938,53),0)</f>
        <v/>
      </c>
      <c r="BD938">
        <f>IFERROR(INDEX(PP_Grid[#Data],$DD938,54),0)</f>
        <v/>
      </c>
      <c r="BE938">
        <f>IFERROR(INDEX(PP_Grid[#Data],$DD938,55),0)</f>
        <v/>
      </c>
      <c r="BF938">
        <f>IFERROR(INDEX(PP_Grid[#Data],$DD938,56),0)</f>
        <v/>
      </c>
      <c r="BG938">
        <f>IFERROR(INDEX(PP_Grid[#Data],$DD938,57),0)</f>
        <v/>
      </c>
      <c r="BH938">
        <f>IFERROR(INDEX(PP_Grid[#Data],$DD938,58),0)</f>
        <v/>
      </c>
      <c r="BI938">
        <f>IFERROR(INDEX(PP_Grid[#Data],$DD938,59),0)</f>
        <v/>
      </c>
      <c r="BJ938">
        <f>IFERROR(INDEX(PP_Grid[#Data],$DD938,60),0)</f>
        <v/>
      </c>
      <c r="BK938">
        <f>IFERROR(INDEX(PP_Grid[#Data],$DD938,61),0)</f>
        <v/>
      </c>
      <c r="BL938">
        <f>IFERROR(INDEX(PP_Grid[#Data],$DD938,62),0)</f>
        <v/>
      </c>
      <c r="BM938">
        <f>IFERROR(INDEX(PP_Grid[#Data],$DD938,63),0)</f>
        <v/>
      </c>
      <c r="BN938">
        <f>IFERROR(INDEX(PP_Grid[#Data],$DD938,64),0)</f>
        <v/>
      </c>
      <c r="BO938">
        <f>IFERROR(INDEX(PP_Grid[#Data],$DD938,65),0)</f>
        <v/>
      </c>
      <c r="BP938">
        <f>IFERROR(INDEX(PP_Grid[#Data],$DD938,66),0)</f>
        <v/>
      </c>
      <c r="BQ938">
        <f>IFERROR(INDEX(PP_Grid[#Data],$DD938,67),0)</f>
        <v/>
      </c>
      <c r="BR938">
        <f>IFERROR(INDEX(PP_Grid[#Data],$DD938,68),0)</f>
        <v/>
      </c>
      <c r="BS938">
        <f>IFERROR(INDEX(PP_Grid[#Data],$DD938,69),0)</f>
        <v/>
      </c>
      <c r="BT938">
        <f>IFERROR(INDEX(PP_Grid[#Data],$DD938,70),0)</f>
        <v/>
      </c>
      <c r="BU938">
        <f>IFERROR(INDEX(PP_Grid[#Data],$DD938,71),0)</f>
        <v/>
      </c>
      <c r="BV938">
        <f>IFERROR(INDEX(PP_Grid[#Data],$DD938,72),0)</f>
        <v/>
      </c>
      <c r="BW938">
        <f>IFERROR(INDEX(PP_Grid[#Data],$DD938,73),0)</f>
        <v/>
      </c>
      <c r="BX938">
        <f>IFERROR(INDEX(PP_Grid[#Data],$DD938,74),0)</f>
        <v/>
      </c>
      <c r="BY938">
        <f>IFERROR(INDEX(PP_Grid[#Data],$DD938,75),0)</f>
        <v/>
      </c>
      <c r="BZ938">
        <f>IFERROR(INDEX(PP_Grid[#Data],$DD938,76),0)</f>
        <v/>
      </c>
      <c r="CA938">
        <f>IFERROR(INDEX(PP_Grid[#Data],$DD938,77),0)</f>
        <v/>
      </c>
      <c r="CB938">
        <f>IFERROR(INDEX(PP_Grid[#Data],$DD938,78),0)</f>
        <v/>
      </c>
      <c r="CC938">
        <f>IFERROR(INDEX(PP_Grid[#Data],$DD938,79),0)</f>
        <v/>
      </c>
      <c r="CD938">
        <f>IFERROR(INDEX(PP_Grid[#Data],$DD938,80),0)</f>
        <v/>
      </c>
      <c r="CE938">
        <f>IFERROR(INDEX(PP_Grid[#Data],$DD938,81),0)</f>
        <v/>
      </c>
      <c r="CF938">
        <f>IFERROR(INDEX(PP_Grid[#Data],$DD938,82),0)</f>
        <v/>
      </c>
      <c r="CG938">
        <f>IFERROR(INDEX(PP_Grid[#Data],$DD938,83),0)</f>
        <v/>
      </c>
      <c r="CH938">
        <f>IFERROR(INDEX(PP_Grid[#Data],$DD938,84),0)</f>
        <v/>
      </c>
      <c r="CI938">
        <f>IFERROR(INDEX(PP_Grid[#Data],$DD938,85),0)</f>
        <v/>
      </c>
      <c r="CJ938">
        <f>IFERROR(INDEX(PP_Grid[#Data],$DD938,86),0)</f>
        <v/>
      </c>
      <c r="CK938">
        <f>IFERROR(INDEX(PP_Grid[#Data],$DD938,87),0)</f>
        <v/>
      </c>
      <c r="CL938">
        <f>IFERROR(INDEX(PP_Grid[#Data],$DD938,88),0)</f>
        <v/>
      </c>
      <c r="CM938">
        <f>IFERROR(INDEX(PP_Grid[#Data],$DD938,89),0)</f>
        <v/>
      </c>
      <c r="CN938">
        <f>IFERROR(INDEX(PP_Grid[#Data],$DD938,90),0)</f>
        <v/>
      </c>
      <c r="CO938">
        <f>IFERROR(INDEX(PP_Grid[#Data],$DD938,91),0)</f>
        <v/>
      </c>
      <c r="CP938">
        <f>IFERROR(INDEX(PP_Grid[#Data],$DD938,92),0)</f>
        <v/>
      </c>
      <c r="CQ938">
        <f>IFERROR(INDEX(PP_Grid[#Data],$DD938,93),0)</f>
        <v/>
      </c>
      <c r="CR938">
        <f>IFERROR(INDEX(PP_Grid[#Data],$DD938,94),0)</f>
        <v/>
      </c>
      <c r="CS938">
        <f>IFERROR(INDEX(PP_Grid[#Data],$DD938,95),0)</f>
        <v/>
      </c>
      <c r="CT938">
        <f>IFERROR(INDEX(PP_Grid[#Data],$DD938,96),0)</f>
        <v/>
      </c>
      <c r="CU938">
        <f>IFERROR(INDEX(PP_Grid[#Data],$DD938,97),0)</f>
        <v/>
      </c>
      <c r="CV938">
        <f>IFERROR(INDEX(PP_Grid[#Data],$DD938,98),0)</f>
        <v/>
      </c>
      <c r="CW938">
        <f>IFERROR(INDEX(PP_Grid[#Data],$DD938,99),0)</f>
        <v/>
      </c>
      <c r="CX938">
        <f>IFERROR(INDEX(PP_Grid[#Data],$DD938,100),0)</f>
        <v/>
      </c>
      <c r="CY938">
        <f>IFERROR(INDEX(PP_Grid[#Data],$DD938,101),0)</f>
        <v/>
      </c>
      <c r="CZ938">
        <f>IFERROR(INDEX(PP_Grid[#Data],$DD938,102),0)</f>
        <v/>
      </c>
      <c r="DA938">
        <f>IFERROR(INDEX(PP_Grid[#Data],$DD938,103),0)</f>
        <v/>
      </c>
      <c r="DB938">
        <f>IFERROR(INDEX(PP_Grid[#Data],$DD938,104),0)</f>
        <v/>
      </c>
      <c r="DC938">
        <f>IFERROR(INDEX(PP_Grid[#Data],$DD938,105),0)</f>
        <v/>
      </c>
      <c r="DD938" s="7">
        <f>IFERROR(MATCH($B938,PP_Grid[Intermediate],0),99999)</f>
        <v/>
      </c>
    </row>
    <row r="939">
      <c r="B939" t="inlineStr">
        <is>
          <t>使用量(kg)</t>
        </is>
      </c>
      <c r="C939">
        <f>SUMIFS(M_BOM[RM_Qty_Per_Batch],M_BOM[Intermediate],$B938,M_BOM[Part Name],$A923)</f>
        <v/>
      </c>
      <c r="D939">
        <f>$C939*D938</f>
        <v/>
      </c>
      <c r="E939">
        <f>$C939*E938</f>
        <v/>
      </c>
      <c r="F939">
        <f>$C939*F938</f>
        <v/>
      </c>
      <c r="G939">
        <f>$C939*G938</f>
        <v/>
      </c>
      <c r="H939">
        <f>$C939*H938</f>
        <v/>
      </c>
      <c r="I939">
        <f>$C939*I938</f>
        <v/>
      </c>
      <c r="J939">
        <f>$C939*J938</f>
        <v/>
      </c>
      <c r="K939">
        <f>$C939*K938</f>
        <v/>
      </c>
      <c r="L939">
        <f>$C939*L938</f>
        <v/>
      </c>
      <c r="M939">
        <f>$C939*M938</f>
        <v/>
      </c>
      <c r="N939">
        <f>$C939*N938</f>
        <v/>
      </c>
      <c r="O939">
        <f>$C939*O938</f>
        <v/>
      </c>
      <c r="P939">
        <f>$C939*P938</f>
        <v/>
      </c>
      <c r="Q939">
        <f>$C939*Q938</f>
        <v/>
      </c>
      <c r="R939">
        <f>$C939*R938</f>
        <v/>
      </c>
      <c r="S939">
        <f>$C939*S938</f>
        <v/>
      </c>
      <c r="T939">
        <f>$C939*T938</f>
        <v/>
      </c>
      <c r="U939">
        <f>$C939*U938</f>
        <v/>
      </c>
      <c r="V939">
        <f>$C939*V938</f>
        <v/>
      </c>
      <c r="W939">
        <f>$C939*W938</f>
        <v/>
      </c>
      <c r="X939">
        <f>$C939*X938</f>
        <v/>
      </c>
      <c r="Y939">
        <f>$C939*Y938</f>
        <v/>
      </c>
      <c r="Z939">
        <f>$C939*Z938</f>
        <v/>
      </c>
      <c r="AA939">
        <f>$C939*AA938</f>
        <v/>
      </c>
      <c r="AB939">
        <f>$C939*AB938</f>
        <v/>
      </c>
      <c r="AC939">
        <f>$C939*AC938</f>
        <v/>
      </c>
      <c r="AD939">
        <f>$C939*AD938</f>
        <v/>
      </c>
      <c r="AE939">
        <f>$C939*AE938</f>
        <v/>
      </c>
      <c r="AF939">
        <f>$C939*AF938</f>
        <v/>
      </c>
      <c r="AG939">
        <f>$C939*AG938</f>
        <v/>
      </c>
      <c r="AH939">
        <f>$C939*AH938</f>
        <v/>
      </c>
      <c r="AI939">
        <f>$C939*AI938</f>
        <v/>
      </c>
      <c r="AJ939">
        <f>$C939*AJ938</f>
        <v/>
      </c>
      <c r="AK939">
        <f>$C939*AK938</f>
        <v/>
      </c>
      <c r="AL939">
        <f>$C939*AL938</f>
        <v/>
      </c>
      <c r="AM939">
        <f>$C939*AM938</f>
        <v/>
      </c>
      <c r="AN939">
        <f>$C939*AN938</f>
        <v/>
      </c>
      <c r="AO939">
        <f>$C939*AO938</f>
        <v/>
      </c>
      <c r="AP939">
        <f>$C939*AP938</f>
        <v/>
      </c>
      <c r="AQ939">
        <f>$C939*AQ938</f>
        <v/>
      </c>
      <c r="AR939">
        <f>$C939*AR938</f>
        <v/>
      </c>
      <c r="AS939">
        <f>$C939*AS938</f>
        <v/>
      </c>
      <c r="AT939">
        <f>$C939*AT938</f>
        <v/>
      </c>
      <c r="AU939">
        <f>$C939*AU938</f>
        <v/>
      </c>
      <c r="AV939">
        <f>$C939*AV938</f>
        <v/>
      </c>
      <c r="AW939">
        <f>$C939*AW938</f>
        <v/>
      </c>
      <c r="AX939">
        <f>$C939*AX938</f>
        <v/>
      </c>
      <c r="AY939">
        <f>$C939*AY938</f>
        <v/>
      </c>
      <c r="AZ939">
        <f>$C939*AZ938</f>
        <v/>
      </c>
      <c r="BA939">
        <f>$C939*BA938</f>
        <v/>
      </c>
      <c r="BB939">
        <f>$C939*BB938</f>
        <v/>
      </c>
      <c r="BC939">
        <f>$C939*BC938</f>
        <v/>
      </c>
      <c r="BD939">
        <f>$C939*BD938</f>
        <v/>
      </c>
      <c r="BE939">
        <f>$C939*BE938</f>
        <v/>
      </c>
      <c r="BF939">
        <f>$C939*BF938</f>
        <v/>
      </c>
      <c r="BG939">
        <f>$C939*BG938</f>
        <v/>
      </c>
      <c r="BH939">
        <f>$C939*BH938</f>
        <v/>
      </c>
      <c r="BI939">
        <f>$C939*BI938</f>
        <v/>
      </c>
      <c r="BJ939">
        <f>$C939*BJ938</f>
        <v/>
      </c>
      <c r="BK939">
        <f>$C939*BK938</f>
        <v/>
      </c>
      <c r="BL939">
        <f>$C939*BL938</f>
        <v/>
      </c>
      <c r="BM939">
        <f>$C939*BM938</f>
        <v/>
      </c>
      <c r="BN939">
        <f>$C939*BN938</f>
        <v/>
      </c>
      <c r="BO939">
        <f>$C939*BO938</f>
        <v/>
      </c>
      <c r="BP939">
        <f>$C939*BP938</f>
        <v/>
      </c>
      <c r="BQ939">
        <f>$C939*BQ938</f>
        <v/>
      </c>
      <c r="BR939">
        <f>$C939*BR938</f>
        <v/>
      </c>
      <c r="BS939">
        <f>$C939*BS938</f>
        <v/>
      </c>
      <c r="BT939">
        <f>$C939*BT938</f>
        <v/>
      </c>
      <c r="BU939">
        <f>$C939*BU938</f>
        <v/>
      </c>
      <c r="BV939">
        <f>$C939*BV938</f>
        <v/>
      </c>
      <c r="BW939">
        <f>$C939*BW938</f>
        <v/>
      </c>
      <c r="BX939">
        <f>$C939*BX938</f>
        <v/>
      </c>
      <c r="BY939">
        <f>$C939*BY938</f>
        <v/>
      </c>
      <c r="BZ939">
        <f>$C939*BZ938</f>
        <v/>
      </c>
      <c r="CA939">
        <f>$C939*CA938</f>
        <v/>
      </c>
      <c r="CB939">
        <f>$C939*CB938</f>
        <v/>
      </c>
      <c r="CC939">
        <f>$C939*CC938</f>
        <v/>
      </c>
      <c r="CD939">
        <f>$C939*CD938</f>
        <v/>
      </c>
      <c r="CE939">
        <f>$C939*CE938</f>
        <v/>
      </c>
      <c r="CF939">
        <f>$C939*CF938</f>
        <v/>
      </c>
      <c r="CG939">
        <f>$C939*CG938</f>
        <v/>
      </c>
      <c r="CH939">
        <f>$C939*CH938</f>
        <v/>
      </c>
      <c r="CI939">
        <f>$C939*CI938</f>
        <v/>
      </c>
      <c r="CJ939">
        <f>$C939*CJ938</f>
        <v/>
      </c>
      <c r="CK939">
        <f>$C939*CK938</f>
        <v/>
      </c>
      <c r="CL939">
        <f>$C939*CL938</f>
        <v/>
      </c>
      <c r="CM939">
        <f>$C939*CM938</f>
        <v/>
      </c>
      <c r="CN939">
        <f>$C939*CN938</f>
        <v/>
      </c>
      <c r="CO939">
        <f>$C939*CO938</f>
        <v/>
      </c>
      <c r="CP939">
        <f>$C939*CP938</f>
        <v/>
      </c>
      <c r="CQ939">
        <f>$C939*CQ938</f>
        <v/>
      </c>
      <c r="CR939">
        <f>$C939*CR938</f>
        <v/>
      </c>
      <c r="CS939">
        <f>$C939*CS938</f>
        <v/>
      </c>
      <c r="CT939">
        <f>$C939*CT938</f>
        <v/>
      </c>
      <c r="CU939">
        <f>$C939*CU938</f>
        <v/>
      </c>
      <c r="CV939">
        <f>$C939*CV938</f>
        <v/>
      </c>
      <c r="CW939">
        <f>$C939*CW938</f>
        <v/>
      </c>
      <c r="CX939">
        <f>$C939*CX938</f>
        <v/>
      </c>
      <c r="CY939">
        <f>$C939*CY938</f>
        <v/>
      </c>
      <c r="CZ939">
        <f>$C939*CZ938</f>
        <v/>
      </c>
      <c r="DA939">
        <f>$C939*DA938</f>
        <v/>
      </c>
      <c r="DB939">
        <f>$C939*DB938</f>
        <v/>
      </c>
      <c r="DC939">
        <f>$C939*DC938</f>
        <v/>
      </c>
    </row>
    <row r="940">
      <c r="B940" t="inlineStr">
        <is>
          <t>TSP-1444</t>
        </is>
      </c>
      <c r="C940" t="inlineStr">
        <is>
          <t>No. of batches</t>
        </is>
      </c>
      <c r="D940">
        <f>IFERROR(INDEX(PP_Grid[#Data],$DD940,2),0)</f>
        <v/>
      </c>
      <c r="E940">
        <f>IFERROR(INDEX(PP_Grid[#Data],$DD940,3),0)</f>
        <v/>
      </c>
      <c r="F940">
        <f>IFERROR(INDEX(PP_Grid[#Data],$DD940,4),0)</f>
        <v/>
      </c>
      <c r="G940">
        <f>IFERROR(INDEX(PP_Grid[#Data],$DD940,5),0)</f>
        <v/>
      </c>
      <c r="H940">
        <f>IFERROR(INDEX(PP_Grid[#Data],$DD940,6),0)</f>
        <v/>
      </c>
      <c r="I940">
        <f>IFERROR(INDEX(PP_Grid[#Data],$DD940,7),0)</f>
        <v/>
      </c>
      <c r="J940">
        <f>IFERROR(INDEX(PP_Grid[#Data],$DD940,8),0)</f>
        <v/>
      </c>
      <c r="K940">
        <f>IFERROR(INDEX(PP_Grid[#Data],$DD940,9),0)</f>
        <v/>
      </c>
      <c r="L940">
        <f>IFERROR(INDEX(PP_Grid[#Data],$DD940,10),0)</f>
        <v/>
      </c>
      <c r="M940">
        <f>IFERROR(INDEX(PP_Grid[#Data],$DD940,11),0)</f>
        <v/>
      </c>
      <c r="N940">
        <f>IFERROR(INDEX(PP_Grid[#Data],$DD940,12),0)</f>
        <v/>
      </c>
      <c r="O940">
        <f>IFERROR(INDEX(PP_Grid[#Data],$DD940,13),0)</f>
        <v/>
      </c>
      <c r="P940">
        <f>IFERROR(INDEX(PP_Grid[#Data],$DD940,14),0)</f>
        <v/>
      </c>
      <c r="Q940">
        <f>IFERROR(INDEX(PP_Grid[#Data],$DD940,15),0)</f>
        <v/>
      </c>
      <c r="R940">
        <f>IFERROR(INDEX(PP_Grid[#Data],$DD940,16),0)</f>
        <v/>
      </c>
      <c r="S940">
        <f>IFERROR(INDEX(PP_Grid[#Data],$DD940,17),0)</f>
        <v/>
      </c>
      <c r="T940">
        <f>IFERROR(INDEX(PP_Grid[#Data],$DD940,18),0)</f>
        <v/>
      </c>
      <c r="U940">
        <f>IFERROR(INDEX(PP_Grid[#Data],$DD940,19),0)</f>
        <v/>
      </c>
      <c r="V940">
        <f>IFERROR(INDEX(PP_Grid[#Data],$DD940,20),0)</f>
        <v/>
      </c>
      <c r="W940">
        <f>IFERROR(INDEX(PP_Grid[#Data],$DD940,21),0)</f>
        <v/>
      </c>
      <c r="X940">
        <f>IFERROR(INDEX(PP_Grid[#Data],$DD940,22),0)</f>
        <v/>
      </c>
      <c r="Y940">
        <f>IFERROR(INDEX(PP_Grid[#Data],$DD940,23),0)</f>
        <v/>
      </c>
      <c r="Z940">
        <f>IFERROR(INDEX(PP_Grid[#Data],$DD940,24),0)</f>
        <v/>
      </c>
      <c r="AA940">
        <f>IFERROR(INDEX(PP_Grid[#Data],$DD940,25),0)</f>
        <v/>
      </c>
      <c r="AB940">
        <f>IFERROR(INDEX(PP_Grid[#Data],$DD940,26),0)</f>
        <v/>
      </c>
      <c r="AC940">
        <f>IFERROR(INDEX(PP_Grid[#Data],$DD940,27),0)</f>
        <v/>
      </c>
      <c r="AD940">
        <f>IFERROR(INDEX(PP_Grid[#Data],$DD940,28),0)</f>
        <v/>
      </c>
      <c r="AE940">
        <f>IFERROR(INDEX(PP_Grid[#Data],$DD940,29),0)</f>
        <v/>
      </c>
      <c r="AF940">
        <f>IFERROR(INDEX(PP_Grid[#Data],$DD940,30),0)</f>
        <v/>
      </c>
      <c r="AG940">
        <f>IFERROR(INDEX(PP_Grid[#Data],$DD940,31),0)</f>
        <v/>
      </c>
      <c r="AH940">
        <f>IFERROR(INDEX(PP_Grid[#Data],$DD940,32),0)</f>
        <v/>
      </c>
      <c r="AI940">
        <f>IFERROR(INDEX(PP_Grid[#Data],$DD940,33),0)</f>
        <v/>
      </c>
      <c r="AJ940">
        <f>IFERROR(INDEX(PP_Grid[#Data],$DD940,34),0)</f>
        <v/>
      </c>
      <c r="AK940">
        <f>IFERROR(INDEX(PP_Grid[#Data],$DD940,35),0)</f>
        <v/>
      </c>
      <c r="AL940">
        <f>IFERROR(INDEX(PP_Grid[#Data],$DD940,36),0)</f>
        <v/>
      </c>
      <c r="AM940">
        <f>IFERROR(INDEX(PP_Grid[#Data],$DD940,37),0)</f>
        <v/>
      </c>
      <c r="AN940">
        <f>IFERROR(INDEX(PP_Grid[#Data],$DD940,38),0)</f>
        <v/>
      </c>
      <c r="AO940">
        <f>IFERROR(INDEX(PP_Grid[#Data],$DD940,39),0)</f>
        <v/>
      </c>
      <c r="AP940">
        <f>IFERROR(INDEX(PP_Grid[#Data],$DD940,40),0)</f>
        <v/>
      </c>
      <c r="AQ940">
        <f>IFERROR(INDEX(PP_Grid[#Data],$DD940,41),0)</f>
        <v/>
      </c>
      <c r="AR940">
        <f>IFERROR(INDEX(PP_Grid[#Data],$DD940,42),0)</f>
        <v/>
      </c>
      <c r="AS940">
        <f>IFERROR(INDEX(PP_Grid[#Data],$DD940,43),0)</f>
        <v/>
      </c>
      <c r="AT940">
        <f>IFERROR(INDEX(PP_Grid[#Data],$DD940,44),0)</f>
        <v/>
      </c>
      <c r="AU940">
        <f>IFERROR(INDEX(PP_Grid[#Data],$DD940,45),0)</f>
        <v/>
      </c>
      <c r="AV940">
        <f>IFERROR(INDEX(PP_Grid[#Data],$DD940,46),0)</f>
        <v/>
      </c>
      <c r="AW940">
        <f>IFERROR(INDEX(PP_Grid[#Data],$DD940,47),0)</f>
        <v/>
      </c>
      <c r="AX940">
        <f>IFERROR(INDEX(PP_Grid[#Data],$DD940,48),0)</f>
        <v/>
      </c>
      <c r="AY940">
        <f>IFERROR(INDEX(PP_Grid[#Data],$DD940,49),0)</f>
        <v/>
      </c>
      <c r="AZ940">
        <f>IFERROR(INDEX(PP_Grid[#Data],$DD940,50),0)</f>
        <v/>
      </c>
      <c r="BA940">
        <f>IFERROR(INDEX(PP_Grid[#Data],$DD940,51),0)</f>
        <v/>
      </c>
      <c r="BB940">
        <f>IFERROR(INDEX(PP_Grid[#Data],$DD940,52),0)</f>
        <v/>
      </c>
      <c r="BC940">
        <f>IFERROR(INDEX(PP_Grid[#Data],$DD940,53),0)</f>
        <v/>
      </c>
      <c r="BD940">
        <f>IFERROR(INDEX(PP_Grid[#Data],$DD940,54),0)</f>
        <v/>
      </c>
      <c r="BE940">
        <f>IFERROR(INDEX(PP_Grid[#Data],$DD940,55),0)</f>
        <v/>
      </c>
      <c r="BF940">
        <f>IFERROR(INDEX(PP_Grid[#Data],$DD940,56),0)</f>
        <v/>
      </c>
      <c r="BG940">
        <f>IFERROR(INDEX(PP_Grid[#Data],$DD940,57),0)</f>
        <v/>
      </c>
      <c r="BH940">
        <f>IFERROR(INDEX(PP_Grid[#Data],$DD940,58),0)</f>
        <v/>
      </c>
      <c r="BI940">
        <f>IFERROR(INDEX(PP_Grid[#Data],$DD940,59),0)</f>
        <v/>
      </c>
      <c r="BJ940">
        <f>IFERROR(INDEX(PP_Grid[#Data],$DD940,60),0)</f>
        <v/>
      </c>
      <c r="BK940">
        <f>IFERROR(INDEX(PP_Grid[#Data],$DD940,61),0)</f>
        <v/>
      </c>
      <c r="BL940">
        <f>IFERROR(INDEX(PP_Grid[#Data],$DD940,62),0)</f>
        <v/>
      </c>
      <c r="BM940">
        <f>IFERROR(INDEX(PP_Grid[#Data],$DD940,63),0)</f>
        <v/>
      </c>
      <c r="BN940">
        <f>IFERROR(INDEX(PP_Grid[#Data],$DD940,64),0)</f>
        <v/>
      </c>
      <c r="BO940">
        <f>IFERROR(INDEX(PP_Grid[#Data],$DD940,65),0)</f>
        <v/>
      </c>
      <c r="BP940">
        <f>IFERROR(INDEX(PP_Grid[#Data],$DD940,66),0)</f>
        <v/>
      </c>
      <c r="BQ940">
        <f>IFERROR(INDEX(PP_Grid[#Data],$DD940,67),0)</f>
        <v/>
      </c>
      <c r="BR940">
        <f>IFERROR(INDEX(PP_Grid[#Data],$DD940,68),0)</f>
        <v/>
      </c>
      <c r="BS940">
        <f>IFERROR(INDEX(PP_Grid[#Data],$DD940,69),0)</f>
        <v/>
      </c>
      <c r="BT940">
        <f>IFERROR(INDEX(PP_Grid[#Data],$DD940,70),0)</f>
        <v/>
      </c>
      <c r="BU940">
        <f>IFERROR(INDEX(PP_Grid[#Data],$DD940,71),0)</f>
        <v/>
      </c>
      <c r="BV940">
        <f>IFERROR(INDEX(PP_Grid[#Data],$DD940,72),0)</f>
        <v/>
      </c>
      <c r="BW940">
        <f>IFERROR(INDEX(PP_Grid[#Data],$DD940,73),0)</f>
        <v/>
      </c>
      <c r="BX940">
        <f>IFERROR(INDEX(PP_Grid[#Data],$DD940,74),0)</f>
        <v/>
      </c>
      <c r="BY940">
        <f>IFERROR(INDEX(PP_Grid[#Data],$DD940,75),0)</f>
        <v/>
      </c>
      <c r="BZ940">
        <f>IFERROR(INDEX(PP_Grid[#Data],$DD940,76),0)</f>
        <v/>
      </c>
      <c r="CA940">
        <f>IFERROR(INDEX(PP_Grid[#Data],$DD940,77),0)</f>
        <v/>
      </c>
      <c r="CB940">
        <f>IFERROR(INDEX(PP_Grid[#Data],$DD940,78),0)</f>
        <v/>
      </c>
      <c r="CC940">
        <f>IFERROR(INDEX(PP_Grid[#Data],$DD940,79),0)</f>
        <v/>
      </c>
      <c r="CD940">
        <f>IFERROR(INDEX(PP_Grid[#Data],$DD940,80),0)</f>
        <v/>
      </c>
      <c r="CE940">
        <f>IFERROR(INDEX(PP_Grid[#Data],$DD940,81),0)</f>
        <v/>
      </c>
      <c r="CF940">
        <f>IFERROR(INDEX(PP_Grid[#Data],$DD940,82),0)</f>
        <v/>
      </c>
      <c r="CG940">
        <f>IFERROR(INDEX(PP_Grid[#Data],$DD940,83),0)</f>
        <v/>
      </c>
      <c r="CH940">
        <f>IFERROR(INDEX(PP_Grid[#Data],$DD940,84),0)</f>
        <v/>
      </c>
      <c r="CI940">
        <f>IFERROR(INDEX(PP_Grid[#Data],$DD940,85),0)</f>
        <v/>
      </c>
      <c r="CJ940">
        <f>IFERROR(INDEX(PP_Grid[#Data],$DD940,86),0)</f>
        <v/>
      </c>
      <c r="CK940">
        <f>IFERROR(INDEX(PP_Grid[#Data],$DD940,87),0)</f>
        <v/>
      </c>
      <c r="CL940">
        <f>IFERROR(INDEX(PP_Grid[#Data],$DD940,88),0)</f>
        <v/>
      </c>
      <c r="CM940">
        <f>IFERROR(INDEX(PP_Grid[#Data],$DD940,89),0)</f>
        <v/>
      </c>
      <c r="CN940">
        <f>IFERROR(INDEX(PP_Grid[#Data],$DD940,90),0)</f>
        <v/>
      </c>
      <c r="CO940">
        <f>IFERROR(INDEX(PP_Grid[#Data],$DD940,91),0)</f>
        <v/>
      </c>
      <c r="CP940">
        <f>IFERROR(INDEX(PP_Grid[#Data],$DD940,92),0)</f>
        <v/>
      </c>
      <c r="CQ940">
        <f>IFERROR(INDEX(PP_Grid[#Data],$DD940,93),0)</f>
        <v/>
      </c>
      <c r="CR940">
        <f>IFERROR(INDEX(PP_Grid[#Data],$DD940,94),0)</f>
        <v/>
      </c>
      <c r="CS940">
        <f>IFERROR(INDEX(PP_Grid[#Data],$DD940,95),0)</f>
        <v/>
      </c>
      <c r="CT940">
        <f>IFERROR(INDEX(PP_Grid[#Data],$DD940,96),0)</f>
        <v/>
      </c>
      <c r="CU940">
        <f>IFERROR(INDEX(PP_Grid[#Data],$DD940,97),0)</f>
        <v/>
      </c>
      <c r="CV940">
        <f>IFERROR(INDEX(PP_Grid[#Data],$DD940,98),0)</f>
        <v/>
      </c>
      <c r="CW940">
        <f>IFERROR(INDEX(PP_Grid[#Data],$DD940,99),0)</f>
        <v/>
      </c>
      <c r="CX940">
        <f>IFERROR(INDEX(PP_Grid[#Data],$DD940,100),0)</f>
        <v/>
      </c>
      <c r="CY940">
        <f>IFERROR(INDEX(PP_Grid[#Data],$DD940,101),0)</f>
        <v/>
      </c>
      <c r="CZ940">
        <f>IFERROR(INDEX(PP_Grid[#Data],$DD940,102),0)</f>
        <v/>
      </c>
      <c r="DA940">
        <f>IFERROR(INDEX(PP_Grid[#Data],$DD940,103),0)</f>
        <v/>
      </c>
      <c r="DB940">
        <f>IFERROR(INDEX(PP_Grid[#Data],$DD940,104),0)</f>
        <v/>
      </c>
      <c r="DC940">
        <f>IFERROR(INDEX(PP_Grid[#Data],$DD940,105),0)</f>
        <v/>
      </c>
      <c r="DD940" s="7">
        <f>IFERROR(MATCH($B940,PP_Grid[Intermediate],0),99999)</f>
        <v/>
      </c>
    </row>
    <row r="941">
      <c r="B941" t="inlineStr">
        <is>
          <t>使用量(kg)</t>
        </is>
      </c>
      <c r="C941">
        <f>SUMIFS(M_BOM[RM_Qty_Per_Batch],M_BOM[Intermediate],$B940,M_BOM[Part Name],$A923)</f>
        <v/>
      </c>
      <c r="D941">
        <f>$C941*D940</f>
        <v/>
      </c>
      <c r="E941">
        <f>$C941*E940</f>
        <v/>
      </c>
      <c r="F941">
        <f>$C941*F940</f>
        <v/>
      </c>
      <c r="G941">
        <f>$C941*G940</f>
        <v/>
      </c>
      <c r="H941">
        <f>$C941*H940</f>
        <v/>
      </c>
      <c r="I941">
        <f>$C941*I940</f>
        <v/>
      </c>
      <c r="J941">
        <f>$C941*J940</f>
        <v/>
      </c>
      <c r="K941">
        <f>$C941*K940</f>
        <v/>
      </c>
      <c r="L941">
        <f>$C941*L940</f>
        <v/>
      </c>
      <c r="M941">
        <f>$C941*M940</f>
        <v/>
      </c>
      <c r="N941">
        <f>$C941*N940</f>
        <v/>
      </c>
      <c r="O941">
        <f>$C941*O940</f>
        <v/>
      </c>
      <c r="P941">
        <f>$C941*P940</f>
        <v/>
      </c>
      <c r="Q941">
        <f>$C941*Q940</f>
        <v/>
      </c>
      <c r="R941">
        <f>$C941*R940</f>
        <v/>
      </c>
      <c r="S941">
        <f>$C941*S940</f>
        <v/>
      </c>
      <c r="T941">
        <f>$C941*T940</f>
        <v/>
      </c>
      <c r="U941">
        <f>$C941*U940</f>
        <v/>
      </c>
      <c r="V941">
        <f>$C941*V940</f>
        <v/>
      </c>
      <c r="W941">
        <f>$C941*W940</f>
        <v/>
      </c>
      <c r="X941">
        <f>$C941*X940</f>
        <v/>
      </c>
      <c r="Y941">
        <f>$C941*Y940</f>
        <v/>
      </c>
      <c r="Z941">
        <f>$C941*Z940</f>
        <v/>
      </c>
      <c r="AA941">
        <f>$C941*AA940</f>
        <v/>
      </c>
      <c r="AB941">
        <f>$C941*AB940</f>
        <v/>
      </c>
      <c r="AC941">
        <f>$C941*AC940</f>
        <v/>
      </c>
      <c r="AD941">
        <f>$C941*AD940</f>
        <v/>
      </c>
      <c r="AE941">
        <f>$C941*AE940</f>
        <v/>
      </c>
      <c r="AF941">
        <f>$C941*AF940</f>
        <v/>
      </c>
      <c r="AG941">
        <f>$C941*AG940</f>
        <v/>
      </c>
      <c r="AH941">
        <f>$C941*AH940</f>
        <v/>
      </c>
      <c r="AI941">
        <f>$C941*AI940</f>
        <v/>
      </c>
      <c r="AJ941">
        <f>$C941*AJ940</f>
        <v/>
      </c>
      <c r="AK941">
        <f>$C941*AK940</f>
        <v/>
      </c>
      <c r="AL941">
        <f>$C941*AL940</f>
        <v/>
      </c>
      <c r="AM941">
        <f>$C941*AM940</f>
        <v/>
      </c>
      <c r="AN941">
        <f>$C941*AN940</f>
        <v/>
      </c>
      <c r="AO941">
        <f>$C941*AO940</f>
        <v/>
      </c>
      <c r="AP941">
        <f>$C941*AP940</f>
        <v/>
      </c>
      <c r="AQ941">
        <f>$C941*AQ940</f>
        <v/>
      </c>
      <c r="AR941">
        <f>$C941*AR940</f>
        <v/>
      </c>
      <c r="AS941">
        <f>$C941*AS940</f>
        <v/>
      </c>
      <c r="AT941">
        <f>$C941*AT940</f>
        <v/>
      </c>
      <c r="AU941">
        <f>$C941*AU940</f>
        <v/>
      </c>
      <c r="AV941">
        <f>$C941*AV940</f>
        <v/>
      </c>
      <c r="AW941">
        <f>$C941*AW940</f>
        <v/>
      </c>
      <c r="AX941">
        <f>$C941*AX940</f>
        <v/>
      </c>
      <c r="AY941">
        <f>$C941*AY940</f>
        <v/>
      </c>
      <c r="AZ941">
        <f>$C941*AZ940</f>
        <v/>
      </c>
      <c r="BA941">
        <f>$C941*BA940</f>
        <v/>
      </c>
      <c r="BB941">
        <f>$C941*BB940</f>
        <v/>
      </c>
      <c r="BC941">
        <f>$C941*BC940</f>
        <v/>
      </c>
      <c r="BD941">
        <f>$C941*BD940</f>
        <v/>
      </c>
      <c r="BE941">
        <f>$C941*BE940</f>
        <v/>
      </c>
      <c r="BF941">
        <f>$C941*BF940</f>
        <v/>
      </c>
      <c r="BG941">
        <f>$C941*BG940</f>
        <v/>
      </c>
      <c r="BH941">
        <f>$C941*BH940</f>
        <v/>
      </c>
      <c r="BI941">
        <f>$C941*BI940</f>
        <v/>
      </c>
      <c r="BJ941">
        <f>$C941*BJ940</f>
        <v/>
      </c>
      <c r="BK941">
        <f>$C941*BK940</f>
        <v/>
      </c>
      <c r="BL941">
        <f>$C941*BL940</f>
        <v/>
      </c>
      <c r="BM941">
        <f>$C941*BM940</f>
        <v/>
      </c>
      <c r="BN941">
        <f>$C941*BN940</f>
        <v/>
      </c>
      <c r="BO941">
        <f>$C941*BO940</f>
        <v/>
      </c>
      <c r="BP941">
        <f>$C941*BP940</f>
        <v/>
      </c>
      <c r="BQ941">
        <f>$C941*BQ940</f>
        <v/>
      </c>
      <c r="BR941">
        <f>$C941*BR940</f>
        <v/>
      </c>
      <c r="BS941">
        <f>$C941*BS940</f>
        <v/>
      </c>
      <c r="BT941">
        <f>$C941*BT940</f>
        <v/>
      </c>
      <c r="BU941">
        <f>$C941*BU940</f>
        <v/>
      </c>
      <c r="BV941">
        <f>$C941*BV940</f>
        <v/>
      </c>
      <c r="BW941">
        <f>$C941*BW940</f>
        <v/>
      </c>
      <c r="BX941">
        <f>$C941*BX940</f>
        <v/>
      </c>
      <c r="BY941">
        <f>$C941*BY940</f>
        <v/>
      </c>
      <c r="BZ941">
        <f>$C941*BZ940</f>
        <v/>
      </c>
      <c r="CA941">
        <f>$C941*CA940</f>
        <v/>
      </c>
      <c r="CB941">
        <f>$C941*CB940</f>
        <v/>
      </c>
      <c r="CC941">
        <f>$C941*CC940</f>
        <v/>
      </c>
      <c r="CD941">
        <f>$C941*CD940</f>
        <v/>
      </c>
      <c r="CE941">
        <f>$C941*CE940</f>
        <v/>
      </c>
      <c r="CF941">
        <f>$C941*CF940</f>
        <v/>
      </c>
      <c r="CG941">
        <f>$C941*CG940</f>
        <v/>
      </c>
      <c r="CH941">
        <f>$C941*CH940</f>
        <v/>
      </c>
      <c r="CI941">
        <f>$C941*CI940</f>
        <v/>
      </c>
      <c r="CJ941">
        <f>$C941*CJ940</f>
        <v/>
      </c>
      <c r="CK941">
        <f>$C941*CK940</f>
        <v/>
      </c>
      <c r="CL941">
        <f>$C941*CL940</f>
        <v/>
      </c>
      <c r="CM941">
        <f>$C941*CM940</f>
        <v/>
      </c>
      <c r="CN941">
        <f>$C941*CN940</f>
        <v/>
      </c>
      <c r="CO941">
        <f>$C941*CO940</f>
        <v/>
      </c>
      <c r="CP941">
        <f>$C941*CP940</f>
        <v/>
      </c>
      <c r="CQ941">
        <f>$C941*CQ940</f>
        <v/>
      </c>
      <c r="CR941">
        <f>$C941*CR940</f>
        <v/>
      </c>
      <c r="CS941">
        <f>$C941*CS940</f>
        <v/>
      </c>
      <c r="CT941">
        <f>$C941*CT940</f>
        <v/>
      </c>
      <c r="CU941">
        <f>$C941*CU940</f>
        <v/>
      </c>
      <c r="CV941">
        <f>$C941*CV940</f>
        <v/>
      </c>
      <c r="CW941">
        <f>$C941*CW940</f>
        <v/>
      </c>
      <c r="CX941">
        <f>$C941*CX940</f>
        <v/>
      </c>
      <c r="CY941">
        <f>$C941*CY940</f>
        <v/>
      </c>
      <c r="CZ941">
        <f>$C941*CZ940</f>
        <v/>
      </c>
      <c r="DA941">
        <f>$C941*DA940</f>
        <v/>
      </c>
      <c r="DB941">
        <f>$C941*DB940</f>
        <v/>
      </c>
      <c r="DC941">
        <f>$C941*DC940</f>
        <v/>
      </c>
    </row>
    <row r="942">
      <c r="B942" t="inlineStr">
        <is>
          <t>TSP-1448</t>
        </is>
      </c>
      <c r="C942" t="inlineStr">
        <is>
          <t>No. of batches</t>
        </is>
      </c>
      <c r="D942">
        <f>IFERROR(INDEX(PP_Grid[#Data],$DD942,2),0)</f>
        <v/>
      </c>
      <c r="E942">
        <f>IFERROR(INDEX(PP_Grid[#Data],$DD942,3),0)</f>
        <v/>
      </c>
      <c r="F942">
        <f>IFERROR(INDEX(PP_Grid[#Data],$DD942,4),0)</f>
        <v/>
      </c>
      <c r="G942">
        <f>IFERROR(INDEX(PP_Grid[#Data],$DD942,5),0)</f>
        <v/>
      </c>
      <c r="H942">
        <f>IFERROR(INDEX(PP_Grid[#Data],$DD942,6),0)</f>
        <v/>
      </c>
      <c r="I942">
        <f>IFERROR(INDEX(PP_Grid[#Data],$DD942,7),0)</f>
        <v/>
      </c>
      <c r="J942">
        <f>IFERROR(INDEX(PP_Grid[#Data],$DD942,8),0)</f>
        <v/>
      </c>
      <c r="K942">
        <f>IFERROR(INDEX(PP_Grid[#Data],$DD942,9),0)</f>
        <v/>
      </c>
      <c r="L942">
        <f>IFERROR(INDEX(PP_Grid[#Data],$DD942,10),0)</f>
        <v/>
      </c>
      <c r="M942">
        <f>IFERROR(INDEX(PP_Grid[#Data],$DD942,11),0)</f>
        <v/>
      </c>
      <c r="N942">
        <f>IFERROR(INDEX(PP_Grid[#Data],$DD942,12),0)</f>
        <v/>
      </c>
      <c r="O942">
        <f>IFERROR(INDEX(PP_Grid[#Data],$DD942,13),0)</f>
        <v/>
      </c>
      <c r="P942">
        <f>IFERROR(INDEX(PP_Grid[#Data],$DD942,14),0)</f>
        <v/>
      </c>
      <c r="Q942">
        <f>IFERROR(INDEX(PP_Grid[#Data],$DD942,15),0)</f>
        <v/>
      </c>
      <c r="R942">
        <f>IFERROR(INDEX(PP_Grid[#Data],$DD942,16),0)</f>
        <v/>
      </c>
      <c r="S942">
        <f>IFERROR(INDEX(PP_Grid[#Data],$DD942,17),0)</f>
        <v/>
      </c>
      <c r="T942">
        <f>IFERROR(INDEX(PP_Grid[#Data],$DD942,18),0)</f>
        <v/>
      </c>
      <c r="U942">
        <f>IFERROR(INDEX(PP_Grid[#Data],$DD942,19),0)</f>
        <v/>
      </c>
      <c r="V942">
        <f>IFERROR(INDEX(PP_Grid[#Data],$DD942,20),0)</f>
        <v/>
      </c>
      <c r="W942">
        <f>IFERROR(INDEX(PP_Grid[#Data],$DD942,21),0)</f>
        <v/>
      </c>
      <c r="X942">
        <f>IFERROR(INDEX(PP_Grid[#Data],$DD942,22),0)</f>
        <v/>
      </c>
      <c r="Y942">
        <f>IFERROR(INDEX(PP_Grid[#Data],$DD942,23),0)</f>
        <v/>
      </c>
      <c r="Z942">
        <f>IFERROR(INDEX(PP_Grid[#Data],$DD942,24),0)</f>
        <v/>
      </c>
      <c r="AA942">
        <f>IFERROR(INDEX(PP_Grid[#Data],$DD942,25),0)</f>
        <v/>
      </c>
      <c r="AB942">
        <f>IFERROR(INDEX(PP_Grid[#Data],$DD942,26),0)</f>
        <v/>
      </c>
      <c r="AC942">
        <f>IFERROR(INDEX(PP_Grid[#Data],$DD942,27),0)</f>
        <v/>
      </c>
      <c r="AD942">
        <f>IFERROR(INDEX(PP_Grid[#Data],$DD942,28),0)</f>
        <v/>
      </c>
      <c r="AE942">
        <f>IFERROR(INDEX(PP_Grid[#Data],$DD942,29),0)</f>
        <v/>
      </c>
      <c r="AF942">
        <f>IFERROR(INDEX(PP_Grid[#Data],$DD942,30),0)</f>
        <v/>
      </c>
      <c r="AG942">
        <f>IFERROR(INDEX(PP_Grid[#Data],$DD942,31),0)</f>
        <v/>
      </c>
      <c r="AH942">
        <f>IFERROR(INDEX(PP_Grid[#Data],$DD942,32),0)</f>
        <v/>
      </c>
      <c r="AI942">
        <f>IFERROR(INDEX(PP_Grid[#Data],$DD942,33),0)</f>
        <v/>
      </c>
      <c r="AJ942">
        <f>IFERROR(INDEX(PP_Grid[#Data],$DD942,34),0)</f>
        <v/>
      </c>
      <c r="AK942">
        <f>IFERROR(INDEX(PP_Grid[#Data],$DD942,35),0)</f>
        <v/>
      </c>
      <c r="AL942">
        <f>IFERROR(INDEX(PP_Grid[#Data],$DD942,36),0)</f>
        <v/>
      </c>
      <c r="AM942">
        <f>IFERROR(INDEX(PP_Grid[#Data],$DD942,37),0)</f>
        <v/>
      </c>
      <c r="AN942">
        <f>IFERROR(INDEX(PP_Grid[#Data],$DD942,38),0)</f>
        <v/>
      </c>
      <c r="AO942">
        <f>IFERROR(INDEX(PP_Grid[#Data],$DD942,39),0)</f>
        <v/>
      </c>
      <c r="AP942">
        <f>IFERROR(INDEX(PP_Grid[#Data],$DD942,40),0)</f>
        <v/>
      </c>
      <c r="AQ942">
        <f>IFERROR(INDEX(PP_Grid[#Data],$DD942,41),0)</f>
        <v/>
      </c>
      <c r="AR942">
        <f>IFERROR(INDEX(PP_Grid[#Data],$DD942,42),0)</f>
        <v/>
      </c>
      <c r="AS942">
        <f>IFERROR(INDEX(PP_Grid[#Data],$DD942,43),0)</f>
        <v/>
      </c>
      <c r="AT942">
        <f>IFERROR(INDEX(PP_Grid[#Data],$DD942,44),0)</f>
        <v/>
      </c>
      <c r="AU942">
        <f>IFERROR(INDEX(PP_Grid[#Data],$DD942,45),0)</f>
        <v/>
      </c>
      <c r="AV942">
        <f>IFERROR(INDEX(PP_Grid[#Data],$DD942,46),0)</f>
        <v/>
      </c>
      <c r="AW942">
        <f>IFERROR(INDEX(PP_Grid[#Data],$DD942,47),0)</f>
        <v/>
      </c>
      <c r="AX942">
        <f>IFERROR(INDEX(PP_Grid[#Data],$DD942,48),0)</f>
        <v/>
      </c>
      <c r="AY942">
        <f>IFERROR(INDEX(PP_Grid[#Data],$DD942,49),0)</f>
        <v/>
      </c>
      <c r="AZ942">
        <f>IFERROR(INDEX(PP_Grid[#Data],$DD942,50),0)</f>
        <v/>
      </c>
      <c r="BA942">
        <f>IFERROR(INDEX(PP_Grid[#Data],$DD942,51),0)</f>
        <v/>
      </c>
      <c r="BB942">
        <f>IFERROR(INDEX(PP_Grid[#Data],$DD942,52),0)</f>
        <v/>
      </c>
      <c r="BC942">
        <f>IFERROR(INDEX(PP_Grid[#Data],$DD942,53),0)</f>
        <v/>
      </c>
      <c r="BD942">
        <f>IFERROR(INDEX(PP_Grid[#Data],$DD942,54),0)</f>
        <v/>
      </c>
      <c r="BE942">
        <f>IFERROR(INDEX(PP_Grid[#Data],$DD942,55),0)</f>
        <v/>
      </c>
      <c r="BF942">
        <f>IFERROR(INDEX(PP_Grid[#Data],$DD942,56),0)</f>
        <v/>
      </c>
      <c r="BG942">
        <f>IFERROR(INDEX(PP_Grid[#Data],$DD942,57),0)</f>
        <v/>
      </c>
      <c r="BH942">
        <f>IFERROR(INDEX(PP_Grid[#Data],$DD942,58),0)</f>
        <v/>
      </c>
      <c r="BI942">
        <f>IFERROR(INDEX(PP_Grid[#Data],$DD942,59),0)</f>
        <v/>
      </c>
      <c r="BJ942">
        <f>IFERROR(INDEX(PP_Grid[#Data],$DD942,60),0)</f>
        <v/>
      </c>
      <c r="BK942">
        <f>IFERROR(INDEX(PP_Grid[#Data],$DD942,61),0)</f>
        <v/>
      </c>
      <c r="BL942">
        <f>IFERROR(INDEX(PP_Grid[#Data],$DD942,62),0)</f>
        <v/>
      </c>
      <c r="BM942">
        <f>IFERROR(INDEX(PP_Grid[#Data],$DD942,63),0)</f>
        <v/>
      </c>
      <c r="BN942">
        <f>IFERROR(INDEX(PP_Grid[#Data],$DD942,64),0)</f>
        <v/>
      </c>
      <c r="BO942">
        <f>IFERROR(INDEX(PP_Grid[#Data],$DD942,65),0)</f>
        <v/>
      </c>
      <c r="BP942">
        <f>IFERROR(INDEX(PP_Grid[#Data],$DD942,66),0)</f>
        <v/>
      </c>
      <c r="BQ942">
        <f>IFERROR(INDEX(PP_Grid[#Data],$DD942,67),0)</f>
        <v/>
      </c>
      <c r="BR942">
        <f>IFERROR(INDEX(PP_Grid[#Data],$DD942,68),0)</f>
        <v/>
      </c>
      <c r="BS942">
        <f>IFERROR(INDEX(PP_Grid[#Data],$DD942,69),0)</f>
        <v/>
      </c>
      <c r="BT942">
        <f>IFERROR(INDEX(PP_Grid[#Data],$DD942,70),0)</f>
        <v/>
      </c>
      <c r="BU942">
        <f>IFERROR(INDEX(PP_Grid[#Data],$DD942,71),0)</f>
        <v/>
      </c>
      <c r="BV942">
        <f>IFERROR(INDEX(PP_Grid[#Data],$DD942,72),0)</f>
        <v/>
      </c>
      <c r="BW942">
        <f>IFERROR(INDEX(PP_Grid[#Data],$DD942,73),0)</f>
        <v/>
      </c>
      <c r="BX942">
        <f>IFERROR(INDEX(PP_Grid[#Data],$DD942,74),0)</f>
        <v/>
      </c>
      <c r="BY942">
        <f>IFERROR(INDEX(PP_Grid[#Data],$DD942,75),0)</f>
        <v/>
      </c>
      <c r="BZ942">
        <f>IFERROR(INDEX(PP_Grid[#Data],$DD942,76),0)</f>
        <v/>
      </c>
      <c r="CA942">
        <f>IFERROR(INDEX(PP_Grid[#Data],$DD942,77),0)</f>
        <v/>
      </c>
      <c r="CB942">
        <f>IFERROR(INDEX(PP_Grid[#Data],$DD942,78),0)</f>
        <v/>
      </c>
      <c r="CC942">
        <f>IFERROR(INDEX(PP_Grid[#Data],$DD942,79),0)</f>
        <v/>
      </c>
      <c r="CD942">
        <f>IFERROR(INDEX(PP_Grid[#Data],$DD942,80),0)</f>
        <v/>
      </c>
      <c r="CE942">
        <f>IFERROR(INDEX(PP_Grid[#Data],$DD942,81),0)</f>
        <v/>
      </c>
      <c r="CF942">
        <f>IFERROR(INDEX(PP_Grid[#Data],$DD942,82),0)</f>
        <v/>
      </c>
      <c r="CG942">
        <f>IFERROR(INDEX(PP_Grid[#Data],$DD942,83),0)</f>
        <v/>
      </c>
      <c r="CH942">
        <f>IFERROR(INDEX(PP_Grid[#Data],$DD942,84),0)</f>
        <v/>
      </c>
      <c r="CI942">
        <f>IFERROR(INDEX(PP_Grid[#Data],$DD942,85),0)</f>
        <v/>
      </c>
      <c r="CJ942">
        <f>IFERROR(INDEX(PP_Grid[#Data],$DD942,86),0)</f>
        <v/>
      </c>
      <c r="CK942">
        <f>IFERROR(INDEX(PP_Grid[#Data],$DD942,87),0)</f>
        <v/>
      </c>
      <c r="CL942">
        <f>IFERROR(INDEX(PP_Grid[#Data],$DD942,88),0)</f>
        <v/>
      </c>
      <c r="CM942">
        <f>IFERROR(INDEX(PP_Grid[#Data],$DD942,89),0)</f>
        <v/>
      </c>
      <c r="CN942">
        <f>IFERROR(INDEX(PP_Grid[#Data],$DD942,90),0)</f>
        <v/>
      </c>
      <c r="CO942">
        <f>IFERROR(INDEX(PP_Grid[#Data],$DD942,91),0)</f>
        <v/>
      </c>
      <c r="CP942">
        <f>IFERROR(INDEX(PP_Grid[#Data],$DD942,92),0)</f>
        <v/>
      </c>
      <c r="CQ942">
        <f>IFERROR(INDEX(PP_Grid[#Data],$DD942,93),0)</f>
        <v/>
      </c>
      <c r="CR942">
        <f>IFERROR(INDEX(PP_Grid[#Data],$DD942,94),0)</f>
        <v/>
      </c>
      <c r="CS942">
        <f>IFERROR(INDEX(PP_Grid[#Data],$DD942,95),0)</f>
        <v/>
      </c>
      <c r="CT942">
        <f>IFERROR(INDEX(PP_Grid[#Data],$DD942,96),0)</f>
        <v/>
      </c>
      <c r="CU942">
        <f>IFERROR(INDEX(PP_Grid[#Data],$DD942,97),0)</f>
        <v/>
      </c>
      <c r="CV942">
        <f>IFERROR(INDEX(PP_Grid[#Data],$DD942,98),0)</f>
        <v/>
      </c>
      <c r="CW942">
        <f>IFERROR(INDEX(PP_Grid[#Data],$DD942,99),0)</f>
        <v/>
      </c>
      <c r="CX942">
        <f>IFERROR(INDEX(PP_Grid[#Data],$DD942,100),0)</f>
        <v/>
      </c>
      <c r="CY942">
        <f>IFERROR(INDEX(PP_Grid[#Data],$DD942,101),0)</f>
        <v/>
      </c>
      <c r="CZ942">
        <f>IFERROR(INDEX(PP_Grid[#Data],$DD942,102),0)</f>
        <v/>
      </c>
      <c r="DA942">
        <f>IFERROR(INDEX(PP_Grid[#Data],$DD942,103),0)</f>
        <v/>
      </c>
      <c r="DB942">
        <f>IFERROR(INDEX(PP_Grid[#Data],$DD942,104),0)</f>
        <v/>
      </c>
      <c r="DC942">
        <f>IFERROR(INDEX(PP_Grid[#Data],$DD942,105),0)</f>
        <v/>
      </c>
      <c r="DD942" s="7">
        <f>IFERROR(MATCH($B942,PP_Grid[Intermediate],0),99999)</f>
        <v/>
      </c>
    </row>
    <row r="943">
      <c r="B943" t="inlineStr">
        <is>
          <t>使用量(kg)</t>
        </is>
      </c>
      <c r="C943">
        <f>SUMIFS(M_BOM[RM_Qty_Per_Batch],M_BOM[Intermediate],$B942,M_BOM[Part Name],$A923)</f>
        <v/>
      </c>
      <c r="D943">
        <f>$C943*D942</f>
        <v/>
      </c>
      <c r="E943">
        <f>$C943*E942</f>
        <v/>
      </c>
      <c r="F943">
        <f>$C943*F942</f>
        <v/>
      </c>
      <c r="G943">
        <f>$C943*G942</f>
        <v/>
      </c>
      <c r="H943">
        <f>$C943*H942</f>
        <v/>
      </c>
      <c r="I943">
        <f>$C943*I942</f>
        <v/>
      </c>
      <c r="J943">
        <f>$C943*J942</f>
        <v/>
      </c>
      <c r="K943">
        <f>$C943*K942</f>
        <v/>
      </c>
      <c r="L943">
        <f>$C943*L942</f>
        <v/>
      </c>
      <c r="M943">
        <f>$C943*M942</f>
        <v/>
      </c>
      <c r="N943">
        <f>$C943*N942</f>
        <v/>
      </c>
      <c r="O943">
        <f>$C943*O942</f>
        <v/>
      </c>
      <c r="P943">
        <f>$C943*P942</f>
        <v/>
      </c>
      <c r="Q943">
        <f>$C943*Q942</f>
        <v/>
      </c>
      <c r="R943">
        <f>$C943*R942</f>
        <v/>
      </c>
      <c r="S943">
        <f>$C943*S942</f>
        <v/>
      </c>
      <c r="T943">
        <f>$C943*T942</f>
        <v/>
      </c>
      <c r="U943">
        <f>$C943*U942</f>
        <v/>
      </c>
      <c r="V943">
        <f>$C943*V942</f>
        <v/>
      </c>
      <c r="W943">
        <f>$C943*W942</f>
        <v/>
      </c>
      <c r="X943">
        <f>$C943*X942</f>
        <v/>
      </c>
      <c r="Y943">
        <f>$C943*Y942</f>
        <v/>
      </c>
      <c r="Z943">
        <f>$C943*Z942</f>
        <v/>
      </c>
      <c r="AA943">
        <f>$C943*AA942</f>
        <v/>
      </c>
      <c r="AB943">
        <f>$C943*AB942</f>
        <v/>
      </c>
      <c r="AC943">
        <f>$C943*AC942</f>
        <v/>
      </c>
      <c r="AD943">
        <f>$C943*AD942</f>
        <v/>
      </c>
      <c r="AE943">
        <f>$C943*AE942</f>
        <v/>
      </c>
      <c r="AF943">
        <f>$C943*AF942</f>
        <v/>
      </c>
      <c r="AG943">
        <f>$C943*AG942</f>
        <v/>
      </c>
      <c r="AH943">
        <f>$C943*AH942</f>
        <v/>
      </c>
      <c r="AI943">
        <f>$C943*AI942</f>
        <v/>
      </c>
      <c r="AJ943">
        <f>$C943*AJ942</f>
        <v/>
      </c>
      <c r="AK943">
        <f>$C943*AK942</f>
        <v/>
      </c>
      <c r="AL943">
        <f>$C943*AL942</f>
        <v/>
      </c>
      <c r="AM943">
        <f>$C943*AM942</f>
        <v/>
      </c>
      <c r="AN943">
        <f>$C943*AN942</f>
        <v/>
      </c>
      <c r="AO943">
        <f>$C943*AO942</f>
        <v/>
      </c>
      <c r="AP943">
        <f>$C943*AP942</f>
        <v/>
      </c>
      <c r="AQ943">
        <f>$C943*AQ942</f>
        <v/>
      </c>
      <c r="AR943">
        <f>$C943*AR942</f>
        <v/>
      </c>
      <c r="AS943">
        <f>$C943*AS942</f>
        <v/>
      </c>
      <c r="AT943">
        <f>$C943*AT942</f>
        <v/>
      </c>
      <c r="AU943">
        <f>$C943*AU942</f>
        <v/>
      </c>
      <c r="AV943">
        <f>$C943*AV942</f>
        <v/>
      </c>
      <c r="AW943">
        <f>$C943*AW942</f>
        <v/>
      </c>
      <c r="AX943">
        <f>$C943*AX942</f>
        <v/>
      </c>
      <c r="AY943">
        <f>$C943*AY942</f>
        <v/>
      </c>
      <c r="AZ943">
        <f>$C943*AZ942</f>
        <v/>
      </c>
      <c r="BA943">
        <f>$C943*BA942</f>
        <v/>
      </c>
      <c r="BB943">
        <f>$C943*BB942</f>
        <v/>
      </c>
      <c r="BC943">
        <f>$C943*BC942</f>
        <v/>
      </c>
      <c r="BD943">
        <f>$C943*BD942</f>
        <v/>
      </c>
      <c r="BE943">
        <f>$C943*BE942</f>
        <v/>
      </c>
      <c r="BF943">
        <f>$C943*BF942</f>
        <v/>
      </c>
      <c r="BG943">
        <f>$C943*BG942</f>
        <v/>
      </c>
      <c r="BH943">
        <f>$C943*BH942</f>
        <v/>
      </c>
      <c r="BI943">
        <f>$C943*BI942</f>
        <v/>
      </c>
      <c r="BJ943">
        <f>$C943*BJ942</f>
        <v/>
      </c>
      <c r="BK943">
        <f>$C943*BK942</f>
        <v/>
      </c>
      <c r="BL943">
        <f>$C943*BL942</f>
        <v/>
      </c>
      <c r="BM943">
        <f>$C943*BM942</f>
        <v/>
      </c>
      <c r="BN943">
        <f>$C943*BN942</f>
        <v/>
      </c>
      <c r="BO943">
        <f>$C943*BO942</f>
        <v/>
      </c>
      <c r="BP943">
        <f>$C943*BP942</f>
        <v/>
      </c>
      <c r="BQ943">
        <f>$C943*BQ942</f>
        <v/>
      </c>
      <c r="BR943">
        <f>$C943*BR942</f>
        <v/>
      </c>
      <c r="BS943">
        <f>$C943*BS942</f>
        <v/>
      </c>
      <c r="BT943">
        <f>$C943*BT942</f>
        <v/>
      </c>
      <c r="BU943">
        <f>$C943*BU942</f>
        <v/>
      </c>
      <c r="BV943">
        <f>$C943*BV942</f>
        <v/>
      </c>
      <c r="BW943">
        <f>$C943*BW942</f>
        <v/>
      </c>
      <c r="BX943">
        <f>$C943*BX942</f>
        <v/>
      </c>
      <c r="BY943">
        <f>$C943*BY942</f>
        <v/>
      </c>
      <c r="BZ943">
        <f>$C943*BZ942</f>
        <v/>
      </c>
      <c r="CA943">
        <f>$C943*CA942</f>
        <v/>
      </c>
      <c r="CB943">
        <f>$C943*CB942</f>
        <v/>
      </c>
      <c r="CC943">
        <f>$C943*CC942</f>
        <v/>
      </c>
      <c r="CD943">
        <f>$C943*CD942</f>
        <v/>
      </c>
      <c r="CE943">
        <f>$C943*CE942</f>
        <v/>
      </c>
      <c r="CF943">
        <f>$C943*CF942</f>
        <v/>
      </c>
      <c r="CG943">
        <f>$C943*CG942</f>
        <v/>
      </c>
      <c r="CH943">
        <f>$C943*CH942</f>
        <v/>
      </c>
      <c r="CI943">
        <f>$C943*CI942</f>
        <v/>
      </c>
      <c r="CJ943">
        <f>$C943*CJ942</f>
        <v/>
      </c>
      <c r="CK943">
        <f>$C943*CK942</f>
        <v/>
      </c>
      <c r="CL943">
        <f>$C943*CL942</f>
        <v/>
      </c>
      <c r="CM943">
        <f>$C943*CM942</f>
        <v/>
      </c>
      <c r="CN943">
        <f>$C943*CN942</f>
        <v/>
      </c>
      <c r="CO943">
        <f>$C943*CO942</f>
        <v/>
      </c>
      <c r="CP943">
        <f>$C943*CP942</f>
        <v/>
      </c>
      <c r="CQ943">
        <f>$C943*CQ942</f>
        <v/>
      </c>
      <c r="CR943">
        <f>$C943*CR942</f>
        <v/>
      </c>
      <c r="CS943">
        <f>$C943*CS942</f>
        <v/>
      </c>
      <c r="CT943">
        <f>$C943*CT942</f>
        <v/>
      </c>
      <c r="CU943">
        <f>$C943*CU942</f>
        <v/>
      </c>
      <c r="CV943">
        <f>$C943*CV942</f>
        <v/>
      </c>
      <c r="CW943">
        <f>$C943*CW942</f>
        <v/>
      </c>
      <c r="CX943">
        <f>$C943*CX942</f>
        <v/>
      </c>
      <c r="CY943">
        <f>$C943*CY942</f>
        <v/>
      </c>
      <c r="CZ943">
        <f>$C943*CZ942</f>
        <v/>
      </c>
      <c r="DA943">
        <f>$C943*DA942</f>
        <v/>
      </c>
      <c r="DB943">
        <f>$C943*DB942</f>
        <v/>
      </c>
      <c r="DC943">
        <f>$C943*DC942</f>
        <v/>
      </c>
    </row>
    <row r="944">
      <c r="B944" t="inlineStr">
        <is>
          <t>TSP-1445</t>
        </is>
      </c>
      <c r="C944" t="inlineStr">
        <is>
          <t>No. of batches</t>
        </is>
      </c>
      <c r="D944">
        <f>IFERROR(INDEX(PP_Grid[#Data],$DD944,2),0)</f>
        <v/>
      </c>
      <c r="E944">
        <f>IFERROR(INDEX(PP_Grid[#Data],$DD944,3),0)</f>
        <v/>
      </c>
      <c r="F944">
        <f>IFERROR(INDEX(PP_Grid[#Data],$DD944,4),0)</f>
        <v/>
      </c>
      <c r="G944">
        <f>IFERROR(INDEX(PP_Grid[#Data],$DD944,5),0)</f>
        <v/>
      </c>
      <c r="H944">
        <f>IFERROR(INDEX(PP_Grid[#Data],$DD944,6),0)</f>
        <v/>
      </c>
      <c r="I944">
        <f>IFERROR(INDEX(PP_Grid[#Data],$DD944,7),0)</f>
        <v/>
      </c>
      <c r="J944">
        <f>IFERROR(INDEX(PP_Grid[#Data],$DD944,8),0)</f>
        <v/>
      </c>
      <c r="K944">
        <f>IFERROR(INDEX(PP_Grid[#Data],$DD944,9),0)</f>
        <v/>
      </c>
      <c r="L944">
        <f>IFERROR(INDEX(PP_Grid[#Data],$DD944,10),0)</f>
        <v/>
      </c>
      <c r="M944">
        <f>IFERROR(INDEX(PP_Grid[#Data],$DD944,11),0)</f>
        <v/>
      </c>
      <c r="N944">
        <f>IFERROR(INDEX(PP_Grid[#Data],$DD944,12),0)</f>
        <v/>
      </c>
      <c r="O944">
        <f>IFERROR(INDEX(PP_Grid[#Data],$DD944,13),0)</f>
        <v/>
      </c>
      <c r="P944">
        <f>IFERROR(INDEX(PP_Grid[#Data],$DD944,14),0)</f>
        <v/>
      </c>
      <c r="Q944">
        <f>IFERROR(INDEX(PP_Grid[#Data],$DD944,15),0)</f>
        <v/>
      </c>
      <c r="R944">
        <f>IFERROR(INDEX(PP_Grid[#Data],$DD944,16),0)</f>
        <v/>
      </c>
      <c r="S944">
        <f>IFERROR(INDEX(PP_Grid[#Data],$DD944,17),0)</f>
        <v/>
      </c>
      <c r="T944">
        <f>IFERROR(INDEX(PP_Grid[#Data],$DD944,18),0)</f>
        <v/>
      </c>
      <c r="U944">
        <f>IFERROR(INDEX(PP_Grid[#Data],$DD944,19),0)</f>
        <v/>
      </c>
      <c r="V944">
        <f>IFERROR(INDEX(PP_Grid[#Data],$DD944,20),0)</f>
        <v/>
      </c>
      <c r="W944">
        <f>IFERROR(INDEX(PP_Grid[#Data],$DD944,21),0)</f>
        <v/>
      </c>
      <c r="X944">
        <f>IFERROR(INDEX(PP_Grid[#Data],$DD944,22),0)</f>
        <v/>
      </c>
      <c r="Y944">
        <f>IFERROR(INDEX(PP_Grid[#Data],$DD944,23),0)</f>
        <v/>
      </c>
      <c r="Z944">
        <f>IFERROR(INDEX(PP_Grid[#Data],$DD944,24),0)</f>
        <v/>
      </c>
      <c r="AA944">
        <f>IFERROR(INDEX(PP_Grid[#Data],$DD944,25),0)</f>
        <v/>
      </c>
      <c r="AB944">
        <f>IFERROR(INDEX(PP_Grid[#Data],$DD944,26),0)</f>
        <v/>
      </c>
      <c r="AC944">
        <f>IFERROR(INDEX(PP_Grid[#Data],$DD944,27),0)</f>
        <v/>
      </c>
      <c r="AD944">
        <f>IFERROR(INDEX(PP_Grid[#Data],$DD944,28),0)</f>
        <v/>
      </c>
      <c r="AE944">
        <f>IFERROR(INDEX(PP_Grid[#Data],$DD944,29),0)</f>
        <v/>
      </c>
      <c r="AF944">
        <f>IFERROR(INDEX(PP_Grid[#Data],$DD944,30),0)</f>
        <v/>
      </c>
      <c r="AG944">
        <f>IFERROR(INDEX(PP_Grid[#Data],$DD944,31),0)</f>
        <v/>
      </c>
      <c r="AH944">
        <f>IFERROR(INDEX(PP_Grid[#Data],$DD944,32),0)</f>
        <v/>
      </c>
      <c r="AI944">
        <f>IFERROR(INDEX(PP_Grid[#Data],$DD944,33),0)</f>
        <v/>
      </c>
      <c r="AJ944">
        <f>IFERROR(INDEX(PP_Grid[#Data],$DD944,34),0)</f>
        <v/>
      </c>
      <c r="AK944">
        <f>IFERROR(INDEX(PP_Grid[#Data],$DD944,35),0)</f>
        <v/>
      </c>
      <c r="AL944">
        <f>IFERROR(INDEX(PP_Grid[#Data],$DD944,36),0)</f>
        <v/>
      </c>
      <c r="AM944">
        <f>IFERROR(INDEX(PP_Grid[#Data],$DD944,37),0)</f>
        <v/>
      </c>
      <c r="AN944">
        <f>IFERROR(INDEX(PP_Grid[#Data],$DD944,38),0)</f>
        <v/>
      </c>
      <c r="AO944">
        <f>IFERROR(INDEX(PP_Grid[#Data],$DD944,39),0)</f>
        <v/>
      </c>
      <c r="AP944">
        <f>IFERROR(INDEX(PP_Grid[#Data],$DD944,40),0)</f>
        <v/>
      </c>
      <c r="AQ944">
        <f>IFERROR(INDEX(PP_Grid[#Data],$DD944,41),0)</f>
        <v/>
      </c>
      <c r="AR944">
        <f>IFERROR(INDEX(PP_Grid[#Data],$DD944,42),0)</f>
        <v/>
      </c>
      <c r="AS944">
        <f>IFERROR(INDEX(PP_Grid[#Data],$DD944,43),0)</f>
        <v/>
      </c>
      <c r="AT944">
        <f>IFERROR(INDEX(PP_Grid[#Data],$DD944,44),0)</f>
        <v/>
      </c>
      <c r="AU944">
        <f>IFERROR(INDEX(PP_Grid[#Data],$DD944,45),0)</f>
        <v/>
      </c>
      <c r="AV944">
        <f>IFERROR(INDEX(PP_Grid[#Data],$DD944,46),0)</f>
        <v/>
      </c>
      <c r="AW944">
        <f>IFERROR(INDEX(PP_Grid[#Data],$DD944,47),0)</f>
        <v/>
      </c>
      <c r="AX944">
        <f>IFERROR(INDEX(PP_Grid[#Data],$DD944,48),0)</f>
        <v/>
      </c>
      <c r="AY944">
        <f>IFERROR(INDEX(PP_Grid[#Data],$DD944,49),0)</f>
        <v/>
      </c>
      <c r="AZ944">
        <f>IFERROR(INDEX(PP_Grid[#Data],$DD944,50),0)</f>
        <v/>
      </c>
      <c r="BA944">
        <f>IFERROR(INDEX(PP_Grid[#Data],$DD944,51),0)</f>
        <v/>
      </c>
      <c r="BB944">
        <f>IFERROR(INDEX(PP_Grid[#Data],$DD944,52),0)</f>
        <v/>
      </c>
      <c r="BC944">
        <f>IFERROR(INDEX(PP_Grid[#Data],$DD944,53),0)</f>
        <v/>
      </c>
      <c r="BD944">
        <f>IFERROR(INDEX(PP_Grid[#Data],$DD944,54),0)</f>
        <v/>
      </c>
      <c r="BE944">
        <f>IFERROR(INDEX(PP_Grid[#Data],$DD944,55),0)</f>
        <v/>
      </c>
      <c r="BF944">
        <f>IFERROR(INDEX(PP_Grid[#Data],$DD944,56),0)</f>
        <v/>
      </c>
      <c r="BG944">
        <f>IFERROR(INDEX(PP_Grid[#Data],$DD944,57),0)</f>
        <v/>
      </c>
      <c r="BH944">
        <f>IFERROR(INDEX(PP_Grid[#Data],$DD944,58),0)</f>
        <v/>
      </c>
      <c r="BI944">
        <f>IFERROR(INDEX(PP_Grid[#Data],$DD944,59),0)</f>
        <v/>
      </c>
      <c r="BJ944">
        <f>IFERROR(INDEX(PP_Grid[#Data],$DD944,60),0)</f>
        <v/>
      </c>
      <c r="BK944">
        <f>IFERROR(INDEX(PP_Grid[#Data],$DD944,61),0)</f>
        <v/>
      </c>
      <c r="BL944">
        <f>IFERROR(INDEX(PP_Grid[#Data],$DD944,62),0)</f>
        <v/>
      </c>
      <c r="BM944">
        <f>IFERROR(INDEX(PP_Grid[#Data],$DD944,63),0)</f>
        <v/>
      </c>
      <c r="BN944">
        <f>IFERROR(INDEX(PP_Grid[#Data],$DD944,64),0)</f>
        <v/>
      </c>
      <c r="BO944">
        <f>IFERROR(INDEX(PP_Grid[#Data],$DD944,65),0)</f>
        <v/>
      </c>
      <c r="BP944">
        <f>IFERROR(INDEX(PP_Grid[#Data],$DD944,66),0)</f>
        <v/>
      </c>
      <c r="BQ944">
        <f>IFERROR(INDEX(PP_Grid[#Data],$DD944,67),0)</f>
        <v/>
      </c>
      <c r="BR944">
        <f>IFERROR(INDEX(PP_Grid[#Data],$DD944,68),0)</f>
        <v/>
      </c>
      <c r="BS944">
        <f>IFERROR(INDEX(PP_Grid[#Data],$DD944,69),0)</f>
        <v/>
      </c>
      <c r="BT944">
        <f>IFERROR(INDEX(PP_Grid[#Data],$DD944,70),0)</f>
        <v/>
      </c>
      <c r="BU944">
        <f>IFERROR(INDEX(PP_Grid[#Data],$DD944,71),0)</f>
        <v/>
      </c>
      <c r="BV944">
        <f>IFERROR(INDEX(PP_Grid[#Data],$DD944,72),0)</f>
        <v/>
      </c>
      <c r="BW944">
        <f>IFERROR(INDEX(PP_Grid[#Data],$DD944,73),0)</f>
        <v/>
      </c>
      <c r="BX944">
        <f>IFERROR(INDEX(PP_Grid[#Data],$DD944,74),0)</f>
        <v/>
      </c>
      <c r="BY944">
        <f>IFERROR(INDEX(PP_Grid[#Data],$DD944,75),0)</f>
        <v/>
      </c>
      <c r="BZ944">
        <f>IFERROR(INDEX(PP_Grid[#Data],$DD944,76),0)</f>
        <v/>
      </c>
      <c r="CA944">
        <f>IFERROR(INDEX(PP_Grid[#Data],$DD944,77),0)</f>
        <v/>
      </c>
      <c r="CB944">
        <f>IFERROR(INDEX(PP_Grid[#Data],$DD944,78),0)</f>
        <v/>
      </c>
      <c r="CC944">
        <f>IFERROR(INDEX(PP_Grid[#Data],$DD944,79),0)</f>
        <v/>
      </c>
      <c r="CD944">
        <f>IFERROR(INDEX(PP_Grid[#Data],$DD944,80),0)</f>
        <v/>
      </c>
      <c r="CE944">
        <f>IFERROR(INDEX(PP_Grid[#Data],$DD944,81),0)</f>
        <v/>
      </c>
      <c r="CF944">
        <f>IFERROR(INDEX(PP_Grid[#Data],$DD944,82),0)</f>
        <v/>
      </c>
      <c r="CG944">
        <f>IFERROR(INDEX(PP_Grid[#Data],$DD944,83),0)</f>
        <v/>
      </c>
      <c r="CH944">
        <f>IFERROR(INDEX(PP_Grid[#Data],$DD944,84),0)</f>
        <v/>
      </c>
      <c r="CI944">
        <f>IFERROR(INDEX(PP_Grid[#Data],$DD944,85),0)</f>
        <v/>
      </c>
      <c r="CJ944">
        <f>IFERROR(INDEX(PP_Grid[#Data],$DD944,86),0)</f>
        <v/>
      </c>
      <c r="CK944">
        <f>IFERROR(INDEX(PP_Grid[#Data],$DD944,87),0)</f>
        <v/>
      </c>
      <c r="CL944">
        <f>IFERROR(INDEX(PP_Grid[#Data],$DD944,88),0)</f>
        <v/>
      </c>
      <c r="CM944">
        <f>IFERROR(INDEX(PP_Grid[#Data],$DD944,89),0)</f>
        <v/>
      </c>
      <c r="CN944">
        <f>IFERROR(INDEX(PP_Grid[#Data],$DD944,90),0)</f>
        <v/>
      </c>
      <c r="CO944">
        <f>IFERROR(INDEX(PP_Grid[#Data],$DD944,91),0)</f>
        <v/>
      </c>
      <c r="CP944">
        <f>IFERROR(INDEX(PP_Grid[#Data],$DD944,92),0)</f>
        <v/>
      </c>
      <c r="CQ944">
        <f>IFERROR(INDEX(PP_Grid[#Data],$DD944,93),0)</f>
        <v/>
      </c>
      <c r="CR944">
        <f>IFERROR(INDEX(PP_Grid[#Data],$DD944,94),0)</f>
        <v/>
      </c>
      <c r="CS944">
        <f>IFERROR(INDEX(PP_Grid[#Data],$DD944,95),0)</f>
        <v/>
      </c>
      <c r="CT944">
        <f>IFERROR(INDEX(PP_Grid[#Data],$DD944,96),0)</f>
        <v/>
      </c>
      <c r="CU944">
        <f>IFERROR(INDEX(PP_Grid[#Data],$DD944,97),0)</f>
        <v/>
      </c>
      <c r="CV944">
        <f>IFERROR(INDEX(PP_Grid[#Data],$DD944,98),0)</f>
        <v/>
      </c>
      <c r="CW944">
        <f>IFERROR(INDEX(PP_Grid[#Data],$DD944,99),0)</f>
        <v/>
      </c>
      <c r="CX944">
        <f>IFERROR(INDEX(PP_Grid[#Data],$DD944,100),0)</f>
        <v/>
      </c>
      <c r="CY944">
        <f>IFERROR(INDEX(PP_Grid[#Data],$DD944,101),0)</f>
        <v/>
      </c>
      <c r="CZ944">
        <f>IFERROR(INDEX(PP_Grid[#Data],$DD944,102),0)</f>
        <v/>
      </c>
      <c r="DA944">
        <f>IFERROR(INDEX(PP_Grid[#Data],$DD944,103),0)</f>
        <v/>
      </c>
      <c r="DB944">
        <f>IFERROR(INDEX(PP_Grid[#Data],$DD944,104),0)</f>
        <v/>
      </c>
      <c r="DC944">
        <f>IFERROR(INDEX(PP_Grid[#Data],$DD944,105),0)</f>
        <v/>
      </c>
      <c r="DD944" s="7">
        <f>IFERROR(MATCH($B944,PP_Grid[Intermediate],0),99999)</f>
        <v/>
      </c>
    </row>
    <row r="945">
      <c r="B945" t="inlineStr">
        <is>
          <t>使用量(kg)</t>
        </is>
      </c>
      <c r="C945">
        <f>SUMIFS(M_BOM[RM_Qty_Per_Batch],M_BOM[Intermediate],$B944,M_BOM[Part Name],$A923)</f>
        <v/>
      </c>
      <c r="D945">
        <f>$C945*D944</f>
        <v/>
      </c>
      <c r="E945">
        <f>$C945*E944</f>
        <v/>
      </c>
      <c r="F945">
        <f>$C945*F944</f>
        <v/>
      </c>
      <c r="G945">
        <f>$C945*G944</f>
        <v/>
      </c>
      <c r="H945">
        <f>$C945*H944</f>
        <v/>
      </c>
      <c r="I945">
        <f>$C945*I944</f>
        <v/>
      </c>
      <c r="J945">
        <f>$C945*J944</f>
        <v/>
      </c>
      <c r="K945">
        <f>$C945*K944</f>
        <v/>
      </c>
      <c r="L945">
        <f>$C945*L944</f>
        <v/>
      </c>
      <c r="M945">
        <f>$C945*M944</f>
        <v/>
      </c>
      <c r="N945">
        <f>$C945*N944</f>
        <v/>
      </c>
      <c r="O945">
        <f>$C945*O944</f>
        <v/>
      </c>
      <c r="P945">
        <f>$C945*P944</f>
        <v/>
      </c>
      <c r="Q945">
        <f>$C945*Q944</f>
        <v/>
      </c>
      <c r="R945">
        <f>$C945*R944</f>
        <v/>
      </c>
      <c r="S945">
        <f>$C945*S944</f>
        <v/>
      </c>
      <c r="T945">
        <f>$C945*T944</f>
        <v/>
      </c>
      <c r="U945">
        <f>$C945*U944</f>
        <v/>
      </c>
      <c r="V945">
        <f>$C945*V944</f>
        <v/>
      </c>
      <c r="W945">
        <f>$C945*W944</f>
        <v/>
      </c>
      <c r="X945">
        <f>$C945*X944</f>
        <v/>
      </c>
      <c r="Y945">
        <f>$C945*Y944</f>
        <v/>
      </c>
      <c r="Z945">
        <f>$C945*Z944</f>
        <v/>
      </c>
      <c r="AA945">
        <f>$C945*AA944</f>
        <v/>
      </c>
      <c r="AB945">
        <f>$C945*AB944</f>
        <v/>
      </c>
      <c r="AC945">
        <f>$C945*AC944</f>
        <v/>
      </c>
      <c r="AD945">
        <f>$C945*AD944</f>
        <v/>
      </c>
      <c r="AE945">
        <f>$C945*AE944</f>
        <v/>
      </c>
      <c r="AF945">
        <f>$C945*AF944</f>
        <v/>
      </c>
      <c r="AG945">
        <f>$C945*AG944</f>
        <v/>
      </c>
      <c r="AH945">
        <f>$C945*AH944</f>
        <v/>
      </c>
      <c r="AI945">
        <f>$C945*AI944</f>
        <v/>
      </c>
      <c r="AJ945">
        <f>$C945*AJ944</f>
        <v/>
      </c>
      <c r="AK945">
        <f>$C945*AK944</f>
        <v/>
      </c>
      <c r="AL945">
        <f>$C945*AL944</f>
        <v/>
      </c>
      <c r="AM945">
        <f>$C945*AM944</f>
        <v/>
      </c>
      <c r="AN945">
        <f>$C945*AN944</f>
        <v/>
      </c>
      <c r="AO945">
        <f>$C945*AO944</f>
        <v/>
      </c>
      <c r="AP945">
        <f>$C945*AP944</f>
        <v/>
      </c>
      <c r="AQ945">
        <f>$C945*AQ944</f>
        <v/>
      </c>
      <c r="AR945">
        <f>$C945*AR944</f>
        <v/>
      </c>
      <c r="AS945">
        <f>$C945*AS944</f>
        <v/>
      </c>
      <c r="AT945">
        <f>$C945*AT944</f>
        <v/>
      </c>
      <c r="AU945">
        <f>$C945*AU944</f>
        <v/>
      </c>
      <c r="AV945">
        <f>$C945*AV944</f>
        <v/>
      </c>
      <c r="AW945">
        <f>$C945*AW944</f>
        <v/>
      </c>
      <c r="AX945">
        <f>$C945*AX944</f>
        <v/>
      </c>
      <c r="AY945">
        <f>$C945*AY944</f>
        <v/>
      </c>
      <c r="AZ945">
        <f>$C945*AZ944</f>
        <v/>
      </c>
      <c r="BA945">
        <f>$C945*BA944</f>
        <v/>
      </c>
      <c r="BB945">
        <f>$C945*BB944</f>
        <v/>
      </c>
      <c r="BC945">
        <f>$C945*BC944</f>
        <v/>
      </c>
      <c r="BD945">
        <f>$C945*BD944</f>
        <v/>
      </c>
      <c r="BE945">
        <f>$C945*BE944</f>
        <v/>
      </c>
      <c r="BF945">
        <f>$C945*BF944</f>
        <v/>
      </c>
      <c r="BG945">
        <f>$C945*BG944</f>
        <v/>
      </c>
      <c r="BH945">
        <f>$C945*BH944</f>
        <v/>
      </c>
      <c r="BI945">
        <f>$C945*BI944</f>
        <v/>
      </c>
      <c r="BJ945">
        <f>$C945*BJ944</f>
        <v/>
      </c>
      <c r="BK945">
        <f>$C945*BK944</f>
        <v/>
      </c>
      <c r="BL945">
        <f>$C945*BL944</f>
        <v/>
      </c>
      <c r="BM945">
        <f>$C945*BM944</f>
        <v/>
      </c>
      <c r="BN945">
        <f>$C945*BN944</f>
        <v/>
      </c>
      <c r="BO945">
        <f>$C945*BO944</f>
        <v/>
      </c>
      <c r="BP945">
        <f>$C945*BP944</f>
        <v/>
      </c>
      <c r="BQ945">
        <f>$C945*BQ944</f>
        <v/>
      </c>
      <c r="BR945">
        <f>$C945*BR944</f>
        <v/>
      </c>
      <c r="BS945">
        <f>$C945*BS944</f>
        <v/>
      </c>
      <c r="BT945">
        <f>$C945*BT944</f>
        <v/>
      </c>
      <c r="BU945">
        <f>$C945*BU944</f>
        <v/>
      </c>
      <c r="BV945">
        <f>$C945*BV944</f>
        <v/>
      </c>
      <c r="BW945">
        <f>$C945*BW944</f>
        <v/>
      </c>
      <c r="BX945">
        <f>$C945*BX944</f>
        <v/>
      </c>
      <c r="BY945">
        <f>$C945*BY944</f>
        <v/>
      </c>
      <c r="BZ945">
        <f>$C945*BZ944</f>
        <v/>
      </c>
      <c r="CA945">
        <f>$C945*CA944</f>
        <v/>
      </c>
      <c r="CB945">
        <f>$C945*CB944</f>
        <v/>
      </c>
      <c r="CC945">
        <f>$C945*CC944</f>
        <v/>
      </c>
      <c r="CD945">
        <f>$C945*CD944</f>
        <v/>
      </c>
      <c r="CE945">
        <f>$C945*CE944</f>
        <v/>
      </c>
      <c r="CF945">
        <f>$C945*CF944</f>
        <v/>
      </c>
      <c r="CG945">
        <f>$C945*CG944</f>
        <v/>
      </c>
      <c r="CH945">
        <f>$C945*CH944</f>
        <v/>
      </c>
      <c r="CI945">
        <f>$C945*CI944</f>
        <v/>
      </c>
      <c r="CJ945">
        <f>$C945*CJ944</f>
        <v/>
      </c>
      <c r="CK945">
        <f>$C945*CK944</f>
        <v/>
      </c>
      <c r="CL945">
        <f>$C945*CL944</f>
        <v/>
      </c>
      <c r="CM945">
        <f>$C945*CM944</f>
        <v/>
      </c>
      <c r="CN945">
        <f>$C945*CN944</f>
        <v/>
      </c>
      <c r="CO945">
        <f>$C945*CO944</f>
        <v/>
      </c>
      <c r="CP945">
        <f>$C945*CP944</f>
        <v/>
      </c>
      <c r="CQ945">
        <f>$C945*CQ944</f>
        <v/>
      </c>
      <c r="CR945">
        <f>$C945*CR944</f>
        <v/>
      </c>
      <c r="CS945">
        <f>$C945*CS944</f>
        <v/>
      </c>
      <c r="CT945">
        <f>$C945*CT944</f>
        <v/>
      </c>
      <c r="CU945">
        <f>$C945*CU944</f>
        <v/>
      </c>
      <c r="CV945">
        <f>$C945*CV944</f>
        <v/>
      </c>
      <c r="CW945">
        <f>$C945*CW944</f>
        <v/>
      </c>
      <c r="CX945">
        <f>$C945*CX944</f>
        <v/>
      </c>
      <c r="CY945">
        <f>$C945*CY944</f>
        <v/>
      </c>
      <c r="CZ945">
        <f>$C945*CZ944</f>
        <v/>
      </c>
      <c r="DA945">
        <f>$C945*DA944</f>
        <v/>
      </c>
      <c r="DB945">
        <f>$C945*DB944</f>
        <v/>
      </c>
      <c r="DC945">
        <f>$C945*DC944</f>
        <v/>
      </c>
    </row>
    <row r="946">
      <c r="B946" t="inlineStr">
        <is>
          <t>TSP-1446</t>
        </is>
      </c>
      <c r="C946" t="inlineStr">
        <is>
          <t>No. of batches</t>
        </is>
      </c>
      <c r="D946">
        <f>IFERROR(INDEX(PP_Grid[#Data],$DD946,2),0)</f>
        <v/>
      </c>
      <c r="E946">
        <f>IFERROR(INDEX(PP_Grid[#Data],$DD946,3),0)</f>
        <v/>
      </c>
      <c r="F946">
        <f>IFERROR(INDEX(PP_Grid[#Data],$DD946,4),0)</f>
        <v/>
      </c>
      <c r="G946">
        <f>IFERROR(INDEX(PP_Grid[#Data],$DD946,5),0)</f>
        <v/>
      </c>
      <c r="H946">
        <f>IFERROR(INDEX(PP_Grid[#Data],$DD946,6),0)</f>
        <v/>
      </c>
      <c r="I946">
        <f>IFERROR(INDEX(PP_Grid[#Data],$DD946,7),0)</f>
        <v/>
      </c>
      <c r="J946">
        <f>IFERROR(INDEX(PP_Grid[#Data],$DD946,8),0)</f>
        <v/>
      </c>
      <c r="K946">
        <f>IFERROR(INDEX(PP_Grid[#Data],$DD946,9),0)</f>
        <v/>
      </c>
      <c r="L946">
        <f>IFERROR(INDEX(PP_Grid[#Data],$DD946,10),0)</f>
        <v/>
      </c>
      <c r="M946">
        <f>IFERROR(INDEX(PP_Grid[#Data],$DD946,11),0)</f>
        <v/>
      </c>
      <c r="N946">
        <f>IFERROR(INDEX(PP_Grid[#Data],$DD946,12),0)</f>
        <v/>
      </c>
      <c r="O946">
        <f>IFERROR(INDEX(PP_Grid[#Data],$DD946,13),0)</f>
        <v/>
      </c>
      <c r="P946">
        <f>IFERROR(INDEX(PP_Grid[#Data],$DD946,14),0)</f>
        <v/>
      </c>
      <c r="Q946">
        <f>IFERROR(INDEX(PP_Grid[#Data],$DD946,15),0)</f>
        <v/>
      </c>
      <c r="R946">
        <f>IFERROR(INDEX(PP_Grid[#Data],$DD946,16),0)</f>
        <v/>
      </c>
      <c r="S946">
        <f>IFERROR(INDEX(PP_Grid[#Data],$DD946,17),0)</f>
        <v/>
      </c>
      <c r="T946">
        <f>IFERROR(INDEX(PP_Grid[#Data],$DD946,18),0)</f>
        <v/>
      </c>
      <c r="U946">
        <f>IFERROR(INDEX(PP_Grid[#Data],$DD946,19),0)</f>
        <v/>
      </c>
      <c r="V946">
        <f>IFERROR(INDEX(PP_Grid[#Data],$DD946,20),0)</f>
        <v/>
      </c>
      <c r="W946">
        <f>IFERROR(INDEX(PP_Grid[#Data],$DD946,21),0)</f>
        <v/>
      </c>
      <c r="X946">
        <f>IFERROR(INDEX(PP_Grid[#Data],$DD946,22),0)</f>
        <v/>
      </c>
      <c r="Y946">
        <f>IFERROR(INDEX(PP_Grid[#Data],$DD946,23),0)</f>
        <v/>
      </c>
      <c r="Z946">
        <f>IFERROR(INDEX(PP_Grid[#Data],$DD946,24),0)</f>
        <v/>
      </c>
      <c r="AA946">
        <f>IFERROR(INDEX(PP_Grid[#Data],$DD946,25),0)</f>
        <v/>
      </c>
      <c r="AB946">
        <f>IFERROR(INDEX(PP_Grid[#Data],$DD946,26),0)</f>
        <v/>
      </c>
      <c r="AC946">
        <f>IFERROR(INDEX(PP_Grid[#Data],$DD946,27),0)</f>
        <v/>
      </c>
      <c r="AD946">
        <f>IFERROR(INDEX(PP_Grid[#Data],$DD946,28),0)</f>
        <v/>
      </c>
      <c r="AE946">
        <f>IFERROR(INDEX(PP_Grid[#Data],$DD946,29),0)</f>
        <v/>
      </c>
      <c r="AF946">
        <f>IFERROR(INDEX(PP_Grid[#Data],$DD946,30),0)</f>
        <v/>
      </c>
      <c r="AG946">
        <f>IFERROR(INDEX(PP_Grid[#Data],$DD946,31),0)</f>
        <v/>
      </c>
      <c r="AH946">
        <f>IFERROR(INDEX(PP_Grid[#Data],$DD946,32),0)</f>
        <v/>
      </c>
      <c r="AI946">
        <f>IFERROR(INDEX(PP_Grid[#Data],$DD946,33),0)</f>
        <v/>
      </c>
      <c r="AJ946">
        <f>IFERROR(INDEX(PP_Grid[#Data],$DD946,34),0)</f>
        <v/>
      </c>
      <c r="AK946">
        <f>IFERROR(INDEX(PP_Grid[#Data],$DD946,35),0)</f>
        <v/>
      </c>
      <c r="AL946">
        <f>IFERROR(INDEX(PP_Grid[#Data],$DD946,36),0)</f>
        <v/>
      </c>
      <c r="AM946">
        <f>IFERROR(INDEX(PP_Grid[#Data],$DD946,37),0)</f>
        <v/>
      </c>
      <c r="AN946">
        <f>IFERROR(INDEX(PP_Grid[#Data],$DD946,38),0)</f>
        <v/>
      </c>
      <c r="AO946">
        <f>IFERROR(INDEX(PP_Grid[#Data],$DD946,39),0)</f>
        <v/>
      </c>
      <c r="AP946">
        <f>IFERROR(INDEX(PP_Grid[#Data],$DD946,40),0)</f>
        <v/>
      </c>
      <c r="AQ946">
        <f>IFERROR(INDEX(PP_Grid[#Data],$DD946,41),0)</f>
        <v/>
      </c>
      <c r="AR946">
        <f>IFERROR(INDEX(PP_Grid[#Data],$DD946,42),0)</f>
        <v/>
      </c>
      <c r="AS946">
        <f>IFERROR(INDEX(PP_Grid[#Data],$DD946,43),0)</f>
        <v/>
      </c>
      <c r="AT946">
        <f>IFERROR(INDEX(PP_Grid[#Data],$DD946,44),0)</f>
        <v/>
      </c>
      <c r="AU946">
        <f>IFERROR(INDEX(PP_Grid[#Data],$DD946,45),0)</f>
        <v/>
      </c>
      <c r="AV946">
        <f>IFERROR(INDEX(PP_Grid[#Data],$DD946,46),0)</f>
        <v/>
      </c>
      <c r="AW946">
        <f>IFERROR(INDEX(PP_Grid[#Data],$DD946,47),0)</f>
        <v/>
      </c>
      <c r="AX946">
        <f>IFERROR(INDEX(PP_Grid[#Data],$DD946,48),0)</f>
        <v/>
      </c>
      <c r="AY946">
        <f>IFERROR(INDEX(PP_Grid[#Data],$DD946,49),0)</f>
        <v/>
      </c>
      <c r="AZ946">
        <f>IFERROR(INDEX(PP_Grid[#Data],$DD946,50),0)</f>
        <v/>
      </c>
      <c r="BA946">
        <f>IFERROR(INDEX(PP_Grid[#Data],$DD946,51),0)</f>
        <v/>
      </c>
      <c r="BB946">
        <f>IFERROR(INDEX(PP_Grid[#Data],$DD946,52),0)</f>
        <v/>
      </c>
      <c r="BC946">
        <f>IFERROR(INDEX(PP_Grid[#Data],$DD946,53),0)</f>
        <v/>
      </c>
      <c r="BD946">
        <f>IFERROR(INDEX(PP_Grid[#Data],$DD946,54),0)</f>
        <v/>
      </c>
      <c r="BE946">
        <f>IFERROR(INDEX(PP_Grid[#Data],$DD946,55),0)</f>
        <v/>
      </c>
      <c r="BF946">
        <f>IFERROR(INDEX(PP_Grid[#Data],$DD946,56),0)</f>
        <v/>
      </c>
      <c r="BG946">
        <f>IFERROR(INDEX(PP_Grid[#Data],$DD946,57),0)</f>
        <v/>
      </c>
      <c r="BH946">
        <f>IFERROR(INDEX(PP_Grid[#Data],$DD946,58),0)</f>
        <v/>
      </c>
      <c r="BI946">
        <f>IFERROR(INDEX(PP_Grid[#Data],$DD946,59),0)</f>
        <v/>
      </c>
      <c r="BJ946">
        <f>IFERROR(INDEX(PP_Grid[#Data],$DD946,60),0)</f>
        <v/>
      </c>
      <c r="BK946">
        <f>IFERROR(INDEX(PP_Grid[#Data],$DD946,61),0)</f>
        <v/>
      </c>
      <c r="BL946">
        <f>IFERROR(INDEX(PP_Grid[#Data],$DD946,62),0)</f>
        <v/>
      </c>
      <c r="BM946">
        <f>IFERROR(INDEX(PP_Grid[#Data],$DD946,63),0)</f>
        <v/>
      </c>
      <c r="BN946">
        <f>IFERROR(INDEX(PP_Grid[#Data],$DD946,64),0)</f>
        <v/>
      </c>
      <c r="BO946">
        <f>IFERROR(INDEX(PP_Grid[#Data],$DD946,65),0)</f>
        <v/>
      </c>
      <c r="BP946">
        <f>IFERROR(INDEX(PP_Grid[#Data],$DD946,66),0)</f>
        <v/>
      </c>
      <c r="BQ946">
        <f>IFERROR(INDEX(PP_Grid[#Data],$DD946,67),0)</f>
        <v/>
      </c>
      <c r="BR946">
        <f>IFERROR(INDEX(PP_Grid[#Data],$DD946,68),0)</f>
        <v/>
      </c>
      <c r="BS946">
        <f>IFERROR(INDEX(PP_Grid[#Data],$DD946,69),0)</f>
        <v/>
      </c>
      <c r="BT946">
        <f>IFERROR(INDEX(PP_Grid[#Data],$DD946,70),0)</f>
        <v/>
      </c>
      <c r="BU946">
        <f>IFERROR(INDEX(PP_Grid[#Data],$DD946,71),0)</f>
        <v/>
      </c>
      <c r="BV946">
        <f>IFERROR(INDEX(PP_Grid[#Data],$DD946,72),0)</f>
        <v/>
      </c>
      <c r="BW946">
        <f>IFERROR(INDEX(PP_Grid[#Data],$DD946,73),0)</f>
        <v/>
      </c>
      <c r="BX946">
        <f>IFERROR(INDEX(PP_Grid[#Data],$DD946,74),0)</f>
        <v/>
      </c>
      <c r="BY946">
        <f>IFERROR(INDEX(PP_Grid[#Data],$DD946,75),0)</f>
        <v/>
      </c>
      <c r="BZ946">
        <f>IFERROR(INDEX(PP_Grid[#Data],$DD946,76),0)</f>
        <v/>
      </c>
      <c r="CA946">
        <f>IFERROR(INDEX(PP_Grid[#Data],$DD946,77),0)</f>
        <v/>
      </c>
      <c r="CB946">
        <f>IFERROR(INDEX(PP_Grid[#Data],$DD946,78),0)</f>
        <v/>
      </c>
      <c r="CC946">
        <f>IFERROR(INDEX(PP_Grid[#Data],$DD946,79),0)</f>
        <v/>
      </c>
      <c r="CD946">
        <f>IFERROR(INDEX(PP_Grid[#Data],$DD946,80),0)</f>
        <v/>
      </c>
      <c r="CE946">
        <f>IFERROR(INDEX(PP_Grid[#Data],$DD946,81),0)</f>
        <v/>
      </c>
      <c r="CF946">
        <f>IFERROR(INDEX(PP_Grid[#Data],$DD946,82),0)</f>
        <v/>
      </c>
      <c r="CG946">
        <f>IFERROR(INDEX(PP_Grid[#Data],$DD946,83),0)</f>
        <v/>
      </c>
      <c r="CH946">
        <f>IFERROR(INDEX(PP_Grid[#Data],$DD946,84),0)</f>
        <v/>
      </c>
      <c r="CI946">
        <f>IFERROR(INDEX(PP_Grid[#Data],$DD946,85),0)</f>
        <v/>
      </c>
      <c r="CJ946">
        <f>IFERROR(INDEX(PP_Grid[#Data],$DD946,86),0)</f>
        <v/>
      </c>
      <c r="CK946">
        <f>IFERROR(INDEX(PP_Grid[#Data],$DD946,87),0)</f>
        <v/>
      </c>
      <c r="CL946">
        <f>IFERROR(INDEX(PP_Grid[#Data],$DD946,88),0)</f>
        <v/>
      </c>
      <c r="CM946">
        <f>IFERROR(INDEX(PP_Grid[#Data],$DD946,89),0)</f>
        <v/>
      </c>
      <c r="CN946">
        <f>IFERROR(INDEX(PP_Grid[#Data],$DD946,90),0)</f>
        <v/>
      </c>
      <c r="CO946">
        <f>IFERROR(INDEX(PP_Grid[#Data],$DD946,91),0)</f>
        <v/>
      </c>
      <c r="CP946">
        <f>IFERROR(INDEX(PP_Grid[#Data],$DD946,92),0)</f>
        <v/>
      </c>
      <c r="CQ946">
        <f>IFERROR(INDEX(PP_Grid[#Data],$DD946,93),0)</f>
        <v/>
      </c>
      <c r="CR946">
        <f>IFERROR(INDEX(PP_Grid[#Data],$DD946,94),0)</f>
        <v/>
      </c>
      <c r="CS946">
        <f>IFERROR(INDEX(PP_Grid[#Data],$DD946,95),0)</f>
        <v/>
      </c>
      <c r="CT946">
        <f>IFERROR(INDEX(PP_Grid[#Data],$DD946,96),0)</f>
        <v/>
      </c>
      <c r="CU946">
        <f>IFERROR(INDEX(PP_Grid[#Data],$DD946,97),0)</f>
        <v/>
      </c>
      <c r="CV946">
        <f>IFERROR(INDEX(PP_Grid[#Data],$DD946,98),0)</f>
        <v/>
      </c>
      <c r="CW946">
        <f>IFERROR(INDEX(PP_Grid[#Data],$DD946,99),0)</f>
        <v/>
      </c>
      <c r="CX946">
        <f>IFERROR(INDEX(PP_Grid[#Data],$DD946,100),0)</f>
        <v/>
      </c>
      <c r="CY946">
        <f>IFERROR(INDEX(PP_Grid[#Data],$DD946,101),0)</f>
        <v/>
      </c>
      <c r="CZ946">
        <f>IFERROR(INDEX(PP_Grid[#Data],$DD946,102),0)</f>
        <v/>
      </c>
      <c r="DA946">
        <f>IFERROR(INDEX(PP_Grid[#Data],$DD946,103),0)</f>
        <v/>
      </c>
      <c r="DB946">
        <f>IFERROR(INDEX(PP_Grid[#Data],$DD946,104),0)</f>
        <v/>
      </c>
      <c r="DC946">
        <f>IFERROR(INDEX(PP_Grid[#Data],$DD946,105),0)</f>
        <v/>
      </c>
      <c r="DD946" s="7">
        <f>IFERROR(MATCH($B946,PP_Grid[Intermediate],0),99999)</f>
        <v/>
      </c>
    </row>
    <row r="947">
      <c r="B947" t="inlineStr">
        <is>
          <t>使用量(kg)</t>
        </is>
      </c>
      <c r="C947">
        <f>SUMIFS(M_BOM[RM_Qty_Per_Batch],M_BOM[Intermediate],$B946,M_BOM[Part Name],$A923)</f>
        <v/>
      </c>
      <c r="D947">
        <f>$C947*D946</f>
        <v/>
      </c>
      <c r="E947">
        <f>$C947*E946</f>
        <v/>
      </c>
      <c r="F947">
        <f>$C947*F946</f>
        <v/>
      </c>
      <c r="G947">
        <f>$C947*G946</f>
        <v/>
      </c>
      <c r="H947">
        <f>$C947*H946</f>
        <v/>
      </c>
      <c r="I947">
        <f>$C947*I946</f>
        <v/>
      </c>
      <c r="J947">
        <f>$C947*J946</f>
        <v/>
      </c>
      <c r="K947">
        <f>$C947*K946</f>
        <v/>
      </c>
      <c r="L947">
        <f>$C947*L946</f>
        <v/>
      </c>
      <c r="M947">
        <f>$C947*M946</f>
        <v/>
      </c>
      <c r="N947">
        <f>$C947*N946</f>
        <v/>
      </c>
      <c r="O947">
        <f>$C947*O946</f>
        <v/>
      </c>
      <c r="P947">
        <f>$C947*P946</f>
        <v/>
      </c>
      <c r="Q947">
        <f>$C947*Q946</f>
        <v/>
      </c>
      <c r="R947">
        <f>$C947*R946</f>
        <v/>
      </c>
      <c r="S947">
        <f>$C947*S946</f>
        <v/>
      </c>
      <c r="T947">
        <f>$C947*T946</f>
        <v/>
      </c>
      <c r="U947">
        <f>$C947*U946</f>
        <v/>
      </c>
      <c r="V947">
        <f>$C947*V946</f>
        <v/>
      </c>
      <c r="W947">
        <f>$C947*W946</f>
        <v/>
      </c>
      <c r="X947">
        <f>$C947*X946</f>
        <v/>
      </c>
      <c r="Y947">
        <f>$C947*Y946</f>
        <v/>
      </c>
      <c r="Z947">
        <f>$C947*Z946</f>
        <v/>
      </c>
      <c r="AA947">
        <f>$C947*AA946</f>
        <v/>
      </c>
      <c r="AB947">
        <f>$C947*AB946</f>
        <v/>
      </c>
      <c r="AC947">
        <f>$C947*AC946</f>
        <v/>
      </c>
      <c r="AD947">
        <f>$C947*AD946</f>
        <v/>
      </c>
      <c r="AE947">
        <f>$C947*AE946</f>
        <v/>
      </c>
      <c r="AF947">
        <f>$C947*AF946</f>
        <v/>
      </c>
      <c r="AG947">
        <f>$C947*AG946</f>
        <v/>
      </c>
      <c r="AH947">
        <f>$C947*AH946</f>
        <v/>
      </c>
      <c r="AI947">
        <f>$C947*AI946</f>
        <v/>
      </c>
      <c r="AJ947">
        <f>$C947*AJ946</f>
        <v/>
      </c>
      <c r="AK947">
        <f>$C947*AK946</f>
        <v/>
      </c>
      <c r="AL947">
        <f>$C947*AL946</f>
        <v/>
      </c>
      <c r="AM947">
        <f>$C947*AM946</f>
        <v/>
      </c>
      <c r="AN947">
        <f>$C947*AN946</f>
        <v/>
      </c>
      <c r="AO947">
        <f>$C947*AO946</f>
        <v/>
      </c>
      <c r="AP947">
        <f>$C947*AP946</f>
        <v/>
      </c>
      <c r="AQ947">
        <f>$C947*AQ946</f>
        <v/>
      </c>
      <c r="AR947">
        <f>$C947*AR946</f>
        <v/>
      </c>
      <c r="AS947">
        <f>$C947*AS946</f>
        <v/>
      </c>
      <c r="AT947">
        <f>$C947*AT946</f>
        <v/>
      </c>
      <c r="AU947">
        <f>$C947*AU946</f>
        <v/>
      </c>
      <c r="AV947">
        <f>$C947*AV946</f>
        <v/>
      </c>
      <c r="AW947">
        <f>$C947*AW946</f>
        <v/>
      </c>
      <c r="AX947">
        <f>$C947*AX946</f>
        <v/>
      </c>
      <c r="AY947">
        <f>$C947*AY946</f>
        <v/>
      </c>
      <c r="AZ947">
        <f>$C947*AZ946</f>
        <v/>
      </c>
      <c r="BA947">
        <f>$C947*BA946</f>
        <v/>
      </c>
      <c r="BB947">
        <f>$C947*BB946</f>
        <v/>
      </c>
      <c r="BC947">
        <f>$C947*BC946</f>
        <v/>
      </c>
      <c r="BD947">
        <f>$C947*BD946</f>
        <v/>
      </c>
      <c r="BE947">
        <f>$C947*BE946</f>
        <v/>
      </c>
      <c r="BF947">
        <f>$C947*BF946</f>
        <v/>
      </c>
      <c r="BG947">
        <f>$C947*BG946</f>
        <v/>
      </c>
      <c r="BH947">
        <f>$C947*BH946</f>
        <v/>
      </c>
      <c r="BI947">
        <f>$C947*BI946</f>
        <v/>
      </c>
      <c r="BJ947">
        <f>$C947*BJ946</f>
        <v/>
      </c>
      <c r="BK947">
        <f>$C947*BK946</f>
        <v/>
      </c>
      <c r="BL947">
        <f>$C947*BL946</f>
        <v/>
      </c>
      <c r="BM947">
        <f>$C947*BM946</f>
        <v/>
      </c>
      <c r="BN947">
        <f>$C947*BN946</f>
        <v/>
      </c>
      <c r="BO947">
        <f>$C947*BO946</f>
        <v/>
      </c>
      <c r="BP947">
        <f>$C947*BP946</f>
        <v/>
      </c>
      <c r="BQ947">
        <f>$C947*BQ946</f>
        <v/>
      </c>
      <c r="BR947">
        <f>$C947*BR946</f>
        <v/>
      </c>
      <c r="BS947">
        <f>$C947*BS946</f>
        <v/>
      </c>
      <c r="BT947">
        <f>$C947*BT946</f>
        <v/>
      </c>
      <c r="BU947">
        <f>$C947*BU946</f>
        <v/>
      </c>
      <c r="BV947">
        <f>$C947*BV946</f>
        <v/>
      </c>
      <c r="BW947">
        <f>$C947*BW946</f>
        <v/>
      </c>
      <c r="BX947">
        <f>$C947*BX946</f>
        <v/>
      </c>
      <c r="BY947">
        <f>$C947*BY946</f>
        <v/>
      </c>
      <c r="BZ947">
        <f>$C947*BZ946</f>
        <v/>
      </c>
      <c r="CA947">
        <f>$C947*CA946</f>
        <v/>
      </c>
      <c r="CB947">
        <f>$C947*CB946</f>
        <v/>
      </c>
      <c r="CC947">
        <f>$C947*CC946</f>
        <v/>
      </c>
      <c r="CD947">
        <f>$C947*CD946</f>
        <v/>
      </c>
      <c r="CE947">
        <f>$C947*CE946</f>
        <v/>
      </c>
      <c r="CF947">
        <f>$C947*CF946</f>
        <v/>
      </c>
      <c r="CG947">
        <f>$C947*CG946</f>
        <v/>
      </c>
      <c r="CH947">
        <f>$C947*CH946</f>
        <v/>
      </c>
      <c r="CI947">
        <f>$C947*CI946</f>
        <v/>
      </c>
      <c r="CJ947">
        <f>$C947*CJ946</f>
        <v/>
      </c>
      <c r="CK947">
        <f>$C947*CK946</f>
        <v/>
      </c>
      <c r="CL947">
        <f>$C947*CL946</f>
        <v/>
      </c>
      <c r="CM947">
        <f>$C947*CM946</f>
        <v/>
      </c>
      <c r="CN947">
        <f>$C947*CN946</f>
        <v/>
      </c>
      <c r="CO947">
        <f>$C947*CO946</f>
        <v/>
      </c>
      <c r="CP947">
        <f>$C947*CP946</f>
        <v/>
      </c>
      <c r="CQ947">
        <f>$C947*CQ946</f>
        <v/>
      </c>
      <c r="CR947">
        <f>$C947*CR946</f>
        <v/>
      </c>
      <c r="CS947">
        <f>$C947*CS946</f>
        <v/>
      </c>
      <c r="CT947">
        <f>$C947*CT946</f>
        <v/>
      </c>
      <c r="CU947">
        <f>$C947*CU946</f>
        <v/>
      </c>
      <c r="CV947">
        <f>$C947*CV946</f>
        <v/>
      </c>
      <c r="CW947">
        <f>$C947*CW946</f>
        <v/>
      </c>
      <c r="CX947">
        <f>$C947*CX946</f>
        <v/>
      </c>
      <c r="CY947">
        <f>$C947*CY946</f>
        <v/>
      </c>
      <c r="CZ947">
        <f>$C947*CZ946</f>
        <v/>
      </c>
      <c r="DA947">
        <f>$C947*DA946</f>
        <v/>
      </c>
      <c r="DB947">
        <f>$C947*DB946</f>
        <v/>
      </c>
      <c r="DC947">
        <f>$C947*DC946</f>
        <v/>
      </c>
    </row>
    <row r="948">
      <c r="B948" t="inlineStr">
        <is>
          <t>TSP-1449</t>
        </is>
      </c>
      <c r="C948" t="inlineStr">
        <is>
          <t>No. of batches</t>
        </is>
      </c>
      <c r="D948">
        <f>IFERROR(INDEX(PP_Grid[#Data],$DD948,2),0)</f>
        <v/>
      </c>
      <c r="E948">
        <f>IFERROR(INDEX(PP_Grid[#Data],$DD948,3),0)</f>
        <v/>
      </c>
      <c r="F948">
        <f>IFERROR(INDEX(PP_Grid[#Data],$DD948,4),0)</f>
        <v/>
      </c>
      <c r="G948">
        <f>IFERROR(INDEX(PP_Grid[#Data],$DD948,5),0)</f>
        <v/>
      </c>
      <c r="H948">
        <f>IFERROR(INDEX(PP_Grid[#Data],$DD948,6),0)</f>
        <v/>
      </c>
      <c r="I948">
        <f>IFERROR(INDEX(PP_Grid[#Data],$DD948,7),0)</f>
        <v/>
      </c>
      <c r="J948">
        <f>IFERROR(INDEX(PP_Grid[#Data],$DD948,8),0)</f>
        <v/>
      </c>
      <c r="K948">
        <f>IFERROR(INDEX(PP_Grid[#Data],$DD948,9),0)</f>
        <v/>
      </c>
      <c r="L948">
        <f>IFERROR(INDEX(PP_Grid[#Data],$DD948,10),0)</f>
        <v/>
      </c>
      <c r="M948">
        <f>IFERROR(INDEX(PP_Grid[#Data],$DD948,11),0)</f>
        <v/>
      </c>
      <c r="N948">
        <f>IFERROR(INDEX(PP_Grid[#Data],$DD948,12),0)</f>
        <v/>
      </c>
      <c r="O948">
        <f>IFERROR(INDEX(PP_Grid[#Data],$DD948,13),0)</f>
        <v/>
      </c>
      <c r="P948">
        <f>IFERROR(INDEX(PP_Grid[#Data],$DD948,14),0)</f>
        <v/>
      </c>
      <c r="Q948">
        <f>IFERROR(INDEX(PP_Grid[#Data],$DD948,15),0)</f>
        <v/>
      </c>
      <c r="R948">
        <f>IFERROR(INDEX(PP_Grid[#Data],$DD948,16),0)</f>
        <v/>
      </c>
      <c r="S948">
        <f>IFERROR(INDEX(PP_Grid[#Data],$DD948,17),0)</f>
        <v/>
      </c>
      <c r="T948">
        <f>IFERROR(INDEX(PP_Grid[#Data],$DD948,18),0)</f>
        <v/>
      </c>
      <c r="U948">
        <f>IFERROR(INDEX(PP_Grid[#Data],$DD948,19),0)</f>
        <v/>
      </c>
      <c r="V948">
        <f>IFERROR(INDEX(PP_Grid[#Data],$DD948,20),0)</f>
        <v/>
      </c>
      <c r="W948">
        <f>IFERROR(INDEX(PP_Grid[#Data],$DD948,21),0)</f>
        <v/>
      </c>
      <c r="X948">
        <f>IFERROR(INDEX(PP_Grid[#Data],$DD948,22),0)</f>
        <v/>
      </c>
      <c r="Y948">
        <f>IFERROR(INDEX(PP_Grid[#Data],$DD948,23),0)</f>
        <v/>
      </c>
      <c r="Z948">
        <f>IFERROR(INDEX(PP_Grid[#Data],$DD948,24),0)</f>
        <v/>
      </c>
      <c r="AA948">
        <f>IFERROR(INDEX(PP_Grid[#Data],$DD948,25),0)</f>
        <v/>
      </c>
      <c r="AB948">
        <f>IFERROR(INDEX(PP_Grid[#Data],$DD948,26),0)</f>
        <v/>
      </c>
      <c r="AC948">
        <f>IFERROR(INDEX(PP_Grid[#Data],$DD948,27),0)</f>
        <v/>
      </c>
      <c r="AD948">
        <f>IFERROR(INDEX(PP_Grid[#Data],$DD948,28),0)</f>
        <v/>
      </c>
      <c r="AE948">
        <f>IFERROR(INDEX(PP_Grid[#Data],$DD948,29),0)</f>
        <v/>
      </c>
      <c r="AF948">
        <f>IFERROR(INDEX(PP_Grid[#Data],$DD948,30),0)</f>
        <v/>
      </c>
      <c r="AG948">
        <f>IFERROR(INDEX(PP_Grid[#Data],$DD948,31),0)</f>
        <v/>
      </c>
      <c r="AH948">
        <f>IFERROR(INDEX(PP_Grid[#Data],$DD948,32),0)</f>
        <v/>
      </c>
      <c r="AI948">
        <f>IFERROR(INDEX(PP_Grid[#Data],$DD948,33),0)</f>
        <v/>
      </c>
      <c r="AJ948">
        <f>IFERROR(INDEX(PP_Grid[#Data],$DD948,34),0)</f>
        <v/>
      </c>
      <c r="AK948">
        <f>IFERROR(INDEX(PP_Grid[#Data],$DD948,35),0)</f>
        <v/>
      </c>
      <c r="AL948">
        <f>IFERROR(INDEX(PP_Grid[#Data],$DD948,36),0)</f>
        <v/>
      </c>
      <c r="AM948">
        <f>IFERROR(INDEX(PP_Grid[#Data],$DD948,37),0)</f>
        <v/>
      </c>
      <c r="AN948">
        <f>IFERROR(INDEX(PP_Grid[#Data],$DD948,38),0)</f>
        <v/>
      </c>
      <c r="AO948">
        <f>IFERROR(INDEX(PP_Grid[#Data],$DD948,39),0)</f>
        <v/>
      </c>
      <c r="AP948">
        <f>IFERROR(INDEX(PP_Grid[#Data],$DD948,40),0)</f>
        <v/>
      </c>
      <c r="AQ948">
        <f>IFERROR(INDEX(PP_Grid[#Data],$DD948,41),0)</f>
        <v/>
      </c>
      <c r="AR948">
        <f>IFERROR(INDEX(PP_Grid[#Data],$DD948,42),0)</f>
        <v/>
      </c>
      <c r="AS948">
        <f>IFERROR(INDEX(PP_Grid[#Data],$DD948,43),0)</f>
        <v/>
      </c>
      <c r="AT948">
        <f>IFERROR(INDEX(PP_Grid[#Data],$DD948,44),0)</f>
        <v/>
      </c>
      <c r="AU948">
        <f>IFERROR(INDEX(PP_Grid[#Data],$DD948,45),0)</f>
        <v/>
      </c>
      <c r="AV948">
        <f>IFERROR(INDEX(PP_Grid[#Data],$DD948,46),0)</f>
        <v/>
      </c>
      <c r="AW948">
        <f>IFERROR(INDEX(PP_Grid[#Data],$DD948,47),0)</f>
        <v/>
      </c>
      <c r="AX948">
        <f>IFERROR(INDEX(PP_Grid[#Data],$DD948,48),0)</f>
        <v/>
      </c>
      <c r="AY948">
        <f>IFERROR(INDEX(PP_Grid[#Data],$DD948,49),0)</f>
        <v/>
      </c>
      <c r="AZ948">
        <f>IFERROR(INDEX(PP_Grid[#Data],$DD948,50),0)</f>
        <v/>
      </c>
      <c r="BA948">
        <f>IFERROR(INDEX(PP_Grid[#Data],$DD948,51),0)</f>
        <v/>
      </c>
      <c r="BB948">
        <f>IFERROR(INDEX(PP_Grid[#Data],$DD948,52),0)</f>
        <v/>
      </c>
      <c r="BC948">
        <f>IFERROR(INDEX(PP_Grid[#Data],$DD948,53),0)</f>
        <v/>
      </c>
      <c r="BD948">
        <f>IFERROR(INDEX(PP_Grid[#Data],$DD948,54),0)</f>
        <v/>
      </c>
      <c r="BE948">
        <f>IFERROR(INDEX(PP_Grid[#Data],$DD948,55),0)</f>
        <v/>
      </c>
      <c r="BF948">
        <f>IFERROR(INDEX(PP_Grid[#Data],$DD948,56),0)</f>
        <v/>
      </c>
      <c r="BG948">
        <f>IFERROR(INDEX(PP_Grid[#Data],$DD948,57),0)</f>
        <v/>
      </c>
      <c r="BH948">
        <f>IFERROR(INDEX(PP_Grid[#Data],$DD948,58),0)</f>
        <v/>
      </c>
      <c r="BI948">
        <f>IFERROR(INDEX(PP_Grid[#Data],$DD948,59),0)</f>
        <v/>
      </c>
      <c r="BJ948">
        <f>IFERROR(INDEX(PP_Grid[#Data],$DD948,60),0)</f>
        <v/>
      </c>
      <c r="BK948">
        <f>IFERROR(INDEX(PP_Grid[#Data],$DD948,61),0)</f>
        <v/>
      </c>
      <c r="BL948">
        <f>IFERROR(INDEX(PP_Grid[#Data],$DD948,62),0)</f>
        <v/>
      </c>
      <c r="BM948">
        <f>IFERROR(INDEX(PP_Grid[#Data],$DD948,63),0)</f>
        <v/>
      </c>
      <c r="BN948">
        <f>IFERROR(INDEX(PP_Grid[#Data],$DD948,64),0)</f>
        <v/>
      </c>
      <c r="BO948">
        <f>IFERROR(INDEX(PP_Grid[#Data],$DD948,65),0)</f>
        <v/>
      </c>
      <c r="BP948">
        <f>IFERROR(INDEX(PP_Grid[#Data],$DD948,66),0)</f>
        <v/>
      </c>
      <c r="BQ948">
        <f>IFERROR(INDEX(PP_Grid[#Data],$DD948,67),0)</f>
        <v/>
      </c>
      <c r="BR948">
        <f>IFERROR(INDEX(PP_Grid[#Data],$DD948,68),0)</f>
        <v/>
      </c>
      <c r="BS948">
        <f>IFERROR(INDEX(PP_Grid[#Data],$DD948,69),0)</f>
        <v/>
      </c>
      <c r="BT948">
        <f>IFERROR(INDEX(PP_Grid[#Data],$DD948,70),0)</f>
        <v/>
      </c>
      <c r="BU948">
        <f>IFERROR(INDEX(PP_Grid[#Data],$DD948,71),0)</f>
        <v/>
      </c>
      <c r="BV948">
        <f>IFERROR(INDEX(PP_Grid[#Data],$DD948,72),0)</f>
        <v/>
      </c>
      <c r="BW948">
        <f>IFERROR(INDEX(PP_Grid[#Data],$DD948,73),0)</f>
        <v/>
      </c>
      <c r="BX948">
        <f>IFERROR(INDEX(PP_Grid[#Data],$DD948,74),0)</f>
        <v/>
      </c>
      <c r="BY948">
        <f>IFERROR(INDEX(PP_Grid[#Data],$DD948,75),0)</f>
        <v/>
      </c>
      <c r="BZ948">
        <f>IFERROR(INDEX(PP_Grid[#Data],$DD948,76),0)</f>
        <v/>
      </c>
      <c r="CA948">
        <f>IFERROR(INDEX(PP_Grid[#Data],$DD948,77),0)</f>
        <v/>
      </c>
      <c r="CB948">
        <f>IFERROR(INDEX(PP_Grid[#Data],$DD948,78),0)</f>
        <v/>
      </c>
      <c r="CC948">
        <f>IFERROR(INDEX(PP_Grid[#Data],$DD948,79),0)</f>
        <v/>
      </c>
      <c r="CD948">
        <f>IFERROR(INDEX(PP_Grid[#Data],$DD948,80),0)</f>
        <v/>
      </c>
      <c r="CE948">
        <f>IFERROR(INDEX(PP_Grid[#Data],$DD948,81),0)</f>
        <v/>
      </c>
      <c r="CF948">
        <f>IFERROR(INDEX(PP_Grid[#Data],$DD948,82),0)</f>
        <v/>
      </c>
      <c r="CG948">
        <f>IFERROR(INDEX(PP_Grid[#Data],$DD948,83),0)</f>
        <v/>
      </c>
      <c r="CH948">
        <f>IFERROR(INDEX(PP_Grid[#Data],$DD948,84),0)</f>
        <v/>
      </c>
      <c r="CI948">
        <f>IFERROR(INDEX(PP_Grid[#Data],$DD948,85),0)</f>
        <v/>
      </c>
      <c r="CJ948">
        <f>IFERROR(INDEX(PP_Grid[#Data],$DD948,86),0)</f>
        <v/>
      </c>
      <c r="CK948">
        <f>IFERROR(INDEX(PP_Grid[#Data],$DD948,87),0)</f>
        <v/>
      </c>
      <c r="CL948">
        <f>IFERROR(INDEX(PP_Grid[#Data],$DD948,88),0)</f>
        <v/>
      </c>
      <c r="CM948">
        <f>IFERROR(INDEX(PP_Grid[#Data],$DD948,89),0)</f>
        <v/>
      </c>
      <c r="CN948">
        <f>IFERROR(INDEX(PP_Grid[#Data],$DD948,90),0)</f>
        <v/>
      </c>
      <c r="CO948">
        <f>IFERROR(INDEX(PP_Grid[#Data],$DD948,91),0)</f>
        <v/>
      </c>
      <c r="CP948">
        <f>IFERROR(INDEX(PP_Grid[#Data],$DD948,92),0)</f>
        <v/>
      </c>
      <c r="CQ948">
        <f>IFERROR(INDEX(PP_Grid[#Data],$DD948,93),0)</f>
        <v/>
      </c>
      <c r="CR948">
        <f>IFERROR(INDEX(PP_Grid[#Data],$DD948,94),0)</f>
        <v/>
      </c>
      <c r="CS948">
        <f>IFERROR(INDEX(PP_Grid[#Data],$DD948,95),0)</f>
        <v/>
      </c>
      <c r="CT948">
        <f>IFERROR(INDEX(PP_Grid[#Data],$DD948,96),0)</f>
        <v/>
      </c>
      <c r="CU948">
        <f>IFERROR(INDEX(PP_Grid[#Data],$DD948,97),0)</f>
        <v/>
      </c>
      <c r="CV948">
        <f>IFERROR(INDEX(PP_Grid[#Data],$DD948,98),0)</f>
        <v/>
      </c>
      <c r="CW948">
        <f>IFERROR(INDEX(PP_Grid[#Data],$DD948,99),0)</f>
        <v/>
      </c>
      <c r="CX948">
        <f>IFERROR(INDEX(PP_Grid[#Data],$DD948,100),0)</f>
        <v/>
      </c>
      <c r="CY948">
        <f>IFERROR(INDEX(PP_Grid[#Data],$DD948,101),0)</f>
        <v/>
      </c>
      <c r="CZ948">
        <f>IFERROR(INDEX(PP_Grid[#Data],$DD948,102),0)</f>
        <v/>
      </c>
      <c r="DA948">
        <f>IFERROR(INDEX(PP_Grid[#Data],$DD948,103),0)</f>
        <v/>
      </c>
      <c r="DB948">
        <f>IFERROR(INDEX(PP_Grid[#Data],$DD948,104),0)</f>
        <v/>
      </c>
      <c r="DC948">
        <f>IFERROR(INDEX(PP_Grid[#Data],$DD948,105),0)</f>
        <v/>
      </c>
      <c r="DD948" s="7">
        <f>IFERROR(MATCH($B948,PP_Grid[Intermediate],0),99999)</f>
        <v/>
      </c>
    </row>
    <row r="949">
      <c r="B949" t="inlineStr">
        <is>
          <t>使用量(kg)</t>
        </is>
      </c>
      <c r="C949">
        <f>SUMIFS(M_BOM[RM_Qty_Per_Batch],M_BOM[Intermediate],$B948,M_BOM[Part Name],$A923)</f>
        <v/>
      </c>
      <c r="D949">
        <f>$C949*D948</f>
        <v/>
      </c>
      <c r="E949">
        <f>$C949*E948</f>
        <v/>
      </c>
      <c r="F949">
        <f>$C949*F948</f>
        <v/>
      </c>
      <c r="G949">
        <f>$C949*G948</f>
        <v/>
      </c>
      <c r="H949">
        <f>$C949*H948</f>
        <v/>
      </c>
      <c r="I949">
        <f>$C949*I948</f>
        <v/>
      </c>
      <c r="J949">
        <f>$C949*J948</f>
        <v/>
      </c>
      <c r="K949">
        <f>$C949*K948</f>
        <v/>
      </c>
      <c r="L949">
        <f>$C949*L948</f>
        <v/>
      </c>
      <c r="M949">
        <f>$C949*M948</f>
        <v/>
      </c>
      <c r="N949">
        <f>$C949*N948</f>
        <v/>
      </c>
      <c r="O949">
        <f>$C949*O948</f>
        <v/>
      </c>
      <c r="P949">
        <f>$C949*P948</f>
        <v/>
      </c>
      <c r="Q949">
        <f>$C949*Q948</f>
        <v/>
      </c>
      <c r="R949">
        <f>$C949*R948</f>
        <v/>
      </c>
      <c r="S949">
        <f>$C949*S948</f>
        <v/>
      </c>
      <c r="T949">
        <f>$C949*T948</f>
        <v/>
      </c>
      <c r="U949">
        <f>$C949*U948</f>
        <v/>
      </c>
      <c r="V949">
        <f>$C949*V948</f>
        <v/>
      </c>
      <c r="W949">
        <f>$C949*W948</f>
        <v/>
      </c>
      <c r="X949">
        <f>$C949*X948</f>
        <v/>
      </c>
      <c r="Y949">
        <f>$C949*Y948</f>
        <v/>
      </c>
      <c r="Z949">
        <f>$C949*Z948</f>
        <v/>
      </c>
      <c r="AA949">
        <f>$C949*AA948</f>
        <v/>
      </c>
      <c r="AB949">
        <f>$C949*AB948</f>
        <v/>
      </c>
      <c r="AC949">
        <f>$C949*AC948</f>
        <v/>
      </c>
      <c r="AD949">
        <f>$C949*AD948</f>
        <v/>
      </c>
      <c r="AE949">
        <f>$C949*AE948</f>
        <v/>
      </c>
      <c r="AF949">
        <f>$C949*AF948</f>
        <v/>
      </c>
      <c r="AG949">
        <f>$C949*AG948</f>
        <v/>
      </c>
      <c r="AH949">
        <f>$C949*AH948</f>
        <v/>
      </c>
      <c r="AI949">
        <f>$C949*AI948</f>
        <v/>
      </c>
      <c r="AJ949">
        <f>$C949*AJ948</f>
        <v/>
      </c>
      <c r="AK949">
        <f>$C949*AK948</f>
        <v/>
      </c>
      <c r="AL949">
        <f>$C949*AL948</f>
        <v/>
      </c>
      <c r="AM949">
        <f>$C949*AM948</f>
        <v/>
      </c>
      <c r="AN949">
        <f>$C949*AN948</f>
        <v/>
      </c>
      <c r="AO949">
        <f>$C949*AO948</f>
        <v/>
      </c>
      <c r="AP949">
        <f>$C949*AP948</f>
        <v/>
      </c>
      <c r="AQ949">
        <f>$C949*AQ948</f>
        <v/>
      </c>
      <c r="AR949">
        <f>$C949*AR948</f>
        <v/>
      </c>
      <c r="AS949">
        <f>$C949*AS948</f>
        <v/>
      </c>
      <c r="AT949">
        <f>$C949*AT948</f>
        <v/>
      </c>
      <c r="AU949">
        <f>$C949*AU948</f>
        <v/>
      </c>
      <c r="AV949">
        <f>$C949*AV948</f>
        <v/>
      </c>
      <c r="AW949">
        <f>$C949*AW948</f>
        <v/>
      </c>
      <c r="AX949">
        <f>$C949*AX948</f>
        <v/>
      </c>
      <c r="AY949">
        <f>$C949*AY948</f>
        <v/>
      </c>
      <c r="AZ949">
        <f>$C949*AZ948</f>
        <v/>
      </c>
      <c r="BA949">
        <f>$C949*BA948</f>
        <v/>
      </c>
      <c r="BB949">
        <f>$C949*BB948</f>
        <v/>
      </c>
      <c r="BC949">
        <f>$C949*BC948</f>
        <v/>
      </c>
      <c r="BD949">
        <f>$C949*BD948</f>
        <v/>
      </c>
      <c r="BE949">
        <f>$C949*BE948</f>
        <v/>
      </c>
      <c r="BF949">
        <f>$C949*BF948</f>
        <v/>
      </c>
      <c r="BG949">
        <f>$C949*BG948</f>
        <v/>
      </c>
      <c r="BH949">
        <f>$C949*BH948</f>
        <v/>
      </c>
      <c r="BI949">
        <f>$C949*BI948</f>
        <v/>
      </c>
      <c r="BJ949">
        <f>$C949*BJ948</f>
        <v/>
      </c>
      <c r="BK949">
        <f>$C949*BK948</f>
        <v/>
      </c>
      <c r="BL949">
        <f>$C949*BL948</f>
        <v/>
      </c>
      <c r="BM949">
        <f>$C949*BM948</f>
        <v/>
      </c>
      <c r="BN949">
        <f>$C949*BN948</f>
        <v/>
      </c>
      <c r="BO949">
        <f>$C949*BO948</f>
        <v/>
      </c>
      <c r="BP949">
        <f>$C949*BP948</f>
        <v/>
      </c>
      <c r="BQ949">
        <f>$C949*BQ948</f>
        <v/>
      </c>
      <c r="BR949">
        <f>$C949*BR948</f>
        <v/>
      </c>
      <c r="BS949">
        <f>$C949*BS948</f>
        <v/>
      </c>
      <c r="BT949">
        <f>$C949*BT948</f>
        <v/>
      </c>
      <c r="BU949">
        <f>$C949*BU948</f>
        <v/>
      </c>
      <c r="BV949">
        <f>$C949*BV948</f>
        <v/>
      </c>
      <c r="BW949">
        <f>$C949*BW948</f>
        <v/>
      </c>
      <c r="BX949">
        <f>$C949*BX948</f>
        <v/>
      </c>
      <c r="BY949">
        <f>$C949*BY948</f>
        <v/>
      </c>
      <c r="BZ949">
        <f>$C949*BZ948</f>
        <v/>
      </c>
      <c r="CA949">
        <f>$C949*CA948</f>
        <v/>
      </c>
      <c r="CB949">
        <f>$C949*CB948</f>
        <v/>
      </c>
      <c r="CC949">
        <f>$C949*CC948</f>
        <v/>
      </c>
      <c r="CD949">
        <f>$C949*CD948</f>
        <v/>
      </c>
      <c r="CE949">
        <f>$C949*CE948</f>
        <v/>
      </c>
      <c r="CF949">
        <f>$C949*CF948</f>
        <v/>
      </c>
      <c r="CG949">
        <f>$C949*CG948</f>
        <v/>
      </c>
      <c r="CH949">
        <f>$C949*CH948</f>
        <v/>
      </c>
      <c r="CI949">
        <f>$C949*CI948</f>
        <v/>
      </c>
      <c r="CJ949">
        <f>$C949*CJ948</f>
        <v/>
      </c>
      <c r="CK949">
        <f>$C949*CK948</f>
        <v/>
      </c>
      <c r="CL949">
        <f>$C949*CL948</f>
        <v/>
      </c>
      <c r="CM949">
        <f>$C949*CM948</f>
        <v/>
      </c>
      <c r="CN949">
        <f>$C949*CN948</f>
        <v/>
      </c>
      <c r="CO949">
        <f>$C949*CO948</f>
        <v/>
      </c>
      <c r="CP949">
        <f>$C949*CP948</f>
        <v/>
      </c>
      <c r="CQ949">
        <f>$C949*CQ948</f>
        <v/>
      </c>
      <c r="CR949">
        <f>$C949*CR948</f>
        <v/>
      </c>
      <c r="CS949">
        <f>$C949*CS948</f>
        <v/>
      </c>
      <c r="CT949">
        <f>$C949*CT948</f>
        <v/>
      </c>
      <c r="CU949">
        <f>$C949*CU948</f>
        <v/>
      </c>
      <c r="CV949">
        <f>$C949*CV948</f>
        <v/>
      </c>
      <c r="CW949">
        <f>$C949*CW948</f>
        <v/>
      </c>
      <c r="CX949">
        <f>$C949*CX948</f>
        <v/>
      </c>
      <c r="CY949">
        <f>$C949*CY948</f>
        <v/>
      </c>
      <c r="CZ949">
        <f>$C949*CZ948</f>
        <v/>
      </c>
      <c r="DA949">
        <f>$C949*DA948</f>
        <v/>
      </c>
      <c r="DB949">
        <f>$C949*DB948</f>
        <v/>
      </c>
      <c r="DC949">
        <f>$C949*DC948</f>
        <v/>
      </c>
    </row>
    <row r="950">
      <c r="B950" t="inlineStr">
        <is>
          <t>TSP-1499</t>
        </is>
      </c>
      <c r="C950" t="inlineStr">
        <is>
          <t>No. of batches</t>
        </is>
      </c>
      <c r="D950">
        <f>IFERROR(INDEX(PP_Grid[#Data],$DD950,2),0)</f>
        <v/>
      </c>
      <c r="E950">
        <f>IFERROR(INDEX(PP_Grid[#Data],$DD950,3),0)</f>
        <v/>
      </c>
      <c r="F950">
        <f>IFERROR(INDEX(PP_Grid[#Data],$DD950,4),0)</f>
        <v/>
      </c>
      <c r="G950">
        <f>IFERROR(INDEX(PP_Grid[#Data],$DD950,5),0)</f>
        <v/>
      </c>
      <c r="H950">
        <f>IFERROR(INDEX(PP_Grid[#Data],$DD950,6),0)</f>
        <v/>
      </c>
      <c r="I950">
        <f>IFERROR(INDEX(PP_Grid[#Data],$DD950,7),0)</f>
        <v/>
      </c>
      <c r="J950">
        <f>IFERROR(INDEX(PP_Grid[#Data],$DD950,8),0)</f>
        <v/>
      </c>
      <c r="K950">
        <f>IFERROR(INDEX(PP_Grid[#Data],$DD950,9),0)</f>
        <v/>
      </c>
      <c r="L950">
        <f>IFERROR(INDEX(PP_Grid[#Data],$DD950,10),0)</f>
        <v/>
      </c>
      <c r="M950">
        <f>IFERROR(INDEX(PP_Grid[#Data],$DD950,11),0)</f>
        <v/>
      </c>
      <c r="N950">
        <f>IFERROR(INDEX(PP_Grid[#Data],$DD950,12),0)</f>
        <v/>
      </c>
      <c r="O950">
        <f>IFERROR(INDEX(PP_Grid[#Data],$DD950,13),0)</f>
        <v/>
      </c>
      <c r="P950">
        <f>IFERROR(INDEX(PP_Grid[#Data],$DD950,14),0)</f>
        <v/>
      </c>
      <c r="Q950">
        <f>IFERROR(INDEX(PP_Grid[#Data],$DD950,15),0)</f>
        <v/>
      </c>
      <c r="R950">
        <f>IFERROR(INDEX(PP_Grid[#Data],$DD950,16),0)</f>
        <v/>
      </c>
      <c r="S950">
        <f>IFERROR(INDEX(PP_Grid[#Data],$DD950,17),0)</f>
        <v/>
      </c>
      <c r="T950">
        <f>IFERROR(INDEX(PP_Grid[#Data],$DD950,18),0)</f>
        <v/>
      </c>
      <c r="U950">
        <f>IFERROR(INDEX(PP_Grid[#Data],$DD950,19),0)</f>
        <v/>
      </c>
      <c r="V950">
        <f>IFERROR(INDEX(PP_Grid[#Data],$DD950,20),0)</f>
        <v/>
      </c>
      <c r="W950">
        <f>IFERROR(INDEX(PP_Grid[#Data],$DD950,21),0)</f>
        <v/>
      </c>
      <c r="X950">
        <f>IFERROR(INDEX(PP_Grid[#Data],$DD950,22),0)</f>
        <v/>
      </c>
      <c r="Y950">
        <f>IFERROR(INDEX(PP_Grid[#Data],$DD950,23),0)</f>
        <v/>
      </c>
      <c r="Z950">
        <f>IFERROR(INDEX(PP_Grid[#Data],$DD950,24),0)</f>
        <v/>
      </c>
      <c r="AA950">
        <f>IFERROR(INDEX(PP_Grid[#Data],$DD950,25),0)</f>
        <v/>
      </c>
      <c r="AB950">
        <f>IFERROR(INDEX(PP_Grid[#Data],$DD950,26),0)</f>
        <v/>
      </c>
      <c r="AC950">
        <f>IFERROR(INDEX(PP_Grid[#Data],$DD950,27),0)</f>
        <v/>
      </c>
      <c r="AD950">
        <f>IFERROR(INDEX(PP_Grid[#Data],$DD950,28),0)</f>
        <v/>
      </c>
      <c r="AE950">
        <f>IFERROR(INDEX(PP_Grid[#Data],$DD950,29),0)</f>
        <v/>
      </c>
      <c r="AF950">
        <f>IFERROR(INDEX(PP_Grid[#Data],$DD950,30),0)</f>
        <v/>
      </c>
      <c r="AG950">
        <f>IFERROR(INDEX(PP_Grid[#Data],$DD950,31),0)</f>
        <v/>
      </c>
      <c r="AH950">
        <f>IFERROR(INDEX(PP_Grid[#Data],$DD950,32),0)</f>
        <v/>
      </c>
      <c r="AI950">
        <f>IFERROR(INDEX(PP_Grid[#Data],$DD950,33),0)</f>
        <v/>
      </c>
      <c r="AJ950">
        <f>IFERROR(INDEX(PP_Grid[#Data],$DD950,34),0)</f>
        <v/>
      </c>
      <c r="AK950">
        <f>IFERROR(INDEX(PP_Grid[#Data],$DD950,35),0)</f>
        <v/>
      </c>
      <c r="AL950">
        <f>IFERROR(INDEX(PP_Grid[#Data],$DD950,36),0)</f>
        <v/>
      </c>
      <c r="AM950">
        <f>IFERROR(INDEX(PP_Grid[#Data],$DD950,37),0)</f>
        <v/>
      </c>
      <c r="AN950">
        <f>IFERROR(INDEX(PP_Grid[#Data],$DD950,38),0)</f>
        <v/>
      </c>
      <c r="AO950">
        <f>IFERROR(INDEX(PP_Grid[#Data],$DD950,39),0)</f>
        <v/>
      </c>
      <c r="AP950">
        <f>IFERROR(INDEX(PP_Grid[#Data],$DD950,40),0)</f>
        <v/>
      </c>
      <c r="AQ950">
        <f>IFERROR(INDEX(PP_Grid[#Data],$DD950,41),0)</f>
        <v/>
      </c>
      <c r="AR950">
        <f>IFERROR(INDEX(PP_Grid[#Data],$DD950,42),0)</f>
        <v/>
      </c>
      <c r="AS950">
        <f>IFERROR(INDEX(PP_Grid[#Data],$DD950,43),0)</f>
        <v/>
      </c>
      <c r="AT950">
        <f>IFERROR(INDEX(PP_Grid[#Data],$DD950,44),0)</f>
        <v/>
      </c>
      <c r="AU950">
        <f>IFERROR(INDEX(PP_Grid[#Data],$DD950,45),0)</f>
        <v/>
      </c>
      <c r="AV950">
        <f>IFERROR(INDEX(PP_Grid[#Data],$DD950,46),0)</f>
        <v/>
      </c>
      <c r="AW950">
        <f>IFERROR(INDEX(PP_Grid[#Data],$DD950,47),0)</f>
        <v/>
      </c>
      <c r="AX950">
        <f>IFERROR(INDEX(PP_Grid[#Data],$DD950,48),0)</f>
        <v/>
      </c>
      <c r="AY950">
        <f>IFERROR(INDEX(PP_Grid[#Data],$DD950,49),0)</f>
        <v/>
      </c>
      <c r="AZ950">
        <f>IFERROR(INDEX(PP_Grid[#Data],$DD950,50),0)</f>
        <v/>
      </c>
      <c r="BA950">
        <f>IFERROR(INDEX(PP_Grid[#Data],$DD950,51),0)</f>
        <v/>
      </c>
      <c r="BB950">
        <f>IFERROR(INDEX(PP_Grid[#Data],$DD950,52),0)</f>
        <v/>
      </c>
      <c r="BC950">
        <f>IFERROR(INDEX(PP_Grid[#Data],$DD950,53),0)</f>
        <v/>
      </c>
      <c r="BD950">
        <f>IFERROR(INDEX(PP_Grid[#Data],$DD950,54),0)</f>
        <v/>
      </c>
      <c r="BE950">
        <f>IFERROR(INDEX(PP_Grid[#Data],$DD950,55),0)</f>
        <v/>
      </c>
      <c r="BF950">
        <f>IFERROR(INDEX(PP_Grid[#Data],$DD950,56),0)</f>
        <v/>
      </c>
      <c r="BG950">
        <f>IFERROR(INDEX(PP_Grid[#Data],$DD950,57),0)</f>
        <v/>
      </c>
      <c r="BH950">
        <f>IFERROR(INDEX(PP_Grid[#Data],$DD950,58),0)</f>
        <v/>
      </c>
      <c r="BI950">
        <f>IFERROR(INDEX(PP_Grid[#Data],$DD950,59),0)</f>
        <v/>
      </c>
      <c r="BJ950">
        <f>IFERROR(INDEX(PP_Grid[#Data],$DD950,60),0)</f>
        <v/>
      </c>
      <c r="BK950">
        <f>IFERROR(INDEX(PP_Grid[#Data],$DD950,61),0)</f>
        <v/>
      </c>
      <c r="BL950">
        <f>IFERROR(INDEX(PP_Grid[#Data],$DD950,62),0)</f>
        <v/>
      </c>
      <c r="BM950">
        <f>IFERROR(INDEX(PP_Grid[#Data],$DD950,63),0)</f>
        <v/>
      </c>
      <c r="BN950">
        <f>IFERROR(INDEX(PP_Grid[#Data],$DD950,64),0)</f>
        <v/>
      </c>
      <c r="BO950">
        <f>IFERROR(INDEX(PP_Grid[#Data],$DD950,65),0)</f>
        <v/>
      </c>
      <c r="BP950">
        <f>IFERROR(INDEX(PP_Grid[#Data],$DD950,66),0)</f>
        <v/>
      </c>
      <c r="BQ950">
        <f>IFERROR(INDEX(PP_Grid[#Data],$DD950,67),0)</f>
        <v/>
      </c>
      <c r="BR950">
        <f>IFERROR(INDEX(PP_Grid[#Data],$DD950,68),0)</f>
        <v/>
      </c>
      <c r="BS950">
        <f>IFERROR(INDEX(PP_Grid[#Data],$DD950,69),0)</f>
        <v/>
      </c>
      <c r="BT950">
        <f>IFERROR(INDEX(PP_Grid[#Data],$DD950,70),0)</f>
        <v/>
      </c>
      <c r="BU950">
        <f>IFERROR(INDEX(PP_Grid[#Data],$DD950,71),0)</f>
        <v/>
      </c>
      <c r="BV950">
        <f>IFERROR(INDEX(PP_Grid[#Data],$DD950,72),0)</f>
        <v/>
      </c>
      <c r="BW950">
        <f>IFERROR(INDEX(PP_Grid[#Data],$DD950,73),0)</f>
        <v/>
      </c>
      <c r="BX950">
        <f>IFERROR(INDEX(PP_Grid[#Data],$DD950,74),0)</f>
        <v/>
      </c>
      <c r="BY950">
        <f>IFERROR(INDEX(PP_Grid[#Data],$DD950,75),0)</f>
        <v/>
      </c>
      <c r="BZ950">
        <f>IFERROR(INDEX(PP_Grid[#Data],$DD950,76),0)</f>
        <v/>
      </c>
      <c r="CA950">
        <f>IFERROR(INDEX(PP_Grid[#Data],$DD950,77),0)</f>
        <v/>
      </c>
      <c r="CB950">
        <f>IFERROR(INDEX(PP_Grid[#Data],$DD950,78),0)</f>
        <v/>
      </c>
      <c r="CC950">
        <f>IFERROR(INDEX(PP_Grid[#Data],$DD950,79),0)</f>
        <v/>
      </c>
      <c r="CD950">
        <f>IFERROR(INDEX(PP_Grid[#Data],$DD950,80),0)</f>
        <v/>
      </c>
      <c r="CE950">
        <f>IFERROR(INDEX(PP_Grid[#Data],$DD950,81),0)</f>
        <v/>
      </c>
      <c r="CF950">
        <f>IFERROR(INDEX(PP_Grid[#Data],$DD950,82),0)</f>
        <v/>
      </c>
      <c r="CG950">
        <f>IFERROR(INDEX(PP_Grid[#Data],$DD950,83),0)</f>
        <v/>
      </c>
      <c r="CH950">
        <f>IFERROR(INDEX(PP_Grid[#Data],$DD950,84),0)</f>
        <v/>
      </c>
      <c r="CI950">
        <f>IFERROR(INDEX(PP_Grid[#Data],$DD950,85),0)</f>
        <v/>
      </c>
      <c r="CJ950">
        <f>IFERROR(INDEX(PP_Grid[#Data],$DD950,86),0)</f>
        <v/>
      </c>
      <c r="CK950">
        <f>IFERROR(INDEX(PP_Grid[#Data],$DD950,87),0)</f>
        <v/>
      </c>
      <c r="CL950">
        <f>IFERROR(INDEX(PP_Grid[#Data],$DD950,88),0)</f>
        <v/>
      </c>
      <c r="CM950">
        <f>IFERROR(INDEX(PP_Grid[#Data],$DD950,89),0)</f>
        <v/>
      </c>
      <c r="CN950">
        <f>IFERROR(INDEX(PP_Grid[#Data],$DD950,90),0)</f>
        <v/>
      </c>
      <c r="CO950">
        <f>IFERROR(INDEX(PP_Grid[#Data],$DD950,91),0)</f>
        <v/>
      </c>
      <c r="CP950">
        <f>IFERROR(INDEX(PP_Grid[#Data],$DD950,92),0)</f>
        <v/>
      </c>
      <c r="CQ950">
        <f>IFERROR(INDEX(PP_Grid[#Data],$DD950,93),0)</f>
        <v/>
      </c>
      <c r="CR950">
        <f>IFERROR(INDEX(PP_Grid[#Data],$DD950,94),0)</f>
        <v/>
      </c>
      <c r="CS950">
        <f>IFERROR(INDEX(PP_Grid[#Data],$DD950,95),0)</f>
        <v/>
      </c>
      <c r="CT950">
        <f>IFERROR(INDEX(PP_Grid[#Data],$DD950,96),0)</f>
        <v/>
      </c>
      <c r="CU950">
        <f>IFERROR(INDEX(PP_Grid[#Data],$DD950,97),0)</f>
        <v/>
      </c>
      <c r="CV950">
        <f>IFERROR(INDEX(PP_Grid[#Data],$DD950,98),0)</f>
        <v/>
      </c>
      <c r="CW950">
        <f>IFERROR(INDEX(PP_Grid[#Data],$DD950,99),0)</f>
        <v/>
      </c>
      <c r="CX950">
        <f>IFERROR(INDEX(PP_Grid[#Data],$DD950,100),0)</f>
        <v/>
      </c>
      <c r="CY950">
        <f>IFERROR(INDEX(PP_Grid[#Data],$DD950,101),0)</f>
        <v/>
      </c>
      <c r="CZ950">
        <f>IFERROR(INDEX(PP_Grid[#Data],$DD950,102),0)</f>
        <v/>
      </c>
      <c r="DA950">
        <f>IFERROR(INDEX(PP_Grid[#Data],$DD950,103),0)</f>
        <v/>
      </c>
      <c r="DB950">
        <f>IFERROR(INDEX(PP_Grid[#Data],$DD950,104),0)</f>
        <v/>
      </c>
      <c r="DC950">
        <f>IFERROR(INDEX(PP_Grid[#Data],$DD950,105),0)</f>
        <v/>
      </c>
      <c r="DD950" s="7">
        <f>IFERROR(MATCH($B950,PP_Grid[Intermediate],0),99999)</f>
        <v/>
      </c>
    </row>
    <row r="951">
      <c r="B951" t="inlineStr">
        <is>
          <t>使用量(kg)</t>
        </is>
      </c>
      <c r="C951">
        <f>SUMIFS(M_BOM[RM_Qty_Per_Batch],M_BOM[Intermediate],$B950,M_BOM[Part Name],$A923)</f>
        <v/>
      </c>
      <c r="D951">
        <f>$C951*D950</f>
        <v/>
      </c>
      <c r="E951">
        <f>$C951*E950</f>
        <v/>
      </c>
      <c r="F951">
        <f>$C951*F950</f>
        <v/>
      </c>
      <c r="G951">
        <f>$C951*G950</f>
        <v/>
      </c>
      <c r="H951">
        <f>$C951*H950</f>
        <v/>
      </c>
      <c r="I951">
        <f>$C951*I950</f>
        <v/>
      </c>
      <c r="J951">
        <f>$C951*J950</f>
        <v/>
      </c>
      <c r="K951">
        <f>$C951*K950</f>
        <v/>
      </c>
      <c r="L951">
        <f>$C951*L950</f>
        <v/>
      </c>
      <c r="M951">
        <f>$C951*M950</f>
        <v/>
      </c>
      <c r="N951">
        <f>$C951*N950</f>
        <v/>
      </c>
      <c r="O951">
        <f>$C951*O950</f>
        <v/>
      </c>
      <c r="P951">
        <f>$C951*P950</f>
        <v/>
      </c>
      <c r="Q951">
        <f>$C951*Q950</f>
        <v/>
      </c>
      <c r="R951">
        <f>$C951*R950</f>
        <v/>
      </c>
      <c r="S951">
        <f>$C951*S950</f>
        <v/>
      </c>
      <c r="T951">
        <f>$C951*T950</f>
        <v/>
      </c>
      <c r="U951">
        <f>$C951*U950</f>
        <v/>
      </c>
      <c r="V951">
        <f>$C951*V950</f>
        <v/>
      </c>
      <c r="W951">
        <f>$C951*W950</f>
        <v/>
      </c>
      <c r="X951">
        <f>$C951*X950</f>
        <v/>
      </c>
      <c r="Y951">
        <f>$C951*Y950</f>
        <v/>
      </c>
      <c r="Z951">
        <f>$C951*Z950</f>
        <v/>
      </c>
      <c r="AA951">
        <f>$C951*AA950</f>
        <v/>
      </c>
      <c r="AB951">
        <f>$C951*AB950</f>
        <v/>
      </c>
      <c r="AC951">
        <f>$C951*AC950</f>
        <v/>
      </c>
      <c r="AD951">
        <f>$C951*AD950</f>
        <v/>
      </c>
      <c r="AE951">
        <f>$C951*AE950</f>
        <v/>
      </c>
      <c r="AF951">
        <f>$C951*AF950</f>
        <v/>
      </c>
      <c r="AG951">
        <f>$C951*AG950</f>
        <v/>
      </c>
      <c r="AH951">
        <f>$C951*AH950</f>
        <v/>
      </c>
      <c r="AI951">
        <f>$C951*AI950</f>
        <v/>
      </c>
      <c r="AJ951">
        <f>$C951*AJ950</f>
        <v/>
      </c>
      <c r="AK951">
        <f>$C951*AK950</f>
        <v/>
      </c>
      <c r="AL951">
        <f>$C951*AL950</f>
        <v/>
      </c>
      <c r="AM951">
        <f>$C951*AM950</f>
        <v/>
      </c>
      <c r="AN951">
        <f>$C951*AN950</f>
        <v/>
      </c>
      <c r="AO951">
        <f>$C951*AO950</f>
        <v/>
      </c>
      <c r="AP951">
        <f>$C951*AP950</f>
        <v/>
      </c>
      <c r="AQ951">
        <f>$C951*AQ950</f>
        <v/>
      </c>
      <c r="AR951">
        <f>$C951*AR950</f>
        <v/>
      </c>
      <c r="AS951">
        <f>$C951*AS950</f>
        <v/>
      </c>
      <c r="AT951">
        <f>$C951*AT950</f>
        <v/>
      </c>
      <c r="AU951">
        <f>$C951*AU950</f>
        <v/>
      </c>
      <c r="AV951">
        <f>$C951*AV950</f>
        <v/>
      </c>
      <c r="AW951">
        <f>$C951*AW950</f>
        <v/>
      </c>
      <c r="AX951">
        <f>$C951*AX950</f>
        <v/>
      </c>
      <c r="AY951">
        <f>$C951*AY950</f>
        <v/>
      </c>
      <c r="AZ951">
        <f>$C951*AZ950</f>
        <v/>
      </c>
      <c r="BA951">
        <f>$C951*BA950</f>
        <v/>
      </c>
      <c r="BB951">
        <f>$C951*BB950</f>
        <v/>
      </c>
      <c r="BC951">
        <f>$C951*BC950</f>
        <v/>
      </c>
      <c r="BD951">
        <f>$C951*BD950</f>
        <v/>
      </c>
      <c r="BE951">
        <f>$C951*BE950</f>
        <v/>
      </c>
      <c r="BF951">
        <f>$C951*BF950</f>
        <v/>
      </c>
      <c r="BG951">
        <f>$C951*BG950</f>
        <v/>
      </c>
      <c r="BH951">
        <f>$C951*BH950</f>
        <v/>
      </c>
      <c r="BI951">
        <f>$C951*BI950</f>
        <v/>
      </c>
      <c r="BJ951">
        <f>$C951*BJ950</f>
        <v/>
      </c>
      <c r="BK951">
        <f>$C951*BK950</f>
        <v/>
      </c>
      <c r="BL951">
        <f>$C951*BL950</f>
        <v/>
      </c>
      <c r="BM951">
        <f>$C951*BM950</f>
        <v/>
      </c>
      <c r="BN951">
        <f>$C951*BN950</f>
        <v/>
      </c>
      <c r="BO951">
        <f>$C951*BO950</f>
        <v/>
      </c>
      <c r="BP951">
        <f>$C951*BP950</f>
        <v/>
      </c>
      <c r="BQ951">
        <f>$C951*BQ950</f>
        <v/>
      </c>
      <c r="BR951">
        <f>$C951*BR950</f>
        <v/>
      </c>
      <c r="BS951">
        <f>$C951*BS950</f>
        <v/>
      </c>
      <c r="BT951">
        <f>$C951*BT950</f>
        <v/>
      </c>
      <c r="BU951">
        <f>$C951*BU950</f>
        <v/>
      </c>
      <c r="BV951">
        <f>$C951*BV950</f>
        <v/>
      </c>
      <c r="BW951">
        <f>$C951*BW950</f>
        <v/>
      </c>
      <c r="BX951">
        <f>$C951*BX950</f>
        <v/>
      </c>
      <c r="BY951">
        <f>$C951*BY950</f>
        <v/>
      </c>
      <c r="BZ951">
        <f>$C951*BZ950</f>
        <v/>
      </c>
      <c r="CA951">
        <f>$C951*CA950</f>
        <v/>
      </c>
      <c r="CB951">
        <f>$C951*CB950</f>
        <v/>
      </c>
      <c r="CC951">
        <f>$C951*CC950</f>
        <v/>
      </c>
      <c r="CD951">
        <f>$C951*CD950</f>
        <v/>
      </c>
      <c r="CE951">
        <f>$C951*CE950</f>
        <v/>
      </c>
      <c r="CF951">
        <f>$C951*CF950</f>
        <v/>
      </c>
      <c r="CG951">
        <f>$C951*CG950</f>
        <v/>
      </c>
      <c r="CH951">
        <f>$C951*CH950</f>
        <v/>
      </c>
      <c r="CI951">
        <f>$C951*CI950</f>
        <v/>
      </c>
      <c r="CJ951">
        <f>$C951*CJ950</f>
        <v/>
      </c>
      <c r="CK951">
        <f>$C951*CK950</f>
        <v/>
      </c>
      <c r="CL951">
        <f>$C951*CL950</f>
        <v/>
      </c>
      <c r="CM951">
        <f>$C951*CM950</f>
        <v/>
      </c>
      <c r="CN951">
        <f>$C951*CN950</f>
        <v/>
      </c>
      <c r="CO951">
        <f>$C951*CO950</f>
        <v/>
      </c>
      <c r="CP951">
        <f>$C951*CP950</f>
        <v/>
      </c>
      <c r="CQ951">
        <f>$C951*CQ950</f>
        <v/>
      </c>
      <c r="CR951">
        <f>$C951*CR950</f>
        <v/>
      </c>
      <c r="CS951">
        <f>$C951*CS950</f>
        <v/>
      </c>
      <c r="CT951">
        <f>$C951*CT950</f>
        <v/>
      </c>
      <c r="CU951">
        <f>$C951*CU950</f>
        <v/>
      </c>
      <c r="CV951">
        <f>$C951*CV950</f>
        <v/>
      </c>
      <c r="CW951">
        <f>$C951*CW950</f>
        <v/>
      </c>
      <c r="CX951">
        <f>$C951*CX950</f>
        <v/>
      </c>
      <c r="CY951">
        <f>$C951*CY950</f>
        <v/>
      </c>
      <c r="CZ951">
        <f>$C951*CZ950</f>
        <v/>
      </c>
      <c r="DA951">
        <f>$C951*DA950</f>
        <v/>
      </c>
      <c r="DB951">
        <f>$C951*DB950</f>
        <v/>
      </c>
      <c r="DC951">
        <f>$C951*DC950</f>
        <v/>
      </c>
    </row>
    <row r="952">
      <c r="B952" s="4" t="inlineStr">
        <is>
          <t>合計使用量(kg)/週</t>
        </is>
      </c>
      <c r="D952">
        <f>'Grid_Requirement'!B9</f>
        <v/>
      </c>
      <c r="E952">
        <f>'Grid_Requirement'!C9</f>
        <v/>
      </c>
      <c r="F952">
        <f>'Grid_Requirement'!D9</f>
        <v/>
      </c>
      <c r="G952">
        <f>'Grid_Requirement'!E9</f>
        <v/>
      </c>
      <c r="H952">
        <f>'Grid_Requirement'!F9</f>
        <v/>
      </c>
      <c r="I952">
        <f>'Grid_Requirement'!G9</f>
        <v/>
      </c>
      <c r="J952">
        <f>'Grid_Requirement'!H9</f>
        <v/>
      </c>
      <c r="K952">
        <f>'Grid_Requirement'!I9</f>
        <v/>
      </c>
      <c r="L952">
        <f>'Grid_Requirement'!J9</f>
        <v/>
      </c>
      <c r="M952">
        <f>'Grid_Requirement'!K9</f>
        <v/>
      </c>
      <c r="N952">
        <f>'Grid_Requirement'!L9</f>
        <v/>
      </c>
      <c r="O952">
        <f>'Grid_Requirement'!M9</f>
        <v/>
      </c>
      <c r="P952">
        <f>'Grid_Requirement'!N9</f>
        <v/>
      </c>
      <c r="Q952">
        <f>'Grid_Requirement'!O9</f>
        <v/>
      </c>
      <c r="R952">
        <f>'Grid_Requirement'!P9</f>
        <v/>
      </c>
      <c r="S952">
        <f>'Grid_Requirement'!Q9</f>
        <v/>
      </c>
      <c r="T952">
        <f>'Grid_Requirement'!R9</f>
        <v/>
      </c>
      <c r="U952">
        <f>'Grid_Requirement'!S9</f>
        <v/>
      </c>
      <c r="V952">
        <f>'Grid_Requirement'!T9</f>
        <v/>
      </c>
      <c r="W952">
        <f>'Grid_Requirement'!U9</f>
        <v/>
      </c>
      <c r="X952">
        <f>'Grid_Requirement'!V9</f>
        <v/>
      </c>
      <c r="Y952">
        <f>'Grid_Requirement'!W9</f>
        <v/>
      </c>
      <c r="Z952">
        <f>'Grid_Requirement'!X9</f>
        <v/>
      </c>
      <c r="AA952">
        <f>'Grid_Requirement'!Y9</f>
        <v/>
      </c>
      <c r="AB952">
        <f>'Grid_Requirement'!Z9</f>
        <v/>
      </c>
      <c r="AC952">
        <f>'Grid_Requirement'!AA9</f>
        <v/>
      </c>
      <c r="AD952">
        <f>'Grid_Requirement'!AB9</f>
        <v/>
      </c>
      <c r="AE952">
        <f>'Grid_Requirement'!AC9</f>
        <v/>
      </c>
      <c r="AF952">
        <f>'Grid_Requirement'!AD9</f>
        <v/>
      </c>
      <c r="AG952">
        <f>'Grid_Requirement'!AE9</f>
        <v/>
      </c>
      <c r="AH952">
        <f>'Grid_Requirement'!AF9</f>
        <v/>
      </c>
      <c r="AI952">
        <f>'Grid_Requirement'!AG9</f>
        <v/>
      </c>
      <c r="AJ952">
        <f>'Grid_Requirement'!AH9</f>
        <v/>
      </c>
      <c r="AK952">
        <f>'Grid_Requirement'!AI9</f>
        <v/>
      </c>
      <c r="AL952">
        <f>'Grid_Requirement'!AJ9</f>
        <v/>
      </c>
      <c r="AM952">
        <f>'Grid_Requirement'!AK9</f>
        <v/>
      </c>
      <c r="AN952">
        <f>'Grid_Requirement'!AL9</f>
        <v/>
      </c>
      <c r="AO952">
        <f>'Grid_Requirement'!AM9</f>
        <v/>
      </c>
      <c r="AP952">
        <f>'Grid_Requirement'!AN9</f>
        <v/>
      </c>
      <c r="AQ952">
        <f>'Grid_Requirement'!AO9</f>
        <v/>
      </c>
      <c r="AR952">
        <f>'Grid_Requirement'!AP9</f>
        <v/>
      </c>
      <c r="AS952">
        <f>'Grid_Requirement'!AQ9</f>
        <v/>
      </c>
      <c r="AT952">
        <f>'Grid_Requirement'!AR9</f>
        <v/>
      </c>
      <c r="AU952">
        <f>'Grid_Requirement'!AS9</f>
        <v/>
      </c>
      <c r="AV952">
        <f>'Grid_Requirement'!AT9</f>
        <v/>
      </c>
      <c r="AW952">
        <f>'Grid_Requirement'!AU9</f>
        <v/>
      </c>
      <c r="AX952">
        <f>'Grid_Requirement'!AV9</f>
        <v/>
      </c>
      <c r="AY952">
        <f>'Grid_Requirement'!AW9</f>
        <v/>
      </c>
      <c r="AZ952">
        <f>'Grid_Requirement'!AX9</f>
        <v/>
      </c>
      <c r="BA952">
        <f>'Grid_Requirement'!AY9</f>
        <v/>
      </c>
      <c r="BB952">
        <f>'Grid_Requirement'!AZ9</f>
        <v/>
      </c>
      <c r="BC952">
        <f>'Grid_Requirement'!BA9</f>
        <v/>
      </c>
      <c r="BD952">
        <f>'Grid_Requirement'!BB9</f>
        <v/>
      </c>
      <c r="BE952">
        <f>'Grid_Requirement'!BC9</f>
        <v/>
      </c>
      <c r="BF952">
        <f>'Grid_Requirement'!BD9</f>
        <v/>
      </c>
      <c r="BG952">
        <f>'Grid_Requirement'!BE9</f>
        <v/>
      </c>
      <c r="BH952">
        <f>'Grid_Requirement'!BF9</f>
        <v/>
      </c>
      <c r="BI952">
        <f>'Grid_Requirement'!BG9</f>
        <v/>
      </c>
      <c r="BJ952">
        <f>'Grid_Requirement'!BH9</f>
        <v/>
      </c>
      <c r="BK952">
        <f>'Grid_Requirement'!BI9</f>
        <v/>
      </c>
      <c r="BL952">
        <f>'Grid_Requirement'!BJ9</f>
        <v/>
      </c>
      <c r="BM952">
        <f>'Grid_Requirement'!BK9</f>
        <v/>
      </c>
      <c r="BN952">
        <f>'Grid_Requirement'!BL9</f>
        <v/>
      </c>
      <c r="BO952">
        <f>'Grid_Requirement'!BM9</f>
        <v/>
      </c>
      <c r="BP952">
        <f>'Grid_Requirement'!BN9</f>
        <v/>
      </c>
      <c r="BQ952">
        <f>'Grid_Requirement'!BO9</f>
        <v/>
      </c>
      <c r="BR952">
        <f>'Grid_Requirement'!BP9</f>
        <v/>
      </c>
      <c r="BS952">
        <f>'Grid_Requirement'!BQ9</f>
        <v/>
      </c>
      <c r="BT952">
        <f>'Grid_Requirement'!BR9</f>
        <v/>
      </c>
      <c r="BU952">
        <f>'Grid_Requirement'!BS9</f>
        <v/>
      </c>
      <c r="BV952">
        <f>'Grid_Requirement'!BT9</f>
        <v/>
      </c>
      <c r="BW952">
        <f>'Grid_Requirement'!BU9</f>
        <v/>
      </c>
      <c r="BX952">
        <f>'Grid_Requirement'!BV9</f>
        <v/>
      </c>
      <c r="BY952">
        <f>'Grid_Requirement'!BW9</f>
        <v/>
      </c>
      <c r="BZ952">
        <f>'Grid_Requirement'!BX9</f>
        <v/>
      </c>
      <c r="CA952">
        <f>'Grid_Requirement'!BY9</f>
        <v/>
      </c>
      <c r="CB952">
        <f>'Grid_Requirement'!BZ9</f>
        <v/>
      </c>
      <c r="CC952">
        <f>'Grid_Requirement'!CA9</f>
        <v/>
      </c>
      <c r="CD952">
        <f>'Grid_Requirement'!CB9</f>
        <v/>
      </c>
      <c r="CE952">
        <f>'Grid_Requirement'!CC9</f>
        <v/>
      </c>
      <c r="CF952">
        <f>'Grid_Requirement'!CD9</f>
        <v/>
      </c>
      <c r="CG952">
        <f>'Grid_Requirement'!CE9</f>
        <v/>
      </c>
      <c r="CH952">
        <f>'Grid_Requirement'!CF9</f>
        <v/>
      </c>
      <c r="CI952">
        <f>'Grid_Requirement'!CG9</f>
        <v/>
      </c>
      <c r="CJ952">
        <f>'Grid_Requirement'!CH9</f>
        <v/>
      </c>
      <c r="CK952">
        <f>'Grid_Requirement'!CI9</f>
        <v/>
      </c>
      <c r="CL952">
        <f>'Grid_Requirement'!CJ9</f>
        <v/>
      </c>
      <c r="CM952">
        <f>'Grid_Requirement'!CK9</f>
        <v/>
      </c>
      <c r="CN952">
        <f>'Grid_Requirement'!CL9</f>
        <v/>
      </c>
      <c r="CO952">
        <f>'Grid_Requirement'!CM9</f>
        <v/>
      </c>
      <c r="CP952">
        <f>'Grid_Requirement'!CN9</f>
        <v/>
      </c>
      <c r="CQ952">
        <f>'Grid_Requirement'!CO9</f>
        <v/>
      </c>
      <c r="CR952">
        <f>'Grid_Requirement'!CP9</f>
        <v/>
      </c>
      <c r="CS952">
        <f>'Grid_Requirement'!CQ9</f>
        <v/>
      </c>
      <c r="CT952">
        <f>'Grid_Requirement'!CR9</f>
        <v/>
      </c>
      <c r="CU952">
        <f>'Grid_Requirement'!CS9</f>
        <v/>
      </c>
      <c r="CV952">
        <f>'Grid_Requirement'!CT9</f>
        <v/>
      </c>
      <c r="CW952">
        <f>'Grid_Requirement'!CU9</f>
        <v/>
      </c>
      <c r="CX952">
        <f>'Grid_Requirement'!CV9</f>
        <v/>
      </c>
      <c r="CY952">
        <f>'Grid_Requirement'!CW9</f>
        <v/>
      </c>
      <c r="CZ952">
        <f>'Grid_Requirement'!CX9</f>
        <v/>
      </c>
      <c r="DA952">
        <f>'Grid_Requirement'!CY9</f>
        <v/>
      </c>
      <c r="DB952">
        <f>'Grid_Requirement'!CZ9</f>
        <v/>
      </c>
      <c r="DC952">
        <f>'Grid_Requirement'!DA9</f>
        <v/>
      </c>
    </row>
    <row r="953">
      <c r="B953" t="inlineStr">
        <is>
          <t>TTAF在庫(実績,kg)</t>
        </is>
      </c>
      <c r="D953">
        <f>'T_TTAFStock'!B13</f>
        <v/>
      </c>
      <c r="E953">
        <f>'T_TTAFStock'!C13</f>
        <v/>
      </c>
      <c r="F953">
        <f>'T_TTAFStock'!D13</f>
        <v/>
      </c>
      <c r="G953">
        <f>'T_TTAFStock'!E13</f>
        <v/>
      </c>
      <c r="H953">
        <f>'T_TTAFStock'!F13</f>
        <v/>
      </c>
      <c r="I953">
        <f>'T_TTAFStock'!G13</f>
        <v/>
      </c>
      <c r="J953">
        <f>'T_TTAFStock'!H13</f>
        <v/>
      </c>
      <c r="K953">
        <f>'T_TTAFStock'!I13</f>
        <v/>
      </c>
      <c r="L953">
        <f>'T_TTAFStock'!J13</f>
        <v/>
      </c>
      <c r="M953">
        <f>'T_TTAFStock'!K13</f>
        <v/>
      </c>
      <c r="N953">
        <f>'T_TTAFStock'!L13</f>
        <v/>
      </c>
      <c r="O953">
        <f>'T_TTAFStock'!M13</f>
        <v/>
      </c>
      <c r="P953">
        <f>'T_TTAFStock'!N13</f>
        <v/>
      </c>
      <c r="Q953">
        <f>'T_TTAFStock'!O13</f>
        <v/>
      </c>
      <c r="R953">
        <f>'T_TTAFStock'!P13</f>
        <v/>
      </c>
      <c r="S953">
        <f>'T_TTAFStock'!Q13</f>
        <v/>
      </c>
      <c r="T953">
        <f>'T_TTAFStock'!R13</f>
        <v/>
      </c>
      <c r="U953">
        <f>'T_TTAFStock'!S13</f>
        <v/>
      </c>
      <c r="V953">
        <f>'T_TTAFStock'!T13</f>
        <v/>
      </c>
      <c r="W953">
        <f>'T_TTAFStock'!U13</f>
        <v/>
      </c>
      <c r="X953">
        <f>'T_TTAFStock'!V13</f>
        <v/>
      </c>
      <c r="Y953">
        <f>'T_TTAFStock'!W13</f>
        <v/>
      </c>
      <c r="Z953">
        <f>'T_TTAFStock'!X13</f>
        <v/>
      </c>
      <c r="AA953">
        <f>'T_TTAFStock'!Y13</f>
        <v/>
      </c>
      <c r="AB953">
        <f>'T_TTAFStock'!Z13</f>
        <v/>
      </c>
      <c r="AC953">
        <f>'T_TTAFStock'!AA13</f>
        <v/>
      </c>
      <c r="AD953">
        <f>'T_TTAFStock'!AB13</f>
        <v/>
      </c>
      <c r="AE953">
        <f>'T_TTAFStock'!AC13</f>
        <v/>
      </c>
      <c r="AF953">
        <f>'T_TTAFStock'!AD13</f>
        <v/>
      </c>
      <c r="AG953">
        <f>'T_TTAFStock'!AE13</f>
        <v/>
      </c>
      <c r="AH953">
        <f>'T_TTAFStock'!AF13</f>
        <v/>
      </c>
      <c r="AI953">
        <f>'T_TTAFStock'!AG13</f>
        <v/>
      </c>
      <c r="AJ953">
        <f>'T_TTAFStock'!AH13</f>
        <v/>
      </c>
      <c r="AK953">
        <f>'T_TTAFStock'!AI13</f>
        <v/>
      </c>
      <c r="AL953">
        <f>'T_TTAFStock'!AJ13</f>
        <v/>
      </c>
      <c r="AM953">
        <f>'T_TTAFStock'!AK13</f>
        <v/>
      </c>
      <c r="AN953">
        <f>'T_TTAFStock'!AL13</f>
        <v/>
      </c>
      <c r="AO953">
        <f>'T_TTAFStock'!AM13</f>
        <v/>
      </c>
      <c r="AP953">
        <f>'T_TTAFStock'!AN13</f>
        <v/>
      </c>
      <c r="AQ953">
        <f>'T_TTAFStock'!AO13</f>
        <v/>
      </c>
      <c r="AR953">
        <f>'T_TTAFStock'!AP13</f>
        <v/>
      </c>
      <c r="AS953">
        <f>'T_TTAFStock'!AQ13</f>
        <v/>
      </c>
      <c r="AT953">
        <f>'T_TTAFStock'!AR13</f>
        <v/>
      </c>
      <c r="AU953">
        <f>'T_TTAFStock'!AS13</f>
        <v/>
      </c>
      <c r="AV953">
        <f>'T_TTAFStock'!AT13</f>
        <v/>
      </c>
      <c r="AW953">
        <f>'T_TTAFStock'!AU13</f>
        <v/>
      </c>
      <c r="AX953">
        <f>'T_TTAFStock'!AV13</f>
        <v/>
      </c>
      <c r="AY953">
        <f>'T_TTAFStock'!AW13</f>
        <v/>
      </c>
      <c r="AZ953">
        <f>'T_TTAFStock'!AX13</f>
        <v/>
      </c>
      <c r="BA953">
        <f>'T_TTAFStock'!AY13</f>
        <v/>
      </c>
      <c r="BB953">
        <f>'T_TTAFStock'!AZ13</f>
        <v/>
      </c>
      <c r="BC953">
        <f>'T_TTAFStock'!BA13</f>
        <v/>
      </c>
      <c r="BD953">
        <f>'T_TTAFStock'!BB13</f>
        <v/>
      </c>
      <c r="BE953">
        <f>'T_TTAFStock'!BC13</f>
        <v/>
      </c>
      <c r="BF953">
        <f>'T_TTAFStock'!BD13</f>
        <v/>
      </c>
      <c r="BG953">
        <f>'T_TTAFStock'!BE13</f>
        <v/>
      </c>
      <c r="BH953">
        <f>'T_TTAFStock'!BF13</f>
        <v/>
      </c>
      <c r="BI953">
        <f>'T_TTAFStock'!BG13</f>
        <v/>
      </c>
      <c r="BJ953">
        <f>'T_TTAFStock'!BH13</f>
        <v/>
      </c>
      <c r="BK953">
        <f>'T_TTAFStock'!BI13</f>
        <v/>
      </c>
      <c r="BL953">
        <f>'T_TTAFStock'!BJ13</f>
        <v/>
      </c>
      <c r="BM953">
        <f>'T_TTAFStock'!BK13</f>
        <v/>
      </c>
      <c r="BN953">
        <f>'T_TTAFStock'!BL13</f>
        <v/>
      </c>
      <c r="BO953">
        <f>'T_TTAFStock'!BM13</f>
        <v/>
      </c>
      <c r="BP953">
        <f>'T_TTAFStock'!BN13</f>
        <v/>
      </c>
      <c r="BQ953">
        <f>'T_TTAFStock'!BO13</f>
        <v/>
      </c>
      <c r="BR953">
        <f>'T_TTAFStock'!BP13</f>
        <v/>
      </c>
      <c r="BS953">
        <f>'T_TTAFStock'!BQ13</f>
        <v/>
      </c>
      <c r="BT953">
        <f>'T_TTAFStock'!BR13</f>
        <v/>
      </c>
      <c r="BU953">
        <f>'T_TTAFStock'!BS13</f>
        <v/>
      </c>
      <c r="BV953">
        <f>'T_TTAFStock'!BT13</f>
        <v/>
      </c>
      <c r="BW953">
        <f>'T_TTAFStock'!BU13</f>
        <v/>
      </c>
      <c r="BX953">
        <f>'T_TTAFStock'!BV13</f>
        <v/>
      </c>
      <c r="BY953">
        <f>'T_TTAFStock'!BW13</f>
        <v/>
      </c>
      <c r="BZ953">
        <f>'T_TTAFStock'!BX13</f>
        <v/>
      </c>
      <c r="CA953">
        <f>'T_TTAFStock'!BY13</f>
        <v/>
      </c>
      <c r="CB953">
        <f>'T_TTAFStock'!BZ13</f>
        <v/>
      </c>
      <c r="CC953">
        <f>'T_TTAFStock'!CA13</f>
        <v/>
      </c>
      <c r="CD953">
        <f>'T_TTAFStock'!CB13</f>
        <v/>
      </c>
      <c r="CE953">
        <f>'T_TTAFStock'!CC13</f>
        <v/>
      </c>
      <c r="CF953">
        <f>'T_TTAFStock'!CD13</f>
        <v/>
      </c>
      <c r="CG953">
        <f>'T_TTAFStock'!CE13</f>
        <v/>
      </c>
      <c r="CH953">
        <f>'T_TTAFStock'!CF13</f>
        <v/>
      </c>
      <c r="CI953">
        <f>'T_TTAFStock'!CG13</f>
        <v/>
      </c>
      <c r="CJ953">
        <f>'T_TTAFStock'!CH13</f>
        <v/>
      </c>
      <c r="CK953">
        <f>'T_TTAFStock'!CI13</f>
        <v/>
      </c>
      <c r="CL953">
        <f>'T_TTAFStock'!CJ13</f>
        <v/>
      </c>
      <c r="CM953">
        <f>'T_TTAFStock'!CK13</f>
        <v/>
      </c>
      <c r="CN953">
        <f>'T_TTAFStock'!CL13</f>
        <v/>
      </c>
      <c r="CO953">
        <f>'T_TTAFStock'!CM13</f>
        <v/>
      </c>
      <c r="CP953">
        <f>'T_TTAFStock'!CN13</f>
        <v/>
      </c>
      <c r="CQ953">
        <f>'T_TTAFStock'!CO13</f>
        <v/>
      </c>
      <c r="CR953">
        <f>'T_TTAFStock'!CP13</f>
        <v/>
      </c>
      <c r="CS953">
        <f>'T_TTAFStock'!CQ13</f>
        <v/>
      </c>
      <c r="CT953">
        <f>'T_TTAFStock'!CR13</f>
        <v/>
      </c>
      <c r="CU953">
        <f>'T_TTAFStock'!CS13</f>
        <v/>
      </c>
      <c r="CV953">
        <f>'T_TTAFStock'!CT13</f>
        <v/>
      </c>
      <c r="CW953">
        <f>'T_TTAFStock'!CU13</f>
        <v/>
      </c>
      <c r="CX953">
        <f>'T_TTAFStock'!CV13</f>
        <v/>
      </c>
      <c r="CY953">
        <f>'T_TTAFStock'!CW13</f>
        <v/>
      </c>
      <c r="CZ953">
        <f>'T_TTAFStock'!CX13</f>
        <v/>
      </c>
      <c r="DA953">
        <f>'T_TTAFStock'!CY13</f>
        <v/>
      </c>
      <c r="DB953">
        <f>'T_TTAFStock'!CZ13</f>
        <v/>
      </c>
      <c r="DC953">
        <f>'T_TTAFStock'!DA13</f>
        <v/>
      </c>
    </row>
    <row r="954">
      <c r="B954" t="inlineStr">
        <is>
          <t>自社在庫(実績,kg)</t>
        </is>
      </c>
      <c r="D954">
        <f>'T_SelfStock'!B13</f>
        <v/>
      </c>
      <c r="E954">
        <f>'T_SelfStock'!C13</f>
        <v/>
      </c>
      <c r="F954">
        <f>'T_SelfStock'!D13</f>
        <v/>
      </c>
      <c r="G954">
        <f>'T_SelfStock'!E13</f>
        <v/>
      </c>
      <c r="H954">
        <f>'T_SelfStock'!F13</f>
        <v/>
      </c>
      <c r="I954">
        <f>'T_SelfStock'!G13</f>
        <v/>
      </c>
      <c r="J954">
        <f>'T_SelfStock'!H13</f>
        <v/>
      </c>
      <c r="K954">
        <f>'T_SelfStock'!I13</f>
        <v/>
      </c>
      <c r="L954">
        <f>'T_SelfStock'!J13</f>
        <v/>
      </c>
      <c r="M954">
        <f>'T_SelfStock'!K13</f>
        <v/>
      </c>
      <c r="N954">
        <f>'T_SelfStock'!L13</f>
        <v/>
      </c>
      <c r="O954">
        <f>'T_SelfStock'!M13</f>
        <v/>
      </c>
      <c r="P954">
        <f>'T_SelfStock'!N13</f>
        <v/>
      </c>
      <c r="Q954">
        <f>'T_SelfStock'!O13</f>
        <v/>
      </c>
      <c r="R954">
        <f>'T_SelfStock'!P13</f>
        <v/>
      </c>
      <c r="S954">
        <f>'T_SelfStock'!Q13</f>
        <v/>
      </c>
      <c r="T954">
        <f>'T_SelfStock'!R13</f>
        <v/>
      </c>
      <c r="U954">
        <f>'T_SelfStock'!S13</f>
        <v/>
      </c>
      <c r="V954">
        <f>'T_SelfStock'!T13</f>
        <v/>
      </c>
      <c r="W954">
        <f>'T_SelfStock'!U13</f>
        <v/>
      </c>
      <c r="X954">
        <f>'T_SelfStock'!V13</f>
        <v/>
      </c>
      <c r="Y954">
        <f>'T_SelfStock'!W13</f>
        <v/>
      </c>
      <c r="Z954">
        <f>'T_SelfStock'!X13</f>
        <v/>
      </c>
      <c r="AA954">
        <f>'T_SelfStock'!Y13</f>
        <v/>
      </c>
      <c r="AB954">
        <f>'T_SelfStock'!Z13</f>
        <v/>
      </c>
      <c r="AC954">
        <f>'T_SelfStock'!AA13</f>
        <v/>
      </c>
      <c r="AD954">
        <f>'T_SelfStock'!AB13</f>
        <v/>
      </c>
      <c r="AE954">
        <f>'T_SelfStock'!AC13</f>
        <v/>
      </c>
      <c r="AF954">
        <f>'T_SelfStock'!AD13</f>
        <v/>
      </c>
      <c r="AG954">
        <f>'T_SelfStock'!AE13</f>
        <v/>
      </c>
      <c r="AH954">
        <f>'T_SelfStock'!AF13</f>
        <v/>
      </c>
      <c r="AI954">
        <f>'T_SelfStock'!AG13</f>
        <v/>
      </c>
      <c r="AJ954">
        <f>'T_SelfStock'!AH13</f>
        <v/>
      </c>
      <c r="AK954">
        <f>'T_SelfStock'!AI13</f>
        <v/>
      </c>
      <c r="AL954">
        <f>'T_SelfStock'!AJ13</f>
        <v/>
      </c>
      <c r="AM954">
        <f>'T_SelfStock'!AK13</f>
        <v/>
      </c>
      <c r="AN954">
        <f>'T_SelfStock'!AL13</f>
        <v/>
      </c>
      <c r="AO954">
        <f>'T_SelfStock'!AM13</f>
        <v/>
      </c>
      <c r="AP954">
        <f>'T_SelfStock'!AN13</f>
        <v/>
      </c>
      <c r="AQ954">
        <f>'T_SelfStock'!AO13</f>
        <v/>
      </c>
      <c r="AR954">
        <f>'T_SelfStock'!AP13</f>
        <v/>
      </c>
      <c r="AS954">
        <f>'T_SelfStock'!AQ13</f>
        <v/>
      </c>
      <c r="AT954">
        <f>'T_SelfStock'!AR13</f>
        <v/>
      </c>
      <c r="AU954">
        <f>'T_SelfStock'!AS13</f>
        <v/>
      </c>
      <c r="AV954">
        <f>'T_SelfStock'!AT13</f>
        <v/>
      </c>
      <c r="AW954">
        <f>'T_SelfStock'!AU13</f>
        <v/>
      </c>
      <c r="AX954">
        <f>'T_SelfStock'!AV13</f>
        <v/>
      </c>
      <c r="AY954">
        <f>'T_SelfStock'!AW13</f>
        <v/>
      </c>
      <c r="AZ954">
        <f>'T_SelfStock'!AX13</f>
        <v/>
      </c>
      <c r="BA954">
        <f>'T_SelfStock'!AY13</f>
        <v/>
      </c>
      <c r="BB954">
        <f>'T_SelfStock'!AZ13</f>
        <v/>
      </c>
      <c r="BC954">
        <f>'T_SelfStock'!BA13</f>
        <v/>
      </c>
      <c r="BD954">
        <f>'T_SelfStock'!BB13</f>
        <v/>
      </c>
      <c r="BE954">
        <f>'T_SelfStock'!BC13</f>
        <v/>
      </c>
      <c r="BF954">
        <f>'T_SelfStock'!BD13</f>
        <v/>
      </c>
      <c r="BG954">
        <f>'T_SelfStock'!BE13</f>
        <v/>
      </c>
      <c r="BH954">
        <f>'T_SelfStock'!BF13</f>
        <v/>
      </c>
      <c r="BI954">
        <f>'T_SelfStock'!BG13</f>
        <v/>
      </c>
      <c r="BJ954">
        <f>'T_SelfStock'!BH13</f>
        <v/>
      </c>
      <c r="BK954">
        <f>'T_SelfStock'!BI13</f>
        <v/>
      </c>
      <c r="BL954">
        <f>'T_SelfStock'!BJ13</f>
        <v/>
      </c>
      <c r="BM954">
        <f>'T_SelfStock'!BK13</f>
        <v/>
      </c>
      <c r="BN954">
        <f>'T_SelfStock'!BL13</f>
        <v/>
      </c>
      <c r="BO954">
        <f>'T_SelfStock'!BM13</f>
        <v/>
      </c>
      <c r="BP954">
        <f>'T_SelfStock'!BN13</f>
        <v/>
      </c>
      <c r="BQ954">
        <f>'T_SelfStock'!BO13</f>
        <v/>
      </c>
      <c r="BR954">
        <f>'T_SelfStock'!BP13</f>
        <v/>
      </c>
      <c r="BS954">
        <f>'T_SelfStock'!BQ13</f>
        <v/>
      </c>
      <c r="BT954">
        <f>'T_SelfStock'!BR13</f>
        <v/>
      </c>
      <c r="BU954">
        <f>'T_SelfStock'!BS13</f>
        <v/>
      </c>
      <c r="BV954">
        <f>'T_SelfStock'!BT13</f>
        <v/>
      </c>
      <c r="BW954">
        <f>'T_SelfStock'!BU13</f>
        <v/>
      </c>
      <c r="BX954">
        <f>'T_SelfStock'!BV13</f>
        <v/>
      </c>
      <c r="BY954">
        <f>'T_SelfStock'!BW13</f>
        <v/>
      </c>
      <c r="BZ954">
        <f>'T_SelfStock'!BX13</f>
        <v/>
      </c>
      <c r="CA954">
        <f>'T_SelfStock'!BY13</f>
        <v/>
      </c>
      <c r="CB954">
        <f>'T_SelfStock'!BZ13</f>
        <v/>
      </c>
      <c r="CC954">
        <f>'T_SelfStock'!CA13</f>
        <v/>
      </c>
      <c r="CD954">
        <f>'T_SelfStock'!CB13</f>
        <v/>
      </c>
      <c r="CE954">
        <f>'T_SelfStock'!CC13</f>
        <v/>
      </c>
      <c r="CF954">
        <f>'T_SelfStock'!CD13</f>
        <v/>
      </c>
      <c r="CG954">
        <f>'T_SelfStock'!CE13</f>
        <v/>
      </c>
      <c r="CH954">
        <f>'T_SelfStock'!CF13</f>
        <v/>
      </c>
      <c r="CI954">
        <f>'T_SelfStock'!CG13</f>
        <v/>
      </c>
      <c r="CJ954">
        <f>'T_SelfStock'!CH13</f>
        <v/>
      </c>
      <c r="CK954">
        <f>'T_SelfStock'!CI13</f>
        <v/>
      </c>
      <c r="CL954">
        <f>'T_SelfStock'!CJ13</f>
        <v/>
      </c>
      <c r="CM954">
        <f>'T_SelfStock'!CK13</f>
        <v/>
      </c>
      <c r="CN954">
        <f>'T_SelfStock'!CL13</f>
        <v/>
      </c>
      <c r="CO954">
        <f>'T_SelfStock'!CM13</f>
        <v/>
      </c>
      <c r="CP954">
        <f>'T_SelfStock'!CN13</f>
        <v/>
      </c>
      <c r="CQ954">
        <f>'T_SelfStock'!CO13</f>
        <v/>
      </c>
      <c r="CR954">
        <f>'T_SelfStock'!CP13</f>
        <v/>
      </c>
      <c r="CS954">
        <f>'T_SelfStock'!CQ13</f>
        <v/>
      </c>
      <c r="CT954">
        <f>'T_SelfStock'!CR13</f>
        <v/>
      </c>
      <c r="CU954">
        <f>'T_SelfStock'!CS13</f>
        <v/>
      </c>
      <c r="CV954">
        <f>'T_SelfStock'!CT13</f>
        <v/>
      </c>
      <c r="CW954">
        <f>'T_SelfStock'!CU13</f>
        <v/>
      </c>
      <c r="CX954">
        <f>'T_SelfStock'!CV13</f>
        <v/>
      </c>
      <c r="CY954">
        <f>'T_SelfStock'!CW13</f>
        <v/>
      </c>
      <c r="CZ954">
        <f>'T_SelfStock'!CX13</f>
        <v/>
      </c>
      <c r="DA954">
        <f>'T_SelfStock'!CY13</f>
        <v/>
      </c>
      <c r="DB954">
        <f>'T_SelfStock'!CZ13</f>
        <v/>
      </c>
      <c r="DC954">
        <f>'T_SelfStock'!DA13</f>
        <v/>
      </c>
    </row>
    <row r="955">
      <c r="B955" t="inlineStr">
        <is>
          <t>Order(発注予定,kg)</t>
        </is>
      </c>
      <c r="D955">
        <f>IF(SUMIFS(T_PlannedOrders[EffectiveQty],T_PlannedOrders[Part Name],$A923,T_PlannedOrders[WeekIndex],1)=0,"",SUMIFS(T_PlannedOrders[EffectiveQty],T_PlannedOrders[Part Name],$A923,T_PlannedOrders[WeekIndex],1)&amp;" ("&amp;TEXT(SUMPRODUCT(MAX((T_PlannedOrders[Part Name]=$A923)*(T_PlannedOrders[WeekIndex]=1)*(T_PlannedOrders[EffectiveQty]&gt;0)*T_PlannedOrders[Order_Month])),"m月")&amp;"発注)")</f>
        <v/>
      </c>
      <c r="E955">
        <f>IF(SUMIFS(T_PlannedOrders[EffectiveQty],T_PlannedOrders[Part Name],$A923,T_PlannedOrders[WeekIndex],2)=0,"",SUMIFS(T_PlannedOrders[EffectiveQty],T_PlannedOrders[Part Name],$A923,T_PlannedOrders[WeekIndex],2)&amp;" ("&amp;TEXT(SUMPRODUCT(MAX((T_PlannedOrders[Part Name]=$A923)*(T_PlannedOrders[WeekIndex]=2)*(T_PlannedOrders[EffectiveQty]&gt;0)*T_PlannedOrders[Order_Month])),"m月")&amp;"発注)")</f>
        <v/>
      </c>
      <c r="F955">
        <f>IF(SUMIFS(T_PlannedOrders[EffectiveQty],T_PlannedOrders[Part Name],$A923,T_PlannedOrders[WeekIndex],3)=0,"",SUMIFS(T_PlannedOrders[EffectiveQty],T_PlannedOrders[Part Name],$A923,T_PlannedOrders[WeekIndex],3)&amp;" ("&amp;TEXT(SUMPRODUCT(MAX((T_PlannedOrders[Part Name]=$A923)*(T_PlannedOrders[WeekIndex]=3)*(T_PlannedOrders[EffectiveQty]&gt;0)*T_PlannedOrders[Order_Month])),"m月")&amp;"発注)")</f>
        <v/>
      </c>
      <c r="G955">
        <f>IF(SUMIFS(T_PlannedOrders[EffectiveQty],T_PlannedOrders[Part Name],$A923,T_PlannedOrders[WeekIndex],4)=0,"",SUMIFS(T_PlannedOrders[EffectiveQty],T_PlannedOrders[Part Name],$A923,T_PlannedOrders[WeekIndex],4)&amp;" ("&amp;TEXT(SUMPRODUCT(MAX((T_PlannedOrders[Part Name]=$A923)*(T_PlannedOrders[WeekIndex]=4)*(T_PlannedOrders[EffectiveQty]&gt;0)*T_PlannedOrders[Order_Month])),"m月")&amp;"発注)")</f>
        <v/>
      </c>
      <c r="H955">
        <f>IF(SUMIFS(T_PlannedOrders[EffectiveQty],T_PlannedOrders[Part Name],$A923,T_PlannedOrders[WeekIndex],5)=0,"",SUMIFS(T_PlannedOrders[EffectiveQty],T_PlannedOrders[Part Name],$A923,T_PlannedOrders[WeekIndex],5)&amp;" ("&amp;TEXT(SUMPRODUCT(MAX((T_PlannedOrders[Part Name]=$A923)*(T_PlannedOrders[WeekIndex]=5)*(T_PlannedOrders[EffectiveQty]&gt;0)*T_PlannedOrders[Order_Month])),"m月")&amp;"発注)")</f>
        <v/>
      </c>
      <c r="I955">
        <f>IF(SUMIFS(T_PlannedOrders[EffectiveQty],T_PlannedOrders[Part Name],$A923,T_PlannedOrders[WeekIndex],6)=0,"",SUMIFS(T_PlannedOrders[EffectiveQty],T_PlannedOrders[Part Name],$A923,T_PlannedOrders[WeekIndex],6)&amp;" ("&amp;TEXT(SUMPRODUCT(MAX((T_PlannedOrders[Part Name]=$A923)*(T_PlannedOrders[WeekIndex]=6)*(T_PlannedOrders[EffectiveQty]&gt;0)*T_PlannedOrders[Order_Month])),"m月")&amp;"発注)")</f>
        <v/>
      </c>
      <c r="J955">
        <f>IF(SUMIFS(T_PlannedOrders[EffectiveQty],T_PlannedOrders[Part Name],$A923,T_PlannedOrders[WeekIndex],7)=0,"",SUMIFS(T_PlannedOrders[EffectiveQty],T_PlannedOrders[Part Name],$A923,T_PlannedOrders[WeekIndex],7)&amp;" ("&amp;TEXT(SUMPRODUCT(MAX((T_PlannedOrders[Part Name]=$A923)*(T_PlannedOrders[WeekIndex]=7)*(T_PlannedOrders[EffectiveQty]&gt;0)*T_PlannedOrders[Order_Month])),"m月")&amp;"発注)")</f>
        <v/>
      </c>
      <c r="K955">
        <f>IF(SUMIFS(T_PlannedOrders[EffectiveQty],T_PlannedOrders[Part Name],$A923,T_PlannedOrders[WeekIndex],8)=0,"",SUMIFS(T_PlannedOrders[EffectiveQty],T_PlannedOrders[Part Name],$A923,T_PlannedOrders[WeekIndex],8)&amp;" ("&amp;TEXT(SUMPRODUCT(MAX((T_PlannedOrders[Part Name]=$A923)*(T_PlannedOrders[WeekIndex]=8)*(T_PlannedOrders[EffectiveQty]&gt;0)*T_PlannedOrders[Order_Month])),"m月")&amp;"発注)")</f>
        <v/>
      </c>
      <c r="L955">
        <f>IF(SUMIFS(T_PlannedOrders[EffectiveQty],T_PlannedOrders[Part Name],$A923,T_PlannedOrders[WeekIndex],9)=0,"",SUMIFS(T_PlannedOrders[EffectiveQty],T_PlannedOrders[Part Name],$A923,T_PlannedOrders[WeekIndex],9)&amp;" ("&amp;TEXT(SUMPRODUCT(MAX((T_PlannedOrders[Part Name]=$A923)*(T_PlannedOrders[WeekIndex]=9)*(T_PlannedOrders[EffectiveQty]&gt;0)*T_PlannedOrders[Order_Month])),"m月")&amp;"発注)")</f>
        <v/>
      </c>
      <c r="M955">
        <f>IF(SUMIFS(T_PlannedOrders[EffectiveQty],T_PlannedOrders[Part Name],$A923,T_PlannedOrders[WeekIndex],10)=0,"",SUMIFS(T_PlannedOrders[EffectiveQty],T_PlannedOrders[Part Name],$A923,T_PlannedOrders[WeekIndex],10)&amp;" ("&amp;TEXT(SUMPRODUCT(MAX((T_PlannedOrders[Part Name]=$A923)*(T_PlannedOrders[WeekIndex]=10)*(T_PlannedOrders[EffectiveQty]&gt;0)*T_PlannedOrders[Order_Month])),"m月")&amp;"発注)")</f>
        <v/>
      </c>
      <c r="N955">
        <f>IF(SUMIFS(T_PlannedOrders[EffectiveQty],T_PlannedOrders[Part Name],$A923,T_PlannedOrders[WeekIndex],11)=0,"",SUMIFS(T_PlannedOrders[EffectiveQty],T_PlannedOrders[Part Name],$A923,T_PlannedOrders[WeekIndex],11)&amp;" ("&amp;TEXT(SUMPRODUCT(MAX((T_PlannedOrders[Part Name]=$A923)*(T_PlannedOrders[WeekIndex]=11)*(T_PlannedOrders[EffectiveQty]&gt;0)*T_PlannedOrders[Order_Month])),"m月")&amp;"発注)")</f>
        <v/>
      </c>
      <c r="O955">
        <f>IF(SUMIFS(T_PlannedOrders[EffectiveQty],T_PlannedOrders[Part Name],$A923,T_PlannedOrders[WeekIndex],12)=0,"",SUMIFS(T_PlannedOrders[EffectiveQty],T_PlannedOrders[Part Name],$A923,T_PlannedOrders[WeekIndex],12)&amp;" ("&amp;TEXT(SUMPRODUCT(MAX((T_PlannedOrders[Part Name]=$A923)*(T_PlannedOrders[WeekIndex]=12)*(T_PlannedOrders[EffectiveQty]&gt;0)*T_PlannedOrders[Order_Month])),"m月")&amp;"発注)")</f>
        <v/>
      </c>
      <c r="P955">
        <f>IF(SUMIFS(T_PlannedOrders[EffectiveQty],T_PlannedOrders[Part Name],$A923,T_PlannedOrders[WeekIndex],13)=0,"",SUMIFS(T_PlannedOrders[EffectiveQty],T_PlannedOrders[Part Name],$A923,T_PlannedOrders[WeekIndex],13)&amp;" ("&amp;TEXT(SUMPRODUCT(MAX((T_PlannedOrders[Part Name]=$A923)*(T_PlannedOrders[WeekIndex]=13)*(T_PlannedOrders[EffectiveQty]&gt;0)*T_PlannedOrders[Order_Month])),"m月")&amp;"発注)")</f>
        <v/>
      </c>
      <c r="Q955">
        <f>IF(SUMIFS(T_PlannedOrders[EffectiveQty],T_PlannedOrders[Part Name],$A923,T_PlannedOrders[WeekIndex],14)=0,"",SUMIFS(T_PlannedOrders[EffectiveQty],T_PlannedOrders[Part Name],$A923,T_PlannedOrders[WeekIndex],14)&amp;" ("&amp;TEXT(SUMPRODUCT(MAX((T_PlannedOrders[Part Name]=$A923)*(T_PlannedOrders[WeekIndex]=14)*(T_PlannedOrders[EffectiveQty]&gt;0)*T_PlannedOrders[Order_Month])),"m月")&amp;"発注)")</f>
        <v/>
      </c>
      <c r="R955">
        <f>IF(SUMIFS(T_PlannedOrders[EffectiveQty],T_PlannedOrders[Part Name],$A923,T_PlannedOrders[WeekIndex],15)=0,"",SUMIFS(T_PlannedOrders[EffectiveQty],T_PlannedOrders[Part Name],$A923,T_PlannedOrders[WeekIndex],15)&amp;" ("&amp;TEXT(SUMPRODUCT(MAX((T_PlannedOrders[Part Name]=$A923)*(T_PlannedOrders[WeekIndex]=15)*(T_PlannedOrders[EffectiveQty]&gt;0)*T_PlannedOrders[Order_Month])),"m月")&amp;"発注)")</f>
        <v/>
      </c>
      <c r="S955">
        <f>IF(SUMIFS(T_PlannedOrders[EffectiveQty],T_PlannedOrders[Part Name],$A923,T_PlannedOrders[WeekIndex],16)=0,"",SUMIFS(T_PlannedOrders[EffectiveQty],T_PlannedOrders[Part Name],$A923,T_PlannedOrders[WeekIndex],16)&amp;" ("&amp;TEXT(SUMPRODUCT(MAX((T_PlannedOrders[Part Name]=$A923)*(T_PlannedOrders[WeekIndex]=16)*(T_PlannedOrders[EffectiveQty]&gt;0)*T_PlannedOrders[Order_Month])),"m月")&amp;"発注)")</f>
        <v/>
      </c>
      <c r="T955">
        <f>IF(SUMIFS(T_PlannedOrders[EffectiveQty],T_PlannedOrders[Part Name],$A923,T_PlannedOrders[WeekIndex],17)=0,"",SUMIFS(T_PlannedOrders[EffectiveQty],T_PlannedOrders[Part Name],$A923,T_PlannedOrders[WeekIndex],17)&amp;" ("&amp;TEXT(SUMPRODUCT(MAX((T_PlannedOrders[Part Name]=$A923)*(T_PlannedOrders[WeekIndex]=17)*(T_PlannedOrders[EffectiveQty]&gt;0)*T_PlannedOrders[Order_Month])),"m月")&amp;"発注)")</f>
        <v/>
      </c>
      <c r="U955">
        <f>IF(SUMIFS(T_PlannedOrders[EffectiveQty],T_PlannedOrders[Part Name],$A923,T_PlannedOrders[WeekIndex],18)=0,"",SUMIFS(T_PlannedOrders[EffectiveQty],T_PlannedOrders[Part Name],$A923,T_PlannedOrders[WeekIndex],18)&amp;" ("&amp;TEXT(SUMPRODUCT(MAX((T_PlannedOrders[Part Name]=$A923)*(T_PlannedOrders[WeekIndex]=18)*(T_PlannedOrders[EffectiveQty]&gt;0)*T_PlannedOrders[Order_Month])),"m月")&amp;"発注)")</f>
        <v/>
      </c>
      <c r="V955">
        <f>IF(SUMIFS(T_PlannedOrders[EffectiveQty],T_PlannedOrders[Part Name],$A923,T_PlannedOrders[WeekIndex],19)=0,"",SUMIFS(T_PlannedOrders[EffectiveQty],T_PlannedOrders[Part Name],$A923,T_PlannedOrders[WeekIndex],19)&amp;" ("&amp;TEXT(SUMPRODUCT(MAX((T_PlannedOrders[Part Name]=$A923)*(T_PlannedOrders[WeekIndex]=19)*(T_PlannedOrders[EffectiveQty]&gt;0)*T_PlannedOrders[Order_Month])),"m月")&amp;"発注)")</f>
        <v/>
      </c>
      <c r="W955">
        <f>IF(SUMIFS(T_PlannedOrders[EffectiveQty],T_PlannedOrders[Part Name],$A923,T_PlannedOrders[WeekIndex],20)=0,"",SUMIFS(T_PlannedOrders[EffectiveQty],T_PlannedOrders[Part Name],$A923,T_PlannedOrders[WeekIndex],20)&amp;" ("&amp;TEXT(SUMPRODUCT(MAX((T_PlannedOrders[Part Name]=$A923)*(T_PlannedOrders[WeekIndex]=20)*(T_PlannedOrders[EffectiveQty]&gt;0)*T_PlannedOrders[Order_Month])),"m月")&amp;"発注)")</f>
        <v/>
      </c>
      <c r="X955">
        <f>IF(SUMIFS(T_PlannedOrders[EffectiveQty],T_PlannedOrders[Part Name],$A923,T_PlannedOrders[WeekIndex],21)=0,"",SUMIFS(T_PlannedOrders[EffectiveQty],T_PlannedOrders[Part Name],$A923,T_PlannedOrders[WeekIndex],21)&amp;" ("&amp;TEXT(SUMPRODUCT(MAX((T_PlannedOrders[Part Name]=$A923)*(T_PlannedOrders[WeekIndex]=21)*(T_PlannedOrders[EffectiveQty]&gt;0)*T_PlannedOrders[Order_Month])),"m月")&amp;"発注)")</f>
        <v/>
      </c>
      <c r="Y955">
        <f>IF(SUMIFS(T_PlannedOrders[EffectiveQty],T_PlannedOrders[Part Name],$A923,T_PlannedOrders[WeekIndex],22)=0,"",SUMIFS(T_PlannedOrders[EffectiveQty],T_PlannedOrders[Part Name],$A923,T_PlannedOrders[WeekIndex],22)&amp;" ("&amp;TEXT(SUMPRODUCT(MAX((T_PlannedOrders[Part Name]=$A923)*(T_PlannedOrders[WeekIndex]=22)*(T_PlannedOrders[EffectiveQty]&gt;0)*T_PlannedOrders[Order_Month])),"m月")&amp;"発注)")</f>
        <v/>
      </c>
      <c r="Z955">
        <f>IF(SUMIFS(T_PlannedOrders[EffectiveQty],T_PlannedOrders[Part Name],$A923,T_PlannedOrders[WeekIndex],23)=0,"",SUMIFS(T_PlannedOrders[EffectiveQty],T_PlannedOrders[Part Name],$A923,T_PlannedOrders[WeekIndex],23)&amp;" ("&amp;TEXT(SUMPRODUCT(MAX((T_PlannedOrders[Part Name]=$A923)*(T_PlannedOrders[WeekIndex]=23)*(T_PlannedOrders[EffectiveQty]&gt;0)*T_PlannedOrders[Order_Month])),"m月")&amp;"発注)")</f>
        <v/>
      </c>
      <c r="AA955">
        <f>IF(SUMIFS(T_PlannedOrders[EffectiveQty],T_PlannedOrders[Part Name],$A923,T_PlannedOrders[WeekIndex],24)=0,"",SUMIFS(T_PlannedOrders[EffectiveQty],T_PlannedOrders[Part Name],$A923,T_PlannedOrders[WeekIndex],24)&amp;" ("&amp;TEXT(SUMPRODUCT(MAX((T_PlannedOrders[Part Name]=$A923)*(T_PlannedOrders[WeekIndex]=24)*(T_PlannedOrders[EffectiveQty]&gt;0)*T_PlannedOrders[Order_Month])),"m月")&amp;"発注)")</f>
        <v/>
      </c>
      <c r="AB955">
        <f>IF(SUMIFS(T_PlannedOrders[EffectiveQty],T_PlannedOrders[Part Name],$A923,T_PlannedOrders[WeekIndex],25)=0,"",SUMIFS(T_PlannedOrders[EffectiveQty],T_PlannedOrders[Part Name],$A923,T_PlannedOrders[WeekIndex],25)&amp;" ("&amp;TEXT(SUMPRODUCT(MAX((T_PlannedOrders[Part Name]=$A923)*(T_PlannedOrders[WeekIndex]=25)*(T_PlannedOrders[EffectiveQty]&gt;0)*T_PlannedOrders[Order_Month])),"m月")&amp;"発注)")</f>
        <v/>
      </c>
      <c r="AC955">
        <f>IF(SUMIFS(T_PlannedOrders[EffectiveQty],T_PlannedOrders[Part Name],$A923,T_PlannedOrders[WeekIndex],26)=0,"",SUMIFS(T_PlannedOrders[EffectiveQty],T_PlannedOrders[Part Name],$A923,T_PlannedOrders[WeekIndex],26)&amp;" ("&amp;TEXT(SUMPRODUCT(MAX((T_PlannedOrders[Part Name]=$A923)*(T_PlannedOrders[WeekIndex]=26)*(T_PlannedOrders[EffectiveQty]&gt;0)*T_PlannedOrders[Order_Month])),"m月")&amp;"発注)")</f>
        <v/>
      </c>
      <c r="AD955">
        <f>IF(SUMIFS(T_PlannedOrders[EffectiveQty],T_PlannedOrders[Part Name],$A923,T_PlannedOrders[WeekIndex],27)=0,"",SUMIFS(T_PlannedOrders[EffectiveQty],T_PlannedOrders[Part Name],$A923,T_PlannedOrders[WeekIndex],27)&amp;" ("&amp;TEXT(SUMPRODUCT(MAX((T_PlannedOrders[Part Name]=$A923)*(T_PlannedOrders[WeekIndex]=27)*(T_PlannedOrders[EffectiveQty]&gt;0)*T_PlannedOrders[Order_Month])),"m月")&amp;"発注)")</f>
        <v/>
      </c>
      <c r="AE955">
        <f>IF(SUMIFS(T_PlannedOrders[EffectiveQty],T_PlannedOrders[Part Name],$A923,T_PlannedOrders[WeekIndex],28)=0,"",SUMIFS(T_PlannedOrders[EffectiveQty],T_PlannedOrders[Part Name],$A923,T_PlannedOrders[WeekIndex],28)&amp;" ("&amp;TEXT(SUMPRODUCT(MAX((T_PlannedOrders[Part Name]=$A923)*(T_PlannedOrders[WeekIndex]=28)*(T_PlannedOrders[EffectiveQty]&gt;0)*T_PlannedOrders[Order_Month])),"m月")&amp;"発注)")</f>
        <v/>
      </c>
      <c r="AF955">
        <f>IF(SUMIFS(T_PlannedOrders[EffectiveQty],T_PlannedOrders[Part Name],$A923,T_PlannedOrders[WeekIndex],29)=0,"",SUMIFS(T_PlannedOrders[EffectiveQty],T_PlannedOrders[Part Name],$A923,T_PlannedOrders[WeekIndex],29)&amp;" ("&amp;TEXT(SUMPRODUCT(MAX((T_PlannedOrders[Part Name]=$A923)*(T_PlannedOrders[WeekIndex]=29)*(T_PlannedOrders[EffectiveQty]&gt;0)*T_PlannedOrders[Order_Month])),"m月")&amp;"発注)")</f>
        <v/>
      </c>
      <c r="AG955">
        <f>IF(SUMIFS(T_PlannedOrders[EffectiveQty],T_PlannedOrders[Part Name],$A923,T_PlannedOrders[WeekIndex],30)=0,"",SUMIFS(T_PlannedOrders[EffectiveQty],T_PlannedOrders[Part Name],$A923,T_PlannedOrders[WeekIndex],30)&amp;" ("&amp;TEXT(SUMPRODUCT(MAX((T_PlannedOrders[Part Name]=$A923)*(T_PlannedOrders[WeekIndex]=30)*(T_PlannedOrders[EffectiveQty]&gt;0)*T_PlannedOrders[Order_Month])),"m月")&amp;"発注)")</f>
        <v/>
      </c>
      <c r="AH955">
        <f>IF(SUMIFS(T_PlannedOrders[EffectiveQty],T_PlannedOrders[Part Name],$A923,T_PlannedOrders[WeekIndex],31)=0,"",SUMIFS(T_PlannedOrders[EffectiveQty],T_PlannedOrders[Part Name],$A923,T_PlannedOrders[WeekIndex],31)&amp;" ("&amp;TEXT(SUMPRODUCT(MAX((T_PlannedOrders[Part Name]=$A923)*(T_PlannedOrders[WeekIndex]=31)*(T_PlannedOrders[EffectiveQty]&gt;0)*T_PlannedOrders[Order_Month])),"m月")&amp;"発注)")</f>
        <v/>
      </c>
      <c r="AI955">
        <f>IF(SUMIFS(T_PlannedOrders[EffectiveQty],T_PlannedOrders[Part Name],$A923,T_PlannedOrders[WeekIndex],32)=0,"",SUMIFS(T_PlannedOrders[EffectiveQty],T_PlannedOrders[Part Name],$A923,T_PlannedOrders[WeekIndex],32)&amp;" ("&amp;TEXT(SUMPRODUCT(MAX((T_PlannedOrders[Part Name]=$A923)*(T_PlannedOrders[WeekIndex]=32)*(T_PlannedOrders[EffectiveQty]&gt;0)*T_PlannedOrders[Order_Month])),"m月")&amp;"発注)")</f>
        <v/>
      </c>
      <c r="AJ955">
        <f>IF(SUMIFS(T_PlannedOrders[EffectiveQty],T_PlannedOrders[Part Name],$A923,T_PlannedOrders[WeekIndex],33)=0,"",SUMIFS(T_PlannedOrders[EffectiveQty],T_PlannedOrders[Part Name],$A923,T_PlannedOrders[WeekIndex],33)&amp;" ("&amp;TEXT(SUMPRODUCT(MAX((T_PlannedOrders[Part Name]=$A923)*(T_PlannedOrders[WeekIndex]=33)*(T_PlannedOrders[EffectiveQty]&gt;0)*T_PlannedOrders[Order_Month])),"m月")&amp;"発注)")</f>
        <v/>
      </c>
      <c r="AK955">
        <f>IF(SUMIFS(T_PlannedOrders[EffectiveQty],T_PlannedOrders[Part Name],$A923,T_PlannedOrders[WeekIndex],34)=0,"",SUMIFS(T_PlannedOrders[EffectiveQty],T_PlannedOrders[Part Name],$A923,T_PlannedOrders[WeekIndex],34)&amp;" ("&amp;TEXT(SUMPRODUCT(MAX((T_PlannedOrders[Part Name]=$A923)*(T_PlannedOrders[WeekIndex]=34)*(T_PlannedOrders[EffectiveQty]&gt;0)*T_PlannedOrders[Order_Month])),"m月")&amp;"発注)")</f>
        <v/>
      </c>
      <c r="AL955">
        <f>IF(SUMIFS(T_PlannedOrders[EffectiveQty],T_PlannedOrders[Part Name],$A923,T_PlannedOrders[WeekIndex],35)=0,"",SUMIFS(T_PlannedOrders[EffectiveQty],T_PlannedOrders[Part Name],$A923,T_PlannedOrders[WeekIndex],35)&amp;" ("&amp;TEXT(SUMPRODUCT(MAX((T_PlannedOrders[Part Name]=$A923)*(T_PlannedOrders[WeekIndex]=35)*(T_PlannedOrders[EffectiveQty]&gt;0)*T_PlannedOrders[Order_Month])),"m月")&amp;"発注)")</f>
        <v/>
      </c>
      <c r="AM955">
        <f>IF(SUMIFS(T_PlannedOrders[EffectiveQty],T_PlannedOrders[Part Name],$A923,T_PlannedOrders[WeekIndex],36)=0,"",SUMIFS(T_PlannedOrders[EffectiveQty],T_PlannedOrders[Part Name],$A923,T_PlannedOrders[WeekIndex],36)&amp;" ("&amp;TEXT(SUMPRODUCT(MAX((T_PlannedOrders[Part Name]=$A923)*(T_PlannedOrders[WeekIndex]=36)*(T_PlannedOrders[EffectiveQty]&gt;0)*T_PlannedOrders[Order_Month])),"m月")&amp;"発注)")</f>
        <v/>
      </c>
      <c r="AN955">
        <f>IF(SUMIFS(T_PlannedOrders[EffectiveQty],T_PlannedOrders[Part Name],$A923,T_PlannedOrders[WeekIndex],37)=0,"",SUMIFS(T_PlannedOrders[EffectiveQty],T_PlannedOrders[Part Name],$A923,T_PlannedOrders[WeekIndex],37)&amp;" ("&amp;TEXT(SUMPRODUCT(MAX((T_PlannedOrders[Part Name]=$A923)*(T_PlannedOrders[WeekIndex]=37)*(T_PlannedOrders[EffectiveQty]&gt;0)*T_PlannedOrders[Order_Month])),"m月")&amp;"発注)")</f>
        <v/>
      </c>
      <c r="AO955">
        <f>IF(SUMIFS(T_PlannedOrders[EffectiveQty],T_PlannedOrders[Part Name],$A923,T_PlannedOrders[WeekIndex],38)=0,"",SUMIFS(T_PlannedOrders[EffectiveQty],T_PlannedOrders[Part Name],$A923,T_PlannedOrders[WeekIndex],38)&amp;" ("&amp;TEXT(SUMPRODUCT(MAX((T_PlannedOrders[Part Name]=$A923)*(T_PlannedOrders[WeekIndex]=38)*(T_PlannedOrders[EffectiveQty]&gt;0)*T_PlannedOrders[Order_Month])),"m月")&amp;"発注)")</f>
        <v/>
      </c>
      <c r="AP955">
        <f>IF(SUMIFS(T_PlannedOrders[EffectiveQty],T_PlannedOrders[Part Name],$A923,T_PlannedOrders[WeekIndex],39)=0,"",SUMIFS(T_PlannedOrders[EffectiveQty],T_PlannedOrders[Part Name],$A923,T_PlannedOrders[WeekIndex],39)&amp;" ("&amp;TEXT(SUMPRODUCT(MAX((T_PlannedOrders[Part Name]=$A923)*(T_PlannedOrders[WeekIndex]=39)*(T_PlannedOrders[EffectiveQty]&gt;0)*T_PlannedOrders[Order_Month])),"m月")&amp;"発注)")</f>
        <v/>
      </c>
      <c r="AQ955">
        <f>IF(SUMIFS(T_PlannedOrders[EffectiveQty],T_PlannedOrders[Part Name],$A923,T_PlannedOrders[WeekIndex],40)=0,"",SUMIFS(T_PlannedOrders[EffectiveQty],T_PlannedOrders[Part Name],$A923,T_PlannedOrders[WeekIndex],40)&amp;" ("&amp;TEXT(SUMPRODUCT(MAX((T_PlannedOrders[Part Name]=$A923)*(T_PlannedOrders[WeekIndex]=40)*(T_PlannedOrders[EffectiveQty]&gt;0)*T_PlannedOrders[Order_Month])),"m月")&amp;"発注)")</f>
        <v/>
      </c>
      <c r="AR955">
        <f>IF(SUMIFS(T_PlannedOrders[EffectiveQty],T_PlannedOrders[Part Name],$A923,T_PlannedOrders[WeekIndex],41)=0,"",SUMIFS(T_PlannedOrders[EffectiveQty],T_PlannedOrders[Part Name],$A923,T_PlannedOrders[WeekIndex],41)&amp;" ("&amp;TEXT(SUMPRODUCT(MAX((T_PlannedOrders[Part Name]=$A923)*(T_PlannedOrders[WeekIndex]=41)*(T_PlannedOrders[EffectiveQty]&gt;0)*T_PlannedOrders[Order_Month])),"m月")&amp;"発注)")</f>
        <v/>
      </c>
      <c r="AS955">
        <f>IF(SUMIFS(T_PlannedOrders[EffectiveQty],T_PlannedOrders[Part Name],$A923,T_PlannedOrders[WeekIndex],42)=0,"",SUMIFS(T_PlannedOrders[EffectiveQty],T_PlannedOrders[Part Name],$A923,T_PlannedOrders[WeekIndex],42)&amp;" ("&amp;TEXT(SUMPRODUCT(MAX((T_PlannedOrders[Part Name]=$A923)*(T_PlannedOrders[WeekIndex]=42)*(T_PlannedOrders[EffectiveQty]&gt;0)*T_PlannedOrders[Order_Month])),"m月")&amp;"発注)")</f>
        <v/>
      </c>
      <c r="AT955">
        <f>IF(SUMIFS(T_PlannedOrders[EffectiveQty],T_PlannedOrders[Part Name],$A923,T_PlannedOrders[WeekIndex],43)=0,"",SUMIFS(T_PlannedOrders[EffectiveQty],T_PlannedOrders[Part Name],$A923,T_PlannedOrders[WeekIndex],43)&amp;" ("&amp;TEXT(SUMPRODUCT(MAX((T_PlannedOrders[Part Name]=$A923)*(T_PlannedOrders[WeekIndex]=43)*(T_PlannedOrders[EffectiveQty]&gt;0)*T_PlannedOrders[Order_Month])),"m月")&amp;"発注)")</f>
        <v/>
      </c>
      <c r="AU955">
        <f>IF(SUMIFS(T_PlannedOrders[EffectiveQty],T_PlannedOrders[Part Name],$A923,T_PlannedOrders[WeekIndex],44)=0,"",SUMIFS(T_PlannedOrders[EffectiveQty],T_PlannedOrders[Part Name],$A923,T_PlannedOrders[WeekIndex],44)&amp;" ("&amp;TEXT(SUMPRODUCT(MAX((T_PlannedOrders[Part Name]=$A923)*(T_PlannedOrders[WeekIndex]=44)*(T_PlannedOrders[EffectiveQty]&gt;0)*T_PlannedOrders[Order_Month])),"m月")&amp;"発注)")</f>
        <v/>
      </c>
      <c r="AV955">
        <f>IF(SUMIFS(T_PlannedOrders[EffectiveQty],T_PlannedOrders[Part Name],$A923,T_PlannedOrders[WeekIndex],45)=0,"",SUMIFS(T_PlannedOrders[EffectiveQty],T_PlannedOrders[Part Name],$A923,T_PlannedOrders[WeekIndex],45)&amp;" ("&amp;TEXT(SUMPRODUCT(MAX((T_PlannedOrders[Part Name]=$A923)*(T_PlannedOrders[WeekIndex]=45)*(T_PlannedOrders[EffectiveQty]&gt;0)*T_PlannedOrders[Order_Month])),"m月")&amp;"発注)")</f>
        <v/>
      </c>
      <c r="AW955">
        <f>IF(SUMIFS(T_PlannedOrders[EffectiveQty],T_PlannedOrders[Part Name],$A923,T_PlannedOrders[WeekIndex],46)=0,"",SUMIFS(T_PlannedOrders[EffectiveQty],T_PlannedOrders[Part Name],$A923,T_PlannedOrders[WeekIndex],46)&amp;" ("&amp;TEXT(SUMPRODUCT(MAX((T_PlannedOrders[Part Name]=$A923)*(T_PlannedOrders[WeekIndex]=46)*(T_PlannedOrders[EffectiveQty]&gt;0)*T_PlannedOrders[Order_Month])),"m月")&amp;"発注)")</f>
        <v/>
      </c>
      <c r="AX955">
        <f>IF(SUMIFS(T_PlannedOrders[EffectiveQty],T_PlannedOrders[Part Name],$A923,T_PlannedOrders[WeekIndex],47)=0,"",SUMIFS(T_PlannedOrders[EffectiveQty],T_PlannedOrders[Part Name],$A923,T_PlannedOrders[WeekIndex],47)&amp;" ("&amp;TEXT(SUMPRODUCT(MAX((T_PlannedOrders[Part Name]=$A923)*(T_PlannedOrders[WeekIndex]=47)*(T_PlannedOrders[EffectiveQty]&gt;0)*T_PlannedOrders[Order_Month])),"m月")&amp;"発注)")</f>
        <v/>
      </c>
      <c r="AY955">
        <f>IF(SUMIFS(T_PlannedOrders[EffectiveQty],T_PlannedOrders[Part Name],$A923,T_PlannedOrders[WeekIndex],48)=0,"",SUMIFS(T_PlannedOrders[EffectiveQty],T_PlannedOrders[Part Name],$A923,T_PlannedOrders[WeekIndex],48)&amp;" ("&amp;TEXT(SUMPRODUCT(MAX((T_PlannedOrders[Part Name]=$A923)*(T_PlannedOrders[WeekIndex]=48)*(T_PlannedOrders[EffectiveQty]&gt;0)*T_PlannedOrders[Order_Month])),"m月")&amp;"発注)")</f>
        <v/>
      </c>
      <c r="AZ955">
        <f>IF(SUMIFS(T_PlannedOrders[EffectiveQty],T_PlannedOrders[Part Name],$A923,T_PlannedOrders[WeekIndex],49)=0,"",SUMIFS(T_PlannedOrders[EffectiveQty],T_PlannedOrders[Part Name],$A923,T_PlannedOrders[WeekIndex],49)&amp;" ("&amp;TEXT(SUMPRODUCT(MAX((T_PlannedOrders[Part Name]=$A923)*(T_PlannedOrders[WeekIndex]=49)*(T_PlannedOrders[EffectiveQty]&gt;0)*T_PlannedOrders[Order_Month])),"m月")&amp;"発注)")</f>
        <v/>
      </c>
      <c r="BA955">
        <f>IF(SUMIFS(T_PlannedOrders[EffectiveQty],T_PlannedOrders[Part Name],$A923,T_PlannedOrders[WeekIndex],50)=0,"",SUMIFS(T_PlannedOrders[EffectiveQty],T_PlannedOrders[Part Name],$A923,T_PlannedOrders[WeekIndex],50)&amp;" ("&amp;TEXT(SUMPRODUCT(MAX((T_PlannedOrders[Part Name]=$A923)*(T_PlannedOrders[WeekIndex]=50)*(T_PlannedOrders[EffectiveQty]&gt;0)*T_PlannedOrders[Order_Month])),"m月")&amp;"発注)")</f>
        <v/>
      </c>
      <c r="BB955">
        <f>IF(SUMIFS(T_PlannedOrders[EffectiveQty],T_PlannedOrders[Part Name],$A923,T_PlannedOrders[WeekIndex],51)=0,"",SUMIFS(T_PlannedOrders[EffectiveQty],T_PlannedOrders[Part Name],$A923,T_PlannedOrders[WeekIndex],51)&amp;" ("&amp;TEXT(SUMPRODUCT(MAX((T_PlannedOrders[Part Name]=$A923)*(T_PlannedOrders[WeekIndex]=51)*(T_PlannedOrders[EffectiveQty]&gt;0)*T_PlannedOrders[Order_Month])),"m月")&amp;"発注)")</f>
        <v/>
      </c>
      <c r="BC955">
        <f>IF(SUMIFS(T_PlannedOrders[EffectiveQty],T_PlannedOrders[Part Name],$A923,T_PlannedOrders[WeekIndex],52)=0,"",SUMIFS(T_PlannedOrders[EffectiveQty],T_PlannedOrders[Part Name],$A923,T_PlannedOrders[WeekIndex],52)&amp;" ("&amp;TEXT(SUMPRODUCT(MAX((T_PlannedOrders[Part Name]=$A923)*(T_PlannedOrders[WeekIndex]=52)*(T_PlannedOrders[EffectiveQty]&gt;0)*T_PlannedOrders[Order_Month])),"m月")&amp;"発注)")</f>
        <v/>
      </c>
      <c r="BD955">
        <f>IF(SUMIFS(T_PlannedOrders[EffectiveQty],T_PlannedOrders[Part Name],$A923,T_PlannedOrders[WeekIndex],53)=0,"",SUMIFS(T_PlannedOrders[EffectiveQty],T_PlannedOrders[Part Name],$A923,T_PlannedOrders[WeekIndex],53)&amp;" ("&amp;TEXT(SUMPRODUCT(MAX((T_PlannedOrders[Part Name]=$A923)*(T_PlannedOrders[WeekIndex]=53)*(T_PlannedOrders[EffectiveQty]&gt;0)*T_PlannedOrders[Order_Month])),"m月")&amp;"発注)")</f>
        <v/>
      </c>
      <c r="BE955">
        <f>IF(SUMIFS(T_PlannedOrders[EffectiveQty],T_PlannedOrders[Part Name],$A923,T_PlannedOrders[WeekIndex],54)=0,"",SUMIFS(T_PlannedOrders[EffectiveQty],T_PlannedOrders[Part Name],$A923,T_PlannedOrders[WeekIndex],54)&amp;" ("&amp;TEXT(SUMPRODUCT(MAX((T_PlannedOrders[Part Name]=$A923)*(T_PlannedOrders[WeekIndex]=54)*(T_PlannedOrders[EffectiveQty]&gt;0)*T_PlannedOrders[Order_Month])),"m月")&amp;"発注)")</f>
        <v/>
      </c>
      <c r="BF955">
        <f>IF(SUMIFS(T_PlannedOrders[EffectiveQty],T_PlannedOrders[Part Name],$A923,T_PlannedOrders[WeekIndex],55)=0,"",SUMIFS(T_PlannedOrders[EffectiveQty],T_PlannedOrders[Part Name],$A923,T_PlannedOrders[WeekIndex],55)&amp;" ("&amp;TEXT(SUMPRODUCT(MAX((T_PlannedOrders[Part Name]=$A923)*(T_PlannedOrders[WeekIndex]=55)*(T_PlannedOrders[EffectiveQty]&gt;0)*T_PlannedOrders[Order_Month])),"m月")&amp;"発注)")</f>
        <v/>
      </c>
      <c r="BG955">
        <f>IF(SUMIFS(T_PlannedOrders[EffectiveQty],T_PlannedOrders[Part Name],$A923,T_PlannedOrders[WeekIndex],56)=0,"",SUMIFS(T_PlannedOrders[EffectiveQty],T_PlannedOrders[Part Name],$A923,T_PlannedOrders[WeekIndex],56)&amp;" ("&amp;TEXT(SUMPRODUCT(MAX((T_PlannedOrders[Part Name]=$A923)*(T_PlannedOrders[WeekIndex]=56)*(T_PlannedOrders[EffectiveQty]&gt;0)*T_PlannedOrders[Order_Month])),"m月")&amp;"発注)")</f>
        <v/>
      </c>
      <c r="BH955">
        <f>IF(SUMIFS(T_PlannedOrders[EffectiveQty],T_PlannedOrders[Part Name],$A923,T_PlannedOrders[WeekIndex],57)=0,"",SUMIFS(T_PlannedOrders[EffectiveQty],T_PlannedOrders[Part Name],$A923,T_PlannedOrders[WeekIndex],57)&amp;" ("&amp;TEXT(SUMPRODUCT(MAX((T_PlannedOrders[Part Name]=$A923)*(T_PlannedOrders[WeekIndex]=57)*(T_PlannedOrders[EffectiveQty]&gt;0)*T_PlannedOrders[Order_Month])),"m月")&amp;"発注)")</f>
        <v/>
      </c>
      <c r="BI955">
        <f>IF(SUMIFS(T_PlannedOrders[EffectiveQty],T_PlannedOrders[Part Name],$A923,T_PlannedOrders[WeekIndex],58)=0,"",SUMIFS(T_PlannedOrders[EffectiveQty],T_PlannedOrders[Part Name],$A923,T_PlannedOrders[WeekIndex],58)&amp;" ("&amp;TEXT(SUMPRODUCT(MAX((T_PlannedOrders[Part Name]=$A923)*(T_PlannedOrders[WeekIndex]=58)*(T_PlannedOrders[EffectiveQty]&gt;0)*T_PlannedOrders[Order_Month])),"m月")&amp;"発注)")</f>
        <v/>
      </c>
      <c r="BJ955">
        <f>IF(SUMIFS(T_PlannedOrders[EffectiveQty],T_PlannedOrders[Part Name],$A923,T_PlannedOrders[WeekIndex],59)=0,"",SUMIFS(T_PlannedOrders[EffectiveQty],T_PlannedOrders[Part Name],$A923,T_PlannedOrders[WeekIndex],59)&amp;" ("&amp;TEXT(SUMPRODUCT(MAX((T_PlannedOrders[Part Name]=$A923)*(T_PlannedOrders[WeekIndex]=59)*(T_PlannedOrders[EffectiveQty]&gt;0)*T_PlannedOrders[Order_Month])),"m月")&amp;"発注)")</f>
        <v/>
      </c>
      <c r="BK955">
        <f>IF(SUMIFS(T_PlannedOrders[EffectiveQty],T_PlannedOrders[Part Name],$A923,T_PlannedOrders[WeekIndex],60)=0,"",SUMIFS(T_PlannedOrders[EffectiveQty],T_PlannedOrders[Part Name],$A923,T_PlannedOrders[WeekIndex],60)&amp;" ("&amp;TEXT(SUMPRODUCT(MAX((T_PlannedOrders[Part Name]=$A923)*(T_PlannedOrders[WeekIndex]=60)*(T_PlannedOrders[EffectiveQty]&gt;0)*T_PlannedOrders[Order_Month])),"m月")&amp;"発注)")</f>
        <v/>
      </c>
      <c r="BL955">
        <f>IF(SUMIFS(T_PlannedOrders[EffectiveQty],T_PlannedOrders[Part Name],$A923,T_PlannedOrders[WeekIndex],61)=0,"",SUMIFS(T_PlannedOrders[EffectiveQty],T_PlannedOrders[Part Name],$A923,T_PlannedOrders[WeekIndex],61)&amp;" ("&amp;TEXT(SUMPRODUCT(MAX((T_PlannedOrders[Part Name]=$A923)*(T_PlannedOrders[WeekIndex]=61)*(T_PlannedOrders[EffectiveQty]&gt;0)*T_PlannedOrders[Order_Month])),"m月")&amp;"発注)")</f>
        <v/>
      </c>
      <c r="BM955">
        <f>IF(SUMIFS(T_PlannedOrders[EffectiveQty],T_PlannedOrders[Part Name],$A923,T_PlannedOrders[WeekIndex],62)=0,"",SUMIFS(T_PlannedOrders[EffectiveQty],T_PlannedOrders[Part Name],$A923,T_PlannedOrders[WeekIndex],62)&amp;" ("&amp;TEXT(SUMPRODUCT(MAX((T_PlannedOrders[Part Name]=$A923)*(T_PlannedOrders[WeekIndex]=62)*(T_PlannedOrders[EffectiveQty]&gt;0)*T_PlannedOrders[Order_Month])),"m月")&amp;"発注)")</f>
        <v/>
      </c>
      <c r="BN955">
        <f>IF(SUMIFS(T_PlannedOrders[EffectiveQty],T_PlannedOrders[Part Name],$A923,T_PlannedOrders[WeekIndex],63)=0,"",SUMIFS(T_PlannedOrders[EffectiveQty],T_PlannedOrders[Part Name],$A923,T_PlannedOrders[WeekIndex],63)&amp;" ("&amp;TEXT(SUMPRODUCT(MAX((T_PlannedOrders[Part Name]=$A923)*(T_PlannedOrders[WeekIndex]=63)*(T_PlannedOrders[EffectiveQty]&gt;0)*T_PlannedOrders[Order_Month])),"m月")&amp;"発注)")</f>
        <v/>
      </c>
      <c r="BO955">
        <f>IF(SUMIFS(T_PlannedOrders[EffectiveQty],T_PlannedOrders[Part Name],$A923,T_PlannedOrders[WeekIndex],64)=0,"",SUMIFS(T_PlannedOrders[EffectiveQty],T_PlannedOrders[Part Name],$A923,T_PlannedOrders[WeekIndex],64)&amp;" ("&amp;TEXT(SUMPRODUCT(MAX((T_PlannedOrders[Part Name]=$A923)*(T_PlannedOrders[WeekIndex]=64)*(T_PlannedOrders[EffectiveQty]&gt;0)*T_PlannedOrders[Order_Month])),"m月")&amp;"発注)")</f>
        <v/>
      </c>
      <c r="BP955">
        <f>IF(SUMIFS(T_PlannedOrders[EffectiveQty],T_PlannedOrders[Part Name],$A923,T_PlannedOrders[WeekIndex],65)=0,"",SUMIFS(T_PlannedOrders[EffectiveQty],T_PlannedOrders[Part Name],$A923,T_PlannedOrders[WeekIndex],65)&amp;" ("&amp;TEXT(SUMPRODUCT(MAX((T_PlannedOrders[Part Name]=$A923)*(T_PlannedOrders[WeekIndex]=65)*(T_PlannedOrders[EffectiveQty]&gt;0)*T_PlannedOrders[Order_Month])),"m月")&amp;"発注)")</f>
        <v/>
      </c>
      <c r="BQ955">
        <f>IF(SUMIFS(T_PlannedOrders[EffectiveQty],T_PlannedOrders[Part Name],$A923,T_PlannedOrders[WeekIndex],66)=0,"",SUMIFS(T_PlannedOrders[EffectiveQty],T_PlannedOrders[Part Name],$A923,T_PlannedOrders[WeekIndex],66)&amp;" ("&amp;TEXT(SUMPRODUCT(MAX((T_PlannedOrders[Part Name]=$A923)*(T_PlannedOrders[WeekIndex]=66)*(T_PlannedOrders[EffectiveQty]&gt;0)*T_PlannedOrders[Order_Month])),"m月")&amp;"発注)")</f>
        <v/>
      </c>
      <c r="BR955">
        <f>IF(SUMIFS(T_PlannedOrders[EffectiveQty],T_PlannedOrders[Part Name],$A923,T_PlannedOrders[WeekIndex],67)=0,"",SUMIFS(T_PlannedOrders[EffectiveQty],T_PlannedOrders[Part Name],$A923,T_PlannedOrders[WeekIndex],67)&amp;" ("&amp;TEXT(SUMPRODUCT(MAX((T_PlannedOrders[Part Name]=$A923)*(T_PlannedOrders[WeekIndex]=67)*(T_PlannedOrders[EffectiveQty]&gt;0)*T_PlannedOrders[Order_Month])),"m月")&amp;"発注)")</f>
        <v/>
      </c>
      <c r="BS955">
        <f>IF(SUMIFS(T_PlannedOrders[EffectiveQty],T_PlannedOrders[Part Name],$A923,T_PlannedOrders[WeekIndex],68)=0,"",SUMIFS(T_PlannedOrders[EffectiveQty],T_PlannedOrders[Part Name],$A923,T_PlannedOrders[WeekIndex],68)&amp;" ("&amp;TEXT(SUMPRODUCT(MAX((T_PlannedOrders[Part Name]=$A923)*(T_PlannedOrders[WeekIndex]=68)*(T_PlannedOrders[EffectiveQty]&gt;0)*T_PlannedOrders[Order_Month])),"m月")&amp;"発注)")</f>
        <v/>
      </c>
      <c r="BT955">
        <f>IF(SUMIFS(T_PlannedOrders[EffectiveQty],T_PlannedOrders[Part Name],$A923,T_PlannedOrders[WeekIndex],69)=0,"",SUMIFS(T_PlannedOrders[EffectiveQty],T_PlannedOrders[Part Name],$A923,T_PlannedOrders[WeekIndex],69)&amp;" ("&amp;TEXT(SUMPRODUCT(MAX((T_PlannedOrders[Part Name]=$A923)*(T_PlannedOrders[WeekIndex]=69)*(T_PlannedOrders[EffectiveQty]&gt;0)*T_PlannedOrders[Order_Month])),"m月")&amp;"発注)")</f>
        <v/>
      </c>
      <c r="BU955">
        <f>IF(SUMIFS(T_PlannedOrders[EffectiveQty],T_PlannedOrders[Part Name],$A923,T_PlannedOrders[WeekIndex],70)=0,"",SUMIFS(T_PlannedOrders[EffectiveQty],T_PlannedOrders[Part Name],$A923,T_PlannedOrders[WeekIndex],70)&amp;" ("&amp;TEXT(SUMPRODUCT(MAX((T_PlannedOrders[Part Name]=$A923)*(T_PlannedOrders[WeekIndex]=70)*(T_PlannedOrders[EffectiveQty]&gt;0)*T_PlannedOrders[Order_Month])),"m月")&amp;"発注)")</f>
        <v/>
      </c>
      <c r="BV955">
        <f>IF(SUMIFS(T_PlannedOrders[EffectiveQty],T_PlannedOrders[Part Name],$A923,T_PlannedOrders[WeekIndex],71)=0,"",SUMIFS(T_PlannedOrders[EffectiveQty],T_PlannedOrders[Part Name],$A923,T_PlannedOrders[WeekIndex],71)&amp;" ("&amp;TEXT(SUMPRODUCT(MAX((T_PlannedOrders[Part Name]=$A923)*(T_PlannedOrders[WeekIndex]=71)*(T_PlannedOrders[EffectiveQty]&gt;0)*T_PlannedOrders[Order_Month])),"m月")&amp;"発注)")</f>
        <v/>
      </c>
      <c r="BW955">
        <f>IF(SUMIFS(T_PlannedOrders[EffectiveQty],T_PlannedOrders[Part Name],$A923,T_PlannedOrders[WeekIndex],72)=0,"",SUMIFS(T_PlannedOrders[EffectiveQty],T_PlannedOrders[Part Name],$A923,T_PlannedOrders[WeekIndex],72)&amp;" ("&amp;TEXT(SUMPRODUCT(MAX((T_PlannedOrders[Part Name]=$A923)*(T_PlannedOrders[WeekIndex]=72)*(T_PlannedOrders[EffectiveQty]&gt;0)*T_PlannedOrders[Order_Month])),"m月")&amp;"発注)")</f>
        <v/>
      </c>
      <c r="BX955">
        <f>IF(SUMIFS(T_PlannedOrders[EffectiveQty],T_PlannedOrders[Part Name],$A923,T_PlannedOrders[WeekIndex],73)=0,"",SUMIFS(T_PlannedOrders[EffectiveQty],T_PlannedOrders[Part Name],$A923,T_PlannedOrders[WeekIndex],73)&amp;" ("&amp;TEXT(SUMPRODUCT(MAX((T_PlannedOrders[Part Name]=$A923)*(T_PlannedOrders[WeekIndex]=73)*(T_PlannedOrders[EffectiveQty]&gt;0)*T_PlannedOrders[Order_Month])),"m月")&amp;"発注)")</f>
        <v/>
      </c>
      <c r="BY955">
        <f>IF(SUMIFS(T_PlannedOrders[EffectiveQty],T_PlannedOrders[Part Name],$A923,T_PlannedOrders[WeekIndex],74)=0,"",SUMIFS(T_PlannedOrders[EffectiveQty],T_PlannedOrders[Part Name],$A923,T_PlannedOrders[WeekIndex],74)&amp;" ("&amp;TEXT(SUMPRODUCT(MAX((T_PlannedOrders[Part Name]=$A923)*(T_PlannedOrders[WeekIndex]=74)*(T_PlannedOrders[EffectiveQty]&gt;0)*T_PlannedOrders[Order_Month])),"m月")&amp;"発注)")</f>
        <v/>
      </c>
      <c r="BZ955">
        <f>IF(SUMIFS(T_PlannedOrders[EffectiveQty],T_PlannedOrders[Part Name],$A923,T_PlannedOrders[WeekIndex],75)=0,"",SUMIFS(T_PlannedOrders[EffectiveQty],T_PlannedOrders[Part Name],$A923,T_PlannedOrders[WeekIndex],75)&amp;" ("&amp;TEXT(SUMPRODUCT(MAX((T_PlannedOrders[Part Name]=$A923)*(T_PlannedOrders[WeekIndex]=75)*(T_PlannedOrders[EffectiveQty]&gt;0)*T_PlannedOrders[Order_Month])),"m月")&amp;"発注)")</f>
        <v/>
      </c>
      <c r="CA955">
        <f>IF(SUMIFS(T_PlannedOrders[EffectiveQty],T_PlannedOrders[Part Name],$A923,T_PlannedOrders[WeekIndex],76)=0,"",SUMIFS(T_PlannedOrders[EffectiveQty],T_PlannedOrders[Part Name],$A923,T_PlannedOrders[WeekIndex],76)&amp;" ("&amp;TEXT(SUMPRODUCT(MAX((T_PlannedOrders[Part Name]=$A923)*(T_PlannedOrders[WeekIndex]=76)*(T_PlannedOrders[EffectiveQty]&gt;0)*T_PlannedOrders[Order_Month])),"m月")&amp;"発注)")</f>
        <v/>
      </c>
      <c r="CB955">
        <f>IF(SUMIFS(T_PlannedOrders[EffectiveQty],T_PlannedOrders[Part Name],$A923,T_PlannedOrders[WeekIndex],77)=0,"",SUMIFS(T_PlannedOrders[EffectiveQty],T_PlannedOrders[Part Name],$A923,T_PlannedOrders[WeekIndex],77)&amp;" ("&amp;TEXT(SUMPRODUCT(MAX((T_PlannedOrders[Part Name]=$A923)*(T_PlannedOrders[WeekIndex]=77)*(T_PlannedOrders[EffectiveQty]&gt;0)*T_PlannedOrders[Order_Month])),"m月")&amp;"発注)")</f>
        <v/>
      </c>
      <c r="CC955">
        <f>IF(SUMIFS(T_PlannedOrders[EffectiveQty],T_PlannedOrders[Part Name],$A923,T_PlannedOrders[WeekIndex],78)=0,"",SUMIFS(T_PlannedOrders[EffectiveQty],T_PlannedOrders[Part Name],$A923,T_PlannedOrders[WeekIndex],78)&amp;" ("&amp;TEXT(SUMPRODUCT(MAX((T_PlannedOrders[Part Name]=$A923)*(T_PlannedOrders[WeekIndex]=78)*(T_PlannedOrders[EffectiveQty]&gt;0)*T_PlannedOrders[Order_Month])),"m月")&amp;"発注)")</f>
        <v/>
      </c>
      <c r="CD955">
        <f>IF(SUMIFS(T_PlannedOrders[EffectiveQty],T_PlannedOrders[Part Name],$A923,T_PlannedOrders[WeekIndex],79)=0,"",SUMIFS(T_PlannedOrders[EffectiveQty],T_PlannedOrders[Part Name],$A923,T_PlannedOrders[WeekIndex],79)&amp;" ("&amp;TEXT(SUMPRODUCT(MAX((T_PlannedOrders[Part Name]=$A923)*(T_PlannedOrders[WeekIndex]=79)*(T_PlannedOrders[EffectiveQty]&gt;0)*T_PlannedOrders[Order_Month])),"m月")&amp;"発注)")</f>
        <v/>
      </c>
      <c r="CE955">
        <f>IF(SUMIFS(T_PlannedOrders[EffectiveQty],T_PlannedOrders[Part Name],$A923,T_PlannedOrders[WeekIndex],80)=0,"",SUMIFS(T_PlannedOrders[EffectiveQty],T_PlannedOrders[Part Name],$A923,T_PlannedOrders[WeekIndex],80)&amp;" ("&amp;TEXT(SUMPRODUCT(MAX((T_PlannedOrders[Part Name]=$A923)*(T_PlannedOrders[WeekIndex]=80)*(T_PlannedOrders[EffectiveQty]&gt;0)*T_PlannedOrders[Order_Month])),"m月")&amp;"発注)")</f>
        <v/>
      </c>
      <c r="CF955">
        <f>IF(SUMIFS(T_PlannedOrders[EffectiveQty],T_PlannedOrders[Part Name],$A923,T_PlannedOrders[WeekIndex],81)=0,"",SUMIFS(T_PlannedOrders[EffectiveQty],T_PlannedOrders[Part Name],$A923,T_PlannedOrders[WeekIndex],81)&amp;" ("&amp;TEXT(SUMPRODUCT(MAX((T_PlannedOrders[Part Name]=$A923)*(T_PlannedOrders[WeekIndex]=81)*(T_PlannedOrders[EffectiveQty]&gt;0)*T_PlannedOrders[Order_Month])),"m月")&amp;"発注)")</f>
        <v/>
      </c>
      <c r="CG955">
        <f>IF(SUMIFS(T_PlannedOrders[EffectiveQty],T_PlannedOrders[Part Name],$A923,T_PlannedOrders[WeekIndex],82)=0,"",SUMIFS(T_PlannedOrders[EffectiveQty],T_PlannedOrders[Part Name],$A923,T_PlannedOrders[WeekIndex],82)&amp;" ("&amp;TEXT(SUMPRODUCT(MAX((T_PlannedOrders[Part Name]=$A923)*(T_PlannedOrders[WeekIndex]=82)*(T_PlannedOrders[EffectiveQty]&gt;0)*T_PlannedOrders[Order_Month])),"m月")&amp;"発注)")</f>
        <v/>
      </c>
      <c r="CH955">
        <f>IF(SUMIFS(T_PlannedOrders[EffectiveQty],T_PlannedOrders[Part Name],$A923,T_PlannedOrders[WeekIndex],83)=0,"",SUMIFS(T_PlannedOrders[EffectiveQty],T_PlannedOrders[Part Name],$A923,T_PlannedOrders[WeekIndex],83)&amp;" ("&amp;TEXT(SUMPRODUCT(MAX((T_PlannedOrders[Part Name]=$A923)*(T_PlannedOrders[WeekIndex]=83)*(T_PlannedOrders[EffectiveQty]&gt;0)*T_PlannedOrders[Order_Month])),"m月")&amp;"発注)")</f>
        <v/>
      </c>
      <c r="CI955">
        <f>IF(SUMIFS(T_PlannedOrders[EffectiveQty],T_PlannedOrders[Part Name],$A923,T_PlannedOrders[WeekIndex],84)=0,"",SUMIFS(T_PlannedOrders[EffectiveQty],T_PlannedOrders[Part Name],$A923,T_PlannedOrders[WeekIndex],84)&amp;" ("&amp;TEXT(SUMPRODUCT(MAX((T_PlannedOrders[Part Name]=$A923)*(T_PlannedOrders[WeekIndex]=84)*(T_PlannedOrders[EffectiveQty]&gt;0)*T_PlannedOrders[Order_Month])),"m月")&amp;"発注)")</f>
        <v/>
      </c>
      <c r="CJ955">
        <f>IF(SUMIFS(T_PlannedOrders[EffectiveQty],T_PlannedOrders[Part Name],$A923,T_PlannedOrders[WeekIndex],85)=0,"",SUMIFS(T_PlannedOrders[EffectiveQty],T_PlannedOrders[Part Name],$A923,T_PlannedOrders[WeekIndex],85)&amp;" ("&amp;TEXT(SUMPRODUCT(MAX((T_PlannedOrders[Part Name]=$A923)*(T_PlannedOrders[WeekIndex]=85)*(T_PlannedOrders[EffectiveQty]&gt;0)*T_PlannedOrders[Order_Month])),"m月")&amp;"発注)")</f>
        <v/>
      </c>
      <c r="CK955">
        <f>IF(SUMIFS(T_PlannedOrders[EffectiveQty],T_PlannedOrders[Part Name],$A923,T_PlannedOrders[WeekIndex],86)=0,"",SUMIFS(T_PlannedOrders[EffectiveQty],T_PlannedOrders[Part Name],$A923,T_PlannedOrders[WeekIndex],86)&amp;" ("&amp;TEXT(SUMPRODUCT(MAX((T_PlannedOrders[Part Name]=$A923)*(T_PlannedOrders[WeekIndex]=86)*(T_PlannedOrders[EffectiveQty]&gt;0)*T_PlannedOrders[Order_Month])),"m月")&amp;"発注)")</f>
        <v/>
      </c>
      <c r="CL955">
        <f>IF(SUMIFS(T_PlannedOrders[EffectiveQty],T_PlannedOrders[Part Name],$A923,T_PlannedOrders[WeekIndex],87)=0,"",SUMIFS(T_PlannedOrders[EffectiveQty],T_PlannedOrders[Part Name],$A923,T_PlannedOrders[WeekIndex],87)&amp;" ("&amp;TEXT(SUMPRODUCT(MAX((T_PlannedOrders[Part Name]=$A923)*(T_PlannedOrders[WeekIndex]=87)*(T_PlannedOrders[EffectiveQty]&gt;0)*T_PlannedOrders[Order_Month])),"m月")&amp;"発注)")</f>
        <v/>
      </c>
      <c r="CM955">
        <f>IF(SUMIFS(T_PlannedOrders[EffectiveQty],T_PlannedOrders[Part Name],$A923,T_PlannedOrders[WeekIndex],88)=0,"",SUMIFS(T_PlannedOrders[EffectiveQty],T_PlannedOrders[Part Name],$A923,T_PlannedOrders[WeekIndex],88)&amp;" ("&amp;TEXT(SUMPRODUCT(MAX((T_PlannedOrders[Part Name]=$A923)*(T_PlannedOrders[WeekIndex]=88)*(T_PlannedOrders[EffectiveQty]&gt;0)*T_PlannedOrders[Order_Month])),"m月")&amp;"発注)")</f>
        <v/>
      </c>
      <c r="CN955">
        <f>IF(SUMIFS(T_PlannedOrders[EffectiveQty],T_PlannedOrders[Part Name],$A923,T_PlannedOrders[WeekIndex],89)=0,"",SUMIFS(T_PlannedOrders[EffectiveQty],T_PlannedOrders[Part Name],$A923,T_PlannedOrders[WeekIndex],89)&amp;" ("&amp;TEXT(SUMPRODUCT(MAX((T_PlannedOrders[Part Name]=$A923)*(T_PlannedOrders[WeekIndex]=89)*(T_PlannedOrders[EffectiveQty]&gt;0)*T_PlannedOrders[Order_Month])),"m月")&amp;"発注)")</f>
        <v/>
      </c>
      <c r="CO955">
        <f>IF(SUMIFS(T_PlannedOrders[EffectiveQty],T_PlannedOrders[Part Name],$A923,T_PlannedOrders[WeekIndex],90)=0,"",SUMIFS(T_PlannedOrders[EffectiveQty],T_PlannedOrders[Part Name],$A923,T_PlannedOrders[WeekIndex],90)&amp;" ("&amp;TEXT(SUMPRODUCT(MAX((T_PlannedOrders[Part Name]=$A923)*(T_PlannedOrders[WeekIndex]=90)*(T_PlannedOrders[EffectiveQty]&gt;0)*T_PlannedOrders[Order_Month])),"m月")&amp;"発注)")</f>
        <v/>
      </c>
      <c r="CP955">
        <f>IF(SUMIFS(T_PlannedOrders[EffectiveQty],T_PlannedOrders[Part Name],$A923,T_PlannedOrders[WeekIndex],91)=0,"",SUMIFS(T_PlannedOrders[EffectiveQty],T_PlannedOrders[Part Name],$A923,T_PlannedOrders[WeekIndex],91)&amp;" ("&amp;TEXT(SUMPRODUCT(MAX((T_PlannedOrders[Part Name]=$A923)*(T_PlannedOrders[WeekIndex]=91)*(T_PlannedOrders[EffectiveQty]&gt;0)*T_PlannedOrders[Order_Month])),"m月")&amp;"発注)")</f>
        <v/>
      </c>
      <c r="CQ955">
        <f>IF(SUMIFS(T_PlannedOrders[EffectiveQty],T_PlannedOrders[Part Name],$A923,T_PlannedOrders[WeekIndex],92)=0,"",SUMIFS(T_PlannedOrders[EffectiveQty],T_PlannedOrders[Part Name],$A923,T_PlannedOrders[WeekIndex],92)&amp;" ("&amp;TEXT(SUMPRODUCT(MAX((T_PlannedOrders[Part Name]=$A923)*(T_PlannedOrders[WeekIndex]=92)*(T_PlannedOrders[EffectiveQty]&gt;0)*T_PlannedOrders[Order_Month])),"m月")&amp;"発注)")</f>
        <v/>
      </c>
      <c r="CR955">
        <f>IF(SUMIFS(T_PlannedOrders[EffectiveQty],T_PlannedOrders[Part Name],$A923,T_PlannedOrders[WeekIndex],93)=0,"",SUMIFS(T_PlannedOrders[EffectiveQty],T_PlannedOrders[Part Name],$A923,T_PlannedOrders[WeekIndex],93)&amp;" ("&amp;TEXT(SUMPRODUCT(MAX((T_PlannedOrders[Part Name]=$A923)*(T_PlannedOrders[WeekIndex]=93)*(T_PlannedOrders[EffectiveQty]&gt;0)*T_PlannedOrders[Order_Month])),"m月")&amp;"発注)")</f>
        <v/>
      </c>
      <c r="CS955">
        <f>IF(SUMIFS(T_PlannedOrders[EffectiveQty],T_PlannedOrders[Part Name],$A923,T_PlannedOrders[WeekIndex],94)=0,"",SUMIFS(T_PlannedOrders[EffectiveQty],T_PlannedOrders[Part Name],$A923,T_PlannedOrders[WeekIndex],94)&amp;" ("&amp;TEXT(SUMPRODUCT(MAX((T_PlannedOrders[Part Name]=$A923)*(T_PlannedOrders[WeekIndex]=94)*(T_PlannedOrders[EffectiveQty]&gt;0)*T_PlannedOrders[Order_Month])),"m月")&amp;"発注)")</f>
        <v/>
      </c>
      <c r="CT955">
        <f>IF(SUMIFS(T_PlannedOrders[EffectiveQty],T_PlannedOrders[Part Name],$A923,T_PlannedOrders[WeekIndex],95)=0,"",SUMIFS(T_PlannedOrders[EffectiveQty],T_PlannedOrders[Part Name],$A923,T_PlannedOrders[WeekIndex],95)&amp;" ("&amp;TEXT(SUMPRODUCT(MAX((T_PlannedOrders[Part Name]=$A923)*(T_PlannedOrders[WeekIndex]=95)*(T_PlannedOrders[EffectiveQty]&gt;0)*T_PlannedOrders[Order_Month])),"m月")&amp;"発注)")</f>
        <v/>
      </c>
      <c r="CU955">
        <f>IF(SUMIFS(T_PlannedOrders[EffectiveQty],T_PlannedOrders[Part Name],$A923,T_PlannedOrders[WeekIndex],96)=0,"",SUMIFS(T_PlannedOrders[EffectiveQty],T_PlannedOrders[Part Name],$A923,T_PlannedOrders[WeekIndex],96)&amp;" ("&amp;TEXT(SUMPRODUCT(MAX((T_PlannedOrders[Part Name]=$A923)*(T_PlannedOrders[WeekIndex]=96)*(T_PlannedOrders[EffectiveQty]&gt;0)*T_PlannedOrders[Order_Month])),"m月")&amp;"発注)")</f>
        <v/>
      </c>
      <c r="CV955">
        <f>IF(SUMIFS(T_PlannedOrders[EffectiveQty],T_PlannedOrders[Part Name],$A923,T_PlannedOrders[WeekIndex],97)=0,"",SUMIFS(T_PlannedOrders[EffectiveQty],T_PlannedOrders[Part Name],$A923,T_PlannedOrders[WeekIndex],97)&amp;" ("&amp;TEXT(SUMPRODUCT(MAX((T_PlannedOrders[Part Name]=$A923)*(T_PlannedOrders[WeekIndex]=97)*(T_PlannedOrders[EffectiveQty]&gt;0)*T_PlannedOrders[Order_Month])),"m月")&amp;"発注)")</f>
        <v/>
      </c>
      <c r="CW955">
        <f>IF(SUMIFS(T_PlannedOrders[EffectiveQty],T_PlannedOrders[Part Name],$A923,T_PlannedOrders[WeekIndex],98)=0,"",SUMIFS(T_PlannedOrders[EffectiveQty],T_PlannedOrders[Part Name],$A923,T_PlannedOrders[WeekIndex],98)&amp;" ("&amp;TEXT(SUMPRODUCT(MAX((T_PlannedOrders[Part Name]=$A923)*(T_PlannedOrders[WeekIndex]=98)*(T_PlannedOrders[EffectiveQty]&gt;0)*T_PlannedOrders[Order_Month])),"m月")&amp;"発注)")</f>
        <v/>
      </c>
      <c r="CX955">
        <f>IF(SUMIFS(T_PlannedOrders[EffectiveQty],T_PlannedOrders[Part Name],$A923,T_PlannedOrders[WeekIndex],99)=0,"",SUMIFS(T_PlannedOrders[EffectiveQty],T_PlannedOrders[Part Name],$A923,T_PlannedOrders[WeekIndex],99)&amp;" ("&amp;TEXT(SUMPRODUCT(MAX((T_PlannedOrders[Part Name]=$A923)*(T_PlannedOrders[WeekIndex]=99)*(T_PlannedOrders[EffectiveQty]&gt;0)*T_PlannedOrders[Order_Month])),"m月")&amp;"発注)")</f>
        <v/>
      </c>
      <c r="CY955">
        <f>IF(SUMIFS(T_PlannedOrders[EffectiveQty],T_PlannedOrders[Part Name],$A923,T_PlannedOrders[WeekIndex],100)=0,"",SUMIFS(T_PlannedOrders[EffectiveQty],T_PlannedOrders[Part Name],$A923,T_PlannedOrders[WeekIndex],100)&amp;" ("&amp;TEXT(SUMPRODUCT(MAX((T_PlannedOrders[Part Name]=$A923)*(T_PlannedOrders[WeekIndex]=100)*(T_PlannedOrders[EffectiveQty]&gt;0)*T_PlannedOrders[Order_Month])),"m月")&amp;"発注)")</f>
        <v/>
      </c>
      <c r="CZ955">
        <f>IF(SUMIFS(T_PlannedOrders[EffectiveQty],T_PlannedOrders[Part Name],$A923,T_PlannedOrders[WeekIndex],101)=0,"",SUMIFS(T_PlannedOrders[EffectiveQty],T_PlannedOrders[Part Name],$A923,T_PlannedOrders[WeekIndex],101)&amp;" ("&amp;TEXT(SUMPRODUCT(MAX((T_PlannedOrders[Part Name]=$A923)*(T_PlannedOrders[WeekIndex]=101)*(T_PlannedOrders[EffectiveQty]&gt;0)*T_PlannedOrders[Order_Month])),"m月")&amp;"発注)")</f>
        <v/>
      </c>
      <c r="DA955">
        <f>IF(SUMIFS(T_PlannedOrders[EffectiveQty],T_PlannedOrders[Part Name],$A923,T_PlannedOrders[WeekIndex],102)=0,"",SUMIFS(T_PlannedOrders[EffectiveQty],T_PlannedOrders[Part Name],$A923,T_PlannedOrders[WeekIndex],102)&amp;" ("&amp;TEXT(SUMPRODUCT(MAX((T_PlannedOrders[Part Name]=$A923)*(T_PlannedOrders[WeekIndex]=102)*(T_PlannedOrders[EffectiveQty]&gt;0)*T_PlannedOrders[Order_Month])),"m月")&amp;"発注)")</f>
        <v/>
      </c>
      <c r="DB955">
        <f>IF(SUMIFS(T_PlannedOrders[EffectiveQty],T_PlannedOrders[Part Name],$A923,T_PlannedOrders[WeekIndex],103)=0,"",SUMIFS(T_PlannedOrders[EffectiveQty],T_PlannedOrders[Part Name],$A923,T_PlannedOrders[WeekIndex],103)&amp;" ("&amp;TEXT(SUMPRODUCT(MAX((T_PlannedOrders[Part Name]=$A923)*(T_PlannedOrders[WeekIndex]=103)*(T_PlannedOrders[EffectiveQty]&gt;0)*T_PlannedOrders[Order_Month])),"m月")&amp;"発注)")</f>
        <v/>
      </c>
      <c r="DC955">
        <f>IF(SUMIFS(T_PlannedOrders[EffectiveQty],T_PlannedOrders[Part Name],$A923,T_PlannedOrders[WeekIndex],104)=0,"",SUMIFS(T_PlannedOrders[EffectiveQty],T_PlannedOrders[Part Name],$A923,T_PlannedOrders[WeekIndex],104)&amp;" ("&amp;TEXT(SUMPRODUCT(MAX((T_PlannedOrders[Part Name]=$A923)*(T_PlannedOrders[WeekIndex]=104)*(T_PlannedOrders[EffectiveQty]&gt;0)*T_PlannedOrders[Order_Month])),"m月")&amp;"発注)")</f>
        <v/>
      </c>
    </row>
    <row r="956">
      <c r="B956" s="4" t="inlineStr">
        <is>
          <t>合計在庫(週末時点,kg)</t>
        </is>
      </c>
      <c r="D956">
        <f>'Grid_Stock'!B9</f>
        <v/>
      </c>
      <c r="E956">
        <f>'Grid_Stock'!C9</f>
        <v/>
      </c>
      <c r="F956">
        <f>'Grid_Stock'!D9</f>
        <v/>
      </c>
      <c r="G956">
        <f>'Grid_Stock'!E9</f>
        <v/>
      </c>
      <c r="H956">
        <f>'Grid_Stock'!F9</f>
        <v/>
      </c>
      <c r="I956">
        <f>'Grid_Stock'!G9</f>
        <v/>
      </c>
      <c r="J956">
        <f>'Grid_Stock'!H9</f>
        <v/>
      </c>
      <c r="K956">
        <f>'Grid_Stock'!I9</f>
        <v/>
      </c>
      <c r="L956">
        <f>'Grid_Stock'!J9</f>
        <v/>
      </c>
      <c r="M956">
        <f>'Grid_Stock'!K9</f>
        <v/>
      </c>
      <c r="N956">
        <f>'Grid_Stock'!L9</f>
        <v/>
      </c>
      <c r="O956">
        <f>'Grid_Stock'!M9</f>
        <v/>
      </c>
      <c r="P956">
        <f>'Grid_Stock'!N9</f>
        <v/>
      </c>
      <c r="Q956">
        <f>'Grid_Stock'!O9</f>
        <v/>
      </c>
      <c r="R956">
        <f>'Grid_Stock'!P9</f>
        <v/>
      </c>
      <c r="S956">
        <f>'Grid_Stock'!Q9</f>
        <v/>
      </c>
      <c r="T956">
        <f>'Grid_Stock'!R9</f>
        <v/>
      </c>
      <c r="U956">
        <f>'Grid_Stock'!S9</f>
        <v/>
      </c>
      <c r="V956">
        <f>'Grid_Stock'!T9</f>
        <v/>
      </c>
      <c r="W956">
        <f>'Grid_Stock'!U9</f>
        <v/>
      </c>
      <c r="X956">
        <f>'Grid_Stock'!V9</f>
        <v/>
      </c>
      <c r="Y956">
        <f>'Grid_Stock'!W9</f>
        <v/>
      </c>
      <c r="Z956">
        <f>'Grid_Stock'!X9</f>
        <v/>
      </c>
      <c r="AA956">
        <f>'Grid_Stock'!Y9</f>
        <v/>
      </c>
      <c r="AB956">
        <f>'Grid_Stock'!Z9</f>
        <v/>
      </c>
      <c r="AC956">
        <f>'Grid_Stock'!AA9</f>
        <v/>
      </c>
      <c r="AD956">
        <f>'Grid_Stock'!AB9</f>
        <v/>
      </c>
      <c r="AE956">
        <f>'Grid_Stock'!AC9</f>
        <v/>
      </c>
      <c r="AF956">
        <f>'Grid_Stock'!AD9</f>
        <v/>
      </c>
      <c r="AG956">
        <f>'Grid_Stock'!AE9</f>
        <v/>
      </c>
      <c r="AH956">
        <f>'Grid_Stock'!AF9</f>
        <v/>
      </c>
      <c r="AI956">
        <f>'Grid_Stock'!AG9</f>
        <v/>
      </c>
      <c r="AJ956">
        <f>'Grid_Stock'!AH9</f>
        <v/>
      </c>
      <c r="AK956">
        <f>'Grid_Stock'!AI9</f>
        <v/>
      </c>
      <c r="AL956">
        <f>'Grid_Stock'!AJ9</f>
        <v/>
      </c>
      <c r="AM956">
        <f>'Grid_Stock'!AK9</f>
        <v/>
      </c>
      <c r="AN956">
        <f>'Grid_Stock'!AL9</f>
        <v/>
      </c>
      <c r="AO956">
        <f>'Grid_Stock'!AM9</f>
        <v/>
      </c>
      <c r="AP956">
        <f>'Grid_Stock'!AN9</f>
        <v/>
      </c>
      <c r="AQ956">
        <f>'Grid_Stock'!AO9</f>
        <v/>
      </c>
      <c r="AR956">
        <f>'Grid_Stock'!AP9</f>
        <v/>
      </c>
      <c r="AS956">
        <f>'Grid_Stock'!AQ9</f>
        <v/>
      </c>
      <c r="AT956">
        <f>'Grid_Stock'!AR9</f>
        <v/>
      </c>
      <c r="AU956">
        <f>'Grid_Stock'!AS9</f>
        <v/>
      </c>
      <c r="AV956">
        <f>'Grid_Stock'!AT9</f>
        <v/>
      </c>
      <c r="AW956">
        <f>'Grid_Stock'!AU9</f>
        <v/>
      </c>
      <c r="AX956">
        <f>'Grid_Stock'!AV9</f>
        <v/>
      </c>
      <c r="AY956">
        <f>'Grid_Stock'!AW9</f>
        <v/>
      </c>
      <c r="AZ956">
        <f>'Grid_Stock'!AX9</f>
        <v/>
      </c>
      <c r="BA956">
        <f>'Grid_Stock'!AY9</f>
        <v/>
      </c>
      <c r="BB956">
        <f>'Grid_Stock'!AZ9</f>
        <v/>
      </c>
      <c r="BC956">
        <f>'Grid_Stock'!BA9</f>
        <v/>
      </c>
      <c r="BD956">
        <f>'Grid_Stock'!BB9</f>
        <v/>
      </c>
      <c r="BE956">
        <f>'Grid_Stock'!BC9</f>
        <v/>
      </c>
      <c r="BF956">
        <f>'Grid_Stock'!BD9</f>
        <v/>
      </c>
      <c r="BG956">
        <f>'Grid_Stock'!BE9</f>
        <v/>
      </c>
      <c r="BH956">
        <f>'Grid_Stock'!BF9</f>
        <v/>
      </c>
      <c r="BI956">
        <f>'Grid_Stock'!BG9</f>
        <v/>
      </c>
      <c r="BJ956">
        <f>'Grid_Stock'!BH9</f>
        <v/>
      </c>
      <c r="BK956">
        <f>'Grid_Stock'!BI9</f>
        <v/>
      </c>
      <c r="BL956">
        <f>'Grid_Stock'!BJ9</f>
        <v/>
      </c>
      <c r="BM956">
        <f>'Grid_Stock'!BK9</f>
        <v/>
      </c>
      <c r="BN956">
        <f>'Grid_Stock'!BL9</f>
        <v/>
      </c>
      <c r="BO956">
        <f>'Grid_Stock'!BM9</f>
        <v/>
      </c>
      <c r="BP956">
        <f>'Grid_Stock'!BN9</f>
        <v/>
      </c>
      <c r="BQ956">
        <f>'Grid_Stock'!BO9</f>
        <v/>
      </c>
      <c r="BR956">
        <f>'Grid_Stock'!BP9</f>
        <v/>
      </c>
      <c r="BS956">
        <f>'Grid_Stock'!BQ9</f>
        <v/>
      </c>
      <c r="BT956">
        <f>'Grid_Stock'!BR9</f>
        <v/>
      </c>
      <c r="BU956">
        <f>'Grid_Stock'!BS9</f>
        <v/>
      </c>
      <c r="BV956">
        <f>'Grid_Stock'!BT9</f>
        <v/>
      </c>
      <c r="BW956">
        <f>'Grid_Stock'!BU9</f>
        <v/>
      </c>
      <c r="BX956">
        <f>'Grid_Stock'!BV9</f>
        <v/>
      </c>
      <c r="BY956">
        <f>'Grid_Stock'!BW9</f>
        <v/>
      </c>
      <c r="BZ956">
        <f>'Grid_Stock'!BX9</f>
        <v/>
      </c>
      <c r="CA956">
        <f>'Grid_Stock'!BY9</f>
        <v/>
      </c>
      <c r="CB956">
        <f>'Grid_Stock'!BZ9</f>
        <v/>
      </c>
      <c r="CC956">
        <f>'Grid_Stock'!CA9</f>
        <v/>
      </c>
      <c r="CD956">
        <f>'Grid_Stock'!CB9</f>
        <v/>
      </c>
      <c r="CE956">
        <f>'Grid_Stock'!CC9</f>
        <v/>
      </c>
      <c r="CF956">
        <f>'Grid_Stock'!CD9</f>
        <v/>
      </c>
      <c r="CG956">
        <f>'Grid_Stock'!CE9</f>
        <v/>
      </c>
      <c r="CH956">
        <f>'Grid_Stock'!CF9</f>
        <v/>
      </c>
      <c r="CI956">
        <f>'Grid_Stock'!CG9</f>
        <v/>
      </c>
      <c r="CJ956">
        <f>'Grid_Stock'!CH9</f>
        <v/>
      </c>
      <c r="CK956">
        <f>'Grid_Stock'!CI9</f>
        <v/>
      </c>
      <c r="CL956">
        <f>'Grid_Stock'!CJ9</f>
        <v/>
      </c>
      <c r="CM956">
        <f>'Grid_Stock'!CK9</f>
        <v/>
      </c>
      <c r="CN956">
        <f>'Grid_Stock'!CL9</f>
        <v/>
      </c>
      <c r="CO956">
        <f>'Grid_Stock'!CM9</f>
        <v/>
      </c>
      <c r="CP956">
        <f>'Grid_Stock'!CN9</f>
        <v/>
      </c>
      <c r="CQ956">
        <f>'Grid_Stock'!CO9</f>
        <v/>
      </c>
      <c r="CR956">
        <f>'Grid_Stock'!CP9</f>
        <v/>
      </c>
      <c r="CS956">
        <f>'Grid_Stock'!CQ9</f>
        <v/>
      </c>
      <c r="CT956">
        <f>'Grid_Stock'!CR9</f>
        <v/>
      </c>
      <c r="CU956">
        <f>'Grid_Stock'!CS9</f>
        <v/>
      </c>
      <c r="CV956">
        <f>'Grid_Stock'!CT9</f>
        <v/>
      </c>
      <c r="CW956">
        <f>'Grid_Stock'!CU9</f>
        <v/>
      </c>
      <c r="CX956">
        <f>'Grid_Stock'!CV9</f>
        <v/>
      </c>
      <c r="CY956">
        <f>'Grid_Stock'!CW9</f>
        <v/>
      </c>
      <c r="CZ956">
        <f>'Grid_Stock'!CX9</f>
        <v/>
      </c>
      <c r="DA956">
        <f>'Grid_Stock'!CY9</f>
        <v/>
      </c>
      <c r="DB956">
        <f>'Grid_Stock'!CZ9</f>
        <v/>
      </c>
      <c r="DC956">
        <f>'Grid_Stock'!DA9</f>
        <v/>
      </c>
    </row>
    <row r="957">
      <c r="B957" s="16" t="inlineStr">
        <is>
          <t>（発注の目安はDashboardの基準在庫[下限/上限]と色分けを参照）</t>
        </is>
      </c>
    </row>
    <row r="959">
      <c r="A959" s="14" t="inlineStr">
        <is>
          <t>CHEM-1760</t>
        </is>
      </c>
      <c r="B959" s="14" t="inlineStr">
        <is>
          <t>Pigment(TC RED FD(A))</t>
        </is>
      </c>
      <c r="C959" s="15" t="n"/>
      <c r="D959" s="14" t="n"/>
      <c r="E959" s="14" t="n"/>
      <c r="F959" s="14" t="n"/>
      <c r="G959" s="14" t="n"/>
      <c r="H959" s="14" t="n"/>
      <c r="I959" s="14" t="n"/>
      <c r="J959" s="14" t="n"/>
      <c r="K959" s="14" t="n"/>
      <c r="L959" s="14" t="n"/>
      <c r="M959" s="14" t="n"/>
      <c r="N959" s="14" t="n"/>
      <c r="O959" s="14" t="n"/>
      <c r="P959" s="14" t="n"/>
      <c r="Q959" s="14" t="n"/>
      <c r="R959" s="14" t="n"/>
      <c r="S959" s="14" t="n"/>
      <c r="T959" s="14" t="n"/>
      <c r="U959" s="14" t="n"/>
      <c r="V959" s="14" t="n"/>
      <c r="W959" s="14" t="n"/>
      <c r="X959" s="14" t="n"/>
      <c r="Y959" s="14" t="n"/>
      <c r="Z959" s="14" t="n"/>
      <c r="AA959" s="14" t="n"/>
      <c r="AB959" s="14" t="n"/>
      <c r="AC959" s="14" t="n"/>
      <c r="AD959" s="14" t="n"/>
      <c r="AE959" s="14" t="n"/>
      <c r="AF959" s="14" t="n"/>
      <c r="AG959" s="14" t="n"/>
      <c r="AH959" s="14" t="n"/>
      <c r="AI959" s="14" t="n"/>
      <c r="AJ959" s="14" t="n"/>
      <c r="AK959" s="14" t="n"/>
      <c r="AL959" s="14" t="n"/>
      <c r="AM959" s="14" t="n"/>
      <c r="AN959" s="14" t="n"/>
      <c r="AO959" s="14" t="n"/>
      <c r="AP959" s="14" t="n"/>
      <c r="AQ959" s="14" t="n"/>
      <c r="AR959" s="14" t="n"/>
      <c r="AS959" s="14" t="n"/>
      <c r="AT959" s="14" t="n"/>
      <c r="AU959" s="14" t="n"/>
      <c r="AV959" s="14" t="n"/>
      <c r="AW959" s="14" t="n"/>
      <c r="AX959" s="14" t="n"/>
      <c r="AY959" s="14" t="n"/>
      <c r="AZ959" s="14" t="n"/>
      <c r="BA959" s="14" t="n"/>
      <c r="BB959" s="14" t="n"/>
      <c r="BC959" s="14" t="n"/>
      <c r="BD959" s="14" t="n"/>
      <c r="BE959" s="14" t="n"/>
      <c r="BF959" s="14" t="n"/>
      <c r="BG959" s="14" t="n"/>
      <c r="BH959" s="14" t="n"/>
      <c r="BI959" s="14" t="n"/>
      <c r="BJ959" s="14" t="n"/>
      <c r="BK959" s="14" t="n"/>
      <c r="BL959" s="14" t="n"/>
      <c r="BM959" s="14" t="n"/>
      <c r="BN959" s="14" t="n"/>
      <c r="BO959" s="14" t="n"/>
      <c r="BP959" s="14" t="n"/>
      <c r="BQ959" s="14" t="n"/>
      <c r="BR959" s="14" t="n"/>
      <c r="BS959" s="14" t="n"/>
      <c r="BT959" s="14" t="n"/>
      <c r="BU959" s="14" t="n"/>
      <c r="BV959" s="14" t="n"/>
      <c r="BW959" s="14" t="n"/>
      <c r="BX959" s="14" t="n"/>
      <c r="BY959" s="14" t="n"/>
      <c r="BZ959" s="14" t="n"/>
      <c r="CA959" s="14" t="n"/>
      <c r="CB959" s="14" t="n"/>
      <c r="CC959" s="14" t="n"/>
      <c r="CD959" s="14" t="n"/>
      <c r="CE959" s="14" t="n"/>
      <c r="CF959" s="14" t="n"/>
      <c r="CG959" s="14" t="n"/>
      <c r="CH959" s="14" t="n"/>
      <c r="CI959" s="14" t="n"/>
      <c r="CJ959" s="14" t="n"/>
      <c r="CK959" s="14" t="n"/>
      <c r="CL959" s="14" t="n"/>
      <c r="CM959" s="14" t="n"/>
      <c r="CN959" s="14" t="n"/>
      <c r="CO959" s="14" t="n"/>
      <c r="CP959" s="14" t="n"/>
      <c r="CQ959" s="14" t="n"/>
      <c r="CR959" s="14" t="n"/>
      <c r="CS959" s="14" t="n"/>
      <c r="CT959" s="14" t="n"/>
      <c r="CU959" s="14" t="n"/>
      <c r="CV959" s="14" t="n"/>
      <c r="CW959" s="14" t="n"/>
      <c r="CX959" s="14" t="n"/>
      <c r="CY959" s="14" t="n"/>
      <c r="CZ959" s="14" t="n"/>
      <c r="DA959" s="14" t="n"/>
      <c r="DB959" s="14" t="n"/>
      <c r="DC959" s="14" t="n"/>
    </row>
    <row r="960">
      <c r="B960" t="inlineStr">
        <is>
          <t>TVS-833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Name],$A959)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TVS-267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Name],$A959)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TVS-500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Name],$A959)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s="4" t="inlineStr">
        <is>
          <t>合計使用量(kg)/週</t>
        </is>
      </c>
      <c r="D966">
        <f>'Grid_Requirement'!B23</f>
        <v/>
      </c>
      <c r="E966">
        <f>'Grid_Requirement'!C23</f>
        <v/>
      </c>
      <c r="F966">
        <f>'Grid_Requirement'!D23</f>
        <v/>
      </c>
      <c r="G966">
        <f>'Grid_Requirement'!E23</f>
        <v/>
      </c>
      <c r="H966">
        <f>'Grid_Requirement'!F23</f>
        <v/>
      </c>
      <c r="I966">
        <f>'Grid_Requirement'!G23</f>
        <v/>
      </c>
      <c r="J966">
        <f>'Grid_Requirement'!H23</f>
        <v/>
      </c>
      <c r="K966">
        <f>'Grid_Requirement'!I23</f>
        <v/>
      </c>
      <c r="L966">
        <f>'Grid_Requirement'!J23</f>
        <v/>
      </c>
      <c r="M966">
        <f>'Grid_Requirement'!K23</f>
        <v/>
      </c>
      <c r="N966">
        <f>'Grid_Requirement'!L23</f>
        <v/>
      </c>
      <c r="O966">
        <f>'Grid_Requirement'!M23</f>
        <v/>
      </c>
      <c r="P966">
        <f>'Grid_Requirement'!N23</f>
        <v/>
      </c>
      <c r="Q966">
        <f>'Grid_Requirement'!O23</f>
        <v/>
      </c>
      <c r="R966">
        <f>'Grid_Requirement'!P23</f>
        <v/>
      </c>
      <c r="S966">
        <f>'Grid_Requirement'!Q23</f>
        <v/>
      </c>
      <c r="T966">
        <f>'Grid_Requirement'!R23</f>
        <v/>
      </c>
      <c r="U966">
        <f>'Grid_Requirement'!S23</f>
        <v/>
      </c>
      <c r="V966">
        <f>'Grid_Requirement'!T23</f>
        <v/>
      </c>
      <c r="W966">
        <f>'Grid_Requirement'!U23</f>
        <v/>
      </c>
      <c r="X966">
        <f>'Grid_Requirement'!V23</f>
        <v/>
      </c>
      <c r="Y966">
        <f>'Grid_Requirement'!W23</f>
        <v/>
      </c>
      <c r="Z966">
        <f>'Grid_Requirement'!X23</f>
        <v/>
      </c>
      <c r="AA966">
        <f>'Grid_Requirement'!Y23</f>
        <v/>
      </c>
      <c r="AB966">
        <f>'Grid_Requirement'!Z23</f>
        <v/>
      </c>
      <c r="AC966">
        <f>'Grid_Requirement'!AA23</f>
        <v/>
      </c>
      <c r="AD966">
        <f>'Grid_Requirement'!AB23</f>
        <v/>
      </c>
      <c r="AE966">
        <f>'Grid_Requirement'!AC23</f>
        <v/>
      </c>
      <c r="AF966">
        <f>'Grid_Requirement'!AD23</f>
        <v/>
      </c>
      <c r="AG966">
        <f>'Grid_Requirement'!AE23</f>
        <v/>
      </c>
      <c r="AH966">
        <f>'Grid_Requirement'!AF23</f>
        <v/>
      </c>
      <c r="AI966">
        <f>'Grid_Requirement'!AG23</f>
        <v/>
      </c>
      <c r="AJ966">
        <f>'Grid_Requirement'!AH23</f>
        <v/>
      </c>
      <c r="AK966">
        <f>'Grid_Requirement'!AI23</f>
        <v/>
      </c>
      <c r="AL966">
        <f>'Grid_Requirement'!AJ23</f>
        <v/>
      </c>
      <c r="AM966">
        <f>'Grid_Requirement'!AK23</f>
        <v/>
      </c>
      <c r="AN966">
        <f>'Grid_Requirement'!AL23</f>
        <v/>
      </c>
      <c r="AO966">
        <f>'Grid_Requirement'!AM23</f>
        <v/>
      </c>
      <c r="AP966">
        <f>'Grid_Requirement'!AN23</f>
        <v/>
      </c>
      <c r="AQ966">
        <f>'Grid_Requirement'!AO23</f>
        <v/>
      </c>
      <c r="AR966">
        <f>'Grid_Requirement'!AP23</f>
        <v/>
      </c>
      <c r="AS966">
        <f>'Grid_Requirement'!AQ23</f>
        <v/>
      </c>
      <c r="AT966">
        <f>'Grid_Requirement'!AR23</f>
        <v/>
      </c>
      <c r="AU966">
        <f>'Grid_Requirement'!AS23</f>
        <v/>
      </c>
      <c r="AV966">
        <f>'Grid_Requirement'!AT23</f>
        <v/>
      </c>
      <c r="AW966">
        <f>'Grid_Requirement'!AU23</f>
        <v/>
      </c>
      <c r="AX966">
        <f>'Grid_Requirement'!AV23</f>
        <v/>
      </c>
      <c r="AY966">
        <f>'Grid_Requirement'!AW23</f>
        <v/>
      </c>
      <c r="AZ966">
        <f>'Grid_Requirement'!AX23</f>
        <v/>
      </c>
      <c r="BA966">
        <f>'Grid_Requirement'!AY23</f>
        <v/>
      </c>
      <c r="BB966">
        <f>'Grid_Requirement'!AZ23</f>
        <v/>
      </c>
      <c r="BC966">
        <f>'Grid_Requirement'!BA23</f>
        <v/>
      </c>
      <c r="BD966">
        <f>'Grid_Requirement'!BB23</f>
        <v/>
      </c>
      <c r="BE966">
        <f>'Grid_Requirement'!BC23</f>
        <v/>
      </c>
      <c r="BF966">
        <f>'Grid_Requirement'!BD23</f>
        <v/>
      </c>
      <c r="BG966">
        <f>'Grid_Requirement'!BE23</f>
        <v/>
      </c>
      <c r="BH966">
        <f>'Grid_Requirement'!BF23</f>
        <v/>
      </c>
      <c r="BI966">
        <f>'Grid_Requirement'!BG23</f>
        <v/>
      </c>
      <c r="BJ966">
        <f>'Grid_Requirement'!BH23</f>
        <v/>
      </c>
      <c r="BK966">
        <f>'Grid_Requirement'!BI23</f>
        <v/>
      </c>
      <c r="BL966">
        <f>'Grid_Requirement'!BJ23</f>
        <v/>
      </c>
      <c r="BM966">
        <f>'Grid_Requirement'!BK23</f>
        <v/>
      </c>
      <c r="BN966">
        <f>'Grid_Requirement'!BL23</f>
        <v/>
      </c>
      <c r="BO966">
        <f>'Grid_Requirement'!BM23</f>
        <v/>
      </c>
      <c r="BP966">
        <f>'Grid_Requirement'!BN23</f>
        <v/>
      </c>
      <c r="BQ966">
        <f>'Grid_Requirement'!BO23</f>
        <v/>
      </c>
      <c r="BR966">
        <f>'Grid_Requirement'!BP23</f>
        <v/>
      </c>
      <c r="BS966">
        <f>'Grid_Requirement'!BQ23</f>
        <v/>
      </c>
      <c r="BT966">
        <f>'Grid_Requirement'!BR23</f>
        <v/>
      </c>
      <c r="BU966">
        <f>'Grid_Requirement'!BS23</f>
        <v/>
      </c>
      <c r="BV966">
        <f>'Grid_Requirement'!BT23</f>
        <v/>
      </c>
      <c r="BW966">
        <f>'Grid_Requirement'!BU23</f>
        <v/>
      </c>
      <c r="BX966">
        <f>'Grid_Requirement'!BV23</f>
        <v/>
      </c>
      <c r="BY966">
        <f>'Grid_Requirement'!BW23</f>
        <v/>
      </c>
      <c r="BZ966">
        <f>'Grid_Requirement'!BX23</f>
        <v/>
      </c>
      <c r="CA966">
        <f>'Grid_Requirement'!BY23</f>
        <v/>
      </c>
      <c r="CB966">
        <f>'Grid_Requirement'!BZ23</f>
        <v/>
      </c>
      <c r="CC966">
        <f>'Grid_Requirement'!CA23</f>
        <v/>
      </c>
      <c r="CD966">
        <f>'Grid_Requirement'!CB23</f>
        <v/>
      </c>
      <c r="CE966">
        <f>'Grid_Requirement'!CC23</f>
        <v/>
      </c>
      <c r="CF966">
        <f>'Grid_Requirement'!CD23</f>
        <v/>
      </c>
      <c r="CG966">
        <f>'Grid_Requirement'!CE23</f>
        <v/>
      </c>
      <c r="CH966">
        <f>'Grid_Requirement'!CF23</f>
        <v/>
      </c>
      <c r="CI966">
        <f>'Grid_Requirement'!CG23</f>
        <v/>
      </c>
      <c r="CJ966">
        <f>'Grid_Requirement'!CH23</f>
        <v/>
      </c>
      <c r="CK966">
        <f>'Grid_Requirement'!CI23</f>
        <v/>
      </c>
      <c r="CL966">
        <f>'Grid_Requirement'!CJ23</f>
        <v/>
      </c>
      <c r="CM966">
        <f>'Grid_Requirement'!CK23</f>
        <v/>
      </c>
      <c r="CN966">
        <f>'Grid_Requirement'!CL23</f>
        <v/>
      </c>
      <c r="CO966">
        <f>'Grid_Requirement'!CM23</f>
        <v/>
      </c>
      <c r="CP966">
        <f>'Grid_Requirement'!CN23</f>
        <v/>
      </c>
      <c r="CQ966">
        <f>'Grid_Requirement'!CO23</f>
        <v/>
      </c>
      <c r="CR966">
        <f>'Grid_Requirement'!CP23</f>
        <v/>
      </c>
      <c r="CS966">
        <f>'Grid_Requirement'!CQ23</f>
        <v/>
      </c>
      <c r="CT966">
        <f>'Grid_Requirement'!CR23</f>
        <v/>
      </c>
      <c r="CU966">
        <f>'Grid_Requirement'!CS23</f>
        <v/>
      </c>
      <c r="CV966">
        <f>'Grid_Requirement'!CT23</f>
        <v/>
      </c>
      <c r="CW966">
        <f>'Grid_Requirement'!CU23</f>
        <v/>
      </c>
      <c r="CX966">
        <f>'Grid_Requirement'!CV23</f>
        <v/>
      </c>
      <c r="CY966">
        <f>'Grid_Requirement'!CW23</f>
        <v/>
      </c>
      <c r="CZ966">
        <f>'Grid_Requirement'!CX23</f>
        <v/>
      </c>
      <c r="DA966">
        <f>'Grid_Requirement'!CY23</f>
        <v/>
      </c>
      <c r="DB966">
        <f>'Grid_Requirement'!CZ23</f>
        <v/>
      </c>
      <c r="DC966">
        <f>'Grid_Requirement'!DA23</f>
        <v/>
      </c>
    </row>
    <row r="967">
      <c r="B967" t="inlineStr">
        <is>
          <t>TTAF在庫(実績,kg)</t>
        </is>
      </c>
      <c r="D967">
        <f>'T_TTAFStock'!B27</f>
        <v/>
      </c>
      <c r="E967">
        <f>'T_TTAFStock'!C27</f>
        <v/>
      </c>
      <c r="F967">
        <f>'T_TTAFStock'!D27</f>
        <v/>
      </c>
      <c r="G967">
        <f>'T_TTAFStock'!E27</f>
        <v/>
      </c>
      <c r="H967">
        <f>'T_TTAFStock'!F27</f>
        <v/>
      </c>
      <c r="I967">
        <f>'T_TTAFStock'!G27</f>
        <v/>
      </c>
      <c r="J967">
        <f>'T_TTAFStock'!H27</f>
        <v/>
      </c>
      <c r="K967">
        <f>'T_TTAFStock'!I27</f>
        <v/>
      </c>
      <c r="L967">
        <f>'T_TTAFStock'!J27</f>
        <v/>
      </c>
      <c r="M967">
        <f>'T_TTAFStock'!K27</f>
        <v/>
      </c>
      <c r="N967">
        <f>'T_TTAFStock'!L27</f>
        <v/>
      </c>
      <c r="O967">
        <f>'T_TTAFStock'!M27</f>
        <v/>
      </c>
      <c r="P967">
        <f>'T_TTAFStock'!N27</f>
        <v/>
      </c>
      <c r="Q967">
        <f>'T_TTAFStock'!O27</f>
        <v/>
      </c>
      <c r="R967">
        <f>'T_TTAFStock'!P27</f>
        <v/>
      </c>
      <c r="S967">
        <f>'T_TTAFStock'!Q27</f>
        <v/>
      </c>
      <c r="T967">
        <f>'T_TTAFStock'!R27</f>
        <v/>
      </c>
      <c r="U967">
        <f>'T_TTAFStock'!S27</f>
        <v/>
      </c>
      <c r="V967">
        <f>'T_TTAFStock'!T27</f>
        <v/>
      </c>
      <c r="W967">
        <f>'T_TTAFStock'!U27</f>
        <v/>
      </c>
      <c r="X967">
        <f>'T_TTAFStock'!V27</f>
        <v/>
      </c>
      <c r="Y967">
        <f>'T_TTAFStock'!W27</f>
        <v/>
      </c>
      <c r="Z967">
        <f>'T_TTAFStock'!X27</f>
        <v/>
      </c>
      <c r="AA967">
        <f>'T_TTAFStock'!Y27</f>
        <v/>
      </c>
      <c r="AB967">
        <f>'T_TTAFStock'!Z27</f>
        <v/>
      </c>
      <c r="AC967">
        <f>'T_TTAFStock'!AA27</f>
        <v/>
      </c>
      <c r="AD967">
        <f>'T_TTAFStock'!AB27</f>
        <v/>
      </c>
      <c r="AE967">
        <f>'T_TTAFStock'!AC27</f>
        <v/>
      </c>
      <c r="AF967">
        <f>'T_TTAFStock'!AD27</f>
        <v/>
      </c>
      <c r="AG967">
        <f>'T_TTAFStock'!AE27</f>
        <v/>
      </c>
      <c r="AH967">
        <f>'T_TTAFStock'!AF27</f>
        <v/>
      </c>
      <c r="AI967">
        <f>'T_TTAFStock'!AG27</f>
        <v/>
      </c>
      <c r="AJ967">
        <f>'T_TTAFStock'!AH27</f>
        <v/>
      </c>
      <c r="AK967">
        <f>'T_TTAFStock'!AI27</f>
        <v/>
      </c>
      <c r="AL967">
        <f>'T_TTAFStock'!AJ27</f>
        <v/>
      </c>
      <c r="AM967">
        <f>'T_TTAFStock'!AK27</f>
        <v/>
      </c>
      <c r="AN967">
        <f>'T_TTAFStock'!AL27</f>
        <v/>
      </c>
      <c r="AO967">
        <f>'T_TTAFStock'!AM27</f>
        <v/>
      </c>
      <c r="AP967">
        <f>'T_TTAFStock'!AN27</f>
        <v/>
      </c>
      <c r="AQ967">
        <f>'T_TTAFStock'!AO27</f>
        <v/>
      </c>
      <c r="AR967">
        <f>'T_TTAFStock'!AP27</f>
        <v/>
      </c>
      <c r="AS967">
        <f>'T_TTAFStock'!AQ27</f>
        <v/>
      </c>
      <c r="AT967">
        <f>'T_TTAFStock'!AR27</f>
        <v/>
      </c>
      <c r="AU967">
        <f>'T_TTAFStock'!AS27</f>
        <v/>
      </c>
      <c r="AV967">
        <f>'T_TTAFStock'!AT27</f>
        <v/>
      </c>
      <c r="AW967">
        <f>'T_TTAFStock'!AU27</f>
        <v/>
      </c>
      <c r="AX967">
        <f>'T_TTAFStock'!AV27</f>
        <v/>
      </c>
      <c r="AY967">
        <f>'T_TTAFStock'!AW27</f>
        <v/>
      </c>
      <c r="AZ967">
        <f>'T_TTAFStock'!AX27</f>
        <v/>
      </c>
      <c r="BA967">
        <f>'T_TTAFStock'!AY27</f>
        <v/>
      </c>
      <c r="BB967">
        <f>'T_TTAFStock'!AZ27</f>
        <v/>
      </c>
      <c r="BC967">
        <f>'T_TTAFStock'!BA27</f>
        <v/>
      </c>
      <c r="BD967">
        <f>'T_TTAFStock'!BB27</f>
        <v/>
      </c>
      <c r="BE967">
        <f>'T_TTAFStock'!BC27</f>
        <v/>
      </c>
      <c r="BF967">
        <f>'T_TTAFStock'!BD27</f>
        <v/>
      </c>
      <c r="BG967">
        <f>'T_TTAFStock'!BE27</f>
        <v/>
      </c>
      <c r="BH967">
        <f>'T_TTAFStock'!BF27</f>
        <v/>
      </c>
      <c r="BI967">
        <f>'T_TTAFStock'!BG27</f>
        <v/>
      </c>
      <c r="BJ967">
        <f>'T_TTAFStock'!BH27</f>
        <v/>
      </c>
      <c r="BK967">
        <f>'T_TTAFStock'!BI27</f>
        <v/>
      </c>
      <c r="BL967">
        <f>'T_TTAFStock'!BJ27</f>
        <v/>
      </c>
      <c r="BM967">
        <f>'T_TTAFStock'!BK27</f>
        <v/>
      </c>
      <c r="BN967">
        <f>'T_TTAFStock'!BL27</f>
        <v/>
      </c>
      <c r="BO967">
        <f>'T_TTAFStock'!BM27</f>
        <v/>
      </c>
      <c r="BP967">
        <f>'T_TTAFStock'!BN27</f>
        <v/>
      </c>
      <c r="BQ967">
        <f>'T_TTAFStock'!BO27</f>
        <v/>
      </c>
      <c r="BR967">
        <f>'T_TTAFStock'!BP27</f>
        <v/>
      </c>
      <c r="BS967">
        <f>'T_TTAFStock'!BQ27</f>
        <v/>
      </c>
      <c r="BT967">
        <f>'T_TTAFStock'!BR27</f>
        <v/>
      </c>
      <c r="BU967">
        <f>'T_TTAFStock'!BS27</f>
        <v/>
      </c>
      <c r="BV967">
        <f>'T_TTAFStock'!BT27</f>
        <v/>
      </c>
      <c r="BW967">
        <f>'T_TTAFStock'!BU27</f>
        <v/>
      </c>
      <c r="BX967">
        <f>'T_TTAFStock'!BV27</f>
        <v/>
      </c>
      <c r="BY967">
        <f>'T_TTAFStock'!BW27</f>
        <v/>
      </c>
      <c r="BZ967">
        <f>'T_TTAFStock'!BX27</f>
        <v/>
      </c>
      <c r="CA967">
        <f>'T_TTAFStock'!BY27</f>
        <v/>
      </c>
      <c r="CB967">
        <f>'T_TTAFStock'!BZ27</f>
        <v/>
      </c>
      <c r="CC967">
        <f>'T_TTAFStock'!CA27</f>
        <v/>
      </c>
      <c r="CD967">
        <f>'T_TTAFStock'!CB27</f>
        <v/>
      </c>
      <c r="CE967">
        <f>'T_TTAFStock'!CC27</f>
        <v/>
      </c>
      <c r="CF967">
        <f>'T_TTAFStock'!CD27</f>
        <v/>
      </c>
      <c r="CG967">
        <f>'T_TTAFStock'!CE27</f>
        <v/>
      </c>
      <c r="CH967">
        <f>'T_TTAFStock'!CF27</f>
        <v/>
      </c>
      <c r="CI967">
        <f>'T_TTAFStock'!CG27</f>
        <v/>
      </c>
      <c r="CJ967">
        <f>'T_TTAFStock'!CH27</f>
        <v/>
      </c>
      <c r="CK967">
        <f>'T_TTAFStock'!CI27</f>
        <v/>
      </c>
      <c r="CL967">
        <f>'T_TTAFStock'!CJ27</f>
        <v/>
      </c>
      <c r="CM967">
        <f>'T_TTAFStock'!CK27</f>
        <v/>
      </c>
      <c r="CN967">
        <f>'T_TTAFStock'!CL27</f>
        <v/>
      </c>
      <c r="CO967">
        <f>'T_TTAFStock'!CM27</f>
        <v/>
      </c>
      <c r="CP967">
        <f>'T_TTAFStock'!CN27</f>
        <v/>
      </c>
      <c r="CQ967">
        <f>'T_TTAFStock'!CO27</f>
        <v/>
      </c>
      <c r="CR967">
        <f>'T_TTAFStock'!CP27</f>
        <v/>
      </c>
      <c r="CS967">
        <f>'T_TTAFStock'!CQ27</f>
        <v/>
      </c>
      <c r="CT967">
        <f>'T_TTAFStock'!CR27</f>
        <v/>
      </c>
      <c r="CU967">
        <f>'T_TTAFStock'!CS27</f>
        <v/>
      </c>
      <c r="CV967">
        <f>'T_TTAFStock'!CT27</f>
        <v/>
      </c>
      <c r="CW967">
        <f>'T_TTAFStock'!CU27</f>
        <v/>
      </c>
      <c r="CX967">
        <f>'T_TTAFStock'!CV27</f>
        <v/>
      </c>
      <c r="CY967">
        <f>'T_TTAFStock'!CW27</f>
        <v/>
      </c>
      <c r="CZ967">
        <f>'T_TTAFStock'!CX27</f>
        <v/>
      </c>
      <c r="DA967">
        <f>'T_TTAFStock'!CY27</f>
        <v/>
      </c>
      <c r="DB967">
        <f>'T_TTAFStock'!CZ27</f>
        <v/>
      </c>
      <c r="DC967">
        <f>'T_TTAFStock'!DA27</f>
        <v/>
      </c>
    </row>
    <row r="968">
      <c r="B968" t="inlineStr">
        <is>
          <t>自社在庫(実績,kg)</t>
        </is>
      </c>
      <c r="D968">
        <f>'T_SelfStock'!B27</f>
        <v/>
      </c>
      <c r="E968">
        <f>'T_SelfStock'!C27</f>
        <v/>
      </c>
      <c r="F968">
        <f>'T_SelfStock'!D27</f>
        <v/>
      </c>
      <c r="G968">
        <f>'T_SelfStock'!E27</f>
        <v/>
      </c>
      <c r="H968">
        <f>'T_SelfStock'!F27</f>
        <v/>
      </c>
      <c r="I968">
        <f>'T_SelfStock'!G27</f>
        <v/>
      </c>
      <c r="J968">
        <f>'T_SelfStock'!H27</f>
        <v/>
      </c>
      <c r="K968">
        <f>'T_SelfStock'!I27</f>
        <v/>
      </c>
      <c r="L968">
        <f>'T_SelfStock'!J27</f>
        <v/>
      </c>
      <c r="M968">
        <f>'T_SelfStock'!K27</f>
        <v/>
      </c>
      <c r="N968">
        <f>'T_SelfStock'!L27</f>
        <v/>
      </c>
      <c r="O968">
        <f>'T_SelfStock'!M27</f>
        <v/>
      </c>
      <c r="P968">
        <f>'T_SelfStock'!N27</f>
        <v/>
      </c>
      <c r="Q968">
        <f>'T_SelfStock'!O27</f>
        <v/>
      </c>
      <c r="R968">
        <f>'T_SelfStock'!P27</f>
        <v/>
      </c>
      <c r="S968">
        <f>'T_SelfStock'!Q27</f>
        <v/>
      </c>
      <c r="T968">
        <f>'T_SelfStock'!R27</f>
        <v/>
      </c>
      <c r="U968">
        <f>'T_SelfStock'!S27</f>
        <v/>
      </c>
      <c r="V968">
        <f>'T_SelfStock'!T27</f>
        <v/>
      </c>
      <c r="W968">
        <f>'T_SelfStock'!U27</f>
        <v/>
      </c>
      <c r="X968">
        <f>'T_SelfStock'!V27</f>
        <v/>
      </c>
      <c r="Y968">
        <f>'T_SelfStock'!W27</f>
        <v/>
      </c>
      <c r="Z968">
        <f>'T_SelfStock'!X27</f>
        <v/>
      </c>
      <c r="AA968">
        <f>'T_SelfStock'!Y27</f>
        <v/>
      </c>
      <c r="AB968">
        <f>'T_SelfStock'!Z27</f>
        <v/>
      </c>
      <c r="AC968">
        <f>'T_SelfStock'!AA27</f>
        <v/>
      </c>
      <c r="AD968">
        <f>'T_SelfStock'!AB27</f>
        <v/>
      </c>
      <c r="AE968">
        <f>'T_SelfStock'!AC27</f>
        <v/>
      </c>
      <c r="AF968">
        <f>'T_SelfStock'!AD27</f>
        <v/>
      </c>
      <c r="AG968">
        <f>'T_SelfStock'!AE27</f>
        <v/>
      </c>
      <c r="AH968">
        <f>'T_SelfStock'!AF27</f>
        <v/>
      </c>
      <c r="AI968">
        <f>'T_SelfStock'!AG27</f>
        <v/>
      </c>
      <c r="AJ968">
        <f>'T_SelfStock'!AH27</f>
        <v/>
      </c>
      <c r="AK968">
        <f>'T_SelfStock'!AI27</f>
        <v/>
      </c>
      <c r="AL968">
        <f>'T_SelfStock'!AJ27</f>
        <v/>
      </c>
      <c r="AM968">
        <f>'T_SelfStock'!AK27</f>
        <v/>
      </c>
      <c r="AN968">
        <f>'T_SelfStock'!AL27</f>
        <v/>
      </c>
      <c r="AO968">
        <f>'T_SelfStock'!AM27</f>
        <v/>
      </c>
      <c r="AP968">
        <f>'T_SelfStock'!AN27</f>
        <v/>
      </c>
      <c r="AQ968">
        <f>'T_SelfStock'!AO27</f>
        <v/>
      </c>
      <c r="AR968">
        <f>'T_SelfStock'!AP27</f>
        <v/>
      </c>
      <c r="AS968">
        <f>'T_SelfStock'!AQ27</f>
        <v/>
      </c>
      <c r="AT968">
        <f>'T_SelfStock'!AR27</f>
        <v/>
      </c>
      <c r="AU968">
        <f>'T_SelfStock'!AS27</f>
        <v/>
      </c>
      <c r="AV968">
        <f>'T_SelfStock'!AT27</f>
        <v/>
      </c>
      <c r="AW968">
        <f>'T_SelfStock'!AU27</f>
        <v/>
      </c>
      <c r="AX968">
        <f>'T_SelfStock'!AV27</f>
        <v/>
      </c>
      <c r="AY968">
        <f>'T_SelfStock'!AW27</f>
        <v/>
      </c>
      <c r="AZ968">
        <f>'T_SelfStock'!AX27</f>
        <v/>
      </c>
      <c r="BA968">
        <f>'T_SelfStock'!AY27</f>
        <v/>
      </c>
      <c r="BB968">
        <f>'T_SelfStock'!AZ27</f>
        <v/>
      </c>
      <c r="BC968">
        <f>'T_SelfStock'!BA27</f>
        <v/>
      </c>
      <c r="BD968">
        <f>'T_SelfStock'!BB27</f>
        <v/>
      </c>
      <c r="BE968">
        <f>'T_SelfStock'!BC27</f>
        <v/>
      </c>
      <c r="BF968">
        <f>'T_SelfStock'!BD27</f>
        <v/>
      </c>
      <c r="BG968">
        <f>'T_SelfStock'!BE27</f>
        <v/>
      </c>
      <c r="BH968">
        <f>'T_SelfStock'!BF27</f>
        <v/>
      </c>
      <c r="BI968">
        <f>'T_SelfStock'!BG27</f>
        <v/>
      </c>
      <c r="BJ968">
        <f>'T_SelfStock'!BH27</f>
        <v/>
      </c>
      <c r="BK968">
        <f>'T_SelfStock'!BI27</f>
        <v/>
      </c>
      <c r="BL968">
        <f>'T_SelfStock'!BJ27</f>
        <v/>
      </c>
      <c r="BM968">
        <f>'T_SelfStock'!BK27</f>
        <v/>
      </c>
      <c r="BN968">
        <f>'T_SelfStock'!BL27</f>
        <v/>
      </c>
      <c r="BO968">
        <f>'T_SelfStock'!BM27</f>
        <v/>
      </c>
      <c r="BP968">
        <f>'T_SelfStock'!BN27</f>
        <v/>
      </c>
      <c r="BQ968">
        <f>'T_SelfStock'!BO27</f>
        <v/>
      </c>
      <c r="BR968">
        <f>'T_SelfStock'!BP27</f>
        <v/>
      </c>
      <c r="BS968">
        <f>'T_SelfStock'!BQ27</f>
        <v/>
      </c>
      <c r="BT968">
        <f>'T_SelfStock'!BR27</f>
        <v/>
      </c>
      <c r="BU968">
        <f>'T_SelfStock'!BS27</f>
        <v/>
      </c>
      <c r="BV968">
        <f>'T_SelfStock'!BT27</f>
        <v/>
      </c>
      <c r="BW968">
        <f>'T_SelfStock'!BU27</f>
        <v/>
      </c>
      <c r="BX968">
        <f>'T_SelfStock'!BV27</f>
        <v/>
      </c>
      <c r="BY968">
        <f>'T_SelfStock'!BW27</f>
        <v/>
      </c>
      <c r="BZ968">
        <f>'T_SelfStock'!BX27</f>
        <v/>
      </c>
      <c r="CA968">
        <f>'T_SelfStock'!BY27</f>
        <v/>
      </c>
      <c r="CB968">
        <f>'T_SelfStock'!BZ27</f>
        <v/>
      </c>
      <c r="CC968">
        <f>'T_SelfStock'!CA27</f>
        <v/>
      </c>
      <c r="CD968">
        <f>'T_SelfStock'!CB27</f>
        <v/>
      </c>
      <c r="CE968">
        <f>'T_SelfStock'!CC27</f>
        <v/>
      </c>
      <c r="CF968">
        <f>'T_SelfStock'!CD27</f>
        <v/>
      </c>
      <c r="CG968">
        <f>'T_SelfStock'!CE27</f>
        <v/>
      </c>
      <c r="CH968">
        <f>'T_SelfStock'!CF27</f>
        <v/>
      </c>
      <c r="CI968">
        <f>'T_SelfStock'!CG27</f>
        <v/>
      </c>
      <c r="CJ968">
        <f>'T_SelfStock'!CH27</f>
        <v/>
      </c>
      <c r="CK968">
        <f>'T_SelfStock'!CI27</f>
        <v/>
      </c>
      <c r="CL968">
        <f>'T_SelfStock'!CJ27</f>
        <v/>
      </c>
      <c r="CM968">
        <f>'T_SelfStock'!CK27</f>
        <v/>
      </c>
      <c r="CN968">
        <f>'T_SelfStock'!CL27</f>
        <v/>
      </c>
      <c r="CO968">
        <f>'T_SelfStock'!CM27</f>
        <v/>
      </c>
      <c r="CP968">
        <f>'T_SelfStock'!CN27</f>
        <v/>
      </c>
      <c r="CQ968">
        <f>'T_SelfStock'!CO27</f>
        <v/>
      </c>
      <c r="CR968">
        <f>'T_SelfStock'!CP27</f>
        <v/>
      </c>
      <c r="CS968">
        <f>'T_SelfStock'!CQ27</f>
        <v/>
      </c>
      <c r="CT968">
        <f>'T_SelfStock'!CR27</f>
        <v/>
      </c>
      <c r="CU968">
        <f>'T_SelfStock'!CS27</f>
        <v/>
      </c>
      <c r="CV968">
        <f>'T_SelfStock'!CT27</f>
        <v/>
      </c>
      <c r="CW968">
        <f>'T_SelfStock'!CU27</f>
        <v/>
      </c>
      <c r="CX968">
        <f>'T_SelfStock'!CV27</f>
        <v/>
      </c>
      <c r="CY968">
        <f>'T_SelfStock'!CW27</f>
        <v/>
      </c>
      <c r="CZ968">
        <f>'T_SelfStock'!CX27</f>
        <v/>
      </c>
      <c r="DA968">
        <f>'T_SelfStock'!CY27</f>
        <v/>
      </c>
      <c r="DB968">
        <f>'T_SelfStock'!CZ27</f>
        <v/>
      </c>
      <c r="DC968">
        <f>'T_SelfStock'!DA27</f>
        <v/>
      </c>
    </row>
    <row r="969">
      <c r="B969" t="inlineStr">
        <is>
          <t>Order(発注予定,kg)</t>
        </is>
      </c>
      <c r="D969">
        <f>IF(SUMIFS(T_PlannedOrders[EffectiveQty],T_PlannedOrders[Part Name],$A959,T_PlannedOrders[WeekIndex],1)=0,"",SUMIFS(T_PlannedOrders[EffectiveQty],T_PlannedOrders[Part Name],$A959,T_PlannedOrders[WeekIndex],1)&amp;" ("&amp;TEXT(SUMPRODUCT(MAX((T_PlannedOrders[Part Name]=$A959)*(T_PlannedOrders[WeekIndex]=1)*(T_PlannedOrders[EffectiveQty]&gt;0)*T_PlannedOrders[Order_Month])),"m月")&amp;"発注)")</f>
        <v/>
      </c>
      <c r="E969">
        <f>IF(SUMIFS(T_PlannedOrders[EffectiveQty],T_PlannedOrders[Part Name],$A959,T_PlannedOrders[WeekIndex],2)=0,"",SUMIFS(T_PlannedOrders[EffectiveQty],T_PlannedOrders[Part Name],$A959,T_PlannedOrders[WeekIndex],2)&amp;" ("&amp;TEXT(SUMPRODUCT(MAX((T_PlannedOrders[Part Name]=$A959)*(T_PlannedOrders[WeekIndex]=2)*(T_PlannedOrders[EffectiveQty]&gt;0)*T_PlannedOrders[Order_Month])),"m月")&amp;"発注)")</f>
        <v/>
      </c>
      <c r="F969">
        <f>IF(SUMIFS(T_PlannedOrders[EffectiveQty],T_PlannedOrders[Part Name],$A959,T_PlannedOrders[WeekIndex],3)=0,"",SUMIFS(T_PlannedOrders[EffectiveQty],T_PlannedOrders[Part Name],$A959,T_PlannedOrders[WeekIndex],3)&amp;" ("&amp;TEXT(SUMPRODUCT(MAX((T_PlannedOrders[Part Name]=$A959)*(T_PlannedOrders[WeekIndex]=3)*(T_PlannedOrders[EffectiveQty]&gt;0)*T_PlannedOrders[Order_Month])),"m月")&amp;"発注)")</f>
        <v/>
      </c>
      <c r="G969">
        <f>IF(SUMIFS(T_PlannedOrders[EffectiveQty],T_PlannedOrders[Part Name],$A959,T_PlannedOrders[WeekIndex],4)=0,"",SUMIFS(T_PlannedOrders[EffectiveQty],T_PlannedOrders[Part Name],$A959,T_PlannedOrders[WeekIndex],4)&amp;" ("&amp;TEXT(SUMPRODUCT(MAX((T_PlannedOrders[Part Name]=$A959)*(T_PlannedOrders[WeekIndex]=4)*(T_PlannedOrders[EffectiveQty]&gt;0)*T_PlannedOrders[Order_Month])),"m月")&amp;"発注)")</f>
        <v/>
      </c>
      <c r="H969">
        <f>IF(SUMIFS(T_PlannedOrders[EffectiveQty],T_PlannedOrders[Part Name],$A959,T_PlannedOrders[WeekIndex],5)=0,"",SUMIFS(T_PlannedOrders[EffectiveQty],T_PlannedOrders[Part Name],$A959,T_PlannedOrders[WeekIndex],5)&amp;" ("&amp;TEXT(SUMPRODUCT(MAX((T_PlannedOrders[Part Name]=$A959)*(T_PlannedOrders[WeekIndex]=5)*(T_PlannedOrders[EffectiveQty]&gt;0)*T_PlannedOrders[Order_Month])),"m月")&amp;"発注)")</f>
        <v/>
      </c>
      <c r="I969">
        <f>IF(SUMIFS(T_PlannedOrders[EffectiveQty],T_PlannedOrders[Part Name],$A959,T_PlannedOrders[WeekIndex],6)=0,"",SUMIFS(T_PlannedOrders[EffectiveQty],T_PlannedOrders[Part Name],$A959,T_PlannedOrders[WeekIndex],6)&amp;" ("&amp;TEXT(SUMPRODUCT(MAX((T_PlannedOrders[Part Name]=$A959)*(T_PlannedOrders[WeekIndex]=6)*(T_PlannedOrders[EffectiveQty]&gt;0)*T_PlannedOrders[Order_Month])),"m月")&amp;"発注)")</f>
        <v/>
      </c>
      <c r="J969">
        <f>IF(SUMIFS(T_PlannedOrders[EffectiveQty],T_PlannedOrders[Part Name],$A959,T_PlannedOrders[WeekIndex],7)=0,"",SUMIFS(T_PlannedOrders[EffectiveQty],T_PlannedOrders[Part Name],$A959,T_PlannedOrders[WeekIndex],7)&amp;" ("&amp;TEXT(SUMPRODUCT(MAX((T_PlannedOrders[Part Name]=$A959)*(T_PlannedOrders[WeekIndex]=7)*(T_PlannedOrders[EffectiveQty]&gt;0)*T_PlannedOrders[Order_Month])),"m月")&amp;"発注)")</f>
        <v/>
      </c>
      <c r="K969">
        <f>IF(SUMIFS(T_PlannedOrders[EffectiveQty],T_PlannedOrders[Part Name],$A959,T_PlannedOrders[WeekIndex],8)=0,"",SUMIFS(T_PlannedOrders[EffectiveQty],T_PlannedOrders[Part Name],$A959,T_PlannedOrders[WeekIndex],8)&amp;" ("&amp;TEXT(SUMPRODUCT(MAX((T_PlannedOrders[Part Name]=$A959)*(T_PlannedOrders[WeekIndex]=8)*(T_PlannedOrders[EffectiveQty]&gt;0)*T_PlannedOrders[Order_Month])),"m月")&amp;"発注)")</f>
        <v/>
      </c>
      <c r="L969">
        <f>IF(SUMIFS(T_PlannedOrders[EffectiveQty],T_PlannedOrders[Part Name],$A959,T_PlannedOrders[WeekIndex],9)=0,"",SUMIFS(T_PlannedOrders[EffectiveQty],T_PlannedOrders[Part Name],$A959,T_PlannedOrders[WeekIndex],9)&amp;" ("&amp;TEXT(SUMPRODUCT(MAX((T_PlannedOrders[Part Name]=$A959)*(T_PlannedOrders[WeekIndex]=9)*(T_PlannedOrders[EffectiveQty]&gt;0)*T_PlannedOrders[Order_Month])),"m月")&amp;"発注)")</f>
        <v/>
      </c>
      <c r="M969">
        <f>IF(SUMIFS(T_PlannedOrders[EffectiveQty],T_PlannedOrders[Part Name],$A959,T_PlannedOrders[WeekIndex],10)=0,"",SUMIFS(T_PlannedOrders[EffectiveQty],T_PlannedOrders[Part Name],$A959,T_PlannedOrders[WeekIndex],10)&amp;" ("&amp;TEXT(SUMPRODUCT(MAX((T_PlannedOrders[Part Name]=$A959)*(T_PlannedOrders[WeekIndex]=10)*(T_PlannedOrders[EffectiveQty]&gt;0)*T_PlannedOrders[Order_Month])),"m月")&amp;"発注)")</f>
        <v/>
      </c>
      <c r="N969">
        <f>IF(SUMIFS(T_PlannedOrders[EffectiveQty],T_PlannedOrders[Part Name],$A959,T_PlannedOrders[WeekIndex],11)=0,"",SUMIFS(T_PlannedOrders[EffectiveQty],T_PlannedOrders[Part Name],$A959,T_PlannedOrders[WeekIndex],11)&amp;" ("&amp;TEXT(SUMPRODUCT(MAX((T_PlannedOrders[Part Name]=$A959)*(T_PlannedOrders[WeekIndex]=11)*(T_PlannedOrders[EffectiveQty]&gt;0)*T_PlannedOrders[Order_Month])),"m月")&amp;"発注)")</f>
        <v/>
      </c>
      <c r="O969">
        <f>IF(SUMIFS(T_PlannedOrders[EffectiveQty],T_PlannedOrders[Part Name],$A959,T_PlannedOrders[WeekIndex],12)=0,"",SUMIFS(T_PlannedOrders[EffectiveQty],T_PlannedOrders[Part Name],$A959,T_PlannedOrders[WeekIndex],12)&amp;" ("&amp;TEXT(SUMPRODUCT(MAX((T_PlannedOrders[Part Name]=$A959)*(T_PlannedOrders[WeekIndex]=12)*(T_PlannedOrders[EffectiveQty]&gt;0)*T_PlannedOrders[Order_Month])),"m月")&amp;"発注)")</f>
        <v/>
      </c>
      <c r="P969">
        <f>IF(SUMIFS(T_PlannedOrders[EffectiveQty],T_PlannedOrders[Part Name],$A959,T_PlannedOrders[WeekIndex],13)=0,"",SUMIFS(T_PlannedOrders[EffectiveQty],T_PlannedOrders[Part Name],$A959,T_PlannedOrders[WeekIndex],13)&amp;" ("&amp;TEXT(SUMPRODUCT(MAX((T_PlannedOrders[Part Name]=$A959)*(T_PlannedOrders[WeekIndex]=13)*(T_PlannedOrders[EffectiveQty]&gt;0)*T_PlannedOrders[Order_Month])),"m月")&amp;"発注)")</f>
        <v/>
      </c>
      <c r="Q969">
        <f>IF(SUMIFS(T_PlannedOrders[EffectiveQty],T_PlannedOrders[Part Name],$A959,T_PlannedOrders[WeekIndex],14)=0,"",SUMIFS(T_PlannedOrders[EffectiveQty],T_PlannedOrders[Part Name],$A959,T_PlannedOrders[WeekIndex],14)&amp;" ("&amp;TEXT(SUMPRODUCT(MAX((T_PlannedOrders[Part Name]=$A959)*(T_PlannedOrders[WeekIndex]=14)*(T_PlannedOrders[EffectiveQty]&gt;0)*T_PlannedOrders[Order_Month])),"m月")&amp;"発注)")</f>
        <v/>
      </c>
      <c r="R969">
        <f>IF(SUMIFS(T_PlannedOrders[EffectiveQty],T_PlannedOrders[Part Name],$A959,T_PlannedOrders[WeekIndex],15)=0,"",SUMIFS(T_PlannedOrders[EffectiveQty],T_PlannedOrders[Part Name],$A959,T_PlannedOrders[WeekIndex],15)&amp;" ("&amp;TEXT(SUMPRODUCT(MAX((T_PlannedOrders[Part Name]=$A959)*(T_PlannedOrders[WeekIndex]=15)*(T_PlannedOrders[EffectiveQty]&gt;0)*T_PlannedOrders[Order_Month])),"m月")&amp;"発注)")</f>
        <v/>
      </c>
      <c r="S969">
        <f>IF(SUMIFS(T_PlannedOrders[EffectiveQty],T_PlannedOrders[Part Name],$A959,T_PlannedOrders[WeekIndex],16)=0,"",SUMIFS(T_PlannedOrders[EffectiveQty],T_PlannedOrders[Part Name],$A959,T_PlannedOrders[WeekIndex],16)&amp;" ("&amp;TEXT(SUMPRODUCT(MAX((T_PlannedOrders[Part Name]=$A959)*(T_PlannedOrders[WeekIndex]=16)*(T_PlannedOrders[EffectiveQty]&gt;0)*T_PlannedOrders[Order_Month])),"m月")&amp;"発注)")</f>
        <v/>
      </c>
      <c r="T969">
        <f>IF(SUMIFS(T_PlannedOrders[EffectiveQty],T_PlannedOrders[Part Name],$A959,T_PlannedOrders[WeekIndex],17)=0,"",SUMIFS(T_PlannedOrders[EffectiveQty],T_PlannedOrders[Part Name],$A959,T_PlannedOrders[WeekIndex],17)&amp;" ("&amp;TEXT(SUMPRODUCT(MAX((T_PlannedOrders[Part Name]=$A959)*(T_PlannedOrders[WeekIndex]=17)*(T_PlannedOrders[EffectiveQty]&gt;0)*T_PlannedOrders[Order_Month])),"m月")&amp;"発注)")</f>
        <v/>
      </c>
      <c r="U969">
        <f>IF(SUMIFS(T_PlannedOrders[EffectiveQty],T_PlannedOrders[Part Name],$A959,T_PlannedOrders[WeekIndex],18)=0,"",SUMIFS(T_PlannedOrders[EffectiveQty],T_PlannedOrders[Part Name],$A959,T_PlannedOrders[WeekIndex],18)&amp;" ("&amp;TEXT(SUMPRODUCT(MAX((T_PlannedOrders[Part Name]=$A959)*(T_PlannedOrders[WeekIndex]=18)*(T_PlannedOrders[EffectiveQty]&gt;0)*T_PlannedOrders[Order_Month])),"m月")&amp;"発注)")</f>
        <v/>
      </c>
      <c r="V969">
        <f>IF(SUMIFS(T_PlannedOrders[EffectiveQty],T_PlannedOrders[Part Name],$A959,T_PlannedOrders[WeekIndex],19)=0,"",SUMIFS(T_PlannedOrders[EffectiveQty],T_PlannedOrders[Part Name],$A959,T_PlannedOrders[WeekIndex],19)&amp;" ("&amp;TEXT(SUMPRODUCT(MAX((T_PlannedOrders[Part Name]=$A959)*(T_PlannedOrders[WeekIndex]=19)*(T_PlannedOrders[EffectiveQty]&gt;0)*T_PlannedOrders[Order_Month])),"m月")&amp;"発注)")</f>
        <v/>
      </c>
      <c r="W969">
        <f>IF(SUMIFS(T_PlannedOrders[EffectiveQty],T_PlannedOrders[Part Name],$A959,T_PlannedOrders[WeekIndex],20)=0,"",SUMIFS(T_PlannedOrders[EffectiveQty],T_PlannedOrders[Part Name],$A959,T_PlannedOrders[WeekIndex],20)&amp;" ("&amp;TEXT(SUMPRODUCT(MAX((T_PlannedOrders[Part Name]=$A959)*(T_PlannedOrders[WeekIndex]=20)*(T_PlannedOrders[EffectiveQty]&gt;0)*T_PlannedOrders[Order_Month])),"m月")&amp;"発注)")</f>
        <v/>
      </c>
      <c r="X969">
        <f>IF(SUMIFS(T_PlannedOrders[EffectiveQty],T_PlannedOrders[Part Name],$A959,T_PlannedOrders[WeekIndex],21)=0,"",SUMIFS(T_PlannedOrders[EffectiveQty],T_PlannedOrders[Part Name],$A959,T_PlannedOrders[WeekIndex],21)&amp;" ("&amp;TEXT(SUMPRODUCT(MAX((T_PlannedOrders[Part Name]=$A959)*(T_PlannedOrders[WeekIndex]=21)*(T_PlannedOrders[EffectiveQty]&gt;0)*T_PlannedOrders[Order_Month])),"m月")&amp;"発注)")</f>
        <v/>
      </c>
      <c r="Y969">
        <f>IF(SUMIFS(T_PlannedOrders[EffectiveQty],T_PlannedOrders[Part Name],$A959,T_PlannedOrders[WeekIndex],22)=0,"",SUMIFS(T_PlannedOrders[EffectiveQty],T_PlannedOrders[Part Name],$A959,T_PlannedOrders[WeekIndex],22)&amp;" ("&amp;TEXT(SUMPRODUCT(MAX((T_PlannedOrders[Part Name]=$A959)*(T_PlannedOrders[WeekIndex]=22)*(T_PlannedOrders[EffectiveQty]&gt;0)*T_PlannedOrders[Order_Month])),"m月")&amp;"発注)")</f>
        <v/>
      </c>
      <c r="Z969">
        <f>IF(SUMIFS(T_PlannedOrders[EffectiveQty],T_PlannedOrders[Part Name],$A959,T_PlannedOrders[WeekIndex],23)=0,"",SUMIFS(T_PlannedOrders[EffectiveQty],T_PlannedOrders[Part Name],$A959,T_PlannedOrders[WeekIndex],23)&amp;" ("&amp;TEXT(SUMPRODUCT(MAX((T_PlannedOrders[Part Name]=$A959)*(T_PlannedOrders[WeekIndex]=23)*(T_PlannedOrders[EffectiveQty]&gt;0)*T_PlannedOrders[Order_Month])),"m月")&amp;"発注)")</f>
        <v/>
      </c>
      <c r="AA969">
        <f>IF(SUMIFS(T_PlannedOrders[EffectiveQty],T_PlannedOrders[Part Name],$A959,T_PlannedOrders[WeekIndex],24)=0,"",SUMIFS(T_PlannedOrders[EffectiveQty],T_PlannedOrders[Part Name],$A959,T_PlannedOrders[WeekIndex],24)&amp;" ("&amp;TEXT(SUMPRODUCT(MAX((T_PlannedOrders[Part Name]=$A959)*(T_PlannedOrders[WeekIndex]=24)*(T_PlannedOrders[EffectiveQty]&gt;0)*T_PlannedOrders[Order_Month])),"m月")&amp;"発注)")</f>
        <v/>
      </c>
      <c r="AB969">
        <f>IF(SUMIFS(T_PlannedOrders[EffectiveQty],T_PlannedOrders[Part Name],$A959,T_PlannedOrders[WeekIndex],25)=0,"",SUMIFS(T_PlannedOrders[EffectiveQty],T_PlannedOrders[Part Name],$A959,T_PlannedOrders[WeekIndex],25)&amp;" ("&amp;TEXT(SUMPRODUCT(MAX((T_PlannedOrders[Part Name]=$A959)*(T_PlannedOrders[WeekIndex]=25)*(T_PlannedOrders[EffectiveQty]&gt;0)*T_PlannedOrders[Order_Month])),"m月")&amp;"発注)")</f>
        <v/>
      </c>
      <c r="AC969">
        <f>IF(SUMIFS(T_PlannedOrders[EffectiveQty],T_PlannedOrders[Part Name],$A959,T_PlannedOrders[WeekIndex],26)=0,"",SUMIFS(T_PlannedOrders[EffectiveQty],T_PlannedOrders[Part Name],$A959,T_PlannedOrders[WeekIndex],26)&amp;" ("&amp;TEXT(SUMPRODUCT(MAX((T_PlannedOrders[Part Name]=$A959)*(T_PlannedOrders[WeekIndex]=26)*(T_PlannedOrders[EffectiveQty]&gt;0)*T_PlannedOrders[Order_Month])),"m月")&amp;"発注)")</f>
        <v/>
      </c>
      <c r="AD969">
        <f>IF(SUMIFS(T_PlannedOrders[EffectiveQty],T_PlannedOrders[Part Name],$A959,T_PlannedOrders[WeekIndex],27)=0,"",SUMIFS(T_PlannedOrders[EffectiveQty],T_PlannedOrders[Part Name],$A959,T_PlannedOrders[WeekIndex],27)&amp;" ("&amp;TEXT(SUMPRODUCT(MAX((T_PlannedOrders[Part Name]=$A959)*(T_PlannedOrders[WeekIndex]=27)*(T_PlannedOrders[EffectiveQty]&gt;0)*T_PlannedOrders[Order_Month])),"m月")&amp;"発注)")</f>
        <v/>
      </c>
      <c r="AE969">
        <f>IF(SUMIFS(T_PlannedOrders[EffectiveQty],T_PlannedOrders[Part Name],$A959,T_PlannedOrders[WeekIndex],28)=0,"",SUMIFS(T_PlannedOrders[EffectiveQty],T_PlannedOrders[Part Name],$A959,T_PlannedOrders[WeekIndex],28)&amp;" ("&amp;TEXT(SUMPRODUCT(MAX((T_PlannedOrders[Part Name]=$A959)*(T_PlannedOrders[WeekIndex]=28)*(T_PlannedOrders[EffectiveQty]&gt;0)*T_PlannedOrders[Order_Month])),"m月")&amp;"発注)")</f>
        <v/>
      </c>
      <c r="AF969">
        <f>IF(SUMIFS(T_PlannedOrders[EffectiveQty],T_PlannedOrders[Part Name],$A959,T_PlannedOrders[WeekIndex],29)=0,"",SUMIFS(T_PlannedOrders[EffectiveQty],T_PlannedOrders[Part Name],$A959,T_PlannedOrders[WeekIndex],29)&amp;" ("&amp;TEXT(SUMPRODUCT(MAX((T_PlannedOrders[Part Name]=$A959)*(T_PlannedOrders[WeekIndex]=29)*(T_PlannedOrders[EffectiveQty]&gt;0)*T_PlannedOrders[Order_Month])),"m月")&amp;"発注)")</f>
        <v/>
      </c>
      <c r="AG969">
        <f>IF(SUMIFS(T_PlannedOrders[EffectiveQty],T_PlannedOrders[Part Name],$A959,T_PlannedOrders[WeekIndex],30)=0,"",SUMIFS(T_PlannedOrders[EffectiveQty],T_PlannedOrders[Part Name],$A959,T_PlannedOrders[WeekIndex],30)&amp;" ("&amp;TEXT(SUMPRODUCT(MAX((T_PlannedOrders[Part Name]=$A959)*(T_PlannedOrders[WeekIndex]=30)*(T_PlannedOrders[EffectiveQty]&gt;0)*T_PlannedOrders[Order_Month])),"m月")&amp;"発注)")</f>
        <v/>
      </c>
      <c r="AH969">
        <f>IF(SUMIFS(T_PlannedOrders[EffectiveQty],T_PlannedOrders[Part Name],$A959,T_PlannedOrders[WeekIndex],31)=0,"",SUMIFS(T_PlannedOrders[EffectiveQty],T_PlannedOrders[Part Name],$A959,T_PlannedOrders[WeekIndex],31)&amp;" ("&amp;TEXT(SUMPRODUCT(MAX((T_PlannedOrders[Part Name]=$A959)*(T_PlannedOrders[WeekIndex]=31)*(T_PlannedOrders[EffectiveQty]&gt;0)*T_PlannedOrders[Order_Month])),"m月")&amp;"発注)")</f>
        <v/>
      </c>
      <c r="AI969">
        <f>IF(SUMIFS(T_PlannedOrders[EffectiveQty],T_PlannedOrders[Part Name],$A959,T_PlannedOrders[WeekIndex],32)=0,"",SUMIFS(T_PlannedOrders[EffectiveQty],T_PlannedOrders[Part Name],$A959,T_PlannedOrders[WeekIndex],32)&amp;" ("&amp;TEXT(SUMPRODUCT(MAX((T_PlannedOrders[Part Name]=$A959)*(T_PlannedOrders[WeekIndex]=32)*(T_PlannedOrders[EffectiveQty]&gt;0)*T_PlannedOrders[Order_Month])),"m月")&amp;"発注)")</f>
        <v/>
      </c>
      <c r="AJ969">
        <f>IF(SUMIFS(T_PlannedOrders[EffectiveQty],T_PlannedOrders[Part Name],$A959,T_PlannedOrders[WeekIndex],33)=0,"",SUMIFS(T_PlannedOrders[EffectiveQty],T_PlannedOrders[Part Name],$A959,T_PlannedOrders[WeekIndex],33)&amp;" ("&amp;TEXT(SUMPRODUCT(MAX((T_PlannedOrders[Part Name]=$A959)*(T_PlannedOrders[WeekIndex]=33)*(T_PlannedOrders[EffectiveQty]&gt;0)*T_PlannedOrders[Order_Month])),"m月")&amp;"発注)")</f>
        <v/>
      </c>
      <c r="AK969">
        <f>IF(SUMIFS(T_PlannedOrders[EffectiveQty],T_PlannedOrders[Part Name],$A959,T_PlannedOrders[WeekIndex],34)=0,"",SUMIFS(T_PlannedOrders[EffectiveQty],T_PlannedOrders[Part Name],$A959,T_PlannedOrders[WeekIndex],34)&amp;" ("&amp;TEXT(SUMPRODUCT(MAX((T_PlannedOrders[Part Name]=$A959)*(T_PlannedOrders[WeekIndex]=34)*(T_PlannedOrders[EffectiveQty]&gt;0)*T_PlannedOrders[Order_Month])),"m月")&amp;"発注)")</f>
        <v/>
      </c>
      <c r="AL969">
        <f>IF(SUMIFS(T_PlannedOrders[EffectiveQty],T_PlannedOrders[Part Name],$A959,T_PlannedOrders[WeekIndex],35)=0,"",SUMIFS(T_PlannedOrders[EffectiveQty],T_PlannedOrders[Part Name],$A959,T_PlannedOrders[WeekIndex],35)&amp;" ("&amp;TEXT(SUMPRODUCT(MAX((T_PlannedOrders[Part Name]=$A959)*(T_PlannedOrders[WeekIndex]=35)*(T_PlannedOrders[EffectiveQty]&gt;0)*T_PlannedOrders[Order_Month])),"m月")&amp;"発注)")</f>
        <v/>
      </c>
      <c r="AM969">
        <f>IF(SUMIFS(T_PlannedOrders[EffectiveQty],T_PlannedOrders[Part Name],$A959,T_PlannedOrders[WeekIndex],36)=0,"",SUMIFS(T_PlannedOrders[EffectiveQty],T_PlannedOrders[Part Name],$A959,T_PlannedOrders[WeekIndex],36)&amp;" ("&amp;TEXT(SUMPRODUCT(MAX((T_PlannedOrders[Part Name]=$A959)*(T_PlannedOrders[WeekIndex]=36)*(T_PlannedOrders[EffectiveQty]&gt;0)*T_PlannedOrders[Order_Month])),"m月")&amp;"発注)")</f>
        <v/>
      </c>
      <c r="AN969">
        <f>IF(SUMIFS(T_PlannedOrders[EffectiveQty],T_PlannedOrders[Part Name],$A959,T_PlannedOrders[WeekIndex],37)=0,"",SUMIFS(T_PlannedOrders[EffectiveQty],T_PlannedOrders[Part Name],$A959,T_PlannedOrders[WeekIndex],37)&amp;" ("&amp;TEXT(SUMPRODUCT(MAX((T_PlannedOrders[Part Name]=$A959)*(T_PlannedOrders[WeekIndex]=37)*(T_PlannedOrders[EffectiveQty]&gt;0)*T_PlannedOrders[Order_Month])),"m月")&amp;"発注)")</f>
        <v/>
      </c>
      <c r="AO969">
        <f>IF(SUMIFS(T_PlannedOrders[EffectiveQty],T_PlannedOrders[Part Name],$A959,T_PlannedOrders[WeekIndex],38)=0,"",SUMIFS(T_PlannedOrders[EffectiveQty],T_PlannedOrders[Part Name],$A959,T_PlannedOrders[WeekIndex],38)&amp;" ("&amp;TEXT(SUMPRODUCT(MAX((T_PlannedOrders[Part Name]=$A959)*(T_PlannedOrders[WeekIndex]=38)*(T_PlannedOrders[EffectiveQty]&gt;0)*T_PlannedOrders[Order_Month])),"m月")&amp;"発注)")</f>
        <v/>
      </c>
      <c r="AP969">
        <f>IF(SUMIFS(T_PlannedOrders[EffectiveQty],T_PlannedOrders[Part Name],$A959,T_PlannedOrders[WeekIndex],39)=0,"",SUMIFS(T_PlannedOrders[EffectiveQty],T_PlannedOrders[Part Name],$A959,T_PlannedOrders[WeekIndex],39)&amp;" ("&amp;TEXT(SUMPRODUCT(MAX((T_PlannedOrders[Part Name]=$A959)*(T_PlannedOrders[WeekIndex]=39)*(T_PlannedOrders[EffectiveQty]&gt;0)*T_PlannedOrders[Order_Month])),"m月")&amp;"発注)")</f>
        <v/>
      </c>
      <c r="AQ969">
        <f>IF(SUMIFS(T_PlannedOrders[EffectiveQty],T_PlannedOrders[Part Name],$A959,T_PlannedOrders[WeekIndex],40)=0,"",SUMIFS(T_PlannedOrders[EffectiveQty],T_PlannedOrders[Part Name],$A959,T_PlannedOrders[WeekIndex],40)&amp;" ("&amp;TEXT(SUMPRODUCT(MAX((T_PlannedOrders[Part Name]=$A959)*(T_PlannedOrders[WeekIndex]=40)*(T_PlannedOrders[EffectiveQty]&gt;0)*T_PlannedOrders[Order_Month])),"m月")&amp;"発注)")</f>
        <v/>
      </c>
      <c r="AR969">
        <f>IF(SUMIFS(T_PlannedOrders[EffectiveQty],T_PlannedOrders[Part Name],$A959,T_PlannedOrders[WeekIndex],41)=0,"",SUMIFS(T_PlannedOrders[EffectiveQty],T_PlannedOrders[Part Name],$A959,T_PlannedOrders[WeekIndex],41)&amp;" ("&amp;TEXT(SUMPRODUCT(MAX((T_PlannedOrders[Part Name]=$A959)*(T_PlannedOrders[WeekIndex]=41)*(T_PlannedOrders[EffectiveQty]&gt;0)*T_PlannedOrders[Order_Month])),"m月")&amp;"発注)")</f>
        <v/>
      </c>
      <c r="AS969">
        <f>IF(SUMIFS(T_PlannedOrders[EffectiveQty],T_PlannedOrders[Part Name],$A959,T_PlannedOrders[WeekIndex],42)=0,"",SUMIFS(T_PlannedOrders[EffectiveQty],T_PlannedOrders[Part Name],$A959,T_PlannedOrders[WeekIndex],42)&amp;" ("&amp;TEXT(SUMPRODUCT(MAX((T_PlannedOrders[Part Name]=$A959)*(T_PlannedOrders[WeekIndex]=42)*(T_PlannedOrders[EffectiveQty]&gt;0)*T_PlannedOrders[Order_Month])),"m月")&amp;"発注)")</f>
        <v/>
      </c>
      <c r="AT969">
        <f>IF(SUMIFS(T_PlannedOrders[EffectiveQty],T_PlannedOrders[Part Name],$A959,T_PlannedOrders[WeekIndex],43)=0,"",SUMIFS(T_PlannedOrders[EffectiveQty],T_PlannedOrders[Part Name],$A959,T_PlannedOrders[WeekIndex],43)&amp;" ("&amp;TEXT(SUMPRODUCT(MAX((T_PlannedOrders[Part Name]=$A959)*(T_PlannedOrders[WeekIndex]=43)*(T_PlannedOrders[EffectiveQty]&gt;0)*T_PlannedOrders[Order_Month])),"m月")&amp;"発注)")</f>
        <v/>
      </c>
      <c r="AU969">
        <f>IF(SUMIFS(T_PlannedOrders[EffectiveQty],T_PlannedOrders[Part Name],$A959,T_PlannedOrders[WeekIndex],44)=0,"",SUMIFS(T_PlannedOrders[EffectiveQty],T_PlannedOrders[Part Name],$A959,T_PlannedOrders[WeekIndex],44)&amp;" ("&amp;TEXT(SUMPRODUCT(MAX((T_PlannedOrders[Part Name]=$A959)*(T_PlannedOrders[WeekIndex]=44)*(T_PlannedOrders[EffectiveQty]&gt;0)*T_PlannedOrders[Order_Month])),"m月")&amp;"発注)")</f>
        <v/>
      </c>
      <c r="AV969">
        <f>IF(SUMIFS(T_PlannedOrders[EffectiveQty],T_PlannedOrders[Part Name],$A959,T_PlannedOrders[WeekIndex],45)=0,"",SUMIFS(T_PlannedOrders[EffectiveQty],T_PlannedOrders[Part Name],$A959,T_PlannedOrders[WeekIndex],45)&amp;" ("&amp;TEXT(SUMPRODUCT(MAX((T_PlannedOrders[Part Name]=$A959)*(T_PlannedOrders[WeekIndex]=45)*(T_PlannedOrders[EffectiveQty]&gt;0)*T_PlannedOrders[Order_Month])),"m月")&amp;"発注)")</f>
        <v/>
      </c>
      <c r="AW969">
        <f>IF(SUMIFS(T_PlannedOrders[EffectiveQty],T_PlannedOrders[Part Name],$A959,T_PlannedOrders[WeekIndex],46)=0,"",SUMIFS(T_PlannedOrders[EffectiveQty],T_PlannedOrders[Part Name],$A959,T_PlannedOrders[WeekIndex],46)&amp;" ("&amp;TEXT(SUMPRODUCT(MAX((T_PlannedOrders[Part Name]=$A959)*(T_PlannedOrders[WeekIndex]=46)*(T_PlannedOrders[EffectiveQty]&gt;0)*T_PlannedOrders[Order_Month])),"m月")&amp;"発注)")</f>
        <v/>
      </c>
      <c r="AX969">
        <f>IF(SUMIFS(T_PlannedOrders[EffectiveQty],T_PlannedOrders[Part Name],$A959,T_PlannedOrders[WeekIndex],47)=0,"",SUMIFS(T_PlannedOrders[EffectiveQty],T_PlannedOrders[Part Name],$A959,T_PlannedOrders[WeekIndex],47)&amp;" ("&amp;TEXT(SUMPRODUCT(MAX((T_PlannedOrders[Part Name]=$A959)*(T_PlannedOrders[WeekIndex]=47)*(T_PlannedOrders[EffectiveQty]&gt;0)*T_PlannedOrders[Order_Month])),"m月")&amp;"発注)")</f>
        <v/>
      </c>
      <c r="AY969">
        <f>IF(SUMIFS(T_PlannedOrders[EffectiveQty],T_PlannedOrders[Part Name],$A959,T_PlannedOrders[WeekIndex],48)=0,"",SUMIFS(T_PlannedOrders[EffectiveQty],T_PlannedOrders[Part Name],$A959,T_PlannedOrders[WeekIndex],48)&amp;" ("&amp;TEXT(SUMPRODUCT(MAX((T_PlannedOrders[Part Name]=$A959)*(T_PlannedOrders[WeekIndex]=48)*(T_PlannedOrders[EffectiveQty]&gt;0)*T_PlannedOrders[Order_Month])),"m月")&amp;"発注)")</f>
        <v/>
      </c>
      <c r="AZ969">
        <f>IF(SUMIFS(T_PlannedOrders[EffectiveQty],T_PlannedOrders[Part Name],$A959,T_PlannedOrders[WeekIndex],49)=0,"",SUMIFS(T_PlannedOrders[EffectiveQty],T_PlannedOrders[Part Name],$A959,T_PlannedOrders[WeekIndex],49)&amp;" ("&amp;TEXT(SUMPRODUCT(MAX((T_PlannedOrders[Part Name]=$A959)*(T_PlannedOrders[WeekIndex]=49)*(T_PlannedOrders[EffectiveQty]&gt;0)*T_PlannedOrders[Order_Month])),"m月")&amp;"発注)")</f>
        <v/>
      </c>
      <c r="BA969">
        <f>IF(SUMIFS(T_PlannedOrders[EffectiveQty],T_PlannedOrders[Part Name],$A959,T_PlannedOrders[WeekIndex],50)=0,"",SUMIFS(T_PlannedOrders[EffectiveQty],T_PlannedOrders[Part Name],$A959,T_PlannedOrders[WeekIndex],50)&amp;" ("&amp;TEXT(SUMPRODUCT(MAX((T_PlannedOrders[Part Name]=$A959)*(T_PlannedOrders[WeekIndex]=50)*(T_PlannedOrders[EffectiveQty]&gt;0)*T_PlannedOrders[Order_Month])),"m月")&amp;"発注)")</f>
        <v/>
      </c>
      <c r="BB969">
        <f>IF(SUMIFS(T_PlannedOrders[EffectiveQty],T_PlannedOrders[Part Name],$A959,T_PlannedOrders[WeekIndex],51)=0,"",SUMIFS(T_PlannedOrders[EffectiveQty],T_PlannedOrders[Part Name],$A959,T_PlannedOrders[WeekIndex],51)&amp;" ("&amp;TEXT(SUMPRODUCT(MAX((T_PlannedOrders[Part Name]=$A959)*(T_PlannedOrders[WeekIndex]=51)*(T_PlannedOrders[EffectiveQty]&gt;0)*T_PlannedOrders[Order_Month])),"m月")&amp;"発注)")</f>
        <v/>
      </c>
      <c r="BC969">
        <f>IF(SUMIFS(T_PlannedOrders[EffectiveQty],T_PlannedOrders[Part Name],$A959,T_PlannedOrders[WeekIndex],52)=0,"",SUMIFS(T_PlannedOrders[EffectiveQty],T_PlannedOrders[Part Name],$A959,T_PlannedOrders[WeekIndex],52)&amp;" ("&amp;TEXT(SUMPRODUCT(MAX((T_PlannedOrders[Part Name]=$A959)*(T_PlannedOrders[WeekIndex]=52)*(T_PlannedOrders[EffectiveQty]&gt;0)*T_PlannedOrders[Order_Month])),"m月")&amp;"発注)")</f>
        <v/>
      </c>
      <c r="BD969">
        <f>IF(SUMIFS(T_PlannedOrders[EffectiveQty],T_PlannedOrders[Part Name],$A959,T_PlannedOrders[WeekIndex],53)=0,"",SUMIFS(T_PlannedOrders[EffectiveQty],T_PlannedOrders[Part Name],$A959,T_PlannedOrders[WeekIndex],53)&amp;" ("&amp;TEXT(SUMPRODUCT(MAX((T_PlannedOrders[Part Name]=$A959)*(T_PlannedOrders[WeekIndex]=53)*(T_PlannedOrders[EffectiveQty]&gt;0)*T_PlannedOrders[Order_Month])),"m月")&amp;"発注)")</f>
        <v/>
      </c>
      <c r="BE969">
        <f>IF(SUMIFS(T_PlannedOrders[EffectiveQty],T_PlannedOrders[Part Name],$A959,T_PlannedOrders[WeekIndex],54)=0,"",SUMIFS(T_PlannedOrders[EffectiveQty],T_PlannedOrders[Part Name],$A959,T_PlannedOrders[WeekIndex],54)&amp;" ("&amp;TEXT(SUMPRODUCT(MAX((T_PlannedOrders[Part Name]=$A959)*(T_PlannedOrders[WeekIndex]=54)*(T_PlannedOrders[EffectiveQty]&gt;0)*T_PlannedOrders[Order_Month])),"m月")&amp;"発注)")</f>
        <v/>
      </c>
      <c r="BF969">
        <f>IF(SUMIFS(T_PlannedOrders[EffectiveQty],T_PlannedOrders[Part Name],$A959,T_PlannedOrders[WeekIndex],55)=0,"",SUMIFS(T_PlannedOrders[EffectiveQty],T_PlannedOrders[Part Name],$A959,T_PlannedOrders[WeekIndex],55)&amp;" ("&amp;TEXT(SUMPRODUCT(MAX((T_PlannedOrders[Part Name]=$A959)*(T_PlannedOrders[WeekIndex]=55)*(T_PlannedOrders[EffectiveQty]&gt;0)*T_PlannedOrders[Order_Month])),"m月")&amp;"発注)")</f>
        <v/>
      </c>
      <c r="BG969">
        <f>IF(SUMIFS(T_PlannedOrders[EffectiveQty],T_PlannedOrders[Part Name],$A959,T_PlannedOrders[WeekIndex],56)=0,"",SUMIFS(T_PlannedOrders[EffectiveQty],T_PlannedOrders[Part Name],$A959,T_PlannedOrders[WeekIndex],56)&amp;" ("&amp;TEXT(SUMPRODUCT(MAX((T_PlannedOrders[Part Name]=$A959)*(T_PlannedOrders[WeekIndex]=56)*(T_PlannedOrders[EffectiveQty]&gt;0)*T_PlannedOrders[Order_Month])),"m月")&amp;"発注)")</f>
        <v/>
      </c>
      <c r="BH969">
        <f>IF(SUMIFS(T_PlannedOrders[EffectiveQty],T_PlannedOrders[Part Name],$A959,T_PlannedOrders[WeekIndex],57)=0,"",SUMIFS(T_PlannedOrders[EffectiveQty],T_PlannedOrders[Part Name],$A959,T_PlannedOrders[WeekIndex],57)&amp;" ("&amp;TEXT(SUMPRODUCT(MAX((T_PlannedOrders[Part Name]=$A959)*(T_PlannedOrders[WeekIndex]=57)*(T_PlannedOrders[EffectiveQty]&gt;0)*T_PlannedOrders[Order_Month])),"m月")&amp;"発注)")</f>
        <v/>
      </c>
      <c r="BI969">
        <f>IF(SUMIFS(T_PlannedOrders[EffectiveQty],T_PlannedOrders[Part Name],$A959,T_PlannedOrders[WeekIndex],58)=0,"",SUMIFS(T_PlannedOrders[EffectiveQty],T_PlannedOrders[Part Name],$A959,T_PlannedOrders[WeekIndex],58)&amp;" ("&amp;TEXT(SUMPRODUCT(MAX((T_PlannedOrders[Part Name]=$A959)*(T_PlannedOrders[WeekIndex]=58)*(T_PlannedOrders[EffectiveQty]&gt;0)*T_PlannedOrders[Order_Month])),"m月")&amp;"発注)")</f>
        <v/>
      </c>
      <c r="BJ969">
        <f>IF(SUMIFS(T_PlannedOrders[EffectiveQty],T_PlannedOrders[Part Name],$A959,T_PlannedOrders[WeekIndex],59)=0,"",SUMIFS(T_PlannedOrders[EffectiveQty],T_PlannedOrders[Part Name],$A959,T_PlannedOrders[WeekIndex],59)&amp;" ("&amp;TEXT(SUMPRODUCT(MAX((T_PlannedOrders[Part Name]=$A959)*(T_PlannedOrders[WeekIndex]=59)*(T_PlannedOrders[EffectiveQty]&gt;0)*T_PlannedOrders[Order_Month])),"m月")&amp;"発注)")</f>
        <v/>
      </c>
      <c r="BK969">
        <f>IF(SUMIFS(T_PlannedOrders[EffectiveQty],T_PlannedOrders[Part Name],$A959,T_PlannedOrders[WeekIndex],60)=0,"",SUMIFS(T_PlannedOrders[EffectiveQty],T_PlannedOrders[Part Name],$A959,T_PlannedOrders[WeekIndex],60)&amp;" ("&amp;TEXT(SUMPRODUCT(MAX((T_PlannedOrders[Part Name]=$A959)*(T_PlannedOrders[WeekIndex]=60)*(T_PlannedOrders[EffectiveQty]&gt;0)*T_PlannedOrders[Order_Month])),"m月")&amp;"発注)")</f>
        <v/>
      </c>
      <c r="BL969">
        <f>IF(SUMIFS(T_PlannedOrders[EffectiveQty],T_PlannedOrders[Part Name],$A959,T_PlannedOrders[WeekIndex],61)=0,"",SUMIFS(T_PlannedOrders[EffectiveQty],T_PlannedOrders[Part Name],$A959,T_PlannedOrders[WeekIndex],61)&amp;" ("&amp;TEXT(SUMPRODUCT(MAX((T_PlannedOrders[Part Name]=$A959)*(T_PlannedOrders[WeekIndex]=61)*(T_PlannedOrders[EffectiveQty]&gt;0)*T_PlannedOrders[Order_Month])),"m月")&amp;"発注)")</f>
        <v/>
      </c>
      <c r="BM969">
        <f>IF(SUMIFS(T_PlannedOrders[EffectiveQty],T_PlannedOrders[Part Name],$A959,T_PlannedOrders[WeekIndex],62)=0,"",SUMIFS(T_PlannedOrders[EffectiveQty],T_PlannedOrders[Part Name],$A959,T_PlannedOrders[WeekIndex],62)&amp;" ("&amp;TEXT(SUMPRODUCT(MAX((T_PlannedOrders[Part Name]=$A959)*(T_PlannedOrders[WeekIndex]=62)*(T_PlannedOrders[EffectiveQty]&gt;0)*T_PlannedOrders[Order_Month])),"m月")&amp;"発注)")</f>
        <v/>
      </c>
      <c r="BN969">
        <f>IF(SUMIFS(T_PlannedOrders[EffectiveQty],T_PlannedOrders[Part Name],$A959,T_PlannedOrders[WeekIndex],63)=0,"",SUMIFS(T_PlannedOrders[EffectiveQty],T_PlannedOrders[Part Name],$A959,T_PlannedOrders[WeekIndex],63)&amp;" ("&amp;TEXT(SUMPRODUCT(MAX((T_PlannedOrders[Part Name]=$A959)*(T_PlannedOrders[WeekIndex]=63)*(T_PlannedOrders[EffectiveQty]&gt;0)*T_PlannedOrders[Order_Month])),"m月")&amp;"発注)")</f>
        <v/>
      </c>
      <c r="BO969">
        <f>IF(SUMIFS(T_PlannedOrders[EffectiveQty],T_PlannedOrders[Part Name],$A959,T_PlannedOrders[WeekIndex],64)=0,"",SUMIFS(T_PlannedOrders[EffectiveQty],T_PlannedOrders[Part Name],$A959,T_PlannedOrders[WeekIndex],64)&amp;" ("&amp;TEXT(SUMPRODUCT(MAX((T_PlannedOrders[Part Name]=$A959)*(T_PlannedOrders[WeekIndex]=64)*(T_PlannedOrders[EffectiveQty]&gt;0)*T_PlannedOrders[Order_Month])),"m月")&amp;"発注)")</f>
        <v/>
      </c>
      <c r="BP969">
        <f>IF(SUMIFS(T_PlannedOrders[EffectiveQty],T_PlannedOrders[Part Name],$A959,T_PlannedOrders[WeekIndex],65)=0,"",SUMIFS(T_PlannedOrders[EffectiveQty],T_PlannedOrders[Part Name],$A959,T_PlannedOrders[WeekIndex],65)&amp;" ("&amp;TEXT(SUMPRODUCT(MAX((T_PlannedOrders[Part Name]=$A959)*(T_PlannedOrders[WeekIndex]=65)*(T_PlannedOrders[EffectiveQty]&gt;0)*T_PlannedOrders[Order_Month])),"m月")&amp;"発注)")</f>
        <v/>
      </c>
      <c r="BQ969">
        <f>IF(SUMIFS(T_PlannedOrders[EffectiveQty],T_PlannedOrders[Part Name],$A959,T_PlannedOrders[WeekIndex],66)=0,"",SUMIFS(T_PlannedOrders[EffectiveQty],T_PlannedOrders[Part Name],$A959,T_PlannedOrders[WeekIndex],66)&amp;" ("&amp;TEXT(SUMPRODUCT(MAX((T_PlannedOrders[Part Name]=$A959)*(T_PlannedOrders[WeekIndex]=66)*(T_PlannedOrders[EffectiveQty]&gt;0)*T_PlannedOrders[Order_Month])),"m月")&amp;"発注)")</f>
        <v/>
      </c>
      <c r="BR969">
        <f>IF(SUMIFS(T_PlannedOrders[EffectiveQty],T_PlannedOrders[Part Name],$A959,T_PlannedOrders[WeekIndex],67)=0,"",SUMIFS(T_PlannedOrders[EffectiveQty],T_PlannedOrders[Part Name],$A959,T_PlannedOrders[WeekIndex],67)&amp;" ("&amp;TEXT(SUMPRODUCT(MAX((T_PlannedOrders[Part Name]=$A959)*(T_PlannedOrders[WeekIndex]=67)*(T_PlannedOrders[EffectiveQty]&gt;0)*T_PlannedOrders[Order_Month])),"m月")&amp;"発注)")</f>
        <v/>
      </c>
      <c r="BS969">
        <f>IF(SUMIFS(T_PlannedOrders[EffectiveQty],T_PlannedOrders[Part Name],$A959,T_PlannedOrders[WeekIndex],68)=0,"",SUMIFS(T_PlannedOrders[EffectiveQty],T_PlannedOrders[Part Name],$A959,T_PlannedOrders[WeekIndex],68)&amp;" ("&amp;TEXT(SUMPRODUCT(MAX((T_PlannedOrders[Part Name]=$A959)*(T_PlannedOrders[WeekIndex]=68)*(T_PlannedOrders[EffectiveQty]&gt;0)*T_PlannedOrders[Order_Month])),"m月")&amp;"発注)")</f>
        <v/>
      </c>
      <c r="BT969">
        <f>IF(SUMIFS(T_PlannedOrders[EffectiveQty],T_PlannedOrders[Part Name],$A959,T_PlannedOrders[WeekIndex],69)=0,"",SUMIFS(T_PlannedOrders[EffectiveQty],T_PlannedOrders[Part Name],$A959,T_PlannedOrders[WeekIndex],69)&amp;" ("&amp;TEXT(SUMPRODUCT(MAX((T_PlannedOrders[Part Name]=$A959)*(T_PlannedOrders[WeekIndex]=69)*(T_PlannedOrders[EffectiveQty]&gt;0)*T_PlannedOrders[Order_Month])),"m月")&amp;"発注)")</f>
        <v/>
      </c>
      <c r="BU969">
        <f>IF(SUMIFS(T_PlannedOrders[EffectiveQty],T_PlannedOrders[Part Name],$A959,T_PlannedOrders[WeekIndex],70)=0,"",SUMIFS(T_PlannedOrders[EffectiveQty],T_PlannedOrders[Part Name],$A959,T_PlannedOrders[WeekIndex],70)&amp;" ("&amp;TEXT(SUMPRODUCT(MAX((T_PlannedOrders[Part Name]=$A959)*(T_PlannedOrders[WeekIndex]=70)*(T_PlannedOrders[EffectiveQty]&gt;0)*T_PlannedOrders[Order_Month])),"m月")&amp;"発注)")</f>
        <v/>
      </c>
      <c r="BV969">
        <f>IF(SUMIFS(T_PlannedOrders[EffectiveQty],T_PlannedOrders[Part Name],$A959,T_PlannedOrders[WeekIndex],71)=0,"",SUMIFS(T_PlannedOrders[EffectiveQty],T_PlannedOrders[Part Name],$A959,T_PlannedOrders[WeekIndex],71)&amp;" ("&amp;TEXT(SUMPRODUCT(MAX((T_PlannedOrders[Part Name]=$A959)*(T_PlannedOrders[WeekIndex]=71)*(T_PlannedOrders[EffectiveQty]&gt;0)*T_PlannedOrders[Order_Month])),"m月")&amp;"発注)")</f>
        <v/>
      </c>
      <c r="BW969">
        <f>IF(SUMIFS(T_PlannedOrders[EffectiveQty],T_PlannedOrders[Part Name],$A959,T_PlannedOrders[WeekIndex],72)=0,"",SUMIFS(T_PlannedOrders[EffectiveQty],T_PlannedOrders[Part Name],$A959,T_PlannedOrders[WeekIndex],72)&amp;" ("&amp;TEXT(SUMPRODUCT(MAX((T_PlannedOrders[Part Name]=$A959)*(T_PlannedOrders[WeekIndex]=72)*(T_PlannedOrders[EffectiveQty]&gt;0)*T_PlannedOrders[Order_Month])),"m月")&amp;"発注)")</f>
        <v/>
      </c>
      <c r="BX969">
        <f>IF(SUMIFS(T_PlannedOrders[EffectiveQty],T_PlannedOrders[Part Name],$A959,T_PlannedOrders[WeekIndex],73)=0,"",SUMIFS(T_PlannedOrders[EffectiveQty],T_PlannedOrders[Part Name],$A959,T_PlannedOrders[WeekIndex],73)&amp;" ("&amp;TEXT(SUMPRODUCT(MAX((T_PlannedOrders[Part Name]=$A959)*(T_PlannedOrders[WeekIndex]=73)*(T_PlannedOrders[EffectiveQty]&gt;0)*T_PlannedOrders[Order_Month])),"m月")&amp;"発注)")</f>
        <v/>
      </c>
      <c r="BY969">
        <f>IF(SUMIFS(T_PlannedOrders[EffectiveQty],T_PlannedOrders[Part Name],$A959,T_PlannedOrders[WeekIndex],74)=0,"",SUMIFS(T_PlannedOrders[EffectiveQty],T_PlannedOrders[Part Name],$A959,T_PlannedOrders[WeekIndex],74)&amp;" ("&amp;TEXT(SUMPRODUCT(MAX((T_PlannedOrders[Part Name]=$A959)*(T_PlannedOrders[WeekIndex]=74)*(T_PlannedOrders[EffectiveQty]&gt;0)*T_PlannedOrders[Order_Month])),"m月")&amp;"発注)")</f>
        <v/>
      </c>
      <c r="BZ969">
        <f>IF(SUMIFS(T_PlannedOrders[EffectiveQty],T_PlannedOrders[Part Name],$A959,T_PlannedOrders[WeekIndex],75)=0,"",SUMIFS(T_PlannedOrders[EffectiveQty],T_PlannedOrders[Part Name],$A959,T_PlannedOrders[WeekIndex],75)&amp;" ("&amp;TEXT(SUMPRODUCT(MAX((T_PlannedOrders[Part Name]=$A959)*(T_PlannedOrders[WeekIndex]=75)*(T_PlannedOrders[EffectiveQty]&gt;0)*T_PlannedOrders[Order_Month])),"m月")&amp;"発注)")</f>
        <v/>
      </c>
      <c r="CA969">
        <f>IF(SUMIFS(T_PlannedOrders[EffectiveQty],T_PlannedOrders[Part Name],$A959,T_PlannedOrders[WeekIndex],76)=0,"",SUMIFS(T_PlannedOrders[EffectiveQty],T_PlannedOrders[Part Name],$A959,T_PlannedOrders[WeekIndex],76)&amp;" ("&amp;TEXT(SUMPRODUCT(MAX((T_PlannedOrders[Part Name]=$A959)*(T_PlannedOrders[WeekIndex]=76)*(T_PlannedOrders[EffectiveQty]&gt;0)*T_PlannedOrders[Order_Month])),"m月")&amp;"発注)")</f>
        <v/>
      </c>
      <c r="CB969">
        <f>IF(SUMIFS(T_PlannedOrders[EffectiveQty],T_PlannedOrders[Part Name],$A959,T_PlannedOrders[WeekIndex],77)=0,"",SUMIFS(T_PlannedOrders[EffectiveQty],T_PlannedOrders[Part Name],$A959,T_PlannedOrders[WeekIndex],77)&amp;" ("&amp;TEXT(SUMPRODUCT(MAX((T_PlannedOrders[Part Name]=$A959)*(T_PlannedOrders[WeekIndex]=77)*(T_PlannedOrders[EffectiveQty]&gt;0)*T_PlannedOrders[Order_Month])),"m月")&amp;"発注)")</f>
        <v/>
      </c>
      <c r="CC969">
        <f>IF(SUMIFS(T_PlannedOrders[EffectiveQty],T_PlannedOrders[Part Name],$A959,T_PlannedOrders[WeekIndex],78)=0,"",SUMIFS(T_PlannedOrders[EffectiveQty],T_PlannedOrders[Part Name],$A959,T_PlannedOrders[WeekIndex],78)&amp;" ("&amp;TEXT(SUMPRODUCT(MAX((T_PlannedOrders[Part Name]=$A959)*(T_PlannedOrders[WeekIndex]=78)*(T_PlannedOrders[EffectiveQty]&gt;0)*T_PlannedOrders[Order_Month])),"m月")&amp;"発注)")</f>
        <v/>
      </c>
      <c r="CD969">
        <f>IF(SUMIFS(T_PlannedOrders[EffectiveQty],T_PlannedOrders[Part Name],$A959,T_PlannedOrders[WeekIndex],79)=0,"",SUMIFS(T_PlannedOrders[EffectiveQty],T_PlannedOrders[Part Name],$A959,T_PlannedOrders[WeekIndex],79)&amp;" ("&amp;TEXT(SUMPRODUCT(MAX((T_PlannedOrders[Part Name]=$A959)*(T_PlannedOrders[WeekIndex]=79)*(T_PlannedOrders[EffectiveQty]&gt;0)*T_PlannedOrders[Order_Month])),"m月")&amp;"発注)")</f>
        <v/>
      </c>
      <c r="CE969">
        <f>IF(SUMIFS(T_PlannedOrders[EffectiveQty],T_PlannedOrders[Part Name],$A959,T_PlannedOrders[WeekIndex],80)=0,"",SUMIFS(T_PlannedOrders[EffectiveQty],T_PlannedOrders[Part Name],$A959,T_PlannedOrders[WeekIndex],80)&amp;" ("&amp;TEXT(SUMPRODUCT(MAX((T_PlannedOrders[Part Name]=$A959)*(T_PlannedOrders[WeekIndex]=80)*(T_PlannedOrders[EffectiveQty]&gt;0)*T_PlannedOrders[Order_Month])),"m月")&amp;"発注)")</f>
        <v/>
      </c>
      <c r="CF969">
        <f>IF(SUMIFS(T_PlannedOrders[EffectiveQty],T_PlannedOrders[Part Name],$A959,T_PlannedOrders[WeekIndex],81)=0,"",SUMIFS(T_PlannedOrders[EffectiveQty],T_PlannedOrders[Part Name],$A959,T_PlannedOrders[WeekIndex],81)&amp;" ("&amp;TEXT(SUMPRODUCT(MAX((T_PlannedOrders[Part Name]=$A959)*(T_PlannedOrders[WeekIndex]=81)*(T_PlannedOrders[EffectiveQty]&gt;0)*T_PlannedOrders[Order_Month])),"m月")&amp;"発注)")</f>
        <v/>
      </c>
      <c r="CG969">
        <f>IF(SUMIFS(T_PlannedOrders[EffectiveQty],T_PlannedOrders[Part Name],$A959,T_PlannedOrders[WeekIndex],82)=0,"",SUMIFS(T_PlannedOrders[EffectiveQty],T_PlannedOrders[Part Name],$A959,T_PlannedOrders[WeekIndex],82)&amp;" ("&amp;TEXT(SUMPRODUCT(MAX((T_PlannedOrders[Part Name]=$A959)*(T_PlannedOrders[WeekIndex]=82)*(T_PlannedOrders[EffectiveQty]&gt;0)*T_PlannedOrders[Order_Month])),"m月")&amp;"発注)")</f>
        <v/>
      </c>
      <c r="CH969">
        <f>IF(SUMIFS(T_PlannedOrders[EffectiveQty],T_PlannedOrders[Part Name],$A959,T_PlannedOrders[WeekIndex],83)=0,"",SUMIFS(T_PlannedOrders[EffectiveQty],T_PlannedOrders[Part Name],$A959,T_PlannedOrders[WeekIndex],83)&amp;" ("&amp;TEXT(SUMPRODUCT(MAX((T_PlannedOrders[Part Name]=$A959)*(T_PlannedOrders[WeekIndex]=83)*(T_PlannedOrders[EffectiveQty]&gt;0)*T_PlannedOrders[Order_Month])),"m月")&amp;"発注)")</f>
        <v/>
      </c>
      <c r="CI969">
        <f>IF(SUMIFS(T_PlannedOrders[EffectiveQty],T_PlannedOrders[Part Name],$A959,T_PlannedOrders[WeekIndex],84)=0,"",SUMIFS(T_PlannedOrders[EffectiveQty],T_PlannedOrders[Part Name],$A959,T_PlannedOrders[WeekIndex],84)&amp;" ("&amp;TEXT(SUMPRODUCT(MAX((T_PlannedOrders[Part Name]=$A959)*(T_PlannedOrders[WeekIndex]=84)*(T_PlannedOrders[EffectiveQty]&gt;0)*T_PlannedOrders[Order_Month])),"m月")&amp;"発注)")</f>
        <v/>
      </c>
      <c r="CJ969">
        <f>IF(SUMIFS(T_PlannedOrders[EffectiveQty],T_PlannedOrders[Part Name],$A959,T_PlannedOrders[WeekIndex],85)=0,"",SUMIFS(T_PlannedOrders[EffectiveQty],T_PlannedOrders[Part Name],$A959,T_PlannedOrders[WeekIndex],85)&amp;" ("&amp;TEXT(SUMPRODUCT(MAX((T_PlannedOrders[Part Name]=$A959)*(T_PlannedOrders[WeekIndex]=85)*(T_PlannedOrders[EffectiveQty]&gt;0)*T_PlannedOrders[Order_Month])),"m月")&amp;"発注)")</f>
        <v/>
      </c>
      <c r="CK969">
        <f>IF(SUMIFS(T_PlannedOrders[EffectiveQty],T_PlannedOrders[Part Name],$A959,T_PlannedOrders[WeekIndex],86)=0,"",SUMIFS(T_PlannedOrders[EffectiveQty],T_PlannedOrders[Part Name],$A959,T_PlannedOrders[WeekIndex],86)&amp;" ("&amp;TEXT(SUMPRODUCT(MAX((T_PlannedOrders[Part Name]=$A959)*(T_PlannedOrders[WeekIndex]=86)*(T_PlannedOrders[EffectiveQty]&gt;0)*T_PlannedOrders[Order_Month])),"m月")&amp;"発注)")</f>
        <v/>
      </c>
      <c r="CL969">
        <f>IF(SUMIFS(T_PlannedOrders[EffectiveQty],T_PlannedOrders[Part Name],$A959,T_PlannedOrders[WeekIndex],87)=0,"",SUMIFS(T_PlannedOrders[EffectiveQty],T_PlannedOrders[Part Name],$A959,T_PlannedOrders[WeekIndex],87)&amp;" ("&amp;TEXT(SUMPRODUCT(MAX((T_PlannedOrders[Part Name]=$A959)*(T_PlannedOrders[WeekIndex]=87)*(T_PlannedOrders[EffectiveQty]&gt;0)*T_PlannedOrders[Order_Month])),"m月")&amp;"発注)")</f>
        <v/>
      </c>
      <c r="CM969">
        <f>IF(SUMIFS(T_PlannedOrders[EffectiveQty],T_PlannedOrders[Part Name],$A959,T_PlannedOrders[WeekIndex],88)=0,"",SUMIFS(T_PlannedOrders[EffectiveQty],T_PlannedOrders[Part Name],$A959,T_PlannedOrders[WeekIndex],88)&amp;" ("&amp;TEXT(SUMPRODUCT(MAX((T_PlannedOrders[Part Name]=$A959)*(T_PlannedOrders[WeekIndex]=88)*(T_PlannedOrders[EffectiveQty]&gt;0)*T_PlannedOrders[Order_Month])),"m月")&amp;"発注)")</f>
        <v/>
      </c>
      <c r="CN969">
        <f>IF(SUMIFS(T_PlannedOrders[EffectiveQty],T_PlannedOrders[Part Name],$A959,T_PlannedOrders[WeekIndex],89)=0,"",SUMIFS(T_PlannedOrders[EffectiveQty],T_PlannedOrders[Part Name],$A959,T_PlannedOrders[WeekIndex],89)&amp;" ("&amp;TEXT(SUMPRODUCT(MAX((T_PlannedOrders[Part Name]=$A959)*(T_PlannedOrders[WeekIndex]=89)*(T_PlannedOrders[EffectiveQty]&gt;0)*T_PlannedOrders[Order_Month])),"m月")&amp;"発注)")</f>
        <v/>
      </c>
      <c r="CO969">
        <f>IF(SUMIFS(T_PlannedOrders[EffectiveQty],T_PlannedOrders[Part Name],$A959,T_PlannedOrders[WeekIndex],90)=0,"",SUMIFS(T_PlannedOrders[EffectiveQty],T_PlannedOrders[Part Name],$A959,T_PlannedOrders[WeekIndex],90)&amp;" ("&amp;TEXT(SUMPRODUCT(MAX((T_PlannedOrders[Part Name]=$A959)*(T_PlannedOrders[WeekIndex]=90)*(T_PlannedOrders[EffectiveQty]&gt;0)*T_PlannedOrders[Order_Month])),"m月")&amp;"発注)")</f>
        <v/>
      </c>
      <c r="CP969">
        <f>IF(SUMIFS(T_PlannedOrders[EffectiveQty],T_PlannedOrders[Part Name],$A959,T_PlannedOrders[WeekIndex],91)=0,"",SUMIFS(T_PlannedOrders[EffectiveQty],T_PlannedOrders[Part Name],$A959,T_PlannedOrders[WeekIndex],91)&amp;" ("&amp;TEXT(SUMPRODUCT(MAX((T_PlannedOrders[Part Name]=$A959)*(T_PlannedOrders[WeekIndex]=91)*(T_PlannedOrders[EffectiveQty]&gt;0)*T_PlannedOrders[Order_Month])),"m月")&amp;"発注)")</f>
        <v/>
      </c>
      <c r="CQ969">
        <f>IF(SUMIFS(T_PlannedOrders[EffectiveQty],T_PlannedOrders[Part Name],$A959,T_PlannedOrders[WeekIndex],92)=0,"",SUMIFS(T_PlannedOrders[EffectiveQty],T_PlannedOrders[Part Name],$A959,T_PlannedOrders[WeekIndex],92)&amp;" ("&amp;TEXT(SUMPRODUCT(MAX((T_PlannedOrders[Part Name]=$A959)*(T_PlannedOrders[WeekIndex]=92)*(T_PlannedOrders[EffectiveQty]&gt;0)*T_PlannedOrders[Order_Month])),"m月")&amp;"発注)")</f>
        <v/>
      </c>
      <c r="CR969">
        <f>IF(SUMIFS(T_PlannedOrders[EffectiveQty],T_PlannedOrders[Part Name],$A959,T_PlannedOrders[WeekIndex],93)=0,"",SUMIFS(T_PlannedOrders[EffectiveQty],T_PlannedOrders[Part Name],$A959,T_PlannedOrders[WeekIndex],93)&amp;" ("&amp;TEXT(SUMPRODUCT(MAX((T_PlannedOrders[Part Name]=$A959)*(T_PlannedOrders[WeekIndex]=93)*(T_PlannedOrders[EffectiveQty]&gt;0)*T_PlannedOrders[Order_Month])),"m月")&amp;"発注)")</f>
        <v/>
      </c>
      <c r="CS969">
        <f>IF(SUMIFS(T_PlannedOrders[EffectiveQty],T_PlannedOrders[Part Name],$A959,T_PlannedOrders[WeekIndex],94)=0,"",SUMIFS(T_PlannedOrders[EffectiveQty],T_PlannedOrders[Part Name],$A959,T_PlannedOrders[WeekIndex],94)&amp;" ("&amp;TEXT(SUMPRODUCT(MAX((T_PlannedOrders[Part Name]=$A959)*(T_PlannedOrders[WeekIndex]=94)*(T_PlannedOrders[EffectiveQty]&gt;0)*T_PlannedOrders[Order_Month])),"m月")&amp;"発注)")</f>
        <v/>
      </c>
      <c r="CT969">
        <f>IF(SUMIFS(T_PlannedOrders[EffectiveQty],T_PlannedOrders[Part Name],$A959,T_PlannedOrders[WeekIndex],95)=0,"",SUMIFS(T_PlannedOrders[EffectiveQty],T_PlannedOrders[Part Name],$A959,T_PlannedOrders[WeekIndex],95)&amp;" ("&amp;TEXT(SUMPRODUCT(MAX((T_PlannedOrders[Part Name]=$A959)*(T_PlannedOrders[WeekIndex]=95)*(T_PlannedOrders[EffectiveQty]&gt;0)*T_PlannedOrders[Order_Month])),"m月")&amp;"発注)")</f>
        <v/>
      </c>
      <c r="CU969">
        <f>IF(SUMIFS(T_PlannedOrders[EffectiveQty],T_PlannedOrders[Part Name],$A959,T_PlannedOrders[WeekIndex],96)=0,"",SUMIFS(T_PlannedOrders[EffectiveQty],T_PlannedOrders[Part Name],$A959,T_PlannedOrders[WeekIndex],96)&amp;" ("&amp;TEXT(SUMPRODUCT(MAX((T_PlannedOrders[Part Name]=$A959)*(T_PlannedOrders[WeekIndex]=96)*(T_PlannedOrders[EffectiveQty]&gt;0)*T_PlannedOrders[Order_Month])),"m月")&amp;"発注)")</f>
        <v/>
      </c>
      <c r="CV969">
        <f>IF(SUMIFS(T_PlannedOrders[EffectiveQty],T_PlannedOrders[Part Name],$A959,T_PlannedOrders[WeekIndex],97)=0,"",SUMIFS(T_PlannedOrders[EffectiveQty],T_PlannedOrders[Part Name],$A959,T_PlannedOrders[WeekIndex],97)&amp;" ("&amp;TEXT(SUMPRODUCT(MAX((T_PlannedOrders[Part Name]=$A959)*(T_PlannedOrders[WeekIndex]=97)*(T_PlannedOrders[EffectiveQty]&gt;0)*T_PlannedOrders[Order_Month])),"m月")&amp;"発注)")</f>
        <v/>
      </c>
      <c r="CW969">
        <f>IF(SUMIFS(T_PlannedOrders[EffectiveQty],T_PlannedOrders[Part Name],$A959,T_PlannedOrders[WeekIndex],98)=0,"",SUMIFS(T_PlannedOrders[EffectiveQty],T_PlannedOrders[Part Name],$A959,T_PlannedOrders[WeekIndex],98)&amp;" ("&amp;TEXT(SUMPRODUCT(MAX((T_PlannedOrders[Part Name]=$A959)*(T_PlannedOrders[WeekIndex]=98)*(T_PlannedOrders[EffectiveQty]&gt;0)*T_PlannedOrders[Order_Month])),"m月")&amp;"発注)")</f>
        <v/>
      </c>
      <c r="CX969">
        <f>IF(SUMIFS(T_PlannedOrders[EffectiveQty],T_PlannedOrders[Part Name],$A959,T_PlannedOrders[WeekIndex],99)=0,"",SUMIFS(T_PlannedOrders[EffectiveQty],T_PlannedOrders[Part Name],$A959,T_PlannedOrders[WeekIndex],99)&amp;" ("&amp;TEXT(SUMPRODUCT(MAX((T_PlannedOrders[Part Name]=$A959)*(T_PlannedOrders[WeekIndex]=99)*(T_PlannedOrders[EffectiveQty]&gt;0)*T_PlannedOrders[Order_Month])),"m月")&amp;"発注)")</f>
        <v/>
      </c>
      <c r="CY969">
        <f>IF(SUMIFS(T_PlannedOrders[EffectiveQty],T_PlannedOrders[Part Name],$A959,T_PlannedOrders[WeekIndex],100)=0,"",SUMIFS(T_PlannedOrders[EffectiveQty],T_PlannedOrders[Part Name],$A959,T_PlannedOrders[WeekIndex],100)&amp;" ("&amp;TEXT(SUMPRODUCT(MAX((T_PlannedOrders[Part Name]=$A959)*(T_PlannedOrders[WeekIndex]=100)*(T_PlannedOrders[EffectiveQty]&gt;0)*T_PlannedOrders[Order_Month])),"m月")&amp;"発注)")</f>
        <v/>
      </c>
      <c r="CZ969">
        <f>IF(SUMIFS(T_PlannedOrders[EffectiveQty],T_PlannedOrders[Part Name],$A959,T_PlannedOrders[WeekIndex],101)=0,"",SUMIFS(T_PlannedOrders[EffectiveQty],T_PlannedOrders[Part Name],$A959,T_PlannedOrders[WeekIndex],101)&amp;" ("&amp;TEXT(SUMPRODUCT(MAX((T_PlannedOrders[Part Name]=$A959)*(T_PlannedOrders[WeekIndex]=101)*(T_PlannedOrders[EffectiveQty]&gt;0)*T_PlannedOrders[Order_Month])),"m月")&amp;"発注)")</f>
        <v/>
      </c>
      <c r="DA969">
        <f>IF(SUMIFS(T_PlannedOrders[EffectiveQty],T_PlannedOrders[Part Name],$A959,T_PlannedOrders[WeekIndex],102)=0,"",SUMIFS(T_PlannedOrders[EffectiveQty],T_PlannedOrders[Part Name],$A959,T_PlannedOrders[WeekIndex],102)&amp;" ("&amp;TEXT(SUMPRODUCT(MAX((T_PlannedOrders[Part Name]=$A959)*(T_PlannedOrders[WeekIndex]=102)*(T_PlannedOrders[EffectiveQty]&gt;0)*T_PlannedOrders[Order_Month])),"m月")&amp;"発注)")</f>
        <v/>
      </c>
      <c r="DB969">
        <f>IF(SUMIFS(T_PlannedOrders[EffectiveQty],T_PlannedOrders[Part Name],$A959,T_PlannedOrders[WeekIndex],103)=0,"",SUMIFS(T_PlannedOrders[EffectiveQty],T_PlannedOrders[Part Name],$A959,T_PlannedOrders[WeekIndex],103)&amp;" ("&amp;TEXT(SUMPRODUCT(MAX((T_PlannedOrders[Part Name]=$A959)*(T_PlannedOrders[WeekIndex]=103)*(T_PlannedOrders[EffectiveQty]&gt;0)*T_PlannedOrders[Order_Month])),"m月")&amp;"発注)")</f>
        <v/>
      </c>
      <c r="DC969">
        <f>IF(SUMIFS(T_PlannedOrders[EffectiveQty],T_PlannedOrders[Part Name],$A959,T_PlannedOrders[WeekIndex],104)=0,"",SUMIFS(T_PlannedOrders[EffectiveQty],T_PlannedOrders[Part Name],$A959,T_PlannedOrders[WeekIndex],104)&amp;" ("&amp;TEXT(SUMPRODUCT(MAX((T_PlannedOrders[Part Name]=$A959)*(T_PlannedOrders[WeekIndex]=104)*(T_PlannedOrders[EffectiveQty]&gt;0)*T_PlannedOrders[Order_Month])),"m月")&amp;"発注)")</f>
        <v/>
      </c>
    </row>
    <row r="970">
      <c r="B970" s="4" t="inlineStr">
        <is>
          <t>合計在庫(週末時点,kg)</t>
        </is>
      </c>
      <c r="D970">
        <f>'Grid_Stock'!B23</f>
        <v/>
      </c>
      <c r="E970">
        <f>'Grid_Stock'!C23</f>
        <v/>
      </c>
      <c r="F970">
        <f>'Grid_Stock'!D23</f>
        <v/>
      </c>
      <c r="G970">
        <f>'Grid_Stock'!E23</f>
        <v/>
      </c>
      <c r="H970">
        <f>'Grid_Stock'!F23</f>
        <v/>
      </c>
      <c r="I970">
        <f>'Grid_Stock'!G23</f>
        <v/>
      </c>
      <c r="J970">
        <f>'Grid_Stock'!H23</f>
        <v/>
      </c>
      <c r="K970">
        <f>'Grid_Stock'!I23</f>
        <v/>
      </c>
      <c r="L970">
        <f>'Grid_Stock'!J23</f>
        <v/>
      </c>
      <c r="M970">
        <f>'Grid_Stock'!K23</f>
        <v/>
      </c>
      <c r="N970">
        <f>'Grid_Stock'!L23</f>
        <v/>
      </c>
      <c r="O970">
        <f>'Grid_Stock'!M23</f>
        <v/>
      </c>
      <c r="P970">
        <f>'Grid_Stock'!N23</f>
        <v/>
      </c>
      <c r="Q970">
        <f>'Grid_Stock'!O23</f>
        <v/>
      </c>
      <c r="R970">
        <f>'Grid_Stock'!P23</f>
        <v/>
      </c>
      <c r="S970">
        <f>'Grid_Stock'!Q23</f>
        <v/>
      </c>
      <c r="T970">
        <f>'Grid_Stock'!R23</f>
        <v/>
      </c>
      <c r="U970">
        <f>'Grid_Stock'!S23</f>
        <v/>
      </c>
      <c r="V970">
        <f>'Grid_Stock'!T23</f>
        <v/>
      </c>
      <c r="W970">
        <f>'Grid_Stock'!U23</f>
        <v/>
      </c>
      <c r="X970">
        <f>'Grid_Stock'!V23</f>
        <v/>
      </c>
      <c r="Y970">
        <f>'Grid_Stock'!W23</f>
        <v/>
      </c>
      <c r="Z970">
        <f>'Grid_Stock'!X23</f>
        <v/>
      </c>
      <c r="AA970">
        <f>'Grid_Stock'!Y23</f>
        <v/>
      </c>
      <c r="AB970">
        <f>'Grid_Stock'!Z23</f>
        <v/>
      </c>
      <c r="AC970">
        <f>'Grid_Stock'!AA23</f>
        <v/>
      </c>
      <c r="AD970">
        <f>'Grid_Stock'!AB23</f>
        <v/>
      </c>
      <c r="AE970">
        <f>'Grid_Stock'!AC23</f>
        <v/>
      </c>
      <c r="AF970">
        <f>'Grid_Stock'!AD23</f>
        <v/>
      </c>
      <c r="AG970">
        <f>'Grid_Stock'!AE23</f>
        <v/>
      </c>
      <c r="AH970">
        <f>'Grid_Stock'!AF23</f>
        <v/>
      </c>
      <c r="AI970">
        <f>'Grid_Stock'!AG23</f>
        <v/>
      </c>
      <c r="AJ970">
        <f>'Grid_Stock'!AH23</f>
        <v/>
      </c>
      <c r="AK970">
        <f>'Grid_Stock'!AI23</f>
        <v/>
      </c>
      <c r="AL970">
        <f>'Grid_Stock'!AJ23</f>
        <v/>
      </c>
      <c r="AM970">
        <f>'Grid_Stock'!AK23</f>
        <v/>
      </c>
      <c r="AN970">
        <f>'Grid_Stock'!AL23</f>
        <v/>
      </c>
      <c r="AO970">
        <f>'Grid_Stock'!AM23</f>
        <v/>
      </c>
      <c r="AP970">
        <f>'Grid_Stock'!AN23</f>
        <v/>
      </c>
      <c r="AQ970">
        <f>'Grid_Stock'!AO23</f>
        <v/>
      </c>
      <c r="AR970">
        <f>'Grid_Stock'!AP23</f>
        <v/>
      </c>
      <c r="AS970">
        <f>'Grid_Stock'!AQ23</f>
        <v/>
      </c>
      <c r="AT970">
        <f>'Grid_Stock'!AR23</f>
        <v/>
      </c>
      <c r="AU970">
        <f>'Grid_Stock'!AS23</f>
        <v/>
      </c>
      <c r="AV970">
        <f>'Grid_Stock'!AT23</f>
        <v/>
      </c>
      <c r="AW970">
        <f>'Grid_Stock'!AU23</f>
        <v/>
      </c>
      <c r="AX970">
        <f>'Grid_Stock'!AV23</f>
        <v/>
      </c>
      <c r="AY970">
        <f>'Grid_Stock'!AW23</f>
        <v/>
      </c>
      <c r="AZ970">
        <f>'Grid_Stock'!AX23</f>
        <v/>
      </c>
      <c r="BA970">
        <f>'Grid_Stock'!AY23</f>
        <v/>
      </c>
      <c r="BB970">
        <f>'Grid_Stock'!AZ23</f>
        <v/>
      </c>
      <c r="BC970">
        <f>'Grid_Stock'!BA23</f>
        <v/>
      </c>
      <c r="BD970">
        <f>'Grid_Stock'!BB23</f>
        <v/>
      </c>
      <c r="BE970">
        <f>'Grid_Stock'!BC23</f>
        <v/>
      </c>
      <c r="BF970">
        <f>'Grid_Stock'!BD23</f>
        <v/>
      </c>
      <c r="BG970">
        <f>'Grid_Stock'!BE23</f>
        <v/>
      </c>
      <c r="BH970">
        <f>'Grid_Stock'!BF23</f>
        <v/>
      </c>
      <c r="BI970">
        <f>'Grid_Stock'!BG23</f>
        <v/>
      </c>
      <c r="BJ970">
        <f>'Grid_Stock'!BH23</f>
        <v/>
      </c>
      <c r="BK970">
        <f>'Grid_Stock'!BI23</f>
        <v/>
      </c>
      <c r="BL970">
        <f>'Grid_Stock'!BJ23</f>
        <v/>
      </c>
      <c r="BM970">
        <f>'Grid_Stock'!BK23</f>
        <v/>
      </c>
      <c r="BN970">
        <f>'Grid_Stock'!BL23</f>
        <v/>
      </c>
      <c r="BO970">
        <f>'Grid_Stock'!BM23</f>
        <v/>
      </c>
      <c r="BP970">
        <f>'Grid_Stock'!BN23</f>
        <v/>
      </c>
      <c r="BQ970">
        <f>'Grid_Stock'!BO23</f>
        <v/>
      </c>
      <c r="BR970">
        <f>'Grid_Stock'!BP23</f>
        <v/>
      </c>
      <c r="BS970">
        <f>'Grid_Stock'!BQ23</f>
        <v/>
      </c>
      <c r="BT970">
        <f>'Grid_Stock'!BR23</f>
        <v/>
      </c>
      <c r="BU970">
        <f>'Grid_Stock'!BS23</f>
        <v/>
      </c>
      <c r="BV970">
        <f>'Grid_Stock'!BT23</f>
        <v/>
      </c>
      <c r="BW970">
        <f>'Grid_Stock'!BU23</f>
        <v/>
      </c>
      <c r="BX970">
        <f>'Grid_Stock'!BV23</f>
        <v/>
      </c>
      <c r="BY970">
        <f>'Grid_Stock'!BW23</f>
        <v/>
      </c>
      <c r="BZ970">
        <f>'Grid_Stock'!BX23</f>
        <v/>
      </c>
      <c r="CA970">
        <f>'Grid_Stock'!BY23</f>
        <v/>
      </c>
      <c r="CB970">
        <f>'Grid_Stock'!BZ23</f>
        <v/>
      </c>
      <c r="CC970">
        <f>'Grid_Stock'!CA23</f>
        <v/>
      </c>
      <c r="CD970">
        <f>'Grid_Stock'!CB23</f>
        <v/>
      </c>
      <c r="CE970">
        <f>'Grid_Stock'!CC23</f>
        <v/>
      </c>
      <c r="CF970">
        <f>'Grid_Stock'!CD23</f>
        <v/>
      </c>
      <c r="CG970">
        <f>'Grid_Stock'!CE23</f>
        <v/>
      </c>
      <c r="CH970">
        <f>'Grid_Stock'!CF23</f>
        <v/>
      </c>
      <c r="CI970">
        <f>'Grid_Stock'!CG23</f>
        <v/>
      </c>
      <c r="CJ970">
        <f>'Grid_Stock'!CH23</f>
        <v/>
      </c>
      <c r="CK970">
        <f>'Grid_Stock'!CI23</f>
        <v/>
      </c>
      <c r="CL970">
        <f>'Grid_Stock'!CJ23</f>
        <v/>
      </c>
      <c r="CM970">
        <f>'Grid_Stock'!CK23</f>
        <v/>
      </c>
      <c r="CN970">
        <f>'Grid_Stock'!CL23</f>
        <v/>
      </c>
      <c r="CO970">
        <f>'Grid_Stock'!CM23</f>
        <v/>
      </c>
      <c r="CP970">
        <f>'Grid_Stock'!CN23</f>
        <v/>
      </c>
      <c r="CQ970">
        <f>'Grid_Stock'!CO23</f>
        <v/>
      </c>
      <c r="CR970">
        <f>'Grid_Stock'!CP23</f>
        <v/>
      </c>
      <c r="CS970">
        <f>'Grid_Stock'!CQ23</f>
        <v/>
      </c>
      <c r="CT970">
        <f>'Grid_Stock'!CR23</f>
        <v/>
      </c>
      <c r="CU970">
        <f>'Grid_Stock'!CS23</f>
        <v/>
      </c>
      <c r="CV970">
        <f>'Grid_Stock'!CT23</f>
        <v/>
      </c>
      <c r="CW970">
        <f>'Grid_Stock'!CU23</f>
        <v/>
      </c>
      <c r="CX970">
        <f>'Grid_Stock'!CV23</f>
        <v/>
      </c>
      <c r="CY970">
        <f>'Grid_Stock'!CW23</f>
        <v/>
      </c>
      <c r="CZ970">
        <f>'Grid_Stock'!CX23</f>
        <v/>
      </c>
      <c r="DA970">
        <f>'Grid_Stock'!CY23</f>
        <v/>
      </c>
      <c r="DB970">
        <f>'Grid_Stock'!CZ23</f>
        <v/>
      </c>
      <c r="DC970">
        <f>'Grid_Stock'!DA23</f>
        <v/>
      </c>
    </row>
    <row r="971">
      <c r="B971" s="16" t="inlineStr">
        <is>
          <t>（発注の目安はDashboardの基準在庫[下限/上限]と色分けを参照）</t>
        </is>
      </c>
    </row>
    <row r="973">
      <c r="A973" s="14" t="inlineStr">
        <is>
          <t>CHEM-1680</t>
        </is>
      </c>
      <c r="B973" s="14" t="inlineStr">
        <is>
          <t>NAT38</t>
        </is>
      </c>
      <c r="C973" s="15" t="n"/>
      <c r="D973" s="14" t="n"/>
      <c r="E973" s="14" t="n"/>
      <c r="F973" s="14" t="n"/>
      <c r="G973" s="14" t="n"/>
      <c r="H973" s="14" t="n"/>
      <c r="I973" s="14" t="n"/>
      <c r="J973" s="14" t="n"/>
      <c r="K973" s="14" t="n"/>
      <c r="L973" s="14" t="n"/>
      <c r="M973" s="14" t="n"/>
      <c r="N973" s="14" t="n"/>
      <c r="O973" s="14" t="n"/>
      <c r="P973" s="14" t="n"/>
      <c r="Q973" s="14" t="n"/>
      <c r="R973" s="14" t="n"/>
      <c r="S973" s="14" t="n"/>
      <c r="T973" s="14" t="n"/>
      <c r="U973" s="14" t="n"/>
      <c r="V973" s="14" t="n"/>
      <c r="W973" s="14" t="n"/>
      <c r="X973" s="14" t="n"/>
      <c r="Y973" s="14" t="n"/>
      <c r="Z973" s="14" t="n"/>
      <c r="AA973" s="14" t="n"/>
      <c r="AB973" s="14" t="n"/>
      <c r="AC973" s="14" t="n"/>
      <c r="AD973" s="14" t="n"/>
      <c r="AE973" s="14" t="n"/>
      <c r="AF973" s="14" t="n"/>
      <c r="AG973" s="14" t="n"/>
      <c r="AH973" s="14" t="n"/>
      <c r="AI973" s="14" t="n"/>
      <c r="AJ973" s="14" t="n"/>
      <c r="AK973" s="14" t="n"/>
      <c r="AL973" s="14" t="n"/>
      <c r="AM973" s="14" t="n"/>
      <c r="AN973" s="14" t="n"/>
      <c r="AO973" s="14" t="n"/>
      <c r="AP973" s="14" t="n"/>
      <c r="AQ973" s="14" t="n"/>
      <c r="AR973" s="14" t="n"/>
      <c r="AS973" s="14" t="n"/>
      <c r="AT973" s="14" t="n"/>
      <c r="AU973" s="14" t="n"/>
      <c r="AV973" s="14" t="n"/>
      <c r="AW973" s="14" t="n"/>
      <c r="AX973" s="14" t="n"/>
      <c r="AY973" s="14" t="n"/>
      <c r="AZ973" s="14" t="n"/>
      <c r="BA973" s="14" t="n"/>
      <c r="BB973" s="14" t="n"/>
      <c r="BC973" s="14" t="n"/>
      <c r="BD973" s="14" t="n"/>
      <c r="BE973" s="14" t="n"/>
      <c r="BF973" s="14" t="n"/>
      <c r="BG973" s="14" t="n"/>
      <c r="BH973" s="14" t="n"/>
      <c r="BI973" s="14" t="n"/>
      <c r="BJ973" s="14" t="n"/>
      <c r="BK973" s="14" t="n"/>
      <c r="BL973" s="14" t="n"/>
      <c r="BM973" s="14" t="n"/>
      <c r="BN973" s="14" t="n"/>
      <c r="BO973" s="14" t="n"/>
      <c r="BP973" s="14" t="n"/>
      <c r="BQ973" s="14" t="n"/>
      <c r="BR973" s="14" t="n"/>
      <c r="BS973" s="14" t="n"/>
      <c r="BT973" s="14" t="n"/>
      <c r="BU973" s="14" t="n"/>
      <c r="BV973" s="14" t="n"/>
      <c r="BW973" s="14" t="n"/>
      <c r="BX973" s="14" t="n"/>
      <c r="BY973" s="14" t="n"/>
      <c r="BZ973" s="14" t="n"/>
      <c r="CA973" s="14" t="n"/>
      <c r="CB973" s="14" t="n"/>
      <c r="CC973" s="14" t="n"/>
      <c r="CD973" s="14" t="n"/>
      <c r="CE973" s="14" t="n"/>
      <c r="CF973" s="14" t="n"/>
      <c r="CG973" s="14" t="n"/>
      <c r="CH973" s="14" t="n"/>
      <c r="CI973" s="14" t="n"/>
      <c r="CJ973" s="14" t="n"/>
      <c r="CK973" s="14" t="n"/>
      <c r="CL973" s="14" t="n"/>
      <c r="CM973" s="14" t="n"/>
      <c r="CN973" s="14" t="n"/>
      <c r="CO973" s="14" t="n"/>
      <c r="CP973" s="14" t="n"/>
      <c r="CQ973" s="14" t="n"/>
      <c r="CR973" s="14" t="n"/>
      <c r="CS973" s="14" t="n"/>
      <c r="CT973" s="14" t="n"/>
      <c r="CU973" s="14" t="n"/>
      <c r="CV973" s="14" t="n"/>
      <c r="CW973" s="14" t="n"/>
      <c r="CX973" s="14" t="n"/>
      <c r="CY973" s="14" t="n"/>
      <c r="CZ973" s="14" t="n"/>
      <c r="DA973" s="14" t="n"/>
      <c r="DB973" s="14" t="n"/>
      <c r="DC973" s="14" t="n"/>
    </row>
    <row r="974">
      <c r="B974" t="inlineStr">
        <is>
          <t>TPP-611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Name],$A973)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t="inlineStr">
        <is>
          <t>TPP-613</t>
        </is>
      </c>
      <c r="C976" t="inlineStr">
        <is>
          <t>No. of batches</t>
        </is>
      </c>
      <c r="D976">
        <f>IFERROR(INDEX(PP_Grid[#Data],$DD976,2),0)</f>
        <v/>
      </c>
      <c r="E976">
        <f>IFERROR(INDEX(PP_Grid[#Data],$DD976,3),0)</f>
        <v/>
      </c>
      <c r="F976">
        <f>IFERROR(INDEX(PP_Grid[#Data],$DD976,4),0)</f>
        <v/>
      </c>
      <c r="G976">
        <f>IFERROR(INDEX(PP_Grid[#Data],$DD976,5),0)</f>
        <v/>
      </c>
      <c r="H976">
        <f>IFERROR(INDEX(PP_Grid[#Data],$DD976,6),0)</f>
        <v/>
      </c>
      <c r="I976">
        <f>IFERROR(INDEX(PP_Grid[#Data],$DD976,7),0)</f>
        <v/>
      </c>
      <c r="J976">
        <f>IFERROR(INDEX(PP_Grid[#Data],$DD976,8),0)</f>
        <v/>
      </c>
      <c r="K976">
        <f>IFERROR(INDEX(PP_Grid[#Data],$DD976,9),0)</f>
        <v/>
      </c>
      <c r="L976">
        <f>IFERROR(INDEX(PP_Grid[#Data],$DD976,10),0)</f>
        <v/>
      </c>
      <c r="M976">
        <f>IFERROR(INDEX(PP_Grid[#Data],$DD976,11),0)</f>
        <v/>
      </c>
      <c r="N976">
        <f>IFERROR(INDEX(PP_Grid[#Data],$DD976,12),0)</f>
        <v/>
      </c>
      <c r="O976">
        <f>IFERROR(INDEX(PP_Grid[#Data],$DD976,13),0)</f>
        <v/>
      </c>
      <c r="P976">
        <f>IFERROR(INDEX(PP_Grid[#Data],$DD976,14),0)</f>
        <v/>
      </c>
      <c r="Q976">
        <f>IFERROR(INDEX(PP_Grid[#Data],$DD976,15),0)</f>
        <v/>
      </c>
      <c r="R976">
        <f>IFERROR(INDEX(PP_Grid[#Data],$DD976,16),0)</f>
        <v/>
      </c>
      <c r="S976">
        <f>IFERROR(INDEX(PP_Grid[#Data],$DD976,17),0)</f>
        <v/>
      </c>
      <c r="T976">
        <f>IFERROR(INDEX(PP_Grid[#Data],$DD976,18),0)</f>
        <v/>
      </c>
      <c r="U976">
        <f>IFERROR(INDEX(PP_Grid[#Data],$DD976,19),0)</f>
        <v/>
      </c>
      <c r="V976">
        <f>IFERROR(INDEX(PP_Grid[#Data],$DD976,20),0)</f>
        <v/>
      </c>
      <c r="W976">
        <f>IFERROR(INDEX(PP_Grid[#Data],$DD976,21),0)</f>
        <v/>
      </c>
      <c r="X976">
        <f>IFERROR(INDEX(PP_Grid[#Data],$DD976,22),0)</f>
        <v/>
      </c>
      <c r="Y976">
        <f>IFERROR(INDEX(PP_Grid[#Data],$DD976,23),0)</f>
        <v/>
      </c>
      <c r="Z976">
        <f>IFERROR(INDEX(PP_Grid[#Data],$DD976,24),0)</f>
        <v/>
      </c>
      <c r="AA976">
        <f>IFERROR(INDEX(PP_Grid[#Data],$DD976,25),0)</f>
        <v/>
      </c>
      <c r="AB976">
        <f>IFERROR(INDEX(PP_Grid[#Data],$DD976,26),0)</f>
        <v/>
      </c>
      <c r="AC976">
        <f>IFERROR(INDEX(PP_Grid[#Data],$DD976,27),0)</f>
        <v/>
      </c>
      <c r="AD976">
        <f>IFERROR(INDEX(PP_Grid[#Data],$DD976,28),0)</f>
        <v/>
      </c>
      <c r="AE976">
        <f>IFERROR(INDEX(PP_Grid[#Data],$DD976,29),0)</f>
        <v/>
      </c>
      <c r="AF976">
        <f>IFERROR(INDEX(PP_Grid[#Data],$DD976,30),0)</f>
        <v/>
      </c>
      <c r="AG976">
        <f>IFERROR(INDEX(PP_Grid[#Data],$DD976,31),0)</f>
        <v/>
      </c>
      <c r="AH976">
        <f>IFERROR(INDEX(PP_Grid[#Data],$DD976,32),0)</f>
        <v/>
      </c>
      <c r="AI976">
        <f>IFERROR(INDEX(PP_Grid[#Data],$DD976,33),0)</f>
        <v/>
      </c>
      <c r="AJ976">
        <f>IFERROR(INDEX(PP_Grid[#Data],$DD976,34),0)</f>
        <v/>
      </c>
      <c r="AK976">
        <f>IFERROR(INDEX(PP_Grid[#Data],$DD976,35),0)</f>
        <v/>
      </c>
      <c r="AL976">
        <f>IFERROR(INDEX(PP_Grid[#Data],$DD976,36),0)</f>
        <v/>
      </c>
      <c r="AM976">
        <f>IFERROR(INDEX(PP_Grid[#Data],$DD976,37),0)</f>
        <v/>
      </c>
      <c r="AN976">
        <f>IFERROR(INDEX(PP_Grid[#Data],$DD976,38),0)</f>
        <v/>
      </c>
      <c r="AO976">
        <f>IFERROR(INDEX(PP_Grid[#Data],$DD976,39),0)</f>
        <v/>
      </c>
      <c r="AP976">
        <f>IFERROR(INDEX(PP_Grid[#Data],$DD976,40),0)</f>
        <v/>
      </c>
      <c r="AQ976">
        <f>IFERROR(INDEX(PP_Grid[#Data],$DD976,41),0)</f>
        <v/>
      </c>
      <c r="AR976">
        <f>IFERROR(INDEX(PP_Grid[#Data],$DD976,42),0)</f>
        <v/>
      </c>
      <c r="AS976">
        <f>IFERROR(INDEX(PP_Grid[#Data],$DD976,43),0)</f>
        <v/>
      </c>
      <c r="AT976">
        <f>IFERROR(INDEX(PP_Grid[#Data],$DD976,44),0)</f>
        <v/>
      </c>
      <c r="AU976">
        <f>IFERROR(INDEX(PP_Grid[#Data],$DD976,45),0)</f>
        <v/>
      </c>
      <c r="AV976">
        <f>IFERROR(INDEX(PP_Grid[#Data],$DD976,46),0)</f>
        <v/>
      </c>
      <c r="AW976">
        <f>IFERROR(INDEX(PP_Grid[#Data],$DD976,47),0)</f>
        <v/>
      </c>
      <c r="AX976">
        <f>IFERROR(INDEX(PP_Grid[#Data],$DD976,48),0)</f>
        <v/>
      </c>
      <c r="AY976">
        <f>IFERROR(INDEX(PP_Grid[#Data],$DD976,49),0)</f>
        <v/>
      </c>
      <c r="AZ976">
        <f>IFERROR(INDEX(PP_Grid[#Data],$DD976,50),0)</f>
        <v/>
      </c>
      <c r="BA976">
        <f>IFERROR(INDEX(PP_Grid[#Data],$DD976,51),0)</f>
        <v/>
      </c>
      <c r="BB976">
        <f>IFERROR(INDEX(PP_Grid[#Data],$DD976,52),0)</f>
        <v/>
      </c>
      <c r="BC976">
        <f>IFERROR(INDEX(PP_Grid[#Data],$DD976,53),0)</f>
        <v/>
      </c>
      <c r="BD976">
        <f>IFERROR(INDEX(PP_Grid[#Data],$DD976,54),0)</f>
        <v/>
      </c>
      <c r="BE976">
        <f>IFERROR(INDEX(PP_Grid[#Data],$DD976,55),0)</f>
        <v/>
      </c>
      <c r="BF976">
        <f>IFERROR(INDEX(PP_Grid[#Data],$DD976,56),0)</f>
        <v/>
      </c>
      <c r="BG976">
        <f>IFERROR(INDEX(PP_Grid[#Data],$DD976,57),0)</f>
        <v/>
      </c>
      <c r="BH976">
        <f>IFERROR(INDEX(PP_Grid[#Data],$DD976,58),0)</f>
        <v/>
      </c>
      <c r="BI976">
        <f>IFERROR(INDEX(PP_Grid[#Data],$DD976,59),0)</f>
        <v/>
      </c>
      <c r="BJ976">
        <f>IFERROR(INDEX(PP_Grid[#Data],$DD976,60),0)</f>
        <v/>
      </c>
      <c r="BK976">
        <f>IFERROR(INDEX(PP_Grid[#Data],$DD976,61),0)</f>
        <v/>
      </c>
      <c r="BL976">
        <f>IFERROR(INDEX(PP_Grid[#Data],$DD976,62),0)</f>
        <v/>
      </c>
      <c r="BM976">
        <f>IFERROR(INDEX(PP_Grid[#Data],$DD976,63),0)</f>
        <v/>
      </c>
      <c r="BN976">
        <f>IFERROR(INDEX(PP_Grid[#Data],$DD976,64),0)</f>
        <v/>
      </c>
      <c r="BO976">
        <f>IFERROR(INDEX(PP_Grid[#Data],$DD976,65),0)</f>
        <v/>
      </c>
      <c r="BP976">
        <f>IFERROR(INDEX(PP_Grid[#Data],$DD976,66),0)</f>
        <v/>
      </c>
      <c r="BQ976">
        <f>IFERROR(INDEX(PP_Grid[#Data],$DD976,67),0)</f>
        <v/>
      </c>
      <c r="BR976">
        <f>IFERROR(INDEX(PP_Grid[#Data],$DD976,68),0)</f>
        <v/>
      </c>
      <c r="BS976">
        <f>IFERROR(INDEX(PP_Grid[#Data],$DD976,69),0)</f>
        <v/>
      </c>
      <c r="BT976">
        <f>IFERROR(INDEX(PP_Grid[#Data],$DD976,70),0)</f>
        <v/>
      </c>
      <c r="BU976">
        <f>IFERROR(INDEX(PP_Grid[#Data],$DD976,71),0)</f>
        <v/>
      </c>
      <c r="BV976">
        <f>IFERROR(INDEX(PP_Grid[#Data],$DD976,72),0)</f>
        <v/>
      </c>
      <c r="BW976">
        <f>IFERROR(INDEX(PP_Grid[#Data],$DD976,73),0)</f>
        <v/>
      </c>
      <c r="BX976">
        <f>IFERROR(INDEX(PP_Grid[#Data],$DD976,74),0)</f>
        <v/>
      </c>
      <c r="BY976">
        <f>IFERROR(INDEX(PP_Grid[#Data],$DD976,75),0)</f>
        <v/>
      </c>
      <c r="BZ976">
        <f>IFERROR(INDEX(PP_Grid[#Data],$DD976,76),0)</f>
        <v/>
      </c>
      <c r="CA976">
        <f>IFERROR(INDEX(PP_Grid[#Data],$DD976,77),0)</f>
        <v/>
      </c>
      <c r="CB976">
        <f>IFERROR(INDEX(PP_Grid[#Data],$DD976,78),0)</f>
        <v/>
      </c>
      <c r="CC976">
        <f>IFERROR(INDEX(PP_Grid[#Data],$DD976,79),0)</f>
        <v/>
      </c>
      <c r="CD976">
        <f>IFERROR(INDEX(PP_Grid[#Data],$DD976,80),0)</f>
        <v/>
      </c>
      <c r="CE976">
        <f>IFERROR(INDEX(PP_Grid[#Data],$DD976,81),0)</f>
        <v/>
      </c>
      <c r="CF976">
        <f>IFERROR(INDEX(PP_Grid[#Data],$DD976,82),0)</f>
        <v/>
      </c>
      <c r="CG976">
        <f>IFERROR(INDEX(PP_Grid[#Data],$DD976,83),0)</f>
        <v/>
      </c>
      <c r="CH976">
        <f>IFERROR(INDEX(PP_Grid[#Data],$DD976,84),0)</f>
        <v/>
      </c>
      <c r="CI976">
        <f>IFERROR(INDEX(PP_Grid[#Data],$DD976,85),0)</f>
        <v/>
      </c>
      <c r="CJ976">
        <f>IFERROR(INDEX(PP_Grid[#Data],$DD976,86),0)</f>
        <v/>
      </c>
      <c r="CK976">
        <f>IFERROR(INDEX(PP_Grid[#Data],$DD976,87),0)</f>
        <v/>
      </c>
      <c r="CL976">
        <f>IFERROR(INDEX(PP_Grid[#Data],$DD976,88),0)</f>
        <v/>
      </c>
      <c r="CM976">
        <f>IFERROR(INDEX(PP_Grid[#Data],$DD976,89),0)</f>
        <v/>
      </c>
      <c r="CN976">
        <f>IFERROR(INDEX(PP_Grid[#Data],$DD976,90),0)</f>
        <v/>
      </c>
      <c r="CO976">
        <f>IFERROR(INDEX(PP_Grid[#Data],$DD976,91),0)</f>
        <v/>
      </c>
      <c r="CP976">
        <f>IFERROR(INDEX(PP_Grid[#Data],$DD976,92),0)</f>
        <v/>
      </c>
      <c r="CQ976">
        <f>IFERROR(INDEX(PP_Grid[#Data],$DD976,93),0)</f>
        <v/>
      </c>
      <c r="CR976">
        <f>IFERROR(INDEX(PP_Grid[#Data],$DD976,94),0)</f>
        <v/>
      </c>
      <c r="CS976">
        <f>IFERROR(INDEX(PP_Grid[#Data],$DD976,95),0)</f>
        <v/>
      </c>
      <c r="CT976">
        <f>IFERROR(INDEX(PP_Grid[#Data],$DD976,96),0)</f>
        <v/>
      </c>
      <c r="CU976">
        <f>IFERROR(INDEX(PP_Grid[#Data],$DD976,97),0)</f>
        <v/>
      </c>
      <c r="CV976">
        <f>IFERROR(INDEX(PP_Grid[#Data],$DD976,98),0)</f>
        <v/>
      </c>
      <c r="CW976">
        <f>IFERROR(INDEX(PP_Grid[#Data],$DD976,99),0)</f>
        <v/>
      </c>
      <c r="CX976">
        <f>IFERROR(INDEX(PP_Grid[#Data],$DD976,100),0)</f>
        <v/>
      </c>
      <c r="CY976">
        <f>IFERROR(INDEX(PP_Grid[#Data],$DD976,101),0)</f>
        <v/>
      </c>
      <c r="CZ976">
        <f>IFERROR(INDEX(PP_Grid[#Data],$DD976,102),0)</f>
        <v/>
      </c>
      <c r="DA976">
        <f>IFERROR(INDEX(PP_Grid[#Data],$DD976,103),0)</f>
        <v/>
      </c>
      <c r="DB976">
        <f>IFERROR(INDEX(PP_Grid[#Data],$DD976,104),0)</f>
        <v/>
      </c>
      <c r="DC976">
        <f>IFERROR(INDEX(PP_Grid[#Data],$DD976,105),0)</f>
        <v/>
      </c>
      <c r="DD976" s="7">
        <f>IFERROR(MATCH($B976,PP_Grid[Intermediate],0),99999)</f>
        <v/>
      </c>
    </row>
    <row r="977">
      <c r="B977" t="inlineStr">
        <is>
          <t>使用量(kg)</t>
        </is>
      </c>
      <c r="C977">
        <f>SUMIFS(M_BOM[RM_Qty_Per_Batch],M_BOM[Intermediate],$B976,M_BOM[Part Name],$A973)</f>
        <v/>
      </c>
      <c r="D977">
        <f>$C977*D976</f>
        <v/>
      </c>
      <c r="E977">
        <f>$C977*E976</f>
        <v/>
      </c>
      <c r="F977">
        <f>$C977*F976</f>
        <v/>
      </c>
      <c r="G977">
        <f>$C977*G976</f>
        <v/>
      </c>
      <c r="H977">
        <f>$C977*H976</f>
        <v/>
      </c>
      <c r="I977">
        <f>$C977*I976</f>
        <v/>
      </c>
      <c r="J977">
        <f>$C977*J976</f>
        <v/>
      </c>
      <c r="K977">
        <f>$C977*K976</f>
        <v/>
      </c>
      <c r="L977">
        <f>$C977*L976</f>
        <v/>
      </c>
      <c r="M977">
        <f>$C977*M976</f>
        <v/>
      </c>
      <c r="N977">
        <f>$C977*N976</f>
        <v/>
      </c>
      <c r="O977">
        <f>$C977*O976</f>
        <v/>
      </c>
      <c r="P977">
        <f>$C977*P976</f>
        <v/>
      </c>
      <c r="Q977">
        <f>$C977*Q976</f>
        <v/>
      </c>
      <c r="R977">
        <f>$C977*R976</f>
        <v/>
      </c>
      <c r="S977">
        <f>$C977*S976</f>
        <v/>
      </c>
      <c r="T977">
        <f>$C977*T976</f>
        <v/>
      </c>
      <c r="U977">
        <f>$C977*U976</f>
        <v/>
      </c>
      <c r="V977">
        <f>$C977*V976</f>
        <v/>
      </c>
      <c r="W977">
        <f>$C977*W976</f>
        <v/>
      </c>
      <c r="X977">
        <f>$C977*X976</f>
        <v/>
      </c>
      <c r="Y977">
        <f>$C977*Y976</f>
        <v/>
      </c>
      <c r="Z977">
        <f>$C977*Z976</f>
        <v/>
      </c>
      <c r="AA977">
        <f>$C977*AA976</f>
        <v/>
      </c>
      <c r="AB977">
        <f>$C977*AB976</f>
        <v/>
      </c>
      <c r="AC977">
        <f>$C977*AC976</f>
        <v/>
      </c>
      <c r="AD977">
        <f>$C977*AD976</f>
        <v/>
      </c>
      <c r="AE977">
        <f>$C977*AE976</f>
        <v/>
      </c>
      <c r="AF977">
        <f>$C977*AF976</f>
        <v/>
      </c>
      <c r="AG977">
        <f>$C977*AG976</f>
        <v/>
      </c>
      <c r="AH977">
        <f>$C977*AH976</f>
        <v/>
      </c>
      <c r="AI977">
        <f>$C977*AI976</f>
        <v/>
      </c>
      <c r="AJ977">
        <f>$C977*AJ976</f>
        <v/>
      </c>
      <c r="AK977">
        <f>$C977*AK976</f>
        <v/>
      </c>
      <c r="AL977">
        <f>$C977*AL976</f>
        <v/>
      </c>
      <c r="AM977">
        <f>$C977*AM976</f>
        <v/>
      </c>
      <c r="AN977">
        <f>$C977*AN976</f>
        <v/>
      </c>
      <c r="AO977">
        <f>$C977*AO976</f>
        <v/>
      </c>
      <c r="AP977">
        <f>$C977*AP976</f>
        <v/>
      </c>
      <c r="AQ977">
        <f>$C977*AQ976</f>
        <v/>
      </c>
      <c r="AR977">
        <f>$C977*AR976</f>
        <v/>
      </c>
      <c r="AS977">
        <f>$C977*AS976</f>
        <v/>
      </c>
      <c r="AT977">
        <f>$C977*AT976</f>
        <v/>
      </c>
      <c r="AU977">
        <f>$C977*AU976</f>
        <v/>
      </c>
      <c r="AV977">
        <f>$C977*AV976</f>
        <v/>
      </c>
      <c r="AW977">
        <f>$C977*AW976</f>
        <v/>
      </c>
      <c r="AX977">
        <f>$C977*AX976</f>
        <v/>
      </c>
      <c r="AY977">
        <f>$C977*AY976</f>
        <v/>
      </c>
      <c r="AZ977">
        <f>$C977*AZ976</f>
        <v/>
      </c>
      <c r="BA977">
        <f>$C977*BA976</f>
        <v/>
      </c>
      <c r="BB977">
        <f>$C977*BB976</f>
        <v/>
      </c>
      <c r="BC977">
        <f>$C977*BC976</f>
        <v/>
      </c>
      <c r="BD977">
        <f>$C977*BD976</f>
        <v/>
      </c>
      <c r="BE977">
        <f>$C977*BE976</f>
        <v/>
      </c>
      <c r="BF977">
        <f>$C977*BF976</f>
        <v/>
      </c>
      <c r="BG977">
        <f>$C977*BG976</f>
        <v/>
      </c>
      <c r="BH977">
        <f>$C977*BH976</f>
        <v/>
      </c>
      <c r="BI977">
        <f>$C977*BI976</f>
        <v/>
      </c>
      <c r="BJ977">
        <f>$C977*BJ976</f>
        <v/>
      </c>
      <c r="BK977">
        <f>$C977*BK976</f>
        <v/>
      </c>
      <c r="BL977">
        <f>$C977*BL976</f>
        <v/>
      </c>
      <c r="BM977">
        <f>$C977*BM976</f>
        <v/>
      </c>
      <c r="BN977">
        <f>$C977*BN976</f>
        <v/>
      </c>
      <c r="BO977">
        <f>$C977*BO976</f>
        <v/>
      </c>
      <c r="BP977">
        <f>$C977*BP976</f>
        <v/>
      </c>
      <c r="BQ977">
        <f>$C977*BQ976</f>
        <v/>
      </c>
      <c r="BR977">
        <f>$C977*BR976</f>
        <v/>
      </c>
      <c r="BS977">
        <f>$C977*BS976</f>
        <v/>
      </c>
      <c r="BT977">
        <f>$C977*BT976</f>
        <v/>
      </c>
      <c r="BU977">
        <f>$C977*BU976</f>
        <v/>
      </c>
      <c r="BV977">
        <f>$C977*BV976</f>
        <v/>
      </c>
      <c r="BW977">
        <f>$C977*BW976</f>
        <v/>
      </c>
      <c r="BX977">
        <f>$C977*BX976</f>
        <v/>
      </c>
      <c r="BY977">
        <f>$C977*BY976</f>
        <v/>
      </c>
      <c r="BZ977">
        <f>$C977*BZ976</f>
        <v/>
      </c>
      <c r="CA977">
        <f>$C977*CA976</f>
        <v/>
      </c>
      <c r="CB977">
        <f>$C977*CB976</f>
        <v/>
      </c>
      <c r="CC977">
        <f>$C977*CC976</f>
        <v/>
      </c>
      <c r="CD977">
        <f>$C977*CD976</f>
        <v/>
      </c>
      <c r="CE977">
        <f>$C977*CE976</f>
        <v/>
      </c>
      <c r="CF977">
        <f>$C977*CF976</f>
        <v/>
      </c>
      <c r="CG977">
        <f>$C977*CG976</f>
        <v/>
      </c>
      <c r="CH977">
        <f>$C977*CH976</f>
        <v/>
      </c>
      <c r="CI977">
        <f>$C977*CI976</f>
        <v/>
      </c>
      <c r="CJ977">
        <f>$C977*CJ976</f>
        <v/>
      </c>
      <c r="CK977">
        <f>$C977*CK976</f>
        <v/>
      </c>
      <c r="CL977">
        <f>$C977*CL976</f>
        <v/>
      </c>
      <c r="CM977">
        <f>$C977*CM976</f>
        <v/>
      </c>
      <c r="CN977">
        <f>$C977*CN976</f>
        <v/>
      </c>
      <c r="CO977">
        <f>$C977*CO976</f>
        <v/>
      </c>
      <c r="CP977">
        <f>$C977*CP976</f>
        <v/>
      </c>
      <c r="CQ977">
        <f>$C977*CQ976</f>
        <v/>
      </c>
      <c r="CR977">
        <f>$C977*CR976</f>
        <v/>
      </c>
      <c r="CS977">
        <f>$C977*CS976</f>
        <v/>
      </c>
      <c r="CT977">
        <f>$C977*CT976</f>
        <v/>
      </c>
      <c r="CU977">
        <f>$C977*CU976</f>
        <v/>
      </c>
      <c r="CV977">
        <f>$C977*CV976</f>
        <v/>
      </c>
      <c r="CW977">
        <f>$C977*CW976</f>
        <v/>
      </c>
      <c r="CX977">
        <f>$C977*CX976</f>
        <v/>
      </c>
      <c r="CY977">
        <f>$C977*CY976</f>
        <v/>
      </c>
      <c r="CZ977">
        <f>$C977*CZ976</f>
        <v/>
      </c>
      <c r="DA977">
        <f>$C977*DA976</f>
        <v/>
      </c>
      <c r="DB977">
        <f>$C977*DB976</f>
        <v/>
      </c>
      <c r="DC977">
        <f>$C977*DC976</f>
        <v/>
      </c>
    </row>
    <row r="978">
      <c r="B978" t="inlineStr">
        <is>
          <t>TPP-915</t>
        </is>
      </c>
      <c r="C978" t="inlineStr">
        <is>
          <t>No. of batches</t>
        </is>
      </c>
      <c r="D978">
        <f>IFERROR(INDEX(PP_Grid[#Data],$DD978,2),0)</f>
        <v/>
      </c>
      <c r="E978">
        <f>IFERROR(INDEX(PP_Grid[#Data],$DD978,3),0)</f>
        <v/>
      </c>
      <c r="F978">
        <f>IFERROR(INDEX(PP_Grid[#Data],$DD978,4),0)</f>
        <v/>
      </c>
      <c r="G978">
        <f>IFERROR(INDEX(PP_Grid[#Data],$DD978,5),0)</f>
        <v/>
      </c>
      <c r="H978">
        <f>IFERROR(INDEX(PP_Grid[#Data],$DD978,6),0)</f>
        <v/>
      </c>
      <c r="I978">
        <f>IFERROR(INDEX(PP_Grid[#Data],$DD978,7),0)</f>
        <v/>
      </c>
      <c r="J978">
        <f>IFERROR(INDEX(PP_Grid[#Data],$DD978,8),0)</f>
        <v/>
      </c>
      <c r="K978">
        <f>IFERROR(INDEX(PP_Grid[#Data],$DD978,9),0)</f>
        <v/>
      </c>
      <c r="L978">
        <f>IFERROR(INDEX(PP_Grid[#Data],$DD978,10),0)</f>
        <v/>
      </c>
      <c r="M978">
        <f>IFERROR(INDEX(PP_Grid[#Data],$DD978,11),0)</f>
        <v/>
      </c>
      <c r="N978">
        <f>IFERROR(INDEX(PP_Grid[#Data],$DD978,12),0)</f>
        <v/>
      </c>
      <c r="O978">
        <f>IFERROR(INDEX(PP_Grid[#Data],$DD978,13),0)</f>
        <v/>
      </c>
      <c r="P978">
        <f>IFERROR(INDEX(PP_Grid[#Data],$DD978,14),0)</f>
        <v/>
      </c>
      <c r="Q978">
        <f>IFERROR(INDEX(PP_Grid[#Data],$DD978,15),0)</f>
        <v/>
      </c>
      <c r="R978">
        <f>IFERROR(INDEX(PP_Grid[#Data],$DD978,16),0)</f>
        <v/>
      </c>
      <c r="S978">
        <f>IFERROR(INDEX(PP_Grid[#Data],$DD978,17),0)</f>
        <v/>
      </c>
      <c r="T978">
        <f>IFERROR(INDEX(PP_Grid[#Data],$DD978,18),0)</f>
        <v/>
      </c>
      <c r="U978">
        <f>IFERROR(INDEX(PP_Grid[#Data],$DD978,19),0)</f>
        <v/>
      </c>
      <c r="V978">
        <f>IFERROR(INDEX(PP_Grid[#Data],$DD978,20),0)</f>
        <v/>
      </c>
      <c r="W978">
        <f>IFERROR(INDEX(PP_Grid[#Data],$DD978,21),0)</f>
        <v/>
      </c>
      <c r="X978">
        <f>IFERROR(INDEX(PP_Grid[#Data],$DD978,22),0)</f>
        <v/>
      </c>
      <c r="Y978">
        <f>IFERROR(INDEX(PP_Grid[#Data],$DD978,23),0)</f>
        <v/>
      </c>
      <c r="Z978">
        <f>IFERROR(INDEX(PP_Grid[#Data],$DD978,24),0)</f>
        <v/>
      </c>
      <c r="AA978">
        <f>IFERROR(INDEX(PP_Grid[#Data],$DD978,25),0)</f>
        <v/>
      </c>
      <c r="AB978">
        <f>IFERROR(INDEX(PP_Grid[#Data],$DD978,26),0)</f>
        <v/>
      </c>
      <c r="AC978">
        <f>IFERROR(INDEX(PP_Grid[#Data],$DD978,27),0)</f>
        <v/>
      </c>
      <c r="AD978">
        <f>IFERROR(INDEX(PP_Grid[#Data],$DD978,28),0)</f>
        <v/>
      </c>
      <c r="AE978">
        <f>IFERROR(INDEX(PP_Grid[#Data],$DD978,29),0)</f>
        <v/>
      </c>
      <c r="AF978">
        <f>IFERROR(INDEX(PP_Grid[#Data],$DD978,30),0)</f>
        <v/>
      </c>
      <c r="AG978">
        <f>IFERROR(INDEX(PP_Grid[#Data],$DD978,31),0)</f>
        <v/>
      </c>
      <c r="AH978">
        <f>IFERROR(INDEX(PP_Grid[#Data],$DD978,32),0)</f>
        <v/>
      </c>
      <c r="AI978">
        <f>IFERROR(INDEX(PP_Grid[#Data],$DD978,33),0)</f>
        <v/>
      </c>
      <c r="AJ978">
        <f>IFERROR(INDEX(PP_Grid[#Data],$DD978,34),0)</f>
        <v/>
      </c>
      <c r="AK978">
        <f>IFERROR(INDEX(PP_Grid[#Data],$DD978,35),0)</f>
        <v/>
      </c>
      <c r="AL978">
        <f>IFERROR(INDEX(PP_Grid[#Data],$DD978,36),0)</f>
        <v/>
      </c>
      <c r="AM978">
        <f>IFERROR(INDEX(PP_Grid[#Data],$DD978,37),0)</f>
        <v/>
      </c>
      <c r="AN978">
        <f>IFERROR(INDEX(PP_Grid[#Data],$DD978,38),0)</f>
        <v/>
      </c>
      <c r="AO978">
        <f>IFERROR(INDEX(PP_Grid[#Data],$DD978,39),0)</f>
        <v/>
      </c>
      <c r="AP978">
        <f>IFERROR(INDEX(PP_Grid[#Data],$DD978,40),0)</f>
        <v/>
      </c>
      <c r="AQ978">
        <f>IFERROR(INDEX(PP_Grid[#Data],$DD978,41),0)</f>
        <v/>
      </c>
      <c r="AR978">
        <f>IFERROR(INDEX(PP_Grid[#Data],$DD978,42),0)</f>
        <v/>
      </c>
      <c r="AS978">
        <f>IFERROR(INDEX(PP_Grid[#Data],$DD978,43),0)</f>
        <v/>
      </c>
      <c r="AT978">
        <f>IFERROR(INDEX(PP_Grid[#Data],$DD978,44),0)</f>
        <v/>
      </c>
      <c r="AU978">
        <f>IFERROR(INDEX(PP_Grid[#Data],$DD978,45),0)</f>
        <v/>
      </c>
      <c r="AV978">
        <f>IFERROR(INDEX(PP_Grid[#Data],$DD978,46),0)</f>
        <v/>
      </c>
      <c r="AW978">
        <f>IFERROR(INDEX(PP_Grid[#Data],$DD978,47),0)</f>
        <v/>
      </c>
      <c r="AX978">
        <f>IFERROR(INDEX(PP_Grid[#Data],$DD978,48),0)</f>
        <v/>
      </c>
      <c r="AY978">
        <f>IFERROR(INDEX(PP_Grid[#Data],$DD978,49),0)</f>
        <v/>
      </c>
      <c r="AZ978">
        <f>IFERROR(INDEX(PP_Grid[#Data],$DD978,50),0)</f>
        <v/>
      </c>
      <c r="BA978">
        <f>IFERROR(INDEX(PP_Grid[#Data],$DD978,51),0)</f>
        <v/>
      </c>
      <c r="BB978">
        <f>IFERROR(INDEX(PP_Grid[#Data],$DD978,52),0)</f>
        <v/>
      </c>
      <c r="BC978">
        <f>IFERROR(INDEX(PP_Grid[#Data],$DD978,53),0)</f>
        <v/>
      </c>
      <c r="BD978">
        <f>IFERROR(INDEX(PP_Grid[#Data],$DD978,54),0)</f>
        <v/>
      </c>
      <c r="BE978">
        <f>IFERROR(INDEX(PP_Grid[#Data],$DD978,55),0)</f>
        <v/>
      </c>
      <c r="BF978">
        <f>IFERROR(INDEX(PP_Grid[#Data],$DD978,56),0)</f>
        <v/>
      </c>
      <c r="BG978">
        <f>IFERROR(INDEX(PP_Grid[#Data],$DD978,57),0)</f>
        <v/>
      </c>
      <c r="BH978">
        <f>IFERROR(INDEX(PP_Grid[#Data],$DD978,58),0)</f>
        <v/>
      </c>
      <c r="BI978">
        <f>IFERROR(INDEX(PP_Grid[#Data],$DD978,59),0)</f>
        <v/>
      </c>
      <c r="BJ978">
        <f>IFERROR(INDEX(PP_Grid[#Data],$DD978,60),0)</f>
        <v/>
      </c>
      <c r="BK978">
        <f>IFERROR(INDEX(PP_Grid[#Data],$DD978,61),0)</f>
        <v/>
      </c>
      <c r="BL978">
        <f>IFERROR(INDEX(PP_Grid[#Data],$DD978,62),0)</f>
        <v/>
      </c>
      <c r="BM978">
        <f>IFERROR(INDEX(PP_Grid[#Data],$DD978,63),0)</f>
        <v/>
      </c>
      <c r="BN978">
        <f>IFERROR(INDEX(PP_Grid[#Data],$DD978,64),0)</f>
        <v/>
      </c>
      <c r="BO978">
        <f>IFERROR(INDEX(PP_Grid[#Data],$DD978,65),0)</f>
        <v/>
      </c>
      <c r="BP978">
        <f>IFERROR(INDEX(PP_Grid[#Data],$DD978,66),0)</f>
        <v/>
      </c>
      <c r="BQ978">
        <f>IFERROR(INDEX(PP_Grid[#Data],$DD978,67),0)</f>
        <v/>
      </c>
      <c r="BR978">
        <f>IFERROR(INDEX(PP_Grid[#Data],$DD978,68),0)</f>
        <v/>
      </c>
      <c r="BS978">
        <f>IFERROR(INDEX(PP_Grid[#Data],$DD978,69),0)</f>
        <v/>
      </c>
      <c r="BT978">
        <f>IFERROR(INDEX(PP_Grid[#Data],$DD978,70),0)</f>
        <v/>
      </c>
      <c r="BU978">
        <f>IFERROR(INDEX(PP_Grid[#Data],$DD978,71),0)</f>
        <v/>
      </c>
      <c r="BV978">
        <f>IFERROR(INDEX(PP_Grid[#Data],$DD978,72),0)</f>
        <v/>
      </c>
      <c r="BW978">
        <f>IFERROR(INDEX(PP_Grid[#Data],$DD978,73),0)</f>
        <v/>
      </c>
      <c r="BX978">
        <f>IFERROR(INDEX(PP_Grid[#Data],$DD978,74),0)</f>
        <v/>
      </c>
      <c r="BY978">
        <f>IFERROR(INDEX(PP_Grid[#Data],$DD978,75),0)</f>
        <v/>
      </c>
      <c r="BZ978">
        <f>IFERROR(INDEX(PP_Grid[#Data],$DD978,76),0)</f>
        <v/>
      </c>
      <c r="CA978">
        <f>IFERROR(INDEX(PP_Grid[#Data],$DD978,77),0)</f>
        <v/>
      </c>
      <c r="CB978">
        <f>IFERROR(INDEX(PP_Grid[#Data],$DD978,78),0)</f>
        <v/>
      </c>
      <c r="CC978">
        <f>IFERROR(INDEX(PP_Grid[#Data],$DD978,79),0)</f>
        <v/>
      </c>
      <c r="CD978">
        <f>IFERROR(INDEX(PP_Grid[#Data],$DD978,80),0)</f>
        <v/>
      </c>
      <c r="CE978">
        <f>IFERROR(INDEX(PP_Grid[#Data],$DD978,81),0)</f>
        <v/>
      </c>
      <c r="CF978">
        <f>IFERROR(INDEX(PP_Grid[#Data],$DD978,82),0)</f>
        <v/>
      </c>
      <c r="CG978">
        <f>IFERROR(INDEX(PP_Grid[#Data],$DD978,83),0)</f>
        <v/>
      </c>
      <c r="CH978">
        <f>IFERROR(INDEX(PP_Grid[#Data],$DD978,84),0)</f>
        <v/>
      </c>
      <c r="CI978">
        <f>IFERROR(INDEX(PP_Grid[#Data],$DD978,85),0)</f>
        <v/>
      </c>
      <c r="CJ978">
        <f>IFERROR(INDEX(PP_Grid[#Data],$DD978,86),0)</f>
        <v/>
      </c>
      <c r="CK978">
        <f>IFERROR(INDEX(PP_Grid[#Data],$DD978,87),0)</f>
        <v/>
      </c>
      <c r="CL978">
        <f>IFERROR(INDEX(PP_Grid[#Data],$DD978,88),0)</f>
        <v/>
      </c>
      <c r="CM978">
        <f>IFERROR(INDEX(PP_Grid[#Data],$DD978,89),0)</f>
        <v/>
      </c>
      <c r="CN978">
        <f>IFERROR(INDEX(PP_Grid[#Data],$DD978,90),0)</f>
        <v/>
      </c>
      <c r="CO978">
        <f>IFERROR(INDEX(PP_Grid[#Data],$DD978,91),0)</f>
        <v/>
      </c>
      <c r="CP978">
        <f>IFERROR(INDEX(PP_Grid[#Data],$DD978,92),0)</f>
        <v/>
      </c>
      <c r="CQ978">
        <f>IFERROR(INDEX(PP_Grid[#Data],$DD978,93),0)</f>
        <v/>
      </c>
      <c r="CR978">
        <f>IFERROR(INDEX(PP_Grid[#Data],$DD978,94),0)</f>
        <v/>
      </c>
      <c r="CS978">
        <f>IFERROR(INDEX(PP_Grid[#Data],$DD978,95),0)</f>
        <v/>
      </c>
      <c r="CT978">
        <f>IFERROR(INDEX(PP_Grid[#Data],$DD978,96),0)</f>
        <v/>
      </c>
      <c r="CU978">
        <f>IFERROR(INDEX(PP_Grid[#Data],$DD978,97),0)</f>
        <v/>
      </c>
      <c r="CV978">
        <f>IFERROR(INDEX(PP_Grid[#Data],$DD978,98),0)</f>
        <v/>
      </c>
      <c r="CW978">
        <f>IFERROR(INDEX(PP_Grid[#Data],$DD978,99),0)</f>
        <v/>
      </c>
      <c r="CX978">
        <f>IFERROR(INDEX(PP_Grid[#Data],$DD978,100),0)</f>
        <v/>
      </c>
      <c r="CY978">
        <f>IFERROR(INDEX(PP_Grid[#Data],$DD978,101),0)</f>
        <v/>
      </c>
      <c r="CZ978">
        <f>IFERROR(INDEX(PP_Grid[#Data],$DD978,102),0)</f>
        <v/>
      </c>
      <c r="DA978">
        <f>IFERROR(INDEX(PP_Grid[#Data],$DD978,103),0)</f>
        <v/>
      </c>
      <c r="DB978">
        <f>IFERROR(INDEX(PP_Grid[#Data],$DD978,104),0)</f>
        <v/>
      </c>
      <c r="DC978">
        <f>IFERROR(INDEX(PP_Grid[#Data],$DD978,105),0)</f>
        <v/>
      </c>
      <c r="DD978" s="7">
        <f>IFERROR(MATCH($B978,PP_Grid[Intermediate],0),99999)</f>
        <v/>
      </c>
    </row>
    <row r="979">
      <c r="B979" t="inlineStr">
        <is>
          <t>使用量(kg)</t>
        </is>
      </c>
      <c r="C979">
        <f>SUMIFS(M_BOM[RM_Qty_Per_Batch],M_BOM[Intermediate],$B978,M_BOM[Part Name],$A973)</f>
        <v/>
      </c>
      <c r="D979">
        <f>$C979*D978</f>
        <v/>
      </c>
      <c r="E979">
        <f>$C979*E978</f>
        <v/>
      </c>
      <c r="F979">
        <f>$C979*F978</f>
        <v/>
      </c>
      <c r="G979">
        <f>$C979*G978</f>
        <v/>
      </c>
      <c r="H979">
        <f>$C979*H978</f>
        <v/>
      </c>
      <c r="I979">
        <f>$C979*I978</f>
        <v/>
      </c>
      <c r="J979">
        <f>$C979*J978</f>
        <v/>
      </c>
      <c r="K979">
        <f>$C979*K978</f>
        <v/>
      </c>
      <c r="L979">
        <f>$C979*L978</f>
        <v/>
      </c>
      <c r="M979">
        <f>$C979*M978</f>
        <v/>
      </c>
      <c r="N979">
        <f>$C979*N978</f>
        <v/>
      </c>
      <c r="O979">
        <f>$C979*O978</f>
        <v/>
      </c>
      <c r="P979">
        <f>$C979*P978</f>
        <v/>
      </c>
      <c r="Q979">
        <f>$C979*Q978</f>
        <v/>
      </c>
      <c r="R979">
        <f>$C979*R978</f>
        <v/>
      </c>
      <c r="S979">
        <f>$C979*S978</f>
        <v/>
      </c>
      <c r="T979">
        <f>$C979*T978</f>
        <v/>
      </c>
      <c r="U979">
        <f>$C979*U978</f>
        <v/>
      </c>
      <c r="V979">
        <f>$C979*V978</f>
        <v/>
      </c>
      <c r="W979">
        <f>$C979*W978</f>
        <v/>
      </c>
      <c r="X979">
        <f>$C979*X978</f>
        <v/>
      </c>
      <c r="Y979">
        <f>$C979*Y978</f>
        <v/>
      </c>
      <c r="Z979">
        <f>$C979*Z978</f>
        <v/>
      </c>
      <c r="AA979">
        <f>$C979*AA978</f>
        <v/>
      </c>
      <c r="AB979">
        <f>$C979*AB978</f>
        <v/>
      </c>
      <c r="AC979">
        <f>$C979*AC978</f>
        <v/>
      </c>
      <c r="AD979">
        <f>$C979*AD978</f>
        <v/>
      </c>
      <c r="AE979">
        <f>$C979*AE978</f>
        <v/>
      </c>
      <c r="AF979">
        <f>$C979*AF978</f>
        <v/>
      </c>
      <c r="AG979">
        <f>$C979*AG978</f>
        <v/>
      </c>
      <c r="AH979">
        <f>$C979*AH978</f>
        <v/>
      </c>
      <c r="AI979">
        <f>$C979*AI978</f>
        <v/>
      </c>
      <c r="AJ979">
        <f>$C979*AJ978</f>
        <v/>
      </c>
      <c r="AK979">
        <f>$C979*AK978</f>
        <v/>
      </c>
      <c r="AL979">
        <f>$C979*AL978</f>
        <v/>
      </c>
      <c r="AM979">
        <f>$C979*AM978</f>
        <v/>
      </c>
      <c r="AN979">
        <f>$C979*AN978</f>
        <v/>
      </c>
      <c r="AO979">
        <f>$C979*AO978</f>
        <v/>
      </c>
      <c r="AP979">
        <f>$C979*AP978</f>
        <v/>
      </c>
      <c r="AQ979">
        <f>$C979*AQ978</f>
        <v/>
      </c>
      <c r="AR979">
        <f>$C979*AR978</f>
        <v/>
      </c>
      <c r="AS979">
        <f>$C979*AS978</f>
        <v/>
      </c>
      <c r="AT979">
        <f>$C979*AT978</f>
        <v/>
      </c>
      <c r="AU979">
        <f>$C979*AU978</f>
        <v/>
      </c>
      <c r="AV979">
        <f>$C979*AV978</f>
        <v/>
      </c>
      <c r="AW979">
        <f>$C979*AW978</f>
        <v/>
      </c>
      <c r="AX979">
        <f>$C979*AX978</f>
        <v/>
      </c>
      <c r="AY979">
        <f>$C979*AY978</f>
        <v/>
      </c>
      <c r="AZ979">
        <f>$C979*AZ978</f>
        <v/>
      </c>
      <c r="BA979">
        <f>$C979*BA978</f>
        <v/>
      </c>
      <c r="BB979">
        <f>$C979*BB978</f>
        <v/>
      </c>
      <c r="BC979">
        <f>$C979*BC978</f>
        <v/>
      </c>
      <c r="BD979">
        <f>$C979*BD978</f>
        <v/>
      </c>
      <c r="BE979">
        <f>$C979*BE978</f>
        <v/>
      </c>
      <c r="BF979">
        <f>$C979*BF978</f>
        <v/>
      </c>
      <c r="BG979">
        <f>$C979*BG978</f>
        <v/>
      </c>
      <c r="BH979">
        <f>$C979*BH978</f>
        <v/>
      </c>
      <c r="BI979">
        <f>$C979*BI978</f>
        <v/>
      </c>
      <c r="BJ979">
        <f>$C979*BJ978</f>
        <v/>
      </c>
      <c r="BK979">
        <f>$C979*BK978</f>
        <v/>
      </c>
      <c r="BL979">
        <f>$C979*BL978</f>
        <v/>
      </c>
      <c r="BM979">
        <f>$C979*BM978</f>
        <v/>
      </c>
      <c r="BN979">
        <f>$C979*BN978</f>
        <v/>
      </c>
      <c r="BO979">
        <f>$C979*BO978</f>
        <v/>
      </c>
      <c r="BP979">
        <f>$C979*BP978</f>
        <v/>
      </c>
      <c r="BQ979">
        <f>$C979*BQ978</f>
        <v/>
      </c>
      <c r="BR979">
        <f>$C979*BR978</f>
        <v/>
      </c>
      <c r="BS979">
        <f>$C979*BS978</f>
        <v/>
      </c>
      <c r="BT979">
        <f>$C979*BT978</f>
        <v/>
      </c>
      <c r="BU979">
        <f>$C979*BU978</f>
        <v/>
      </c>
      <c r="BV979">
        <f>$C979*BV978</f>
        <v/>
      </c>
      <c r="BW979">
        <f>$C979*BW978</f>
        <v/>
      </c>
      <c r="BX979">
        <f>$C979*BX978</f>
        <v/>
      </c>
      <c r="BY979">
        <f>$C979*BY978</f>
        <v/>
      </c>
      <c r="BZ979">
        <f>$C979*BZ978</f>
        <v/>
      </c>
      <c r="CA979">
        <f>$C979*CA978</f>
        <v/>
      </c>
      <c r="CB979">
        <f>$C979*CB978</f>
        <v/>
      </c>
      <c r="CC979">
        <f>$C979*CC978</f>
        <v/>
      </c>
      <c r="CD979">
        <f>$C979*CD978</f>
        <v/>
      </c>
      <c r="CE979">
        <f>$C979*CE978</f>
        <v/>
      </c>
      <c r="CF979">
        <f>$C979*CF978</f>
        <v/>
      </c>
      <c r="CG979">
        <f>$C979*CG978</f>
        <v/>
      </c>
      <c r="CH979">
        <f>$C979*CH978</f>
        <v/>
      </c>
      <c r="CI979">
        <f>$C979*CI978</f>
        <v/>
      </c>
      <c r="CJ979">
        <f>$C979*CJ978</f>
        <v/>
      </c>
      <c r="CK979">
        <f>$C979*CK978</f>
        <v/>
      </c>
      <c r="CL979">
        <f>$C979*CL978</f>
        <v/>
      </c>
      <c r="CM979">
        <f>$C979*CM978</f>
        <v/>
      </c>
      <c r="CN979">
        <f>$C979*CN978</f>
        <v/>
      </c>
      <c r="CO979">
        <f>$C979*CO978</f>
        <v/>
      </c>
      <c r="CP979">
        <f>$C979*CP978</f>
        <v/>
      </c>
      <c r="CQ979">
        <f>$C979*CQ978</f>
        <v/>
      </c>
      <c r="CR979">
        <f>$C979*CR978</f>
        <v/>
      </c>
      <c r="CS979">
        <f>$C979*CS978</f>
        <v/>
      </c>
      <c r="CT979">
        <f>$C979*CT978</f>
        <v/>
      </c>
      <c r="CU979">
        <f>$C979*CU978</f>
        <v/>
      </c>
      <c r="CV979">
        <f>$C979*CV978</f>
        <v/>
      </c>
      <c r="CW979">
        <f>$C979*CW978</f>
        <v/>
      </c>
      <c r="CX979">
        <f>$C979*CX978</f>
        <v/>
      </c>
      <c r="CY979">
        <f>$C979*CY978</f>
        <v/>
      </c>
      <c r="CZ979">
        <f>$C979*CZ978</f>
        <v/>
      </c>
      <c r="DA979">
        <f>$C979*DA978</f>
        <v/>
      </c>
      <c r="DB979">
        <f>$C979*DB978</f>
        <v/>
      </c>
      <c r="DC979">
        <f>$C979*DC978</f>
        <v/>
      </c>
    </row>
    <row r="980">
      <c r="B980" t="inlineStr">
        <is>
          <t>TPP-920</t>
        </is>
      </c>
      <c r="C980" t="inlineStr">
        <is>
          <t>No. of batches</t>
        </is>
      </c>
      <c r="D980">
        <f>IFERROR(INDEX(PP_Grid[#Data],$DD980,2),0)</f>
        <v/>
      </c>
      <c r="E980">
        <f>IFERROR(INDEX(PP_Grid[#Data],$DD980,3),0)</f>
        <v/>
      </c>
      <c r="F980">
        <f>IFERROR(INDEX(PP_Grid[#Data],$DD980,4),0)</f>
        <v/>
      </c>
      <c r="G980">
        <f>IFERROR(INDEX(PP_Grid[#Data],$DD980,5),0)</f>
        <v/>
      </c>
      <c r="H980">
        <f>IFERROR(INDEX(PP_Grid[#Data],$DD980,6),0)</f>
        <v/>
      </c>
      <c r="I980">
        <f>IFERROR(INDEX(PP_Grid[#Data],$DD980,7),0)</f>
        <v/>
      </c>
      <c r="J980">
        <f>IFERROR(INDEX(PP_Grid[#Data],$DD980,8),0)</f>
        <v/>
      </c>
      <c r="K980">
        <f>IFERROR(INDEX(PP_Grid[#Data],$DD980,9),0)</f>
        <v/>
      </c>
      <c r="L980">
        <f>IFERROR(INDEX(PP_Grid[#Data],$DD980,10),0)</f>
        <v/>
      </c>
      <c r="M980">
        <f>IFERROR(INDEX(PP_Grid[#Data],$DD980,11),0)</f>
        <v/>
      </c>
      <c r="N980">
        <f>IFERROR(INDEX(PP_Grid[#Data],$DD980,12),0)</f>
        <v/>
      </c>
      <c r="O980">
        <f>IFERROR(INDEX(PP_Grid[#Data],$DD980,13),0)</f>
        <v/>
      </c>
      <c r="P980">
        <f>IFERROR(INDEX(PP_Grid[#Data],$DD980,14),0)</f>
        <v/>
      </c>
      <c r="Q980">
        <f>IFERROR(INDEX(PP_Grid[#Data],$DD980,15),0)</f>
        <v/>
      </c>
      <c r="R980">
        <f>IFERROR(INDEX(PP_Grid[#Data],$DD980,16),0)</f>
        <v/>
      </c>
      <c r="S980">
        <f>IFERROR(INDEX(PP_Grid[#Data],$DD980,17),0)</f>
        <v/>
      </c>
      <c r="T980">
        <f>IFERROR(INDEX(PP_Grid[#Data],$DD980,18),0)</f>
        <v/>
      </c>
      <c r="U980">
        <f>IFERROR(INDEX(PP_Grid[#Data],$DD980,19),0)</f>
        <v/>
      </c>
      <c r="V980">
        <f>IFERROR(INDEX(PP_Grid[#Data],$DD980,20),0)</f>
        <v/>
      </c>
      <c r="W980">
        <f>IFERROR(INDEX(PP_Grid[#Data],$DD980,21),0)</f>
        <v/>
      </c>
      <c r="X980">
        <f>IFERROR(INDEX(PP_Grid[#Data],$DD980,22),0)</f>
        <v/>
      </c>
      <c r="Y980">
        <f>IFERROR(INDEX(PP_Grid[#Data],$DD980,23),0)</f>
        <v/>
      </c>
      <c r="Z980">
        <f>IFERROR(INDEX(PP_Grid[#Data],$DD980,24),0)</f>
        <v/>
      </c>
      <c r="AA980">
        <f>IFERROR(INDEX(PP_Grid[#Data],$DD980,25),0)</f>
        <v/>
      </c>
      <c r="AB980">
        <f>IFERROR(INDEX(PP_Grid[#Data],$DD980,26),0)</f>
        <v/>
      </c>
      <c r="AC980">
        <f>IFERROR(INDEX(PP_Grid[#Data],$DD980,27),0)</f>
        <v/>
      </c>
      <c r="AD980">
        <f>IFERROR(INDEX(PP_Grid[#Data],$DD980,28),0)</f>
        <v/>
      </c>
      <c r="AE980">
        <f>IFERROR(INDEX(PP_Grid[#Data],$DD980,29),0)</f>
        <v/>
      </c>
      <c r="AF980">
        <f>IFERROR(INDEX(PP_Grid[#Data],$DD980,30),0)</f>
        <v/>
      </c>
      <c r="AG980">
        <f>IFERROR(INDEX(PP_Grid[#Data],$DD980,31),0)</f>
        <v/>
      </c>
      <c r="AH980">
        <f>IFERROR(INDEX(PP_Grid[#Data],$DD980,32),0)</f>
        <v/>
      </c>
      <c r="AI980">
        <f>IFERROR(INDEX(PP_Grid[#Data],$DD980,33),0)</f>
        <v/>
      </c>
      <c r="AJ980">
        <f>IFERROR(INDEX(PP_Grid[#Data],$DD980,34),0)</f>
        <v/>
      </c>
      <c r="AK980">
        <f>IFERROR(INDEX(PP_Grid[#Data],$DD980,35),0)</f>
        <v/>
      </c>
      <c r="AL980">
        <f>IFERROR(INDEX(PP_Grid[#Data],$DD980,36),0)</f>
        <v/>
      </c>
      <c r="AM980">
        <f>IFERROR(INDEX(PP_Grid[#Data],$DD980,37),0)</f>
        <v/>
      </c>
      <c r="AN980">
        <f>IFERROR(INDEX(PP_Grid[#Data],$DD980,38),0)</f>
        <v/>
      </c>
      <c r="AO980">
        <f>IFERROR(INDEX(PP_Grid[#Data],$DD980,39),0)</f>
        <v/>
      </c>
      <c r="AP980">
        <f>IFERROR(INDEX(PP_Grid[#Data],$DD980,40),0)</f>
        <v/>
      </c>
      <c r="AQ980">
        <f>IFERROR(INDEX(PP_Grid[#Data],$DD980,41),0)</f>
        <v/>
      </c>
      <c r="AR980">
        <f>IFERROR(INDEX(PP_Grid[#Data],$DD980,42),0)</f>
        <v/>
      </c>
      <c r="AS980">
        <f>IFERROR(INDEX(PP_Grid[#Data],$DD980,43),0)</f>
        <v/>
      </c>
      <c r="AT980">
        <f>IFERROR(INDEX(PP_Grid[#Data],$DD980,44),0)</f>
        <v/>
      </c>
      <c r="AU980">
        <f>IFERROR(INDEX(PP_Grid[#Data],$DD980,45),0)</f>
        <v/>
      </c>
      <c r="AV980">
        <f>IFERROR(INDEX(PP_Grid[#Data],$DD980,46),0)</f>
        <v/>
      </c>
      <c r="AW980">
        <f>IFERROR(INDEX(PP_Grid[#Data],$DD980,47),0)</f>
        <v/>
      </c>
      <c r="AX980">
        <f>IFERROR(INDEX(PP_Grid[#Data],$DD980,48),0)</f>
        <v/>
      </c>
      <c r="AY980">
        <f>IFERROR(INDEX(PP_Grid[#Data],$DD980,49),0)</f>
        <v/>
      </c>
      <c r="AZ980">
        <f>IFERROR(INDEX(PP_Grid[#Data],$DD980,50),0)</f>
        <v/>
      </c>
      <c r="BA980">
        <f>IFERROR(INDEX(PP_Grid[#Data],$DD980,51),0)</f>
        <v/>
      </c>
      <c r="BB980">
        <f>IFERROR(INDEX(PP_Grid[#Data],$DD980,52),0)</f>
        <v/>
      </c>
      <c r="BC980">
        <f>IFERROR(INDEX(PP_Grid[#Data],$DD980,53),0)</f>
        <v/>
      </c>
      <c r="BD980">
        <f>IFERROR(INDEX(PP_Grid[#Data],$DD980,54),0)</f>
        <v/>
      </c>
      <c r="BE980">
        <f>IFERROR(INDEX(PP_Grid[#Data],$DD980,55),0)</f>
        <v/>
      </c>
      <c r="BF980">
        <f>IFERROR(INDEX(PP_Grid[#Data],$DD980,56),0)</f>
        <v/>
      </c>
      <c r="BG980">
        <f>IFERROR(INDEX(PP_Grid[#Data],$DD980,57),0)</f>
        <v/>
      </c>
      <c r="BH980">
        <f>IFERROR(INDEX(PP_Grid[#Data],$DD980,58),0)</f>
        <v/>
      </c>
      <c r="BI980">
        <f>IFERROR(INDEX(PP_Grid[#Data],$DD980,59),0)</f>
        <v/>
      </c>
      <c r="BJ980">
        <f>IFERROR(INDEX(PP_Grid[#Data],$DD980,60),0)</f>
        <v/>
      </c>
      <c r="BK980">
        <f>IFERROR(INDEX(PP_Grid[#Data],$DD980,61),0)</f>
        <v/>
      </c>
      <c r="BL980">
        <f>IFERROR(INDEX(PP_Grid[#Data],$DD980,62),0)</f>
        <v/>
      </c>
      <c r="BM980">
        <f>IFERROR(INDEX(PP_Grid[#Data],$DD980,63),0)</f>
        <v/>
      </c>
      <c r="BN980">
        <f>IFERROR(INDEX(PP_Grid[#Data],$DD980,64),0)</f>
        <v/>
      </c>
      <c r="BO980">
        <f>IFERROR(INDEX(PP_Grid[#Data],$DD980,65),0)</f>
        <v/>
      </c>
      <c r="BP980">
        <f>IFERROR(INDEX(PP_Grid[#Data],$DD980,66),0)</f>
        <v/>
      </c>
      <c r="BQ980">
        <f>IFERROR(INDEX(PP_Grid[#Data],$DD980,67),0)</f>
        <v/>
      </c>
      <c r="BR980">
        <f>IFERROR(INDEX(PP_Grid[#Data],$DD980,68),0)</f>
        <v/>
      </c>
      <c r="BS980">
        <f>IFERROR(INDEX(PP_Grid[#Data],$DD980,69),0)</f>
        <v/>
      </c>
      <c r="BT980">
        <f>IFERROR(INDEX(PP_Grid[#Data],$DD980,70),0)</f>
        <v/>
      </c>
      <c r="BU980">
        <f>IFERROR(INDEX(PP_Grid[#Data],$DD980,71),0)</f>
        <v/>
      </c>
      <c r="BV980">
        <f>IFERROR(INDEX(PP_Grid[#Data],$DD980,72),0)</f>
        <v/>
      </c>
      <c r="BW980">
        <f>IFERROR(INDEX(PP_Grid[#Data],$DD980,73),0)</f>
        <v/>
      </c>
      <c r="BX980">
        <f>IFERROR(INDEX(PP_Grid[#Data],$DD980,74),0)</f>
        <v/>
      </c>
      <c r="BY980">
        <f>IFERROR(INDEX(PP_Grid[#Data],$DD980,75),0)</f>
        <v/>
      </c>
      <c r="BZ980">
        <f>IFERROR(INDEX(PP_Grid[#Data],$DD980,76),0)</f>
        <v/>
      </c>
      <c r="CA980">
        <f>IFERROR(INDEX(PP_Grid[#Data],$DD980,77),0)</f>
        <v/>
      </c>
      <c r="CB980">
        <f>IFERROR(INDEX(PP_Grid[#Data],$DD980,78),0)</f>
        <v/>
      </c>
      <c r="CC980">
        <f>IFERROR(INDEX(PP_Grid[#Data],$DD980,79),0)</f>
        <v/>
      </c>
      <c r="CD980">
        <f>IFERROR(INDEX(PP_Grid[#Data],$DD980,80),0)</f>
        <v/>
      </c>
      <c r="CE980">
        <f>IFERROR(INDEX(PP_Grid[#Data],$DD980,81),0)</f>
        <v/>
      </c>
      <c r="CF980">
        <f>IFERROR(INDEX(PP_Grid[#Data],$DD980,82),0)</f>
        <v/>
      </c>
      <c r="CG980">
        <f>IFERROR(INDEX(PP_Grid[#Data],$DD980,83),0)</f>
        <v/>
      </c>
      <c r="CH980">
        <f>IFERROR(INDEX(PP_Grid[#Data],$DD980,84),0)</f>
        <v/>
      </c>
      <c r="CI980">
        <f>IFERROR(INDEX(PP_Grid[#Data],$DD980,85),0)</f>
        <v/>
      </c>
      <c r="CJ980">
        <f>IFERROR(INDEX(PP_Grid[#Data],$DD980,86),0)</f>
        <v/>
      </c>
      <c r="CK980">
        <f>IFERROR(INDEX(PP_Grid[#Data],$DD980,87),0)</f>
        <v/>
      </c>
      <c r="CL980">
        <f>IFERROR(INDEX(PP_Grid[#Data],$DD980,88),0)</f>
        <v/>
      </c>
      <c r="CM980">
        <f>IFERROR(INDEX(PP_Grid[#Data],$DD980,89),0)</f>
        <v/>
      </c>
      <c r="CN980">
        <f>IFERROR(INDEX(PP_Grid[#Data],$DD980,90),0)</f>
        <v/>
      </c>
      <c r="CO980">
        <f>IFERROR(INDEX(PP_Grid[#Data],$DD980,91),0)</f>
        <v/>
      </c>
      <c r="CP980">
        <f>IFERROR(INDEX(PP_Grid[#Data],$DD980,92),0)</f>
        <v/>
      </c>
      <c r="CQ980">
        <f>IFERROR(INDEX(PP_Grid[#Data],$DD980,93),0)</f>
        <v/>
      </c>
      <c r="CR980">
        <f>IFERROR(INDEX(PP_Grid[#Data],$DD980,94),0)</f>
        <v/>
      </c>
      <c r="CS980">
        <f>IFERROR(INDEX(PP_Grid[#Data],$DD980,95),0)</f>
        <v/>
      </c>
      <c r="CT980">
        <f>IFERROR(INDEX(PP_Grid[#Data],$DD980,96),0)</f>
        <v/>
      </c>
      <c r="CU980">
        <f>IFERROR(INDEX(PP_Grid[#Data],$DD980,97),0)</f>
        <v/>
      </c>
      <c r="CV980">
        <f>IFERROR(INDEX(PP_Grid[#Data],$DD980,98),0)</f>
        <v/>
      </c>
      <c r="CW980">
        <f>IFERROR(INDEX(PP_Grid[#Data],$DD980,99),0)</f>
        <v/>
      </c>
      <c r="CX980">
        <f>IFERROR(INDEX(PP_Grid[#Data],$DD980,100),0)</f>
        <v/>
      </c>
      <c r="CY980">
        <f>IFERROR(INDEX(PP_Grid[#Data],$DD980,101),0)</f>
        <v/>
      </c>
      <c r="CZ980">
        <f>IFERROR(INDEX(PP_Grid[#Data],$DD980,102),0)</f>
        <v/>
      </c>
      <c r="DA980">
        <f>IFERROR(INDEX(PP_Grid[#Data],$DD980,103),0)</f>
        <v/>
      </c>
      <c r="DB980">
        <f>IFERROR(INDEX(PP_Grid[#Data],$DD980,104),0)</f>
        <v/>
      </c>
      <c r="DC980">
        <f>IFERROR(INDEX(PP_Grid[#Data],$DD980,105),0)</f>
        <v/>
      </c>
      <c r="DD980" s="7">
        <f>IFERROR(MATCH($B980,PP_Grid[Intermediate],0),99999)</f>
        <v/>
      </c>
    </row>
    <row r="981">
      <c r="B981" t="inlineStr">
        <is>
          <t>使用量(kg)</t>
        </is>
      </c>
      <c r="C981">
        <f>SUMIFS(M_BOM[RM_Qty_Per_Batch],M_BOM[Intermediate],$B980,M_BOM[Part Name],$A973)</f>
        <v/>
      </c>
      <c r="D981">
        <f>$C981*D980</f>
        <v/>
      </c>
      <c r="E981">
        <f>$C981*E980</f>
        <v/>
      </c>
      <c r="F981">
        <f>$C981*F980</f>
        <v/>
      </c>
      <c r="G981">
        <f>$C981*G980</f>
        <v/>
      </c>
      <c r="H981">
        <f>$C981*H980</f>
        <v/>
      </c>
      <c r="I981">
        <f>$C981*I980</f>
        <v/>
      </c>
      <c r="J981">
        <f>$C981*J980</f>
        <v/>
      </c>
      <c r="K981">
        <f>$C981*K980</f>
        <v/>
      </c>
      <c r="L981">
        <f>$C981*L980</f>
        <v/>
      </c>
      <c r="M981">
        <f>$C981*M980</f>
        <v/>
      </c>
      <c r="N981">
        <f>$C981*N980</f>
        <v/>
      </c>
      <c r="O981">
        <f>$C981*O980</f>
        <v/>
      </c>
      <c r="P981">
        <f>$C981*P980</f>
        <v/>
      </c>
      <c r="Q981">
        <f>$C981*Q980</f>
        <v/>
      </c>
      <c r="R981">
        <f>$C981*R980</f>
        <v/>
      </c>
      <c r="S981">
        <f>$C981*S980</f>
        <v/>
      </c>
      <c r="T981">
        <f>$C981*T980</f>
        <v/>
      </c>
      <c r="U981">
        <f>$C981*U980</f>
        <v/>
      </c>
      <c r="V981">
        <f>$C981*V980</f>
        <v/>
      </c>
      <c r="W981">
        <f>$C981*W980</f>
        <v/>
      </c>
      <c r="X981">
        <f>$C981*X980</f>
        <v/>
      </c>
      <c r="Y981">
        <f>$C981*Y980</f>
        <v/>
      </c>
      <c r="Z981">
        <f>$C981*Z980</f>
        <v/>
      </c>
      <c r="AA981">
        <f>$C981*AA980</f>
        <v/>
      </c>
      <c r="AB981">
        <f>$C981*AB980</f>
        <v/>
      </c>
      <c r="AC981">
        <f>$C981*AC980</f>
        <v/>
      </c>
      <c r="AD981">
        <f>$C981*AD980</f>
        <v/>
      </c>
      <c r="AE981">
        <f>$C981*AE980</f>
        <v/>
      </c>
      <c r="AF981">
        <f>$C981*AF980</f>
        <v/>
      </c>
      <c r="AG981">
        <f>$C981*AG980</f>
        <v/>
      </c>
      <c r="AH981">
        <f>$C981*AH980</f>
        <v/>
      </c>
      <c r="AI981">
        <f>$C981*AI980</f>
        <v/>
      </c>
      <c r="AJ981">
        <f>$C981*AJ980</f>
        <v/>
      </c>
      <c r="AK981">
        <f>$C981*AK980</f>
        <v/>
      </c>
      <c r="AL981">
        <f>$C981*AL980</f>
        <v/>
      </c>
      <c r="AM981">
        <f>$C981*AM980</f>
        <v/>
      </c>
      <c r="AN981">
        <f>$C981*AN980</f>
        <v/>
      </c>
      <c r="AO981">
        <f>$C981*AO980</f>
        <v/>
      </c>
      <c r="AP981">
        <f>$C981*AP980</f>
        <v/>
      </c>
      <c r="AQ981">
        <f>$C981*AQ980</f>
        <v/>
      </c>
      <c r="AR981">
        <f>$C981*AR980</f>
        <v/>
      </c>
      <c r="AS981">
        <f>$C981*AS980</f>
        <v/>
      </c>
      <c r="AT981">
        <f>$C981*AT980</f>
        <v/>
      </c>
      <c r="AU981">
        <f>$C981*AU980</f>
        <v/>
      </c>
      <c r="AV981">
        <f>$C981*AV980</f>
        <v/>
      </c>
      <c r="AW981">
        <f>$C981*AW980</f>
        <v/>
      </c>
      <c r="AX981">
        <f>$C981*AX980</f>
        <v/>
      </c>
      <c r="AY981">
        <f>$C981*AY980</f>
        <v/>
      </c>
      <c r="AZ981">
        <f>$C981*AZ980</f>
        <v/>
      </c>
      <c r="BA981">
        <f>$C981*BA980</f>
        <v/>
      </c>
      <c r="BB981">
        <f>$C981*BB980</f>
        <v/>
      </c>
      <c r="BC981">
        <f>$C981*BC980</f>
        <v/>
      </c>
      <c r="BD981">
        <f>$C981*BD980</f>
        <v/>
      </c>
      <c r="BE981">
        <f>$C981*BE980</f>
        <v/>
      </c>
      <c r="BF981">
        <f>$C981*BF980</f>
        <v/>
      </c>
      <c r="BG981">
        <f>$C981*BG980</f>
        <v/>
      </c>
      <c r="BH981">
        <f>$C981*BH980</f>
        <v/>
      </c>
      <c r="BI981">
        <f>$C981*BI980</f>
        <v/>
      </c>
      <c r="BJ981">
        <f>$C981*BJ980</f>
        <v/>
      </c>
      <c r="BK981">
        <f>$C981*BK980</f>
        <v/>
      </c>
      <c r="BL981">
        <f>$C981*BL980</f>
        <v/>
      </c>
      <c r="BM981">
        <f>$C981*BM980</f>
        <v/>
      </c>
      <c r="BN981">
        <f>$C981*BN980</f>
        <v/>
      </c>
      <c r="BO981">
        <f>$C981*BO980</f>
        <v/>
      </c>
      <c r="BP981">
        <f>$C981*BP980</f>
        <v/>
      </c>
      <c r="BQ981">
        <f>$C981*BQ980</f>
        <v/>
      </c>
      <c r="BR981">
        <f>$C981*BR980</f>
        <v/>
      </c>
      <c r="BS981">
        <f>$C981*BS980</f>
        <v/>
      </c>
      <c r="BT981">
        <f>$C981*BT980</f>
        <v/>
      </c>
      <c r="BU981">
        <f>$C981*BU980</f>
        <v/>
      </c>
      <c r="BV981">
        <f>$C981*BV980</f>
        <v/>
      </c>
      <c r="BW981">
        <f>$C981*BW980</f>
        <v/>
      </c>
      <c r="BX981">
        <f>$C981*BX980</f>
        <v/>
      </c>
      <c r="BY981">
        <f>$C981*BY980</f>
        <v/>
      </c>
      <c r="BZ981">
        <f>$C981*BZ980</f>
        <v/>
      </c>
      <c r="CA981">
        <f>$C981*CA980</f>
        <v/>
      </c>
      <c r="CB981">
        <f>$C981*CB980</f>
        <v/>
      </c>
      <c r="CC981">
        <f>$C981*CC980</f>
        <v/>
      </c>
      <c r="CD981">
        <f>$C981*CD980</f>
        <v/>
      </c>
      <c r="CE981">
        <f>$C981*CE980</f>
        <v/>
      </c>
      <c r="CF981">
        <f>$C981*CF980</f>
        <v/>
      </c>
      <c r="CG981">
        <f>$C981*CG980</f>
        <v/>
      </c>
      <c r="CH981">
        <f>$C981*CH980</f>
        <v/>
      </c>
      <c r="CI981">
        <f>$C981*CI980</f>
        <v/>
      </c>
      <c r="CJ981">
        <f>$C981*CJ980</f>
        <v/>
      </c>
      <c r="CK981">
        <f>$C981*CK980</f>
        <v/>
      </c>
      <c r="CL981">
        <f>$C981*CL980</f>
        <v/>
      </c>
      <c r="CM981">
        <f>$C981*CM980</f>
        <v/>
      </c>
      <c r="CN981">
        <f>$C981*CN980</f>
        <v/>
      </c>
      <c r="CO981">
        <f>$C981*CO980</f>
        <v/>
      </c>
      <c r="CP981">
        <f>$C981*CP980</f>
        <v/>
      </c>
      <c r="CQ981">
        <f>$C981*CQ980</f>
        <v/>
      </c>
      <c r="CR981">
        <f>$C981*CR980</f>
        <v/>
      </c>
      <c r="CS981">
        <f>$C981*CS980</f>
        <v/>
      </c>
      <c r="CT981">
        <f>$C981*CT980</f>
        <v/>
      </c>
      <c r="CU981">
        <f>$C981*CU980</f>
        <v/>
      </c>
      <c r="CV981">
        <f>$C981*CV980</f>
        <v/>
      </c>
      <c r="CW981">
        <f>$C981*CW980</f>
        <v/>
      </c>
      <c r="CX981">
        <f>$C981*CX980</f>
        <v/>
      </c>
      <c r="CY981">
        <f>$C981*CY980</f>
        <v/>
      </c>
      <c r="CZ981">
        <f>$C981*CZ980</f>
        <v/>
      </c>
      <c r="DA981">
        <f>$C981*DA980</f>
        <v/>
      </c>
      <c r="DB981">
        <f>$C981*DB980</f>
        <v/>
      </c>
      <c r="DC981">
        <f>$C981*DC980</f>
        <v/>
      </c>
    </row>
    <row r="982">
      <c r="B982" t="inlineStr">
        <is>
          <t>TPP-914</t>
        </is>
      </c>
      <c r="C982" t="inlineStr">
        <is>
          <t>No. of batches</t>
        </is>
      </c>
      <c r="D982">
        <f>IFERROR(INDEX(PP_Grid[#Data],$DD982,2),0)</f>
        <v/>
      </c>
      <c r="E982">
        <f>IFERROR(INDEX(PP_Grid[#Data],$DD982,3),0)</f>
        <v/>
      </c>
      <c r="F982">
        <f>IFERROR(INDEX(PP_Grid[#Data],$DD982,4),0)</f>
        <v/>
      </c>
      <c r="G982">
        <f>IFERROR(INDEX(PP_Grid[#Data],$DD982,5),0)</f>
        <v/>
      </c>
      <c r="H982">
        <f>IFERROR(INDEX(PP_Grid[#Data],$DD982,6),0)</f>
        <v/>
      </c>
      <c r="I982">
        <f>IFERROR(INDEX(PP_Grid[#Data],$DD982,7),0)</f>
        <v/>
      </c>
      <c r="J982">
        <f>IFERROR(INDEX(PP_Grid[#Data],$DD982,8),0)</f>
        <v/>
      </c>
      <c r="K982">
        <f>IFERROR(INDEX(PP_Grid[#Data],$DD982,9),0)</f>
        <v/>
      </c>
      <c r="L982">
        <f>IFERROR(INDEX(PP_Grid[#Data],$DD982,10),0)</f>
        <v/>
      </c>
      <c r="M982">
        <f>IFERROR(INDEX(PP_Grid[#Data],$DD982,11),0)</f>
        <v/>
      </c>
      <c r="N982">
        <f>IFERROR(INDEX(PP_Grid[#Data],$DD982,12),0)</f>
        <v/>
      </c>
      <c r="O982">
        <f>IFERROR(INDEX(PP_Grid[#Data],$DD982,13),0)</f>
        <v/>
      </c>
      <c r="P982">
        <f>IFERROR(INDEX(PP_Grid[#Data],$DD982,14),0)</f>
        <v/>
      </c>
      <c r="Q982">
        <f>IFERROR(INDEX(PP_Grid[#Data],$DD982,15),0)</f>
        <v/>
      </c>
      <c r="R982">
        <f>IFERROR(INDEX(PP_Grid[#Data],$DD982,16),0)</f>
        <v/>
      </c>
      <c r="S982">
        <f>IFERROR(INDEX(PP_Grid[#Data],$DD982,17),0)</f>
        <v/>
      </c>
      <c r="T982">
        <f>IFERROR(INDEX(PP_Grid[#Data],$DD982,18),0)</f>
        <v/>
      </c>
      <c r="U982">
        <f>IFERROR(INDEX(PP_Grid[#Data],$DD982,19),0)</f>
        <v/>
      </c>
      <c r="V982">
        <f>IFERROR(INDEX(PP_Grid[#Data],$DD982,20),0)</f>
        <v/>
      </c>
      <c r="W982">
        <f>IFERROR(INDEX(PP_Grid[#Data],$DD982,21),0)</f>
        <v/>
      </c>
      <c r="X982">
        <f>IFERROR(INDEX(PP_Grid[#Data],$DD982,22),0)</f>
        <v/>
      </c>
      <c r="Y982">
        <f>IFERROR(INDEX(PP_Grid[#Data],$DD982,23),0)</f>
        <v/>
      </c>
      <c r="Z982">
        <f>IFERROR(INDEX(PP_Grid[#Data],$DD982,24),0)</f>
        <v/>
      </c>
      <c r="AA982">
        <f>IFERROR(INDEX(PP_Grid[#Data],$DD982,25),0)</f>
        <v/>
      </c>
      <c r="AB982">
        <f>IFERROR(INDEX(PP_Grid[#Data],$DD982,26),0)</f>
        <v/>
      </c>
      <c r="AC982">
        <f>IFERROR(INDEX(PP_Grid[#Data],$DD982,27),0)</f>
        <v/>
      </c>
      <c r="AD982">
        <f>IFERROR(INDEX(PP_Grid[#Data],$DD982,28),0)</f>
        <v/>
      </c>
      <c r="AE982">
        <f>IFERROR(INDEX(PP_Grid[#Data],$DD982,29),0)</f>
        <v/>
      </c>
      <c r="AF982">
        <f>IFERROR(INDEX(PP_Grid[#Data],$DD982,30),0)</f>
        <v/>
      </c>
      <c r="AG982">
        <f>IFERROR(INDEX(PP_Grid[#Data],$DD982,31),0)</f>
        <v/>
      </c>
      <c r="AH982">
        <f>IFERROR(INDEX(PP_Grid[#Data],$DD982,32),0)</f>
        <v/>
      </c>
      <c r="AI982">
        <f>IFERROR(INDEX(PP_Grid[#Data],$DD982,33),0)</f>
        <v/>
      </c>
      <c r="AJ982">
        <f>IFERROR(INDEX(PP_Grid[#Data],$DD982,34),0)</f>
        <v/>
      </c>
      <c r="AK982">
        <f>IFERROR(INDEX(PP_Grid[#Data],$DD982,35),0)</f>
        <v/>
      </c>
      <c r="AL982">
        <f>IFERROR(INDEX(PP_Grid[#Data],$DD982,36),0)</f>
        <v/>
      </c>
      <c r="AM982">
        <f>IFERROR(INDEX(PP_Grid[#Data],$DD982,37),0)</f>
        <v/>
      </c>
      <c r="AN982">
        <f>IFERROR(INDEX(PP_Grid[#Data],$DD982,38),0)</f>
        <v/>
      </c>
      <c r="AO982">
        <f>IFERROR(INDEX(PP_Grid[#Data],$DD982,39),0)</f>
        <v/>
      </c>
      <c r="AP982">
        <f>IFERROR(INDEX(PP_Grid[#Data],$DD982,40),0)</f>
        <v/>
      </c>
      <c r="AQ982">
        <f>IFERROR(INDEX(PP_Grid[#Data],$DD982,41),0)</f>
        <v/>
      </c>
      <c r="AR982">
        <f>IFERROR(INDEX(PP_Grid[#Data],$DD982,42),0)</f>
        <v/>
      </c>
      <c r="AS982">
        <f>IFERROR(INDEX(PP_Grid[#Data],$DD982,43),0)</f>
        <v/>
      </c>
      <c r="AT982">
        <f>IFERROR(INDEX(PP_Grid[#Data],$DD982,44),0)</f>
        <v/>
      </c>
      <c r="AU982">
        <f>IFERROR(INDEX(PP_Grid[#Data],$DD982,45),0)</f>
        <v/>
      </c>
      <c r="AV982">
        <f>IFERROR(INDEX(PP_Grid[#Data],$DD982,46),0)</f>
        <v/>
      </c>
      <c r="AW982">
        <f>IFERROR(INDEX(PP_Grid[#Data],$DD982,47),0)</f>
        <v/>
      </c>
      <c r="AX982">
        <f>IFERROR(INDEX(PP_Grid[#Data],$DD982,48),0)</f>
        <v/>
      </c>
      <c r="AY982">
        <f>IFERROR(INDEX(PP_Grid[#Data],$DD982,49),0)</f>
        <v/>
      </c>
      <c r="AZ982">
        <f>IFERROR(INDEX(PP_Grid[#Data],$DD982,50),0)</f>
        <v/>
      </c>
      <c r="BA982">
        <f>IFERROR(INDEX(PP_Grid[#Data],$DD982,51),0)</f>
        <v/>
      </c>
      <c r="BB982">
        <f>IFERROR(INDEX(PP_Grid[#Data],$DD982,52),0)</f>
        <v/>
      </c>
      <c r="BC982">
        <f>IFERROR(INDEX(PP_Grid[#Data],$DD982,53),0)</f>
        <v/>
      </c>
      <c r="BD982">
        <f>IFERROR(INDEX(PP_Grid[#Data],$DD982,54),0)</f>
        <v/>
      </c>
      <c r="BE982">
        <f>IFERROR(INDEX(PP_Grid[#Data],$DD982,55),0)</f>
        <v/>
      </c>
      <c r="BF982">
        <f>IFERROR(INDEX(PP_Grid[#Data],$DD982,56),0)</f>
        <v/>
      </c>
      <c r="BG982">
        <f>IFERROR(INDEX(PP_Grid[#Data],$DD982,57),0)</f>
        <v/>
      </c>
      <c r="BH982">
        <f>IFERROR(INDEX(PP_Grid[#Data],$DD982,58),0)</f>
        <v/>
      </c>
      <c r="BI982">
        <f>IFERROR(INDEX(PP_Grid[#Data],$DD982,59),0)</f>
        <v/>
      </c>
      <c r="BJ982">
        <f>IFERROR(INDEX(PP_Grid[#Data],$DD982,60),0)</f>
        <v/>
      </c>
      <c r="BK982">
        <f>IFERROR(INDEX(PP_Grid[#Data],$DD982,61),0)</f>
        <v/>
      </c>
      <c r="BL982">
        <f>IFERROR(INDEX(PP_Grid[#Data],$DD982,62),0)</f>
        <v/>
      </c>
      <c r="BM982">
        <f>IFERROR(INDEX(PP_Grid[#Data],$DD982,63),0)</f>
        <v/>
      </c>
      <c r="BN982">
        <f>IFERROR(INDEX(PP_Grid[#Data],$DD982,64),0)</f>
        <v/>
      </c>
      <c r="BO982">
        <f>IFERROR(INDEX(PP_Grid[#Data],$DD982,65),0)</f>
        <v/>
      </c>
      <c r="BP982">
        <f>IFERROR(INDEX(PP_Grid[#Data],$DD982,66),0)</f>
        <v/>
      </c>
      <c r="BQ982">
        <f>IFERROR(INDEX(PP_Grid[#Data],$DD982,67),0)</f>
        <v/>
      </c>
      <c r="BR982">
        <f>IFERROR(INDEX(PP_Grid[#Data],$DD982,68),0)</f>
        <v/>
      </c>
      <c r="BS982">
        <f>IFERROR(INDEX(PP_Grid[#Data],$DD982,69),0)</f>
        <v/>
      </c>
      <c r="BT982">
        <f>IFERROR(INDEX(PP_Grid[#Data],$DD982,70),0)</f>
        <v/>
      </c>
      <c r="BU982">
        <f>IFERROR(INDEX(PP_Grid[#Data],$DD982,71),0)</f>
        <v/>
      </c>
      <c r="BV982">
        <f>IFERROR(INDEX(PP_Grid[#Data],$DD982,72),0)</f>
        <v/>
      </c>
      <c r="BW982">
        <f>IFERROR(INDEX(PP_Grid[#Data],$DD982,73),0)</f>
        <v/>
      </c>
      <c r="BX982">
        <f>IFERROR(INDEX(PP_Grid[#Data],$DD982,74),0)</f>
        <v/>
      </c>
      <c r="BY982">
        <f>IFERROR(INDEX(PP_Grid[#Data],$DD982,75),0)</f>
        <v/>
      </c>
      <c r="BZ982">
        <f>IFERROR(INDEX(PP_Grid[#Data],$DD982,76),0)</f>
        <v/>
      </c>
      <c r="CA982">
        <f>IFERROR(INDEX(PP_Grid[#Data],$DD982,77),0)</f>
        <v/>
      </c>
      <c r="CB982">
        <f>IFERROR(INDEX(PP_Grid[#Data],$DD982,78),0)</f>
        <v/>
      </c>
      <c r="CC982">
        <f>IFERROR(INDEX(PP_Grid[#Data],$DD982,79),0)</f>
        <v/>
      </c>
      <c r="CD982">
        <f>IFERROR(INDEX(PP_Grid[#Data],$DD982,80),0)</f>
        <v/>
      </c>
      <c r="CE982">
        <f>IFERROR(INDEX(PP_Grid[#Data],$DD982,81),0)</f>
        <v/>
      </c>
      <c r="CF982">
        <f>IFERROR(INDEX(PP_Grid[#Data],$DD982,82),0)</f>
        <v/>
      </c>
      <c r="CG982">
        <f>IFERROR(INDEX(PP_Grid[#Data],$DD982,83),0)</f>
        <v/>
      </c>
      <c r="CH982">
        <f>IFERROR(INDEX(PP_Grid[#Data],$DD982,84),0)</f>
        <v/>
      </c>
      <c r="CI982">
        <f>IFERROR(INDEX(PP_Grid[#Data],$DD982,85),0)</f>
        <v/>
      </c>
      <c r="CJ982">
        <f>IFERROR(INDEX(PP_Grid[#Data],$DD982,86),0)</f>
        <v/>
      </c>
      <c r="CK982">
        <f>IFERROR(INDEX(PP_Grid[#Data],$DD982,87),0)</f>
        <v/>
      </c>
      <c r="CL982">
        <f>IFERROR(INDEX(PP_Grid[#Data],$DD982,88),0)</f>
        <v/>
      </c>
      <c r="CM982">
        <f>IFERROR(INDEX(PP_Grid[#Data],$DD982,89),0)</f>
        <v/>
      </c>
      <c r="CN982">
        <f>IFERROR(INDEX(PP_Grid[#Data],$DD982,90),0)</f>
        <v/>
      </c>
      <c r="CO982">
        <f>IFERROR(INDEX(PP_Grid[#Data],$DD982,91),0)</f>
        <v/>
      </c>
      <c r="CP982">
        <f>IFERROR(INDEX(PP_Grid[#Data],$DD982,92),0)</f>
        <v/>
      </c>
      <c r="CQ982">
        <f>IFERROR(INDEX(PP_Grid[#Data],$DD982,93),0)</f>
        <v/>
      </c>
      <c r="CR982">
        <f>IFERROR(INDEX(PP_Grid[#Data],$DD982,94),0)</f>
        <v/>
      </c>
      <c r="CS982">
        <f>IFERROR(INDEX(PP_Grid[#Data],$DD982,95),0)</f>
        <v/>
      </c>
      <c r="CT982">
        <f>IFERROR(INDEX(PP_Grid[#Data],$DD982,96),0)</f>
        <v/>
      </c>
      <c r="CU982">
        <f>IFERROR(INDEX(PP_Grid[#Data],$DD982,97),0)</f>
        <v/>
      </c>
      <c r="CV982">
        <f>IFERROR(INDEX(PP_Grid[#Data],$DD982,98),0)</f>
        <v/>
      </c>
      <c r="CW982">
        <f>IFERROR(INDEX(PP_Grid[#Data],$DD982,99),0)</f>
        <v/>
      </c>
      <c r="CX982">
        <f>IFERROR(INDEX(PP_Grid[#Data],$DD982,100),0)</f>
        <v/>
      </c>
      <c r="CY982">
        <f>IFERROR(INDEX(PP_Grid[#Data],$DD982,101),0)</f>
        <v/>
      </c>
      <c r="CZ982">
        <f>IFERROR(INDEX(PP_Grid[#Data],$DD982,102),0)</f>
        <v/>
      </c>
      <c r="DA982">
        <f>IFERROR(INDEX(PP_Grid[#Data],$DD982,103),0)</f>
        <v/>
      </c>
      <c r="DB982">
        <f>IFERROR(INDEX(PP_Grid[#Data],$DD982,104),0)</f>
        <v/>
      </c>
      <c r="DC982">
        <f>IFERROR(INDEX(PP_Grid[#Data],$DD982,105),0)</f>
        <v/>
      </c>
      <c r="DD982" s="7">
        <f>IFERROR(MATCH($B982,PP_Grid[Intermediate],0),99999)</f>
        <v/>
      </c>
    </row>
    <row r="983">
      <c r="B983" t="inlineStr">
        <is>
          <t>使用量(kg)</t>
        </is>
      </c>
      <c r="C983">
        <f>SUMIFS(M_BOM[RM_Qty_Per_Batch],M_BOM[Intermediate],$B982,M_BOM[Part Name],$A973)</f>
        <v/>
      </c>
      <c r="D983">
        <f>$C983*D982</f>
        <v/>
      </c>
      <c r="E983">
        <f>$C983*E982</f>
        <v/>
      </c>
      <c r="F983">
        <f>$C983*F982</f>
        <v/>
      </c>
      <c r="G983">
        <f>$C983*G982</f>
        <v/>
      </c>
      <c r="H983">
        <f>$C983*H982</f>
        <v/>
      </c>
      <c r="I983">
        <f>$C983*I982</f>
        <v/>
      </c>
      <c r="J983">
        <f>$C983*J982</f>
        <v/>
      </c>
      <c r="K983">
        <f>$C983*K982</f>
        <v/>
      </c>
      <c r="L983">
        <f>$C983*L982</f>
        <v/>
      </c>
      <c r="M983">
        <f>$C983*M982</f>
        <v/>
      </c>
      <c r="N983">
        <f>$C983*N982</f>
        <v/>
      </c>
      <c r="O983">
        <f>$C983*O982</f>
        <v/>
      </c>
      <c r="P983">
        <f>$C983*P982</f>
        <v/>
      </c>
      <c r="Q983">
        <f>$C983*Q982</f>
        <v/>
      </c>
      <c r="R983">
        <f>$C983*R982</f>
        <v/>
      </c>
      <c r="S983">
        <f>$C983*S982</f>
        <v/>
      </c>
      <c r="T983">
        <f>$C983*T982</f>
        <v/>
      </c>
      <c r="U983">
        <f>$C983*U982</f>
        <v/>
      </c>
      <c r="V983">
        <f>$C983*V982</f>
        <v/>
      </c>
      <c r="W983">
        <f>$C983*W982</f>
        <v/>
      </c>
      <c r="X983">
        <f>$C983*X982</f>
        <v/>
      </c>
      <c r="Y983">
        <f>$C983*Y982</f>
        <v/>
      </c>
      <c r="Z983">
        <f>$C983*Z982</f>
        <v/>
      </c>
      <c r="AA983">
        <f>$C983*AA982</f>
        <v/>
      </c>
      <c r="AB983">
        <f>$C983*AB982</f>
        <v/>
      </c>
      <c r="AC983">
        <f>$C983*AC982</f>
        <v/>
      </c>
      <c r="AD983">
        <f>$C983*AD982</f>
        <v/>
      </c>
      <c r="AE983">
        <f>$C983*AE982</f>
        <v/>
      </c>
      <c r="AF983">
        <f>$C983*AF982</f>
        <v/>
      </c>
      <c r="AG983">
        <f>$C983*AG982</f>
        <v/>
      </c>
      <c r="AH983">
        <f>$C983*AH982</f>
        <v/>
      </c>
      <c r="AI983">
        <f>$C983*AI982</f>
        <v/>
      </c>
      <c r="AJ983">
        <f>$C983*AJ982</f>
        <v/>
      </c>
      <c r="AK983">
        <f>$C983*AK982</f>
        <v/>
      </c>
      <c r="AL983">
        <f>$C983*AL982</f>
        <v/>
      </c>
      <c r="AM983">
        <f>$C983*AM982</f>
        <v/>
      </c>
      <c r="AN983">
        <f>$C983*AN982</f>
        <v/>
      </c>
      <c r="AO983">
        <f>$C983*AO982</f>
        <v/>
      </c>
      <c r="AP983">
        <f>$C983*AP982</f>
        <v/>
      </c>
      <c r="AQ983">
        <f>$C983*AQ982</f>
        <v/>
      </c>
      <c r="AR983">
        <f>$C983*AR982</f>
        <v/>
      </c>
      <c r="AS983">
        <f>$C983*AS982</f>
        <v/>
      </c>
      <c r="AT983">
        <f>$C983*AT982</f>
        <v/>
      </c>
      <c r="AU983">
        <f>$C983*AU982</f>
        <v/>
      </c>
      <c r="AV983">
        <f>$C983*AV982</f>
        <v/>
      </c>
      <c r="AW983">
        <f>$C983*AW982</f>
        <v/>
      </c>
      <c r="AX983">
        <f>$C983*AX982</f>
        <v/>
      </c>
      <c r="AY983">
        <f>$C983*AY982</f>
        <v/>
      </c>
      <c r="AZ983">
        <f>$C983*AZ982</f>
        <v/>
      </c>
      <c r="BA983">
        <f>$C983*BA982</f>
        <v/>
      </c>
      <c r="BB983">
        <f>$C983*BB982</f>
        <v/>
      </c>
      <c r="BC983">
        <f>$C983*BC982</f>
        <v/>
      </c>
      <c r="BD983">
        <f>$C983*BD982</f>
        <v/>
      </c>
      <c r="BE983">
        <f>$C983*BE982</f>
        <v/>
      </c>
      <c r="BF983">
        <f>$C983*BF982</f>
        <v/>
      </c>
      <c r="BG983">
        <f>$C983*BG982</f>
        <v/>
      </c>
      <c r="BH983">
        <f>$C983*BH982</f>
        <v/>
      </c>
      <c r="BI983">
        <f>$C983*BI982</f>
        <v/>
      </c>
      <c r="BJ983">
        <f>$C983*BJ982</f>
        <v/>
      </c>
      <c r="BK983">
        <f>$C983*BK982</f>
        <v/>
      </c>
      <c r="BL983">
        <f>$C983*BL982</f>
        <v/>
      </c>
      <c r="BM983">
        <f>$C983*BM982</f>
        <v/>
      </c>
      <c r="BN983">
        <f>$C983*BN982</f>
        <v/>
      </c>
      <c r="BO983">
        <f>$C983*BO982</f>
        <v/>
      </c>
      <c r="BP983">
        <f>$C983*BP982</f>
        <v/>
      </c>
      <c r="BQ983">
        <f>$C983*BQ982</f>
        <v/>
      </c>
      <c r="BR983">
        <f>$C983*BR982</f>
        <v/>
      </c>
      <c r="BS983">
        <f>$C983*BS982</f>
        <v/>
      </c>
      <c r="BT983">
        <f>$C983*BT982</f>
        <v/>
      </c>
      <c r="BU983">
        <f>$C983*BU982</f>
        <v/>
      </c>
      <c r="BV983">
        <f>$C983*BV982</f>
        <v/>
      </c>
      <c r="BW983">
        <f>$C983*BW982</f>
        <v/>
      </c>
      <c r="BX983">
        <f>$C983*BX982</f>
        <v/>
      </c>
      <c r="BY983">
        <f>$C983*BY982</f>
        <v/>
      </c>
      <c r="BZ983">
        <f>$C983*BZ982</f>
        <v/>
      </c>
      <c r="CA983">
        <f>$C983*CA982</f>
        <v/>
      </c>
      <c r="CB983">
        <f>$C983*CB982</f>
        <v/>
      </c>
      <c r="CC983">
        <f>$C983*CC982</f>
        <v/>
      </c>
      <c r="CD983">
        <f>$C983*CD982</f>
        <v/>
      </c>
      <c r="CE983">
        <f>$C983*CE982</f>
        <v/>
      </c>
      <c r="CF983">
        <f>$C983*CF982</f>
        <v/>
      </c>
      <c r="CG983">
        <f>$C983*CG982</f>
        <v/>
      </c>
      <c r="CH983">
        <f>$C983*CH982</f>
        <v/>
      </c>
      <c r="CI983">
        <f>$C983*CI982</f>
        <v/>
      </c>
      <c r="CJ983">
        <f>$C983*CJ982</f>
        <v/>
      </c>
      <c r="CK983">
        <f>$C983*CK982</f>
        <v/>
      </c>
      <c r="CL983">
        <f>$C983*CL982</f>
        <v/>
      </c>
      <c r="CM983">
        <f>$C983*CM982</f>
        <v/>
      </c>
      <c r="CN983">
        <f>$C983*CN982</f>
        <v/>
      </c>
      <c r="CO983">
        <f>$C983*CO982</f>
        <v/>
      </c>
      <c r="CP983">
        <f>$C983*CP982</f>
        <v/>
      </c>
      <c r="CQ983">
        <f>$C983*CQ982</f>
        <v/>
      </c>
      <c r="CR983">
        <f>$C983*CR982</f>
        <v/>
      </c>
      <c r="CS983">
        <f>$C983*CS982</f>
        <v/>
      </c>
      <c r="CT983">
        <f>$C983*CT982</f>
        <v/>
      </c>
      <c r="CU983">
        <f>$C983*CU982</f>
        <v/>
      </c>
      <c r="CV983">
        <f>$C983*CV982</f>
        <v/>
      </c>
      <c r="CW983">
        <f>$C983*CW982</f>
        <v/>
      </c>
      <c r="CX983">
        <f>$C983*CX982</f>
        <v/>
      </c>
      <c r="CY983">
        <f>$C983*CY982</f>
        <v/>
      </c>
      <c r="CZ983">
        <f>$C983*CZ982</f>
        <v/>
      </c>
      <c r="DA983">
        <f>$C983*DA982</f>
        <v/>
      </c>
      <c r="DB983">
        <f>$C983*DB982</f>
        <v/>
      </c>
      <c r="DC983">
        <f>$C983*DC982</f>
        <v/>
      </c>
    </row>
    <row r="984">
      <c r="B984" t="inlineStr">
        <is>
          <t>TPP-919</t>
        </is>
      </c>
      <c r="C984" t="inlineStr">
        <is>
          <t>No. of batches</t>
        </is>
      </c>
      <c r="D984">
        <f>IFERROR(INDEX(PP_Grid[#Data],$DD984,2),0)</f>
        <v/>
      </c>
      <c r="E984">
        <f>IFERROR(INDEX(PP_Grid[#Data],$DD984,3),0)</f>
        <v/>
      </c>
      <c r="F984">
        <f>IFERROR(INDEX(PP_Grid[#Data],$DD984,4),0)</f>
        <v/>
      </c>
      <c r="G984">
        <f>IFERROR(INDEX(PP_Grid[#Data],$DD984,5),0)</f>
        <v/>
      </c>
      <c r="H984">
        <f>IFERROR(INDEX(PP_Grid[#Data],$DD984,6),0)</f>
        <v/>
      </c>
      <c r="I984">
        <f>IFERROR(INDEX(PP_Grid[#Data],$DD984,7),0)</f>
        <v/>
      </c>
      <c r="J984">
        <f>IFERROR(INDEX(PP_Grid[#Data],$DD984,8),0)</f>
        <v/>
      </c>
      <c r="K984">
        <f>IFERROR(INDEX(PP_Grid[#Data],$DD984,9),0)</f>
        <v/>
      </c>
      <c r="L984">
        <f>IFERROR(INDEX(PP_Grid[#Data],$DD984,10),0)</f>
        <v/>
      </c>
      <c r="M984">
        <f>IFERROR(INDEX(PP_Grid[#Data],$DD984,11),0)</f>
        <v/>
      </c>
      <c r="N984">
        <f>IFERROR(INDEX(PP_Grid[#Data],$DD984,12),0)</f>
        <v/>
      </c>
      <c r="O984">
        <f>IFERROR(INDEX(PP_Grid[#Data],$DD984,13),0)</f>
        <v/>
      </c>
      <c r="P984">
        <f>IFERROR(INDEX(PP_Grid[#Data],$DD984,14),0)</f>
        <v/>
      </c>
      <c r="Q984">
        <f>IFERROR(INDEX(PP_Grid[#Data],$DD984,15),0)</f>
        <v/>
      </c>
      <c r="R984">
        <f>IFERROR(INDEX(PP_Grid[#Data],$DD984,16),0)</f>
        <v/>
      </c>
      <c r="S984">
        <f>IFERROR(INDEX(PP_Grid[#Data],$DD984,17),0)</f>
        <v/>
      </c>
      <c r="T984">
        <f>IFERROR(INDEX(PP_Grid[#Data],$DD984,18),0)</f>
        <v/>
      </c>
      <c r="U984">
        <f>IFERROR(INDEX(PP_Grid[#Data],$DD984,19),0)</f>
        <v/>
      </c>
      <c r="V984">
        <f>IFERROR(INDEX(PP_Grid[#Data],$DD984,20),0)</f>
        <v/>
      </c>
      <c r="W984">
        <f>IFERROR(INDEX(PP_Grid[#Data],$DD984,21),0)</f>
        <v/>
      </c>
      <c r="X984">
        <f>IFERROR(INDEX(PP_Grid[#Data],$DD984,22),0)</f>
        <v/>
      </c>
      <c r="Y984">
        <f>IFERROR(INDEX(PP_Grid[#Data],$DD984,23),0)</f>
        <v/>
      </c>
      <c r="Z984">
        <f>IFERROR(INDEX(PP_Grid[#Data],$DD984,24),0)</f>
        <v/>
      </c>
      <c r="AA984">
        <f>IFERROR(INDEX(PP_Grid[#Data],$DD984,25),0)</f>
        <v/>
      </c>
      <c r="AB984">
        <f>IFERROR(INDEX(PP_Grid[#Data],$DD984,26),0)</f>
        <v/>
      </c>
      <c r="AC984">
        <f>IFERROR(INDEX(PP_Grid[#Data],$DD984,27),0)</f>
        <v/>
      </c>
      <c r="AD984">
        <f>IFERROR(INDEX(PP_Grid[#Data],$DD984,28),0)</f>
        <v/>
      </c>
      <c r="AE984">
        <f>IFERROR(INDEX(PP_Grid[#Data],$DD984,29),0)</f>
        <v/>
      </c>
      <c r="AF984">
        <f>IFERROR(INDEX(PP_Grid[#Data],$DD984,30),0)</f>
        <v/>
      </c>
      <c r="AG984">
        <f>IFERROR(INDEX(PP_Grid[#Data],$DD984,31),0)</f>
        <v/>
      </c>
      <c r="AH984">
        <f>IFERROR(INDEX(PP_Grid[#Data],$DD984,32),0)</f>
        <v/>
      </c>
      <c r="AI984">
        <f>IFERROR(INDEX(PP_Grid[#Data],$DD984,33),0)</f>
        <v/>
      </c>
      <c r="AJ984">
        <f>IFERROR(INDEX(PP_Grid[#Data],$DD984,34),0)</f>
        <v/>
      </c>
      <c r="AK984">
        <f>IFERROR(INDEX(PP_Grid[#Data],$DD984,35),0)</f>
        <v/>
      </c>
      <c r="AL984">
        <f>IFERROR(INDEX(PP_Grid[#Data],$DD984,36),0)</f>
        <v/>
      </c>
      <c r="AM984">
        <f>IFERROR(INDEX(PP_Grid[#Data],$DD984,37),0)</f>
        <v/>
      </c>
      <c r="AN984">
        <f>IFERROR(INDEX(PP_Grid[#Data],$DD984,38),0)</f>
        <v/>
      </c>
      <c r="AO984">
        <f>IFERROR(INDEX(PP_Grid[#Data],$DD984,39),0)</f>
        <v/>
      </c>
      <c r="AP984">
        <f>IFERROR(INDEX(PP_Grid[#Data],$DD984,40),0)</f>
        <v/>
      </c>
      <c r="AQ984">
        <f>IFERROR(INDEX(PP_Grid[#Data],$DD984,41),0)</f>
        <v/>
      </c>
      <c r="AR984">
        <f>IFERROR(INDEX(PP_Grid[#Data],$DD984,42),0)</f>
        <v/>
      </c>
      <c r="AS984">
        <f>IFERROR(INDEX(PP_Grid[#Data],$DD984,43),0)</f>
        <v/>
      </c>
      <c r="AT984">
        <f>IFERROR(INDEX(PP_Grid[#Data],$DD984,44),0)</f>
        <v/>
      </c>
      <c r="AU984">
        <f>IFERROR(INDEX(PP_Grid[#Data],$DD984,45),0)</f>
        <v/>
      </c>
      <c r="AV984">
        <f>IFERROR(INDEX(PP_Grid[#Data],$DD984,46),0)</f>
        <v/>
      </c>
      <c r="AW984">
        <f>IFERROR(INDEX(PP_Grid[#Data],$DD984,47),0)</f>
        <v/>
      </c>
      <c r="AX984">
        <f>IFERROR(INDEX(PP_Grid[#Data],$DD984,48),0)</f>
        <v/>
      </c>
      <c r="AY984">
        <f>IFERROR(INDEX(PP_Grid[#Data],$DD984,49),0)</f>
        <v/>
      </c>
      <c r="AZ984">
        <f>IFERROR(INDEX(PP_Grid[#Data],$DD984,50),0)</f>
        <v/>
      </c>
      <c r="BA984">
        <f>IFERROR(INDEX(PP_Grid[#Data],$DD984,51),0)</f>
        <v/>
      </c>
      <c r="BB984">
        <f>IFERROR(INDEX(PP_Grid[#Data],$DD984,52),0)</f>
        <v/>
      </c>
      <c r="BC984">
        <f>IFERROR(INDEX(PP_Grid[#Data],$DD984,53),0)</f>
        <v/>
      </c>
      <c r="BD984">
        <f>IFERROR(INDEX(PP_Grid[#Data],$DD984,54),0)</f>
        <v/>
      </c>
      <c r="BE984">
        <f>IFERROR(INDEX(PP_Grid[#Data],$DD984,55),0)</f>
        <v/>
      </c>
      <c r="BF984">
        <f>IFERROR(INDEX(PP_Grid[#Data],$DD984,56),0)</f>
        <v/>
      </c>
      <c r="BG984">
        <f>IFERROR(INDEX(PP_Grid[#Data],$DD984,57),0)</f>
        <v/>
      </c>
      <c r="BH984">
        <f>IFERROR(INDEX(PP_Grid[#Data],$DD984,58),0)</f>
        <v/>
      </c>
      <c r="BI984">
        <f>IFERROR(INDEX(PP_Grid[#Data],$DD984,59),0)</f>
        <v/>
      </c>
      <c r="BJ984">
        <f>IFERROR(INDEX(PP_Grid[#Data],$DD984,60),0)</f>
        <v/>
      </c>
      <c r="BK984">
        <f>IFERROR(INDEX(PP_Grid[#Data],$DD984,61),0)</f>
        <v/>
      </c>
      <c r="BL984">
        <f>IFERROR(INDEX(PP_Grid[#Data],$DD984,62),0)</f>
        <v/>
      </c>
      <c r="BM984">
        <f>IFERROR(INDEX(PP_Grid[#Data],$DD984,63),0)</f>
        <v/>
      </c>
      <c r="BN984">
        <f>IFERROR(INDEX(PP_Grid[#Data],$DD984,64),0)</f>
        <v/>
      </c>
      <c r="BO984">
        <f>IFERROR(INDEX(PP_Grid[#Data],$DD984,65),0)</f>
        <v/>
      </c>
      <c r="BP984">
        <f>IFERROR(INDEX(PP_Grid[#Data],$DD984,66),0)</f>
        <v/>
      </c>
      <c r="BQ984">
        <f>IFERROR(INDEX(PP_Grid[#Data],$DD984,67),0)</f>
        <v/>
      </c>
      <c r="BR984">
        <f>IFERROR(INDEX(PP_Grid[#Data],$DD984,68),0)</f>
        <v/>
      </c>
      <c r="BS984">
        <f>IFERROR(INDEX(PP_Grid[#Data],$DD984,69),0)</f>
        <v/>
      </c>
      <c r="BT984">
        <f>IFERROR(INDEX(PP_Grid[#Data],$DD984,70),0)</f>
        <v/>
      </c>
      <c r="BU984">
        <f>IFERROR(INDEX(PP_Grid[#Data],$DD984,71),0)</f>
        <v/>
      </c>
      <c r="BV984">
        <f>IFERROR(INDEX(PP_Grid[#Data],$DD984,72),0)</f>
        <v/>
      </c>
      <c r="BW984">
        <f>IFERROR(INDEX(PP_Grid[#Data],$DD984,73),0)</f>
        <v/>
      </c>
      <c r="BX984">
        <f>IFERROR(INDEX(PP_Grid[#Data],$DD984,74),0)</f>
        <v/>
      </c>
      <c r="BY984">
        <f>IFERROR(INDEX(PP_Grid[#Data],$DD984,75),0)</f>
        <v/>
      </c>
      <c r="BZ984">
        <f>IFERROR(INDEX(PP_Grid[#Data],$DD984,76),0)</f>
        <v/>
      </c>
      <c r="CA984">
        <f>IFERROR(INDEX(PP_Grid[#Data],$DD984,77),0)</f>
        <v/>
      </c>
      <c r="CB984">
        <f>IFERROR(INDEX(PP_Grid[#Data],$DD984,78),0)</f>
        <v/>
      </c>
      <c r="CC984">
        <f>IFERROR(INDEX(PP_Grid[#Data],$DD984,79),0)</f>
        <v/>
      </c>
      <c r="CD984">
        <f>IFERROR(INDEX(PP_Grid[#Data],$DD984,80),0)</f>
        <v/>
      </c>
      <c r="CE984">
        <f>IFERROR(INDEX(PP_Grid[#Data],$DD984,81),0)</f>
        <v/>
      </c>
      <c r="CF984">
        <f>IFERROR(INDEX(PP_Grid[#Data],$DD984,82),0)</f>
        <v/>
      </c>
      <c r="CG984">
        <f>IFERROR(INDEX(PP_Grid[#Data],$DD984,83),0)</f>
        <v/>
      </c>
      <c r="CH984">
        <f>IFERROR(INDEX(PP_Grid[#Data],$DD984,84),0)</f>
        <v/>
      </c>
      <c r="CI984">
        <f>IFERROR(INDEX(PP_Grid[#Data],$DD984,85),0)</f>
        <v/>
      </c>
      <c r="CJ984">
        <f>IFERROR(INDEX(PP_Grid[#Data],$DD984,86),0)</f>
        <v/>
      </c>
      <c r="CK984">
        <f>IFERROR(INDEX(PP_Grid[#Data],$DD984,87),0)</f>
        <v/>
      </c>
      <c r="CL984">
        <f>IFERROR(INDEX(PP_Grid[#Data],$DD984,88),0)</f>
        <v/>
      </c>
      <c r="CM984">
        <f>IFERROR(INDEX(PP_Grid[#Data],$DD984,89),0)</f>
        <v/>
      </c>
      <c r="CN984">
        <f>IFERROR(INDEX(PP_Grid[#Data],$DD984,90),0)</f>
        <v/>
      </c>
      <c r="CO984">
        <f>IFERROR(INDEX(PP_Grid[#Data],$DD984,91),0)</f>
        <v/>
      </c>
      <c r="CP984">
        <f>IFERROR(INDEX(PP_Grid[#Data],$DD984,92),0)</f>
        <v/>
      </c>
      <c r="CQ984">
        <f>IFERROR(INDEX(PP_Grid[#Data],$DD984,93),0)</f>
        <v/>
      </c>
      <c r="CR984">
        <f>IFERROR(INDEX(PP_Grid[#Data],$DD984,94),0)</f>
        <v/>
      </c>
      <c r="CS984">
        <f>IFERROR(INDEX(PP_Grid[#Data],$DD984,95),0)</f>
        <v/>
      </c>
      <c r="CT984">
        <f>IFERROR(INDEX(PP_Grid[#Data],$DD984,96),0)</f>
        <v/>
      </c>
      <c r="CU984">
        <f>IFERROR(INDEX(PP_Grid[#Data],$DD984,97),0)</f>
        <v/>
      </c>
      <c r="CV984">
        <f>IFERROR(INDEX(PP_Grid[#Data],$DD984,98),0)</f>
        <v/>
      </c>
      <c r="CW984">
        <f>IFERROR(INDEX(PP_Grid[#Data],$DD984,99),0)</f>
        <v/>
      </c>
      <c r="CX984">
        <f>IFERROR(INDEX(PP_Grid[#Data],$DD984,100),0)</f>
        <v/>
      </c>
      <c r="CY984">
        <f>IFERROR(INDEX(PP_Grid[#Data],$DD984,101),0)</f>
        <v/>
      </c>
      <c r="CZ984">
        <f>IFERROR(INDEX(PP_Grid[#Data],$DD984,102),0)</f>
        <v/>
      </c>
      <c r="DA984">
        <f>IFERROR(INDEX(PP_Grid[#Data],$DD984,103),0)</f>
        <v/>
      </c>
      <c r="DB984">
        <f>IFERROR(INDEX(PP_Grid[#Data],$DD984,104),0)</f>
        <v/>
      </c>
      <c r="DC984">
        <f>IFERROR(INDEX(PP_Grid[#Data],$DD984,105),0)</f>
        <v/>
      </c>
      <c r="DD984" s="7">
        <f>IFERROR(MATCH($B984,PP_Grid[Intermediate],0),99999)</f>
        <v/>
      </c>
    </row>
    <row r="985">
      <c r="B985" t="inlineStr">
        <is>
          <t>使用量(kg)</t>
        </is>
      </c>
      <c r="C985">
        <f>SUMIFS(M_BOM[RM_Qty_Per_Batch],M_BOM[Intermediate],$B984,M_BOM[Part Name],$A973)</f>
        <v/>
      </c>
      <c r="D985">
        <f>$C985*D984</f>
        <v/>
      </c>
      <c r="E985">
        <f>$C985*E984</f>
        <v/>
      </c>
      <c r="F985">
        <f>$C985*F984</f>
        <v/>
      </c>
      <c r="G985">
        <f>$C985*G984</f>
        <v/>
      </c>
      <c r="H985">
        <f>$C985*H984</f>
        <v/>
      </c>
      <c r="I985">
        <f>$C985*I984</f>
        <v/>
      </c>
      <c r="J985">
        <f>$C985*J984</f>
        <v/>
      </c>
      <c r="K985">
        <f>$C985*K984</f>
        <v/>
      </c>
      <c r="L985">
        <f>$C985*L984</f>
        <v/>
      </c>
      <c r="M985">
        <f>$C985*M984</f>
        <v/>
      </c>
      <c r="N985">
        <f>$C985*N984</f>
        <v/>
      </c>
      <c r="O985">
        <f>$C985*O984</f>
        <v/>
      </c>
      <c r="P985">
        <f>$C985*P984</f>
        <v/>
      </c>
      <c r="Q985">
        <f>$C985*Q984</f>
        <v/>
      </c>
      <c r="R985">
        <f>$C985*R984</f>
        <v/>
      </c>
      <c r="S985">
        <f>$C985*S984</f>
        <v/>
      </c>
      <c r="T985">
        <f>$C985*T984</f>
        <v/>
      </c>
      <c r="U985">
        <f>$C985*U984</f>
        <v/>
      </c>
      <c r="V985">
        <f>$C985*V984</f>
        <v/>
      </c>
      <c r="W985">
        <f>$C985*W984</f>
        <v/>
      </c>
      <c r="X985">
        <f>$C985*X984</f>
        <v/>
      </c>
      <c r="Y985">
        <f>$C985*Y984</f>
        <v/>
      </c>
      <c r="Z985">
        <f>$C985*Z984</f>
        <v/>
      </c>
      <c r="AA985">
        <f>$C985*AA984</f>
        <v/>
      </c>
      <c r="AB985">
        <f>$C985*AB984</f>
        <v/>
      </c>
      <c r="AC985">
        <f>$C985*AC984</f>
        <v/>
      </c>
      <c r="AD985">
        <f>$C985*AD984</f>
        <v/>
      </c>
      <c r="AE985">
        <f>$C985*AE984</f>
        <v/>
      </c>
      <c r="AF985">
        <f>$C985*AF984</f>
        <v/>
      </c>
      <c r="AG985">
        <f>$C985*AG984</f>
        <v/>
      </c>
      <c r="AH985">
        <f>$C985*AH984</f>
        <v/>
      </c>
      <c r="AI985">
        <f>$C985*AI984</f>
        <v/>
      </c>
      <c r="AJ985">
        <f>$C985*AJ984</f>
        <v/>
      </c>
      <c r="AK985">
        <f>$C985*AK984</f>
        <v/>
      </c>
      <c r="AL985">
        <f>$C985*AL984</f>
        <v/>
      </c>
      <c r="AM985">
        <f>$C985*AM984</f>
        <v/>
      </c>
      <c r="AN985">
        <f>$C985*AN984</f>
        <v/>
      </c>
      <c r="AO985">
        <f>$C985*AO984</f>
        <v/>
      </c>
      <c r="AP985">
        <f>$C985*AP984</f>
        <v/>
      </c>
      <c r="AQ985">
        <f>$C985*AQ984</f>
        <v/>
      </c>
      <c r="AR985">
        <f>$C985*AR984</f>
        <v/>
      </c>
      <c r="AS985">
        <f>$C985*AS984</f>
        <v/>
      </c>
      <c r="AT985">
        <f>$C985*AT984</f>
        <v/>
      </c>
      <c r="AU985">
        <f>$C985*AU984</f>
        <v/>
      </c>
      <c r="AV985">
        <f>$C985*AV984</f>
        <v/>
      </c>
      <c r="AW985">
        <f>$C985*AW984</f>
        <v/>
      </c>
      <c r="AX985">
        <f>$C985*AX984</f>
        <v/>
      </c>
      <c r="AY985">
        <f>$C985*AY984</f>
        <v/>
      </c>
      <c r="AZ985">
        <f>$C985*AZ984</f>
        <v/>
      </c>
      <c r="BA985">
        <f>$C985*BA984</f>
        <v/>
      </c>
      <c r="BB985">
        <f>$C985*BB984</f>
        <v/>
      </c>
      <c r="BC985">
        <f>$C985*BC984</f>
        <v/>
      </c>
      <c r="BD985">
        <f>$C985*BD984</f>
        <v/>
      </c>
      <c r="BE985">
        <f>$C985*BE984</f>
        <v/>
      </c>
      <c r="BF985">
        <f>$C985*BF984</f>
        <v/>
      </c>
      <c r="BG985">
        <f>$C985*BG984</f>
        <v/>
      </c>
      <c r="BH985">
        <f>$C985*BH984</f>
        <v/>
      </c>
      <c r="BI985">
        <f>$C985*BI984</f>
        <v/>
      </c>
      <c r="BJ985">
        <f>$C985*BJ984</f>
        <v/>
      </c>
      <c r="BK985">
        <f>$C985*BK984</f>
        <v/>
      </c>
      <c r="BL985">
        <f>$C985*BL984</f>
        <v/>
      </c>
      <c r="BM985">
        <f>$C985*BM984</f>
        <v/>
      </c>
      <c r="BN985">
        <f>$C985*BN984</f>
        <v/>
      </c>
      <c r="BO985">
        <f>$C985*BO984</f>
        <v/>
      </c>
      <c r="BP985">
        <f>$C985*BP984</f>
        <v/>
      </c>
      <c r="BQ985">
        <f>$C985*BQ984</f>
        <v/>
      </c>
      <c r="BR985">
        <f>$C985*BR984</f>
        <v/>
      </c>
      <c r="BS985">
        <f>$C985*BS984</f>
        <v/>
      </c>
      <c r="BT985">
        <f>$C985*BT984</f>
        <v/>
      </c>
      <c r="BU985">
        <f>$C985*BU984</f>
        <v/>
      </c>
      <c r="BV985">
        <f>$C985*BV984</f>
        <v/>
      </c>
      <c r="BW985">
        <f>$C985*BW984</f>
        <v/>
      </c>
      <c r="BX985">
        <f>$C985*BX984</f>
        <v/>
      </c>
      <c r="BY985">
        <f>$C985*BY984</f>
        <v/>
      </c>
      <c r="BZ985">
        <f>$C985*BZ984</f>
        <v/>
      </c>
      <c r="CA985">
        <f>$C985*CA984</f>
        <v/>
      </c>
      <c r="CB985">
        <f>$C985*CB984</f>
        <v/>
      </c>
      <c r="CC985">
        <f>$C985*CC984</f>
        <v/>
      </c>
      <c r="CD985">
        <f>$C985*CD984</f>
        <v/>
      </c>
      <c r="CE985">
        <f>$C985*CE984</f>
        <v/>
      </c>
      <c r="CF985">
        <f>$C985*CF984</f>
        <v/>
      </c>
      <c r="CG985">
        <f>$C985*CG984</f>
        <v/>
      </c>
      <c r="CH985">
        <f>$C985*CH984</f>
        <v/>
      </c>
      <c r="CI985">
        <f>$C985*CI984</f>
        <v/>
      </c>
      <c r="CJ985">
        <f>$C985*CJ984</f>
        <v/>
      </c>
      <c r="CK985">
        <f>$C985*CK984</f>
        <v/>
      </c>
      <c r="CL985">
        <f>$C985*CL984</f>
        <v/>
      </c>
      <c r="CM985">
        <f>$C985*CM984</f>
        <v/>
      </c>
      <c r="CN985">
        <f>$C985*CN984</f>
        <v/>
      </c>
      <c r="CO985">
        <f>$C985*CO984</f>
        <v/>
      </c>
      <c r="CP985">
        <f>$C985*CP984</f>
        <v/>
      </c>
      <c r="CQ985">
        <f>$C985*CQ984</f>
        <v/>
      </c>
      <c r="CR985">
        <f>$C985*CR984</f>
        <v/>
      </c>
      <c r="CS985">
        <f>$C985*CS984</f>
        <v/>
      </c>
      <c r="CT985">
        <f>$C985*CT984</f>
        <v/>
      </c>
      <c r="CU985">
        <f>$C985*CU984</f>
        <v/>
      </c>
      <c r="CV985">
        <f>$C985*CV984</f>
        <v/>
      </c>
      <c r="CW985">
        <f>$C985*CW984</f>
        <v/>
      </c>
      <c r="CX985">
        <f>$C985*CX984</f>
        <v/>
      </c>
      <c r="CY985">
        <f>$C985*CY984</f>
        <v/>
      </c>
      <c r="CZ985">
        <f>$C985*CZ984</f>
        <v/>
      </c>
      <c r="DA985">
        <f>$C985*DA984</f>
        <v/>
      </c>
      <c r="DB985">
        <f>$C985*DB984</f>
        <v/>
      </c>
      <c r="DC985">
        <f>$C985*DC984</f>
        <v/>
      </c>
    </row>
    <row r="986">
      <c r="B986" t="inlineStr">
        <is>
          <t>TPP-916</t>
        </is>
      </c>
      <c r="C986" t="inlineStr">
        <is>
          <t>No. of batches</t>
        </is>
      </c>
      <c r="D986">
        <f>IFERROR(INDEX(PP_Grid[#Data],$DD986,2),0)</f>
        <v/>
      </c>
      <c r="E986">
        <f>IFERROR(INDEX(PP_Grid[#Data],$DD986,3),0)</f>
        <v/>
      </c>
      <c r="F986">
        <f>IFERROR(INDEX(PP_Grid[#Data],$DD986,4),0)</f>
        <v/>
      </c>
      <c r="G986">
        <f>IFERROR(INDEX(PP_Grid[#Data],$DD986,5),0)</f>
        <v/>
      </c>
      <c r="H986">
        <f>IFERROR(INDEX(PP_Grid[#Data],$DD986,6),0)</f>
        <v/>
      </c>
      <c r="I986">
        <f>IFERROR(INDEX(PP_Grid[#Data],$DD986,7),0)</f>
        <v/>
      </c>
      <c r="J986">
        <f>IFERROR(INDEX(PP_Grid[#Data],$DD986,8),0)</f>
        <v/>
      </c>
      <c r="K986">
        <f>IFERROR(INDEX(PP_Grid[#Data],$DD986,9),0)</f>
        <v/>
      </c>
      <c r="L986">
        <f>IFERROR(INDEX(PP_Grid[#Data],$DD986,10),0)</f>
        <v/>
      </c>
      <c r="M986">
        <f>IFERROR(INDEX(PP_Grid[#Data],$DD986,11),0)</f>
        <v/>
      </c>
      <c r="N986">
        <f>IFERROR(INDEX(PP_Grid[#Data],$DD986,12),0)</f>
        <v/>
      </c>
      <c r="O986">
        <f>IFERROR(INDEX(PP_Grid[#Data],$DD986,13),0)</f>
        <v/>
      </c>
      <c r="P986">
        <f>IFERROR(INDEX(PP_Grid[#Data],$DD986,14),0)</f>
        <v/>
      </c>
      <c r="Q986">
        <f>IFERROR(INDEX(PP_Grid[#Data],$DD986,15),0)</f>
        <v/>
      </c>
      <c r="R986">
        <f>IFERROR(INDEX(PP_Grid[#Data],$DD986,16),0)</f>
        <v/>
      </c>
      <c r="S986">
        <f>IFERROR(INDEX(PP_Grid[#Data],$DD986,17),0)</f>
        <v/>
      </c>
      <c r="T986">
        <f>IFERROR(INDEX(PP_Grid[#Data],$DD986,18),0)</f>
        <v/>
      </c>
      <c r="U986">
        <f>IFERROR(INDEX(PP_Grid[#Data],$DD986,19),0)</f>
        <v/>
      </c>
      <c r="V986">
        <f>IFERROR(INDEX(PP_Grid[#Data],$DD986,20),0)</f>
        <v/>
      </c>
      <c r="W986">
        <f>IFERROR(INDEX(PP_Grid[#Data],$DD986,21),0)</f>
        <v/>
      </c>
      <c r="X986">
        <f>IFERROR(INDEX(PP_Grid[#Data],$DD986,22),0)</f>
        <v/>
      </c>
      <c r="Y986">
        <f>IFERROR(INDEX(PP_Grid[#Data],$DD986,23),0)</f>
        <v/>
      </c>
      <c r="Z986">
        <f>IFERROR(INDEX(PP_Grid[#Data],$DD986,24),0)</f>
        <v/>
      </c>
      <c r="AA986">
        <f>IFERROR(INDEX(PP_Grid[#Data],$DD986,25),0)</f>
        <v/>
      </c>
      <c r="AB986">
        <f>IFERROR(INDEX(PP_Grid[#Data],$DD986,26),0)</f>
        <v/>
      </c>
      <c r="AC986">
        <f>IFERROR(INDEX(PP_Grid[#Data],$DD986,27),0)</f>
        <v/>
      </c>
      <c r="AD986">
        <f>IFERROR(INDEX(PP_Grid[#Data],$DD986,28),0)</f>
        <v/>
      </c>
      <c r="AE986">
        <f>IFERROR(INDEX(PP_Grid[#Data],$DD986,29),0)</f>
        <v/>
      </c>
      <c r="AF986">
        <f>IFERROR(INDEX(PP_Grid[#Data],$DD986,30),0)</f>
        <v/>
      </c>
      <c r="AG986">
        <f>IFERROR(INDEX(PP_Grid[#Data],$DD986,31),0)</f>
        <v/>
      </c>
      <c r="AH986">
        <f>IFERROR(INDEX(PP_Grid[#Data],$DD986,32),0)</f>
        <v/>
      </c>
      <c r="AI986">
        <f>IFERROR(INDEX(PP_Grid[#Data],$DD986,33),0)</f>
        <v/>
      </c>
      <c r="AJ986">
        <f>IFERROR(INDEX(PP_Grid[#Data],$DD986,34),0)</f>
        <v/>
      </c>
      <c r="AK986">
        <f>IFERROR(INDEX(PP_Grid[#Data],$DD986,35),0)</f>
        <v/>
      </c>
      <c r="AL986">
        <f>IFERROR(INDEX(PP_Grid[#Data],$DD986,36),0)</f>
        <v/>
      </c>
      <c r="AM986">
        <f>IFERROR(INDEX(PP_Grid[#Data],$DD986,37),0)</f>
        <v/>
      </c>
      <c r="AN986">
        <f>IFERROR(INDEX(PP_Grid[#Data],$DD986,38),0)</f>
        <v/>
      </c>
      <c r="AO986">
        <f>IFERROR(INDEX(PP_Grid[#Data],$DD986,39),0)</f>
        <v/>
      </c>
      <c r="AP986">
        <f>IFERROR(INDEX(PP_Grid[#Data],$DD986,40),0)</f>
        <v/>
      </c>
      <c r="AQ986">
        <f>IFERROR(INDEX(PP_Grid[#Data],$DD986,41),0)</f>
        <v/>
      </c>
      <c r="AR986">
        <f>IFERROR(INDEX(PP_Grid[#Data],$DD986,42),0)</f>
        <v/>
      </c>
      <c r="AS986">
        <f>IFERROR(INDEX(PP_Grid[#Data],$DD986,43),0)</f>
        <v/>
      </c>
      <c r="AT986">
        <f>IFERROR(INDEX(PP_Grid[#Data],$DD986,44),0)</f>
        <v/>
      </c>
      <c r="AU986">
        <f>IFERROR(INDEX(PP_Grid[#Data],$DD986,45),0)</f>
        <v/>
      </c>
      <c r="AV986">
        <f>IFERROR(INDEX(PP_Grid[#Data],$DD986,46),0)</f>
        <v/>
      </c>
      <c r="AW986">
        <f>IFERROR(INDEX(PP_Grid[#Data],$DD986,47),0)</f>
        <v/>
      </c>
      <c r="AX986">
        <f>IFERROR(INDEX(PP_Grid[#Data],$DD986,48),0)</f>
        <v/>
      </c>
      <c r="AY986">
        <f>IFERROR(INDEX(PP_Grid[#Data],$DD986,49),0)</f>
        <v/>
      </c>
      <c r="AZ986">
        <f>IFERROR(INDEX(PP_Grid[#Data],$DD986,50),0)</f>
        <v/>
      </c>
      <c r="BA986">
        <f>IFERROR(INDEX(PP_Grid[#Data],$DD986,51),0)</f>
        <v/>
      </c>
      <c r="BB986">
        <f>IFERROR(INDEX(PP_Grid[#Data],$DD986,52),0)</f>
        <v/>
      </c>
      <c r="BC986">
        <f>IFERROR(INDEX(PP_Grid[#Data],$DD986,53),0)</f>
        <v/>
      </c>
      <c r="BD986">
        <f>IFERROR(INDEX(PP_Grid[#Data],$DD986,54),0)</f>
        <v/>
      </c>
      <c r="BE986">
        <f>IFERROR(INDEX(PP_Grid[#Data],$DD986,55),0)</f>
        <v/>
      </c>
      <c r="BF986">
        <f>IFERROR(INDEX(PP_Grid[#Data],$DD986,56),0)</f>
        <v/>
      </c>
      <c r="BG986">
        <f>IFERROR(INDEX(PP_Grid[#Data],$DD986,57),0)</f>
        <v/>
      </c>
      <c r="BH986">
        <f>IFERROR(INDEX(PP_Grid[#Data],$DD986,58),0)</f>
        <v/>
      </c>
      <c r="BI986">
        <f>IFERROR(INDEX(PP_Grid[#Data],$DD986,59),0)</f>
        <v/>
      </c>
      <c r="BJ986">
        <f>IFERROR(INDEX(PP_Grid[#Data],$DD986,60),0)</f>
        <v/>
      </c>
      <c r="BK986">
        <f>IFERROR(INDEX(PP_Grid[#Data],$DD986,61),0)</f>
        <v/>
      </c>
      <c r="BL986">
        <f>IFERROR(INDEX(PP_Grid[#Data],$DD986,62),0)</f>
        <v/>
      </c>
      <c r="BM986">
        <f>IFERROR(INDEX(PP_Grid[#Data],$DD986,63),0)</f>
        <v/>
      </c>
      <c r="BN986">
        <f>IFERROR(INDEX(PP_Grid[#Data],$DD986,64),0)</f>
        <v/>
      </c>
      <c r="BO986">
        <f>IFERROR(INDEX(PP_Grid[#Data],$DD986,65),0)</f>
        <v/>
      </c>
      <c r="BP986">
        <f>IFERROR(INDEX(PP_Grid[#Data],$DD986,66),0)</f>
        <v/>
      </c>
      <c r="BQ986">
        <f>IFERROR(INDEX(PP_Grid[#Data],$DD986,67),0)</f>
        <v/>
      </c>
      <c r="BR986">
        <f>IFERROR(INDEX(PP_Grid[#Data],$DD986,68),0)</f>
        <v/>
      </c>
      <c r="BS986">
        <f>IFERROR(INDEX(PP_Grid[#Data],$DD986,69),0)</f>
        <v/>
      </c>
      <c r="BT986">
        <f>IFERROR(INDEX(PP_Grid[#Data],$DD986,70),0)</f>
        <v/>
      </c>
      <c r="BU986">
        <f>IFERROR(INDEX(PP_Grid[#Data],$DD986,71),0)</f>
        <v/>
      </c>
      <c r="BV986">
        <f>IFERROR(INDEX(PP_Grid[#Data],$DD986,72),0)</f>
        <v/>
      </c>
      <c r="BW986">
        <f>IFERROR(INDEX(PP_Grid[#Data],$DD986,73),0)</f>
        <v/>
      </c>
      <c r="BX986">
        <f>IFERROR(INDEX(PP_Grid[#Data],$DD986,74),0)</f>
        <v/>
      </c>
      <c r="BY986">
        <f>IFERROR(INDEX(PP_Grid[#Data],$DD986,75),0)</f>
        <v/>
      </c>
      <c r="BZ986">
        <f>IFERROR(INDEX(PP_Grid[#Data],$DD986,76),0)</f>
        <v/>
      </c>
      <c r="CA986">
        <f>IFERROR(INDEX(PP_Grid[#Data],$DD986,77),0)</f>
        <v/>
      </c>
      <c r="CB986">
        <f>IFERROR(INDEX(PP_Grid[#Data],$DD986,78),0)</f>
        <v/>
      </c>
      <c r="CC986">
        <f>IFERROR(INDEX(PP_Grid[#Data],$DD986,79),0)</f>
        <v/>
      </c>
      <c r="CD986">
        <f>IFERROR(INDEX(PP_Grid[#Data],$DD986,80),0)</f>
        <v/>
      </c>
      <c r="CE986">
        <f>IFERROR(INDEX(PP_Grid[#Data],$DD986,81),0)</f>
        <v/>
      </c>
      <c r="CF986">
        <f>IFERROR(INDEX(PP_Grid[#Data],$DD986,82),0)</f>
        <v/>
      </c>
      <c r="CG986">
        <f>IFERROR(INDEX(PP_Grid[#Data],$DD986,83),0)</f>
        <v/>
      </c>
      <c r="CH986">
        <f>IFERROR(INDEX(PP_Grid[#Data],$DD986,84),0)</f>
        <v/>
      </c>
      <c r="CI986">
        <f>IFERROR(INDEX(PP_Grid[#Data],$DD986,85),0)</f>
        <v/>
      </c>
      <c r="CJ986">
        <f>IFERROR(INDEX(PP_Grid[#Data],$DD986,86),0)</f>
        <v/>
      </c>
      <c r="CK986">
        <f>IFERROR(INDEX(PP_Grid[#Data],$DD986,87),0)</f>
        <v/>
      </c>
      <c r="CL986">
        <f>IFERROR(INDEX(PP_Grid[#Data],$DD986,88),0)</f>
        <v/>
      </c>
      <c r="CM986">
        <f>IFERROR(INDEX(PP_Grid[#Data],$DD986,89),0)</f>
        <v/>
      </c>
      <c r="CN986">
        <f>IFERROR(INDEX(PP_Grid[#Data],$DD986,90),0)</f>
        <v/>
      </c>
      <c r="CO986">
        <f>IFERROR(INDEX(PP_Grid[#Data],$DD986,91),0)</f>
        <v/>
      </c>
      <c r="CP986">
        <f>IFERROR(INDEX(PP_Grid[#Data],$DD986,92),0)</f>
        <v/>
      </c>
      <c r="CQ986">
        <f>IFERROR(INDEX(PP_Grid[#Data],$DD986,93),0)</f>
        <v/>
      </c>
      <c r="CR986">
        <f>IFERROR(INDEX(PP_Grid[#Data],$DD986,94),0)</f>
        <v/>
      </c>
      <c r="CS986">
        <f>IFERROR(INDEX(PP_Grid[#Data],$DD986,95),0)</f>
        <v/>
      </c>
      <c r="CT986">
        <f>IFERROR(INDEX(PP_Grid[#Data],$DD986,96),0)</f>
        <v/>
      </c>
      <c r="CU986">
        <f>IFERROR(INDEX(PP_Grid[#Data],$DD986,97),0)</f>
        <v/>
      </c>
      <c r="CV986">
        <f>IFERROR(INDEX(PP_Grid[#Data],$DD986,98),0)</f>
        <v/>
      </c>
      <c r="CW986">
        <f>IFERROR(INDEX(PP_Grid[#Data],$DD986,99),0)</f>
        <v/>
      </c>
      <c r="CX986">
        <f>IFERROR(INDEX(PP_Grid[#Data],$DD986,100),0)</f>
        <v/>
      </c>
      <c r="CY986">
        <f>IFERROR(INDEX(PP_Grid[#Data],$DD986,101),0)</f>
        <v/>
      </c>
      <c r="CZ986">
        <f>IFERROR(INDEX(PP_Grid[#Data],$DD986,102),0)</f>
        <v/>
      </c>
      <c r="DA986">
        <f>IFERROR(INDEX(PP_Grid[#Data],$DD986,103),0)</f>
        <v/>
      </c>
      <c r="DB986">
        <f>IFERROR(INDEX(PP_Grid[#Data],$DD986,104),0)</f>
        <v/>
      </c>
      <c r="DC986">
        <f>IFERROR(INDEX(PP_Grid[#Data],$DD986,105),0)</f>
        <v/>
      </c>
      <c r="DD986" s="7">
        <f>IFERROR(MATCH($B986,PP_Grid[Intermediate],0),99999)</f>
        <v/>
      </c>
    </row>
    <row r="987">
      <c r="B987" t="inlineStr">
        <is>
          <t>使用量(kg)</t>
        </is>
      </c>
      <c r="C987">
        <f>SUMIFS(M_BOM[RM_Qty_Per_Batch],M_BOM[Intermediate],$B986,M_BOM[Part Name],$A973)</f>
        <v/>
      </c>
      <c r="D987">
        <f>$C987*D986</f>
        <v/>
      </c>
      <c r="E987">
        <f>$C987*E986</f>
        <v/>
      </c>
      <c r="F987">
        <f>$C987*F986</f>
        <v/>
      </c>
      <c r="G987">
        <f>$C987*G986</f>
        <v/>
      </c>
      <c r="H987">
        <f>$C987*H986</f>
        <v/>
      </c>
      <c r="I987">
        <f>$C987*I986</f>
        <v/>
      </c>
      <c r="J987">
        <f>$C987*J986</f>
        <v/>
      </c>
      <c r="K987">
        <f>$C987*K986</f>
        <v/>
      </c>
      <c r="L987">
        <f>$C987*L986</f>
        <v/>
      </c>
      <c r="M987">
        <f>$C987*M986</f>
        <v/>
      </c>
      <c r="N987">
        <f>$C987*N986</f>
        <v/>
      </c>
      <c r="O987">
        <f>$C987*O986</f>
        <v/>
      </c>
      <c r="P987">
        <f>$C987*P986</f>
        <v/>
      </c>
      <c r="Q987">
        <f>$C987*Q986</f>
        <v/>
      </c>
      <c r="R987">
        <f>$C987*R986</f>
        <v/>
      </c>
      <c r="S987">
        <f>$C987*S986</f>
        <v/>
      </c>
      <c r="T987">
        <f>$C987*T986</f>
        <v/>
      </c>
      <c r="U987">
        <f>$C987*U986</f>
        <v/>
      </c>
      <c r="V987">
        <f>$C987*V986</f>
        <v/>
      </c>
      <c r="W987">
        <f>$C987*W986</f>
        <v/>
      </c>
      <c r="X987">
        <f>$C987*X986</f>
        <v/>
      </c>
      <c r="Y987">
        <f>$C987*Y986</f>
        <v/>
      </c>
      <c r="Z987">
        <f>$C987*Z986</f>
        <v/>
      </c>
      <c r="AA987">
        <f>$C987*AA986</f>
        <v/>
      </c>
      <c r="AB987">
        <f>$C987*AB986</f>
        <v/>
      </c>
      <c r="AC987">
        <f>$C987*AC986</f>
        <v/>
      </c>
      <c r="AD987">
        <f>$C987*AD986</f>
        <v/>
      </c>
      <c r="AE987">
        <f>$C987*AE986</f>
        <v/>
      </c>
      <c r="AF987">
        <f>$C987*AF986</f>
        <v/>
      </c>
      <c r="AG987">
        <f>$C987*AG986</f>
        <v/>
      </c>
      <c r="AH987">
        <f>$C987*AH986</f>
        <v/>
      </c>
      <c r="AI987">
        <f>$C987*AI986</f>
        <v/>
      </c>
      <c r="AJ987">
        <f>$C987*AJ986</f>
        <v/>
      </c>
      <c r="AK987">
        <f>$C987*AK986</f>
        <v/>
      </c>
      <c r="AL987">
        <f>$C987*AL986</f>
        <v/>
      </c>
      <c r="AM987">
        <f>$C987*AM986</f>
        <v/>
      </c>
      <c r="AN987">
        <f>$C987*AN986</f>
        <v/>
      </c>
      <c r="AO987">
        <f>$C987*AO986</f>
        <v/>
      </c>
      <c r="AP987">
        <f>$C987*AP986</f>
        <v/>
      </c>
      <c r="AQ987">
        <f>$C987*AQ986</f>
        <v/>
      </c>
      <c r="AR987">
        <f>$C987*AR986</f>
        <v/>
      </c>
      <c r="AS987">
        <f>$C987*AS986</f>
        <v/>
      </c>
      <c r="AT987">
        <f>$C987*AT986</f>
        <v/>
      </c>
      <c r="AU987">
        <f>$C987*AU986</f>
        <v/>
      </c>
      <c r="AV987">
        <f>$C987*AV986</f>
        <v/>
      </c>
      <c r="AW987">
        <f>$C987*AW986</f>
        <v/>
      </c>
      <c r="AX987">
        <f>$C987*AX986</f>
        <v/>
      </c>
      <c r="AY987">
        <f>$C987*AY986</f>
        <v/>
      </c>
      <c r="AZ987">
        <f>$C987*AZ986</f>
        <v/>
      </c>
      <c r="BA987">
        <f>$C987*BA986</f>
        <v/>
      </c>
      <c r="BB987">
        <f>$C987*BB986</f>
        <v/>
      </c>
      <c r="BC987">
        <f>$C987*BC986</f>
        <v/>
      </c>
      <c r="BD987">
        <f>$C987*BD986</f>
        <v/>
      </c>
      <c r="BE987">
        <f>$C987*BE986</f>
        <v/>
      </c>
      <c r="BF987">
        <f>$C987*BF986</f>
        <v/>
      </c>
      <c r="BG987">
        <f>$C987*BG986</f>
        <v/>
      </c>
      <c r="BH987">
        <f>$C987*BH986</f>
        <v/>
      </c>
      <c r="BI987">
        <f>$C987*BI986</f>
        <v/>
      </c>
      <c r="BJ987">
        <f>$C987*BJ986</f>
        <v/>
      </c>
      <c r="BK987">
        <f>$C987*BK986</f>
        <v/>
      </c>
      <c r="BL987">
        <f>$C987*BL986</f>
        <v/>
      </c>
      <c r="BM987">
        <f>$C987*BM986</f>
        <v/>
      </c>
      <c r="BN987">
        <f>$C987*BN986</f>
        <v/>
      </c>
      <c r="BO987">
        <f>$C987*BO986</f>
        <v/>
      </c>
      <c r="BP987">
        <f>$C987*BP986</f>
        <v/>
      </c>
      <c r="BQ987">
        <f>$C987*BQ986</f>
        <v/>
      </c>
      <c r="BR987">
        <f>$C987*BR986</f>
        <v/>
      </c>
      <c r="BS987">
        <f>$C987*BS986</f>
        <v/>
      </c>
      <c r="BT987">
        <f>$C987*BT986</f>
        <v/>
      </c>
      <c r="BU987">
        <f>$C987*BU986</f>
        <v/>
      </c>
      <c r="BV987">
        <f>$C987*BV986</f>
        <v/>
      </c>
      <c r="BW987">
        <f>$C987*BW986</f>
        <v/>
      </c>
      <c r="BX987">
        <f>$C987*BX986</f>
        <v/>
      </c>
      <c r="BY987">
        <f>$C987*BY986</f>
        <v/>
      </c>
      <c r="BZ987">
        <f>$C987*BZ986</f>
        <v/>
      </c>
      <c r="CA987">
        <f>$C987*CA986</f>
        <v/>
      </c>
      <c r="CB987">
        <f>$C987*CB986</f>
        <v/>
      </c>
      <c r="CC987">
        <f>$C987*CC986</f>
        <v/>
      </c>
      <c r="CD987">
        <f>$C987*CD986</f>
        <v/>
      </c>
      <c r="CE987">
        <f>$C987*CE986</f>
        <v/>
      </c>
      <c r="CF987">
        <f>$C987*CF986</f>
        <v/>
      </c>
      <c r="CG987">
        <f>$C987*CG986</f>
        <v/>
      </c>
      <c r="CH987">
        <f>$C987*CH986</f>
        <v/>
      </c>
      <c r="CI987">
        <f>$C987*CI986</f>
        <v/>
      </c>
      <c r="CJ987">
        <f>$C987*CJ986</f>
        <v/>
      </c>
      <c r="CK987">
        <f>$C987*CK986</f>
        <v/>
      </c>
      <c r="CL987">
        <f>$C987*CL986</f>
        <v/>
      </c>
      <c r="CM987">
        <f>$C987*CM986</f>
        <v/>
      </c>
      <c r="CN987">
        <f>$C987*CN986</f>
        <v/>
      </c>
      <c r="CO987">
        <f>$C987*CO986</f>
        <v/>
      </c>
      <c r="CP987">
        <f>$C987*CP986</f>
        <v/>
      </c>
      <c r="CQ987">
        <f>$C987*CQ986</f>
        <v/>
      </c>
      <c r="CR987">
        <f>$C987*CR986</f>
        <v/>
      </c>
      <c r="CS987">
        <f>$C987*CS986</f>
        <v/>
      </c>
      <c r="CT987">
        <f>$C987*CT986</f>
        <v/>
      </c>
      <c r="CU987">
        <f>$C987*CU986</f>
        <v/>
      </c>
      <c r="CV987">
        <f>$C987*CV986</f>
        <v/>
      </c>
      <c r="CW987">
        <f>$C987*CW986</f>
        <v/>
      </c>
      <c r="CX987">
        <f>$C987*CX986</f>
        <v/>
      </c>
      <c r="CY987">
        <f>$C987*CY986</f>
        <v/>
      </c>
      <c r="CZ987">
        <f>$C987*CZ986</f>
        <v/>
      </c>
      <c r="DA987">
        <f>$C987*DA986</f>
        <v/>
      </c>
      <c r="DB987">
        <f>$C987*DB986</f>
        <v/>
      </c>
      <c r="DC987">
        <f>$C987*DC986</f>
        <v/>
      </c>
    </row>
    <row r="988">
      <c r="B988" t="inlineStr">
        <is>
          <t>TPP-917</t>
        </is>
      </c>
      <c r="C988" t="inlineStr">
        <is>
          <t>No. of batches</t>
        </is>
      </c>
      <c r="D988">
        <f>IFERROR(INDEX(PP_Grid[#Data],$DD988,2),0)</f>
        <v/>
      </c>
      <c r="E988">
        <f>IFERROR(INDEX(PP_Grid[#Data],$DD988,3),0)</f>
        <v/>
      </c>
      <c r="F988">
        <f>IFERROR(INDEX(PP_Grid[#Data],$DD988,4),0)</f>
        <v/>
      </c>
      <c r="G988">
        <f>IFERROR(INDEX(PP_Grid[#Data],$DD988,5),0)</f>
        <v/>
      </c>
      <c r="H988">
        <f>IFERROR(INDEX(PP_Grid[#Data],$DD988,6),0)</f>
        <v/>
      </c>
      <c r="I988">
        <f>IFERROR(INDEX(PP_Grid[#Data],$DD988,7),0)</f>
        <v/>
      </c>
      <c r="J988">
        <f>IFERROR(INDEX(PP_Grid[#Data],$DD988,8),0)</f>
        <v/>
      </c>
      <c r="K988">
        <f>IFERROR(INDEX(PP_Grid[#Data],$DD988,9),0)</f>
        <v/>
      </c>
      <c r="L988">
        <f>IFERROR(INDEX(PP_Grid[#Data],$DD988,10),0)</f>
        <v/>
      </c>
      <c r="M988">
        <f>IFERROR(INDEX(PP_Grid[#Data],$DD988,11),0)</f>
        <v/>
      </c>
      <c r="N988">
        <f>IFERROR(INDEX(PP_Grid[#Data],$DD988,12),0)</f>
        <v/>
      </c>
      <c r="O988">
        <f>IFERROR(INDEX(PP_Grid[#Data],$DD988,13),0)</f>
        <v/>
      </c>
      <c r="P988">
        <f>IFERROR(INDEX(PP_Grid[#Data],$DD988,14),0)</f>
        <v/>
      </c>
      <c r="Q988">
        <f>IFERROR(INDEX(PP_Grid[#Data],$DD988,15),0)</f>
        <v/>
      </c>
      <c r="R988">
        <f>IFERROR(INDEX(PP_Grid[#Data],$DD988,16),0)</f>
        <v/>
      </c>
      <c r="S988">
        <f>IFERROR(INDEX(PP_Grid[#Data],$DD988,17),0)</f>
        <v/>
      </c>
      <c r="T988">
        <f>IFERROR(INDEX(PP_Grid[#Data],$DD988,18),0)</f>
        <v/>
      </c>
      <c r="U988">
        <f>IFERROR(INDEX(PP_Grid[#Data],$DD988,19),0)</f>
        <v/>
      </c>
      <c r="V988">
        <f>IFERROR(INDEX(PP_Grid[#Data],$DD988,20),0)</f>
        <v/>
      </c>
      <c r="W988">
        <f>IFERROR(INDEX(PP_Grid[#Data],$DD988,21),0)</f>
        <v/>
      </c>
      <c r="X988">
        <f>IFERROR(INDEX(PP_Grid[#Data],$DD988,22),0)</f>
        <v/>
      </c>
      <c r="Y988">
        <f>IFERROR(INDEX(PP_Grid[#Data],$DD988,23),0)</f>
        <v/>
      </c>
      <c r="Z988">
        <f>IFERROR(INDEX(PP_Grid[#Data],$DD988,24),0)</f>
        <v/>
      </c>
      <c r="AA988">
        <f>IFERROR(INDEX(PP_Grid[#Data],$DD988,25),0)</f>
        <v/>
      </c>
      <c r="AB988">
        <f>IFERROR(INDEX(PP_Grid[#Data],$DD988,26),0)</f>
        <v/>
      </c>
      <c r="AC988">
        <f>IFERROR(INDEX(PP_Grid[#Data],$DD988,27),0)</f>
        <v/>
      </c>
      <c r="AD988">
        <f>IFERROR(INDEX(PP_Grid[#Data],$DD988,28),0)</f>
        <v/>
      </c>
      <c r="AE988">
        <f>IFERROR(INDEX(PP_Grid[#Data],$DD988,29),0)</f>
        <v/>
      </c>
      <c r="AF988">
        <f>IFERROR(INDEX(PP_Grid[#Data],$DD988,30),0)</f>
        <v/>
      </c>
      <c r="AG988">
        <f>IFERROR(INDEX(PP_Grid[#Data],$DD988,31),0)</f>
        <v/>
      </c>
      <c r="AH988">
        <f>IFERROR(INDEX(PP_Grid[#Data],$DD988,32),0)</f>
        <v/>
      </c>
      <c r="AI988">
        <f>IFERROR(INDEX(PP_Grid[#Data],$DD988,33),0)</f>
        <v/>
      </c>
      <c r="AJ988">
        <f>IFERROR(INDEX(PP_Grid[#Data],$DD988,34),0)</f>
        <v/>
      </c>
      <c r="AK988">
        <f>IFERROR(INDEX(PP_Grid[#Data],$DD988,35),0)</f>
        <v/>
      </c>
      <c r="AL988">
        <f>IFERROR(INDEX(PP_Grid[#Data],$DD988,36),0)</f>
        <v/>
      </c>
      <c r="AM988">
        <f>IFERROR(INDEX(PP_Grid[#Data],$DD988,37),0)</f>
        <v/>
      </c>
      <c r="AN988">
        <f>IFERROR(INDEX(PP_Grid[#Data],$DD988,38),0)</f>
        <v/>
      </c>
      <c r="AO988">
        <f>IFERROR(INDEX(PP_Grid[#Data],$DD988,39),0)</f>
        <v/>
      </c>
      <c r="AP988">
        <f>IFERROR(INDEX(PP_Grid[#Data],$DD988,40),0)</f>
        <v/>
      </c>
      <c r="AQ988">
        <f>IFERROR(INDEX(PP_Grid[#Data],$DD988,41),0)</f>
        <v/>
      </c>
      <c r="AR988">
        <f>IFERROR(INDEX(PP_Grid[#Data],$DD988,42),0)</f>
        <v/>
      </c>
      <c r="AS988">
        <f>IFERROR(INDEX(PP_Grid[#Data],$DD988,43),0)</f>
        <v/>
      </c>
      <c r="AT988">
        <f>IFERROR(INDEX(PP_Grid[#Data],$DD988,44),0)</f>
        <v/>
      </c>
      <c r="AU988">
        <f>IFERROR(INDEX(PP_Grid[#Data],$DD988,45),0)</f>
        <v/>
      </c>
      <c r="AV988">
        <f>IFERROR(INDEX(PP_Grid[#Data],$DD988,46),0)</f>
        <v/>
      </c>
      <c r="AW988">
        <f>IFERROR(INDEX(PP_Grid[#Data],$DD988,47),0)</f>
        <v/>
      </c>
      <c r="AX988">
        <f>IFERROR(INDEX(PP_Grid[#Data],$DD988,48),0)</f>
        <v/>
      </c>
      <c r="AY988">
        <f>IFERROR(INDEX(PP_Grid[#Data],$DD988,49),0)</f>
        <v/>
      </c>
      <c r="AZ988">
        <f>IFERROR(INDEX(PP_Grid[#Data],$DD988,50),0)</f>
        <v/>
      </c>
      <c r="BA988">
        <f>IFERROR(INDEX(PP_Grid[#Data],$DD988,51),0)</f>
        <v/>
      </c>
      <c r="BB988">
        <f>IFERROR(INDEX(PP_Grid[#Data],$DD988,52),0)</f>
        <v/>
      </c>
      <c r="BC988">
        <f>IFERROR(INDEX(PP_Grid[#Data],$DD988,53),0)</f>
        <v/>
      </c>
      <c r="BD988">
        <f>IFERROR(INDEX(PP_Grid[#Data],$DD988,54),0)</f>
        <v/>
      </c>
      <c r="BE988">
        <f>IFERROR(INDEX(PP_Grid[#Data],$DD988,55),0)</f>
        <v/>
      </c>
      <c r="BF988">
        <f>IFERROR(INDEX(PP_Grid[#Data],$DD988,56),0)</f>
        <v/>
      </c>
      <c r="BG988">
        <f>IFERROR(INDEX(PP_Grid[#Data],$DD988,57),0)</f>
        <v/>
      </c>
      <c r="BH988">
        <f>IFERROR(INDEX(PP_Grid[#Data],$DD988,58),0)</f>
        <v/>
      </c>
      <c r="BI988">
        <f>IFERROR(INDEX(PP_Grid[#Data],$DD988,59),0)</f>
        <v/>
      </c>
      <c r="BJ988">
        <f>IFERROR(INDEX(PP_Grid[#Data],$DD988,60),0)</f>
        <v/>
      </c>
      <c r="BK988">
        <f>IFERROR(INDEX(PP_Grid[#Data],$DD988,61),0)</f>
        <v/>
      </c>
      <c r="BL988">
        <f>IFERROR(INDEX(PP_Grid[#Data],$DD988,62),0)</f>
        <v/>
      </c>
      <c r="BM988">
        <f>IFERROR(INDEX(PP_Grid[#Data],$DD988,63),0)</f>
        <v/>
      </c>
      <c r="BN988">
        <f>IFERROR(INDEX(PP_Grid[#Data],$DD988,64),0)</f>
        <v/>
      </c>
      <c r="BO988">
        <f>IFERROR(INDEX(PP_Grid[#Data],$DD988,65),0)</f>
        <v/>
      </c>
      <c r="BP988">
        <f>IFERROR(INDEX(PP_Grid[#Data],$DD988,66),0)</f>
        <v/>
      </c>
      <c r="BQ988">
        <f>IFERROR(INDEX(PP_Grid[#Data],$DD988,67),0)</f>
        <v/>
      </c>
      <c r="BR988">
        <f>IFERROR(INDEX(PP_Grid[#Data],$DD988,68),0)</f>
        <v/>
      </c>
      <c r="BS988">
        <f>IFERROR(INDEX(PP_Grid[#Data],$DD988,69),0)</f>
        <v/>
      </c>
      <c r="BT988">
        <f>IFERROR(INDEX(PP_Grid[#Data],$DD988,70),0)</f>
        <v/>
      </c>
      <c r="BU988">
        <f>IFERROR(INDEX(PP_Grid[#Data],$DD988,71),0)</f>
        <v/>
      </c>
      <c r="BV988">
        <f>IFERROR(INDEX(PP_Grid[#Data],$DD988,72),0)</f>
        <v/>
      </c>
      <c r="BW988">
        <f>IFERROR(INDEX(PP_Grid[#Data],$DD988,73),0)</f>
        <v/>
      </c>
      <c r="BX988">
        <f>IFERROR(INDEX(PP_Grid[#Data],$DD988,74),0)</f>
        <v/>
      </c>
      <c r="BY988">
        <f>IFERROR(INDEX(PP_Grid[#Data],$DD988,75),0)</f>
        <v/>
      </c>
      <c r="BZ988">
        <f>IFERROR(INDEX(PP_Grid[#Data],$DD988,76),0)</f>
        <v/>
      </c>
      <c r="CA988">
        <f>IFERROR(INDEX(PP_Grid[#Data],$DD988,77),0)</f>
        <v/>
      </c>
      <c r="CB988">
        <f>IFERROR(INDEX(PP_Grid[#Data],$DD988,78),0)</f>
        <v/>
      </c>
      <c r="CC988">
        <f>IFERROR(INDEX(PP_Grid[#Data],$DD988,79),0)</f>
        <v/>
      </c>
      <c r="CD988">
        <f>IFERROR(INDEX(PP_Grid[#Data],$DD988,80),0)</f>
        <v/>
      </c>
      <c r="CE988">
        <f>IFERROR(INDEX(PP_Grid[#Data],$DD988,81),0)</f>
        <v/>
      </c>
      <c r="CF988">
        <f>IFERROR(INDEX(PP_Grid[#Data],$DD988,82),0)</f>
        <v/>
      </c>
      <c r="CG988">
        <f>IFERROR(INDEX(PP_Grid[#Data],$DD988,83),0)</f>
        <v/>
      </c>
      <c r="CH988">
        <f>IFERROR(INDEX(PP_Grid[#Data],$DD988,84),0)</f>
        <v/>
      </c>
      <c r="CI988">
        <f>IFERROR(INDEX(PP_Grid[#Data],$DD988,85),0)</f>
        <v/>
      </c>
      <c r="CJ988">
        <f>IFERROR(INDEX(PP_Grid[#Data],$DD988,86),0)</f>
        <v/>
      </c>
      <c r="CK988">
        <f>IFERROR(INDEX(PP_Grid[#Data],$DD988,87),0)</f>
        <v/>
      </c>
      <c r="CL988">
        <f>IFERROR(INDEX(PP_Grid[#Data],$DD988,88),0)</f>
        <v/>
      </c>
      <c r="CM988">
        <f>IFERROR(INDEX(PP_Grid[#Data],$DD988,89),0)</f>
        <v/>
      </c>
      <c r="CN988">
        <f>IFERROR(INDEX(PP_Grid[#Data],$DD988,90),0)</f>
        <v/>
      </c>
      <c r="CO988">
        <f>IFERROR(INDEX(PP_Grid[#Data],$DD988,91),0)</f>
        <v/>
      </c>
      <c r="CP988">
        <f>IFERROR(INDEX(PP_Grid[#Data],$DD988,92),0)</f>
        <v/>
      </c>
      <c r="CQ988">
        <f>IFERROR(INDEX(PP_Grid[#Data],$DD988,93),0)</f>
        <v/>
      </c>
      <c r="CR988">
        <f>IFERROR(INDEX(PP_Grid[#Data],$DD988,94),0)</f>
        <v/>
      </c>
      <c r="CS988">
        <f>IFERROR(INDEX(PP_Grid[#Data],$DD988,95),0)</f>
        <v/>
      </c>
      <c r="CT988">
        <f>IFERROR(INDEX(PP_Grid[#Data],$DD988,96),0)</f>
        <v/>
      </c>
      <c r="CU988">
        <f>IFERROR(INDEX(PP_Grid[#Data],$DD988,97),0)</f>
        <v/>
      </c>
      <c r="CV988">
        <f>IFERROR(INDEX(PP_Grid[#Data],$DD988,98),0)</f>
        <v/>
      </c>
      <c r="CW988">
        <f>IFERROR(INDEX(PP_Grid[#Data],$DD988,99),0)</f>
        <v/>
      </c>
      <c r="CX988">
        <f>IFERROR(INDEX(PP_Grid[#Data],$DD988,100),0)</f>
        <v/>
      </c>
      <c r="CY988">
        <f>IFERROR(INDEX(PP_Grid[#Data],$DD988,101),0)</f>
        <v/>
      </c>
      <c r="CZ988">
        <f>IFERROR(INDEX(PP_Grid[#Data],$DD988,102),0)</f>
        <v/>
      </c>
      <c r="DA988">
        <f>IFERROR(INDEX(PP_Grid[#Data],$DD988,103),0)</f>
        <v/>
      </c>
      <c r="DB988">
        <f>IFERROR(INDEX(PP_Grid[#Data],$DD988,104),0)</f>
        <v/>
      </c>
      <c r="DC988">
        <f>IFERROR(INDEX(PP_Grid[#Data],$DD988,105),0)</f>
        <v/>
      </c>
      <c r="DD988" s="7">
        <f>IFERROR(MATCH($B988,PP_Grid[Intermediate],0),99999)</f>
        <v/>
      </c>
    </row>
    <row r="989">
      <c r="B989" t="inlineStr">
        <is>
          <t>使用量(kg)</t>
        </is>
      </c>
      <c r="C989">
        <f>SUMIFS(M_BOM[RM_Qty_Per_Batch],M_BOM[Intermediate],$B988,M_BOM[Part Name],$A973)</f>
        <v/>
      </c>
      <c r="D989">
        <f>$C989*D988</f>
        <v/>
      </c>
      <c r="E989">
        <f>$C989*E988</f>
        <v/>
      </c>
      <c r="F989">
        <f>$C989*F988</f>
        <v/>
      </c>
      <c r="G989">
        <f>$C989*G988</f>
        <v/>
      </c>
      <c r="H989">
        <f>$C989*H988</f>
        <v/>
      </c>
      <c r="I989">
        <f>$C989*I988</f>
        <v/>
      </c>
      <c r="J989">
        <f>$C989*J988</f>
        <v/>
      </c>
      <c r="K989">
        <f>$C989*K988</f>
        <v/>
      </c>
      <c r="L989">
        <f>$C989*L988</f>
        <v/>
      </c>
      <c r="M989">
        <f>$C989*M988</f>
        <v/>
      </c>
      <c r="N989">
        <f>$C989*N988</f>
        <v/>
      </c>
      <c r="O989">
        <f>$C989*O988</f>
        <v/>
      </c>
      <c r="P989">
        <f>$C989*P988</f>
        <v/>
      </c>
      <c r="Q989">
        <f>$C989*Q988</f>
        <v/>
      </c>
      <c r="R989">
        <f>$C989*R988</f>
        <v/>
      </c>
      <c r="S989">
        <f>$C989*S988</f>
        <v/>
      </c>
      <c r="T989">
        <f>$C989*T988</f>
        <v/>
      </c>
      <c r="U989">
        <f>$C989*U988</f>
        <v/>
      </c>
      <c r="V989">
        <f>$C989*V988</f>
        <v/>
      </c>
      <c r="W989">
        <f>$C989*W988</f>
        <v/>
      </c>
      <c r="X989">
        <f>$C989*X988</f>
        <v/>
      </c>
      <c r="Y989">
        <f>$C989*Y988</f>
        <v/>
      </c>
      <c r="Z989">
        <f>$C989*Z988</f>
        <v/>
      </c>
      <c r="AA989">
        <f>$C989*AA988</f>
        <v/>
      </c>
      <c r="AB989">
        <f>$C989*AB988</f>
        <v/>
      </c>
      <c r="AC989">
        <f>$C989*AC988</f>
        <v/>
      </c>
      <c r="AD989">
        <f>$C989*AD988</f>
        <v/>
      </c>
      <c r="AE989">
        <f>$C989*AE988</f>
        <v/>
      </c>
      <c r="AF989">
        <f>$C989*AF988</f>
        <v/>
      </c>
      <c r="AG989">
        <f>$C989*AG988</f>
        <v/>
      </c>
      <c r="AH989">
        <f>$C989*AH988</f>
        <v/>
      </c>
      <c r="AI989">
        <f>$C989*AI988</f>
        <v/>
      </c>
      <c r="AJ989">
        <f>$C989*AJ988</f>
        <v/>
      </c>
      <c r="AK989">
        <f>$C989*AK988</f>
        <v/>
      </c>
      <c r="AL989">
        <f>$C989*AL988</f>
        <v/>
      </c>
      <c r="AM989">
        <f>$C989*AM988</f>
        <v/>
      </c>
      <c r="AN989">
        <f>$C989*AN988</f>
        <v/>
      </c>
      <c r="AO989">
        <f>$C989*AO988</f>
        <v/>
      </c>
      <c r="AP989">
        <f>$C989*AP988</f>
        <v/>
      </c>
      <c r="AQ989">
        <f>$C989*AQ988</f>
        <v/>
      </c>
      <c r="AR989">
        <f>$C989*AR988</f>
        <v/>
      </c>
      <c r="AS989">
        <f>$C989*AS988</f>
        <v/>
      </c>
      <c r="AT989">
        <f>$C989*AT988</f>
        <v/>
      </c>
      <c r="AU989">
        <f>$C989*AU988</f>
        <v/>
      </c>
      <c r="AV989">
        <f>$C989*AV988</f>
        <v/>
      </c>
      <c r="AW989">
        <f>$C989*AW988</f>
        <v/>
      </c>
      <c r="AX989">
        <f>$C989*AX988</f>
        <v/>
      </c>
      <c r="AY989">
        <f>$C989*AY988</f>
        <v/>
      </c>
      <c r="AZ989">
        <f>$C989*AZ988</f>
        <v/>
      </c>
      <c r="BA989">
        <f>$C989*BA988</f>
        <v/>
      </c>
      <c r="BB989">
        <f>$C989*BB988</f>
        <v/>
      </c>
      <c r="BC989">
        <f>$C989*BC988</f>
        <v/>
      </c>
      <c r="BD989">
        <f>$C989*BD988</f>
        <v/>
      </c>
      <c r="BE989">
        <f>$C989*BE988</f>
        <v/>
      </c>
      <c r="BF989">
        <f>$C989*BF988</f>
        <v/>
      </c>
      <c r="BG989">
        <f>$C989*BG988</f>
        <v/>
      </c>
      <c r="BH989">
        <f>$C989*BH988</f>
        <v/>
      </c>
      <c r="BI989">
        <f>$C989*BI988</f>
        <v/>
      </c>
      <c r="BJ989">
        <f>$C989*BJ988</f>
        <v/>
      </c>
      <c r="BK989">
        <f>$C989*BK988</f>
        <v/>
      </c>
      <c r="BL989">
        <f>$C989*BL988</f>
        <v/>
      </c>
      <c r="BM989">
        <f>$C989*BM988</f>
        <v/>
      </c>
      <c r="BN989">
        <f>$C989*BN988</f>
        <v/>
      </c>
      <c r="BO989">
        <f>$C989*BO988</f>
        <v/>
      </c>
      <c r="BP989">
        <f>$C989*BP988</f>
        <v/>
      </c>
      <c r="BQ989">
        <f>$C989*BQ988</f>
        <v/>
      </c>
      <c r="BR989">
        <f>$C989*BR988</f>
        <v/>
      </c>
      <c r="BS989">
        <f>$C989*BS988</f>
        <v/>
      </c>
      <c r="BT989">
        <f>$C989*BT988</f>
        <v/>
      </c>
      <c r="BU989">
        <f>$C989*BU988</f>
        <v/>
      </c>
      <c r="BV989">
        <f>$C989*BV988</f>
        <v/>
      </c>
      <c r="BW989">
        <f>$C989*BW988</f>
        <v/>
      </c>
      <c r="BX989">
        <f>$C989*BX988</f>
        <v/>
      </c>
      <c r="BY989">
        <f>$C989*BY988</f>
        <v/>
      </c>
      <c r="BZ989">
        <f>$C989*BZ988</f>
        <v/>
      </c>
      <c r="CA989">
        <f>$C989*CA988</f>
        <v/>
      </c>
      <c r="CB989">
        <f>$C989*CB988</f>
        <v/>
      </c>
      <c r="CC989">
        <f>$C989*CC988</f>
        <v/>
      </c>
      <c r="CD989">
        <f>$C989*CD988</f>
        <v/>
      </c>
      <c r="CE989">
        <f>$C989*CE988</f>
        <v/>
      </c>
      <c r="CF989">
        <f>$C989*CF988</f>
        <v/>
      </c>
      <c r="CG989">
        <f>$C989*CG988</f>
        <v/>
      </c>
      <c r="CH989">
        <f>$C989*CH988</f>
        <v/>
      </c>
      <c r="CI989">
        <f>$C989*CI988</f>
        <v/>
      </c>
      <c r="CJ989">
        <f>$C989*CJ988</f>
        <v/>
      </c>
      <c r="CK989">
        <f>$C989*CK988</f>
        <v/>
      </c>
      <c r="CL989">
        <f>$C989*CL988</f>
        <v/>
      </c>
      <c r="CM989">
        <f>$C989*CM988</f>
        <v/>
      </c>
      <c r="CN989">
        <f>$C989*CN988</f>
        <v/>
      </c>
      <c r="CO989">
        <f>$C989*CO988</f>
        <v/>
      </c>
      <c r="CP989">
        <f>$C989*CP988</f>
        <v/>
      </c>
      <c r="CQ989">
        <f>$C989*CQ988</f>
        <v/>
      </c>
      <c r="CR989">
        <f>$C989*CR988</f>
        <v/>
      </c>
      <c r="CS989">
        <f>$C989*CS988</f>
        <v/>
      </c>
      <c r="CT989">
        <f>$C989*CT988</f>
        <v/>
      </c>
      <c r="CU989">
        <f>$C989*CU988</f>
        <v/>
      </c>
      <c r="CV989">
        <f>$C989*CV988</f>
        <v/>
      </c>
      <c r="CW989">
        <f>$C989*CW988</f>
        <v/>
      </c>
      <c r="CX989">
        <f>$C989*CX988</f>
        <v/>
      </c>
      <c r="CY989">
        <f>$C989*CY988</f>
        <v/>
      </c>
      <c r="CZ989">
        <f>$C989*CZ988</f>
        <v/>
      </c>
      <c r="DA989">
        <f>$C989*DA988</f>
        <v/>
      </c>
      <c r="DB989">
        <f>$C989*DB988</f>
        <v/>
      </c>
      <c r="DC989">
        <f>$C989*DC988</f>
        <v/>
      </c>
    </row>
    <row r="990">
      <c r="B990" t="inlineStr">
        <is>
          <t>TPP-922</t>
        </is>
      </c>
      <c r="C990" t="inlineStr">
        <is>
          <t>No. of batches</t>
        </is>
      </c>
      <c r="D990">
        <f>IFERROR(INDEX(PP_Grid[#Data],$DD990,2),0)</f>
        <v/>
      </c>
      <c r="E990">
        <f>IFERROR(INDEX(PP_Grid[#Data],$DD990,3),0)</f>
        <v/>
      </c>
      <c r="F990">
        <f>IFERROR(INDEX(PP_Grid[#Data],$DD990,4),0)</f>
        <v/>
      </c>
      <c r="G990">
        <f>IFERROR(INDEX(PP_Grid[#Data],$DD990,5),0)</f>
        <v/>
      </c>
      <c r="H990">
        <f>IFERROR(INDEX(PP_Grid[#Data],$DD990,6),0)</f>
        <v/>
      </c>
      <c r="I990">
        <f>IFERROR(INDEX(PP_Grid[#Data],$DD990,7),0)</f>
        <v/>
      </c>
      <c r="J990">
        <f>IFERROR(INDEX(PP_Grid[#Data],$DD990,8),0)</f>
        <v/>
      </c>
      <c r="K990">
        <f>IFERROR(INDEX(PP_Grid[#Data],$DD990,9),0)</f>
        <v/>
      </c>
      <c r="L990">
        <f>IFERROR(INDEX(PP_Grid[#Data],$DD990,10),0)</f>
        <v/>
      </c>
      <c r="M990">
        <f>IFERROR(INDEX(PP_Grid[#Data],$DD990,11),0)</f>
        <v/>
      </c>
      <c r="N990">
        <f>IFERROR(INDEX(PP_Grid[#Data],$DD990,12),0)</f>
        <v/>
      </c>
      <c r="O990">
        <f>IFERROR(INDEX(PP_Grid[#Data],$DD990,13),0)</f>
        <v/>
      </c>
      <c r="P990">
        <f>IFERROR(INDEX(PP_Grid[#Data],$DD990,14),0)</f>
        <v/>
      </c>
      <c r="Q990">
        <f>IFERROR(INDEX(PP_Grid[#Data],$DD990,15),0)</f>
        <v/>
      </c>
      <c r="R990">
        <f>IFERROR(INDEX(PP_Grid[#Data],$DD990,16),0)</f>
        <v/>
      </c>
      <c r="S990">
        <f>IFERROR(INDEX(PP_Grid[#Data],$DD990,17),0)</f>
        <v/>
      </c>
      <c r="T990">
        <f>IFERROR(INDEX(PP_Grid[#Data],$DD990,18),0)</f>
        <v/>
      </c>
      <c r="U990">
        <f>IFERROR(INDEX(PP_Grid[#Data],$DD990,19),0)</f>
        <v/>
      </c>
      <c r="V990">
        <f>IFERROR(INDEX(PP_Grid[#Data],$DD990,20),0)</f>
        <v/>
      </c>
      <c r="W990">
        <f>IFERROR(INDEX(PP_Grid[#Data],$DD990,21),0)</f>
        <v/>
      </c>
      <c r="X990">
        <f>IFERROR(INDEX(PP_Grid[#Data],$DD990,22),0)</f>
        <v/>
      </c>
      <c r="Y990">
        <f>IFERROR(INDEX(PP_Grid[#Data],$DD990,23),0)</f>
        <v/>
      </c>
      <c r="Z990">
        <f>IFERROR(INDEX(PP_Grid[#Data],$DD990,24),0)</f>
        <v/>
      </c>
      <c r="AA990">
        <f>IFERROR(INDEX(PP_Grid[#Data],$DD990,25),0)</f>
        <v/>
      </c>
      <c r="AB990">
        <f>IFERROR(INDEX(PP_Grid[#Data],$DD990,26),0)</f>
        <v/>
      </c>
      <c r="AC990">
        <f>IFERROR(INDEX(PP_Grid[#Data],$DD990,27),0)</f>
        <v/>
      </c>
      <c r="AD990">
        <f>IFERROR(INDEX(PP_Grid[#Data],$DD990,28),0)</f>
        <v/>
      </c>
      <c r="AE990">
        <f>IFERROR(INDEX(PP_Grid[#Data],$DD990,29),0)</f>
        <v/>
      </c>
      <c r="AF990">
        <f>IFERROR(INDEX(PP_Grid[#Data],$DD990,30),0)</f>
        <v/>
      </c>
      <c r="AG990">
        <f>IFERROR(INDEX(PP_Grid[#Data],$DD990,31),0)</f>
        <v/>
      </c>
      <c r="AH990">
        <f>IFERROR(INDEX(PP_Grid[#Data],$DD990,32),0)</f>
        <v/>
      </c>
      <c r="AI990">
        <f>IFERROR(INDEX(PP_Grid[#Data],$DD990,33),0)</f>
        <v/>
      </c>
      <c r="AJ990">
        <f>IFERROR(INDEX(PP_Grid[#Data],$DD990,34),0)</f>
        <v/>
      </c>
      <c r="AK990">
        <f>IFERROR(INDEX(PP_Grid[#Data],$DD990,35),0)</f>
        <v/>
      </c>
      <c r="AL990">
        <f>IFERROR(INDEX(PP_Grid[#Data],$DD990,36),0)</f>
        <v/>
      </c>
      <c r="AM990">
        <f>IFERROR(INDEX(PP_Grid[#Data],$DD990,37),0)</f>
        <v/>
      </c>
      <c r="AN990">
        <f>IFERROR(INDEX(PP_Grid[#Data],$DD990,38),0)</f>
        <v/>
      </c>
      <c r="AO990">
        <f>IFERROR(INDEX(PP_Grid[#Data],$DD990,39),0)</f>
        <v/>
      </c>
      <c r="AP990">
        <f>IFERROR(INDEX(PP_Grid[#Data],$DD990,40),0)</f>
        <v/>
      </c>
      <c r="AQ990">
        <f>IFERROR(INDEX(PP_Grid[#Data],$DD990,41),0)</f>
        <v/>
      </c>
      <c r="AR990">
        <f>IFERROR(INDEX(PP_Grid[#Data],$DD990,42),0)</f>
        <v/>
      </c>
      <c r="AS990">
        <f>IFERROR(INDEX(PP_Grid[#Data],$DD990,43),0)</f>
        <v/>
      </c>
      <c r="AT990">
        <f>IFERROR(INDEX(PP_Grid[#Data],$DD990,44),0)</f>
        <v/>
      </c>
      <c r="AU990">
        <f>IFERROR(INDEX(PP_Grid[#Data],$DD990,45),0)</f>
        <v/>
      </c>
      <c r="AV990">
        <f>IFERROR(INDEX(PP_Grid[#Data],$DD990,46),0)</f>
        <v/>
      </c>
      <c r="AW990">
        <f>IFERROR(INDEX(PP_Grid[#Data],$DD990,47),0)</f>
        <v/>
      </c>
      <c r="AX990">
        <f>IFERROR(INDEX(PP_Grid[#Data],$DD990,48),0)</f>
        <v/>
      </c>
      <c r="AY990">
        <f>IFERROR(INDEX(PP_Grid[#Data],$DD990,49),0)</f>
        <v/>
      </c>
      <c r="AZ990">
        <f>IFERROR(INDEX(PP_Grid[#Data],$DD990,50),0)</f>
        <v/>
      </c>
      <c r="BA990">
        <f>IFERROR(INDEX(PP_Grid[#Data],$DD990,51),0)</f>
        <v/>
      </c>
      <c r="BB990">
        <f>IFERROR(INDEX(PP_Grid[#Data],$DD990,52),0)</f>
        <v/>
      </c>
      <c r="BC990">
        <f>IFERROR(INDEX(PP_Grid[#Data],$DD990,53),0)</f>
        <v/>
      </c>
      <c r="BD990">
        <f>IFERROR(INDEX(PP_Grid[#Data],$DD990,54),0)</f>
        <v/>
      </c>
      <c r="BE990">
        <f>IFERROR(INDEX(PP_Grid[#Data],$DD990,55),0)</f>
        <v/>
      </c>
      <c r="BF990">
        <f>IFERROR(INDEX(PP_Grid[#Data],$DD990,56),0)</f>
        <v/>
      </c>
      <c r="BG990">
        <f>IFERROR(INDEX(PP_Grid[#Data],$DD990,57),0)</f>
        <v/>
      </c>
      <c r="BH990">
        <f>IFERROR(INDEX(PP_Grid[#Data],$DD990,58),0)</f>
        <v/>
      </c>
      <c r="BI990">
        <f>IFERROR(INDEX(PP_Grid[#Data],$DD990,59),0)</f>
        <v/>
      </c>
      <c r="BJ990">
        <f>IFERROR(INDEX(PP_Grid[#Data],$DD990,60),0)</f>
        <v/>
      </c>
      <c r="BK990">
        <f>IFERROR(INDEX(PP_Grid[#Data],$DD990,61),0)</f>
        <v/>
      </c>
      <c r="BL990">
        <f>IFERROR(INDEX(PP_Grid[#Data],$DD990,62),0)</f>
        <v/>
      </c>
      <c r="BM990">
        <f>IFERROR(INDEX(PP_Grid[#Data],$DD990,63),0)</f>
        <v/>
      </c>
      <c r="BN990">
        <f>IFERROR(INDEX(PP_Grid[#Data],$DD990,64),0)</f>
        <v/>
      </c>
      <c r="BO990">
        <f>IFERROR(INDEX(PP_Grid[#Data],$DD990,65),0)</f>
        <v/>
      </c>
      <c r="BP990">
        <f>IFERROR(INDEX(PP_Grid[#Data],$DD990,66),0)</f>
        <v/>
      </c>
      <c r="BQ990">
        <f>IFERROR(INDEX(PP_Grid[#Data],$DD990,67),0)</f>
        <v/>
      </c>
      <c r="BR990">
        <f>IFERROR(INDEX(PP_Grid[#Data],$DD990,68),0)</f>
        <v/>
      </c>
      <c r="BS990">
        <f>IFERROR(INDEX(PP_Grid[#Data],$DD990,69),0)</f>
        <v/>
      </c>
      <c r="BT990">
        <f>IFERROR(INDEX(PP_Grid[#Data],$DD990,70),0)</f>
        <v/>
      </c>
      <c r="BU990">
        <f>IFERROR(INDEX(PP_Grid[#Data],$DD990,71),0)</f>
        <v/>
      </c>
      <c r="BV990">
        <f>IFERROR(INDEX(PP_Grid[#Data],$DD990,72),0)</f>
        <v/>
      </c>
      <c r="BW990">
        <f>IFERROR(INDEX(PP_Grid[#Data],$DD990,73),0)</f>
        <v/>
      </c>
      <c r="BX990">
        <f>IFERROR(INDEX(PP_Grid[#Data],$DD990,74),0)</f>
        <v/>
      </c>
      <c r="BY990">
        <f>IFERROR(INDEX(PP_Grid[#Data],$DD990,75),0)</f>
        <v/>
      </c>
      <c r="BZ990">
        <f>IFERROR(INDEX(PP_Grid[#Data],$DD990,76),0)</f>
        <v/>
      </c>
      <c r="CA990">
        <f>IFERROR(INDEX(PP_Grid[#Data],$DD990,77),0)</f>
        <v/>
      </c>
      <c r="CB990">
        <f>IFERROR(INDEX(PP_Grid[#Data],$DD990,78),0)</f>
        <v/>
      </c>
      <c r="CC990">
        <f>IFERROR(INDEX(PP_Grid[#Data],$DD990,79),0)</f>
        <v/>
      </c>
      <c r="CD990">
        <f>IFERROR(INDEX(PP_Grid[#Data],$DD990,80),0)</f>
        <v/>
      </c>
      <c r="CE990">
        <f>IFERROR(INDEX(PP_Grid[#Data],$DD990,81),0)</f>
        <v/>
      </c>
      <c r="CF990">
        <f>IFERROR(INDEX(PP_Grid[#Data],$DD990,82),0)</f>
        <v/>
      </c>
      <c r="CG990">
        <f>IFERROR(INDEX(PP_Grid[#Data],$DD990,83),0)</f>
        <v/>
      </c>
      <c r="CH990">
        <f>IFERROR(INDEX(PP_Grid[#Data],$DD990,84),0)</f>
        <v/>
      </c>
      <c r="CI990">
        <f>IFERROR(INDEX(PP_Grid[#Data],$DD990,85),0)</f>
        <v/>
      </c>
      <c r="CJ990">
        <f>IFERROR(INDEX(PP_Grid[#Data],$DD990,86),0)</f>
        <v/>
      </c>
      <c r="CK990">
        <f>IFERROR(INDEX(PP_Grid[#Data],$DD990,87),0)</f>
        <v/>
      </c>
      <c r="CL990">
        <f>IFERROR(INDEX(PP_Grid[#Data],$DD990,88),0)</f>
        <v/>
      </c>
      <c r="CM990">
        <f>IFERROR(INDEX(PP_Grid[#Data],$DD990,89),0)</f>
        <v/>
      </c>
      <c r="CN990">
        <f>IFERROR(INDEX(PP_Grid[#Data],$DD990,90),0)</f>
        <v/>
      </c>
      <c r="CO990">
        <f>IFERROR(INDEX(PP_Grid[#Data],$DD990,91),0)</f>
        <v/>
      </c>
      <c r="CP990">
        <f>IFERROR(INDEX(PP_Grid[#Data],$DD990,92),0)</f>
        <v/>
      </c>
      <c r="CQ990">
        <f>IFERROR(INDEX(PP_Grid[#Data],$DD990,93),0)</f>
        <v/>
      </c>
      <c r="CR990">
        <f>IFERROR(INDEX(PP_Grid[#Data],$DD990,94),0)</f>
        <v/>
      </c>
      <c r="CS990">
        <f>IFERROR(INDEX(PP_Grid[#Data],$DD990,95),0)</f>
        <v/>
      </c>
      <c r="CT990">
        <f>IFERROR(INDEX(PP_Grid[#Data],$DD990,96),0)</f>
        <v/>
      </c>
      <c r="CU990">
        <f>IFERROR(INDEX(PP_Grid[#Data],$DD990,97),0)</f>
        <v/>
      </c>
      <c r="CV990">
        <f>IFERROR(INDEX(PP_Grid[#Data],$DD990,98),0)</f>
        <v/>
      </c>
      <c r="CW990">
        <f>IFERROR(INDEX(PP_Grid[#Data],$DD990,99),0)</f>
        <v/>
      </c>
      <c r="CX990">
        <f>IFERROR(INDEX(PP_Grid[#Data],$DD990,100),0)</f>
        <v/>
      </c>
      <c r="CY990">
        <f>IFERROR(INDEX(PP_Grid[#Data],$DD990,101),0)</f>
        <v/>
      </c>
      <c r="CZ990">
        <f>IFERROR(INDEX(PP_Grid[#Data],$DD990,102),0)</f>
        <v/>
      </c>
      <c r="DA990">
        <f>IFERROR(INDEX(PP_Grid[#Data],$DD990,103),0)</f>
        <v/>
      </c>
      <c r="DB990">
        <f>IFERROR(INDEX(PP_Grid[#Data],$DD990,104),0)</f>
        <v/>
      </c>
      <c r="DC990">
        <f>IFERROR(INDEX(PP_Grid[#Data],$DD990,105),0)</f>
        <v/>
      </c>
      <c r="DD990" s="7">
        <f>IFERROR(MATCH($B990,PP_Grid[Intermediate],0),99999)</f>
        <v/>
      </c>
    </row>
    <row r="991">
      <c r="B991" t="inlineStr">
        <is>
          <t>使用量(kg)</t>
        </is>
      </c>
      <c r="C991">
        <f>SUMIFS(M_BOM[RM_Qty_Per_Batch],M_BOM[Intermediate],$B990,M_BOM[Part Name],$A973)</f>
        <v/>
      </c>
      <c r="D991">
        <f>$C991*D990</f>
        <v/>
      </c>
      <c r="E991">
        <f>$C991*E990</f>
        <v/>
      </c>
      <c r="F991">
        <f>$C991*F990</f>
        <v/>
      </c>
      <c r="G991">
        <f>$C991*G990</f>
        <v/>
      </c>
      <c r="H991">
        <f>$C991*H990</f>
        <v/>
      </c>
      <c r="I991">
        <f>$C991*I990</f>
        <v/>
      </c>
      <c r="J991">
        <f>$C991*J990</f>
        <v/>
      </c>
      <c r="K991">
        <f>$C991*K990</f>
        <v/>
      </c>
      <c r="L991">
        <f>$C991*L990</f>
        <v/>
      </c>
      <c r="M991">
        <f>$C991*M990</f>
        <v/>
      </c>
      <c r="N991">
        <f>$C991*N990</f>
        <v/>
      </c>
      <c r="O991">
        <f>$C991*O990</f>
        <v/>
      </c>
      <c r="P991">
        <f>$C991*P990</f>
        <v/>
      </c>
      <c r="Q991">
        <f>$C991*Q990</f>
        <v/>
      </c>
      <c r="R991">
        <f>$C991*R990</f>
        <v/>
      </c>
      <c r="S991">
        <f>$C991*S990</f>
        <v/>
      </c>
      <c r="T991">
        <f>$C991*T990</f>
        <v/>
      </c>
      <c r="U991">
        <f>$C991*U990</f>
        <v/>
      </c>
      <c r="V991">
        <f>$C991*V990</f>
        <v/>
      </c>
      <c r="W991">
        <f>$C991*W990</f>
        <v/>
      </c>
      <c r="X991">
        <f>$C991*X990</f>
        <v/>
      </c>
      <c r="Y991">
        <f>$C991*Y990</f>
        <v/>
      </c>
      <c r="Z991">
        <f>$C991*Z990</f>
        <v/>
      </c>
      <c r="AA991">
        <f>$C991*AA990</f>
        <v/>
      </c>
      <c r="AB991">
        <f>$C991*AB990</f>
        <v/>
      </c>
      <c r="AC991">
        <f>$C991*AC990</f>
        <v/>
      </c>
      <c r="AD991">
        <f>$C991*AD990</f>
        <v/>
      </c>
      <c r="AE991">
        <f>$C991*AE990</f>
        <v/>
      </c>
      <c r="AF991">
        <f>$C991*AF990</f>
        <v/>
      </c>
      <c r="AG991">
        <f>$C991*AG990</f>
        <v/>
      </c>
      <c r="AH991">
        <f>$C991*AH990</f>
        <v/>
      </c>
      <c r="AI991">
        <f>$C991*AI990</f>
        <v/>
      </c>
      <c r="AJ991">
        <f>$C991*AJ990</f>
        <v/>
      </c>
      <c r="AK991">
        <f>$C991*AK990</f>
        <v/>
      </c>
      <c r="AL991">
        <f>$C991*AL990</f>
        <v/>
      </c>
      <c r="AM991">
        <f>$C991*AM990</f>
        <v/>
      </c>
      <c r="AN991">
        <f>$C991*AN990</f>
        <v/>
      </c>
      <c r="AO991">
        <f>$C991*AO990</f>
        <v/>
      </c>
      <c r="AP991">
        <f>$C991*AP990</f>
        <v/>
      </c>
      <c r="AQ991">
        <f>$C991*AQ990</f>
        <v/>
      </c>
      <c r="AR991">
        <f>$C991*AR990</f>
        <v/>
      </c>
      <c r="AS991">
        <f>$C991*AS990</f>
        <v/>
      </c>
      <c r="AT991">
        <f>$C991*AT990</f>
        <v/>
      </c>
      <c r="AU991">
        <f>$C991*AU990</f>
        <v/>
      </c>
      <c r="AV991">
        <f>$C991*AV990</f>
        <v/>
      </c>
      <c r="AW991">
        <f>$C991*AW990</f>
        <v/>
      </c>
      <c r="AX991">
        <f>$C991*AX990</f>
        <v/>
      </c>
      <c r="AY991">
        <f>$C991*AY990</f>
        <v/>
      </c>
      <c r="AZ991">
        <f>$C991*AZ990</f>
        <v/>
      </c>
      <c r="BA991">
        <f>$C991*BA990</f>
        <v/>
      </c>
      <c r="BB991">
        <f>$C991*BB990</f>
        <v/>
      </c>
      <c r="BC991">
        <f>$C991*BC990</f>
        <v/>
      </c>
      <c r="BD991">
        <f>$C991*BD990</f>
        <v/>
      </c>
      <c r="BE991">
        <f>$C991*BE990</f>
        <v/>
      </c>
      <c r="BF991">
        <f>$C991*BF990</f>
        <v/>
      </c>
      <c r="BG991">
        <f>$C991*BG990</f>
        <v/>
      </c>
      <c r="BH991">
        <f>$C991*BH990</f>
        <v/>
      </c>
      <c r="BI991">
        <f>$C991*BI990</f>
        <v/>
      </c>
      <c r="BJ991">
        <f>$C991*BJ990</f>
        <v/>
      </c>
      <c r="BK991">
        <f>$C991*BK990</f>
        <v/>
      </c>
      <c r="BL991">
        <f>$C991*BL990</f>
        <v/>
      </c>
      <c r="BM991">
        <f>$C991*BM990</f>
        <v/>
      </c>
      <c r="BN991">
        <f>$C991*BN990</f>
        <v/>
      </c>
      <c r="BO991">
        <f>$C991*BO990</f>
        <v/>
      </c>
      <c r="BP991">
        <f>$C991*BP990</f>
        <v/>
      </c>
      <c r="BQ991">
        <f>$C991*BQ990</f>
        <v/>
      </c>
      <c r="BR991">
        <f>$C991*BR990</f>
        <v/>
      </c>
      <c r="BS991">
        <f>$C991*BS990</f>
        <v/>
      </c>
      <c r="BT991">
        <f>$C991*BT990</f>
        <v/>
      </c>
      <c r="BU991">
        <f>$C991*BU990</f>
        <v/>
      </c>
      <c r="BV991">
        <f>$C991*BV990</f>
        <v/>
      </c>
      <c r="BW991">
        <f>$C991*BW990</f>
        <v/>
      </c>
      <c r="BX991">
        <f>$C991*BX990</f>
        <v/>
      </c>
      <c r="BY991">
        <f>$C991*BY990</f>
        <v/>
      </c>
      <c r="BZ991">
        <f>$C991*BZ990</f>
        <v/>
      </c>
      <c r="CA991">
        <f>$C991*CA990</f>
        <v/>
      </c>
      <c r="CB991">
        <f>$C991*CB990</f>
        <v/>
      </c>
      <c r="CC991">
        <f>$C991*CC990</f>
        <v/>
      </c>
      <c r="CD991">
        <f>$C991*CD990</f>
        <v/>
      </c>
      <c r="CE991">
        <f>$C991*CE990</f>
        <v/>
      </c>
      <c r="CF991">
        <f>$C991*CF990</f>
        <v/>
      </c>
      <c r="CG991">
        <f>$C991*CG990</f>
        <v/>
      </c>
      <c r="CH991">
        <f>$C991*CH990</f>
        <v/>
      </c>
      <c r="CI991">
        <f>$C991*CI990</f>
        <v/>
      </c>
      <c r="CJ991">
        <f>$C991*CJ990</f>
        <v/>
      </c>
      <c r="CK991">
        <f>$C991*CK990</f>
        <v/>
      </c>
      <c r="CL991">
        <f>$C991*CL990</f>
        <v/>
      </c>
      <c r="CM991">
        <f>$C991*CM990</f>
        <v/>
      </c>
      <c r="CN991">
        <f>$C991*CN990</f>
        <v/>
      </c>
      <c r="CO991">
        <f>$C991*CO990</f>
        <v/>
      </c>
      <c r="CP991">
        <f>$C991*CP990</f>
        <v/>
      </c>
      <c r="CQ991">
        <f>$C991*CQ990</f>
        <v/>
      </c>
      <c r="CR991">
        <f>$C991*CR990</f>
        <v/>
      </c>
      <c r="CS991">
        <f>$C991*CS990</f>
        <v/>
      </c>
      <c r="CT991">
        <f>$C991*CT990</f>
        <v/>
      </c>
      <c r="CU991">
        <f>$C991*CU990</f>
        <v/>
      </c>
      <c r="CV991">
        <f>$C991*CV990</f>
        <v/>
      </c>
      <c r="CW991">
        <f>$C991*CW990</f>
        <v/>
      </c>
      <c r="CX991">
        <f>$C991*CX990</f>
        <v/>
      </c>
      <c r="CY991">
        <f>$C991*CY990</f>
        <v/>
      </c>
      <c r="CZ991">
        <f>$C991*CZ990</f>
        <v/>
      </c>
      <c r="DA991">
        <f>$C991*DA990</f>
        <v/>
      </c>
      <c r="DB991">
        <f>$C991*DB990</f>
        <v/>
      </c>
      <c r="DC991">
        <f>$C991*DC990</f>
        <v/>
      </c>
    </row>
    <row r="992">
      <c r="B992" t="inlineStr">
        <is>
          <t>TPP-923</t>
        </is>
      </c>
      <c r="C992" t="inlineStr">
        <is>
          <t>No. of batches</t>
        </is>
      </c>
      <c r="D992">
        <f>IFERROR(INDEX(PP_Grid[#Data],$DD992,2),0)</f>
        <v/>
      </c>
      <c r="E992">
        <f>IFERROR(INDEX(PP_Grid[#Data],$DD992,3),0)</f>
        <v/>
      </c>
      <c r="F992">
        <f>IFERROR(INDEX(PP_Grid[#Data],$DD992,4),0)</f>
        <v/>
      </c>
      <c r="G992">
        <f>IFERROR(INDEX(PP_Grid[#Data],$DD992,5),0)</f>
        <v/>
      </c>
      <c r="H992">
        <f>IFERROR(INDEX(PP_Grid[#Data],$DD992,6),0)</f>
        <v/>
      </c>
      <c r="I992">
        <f>IFERROR(INDEX(PP_Grid[#Data],$DD992,7),0)</f>
        <v/>
      </c>
      <c r="J992">
        <f>IFERROR(INDEX(PP_Grid[#Data],$DD992,8),0)</f>
        <v/>
      </c>
      <c r="K992">
        <f>IFERROR(INDEX(PP_Grid[#Data],$DD992,9),0)</f>
        <v/>
      </c>
      <c r="L992">
        <f>IFERROR(INDEX(PP_Grid[#Data],$DD992,10),0)</f>
        <v/>
      </c>
      <c r="M992">
        <f>IFERROR(INDEX(PP_Grid[#Data],$DD992,11),0)</f>
        <v/>
      </c>
      <c r="N992">
        <f>IFERROR(INDEX(PP_Grid[#Data],$DD992,12),0)</f>
        <v/>
      </c>
      <c r="O992">
        <f>IFERROR(INDEX(PP_Grid[#Data],$DD992,13),0)</f>
        <v/>
      </c>
      <c r="P992">
        <f>IFERROR(INDEX(PP_Grid[#Data],$DD992,14),0)</f>
        <v/>
      </c>
      <c r="Q992">
        <f>IFERROR(INDEX(PP_Grid[#Data],$DD992,15),0)</f>
        <v/>
      </c>
      <c r="R992">
        <f>IFERROR(INDEX(PP_Grid[#Data],$DD992,16),0)</f>
        <v/>
      </c>
      <c r="S992">
        <f>IFERROR(INDEX(PP_Grid[#Data],$DD992,17),0)</f>
        <v/>
      </c>
      <c r="T992">
        <f>IFERROR(INDEX(PP_Grid[#Data],$DD992,18),0)</f>
        <v/>
      </c>
      <c r="U992">
        <f>IFERROR(INDEX(PP_Grid[#Data],$DD992,19),0)</f>
        <v/>
      </c>
      <c r="V992">
        <f>IFERROR(INDEX(PP_Grid[#Data],$DD992,20),0)</f>
        <v/>
      </c>
      <c r="W992">
        <f>IFERROR(INDEX(PP_Grid[#Data],$DD992,21),0)</f>
        <v/>
      </c>
      <c r="X992">
        <f>IFERROR(INDEX(PP_Grid[#Data],$DD992,22),0)</f>
        <v/>
      </c>
      <c r="Y992">
        <f>IFERROR(INDEX(PP_Grid[#Data],$DD992,23),0)</f>
        <v/>
      </c>
      <c r="Z992">
        <f>IFERROR(INDEX(PP_Grid[#Data],$DD992,24),0)</f>
        <v/>
      </c>
      <c r="AA992">
        <f>IFERROR(INDEX(PP_Grid[#Data],$DD992,25),0)</f>
        <v/>
      </c>
      <c r="AB992">
        <f>IFERROR(INDEX(PP_Grid[#Data],$DD992,26),0)</f>
        <v/>
      </c>
      <c r="AC992">
        <f>IFERROR(INDEX(PP_Grid[#Data],$DD992,27),0)</f>
        <v/>
      </c>
      <c r="AD992">
        <f>IFERROR(INDEX(PP_Grid[#Data],$DD992,28),0)</f>
        <v/>
      </c>
      <c r="AE992">
        <f>IFERROR(INDEX(PP_Grid[#Data],$DD992,29),0)</f>
        <v/>
      </c>
      <c r="AF992">
        <f>IFERROR(INDEX(PP_Grid[#Data],$DD992,30),0)</f>
        <v/>
      </c>
      <c r="AG992">
        <f>IFERROR(INDEX(PP_Grid[#Data],$DD992,31),0)</f>
        <v/>
      </c>
      <c r="AH992">
        <f>IFERROR(INDEX(PP_Grid[#Data],$DD992,32),0)</f>
        <v/>
      </c>
      <c r="AI992">
        <f>IFERROR(INDEX(PP_Grid[#Data],$DD992,33),0)</f>
        <v/>
      </c>
      <c r="AJ992">
        <f>IFERROR(INDEX(PP_Grid[#Data],$DD992,34),0)</f>
        <v/>
      </c>
      <c r="AK992">
        <f>IFERROR(INDEX(PP_Grid[#Data],$DD992,35),0)</f>
        <v/>
      </c>
      <c r="AL992">
        <f>IFERROR(INDEX(PP_Grid[#Data],$DD992,36),0)</f>
        <v/>
      </c>
      <c r="AM992">
        <f>IFERROR(INDEX(PP_Grid[#Data],$DD992,37),0)</f>
        <v/>
      </c>
      <c r="AN992">
        <f>IFERROR(INDEX(PP_Grid[#Data],$DD992,38),0)</f>
        <v/>
      </c>
      <c r="AO992">
        <f>IFERROR(INDEX(PP_Grid[#Data],$DD992,39),0)</f>
        <v/>
      </c>
      <c r="AP992">
        <f>IFERROR(INDEX(PP_Grid[#Data],$DD992,40),0)</f>
        <v/>
      </c>
      <c r="AQ992">
        <f>IFERROR(INDEX(PP_Grid[#Data],$DD992,41),0)</f>
        <v/>
      </c>
      <c r="AR992">
        <f>IFERROR(INDEX(PP_Grid[#Data],$DD992,42),0)</f>
        <v/>
      </c>
      <c r="AS992">
        <f>IFERROR(INDEX(PP_Grid[#Data],$DD992,43),0)</f>
        <v/>
      </c>
      <c r="AT992">
        <f>IFERROR(INDEX(PP_Grid[#Data],$DD992,44),0)</f>
        <v/>
      </c>
      <c r="AU992">
        <f>IFERROR(INDEX(PP_Grid[#Data],$DD992,45),0)</f>
        <v/>
      </c>
      <c r="AV992">
        <f>IFERROR(INDEX(PP_Grid[#Data],$DD992,46),0)</f>
        <v/>
      </c>
      <c r="AW992">
        <f>IFERROR(INDEX(PP_Grid[#Data],$DD992,47),0)</f>
        <v/>
      </c>
      <c r="AX992">
        <f>IFERROR(INDEX(PP_Grid[#Data],$DD992,48),0)</f>
        <v/>
      </c>
      <c r="AY992">
        <f>IFERROR(INDEX(PP_Grid[#Data],$DD992,49),0)</f>
        <v/>
      </c>
      <c r="AZ992">
        <f>IFERROR(INDEX(PP_Grid[#Data],$DD992,50),0)</f>
        <v/>
      </c>
      <c r="BA992">
        <f>IFERROR(INDEX(PP_Grid[#Data],$DD992,51),0)</f>
        <v/>
      </c>
      <c r="BB992">
        <f>IFERROR(INDEX(PP_Grid[#Data],$DD992,52),0)</f>
        <v/>
      </c>
      <c r="BC992">
        <f>IFERROR(INDEX(PP_Grid[#Data],$DD992,53),0)</f>
        <v/>
      </c>
      <c r="BD992">
        <f>IFERROR(INDEX(PP_Grid[#Data],$DD992,54),0)</f>
        <v/>
      </c>
      <c r="BE992">
        <f>IFERROR(INDEX(PP_Grid[#Data],$DD992,55),0)</f>
        <v/>
      </c>
      <c r="BF992">
        <f>IFERROR(INDEX(PP_Grid[#Data],$DD992,56),0)</f>
        <v/>
      </c>
      <c r="BG992">
        <f>IFERROR(INDEX(PP_Grid[#Data],$DD992,57),0)</f>
        <v/>
      </c>
      <c r="BH992">
        <f>IFERROR(INDEX(PP_Grid[#Data],$DD992,58),0)</f>
        <v/>
      </c>
      <c r="BI992">
        <f>IFERROR(INDEX(PP_Grid[#Data],$DD992,59),0)</f>
        <v/>
      </c>
      <c r="BJ992">
        <f>IFERROR(INDEX(PP_Grid[#Data],$DD992,60),0)</f>
        <v/>
      </c>
      <c r="BK992">
        <f>IFERROR(INDEX(PP_Grid[#Data],$DD992,61),0)</f>
        <v/>
      </c>
      <c r="BL992">
        <f>IFERROR(INDEX(PP_Grid[#Data],$DD992,62),0)</f>
        <v/>
      </c>
      <c r="BM992">
        <f>IFERROR(INDEX(PP_Grid[#Data],$DD992,63),0)</f>
        <v/>
      </c>
      <c r="BN992">
        <f>IFERROR(INDEX(PP_Grid[#Data],$DD992,64),0)</f>
        <v/>
      </c>
      <c r="BO992">
        <f>IFERROR(INDEX(PP_Grid[#Data],$DD992,65),0)</f>
        <v/>
      </c>
      <c r="BP992">
        <f>IFERROR(INDEX(PP_Grid[#Data],$DD992,66),0)</f>
        <v/>
      </c>
      <c r="BQ992">
        <f>IFERROR(INDEX(PP_Grid[#Data],$DD992,67),0)</f>
        <v/>
      </c>
      <c r="BR992">
        <f>IFERROR(INDEX(PP_Grid[#Data],$DD992,68),0)</f>
        <v/>
      </c>
      <c r="BS992">
        <f>IFERROR(INDEX(PP_Grid[#Data],$DD992,69),0)</f>
        <v/>
      </c>
      <c r="BT992">
        <f>IFERROR(INDEX(PP_Grid[#Data],$DD992,70),0)</f>
        <v/>
      </c>
      <c r="BU992">
        <f>IFERROR(INDEX(PP_Grid[#Data],$DD992,71),0)</f>
        <v/>
      </c>
      <c r="BV992">
        <f>IFERROR(INDEX(PP_Grid[#Data],$DD992,72),0)</f>
        <v/>
      </c>
      <c r="BW992">
        <f>IFERROR(INDEX(PP_Grid[#Data],$DD992,73),0)</f>
        <v/>
      </c>
      <c r="BX992">
        <f>IFERROR(INDEX(PP_Grid[#Data],$DD992,74),0)</f>
        <v/>
      </c>
      <c r="BY992">
        <f>IFERROR(INDEX(PP_Grid[#Data],$DD992,75),0)</f>
        <v/>
      </c>
      <c r="BZ992">
        <f>IFERROR(INDEX(PP_Grid[#Data],$DD992,76),0)</f>
        <v/>
      </c>
      <c r="CA992">
        <f>IFERROR(INDEX(PP_Grid[#Data],$DD992,77),0)</f>
        <v/>
      </c>
      <c r="CB992">
        <f>IFERROR(INDEX(PP_Grid[#Data],$DD992,78),0)</f>
        <v/>
      </c>
      <c r="CC992">
        <f>IFERROR(INDEX(PP_Grid[#Data],$DD992,79),0)</f>
        <v/>
      </c>
      <c r="CD992">
        <f>IFERROR(INDEX(PP_Grid[#Data],$DD992,80),0)</f>
        <v/>
      </c>
      <c r="CE992">
        <f>IFERROR(INDEX(PP_Grid[#Data],$DD992,81),0)</f>
        <v/>
      </c>
      <c r="CF992">
        <f>IFERROR(INDEX(PP_Grid[#Data],$DD992,82),0)</f>
        <v/>
      </c>
      <c r="CG992">
        <f>IFERROR(INDEX(PP_Grid[#Data],$DD992,83),0)</f>
        <v/>
      </c>
      <c r="CH992">
        <f>IFERROR(INDEX(PP_Grid[#Data],$DD992,84),0)</f>
        <v/>
      </c>
      <c r="CI992">
        <f>IFERROR(INDEX(PP_Grid[#Data],$DD992,85),0)</f>
        <v/>
      </c>
      <c r="CJ992">
        <f>IFERROR(INDEX(PP_Grid[#Data],$DD992,86),0)</f>
        <v/>
      </c>
      <c r="CK992">
        <f>IFERROR(INDEX(PP_Grid[#Data],$DD992,87),0)</f>
        <v/>
      </c>
      <c r="CL992">
        <f>IFERROR(INDEX(PP_Grid[#Data],$DD992,88),0)</f>
        <v/>
      </c>
      <c r="CM992">
        <f>IFERROR(INDEX(PP_Grid[#Data],$DD992,89),0)</f>
        <v/>
      </c>
      <c r="CN992">
        <f>IFERROR(INDEX(PP_Grid[#Data],$DD992,90),0)</f>
        <v/>
      </c>
      <c r="CO992">
        <f>IFERROR(INDEX(PP_Grid[#Data],$DD992,91),0)</f>
        <v/>
      </c>
      <c r="CP992">
        <f>IFERROR(INDEX(PP_Grid[#Data],$DD992,92),0)</f>
        <v/>
      </c>
      <c r="CQ992">
        <f>IFERROR(INDEX(PP_Grid[#Data],$DD992,93),0)</f>
        <v/>
      </c>
      <c r="CR992">
        <f>IFERROR(INDEX(PP_Grid[#Data],$DD992,94),0)</f>
        <v/>
      </c>
      <c r="CS992">
        <f>IFERROR(INDEX(PP_Grid[#Data],$DD992,95),0)</f>
        <v/>
      </c>
      <c r="CT992">
        <f>IFERROR(INDEX(PP_Grid[#Data],$DD992,96),0)</f>
        <v/>
      </c>
      <c r="CU992">
        <f>IFERROR(INDEX(PP_Grid[#Data],$DD992,97),0)</f>
        <v/>
      </c>
      <c r="CV992">
        <f>IFERROR(INDEX(PP_Grid[#Data],$DD992,98),0)</f>
        <v/>
      </c>
      <c r="CW992">
        <f>IFERROR(INDEX(PP_Grid[#Data],$DD992,99),0)</f>
        <v/>
      </c>
      <c r="CX992">
        <f>IFERROR(INDEX(PP_Grid[#Data],$DD992,100),0)</f>
        <v/>
      </c>
      <c r="CY992">
        <f>IFERROR(INDEX(PP_Grid[#Data],$DD992,101),0)</f>
        <v/>
      </c>
      <c r="CZ992">
        <f>IFERROR(INDEX(PP_Grid[#Data],$DD992,102),0)</f>
        <v/>
      </c>
      <c r="DA992">
        <f>IFERROR(INDEX(PP_Grid[#Data],$DD992,103),0)</f>
        <v/>
      </c>
      <c r="DB992">
        <f>IFERROR(INDEX(PP_Grid[#Data],$DD992,104),0)</f>
        <v/>
      </c>
      <c r="DC992">
        <f>IFERROR(INDEX(PP_Grid[#Data],$DD992,105),0)</f>
        <v/>
      </c>
      <c r="DD992" s="7">
        <f>IFERROR(MATCH($B992,PP_Grid[Intermediate],0),99999)</f>
        <v/>
      </c>
    </row>
    <row r="993">
      <c r="B993" t="inlineStr">
        <is>
          <t>使用量(kg)</t>
        </is>
      </c>
      <c r="C993">
        <f>SUMIFS(M_BOM[RM_Qty_Per_Batch],M_BOM[Intermediate],$B992,M_BOM[Part Name],$A973)</f>
        <v/>
      </c>
      <c r="D993">
        <f>$C993*D992</f>
        <v/>
      </c>
      <c r="E993">
        <f>$C993*E992</f>
        <v/>
      </c>
      <c r="F993">
        <f>$C993*F992</f>
        <v/>
      </c>
      <c r="G993">
        <f>$C993*G992</f>
        <v/>
      </c>
      <c r="H993">
        <f>$C993*H992</f>
        <v/>
      </c>
      <c r="I993">
        <f>$C993*I992</f>
        <v/>
      </c>
      <c r="J993">
        <f>$C993*J992</f>
        <v/>
      </c>
      <c r="K993">
        <f>$C993*K992</f>
        <v/>
      </c>
      <c r="L993">
        <f>$C993*L992</f>
        <v/>
      </c>
      <c r="M993">
        <f>$C993*M992</f>
        <v/>
      </c>
      <c r="N993">
        <f>$C993*N992</f>
        <v/>
      </c>
      <c r="O993">
        <f>$C993*O992</f>
        <v/>
      </c>
      <c r="P993">
        <f>$C993*P992</f>
        <v/>
      </c>
      <c r="Q993">
        <f>$C993*Q992</f>
        <v/>
      </c>
      <c r="R993">
        <f>$C993*R992</f>
        <v/>
      </c>
      <c r="S993">
        <f>$C993*S992</f>
        <v/>
      </c>
      <c r="T993">
        <f>$C993*T992</f>
        <v/>
      </c>
      <c r="U993">
        <f>$C993*U992</f>
        <v/>
      </c>
      <c r="V993">
        <f>$C993*V992</f>
        <v/>
      </c>
      <c r="W993">
        <f>$C993*W992</f>
        <v/>
      </c>
      <c r="X993">
        <f>$C993*X992</f>
        <v/>
      </c>
      <c r="Y993">
        <f>$C993*Y992</f>
        <v/>
      </c>
      <c r="Z993">
        <f>$C993*Z992</f>
        <v/>
      </c>
      <c r="AA993">
        <f>$C993*AA992</f>
        <v/>
      </c>
      <c r="AB993">
        <f>$C993*AB992</f>
        <v/>
      </c>
      <c r="AC993">
        <f>$C993*AC992</f>
        <v/>
      </c>
      <c r="AD993">
        <f>$C993*AD992</f>
        <v/>
      </c>
      <c r="AE993">
        <f>$C993*AE992</f>
        <v/>
      </c>
      <c r="AF993">
        <f>$C993*AF992</f>
        <v/>
      </c>
      <c r="AG993">
        <f>$C993*AG992</f>
        <v/>
      </c>
      <c r="AH993">
        <f>$C993*AH992</f>
        <v/>
      </c>
      <c r="AI993">
        <f>$C993*AI992</f>
        <v/>
      </c>
      <c r="AJ993">
        <f>$C993*AJ992</f>
        <v/>
      </c>
      <c r="AK993">
        <f>$C993*AK992</f>
        <v/>
      </c>
      <c r="AL993">
        <f>$C993*AL992</f>
        <v/>
      </c>
      <c r="AM993">
        <f>$C993*AM992</f>
        <v/>
      </c>
      <c r="AN993">
        <f>$C993*AN992</f>
        <v/>
      </c>
      <c r="AO993">
        <f>$C993*AO992</f>
        <v/>
      </c>
      <c r="AP993">
        <f>$C993*AP992</f>
        <v/>
      </c>
      <c r="AQ993">
        <f>$C993*AQ992</f>
        <v/>
      </c>
      <c r="AR993">
        <f>$C993*AR992</f>
        <v/>
      </c>
      <c r="AS993">
        <f>$C993*AS992</f>
        <v/>
      </c>
      <c r="AT993">
        <f>$C993*AT992</f>
        <v/>
      </c>
      <c r="AU993">
        <f>$C993*AU992</f>
        <v/>
      </c>
      <c r="AV993">
        <f>$C993*AV992</f>
        <v/>
      </c>
      <c r="AW993">
        <f>$C993*AW992</f>
        <v/>
      </c>
      <c r="AX993">
        <f>$C993*AX992</f>
        <v/>
      </c>
      <c r="AY993">
        <f>$C993*AY992</f>
        <v/>
      </c>
      <c r="AZ993">
        <f>$C993*AZ992</f>
        <v/>
      </c>
      <c r="BA993">
        <f>$C993*BA992</f>
        <v/>
      </c>
      <c r="BB993">
        <f>$C993*BB992</f>
        <v/>
      </c>
      <c r="BC993">
        <f>$C993*BC992</f>
        <v/>
      </c>
      <c r="BD993">
        <f>$C993*BD992</f>
        <v/>
      </c>
      <c r="BE993">
        <f>$C993*BE992</f>
        <v/>
      </c>
      <c r="BF993">
        <f>$C993*BF992</f>
        <v/>
      </c>
      <c r="BG993">
        <f>$C993*BG992</f>
        <v/>
      </c>
      <c r="BH993">
        <f>$C993*BH992</f>
        <v/>
      </c>
      <c r="BI993">
        <f>$C993*BI992</f>
        <v/>
      </c>
      <c r="BJ993">
        <f>$C993*BJ992</f>
        <v/>
      </c>
      <c r="BK993">
        <f>$C993*BK992</f>
        <v/>
      </c>
      <c r="BL993">
        <f>$C993*BL992</f>
        <v/>
      </c>
      <c r="BM993">
        <f>$C993*BM992</f>
        <v/>
      </c>
      <c r="BN993">
        <f>$C993*BN992</f>
        <v/>
      </c>
      <c r="BO993">
        <f>$C993*BO992</f>
        <v/>
      </c>
      <c r="BP993">
        <f>$C993*BP992</f>
        <v/>
      </c>
      <c r="BQ993">
        <f>$C993*BQ992</f>
        <v/>
      </c>
      <c r="BR993">
        <f>$C993*BR992</f>
        <v/>
      </c>
      <c r="BS993">
        <f>$C993*BS992</f>
        <v/>
      </c>
      <c r="BT993">
        <f>$C993*BT992</f>
        <v/>
      </c>
      <c r="BU993">
        <f>$C993*BU992</f>
        <v/>
      </c>
      <c r="BV993">
        <f>$C993*BV992</f>
        <v/>
      </c>
      <c r="BW993">
        <f>$C993*BW992</f>
        <v/>
      </c>
      <c r="BX993">
        <f>$C993*BX992</f>
        <v/>
      </c>
      <c r="BY993">
        <f>$C993*BY992</f>
        <v/>
      </c>
      <c r="BZ993">
        <f>$C993*BZ992</f>
        <v/>
      </c>
      <c r="CA993">
        <f>$C993*CA992</f>
        <v/>
      </c>
      <c r="CB993">
        <f>$C993*CB992</f>
        <v/>
      </c>
      <c r="CC993">
        <f>$C993*CC992</f>
        <v/>
      </c>
      <c r="CD993">
        <f>$C993*CD992</f>
        <v/>
      </c>
      <c r="CE993">
        <f>$C993*CE992</f>
        <v/>
      </c>
      <c r="CF993">
        <f>$C993*CF992</f>
        <v/>
      </c>
      <c r="CG993">
        <f>$C993*CG992</f>
        <v/>
      </c>
      <c r="CH993">
        <f>$C993*CH992</f>
        <v/>
      </c>
      <c r="CI993">
        <f>$C993*CI992</f>
        <v/>
      </c>
      <c r="CJ993">
        <f>$C993*CJ992</f>
        <v/>
      </c>
      <c r="CK993">
        <f>$C993*CK992</f>
        <v/>
      </c>
      <c r="CL993">
        <f>$C993*CL992</f>
        <v/>
      </c>
      <c r="CM993">
        <f>$C993*CM992</f>
        <v/>
      </c>
      <c r="CN993">
        <f>$C993*CN992</f>
        <v/>
      </c>
      <c r="CO993">
        <f>$C993*CO992</f>
        <v/>
      </c>
      <c r="CP993">
        <f>$C993*CP992</f>
        <v/>
      </c>
      <c r="CQ993">
        <f>$C993*CQ992</f>
        <v/>
      </c>
      <c r="CR993">
        <f>$C993*CR992</f>
        <v/>
      </c>
      <c r="CS993">
        <f>$C993*CS992</f>
        <v/>
      </c>
      <c r="CT993">
        <f>$C993*CT992</f>
        <v/>
      </c>
      <c r="CU993">
        <f>$C993*CU992</f>
        <v/>
      </c>
      <c r="CV993">
        <f>$C993*CV992</f>
        <v/>
      </c>
      <c r="CW993">
        <f>$C993*CW992</f>
        <v/>
      </c>
      <c r="CX993">
        <f>$C993*CX992</f>
        <v/>
      </c>
      <c r="CY993">
        <f>$C993*CY992</f>
        <v/>
      </c>
      <c r="CZ993">
        <f>$C993*CZ992</f>
        <v/>
      </c>
      <c r="DA993">
        <f>$C993*DA992</f>
        <v/>
      </c>
      <c r="DB993">
        <f>$C993*DB992</f>
        <v/>
      </c>
      <c r="DC993">
        <f>$C993*DC992</f>
        <v/>
      </c>
    </row>
    <row r="994">
      <c r="B994" t="inlineStr">
        <is>
          <t>No of times used</t>
        </is>
      </c>
      <c r="C994" t="inlineStr">
        <is>
          <t>No. of batches</t>
        </is>
      </c>
      <c r="D994">
        <f>IFERROR(INDEX(PP_Grid[#Data],$DD994,2),0)</f>
        <v/>
      </c>
      <c r="E994">
        <f>IFERROR(INDEX(PP_Grid[#Data],$DD994,3),0)</f>
        <v/>
      </c>
      <c r="F994">
        <f>IFERROR(INDEX(PP_Grid[#Data],$DD994,4),0)</f>
        <v/>
      </c>
      <c r="G994">
        <f>IFERROR(INDEX(PP_Grid[#Data],$DD994,5),0)</f>
        <v/>
      </c>
      <c r="H994">
        <f>IFERROR(INDEX(PP_Grid[#Data],$DD994,6),0)</f>
        <v/>
      </c>
      <c r="I994">
        <f>IFERROR(INDEX(PP_Grid[#Data],$DD994,7),0)</f>
        <v/>
      </c>
      <c r="J994">
        <f>IFERROR(INDEX(PP_Grid[#Data],$DD994,8),0)</f>
        <v/>
      </c>
      <c r="K994">
        <f>IFERROR(INDEX(PP_Grid[#Data],$DD994,9),0)</f>
        <v/>
      </c>
      <c r="L994">
        <f>IFERROR(INDEX(PP_Grid[#Data],$DD994,10),0)</f>
        <v/>
      </c>
      <c r="M994">
        <f>IFERROR(INDEX(PP_Grid[#Data],$DD994,11),0)</f>
        <v/>
      </c>
      <c r="N994">
        <f>IFERROR(INDEX(PP_Grid[#Data],$DD994,12),0)</f>
        <v/>
      </c>
      <c r="O994">
        <f>IFERROR(INDEX(PP_Grid[#Data],$DD994,13),0)</f>
        <v/>
      </c>
      <c r="P994">
        <f>IFERROR(INDEX(PP_Grid[#Data],$DD994,14),0)</f>
        <v/>
      </c>
      <c r="Q994">
        <f>IFERROR(INDEX(PP_Grid[#Data],$DD994,15),0)</f>
        <v/>
      </c>
      <c r="R994">
        <f>IFERROR(INDEX(PP_Grid[#Data],$DD994,16),0)</f>
        <v/>
      </c>
      <c r="S994">
        <f>IFERROR(INDEX(PP_Grid[#Data],$DD994,17),0)</f>
        <v/>
      </c>
      <c r="T994">
        <f>IFERROR(INDEX(PP_Grid[#Data],$DD994,18),0)</f>
        <v/>
      </c>
      <c r="U994">
        <f>IFERROR(INDEX(PP_Grid[#Data],$DD994,19),0)</f>
        <v/>
      </c>
      <c r="V994">
        <f>IFERROR(INDEX(PP_Grid[#Data],$DD994,20),0)</f>
        <v/>
      </c>
      <c r="W994">
        <f>IFERROR(INDEX(PP_Grid[#Data],$DD994,21),0)</f>
        <v/>
      </c>
      <c r="X994">
        <f>IFERROR(INDEX(PP_Grid[#Data],$DD994,22),0)</f>
        <v/>
      </c>
      <c r="Y994">
        <f>IFERROR(INDEX(PP_Grid[#Data],$DD994,23),0)</f>
        <v/>
      </c>
      <c r="Z994">
        <f>IFERROR(INDEX(PP_Grid[#Data],$DD994,24),0)</f>
        <v/>
      </c>
      <c r="AA994">
        <f>IFERROR(INDEX(PP_Grid[#Data],$DD994,25),0)</f>
        <v/>
      </c>
      <c r="AB994">
        <f>IFERROR(INDEX(PP_Grid[#Data],$DD994,26),0)</f>
        <v/>
      </c>
      <c r="AC994">
        <f>IFERROR(INDEX(PP_Grid[#Data],$DD994,27),0)</f>
        <v/>
      </c>
      <c r="AD994">
        <f>IFERROR(INDEX(PP_Grid[#Data],$DD994,28),0)</f>
        <v/>
      </c>
      <c r="AE994">
        <f>IFERROR(INDEX(PP_Grid[#Data],$DD994,29),0)</f>
        <v/>
      </c>
      <c r="AF994">
        <f>IFERROR(INDEX(PP_Grid[#Data],$DD994,30),0)</f>
        <v/>
      </c>
      <c r="AG994">
        <f>IFERROR(INDEX(PP_Grid[#Data],$DD994,31),0)</f>
        <v/>
      </c>
      <c r="AH994">
        <f>IFERROR(INDEX(PP_Grid[#Data],$DD994,32),0)</f>
        <v/>
      </c>
      <c r="AI994">
        <f>IFERROR(INDEX(PP_Grid[#Data],$DD994,33),0)</f>
        <v/>
      </c>
      <c r="AJ994">
        <f>IFERROR(INDEX(PP_Grid[#Data],$DD994,34),0)</f>
        <v/>
      </c>
      <c r="AK994">
        <f>IFERROR(INDEX(PP_Grid[#Data],$DD994,35),0)</f>
        <v/>
      </c>
      <c r="AL994">
        <f>IFERROR(INDEX(PP_Grid[#Data],$DD994,36),0)</f>
        <v/>
      </c>
      <c r="AM994">
        <f>IFERROR(INDEX(PP_Grid[#Data],$DD994,37),0)</f>
        <v/>
      </c>
      <c r="AN994">
        <f>IFERROR(INDEX(PP_Grid[#Data],$DD994,38),0)</f>
        <v/>
      </c>
      <c r="AO994">
        <f>IFERROR(INDEX(PP_Grid[#Data],$DD994,39),0)</f>
        <v/>
      </c>
      <c r="AP994">
        <f>IFERROR(INDEX(PP_Grid[#Data],$DD994,40),0)</f>
        <v/>
      </c>
      <c r="AQ994">
        <f>IFERROR(INDEX(PP_Grid[#Data],$DD994,41),0)</f>
        <v/>
      </c>
      <c r="AR994">
        <f>IFERROR(INDEX(PP_Grid[#Data],$DD994,42),0)</f>
        <v/>
      </c>
      <c r="AS994">
        <f>IFERROR(INDEX(PP_Grid[#Data],$DD994,43),0)</f>
        <v/>
      </c>
      <c r="AT994">
        <f>IFERROR(INDEX(PP_Grid[#Data],$DD994,44),0)</f>
        <v/>
      </c>
      <c r="AU994">
        <f>IFERROR(INDEX(PP_Grid[#Data],$DD994,45),0)</f>
        <v/>
      </c>
      <c r="AV994">
        <f>IFERROR(INDEX(PP_Grid[#Data],$DD994,46),0)</f>
        <v/>
      </c>
      <c r="AW994">
        <f>IFERROR(INDEX(PP_Grid[#Data],$DD994,47),0)</f>
        <v/>
      </c>
      <c r="AX994">
        <f>IFERROR(INDEX(PP_Grid[#Data],$DD994,48),0)</f>
        <v/>
      </c>
      <c r="AY994">
        <f>IFERROR(INDEX(PP_Grid[#Data],$DD994,49),0)</f>
        <v/>
      </c>
      <c r="AZ994">
        <f>IFERROR(INDEX(PP_Grid[#Data],$DD994,50),0)</f>
        <v/>
      </c>
      <c r="BA994">
        <f>IFERROR(INDEX(PP_Grid[#Data],$DD994,51),0)</f>
        <v/>
      </c>
      <c r="BB994">
        <f>IFERROR(INDEX(PP_Grid[#Data],$DD994,52),0)</f>
        <v/>
      </c>
      <c r="BC994">
        <f>IFERROR(INDEX(PP_Grid[#Data],$DD994,53),0)</f>
        <v/>
      </c>
      <c r="BD994">
        <f>IFERROR(INDEX(PP_Grid[#Data],$DD994,54),0)</f>
        <v/>
      </c>
      <c r="BE994">
        <f>IFERROR(INDEX(PP_Grid[#Data],$DD994,55),0)</f>
        <v/>
      </c>
      <c r="BF994">
        <f>IFERROR(INDEX(PP_Grid[#Data],$DD994,56),0)</f>
        <v/>
      </c>
      <c r="BG994">
        <f>IFERROR(INDEX(PP_Grid[#Data],$DD994,57),0)</f>
        <v/>
      </c>
      <c r="BH994">
        <f>IFERROR(INDEX(PP_Grid[#Data],$DD994,58),0)</f>
        <v/>
      </c>
      <c r="BI994">
        <f>IFERROR(INDEX(PP_Grid[#Data],$DD994,59),0)</f>
        <v/>
      </c>
      <c r="BJ994">
        <f>IFERROR(INDEX(PP_Grid[#Data],$DD994,60),0)</f>
        <v/>
      </c>
      <c r="BK994">
        <f>IFERROR(INDEX(PP_Grid[#Data],$DD994,61),0)</f>
        <v/>
      </c>
      <c r="BL994">
        <f>IFERROR(INDEX(PP_Grid[#Data],$DD994,62),0)</f>
        <v/>
      </c>
      <c r="BM994">
        <f>IFERROR(INDEX(PP_Grid[#Data],$DD994,63),0)</f>
        <v/>
      </c>
      <c r="BN994">
        <f>IFERROR(INDEX(PP_Grid[#Data],$DD994,64),0)</f>
        <v/>
      </c>
      <c r="BO994">
        <f>IFERROR(INDEX(PP_Grid[#Data],$DD994,65),0)</f>
        <v/>
      </c>
      <c r="BP994">
        <f>IFERROR(INDEX(PP_Grid[#Data],$DD994,66),0)</f>
        <v/>
      </c>
      <c r="BQ994">
        <f>IFERROR(INDEX(PP_Grid[#Data],$DD994,67),0)</f>
        <v/>
      </c>
      <c r="BR994">
        <f>IFERROR(INDEX(PP_Grid[#Data],$DD994,68),0)</f>
        <v/>
      </c>
      <c r="BS994">
        <f>IFERROR(INDEX(PP_Grid[#Data],$DD994,69),0)</f>
        <v/>
      </c>
      <c r="BT994">
        <f>IFERROR(INDEX(PP_Grid[#Data],$DD994,70),0)</f>
        <v/>
      </c>
      <c r="BU994">
        <f>IFERROR(INDEX(PP_Grid[#Data],$DD994,71),0)</f>
        <v/>
      </c>
      <c r="BV994">
        <f>IFERROR(INDEX(PP_Grid[#Data],$DD994,72),0)</f>
        <v/>
      </c>
      <c r="BW994">
        <f>IFERROR(INDEX(PP_Grid[#Data],$DD994,73),0)</f>
        <v/>
      </c>
      <c r="BX994">
        <f>IFERROR(INDEX(PP_Grid[#Data],$DD994,74),0)</f>
        <v/>
      </c>
      <c r="BY994">
        <f>IFERROR(INDEX(PP_Grid[#Data],$DD994,75),0)</f>
        <v/>
      </c>
      <c r="BZ994">
        <f>IFERROR(INDEX(PP_Grid[#Data],$DD994,76),0)</f>
        <v/>
      </c>
      <c r="CA994">
        <f>IFERROR(INDEX(PP_Grid[#Data],$DD994,77),0)</f>
        <v/>
      </c>
      <c r="CB994">
        <f>IFERROR(INDEX(PP_Grid[#Data],$DD994,78),0)</f>
        <v/>
      </c>
      <c r="CC994">
        <f>IFERROR(INDEX(PP_Grid[#Data],$DD994,79),0)</f>
        <v/>
      </c>
      <c r="CD994">
        <f>IFERROR(INDEX(PP_Grid[#Data],$DD994,80),0)</f>
        <v/>
      </c>
      <c r="CE994">
        <f>IFERROR(INDEX(PP_Grid[#Data],$DD994,81),0)</f>
        <v/>
      </c>
      <c r="CF994">
        <f>IFERROR(INDEX(PP_Grid[#Data],$DD994,82),0)</f>
        <v/>
      </c>
      <c r="CG994">
        <f>IFERROR(INDEX(PP_Grid[#Data],$DD994,83),0)</f>
        <v/>
      </c>
      <c r="CH994">
        <f>IFERROR(INDEX(PP_Grid[#Data],$DD994,84),0)</f>
        <v/>
      </c>
      <c r="CI994">
        <f>IFERROR(INDEX(PP_Grid[#Data],$DD994,85),0)</f>
        <v/>
      </c>
      <c r="CJ994">
        <f>IFERROR(INDEX(PP_Grid[#Data],$DD994,86),0)</f>
        <v/>
      </c>
      <c r="CK994">
        <f>IFERROR(INDEX(PP_Grid[#Data],$DD994,87),0)</f>
        <v/>
      </c>
      <c r="CL994">
        <f>IFERROR(INDEX(PP_Grid[#Data],$DD994,88),0)</f>
        <v/>
      </c>
      <c r="CM994">
        <f>IFERROR(INDEX(PP_Grid[#Data],$DD994,89),0)</f>
        <v/>
      </c>
      <c r="CN994">
        <f>IFERROR(INDEX(PP_Grid[#Data],$DD994,90),0)</f>
        <v/>
      </c>
      <c r="CO994">
        <f>IFERROR(INDEX(PP_Grid[#Data],$DD994,91),0)</f>
        <v/>
      </c>
      <c r="CP994">
        <f>IFERROR(INDEX(PP_Grid[#Data],$DD994,92),0)</f>
        <v/>
      </c>
      <c r="CQ994">
        <f>IFERROR(INDEX(PP_Grid[#Data],$DD994,93),0)</f>
        <v/>
      </c>
      <c r="CR994">
        <f>IFERROR(INDEX(PP_Grid[#Data],$DD994,94),0)</f>
        <v/>
      </c>
      <c r="CS994">
        <f>IFERROR(INDEX(PP_Grid[#Data],$DD994,95),0)</f>
        <v/>
      </c>
      <c r="CT994">
        <f>IFERROR(INDEX(PP_Grid[#Data],$DD994,96),0)</f>
        <v/>
      </c>
      <c r="CU994">
        <f>IFERROR(INDEX(PP_Grid[#Data],$DD994,97),0)</f>
        <v/>
      </c>
      <c r="CV994">
        <f>IFERROR(INDEX(PP_Grid[#Data],$DD994,98),0)</f>
        <v/>
      </c>
      <c r="CW994">
        <f>IFERROR(INDEX(PP_Grid[#Data],$DD994,99),0)</f>
        <v/>
      </c>
      <c r="CX994">
        <f>IFERROR(INDEX(PP_Grid[#Data],$DD994,100),0)</f>
        <v/>
      </c>
      <c r="CY994">
        <f>IFERROR(INDEX(PP_Grid[#Data],$DD994,101),0)</f>
        <v/>
      </c>
      <c r="CZ994">
        <f>IFERROR(INDEX(PP_Grid[#Data],$DD994,102),0)</f>
        <v/>
      </c>
      <c r="DA994">
        <f>IFERROR(INDEX(PP_Grid[#Data],$DD994,103),0)</f>
        <v/>
      </c>
      <c r="DB994">
        <f>IFERROR(INDEX(PP_Grid[#Data],$DD994,104),0)</f>
        <v/>
      </c>
      <c r="DC994">
        <f>IFERROR(INDEX(PP_Grid[#Data],$DD994,105),0)</f>
        <v/>
      </c>
      <c r="DD994" s="7">
        <f>IFERROR(MATCH($B994,PP_Grid[Intermediate],0),99999)</f>
        <v/>
      </c>
    </row>
    <row r="995">
      <c r="B995" t="inlineStr">
        <is>
          <t>使用量(kg)</t>
        </is>
      </c>
      <c r="C995">
        <f>SUMIFS(M_BOM[RM_Qty_Per_Batch],M_BOM[Intermediate],$B994,M_BOM[Part Name],$A973)</f>
        <v/>
      </c>
      <c r="D995">
        <f>$C995*D994</f>
        <v/>
      </c>
      <c r="E995">
        <f>$C995*E994</f>
        <v/>
      </c>
      <c r="F995">
        <f>$C995*F994</f>
        <v/>
      </c>
      <c r="G995">
        <f>$C995*G994</f>
        <v/>
      </c>
      <c r="H995">
        <f>$C995*H994</f>
        <v/>
      </c>
      <c r="I995">
        <f>$C995*I994</f>
        <v/>
      </c>
      <c r="J995">
        <f>$C995*J994</f>
        <v/>
      </c>
      <c r="K995">
        <f>$C995*K994</f>
        <v/>
      </c>
      <c r="L995">
        <f>$C995*L994</f>
        <v/>
      </c>
      <c r="M995">
        <f>$C995*M994</f>
        <v/>
      </c>
      <c r="N995">
        <f>$C995*N994</f>
        <v/>
      </c>
      <c r="O995">
        <f>$C995*O994</f>
        <v/>
      </c>
      <c r="P995">
        <f>$C995*P994</f>
        <v/>
      </c>
      <c r="Q995">
        <f>$C995*Q994</f>
        <v/>
      </c>
      <c r="R995">
        <f>$C995*R994</f>
        <v/>
      </c>
      <c r="S995">
        <f>$C995*S994</f>
        <v/>
      </c>
      <c r="T995">
        <f>$C995*T994</f>
        <v/>
      </c>
      <c r="U995">
        <f>$C995*U994</f>
        <v/>
      </c>
      <c r="V995">
        <f>$C995*V994</f>
        <v/>
      </c>
      <c r="W995">
        <f>$C995*W994</f>
        <v/>
      </c>
      <c r="X995">
        <f>$C995*X994</f>
        <v/>
      </c>
      <c r="Y995">
        <f>$C995*Y994</f>
        <v/>
      </c>
      <c r="Z995">
        <f>$C995*Z994</f>
        <v/>
      </c>
      <c r="AA995">
        <f>$C995*AA994</f>
        <v/>
      </c>
      <c r="AB995">
        <f>$C995*AB994</f>
        <v/>
      </c>
      <c r="AC995">
        <f>$C995*AC994</f>
        <v/>
      </c>
      <c r="AD995">
        <f>$C995*AD994</f>
        <v/>
      </c>
      <c r="AE995">
        <f>$C995*AE994</f>
        <v/>
      </c>
      <c r="AF995">
        <f>$C995*AF994</f>
        <v/>
      </c>
      <c r="AG995">
        <f>$C995*AG994</f>
        <v/>
      </c>
      <c r="AH995">
        <f>$C995*AH994</f>
        <v/>
      </c>
      <c r="AI995">
        <f>$C995*AI994</f>
        <v/>
      </c>
      <c r="AJ995">
        <f>$C995*AJ994</f>
        <v/>
      </c>
      <c r="AK995">
        <f>$C995*AK994</f>
        <v/>
      </c>
      <c r="AL995">
        <f>$C995*AL994</f>
        <v/>
      </c>
      <c r="AM995">
        <f>$C995*AM994</f>
        <v/>
      </c>
      <c r="AN995">
        <f>$C995*AN994</f>
        <v/>
      </c>
      <c r="AO995">
        <f>$C995*AO994</f>
        <v/>
      </c>
      <c r="AP995">
        <f>$C995*AP994</f>
        <v/>
      </c>
      <c r="AQ995">
        <f>$C995*AQ994</f>
        <v/>
      </c>
      <c r="AR995">
        <f>$C995*AR994</f>
        <v/>
      </c>
      <c r="AS995">
        <f>$C995*AS994</f>
        <v/>
      </c>
      <c r="AT995">
        <f>$C995*AT994</f>
        <v/>
      </c>
      <c r="AU995">
        <f>$C995*AU994</f>
        <v/>
      </c>
      <c r="AV995">
        <f>$C995*AV994</f>
        <v/>
      </c>
      <c r="AW995">
        <f>$C995*AW994</f>
        <v/>
      </c>
      <c r="AX995">
        <f>$C995*AX994</f>
        <v/>
      </c>
      <c r="AY995">
        <f>$C995*AY994</f>
        <v/>
      </c>
      <c r="AZ995">
        <f>$C995*AZ994</f>
        <v/>
      </c>
      <c r="BA995">
        <f>$C995*BA994</f>
        <v/>
      </c>
      <c r="BB995">
        <f>$C995*BB994</f>
        <v/>
      </c>
      <c r="BC995">
        <f>$C995*BC994</f>
        <v/>
      </c>
      <c r="BD995">
        <f>$C995*BD994</f>
        <v/>
      </c>
      <c r="BE995">
        <f>$C995*BE994</f>
        <v/>
      </c>
      <c r="BF995">
        <f>$C995*BF994</f>
        <v/>
      </c>
      <c r="BG995">
        <f>$C995*BG994</f>
        <v/>
      </c>
      <c r="BH995">
        <f>$C995*BH994</f>
        <v/>
      </c>
      <c r="BI995">
        <f>$C995*BI994</f>
        <v/>
      </c>
      <c r="BJ995">
        <f>$C995*BJ994</f>
        <v/>
      </c>
      <c r="BK995">
        <f>$C995*BK994</f>
        <v/>
      </c>
      <c r="BL995">
        <f>$C995*BL994</f>
        <v/>
      </c>
      <c r="BM995">
        <f>$C995*BM994</f>
        <v/>
      </c>
      <c r="BN995">
        <f>$C995*BN994</f>
        <v/>
      </c>
      <c r="BO995">
        <f>$C995*BO994</f>
        <v/>
      </c>
      <c r="BP995">
        <f>$C995*BP994</f>
        <v/>
      </c>
      <c r="BQ995">
        <f>$C995*BQ994</f>
        <v/>
      </c>
      <c r="BR995">
        <f>$C995*BR994</f>
        <v/>
      </c>
      <c r="BS995">
        <f>$C995*BS994</f>
        <v/>
      </c>
      <c r="BT995">
        <f>$C995*BT994</f>
        <v/>
      </c>
      <c r="BU995">
        <f>$C995*BU994</f>
        <v/>
      </c>
      <c r="BV995">
        <f>$C995*BV994</f>
        <v/>
      </c>
      <c r="BW995">
        <f>$C995*BW994</f>
        <v/>
      </c>
      <c r="BX995">
        <f>$C995*BX994</f>
        <v/>
      </c>
      <c r="BY995">
        <f>$C995*BY994</f>
        <v/>
      </c>
      <c r="BZ995">
        <f>$C995*BZ994</f>
        <v/>
      </c>
      <c r="CA995">
        <f>$C995*CA994</f>
        <v/>
      </c>
      <c r="CB995">
        <f>$C995*CB994</f>
        <v/>
      </c>
      <c r="CC995">
        <f>$C995*CC994</f>
        <v/>
      </c>
      <c r="CD995">
        <f>$C995*CD994</f>
        <v/>
      </c>
      <c r="CE995">
        <f>$C995*CE994</f>
        <v/>
      </c>
      <c r="CF995">
        <f>$C995*CF994</f>
        <v/>
      </c>
      <c r="CG995">
        <f>$C995*CG994</f>
        <v/>
      </c>
      <c r="CH995">
        <f>$C995*CH994</f>
        <v/>
      </c>
      <c r="CI995">
        <f>$C995*CI994</f>
        <v/>
      </c>
      <c r="CJ995">
        <f>$C995*CJ994</f>
        <v/>
      </c>
      <c r="CK995">
        <f>$C995*CK994</f>
        <v/>
      </c>
      <c r="CL995">
        <f>$C995*CL994</f>
        <v/>
      </c>
      <c r="CM995">
        <f>$C995*CM994</f>
        <v/>
      </c>
      <c r="CN995">
        <f>$C995*CN994</f>
        <v/>
      </c>
      <c r="CO995">
        <f>$C995*CO994</f>
        <v/>
      </c>
      <c r="CP995">
        <f>$C995*CP994</f>
        <v/>
      </c>
      <c r="CQ995">
        <f>$C995*CQ994</f>
        <v/>
      </c>
      <c r="CR995">
        <f>$C995*CR994</f>
        <v/>
      </c>
      <c r="CS995">
        <f>$C995*CS994</f>
        <v/>
      </c>
      <c r="CT995">
        <f>$C995*CT994</f>
        <v/>
      </c>
      <c r="CU995">
        <f>$C995*CU994</f>
        <v/>
      </c>
      <c r="CV995">
        <f>$C995*CV994</f>
        <v/>
      </c>
      <c r="CW995">
        <f>$C995*CW994</f>
        <v/>
      </c>
      <c r="CX995">
        <f>$C995*CX994</f>
        <v/>
      </c>
      <c r="CY995">
        <f>$C995*CY994</f>
        <v/>
      </c>
      <c r="CZ995">
        <f>$C995*CZ994</f>
        <v/>
      </c>
      <c r="DA995">
        <f>$C995*DA994</f>
        <v/>
      </c>
      <c r="DB995">
        <f>$C995*DB994</f>
        <v/>
      </c>
      <c r="DC995">
        <f>$C995*DC994</f>
        <v/>
      </c>
    </row>
    <row r="996">
      <c r="B996" s="4" t="inlineStr">
        <is>
          <t>合計使用量(kg)/週</t>
        </is>
      </c>
      <c r="D996">
        <f>'Grid_Requirement'!B27</f>
        <v/>
      </c>
      <c r="E996">
        <f>'Grid_Requirement'!C27</f>
        <v/>
      </c>
      <c r="F996">
        <f>'Grid_Requirement'!D27</f>
        <v/>
      </c>
      <c r="G996">
        <f>'Grid_Requirement'!E27</f>
        <v/>
      </c>
      <c r="H996">
        <f>'Grid_Requirement'!F27</f>
        <v/>
      </c>
      <c r="I996">
        <f>'Grid_Requirement'!G27</f>
        <v/>
      </c>
      <c r="J996">
        <f>'Grid_Requirement'!H27</f>
        <v/>
      </c>
      <c r="K996">
        <f>'Grid_Requirement'!I27</f>
        <v/>
      </c>
      <c r="L996">
        <f>'Grid_Requirement'!J27</f>
        <v/>
      </c>
      <c r="M996">
        <f>'Grid_Requirement'!K27</f>
        <v/>
      </c>
      <c r="N996">
        <f>'Grid_Requirement'!L27</f>
        <v/>
      </c>
      <c r="O996">
        <f>'Grid_Requirement'!M27</f>
        <v/>
      </c>
      <c r="P996">
        <f>'Grid_Requirement'!N27</f>
        <v/>
      </c>
      <c r="Q996">
        <f>'Grid_Requirement'!O27</f>
        <v/>
      </c>
      <c r="R996">
        <f>'Grid_Requirement'!P27</f>
        <v/>
      </c>
      <c r="S996">
        <f>'Grid_Requirement'!Q27</f>
        <v/>
      </c>
      <c r="T996">
        <f>'Grid_Requirement'!R27</f>
        <v/>
      </c>
      <c r="U996">
        <f>'Grid_Requirement'!S27</f>
        <v/>
      </c>
      <c r="V996">
        <f>'Grid_Requirement'!T27</f>
        <v/>
      </c>
      <c r="W996">
        <f>'Grid_Requirement'!U27</f>
        <v/>
      </c>
      <c r="X996">
        <f>'Grid_Requirement'!V27</f>
        <v/>
      </c>
      <c r="Y996">
        <f>'Grid_Requirement'!W27</f>
        <v/>
      </c>
      <c r="Z996">
        <f>'Grid_Requirement'!X27</f>
        <v/>
      </c>
      <c r="AA996">
        <f>'Grid_Requirement'!Y27</f>
        <v/>
      </c>
      <c r="AB996">
        <f>'Grid_Requirement'!Z27</f>
        <v/>
      </c>
      <c r="AC996">
        <f>'Grid_Requirement'!AA27</f>
        <v/>
      </c>
      <c r="AD996">
        <f>'Grid_Requirement'!AB27</f>
        <v/>
      </c>
      <c r="AE996">
        <f>'Grid_Requirement'!AC27</f>
        <v/>
      </c>
      <c r="AF996">
        <f>'Grid_Requirement'!AD27</f>
        <v/>
      </c>
      <c r="AG996">
        <f>'Grid_Requirement'!AE27</f>
        <v/>
      </c>
      <c r="AH996">
        <f>'Grid_Requirement'!AF27</f>
        <v/>
      </c>
      <c r="AI996">
        <f>'Grid_Requirement'!AG27</f>
        <v/>
      </c>
      <c r="AJ996">
        <f>'Grid_Requirement'!AH27</f>
        <v/>
      </c>
      <c r="AK996">
        <f>'Grid_Requirement'!AI27</f>
        <v/>
      </c>
      <c r="AL996">
        <f>'Grid_Requirement'!AJ27</f>
        <v/>
      </c>
      <c r="AM996">
        <f>'Grid_Requirement'!AK27</f>
        <v/>
      </c>
      <c r="AN996">
        <f>'Grid_Requirement'!AL27</f>
        <v/>
      </c>
      <c r="AO996">
        <f>'Grid_Requirement'!AM27</f>
        <v/>
      </c>
      <c r="AP996">
        <f>'Grid_Requirement'!AN27</f>
        <v/>
      </c>
      <c r="AQ996">
        <f>'Grid_Requirement'!AO27</f>
        <v/>
      </c>
      <c r="AR996">
        <f>'Grid_Requirement'!AP27</f>
        <v/>
      </c>
      <c r="AS996">
        <f>'Grid_Requirement'!AQ27</f>
        <v/>
      </c>
      <c r="AT996">
        <f>'Grid_Requirement'!AR27</f>
        <v/>
      </c>
      <c r="AU996">
        <f>'Grid_Requirement'!AS27</f>
        <v/>
      </c>
      <c r="AV996">
        <f>'Grid_Requirement'!AT27</f>
        <v/>
      </c>
      <c r="AW996">
        <f>'Grid_Requirement'!AU27</f>
        <v/>
      </c>
      <c r="AX996">
        <f>'Grid_Requirement'!AV27</f>
        <v/>
      </c>
      <c r="AY996">
        <f>'Grid_Requirement'!AW27</f>
        <v/>
      </c>
      <c r="AZ996">
        <f>'Grid_Requirement'!AX27</f>
        <v/>
      </c>
      <c r="BA996">
        <f>'Grid_Requirement'!AY27</f>
        <v/>
      </c>
      <c r="BB996">
        <f>'Grid_Requirement'!AZ27</f>
        <v/>
      </c>
      <c r="BC996">
        <f>'Grid_Requirement'!BA27</f>
        <v/>
      </c>
      <c r="BD996">
        <f>'Grid_Requirement'!BB27</f>
        <v/>
      </c>
      <c r="BE996">
        <f>'Grid_Requirement'!BC27</f>
        <v/>
      </c>
      <c r="BF996">
        <f>'Grid_Requirement'!BD27</f>
        <v/>
      </c>
      <c r="BG996">
        <f>'Grid_Requirement'!BE27</f>
        <v/>
      </c>
      <c r="BH996">
        <f>'Grid_Requirement'!BF27</f>
        <v/>
      </c>
      <c r="BI996">
        <f>'Grid_Requirement'!BG27</f>
        <v/>
      </c>
      <c r="BJ996">
        <f>'Grid_Requirement'!BH27</f>
        <v/>
      </c>
      <c r="BK996">
        <f>'Grid_Requirement'!BI27</f>
        <v/>
      </c>
      <c r="BL996">
        <f>'Grid_Requirement'!BJ27</f>
        <v/>
      </c>
      <c r="BM996">
        <f>'Grid_Requirement'!BK27</f>
        <v/>
      </c>
      <c r="BN996">
        <f>'Grid_Requirement'!BL27</f>
        <v/>
      </c>
      <c r="BO996">
        <f>'Grid_Requirement'!BM27</f>
        <v/>
      </c>
      <c r="BP996">
        <f>'Grid_Requirement'!BN27</f>
        <v/>
      </c>
      <c r="BQ996">
        <f>'Grid_Requirement'!BO27</f>
        <v/>
      </c>
      <c r="BR996">
        <f>'Grid_Requirement'!BP27</f>
        <v/>
      </c>
      <c r="BS996">
        <f>'Grid_Requirement'!BQ27</f>
        <v/>
      </c>
      <c r="BT996">
        <f>'Grid_Requirement'!BR27</f>
        <v/>
      </c>
      <c r="BU996">
        <f>'Grid_Requirement'!BS27</f>
        <v/>
      </c>
      <c r="BV996">
        <f>'Grid_Requirement'!BT27</f>
        <v/>
      </c>
      <c r="BW996">
        <f>'Grid_Requirement'!BU27</f>
        <v/>
      </c>
      <c r="BX996">
        <f>'Grid_Requirement'!BV27</f>
        <v/>
      </c>
      <c r="BY996">
        <f>'Grid_Requirement'!BW27</f>
        <v/>
      </c>
      <c r="BZ996">
        <f>'Grid_Requirement'!BX27</f>
        <v/>
      </c>
      <c r="CA996">
        <f>'Grid_Requirement'!BY27</f>
        <v/>
      </c>
      <c r="CB996">
        <f>'Grid_Requirement'!BZ27</f>
        <v/>
      </c>
      <c r="CC996">
        <f>'Grid_Requirement'!CA27</f>
        <v/>
      </c>
      <c r="CD996">
        <f>'Grid_Requirement'!CB27</f>
        <v/>
      </c>
      <c r="CE996">
        <f>'Grid_Requirement'!CC27</f>
        <v/>
      </c>
      <c r="CF996">
        <f>'Grid_Requirement'!CD27</f>
        <v/>
      </c>
      <c r="CG996">
        <f>'Grid_Requirement'!CE27</f>
        <v/>
      </c>
      <c r="CH996">
        <f>'Grid_Requirement'!CF27</f>
        <v/>
      </c>
      <c r="CI996">
        <f>'Grid_Requirement'!CG27</f>
        <v/>
      </c>
      <c r="CJ996">
        <f>'Grid_Requirement'!CH27</f>
        <v/>
      </c>
      <c r="CK996">
        <f>'Grid_Requirement'!CI27</f>
        <v/>
      </c>
      <c r="CL996">
        <f>'Grid_Requirement'!CJ27</f>
        <v/>
      </c>
      <c r="CM996">
        <f>'Grid_Requirement'!CK27</f>
        <v/>
      </c>
      <c r="CN996">
        <f>'Grid_Requirement'!CL27</f>
        <v/>
      </c>
      <c r="CO996">
        <f>'Grid_Requirement'!CM27</f>
        <v/>
      </c>
      <c r="CP996">
        <f>'Grid_Requirement'!CN27</f>
        <v/>
      </c>
      <c r="CQ996">
        <f>'Grid_Requirement'!CO27</f>
        <v/>
      </c>
      <c r="CR996">
        <f>'Grid_Requirement'!CP27</f>
        <v/>
      </c>
      <c r="CS996">
        <f>'Grid_Requirement'!CQ27</f>
        <v/>
      </c>
      <c r="CT996">
        <f>'Grid_Requirement'!CR27</f>
        <v/>
      </c>
      <c r="CU996">
        <f>'Grid_Requirement'!CS27</f>
        <v/>
      </c>
      <c r="CV996">
        <f>'Grid_Requirement'!CT27</f>
        <v/>
      </c>
      <c r="CW996">
        <f>'Grid_Requirement'!CU27</f>
        <v/>
      </c>
      <c r="CX996">
        <f>'Grid_Requirement'!CV27</f>
        <v/>
      </c>
      <c r="CY996">
        <f>'Grid_Requirement'!CW27</f>
        <v/>
      </c>
      <c r="CZ996">
        <f>'Grid_Requirement'!CX27</f>
        <v/>
      </c>
      <c r="DA996">
        <f>'Grid_Requirement'!CY27</f>
        <v/>
      </c>
      <c r="DB996">
        <f>'Grid_Requirement'!CZ27</f>
        <v/>
      </c>
      <c r="DC996">
        <f>'Grid_Requirement'!DA27</f>
        <v/>
      </c>
    </row>
    <row r="997">
      <c r="B997" t="inlineStr">
        <is>
          <t>TTAF在庫(実績,kg)</t>
        </is>
      </c>
      <c r="D997">
        <f>'T_TTAFStock'!B31</f>
        <v/>
      </c>
      <c r="E997">
        <f>'T_TTAFStock'!C31</f>
        <v/>
      </c>
      <c r="F997">
        <f>'T_TTAFStock'!D31</f>
        <v/>
      </c>
      <c r="G997">
        <f>'T_TTAFStock'!E31</f>
        <v/>
      </c>
      <c r="H997">
        <f>'T_TTAFStock'!F31</f>
        <v/>
      </c>
      <c r="I997">
        <f>'T_TTAFStock'!G31</f>
        <v/>
      </c>
      <c r="J997">
        <f>'T_TTAFStock'!H31</f>
        <v/>
      </c>
      <c r="K997">
        <f>'T_TTAFStock'!I31</f>
        <v/>
      </c>
      <c r="L997">
        <f>'T_TTAFStock'!J31</f>
        <v/>
      </c>
      <c r="M997">
        <f>'T_TTAFStock'!K31</f>
        <v/>
      </c>
      <c r="N997">
        <f>'T_TTAFStock'!L31</f>
        <v/>
      </c>
      <c r="O997">
        <f>'T_TTAFStock'!M31</f>
        <v/>
      </c>
      <c r="P997">
        <f>'T_TTAFStock'!N31</f>
        <v/>
      </c>
      <c r="Q997">
        <f>'T_TTAFStock'!O31</f>
        <v/>
      </c>
      <c r="R997">
        <f>'T_TTAFStock'!P31</f>
        <v/>
      </c>
      <c r="S997">
        <f>'T_TTAFStock'!Q31</f>
        <v/>
      </c>
      <c r="T997">
        <f>'T_TTAFStock'!R31</f>
        <v/>
      </c>
      <c r="U997">
        <f>'T_TTAFStock'!S31</f>
        <v/>
      </c>
      <c r="V997">
        <f>'T_TTAFStock'!T31</f>
        <v/>
      </c>
      <c r="W997">
        <f>'T_TTAFStock'!U31</f>
        <v/>
      </c>
      <c r="X997">
        <f>'T_TTAFStock'!V31</f>
        <v/>
      </c>
      <c r="Y997">
        <f>'T_TTAFStock'!W31</f>
        <v/>
      </c>
      <c r="Z997">
        <f>'T_TTAFStock'!X31</f>
        <v/>
      </c>
      <c r="AA997">
        <f>'T_TTAFStock'!Y31</f>
        <v/>
      </c>
      <c r="AB997">
        <f>'T_TTAFStock'!Z31</f>
        <v/>
      </c>
      <c r="AC997">
        <f>'T_TTAFStock'!AA31</f>
        <v/>
      </c>
      <c r="AD997">
        <f>'T_TTAFStock'!AB31</f>
        <v/>
      </c>
      <c r="AE997">
        <f>'T_TTAFStock'!AC31</f>
        <v/>
      </c>
      <c r="AF997">
        <f>'T_TTAFStock'!AD31</f>
        <v/>
      </c>
      <c r="AG997">
        <f>'T_TTAFStock'!AE31</f>
        <v/>
      </c>
      <c r="AH997">
        <f>'T_TTAFStock'!AF31</f>
        <v/>
      </c>
      <c r="AI997">
        <f>'T_TTAFStock'!AG31</f>
        <v/>
      </c>
      <c r="AJ997">
        <f>'T_TTAFStock'!AH31</f>
        <v/>
      </c>
      <c r="AK997">
        <f>'T_TTAFStock'!AI31</f>
        <v/>
      </c>
      <c r="AL997">
        <f>'T_TTAFStock'!AJ31</f>
        <v/>
      </c>
      <c r="AM997">
        <f>'T_TTAFStock'!AK31</f>
        <v/>
      </c>
      <c r="AN997">
        <f>'T_TTAFStock'!AL31</f>
        <v/>
      </c>
      <c r="AO997">
        <f>'T_TTAFStock'!AM31</f>
        <v/>
      </c>
      <c r="AP997">
        <f>'T_TTAFStock'!AN31</f>
        <v/>
      </c>
      <c r="AQ997">
        <f>'T_TTAFStock'!AO31</f>
        <v/>
      </c>
      <c r="AR997">
        <f>'T_TTAFStock'!AP31</f>
        <v/>
      </c>
      <c r="AS997">
        <f>'T_TTAFStock'!AQ31</f>
        <v/>
      </c>
      <c r="AT997">
        <f>'T_TTAFStock'!AR31</f>
        <v/>
      </c>
      <c r="AU997">
        <f>'T_TTAFStock'!AS31</f>
        <v/>
      </c>
      <c r="AV997">
        <f>'T_TTAFStock'!AT31</f>
        <v/>
      </c>
      <c r="AW997">
        <f>'T_TTAFStock'!AU31</f>
        <v/>
      </c>
      <c r="AX997">
        <f>'T_TTAFStock'!AV31</f>
        <v/>
      </c>
      <c r="AY997">
        <f>'T_TTAFStock'!AW31</f>
        <v/>
      </c>
      <c r="AZ997">
        <f>'T_TTAFStock'!AX31</f>
        <v/>
      </c>
      <c r="BA997">
        <f>'T_TTAFStock'!AY31</f>
        <v/>
      </c>
      <c r="BB997">
        <f>'T_TTAFStock'!AZ31</f>
        <v/>
      </c>
      <c r="BC997">
        <f>'T_TTAFStock'!BA31</f>
        <v/>
      </c>
      <c r="BD997">
        <f>'T_TTAFStock'!BB31</f>
        <v/>
      </c>
      <c r="BE997">
        <f>'T_TTAFStock'!BC31</f>
        <v/>
      </c>
      <c r="BF997">
        <f>'T_TTAFStock'!BD31</f>
        <v/>
      </c>
      <c r="BG997">
        <f>'T_TTAFStock'!BE31</f>
        <v/>
      </c>
      <c r="BH997">
        <f>'T_TTAFStock'!BF31</f>
        <v/>
      </c>
      <c r="BI997">
        <f>'T_TTAFStock'!BG31</f>
        <v/>
      </c>
      <c r="BJ997">
        <f>'T_TTAFStock'!BH31</f>
        <v/>
      </c>
      <c r="BK997">
        <f>'T_TTAFStock'!BI31</f>
        <v/>
      </c>
      <c r="BL997">
        <f>'T_TTAFStock'!BJ31</f>
        <v/>
      </c>
      <c r="BM997">
        <f>'T_TTAFStock'!BK31</f>
        <v/>
      </c>
      <c r="BN997">
        <f>'T_TTAFStock'!BL31</f>
        <v/>
      </c>
      <c r="BO997">
        <f>'T_TTAFStock'!BM31</f>
        <v/>
      </c>
      <c r="BP997">
        <f>'T_TTAFStock'!BN31</f>
        <v/>
      </c>
      <c r="BQ997">
        <f>'T_TTAFStock'!BO31</f>
        <v/>
      </c>
      <c r="BR997">
        <f>'T_TTAFStock'!BP31</f>
        <v/>
      </c>
      <c r="BS997">
        <f>'T_TTAFStock'!BQ31</f>
        <v/>
      </c>
      <c r="BT997">
        <f>'T_TTAFStock'!BR31</f>
        <v/>
      </c>
      <c r="BU997">
        <f>'T_TTAFStock'!BS31</f>
        <v/>
      </c>
      <c r="BV997">
        <f>'T_TTAFStock'!BT31</f>
        <v/>
      </c>
      <c r="BW997">
        <f>'T_TTAFStock'!BU31</f>
        <v/>
      </c>
      <c r="BX997">
        <f>'T_TTAFStock'!BV31</f>
        <v/>
      </c>
      <c r="BY997">
        <f>'T_TTAFStock'!BW31</f>
        <v/>
      </c>
      <c r="BZ997">
        <f>'T_TTAFStock'!BX31</f>
        <v/>
      </c>
      <c r="CA997">
        <f>'T_TTAFStock'!BY31</f>
        <v/>
      </c>
      <c r="CB997">
        <f>'T_TTAFStock'!BZ31</f>
        <v/>
      </c>
      <c r="CC997">
        <f>'T_TTAFStock'!CA31</f>
        <v/>
      </c>
      <c r="CD997">
        <f>'T_TTAFStock'!CB31</f>
        <v/>
      </c>
      <c r="CE997">
        <f>'T_TTAFStock'!CC31</f>
        <v/>
      </c>
      <c r="CF997">
        <f>'T_TTAFStock'!CD31</f>
        <v/>
      </c>
      <c r="CG997">
        <f>'T_TTAFStock'!CE31</f>
        <v/>
      </c>
      <c r="CH997">
        <f>'T_TTAFStock'!CF31</f>
        <v/>
      </c>
      <c r="CI997">
        <f>'T_TTAFStock'!CG31</f>
        <v/>
      </c>
      <c r="CJ997">
        <f>'T_TTAFStock'!CH31</f>
        <v/>
      </c>
      <c r="CK997">
        <f>'T_TTAFStock'!CI31</f>
        <v/>
      </c>
      <c r="CL997">
        <f>'T_TTAFStock'!CJ31</f>
        <v/>
      </c>
      <c r="CM997">
        <f>'T_TTAFStock'!CK31</f>
        <v/>
      </c>
      <c r="CN997">
        <f>'T_TTAFStock'!CL31</f>
        <v/>
      </c>
      <c r="CO997">
        <f>'T_TTAFStock'!CM31</f>
        <v/>
      </c>
      <c r="CP997">
        <f>'T_TTAFStock'!CN31</f>
        <v/>
      </c>
      <c r="CQ997">
        <f>'T_TTAFStock'!CO31</f>
        <v/>
      </c>
      <c r="CR997">
        <f>'T_TTAFStock'!CP31</f>
        <v/>
      </c>
      <c r="CS997">
        <f>'T_TTAFStock'!CQ31</f>
        <v/>
      </c>
      <c r="CT997">
        <f>'T_TTAFStock'!CR31</f>
        <v/>
      </c>
      <c r="CU997">
        <f>'T_TTAFStock'!CS31</f>
        <v/>
      </c>
      <c r="CV997">
        <f>'T_TTAFStock'!CT31</f>
        <v/>
      </c>
      <c r="CW997">
        <f>'T_TTAFStock'!CU31</f>
        <v/>
      </c>
      <c r="CX997">
        <f>'T_TTAFStock'!CV31</f>
        <v/>
      </c>
      <c r="CY997">
        <f>'T_TTAFStock'!CW31</f>
        <v/>
      </c>
      <c r="CZ997">
        <f>'T_TTAFStock'!CX31</f>
        <v/>
      </c>
      <c r="DA997">
        <f>'T_TTAFStock'!CY31</f>
        <v/>
      </c>
      <c r="DB997">
        <f>'T_TTAFStock'!CZ31</f>
        <v/>
      </c>
      <c r="DC997">
        <f>'T_TTAFStock'!DA31</f>
        <v/>
      </c>
    </row>
    <row r="998">
      <c r="B998" t="inlineStr">
        <is>
          <t>自社在庫(実績,kg)</t>
        </is>
      </c>
      <c r="D998">
        <f>'T_SelfStock'!B31</f>
        <v/>
      </c>
      <c r="E998">
        <f>'T_SelfStock'!C31</f>
        <v/>
      </c>
      <c r="F998">
        <f>'T_SelfStock'!D31</f>
        <v/>
      </c>
      <c r="G998">
        <f>'T_SelfStock'!E31</f>
        <v/>
      </c>
      <c r="H998">
        <f>'T_SelfStock'!F31</f>
        <v/>
      </c>
      <c r="I998">
        <f>'T_SelfStock'!G31</f>
        <v/>
      </c>
      <c r="J998">
        <f>'T_SelfStock'!H31</f>
        <v/>
      </c>
      <c r="K998">
        <f>'T_SelfStock'!I31</f>
        <v/>
      </c>
      <c r="L998">
        <f>'T_SelfStock'!J31</f>
        <v/>
      </c>
      <c r="M998">
        <f>'T_SelfStock'!K31</f>
        <v/>
      </c>
      <c r="N998">
        <f>'T_SelfStock'!L31</f>
        <v/>
      </c>
      <c r="O998">
        <f>'T_SelfStock'!M31</f>
        <v/>
      </c>
      <c r="P998">
        <f>'T_SelfStock'!N31</f>
        <v/>
      </c>
      <c r="Q998">
        <f>'T_SelfStock'!O31</f>
        <v/>
      </c>
      <c r="R998">
        <f>'T_SelfStock'!P31</f>
        <v/>
      </c>
      <c r="S998">
        <f>'T_SelfStock'!Q31</f>
        <v/>
      </c>
      <c r="T998">
        <f>'T_SelfStock'!R31</f>
        <v/>
      </c>
      <c r="U998">
        <f>'T_SelfStock'!S31</f>
        <v/>
      </c>
      <c r="V998">
        <f>'T_SelfStock'!T31</f>
        <v/>
      </c>
      <c r="W998">
        <f>'T_SelfStock'!U31</f>
        <v/>
      </c>
      <c r="X998">
        <f>'T_SelfStock'!V31</f>
        <v/>
      </c>
      <c r="Y998">
        <f>'T_SelfStock'!W31</f>
        <v/>
      </c>
      <c r="Z998">
        <f>'T_SelfStock'!X31</f>
        <v/>
      </c>
      <c r="AA998">
        <f>'T_SelfStock'!Y31</f>
        <v/>
      </c>
      <c r="AB998">
        <f>'T_SelfStock'!Z31</f>
        <v/>
      </c>
      <c r="AC998">
        <f>'T_SelfStock'!AA31</f>
        <v/>
      </c>
      <c r="AD998">
        <f>'T_SelfStock'!AB31</f>
        <v/>
      </c>
      <c r="AE998">
        <f>'T_SelfStock'!AC31</f>
        <v/>
      </c>
      <c r="AF998">
        <f>'T_SelfStock'!AD31</f>
        <v/>
      </c>
      <c r="AG998">
        <f>'T_SelfStock'!AE31</f>
        <v/>
      </c>
      <c r="AH998">
        <f>'T_SelfStock'!AF31</f>
        <v/>
      </c>
      <c r="AI998">
        <f>'T_SelfStock'!AG31</f>
        <v/>
      </c>
      <c r="AJ998">
        <f>'T_SelfStock'!AH31</f>
        <v/>
      </c>
      <c r="AK998">
        <f>'T_SelfStock'!AI31</f>
        <v/>
      </c>
      <c r="AL998">
        <f>'T_SelfStock'!AJ31</f>
        <v/>
      </c>
      <c r="AM998">
        <f>'T_SelfStock'!AK31</f>
        <v/>
      </c>
      <c r="AN998">
        <f>'T_SelfStock'!AL31</f>
        <v/>
      </c>
      <c r="AO998">
        <f>'T_SelfStock'!AM31</f>
        <v/>
      </c>
      <c r="AP998">
        <f>'T_SelfStock'!AN31</f>
        <v/>
      </c>
      <c r="AQ998">
        <f>'T_SelfStock'!AO31</f>
        <v/>
      </c>
      <c r="AR998">
        <f>'T_SelfStock'!AP31</f>
        <v/>
      </c>
      <c r="AS998">
        <f>'T_SelfStock'!AQ31</f>
        <v/>
      </c>
      <c r="AT998">
        <f>'T_SelfStock'!AR31</f>
        <v/>
      </c>
      <c r="AU998">
        <f>'T_SelfStock'!AS31</f>
        <v/>
      </c>
      <c r="AV998">
        <f>'T_SelfStock'!AT31</f>
        <v/>
      </c>
      <c r="AW998">
        <f>'T_SelfStock'!AU31</f>
        <v/>
      </c>
      <c r="AX998">
        <f>'T_SelfStock'!AV31</f>
        <v/>
      </c>
      <c r="AY998">
        <f>'T_SelfStock'!AW31</f>
        <v/>
      </c>
      <c r="AZ998">
        <f>'T_SelfStock'!AX31</f>
        <v/>
      </c>
      <c r="BA998">
        <f>'T_SelfStock'!AY31</f>
        <v/>
      </c>
      <c r="BB998">
        <f>'T_SelfStock'!AZ31</f>
        <v/>
      </c>
      <c r="BC998">
        <f>'T_SelfStock'!BA31</f>
        <v/>
      </c>
      <c r="BD998">
        <f>'T_SelfStock'!BB31</f>
        <v/>
      </c>
      <c r="BE998">
        <f>'T_SelfStock'!BC31</f>
        <v/>
      </c>
      <c r="BF998">
        <f>'T_SelfStock'!BD31</f>
        <v/>
      </c>
      <c r="BG998">
        <f>'T_SelfStock'!BE31</f>
        <v/>
      </c>
      <c r="BH998">
        <f>'T_SelfStock'!BF31</f>
        <v/>
      </c>
      <c r="BI998">
        <f>'T_SelfStock'!BG31</f>
        <v/>
      </c>
      <c r="BJ998">
        <f>'T_SelfStock'!BH31</f>
        <v/>
      </c>
      <c r="BK998">
        <f>'T_SelfStock'!BI31</f>
        <v/>
      </c>
      <c r="BL998">
        <f>'T_SelfStock'!BJ31</f>
        <v/>
      </c>
      <c r="BM998">
        <f>'T_SelfStock'!BK31</f>
        <v/>
      </c>
      <c r="BN998">
        <f>'T_SelfStock'!BL31</f>
        <v/>
      </c>
      <c r="BO998">
        <f>'T_SelfStock'!BM31</f>
        <v/>
      </c>
      <c r="BP998">
        <f>'T_SelfStock'!BN31</f>
        <v/>
      </c>
      <c r="BQ998">
        <f>'T_SelfStock'!BO31</f>
        <v/>
      </c>
      <c r="BR998">
        <f>'T_SelfStock'!BP31</f>
        <v/>
      </c>
      <c r="BS998">
        <f>'T_SelfStock'!BQ31</f>
        <v/>
      </c>
      <c r="BT998">
        <f>'T_SelfStock'!BR31</f>
        <v/>
      </c>
      <c r="BU998">
        <f>'T_SelfStock'!BS31</f>
        <v/>
      </c>
      <c r="BV998">
        <f>'T_SelfStock'!BT31</f>
        <v/>
      </c>
      <c r="BW998">
        <f>'T_SelfStock'!BU31</f>
        <v/>
      </c>
      <c r="BX998">
        <f>'T_SelfStock'!BV31</f>
        <v/>
      </c>
      <c r="BY998">
        <f>'T_SelfStock'!BW31</f>
        <v/>
      </c>
      <c r="BZ998">
        <f>'T_SelfStock'!BX31</f>
        <v/>
      </c>
      <c r="CA998">
        <f>'T_SelfStock'!BY31</f>
        <v/>
      </c>
      <c r="CB998">
        <f>'T_SelfStock'!BZ31</f>
        <v/>
      </c>
      <c r="CC998">
        <f>'T_SelfStock'!CA31</f>
        <v/>
      </c>
      <c r="CD998">
        <f>'T_SelfStock'!CB31</f>
        <v/>
      </c>
      <c r="CE998">
        <f>'T_SelfStock'!CC31</f>
        <v/>
      </c>
      <c r="CF998">
        <f>'T_SelfStock'!CD31</f>
        <v/>
      </c>
      <c r="CG998">
        <f>'T_SelfStock'!CE31</f>
        <v/>
      </c>
      <c r="CH998">
        <f>'T_SelfStock'!CF31</f>
        <v/>
      </c>
      <c r="CI998">
        <f>'T_SelfStock'!CG31</f>
        <v/>
      </c>
      <c r="CJ998">
        <f>'T_SelfStock'!CH31</f>
        <v/>
      </c>
      <c r="CK998">
        <f>'T_SelfStock'!CI31</f>
        <v/>
      </c>
      <c r="CL998">
        <f>'T_SelfStock'!CJ31</f>
        <v/>
      </c>
      <c r="CM998">
        <f>'T_SelfStock'!CK31</f>
        <v/>
      </c>
      <c r="CN998">
        <f>'T_SelfStock'!CL31</f>
        <v/>
      </c>
      <c r="CO998">
        <f>'T_SelfStock'!CM31</f>
        <v/>
      </c>
      <c r="CP998">
        <f>'T_SelfStock'!CN31</f>
        <v/>
      </c>
      <c r="CQ998">
        <f>'T_SelfStock'!CO31</f>
        <v/>
      </c>
      <c r="CR998">
        <f>'T_SelfStock'!CP31</f>
        <v/>
      </c>
      <c r="CS998">
        <f>'T_SelfStock'!CQ31</f>
        <v/>
      </c>
      <c r="CT998">
        <f>'T_SelfStock'!CR31</f>
        <v/>
      </c>
      <c r="CU998">
        <f>'T_SelfStock'!CS31</f>
        <v/>
      </c>
      <c r="CV998">
        <f>'T_SelfStock'!CT31</f>
        <v/>
      </c>
      <c r="CW998">
        <f>'T_SelfStock'!CU31</f>
        <v/>
      </c>
      <c r="CX998">
        <f>'T_SelfStock'!CV31</f>
        <v/>
      </c>
      <c r="CY998">
        <f>'T_SelfStock'!CW31</f>
        <v/>
      </c>
      <c r="CZ998">
        <f>'T_SelfStock'!CX31</f>
        <v/>
      </c>
      <c r="DA998">
        <f>'T_SelfStock'!CY31</f>
        <v/>
      </c>
      <c r="DB998">
        <f>'T_SelfStock'!CZ31</f>
        <v/>
      </c>
      <c r="DC998">
        <f>'T_SelfStock'!DA31</f>
        <v/>
      </c>
    </row>
    <row r="999">
      <c r="B999" t="inlineStr">
        <is>
          <t>Order(発注予定,kg)</t>
        </is>
      </c>
      <c r="D999">
        <f>IF(SUMIFS(T_PlannedOrders[EffectiveQty],T_PlannedOrders[Part Name],$A973,T_PlannedOrders[WeekIndex],1)=0,"",SUMIFS(T_PlannedOrders[EffectiveQty],T_PlannedOrders[Part Name],$A973,T_PlannedOrders[WeekIndex],1)&amp;" ("&amp;TEXT(SUMPRODUCT(MAX((T_PlannedOrders[Part Name]=$A973)*(T_PlannedOrders[WeekIndex]=1)*(T_PlannedOrders[EffectiveQty]&gt;0)*T_PlannedOrders[Order_Month])),"m月")&amp;"発注)")</f>
        <v/>
      </c>
      <c r="E999">
        <f>IF(SUMIFS(T_PlannedOrders[EffectiveQty],T_PlannedOrders[Part Name],$A973,T_PlannedOrders[WeekIndex],2)=0,"",SUMIFS(T_PlannedOrders[EffectiveQty],T_PlannedOrders[Part Name],$A973,T_PlannedOrders[WeekIndex],2)&amp;" ("&amp;TEXT(SUMPRODUCT(MAX((T_PlannedOrders[Part Name]=$A973)*(T_PlannedOrders[WeekIndex]=2)*(T_PlannedOrders[EffectiveQty]&gt;0)*T_PlannedOrders[Order_Month])),"m月")&amp;"発注)")</f>
        <v/>
      </c>
      <c r="F999">
        <f>IF(SUMIFS(T_PlannedOrders[EffectiveQty],T_PlannedOrders[Part Name],$A973,T_PlannedOrders[WeekIndex],3)=0,"",SUMIFS(T_PlannedOrders[EffectiveQty],T_PlannedOrders[Part Name],$A973,T_PlannedOrders[WeekIndex],3)&amp;" ("&amp;TEXT(SUMPRODUCT(MAX((T_PlannedOrders[Part Name]=$A973)*(T_PlannedOrders[WeekIndex]=3)*(T_PlannedOrders[EffectiveQty]&gt;0)*T_PlannedOrders[Order_Month])),"m月")&amp;"発注)")</f>
        <v/>
      </c>
      <c r="G999">
        <f>IF(SUMIFS(T_PlannedOrders[EffectiveQty],T_PlannedOrders[Part Name],$A973,T_PlannedOrders[WeekIndex],4)=0,"",SUMIFS(T_PlannedOrders[EffectiveQty],T_PlannedOrders[Part Name],$A973,T_PlannedOrders[WeekIndex],4)&amp;" ("&amp;TEXT(SUMPRODUCT(MAX((T_PlannedOrders[Part Name]=$A973)*(T_PlannedOrders[WeekIndex]=4)*(T_PlannedOrders[EffectiveQty]&gt;0)*T_PlannedOrders[Order_Month])),"m月")&amp;"発注)")</f>
        <v/>
      </c>
      <c r="H999">
        <f>IF(SUMIFS(T_PlannedOrders[EffectiveQty],T_PlannedOrders[Part Name],$A973,T_PlannedOrders[WeekIndex],5)=0,"",SUMIFS(T_PlannedOrders[EffectiveQty],T_PlannedOrders[Part Name],$A973,T_PlannedOrders[WeekIndex],5)&amp;" ("&amp;TEXT(SUMPRODUCT(MAX((T_PlannedOrders[Part Name]=$A973)*(T_PlannedOrders[WeekIndex]=5)*(T_PlannedOrders[EffectiveQty]&gt;0)*T_PlannedOrders[Order_Month])),"m月")&amp;"発注)")</f>
        <v/>
      </c>
      <c r="I999">
        <f>IF(SUMIFS(T_PlannedOrders[EffectiveQty],T_PlannedOrders[Part Name],$A973,T_PlannedOrders[WeekIndex],6)=0,"",SUMIFS(T_PlannedOrders[EffectiveQty],T_PlannedOrders[Part Name],$A973,T_PlannedOrders[WeekIndex],6)&amp;" ("&amp;TEXT(SUMPRODUCT(MAX((T_PlannedOrders[Part Name]=$A973)*(T_PlannedOrders[WeekIndex]=6)*(T_PlannedOrders[EffectiveQty]&gt;0)*T_PlannedOrders[Order_Month])),"m月")&amp;"発注)")</f>
        <v/>
      </c>
      <c r="J999">
        <f>IF(SUMIFS(T_PlannedOrders[EffectiveQty],T_PlannedOrders[Part Name],$A973,T_PlannedOrders[WeekIndex],7)=0,"",SUMIFS(T_PlannedOrders[EffectiveQty],T_PlannedOrders[Part Name],$A973,T_PlannedOrders[WeekIndex],7)&amp;" ("&amp;TEXT(SUMPRODUCT(MAX((T_PlannedOrders[Part Name]=$A973)*(T_PlannedOrders[WeekIndex]=7)*(T_PlannedOrders[EffectiveQty]&gt;0)*T_PlannedOrders[Order_Month])),"m月")&amp;"発注)")</f>
        <v/>
      </c>
      <c r="K999">
        <f>IF(SUMIFS(T_PlannedOrders[EffectiveQty],T_PlannedOrders[Part Name],$A973,T_PlannedOrders[WeekIndex],8)=0,"",SUMIFS(T_PlannedOrders[EffectiveQty],T_PlannedOrders[Part Name],$A973,T_PlannedOrders[WeekIndex],8)&amp;" ("&amp;TEXT(SUMPRODUCT(MAX((T_PlannedOrders[Part Name]=$A973)*(T_PlannedOrders[WeekIndex]=8)*(T_PlannedOrders[EffectiveQty]&gt;0)*T_PlannedOrders[Order_Month])),"m月")&amp;"発注)")</f>
        <v/>
      </c>
      <c r="L999">
        <f>IF(SUMIFS(T_PlannedOrders[EffectiveQty],T_PlannedOrders[Part Name],$A973,T_PlannedOrders[WeekIndex],9)=0,"",SUMIFS(T_PlannedOrders[EffectiveQty],T_PlannedOrders[Part Name],$A973,T_PlannedOrders[WeekIndex],9)&amp;" ("&amp;TEXT(SUMPRODUCT(MAX((T_PlannedOrders[Part Name]=$A973)*(T_PlannedOrders[WeekIndex]=9)*(T_PlannedOrders[EffectiveQty]&gt;0)*T_PlannedOrders[Order_Month])),"m月")&amp;"発注)")</f>
        <v/>
      </c>
      <c r="M999">
        <f>IF(SUMIFS(T_PlannedOrders[EffectiveQty],T_PlannedOrders[Part Name],$A973,T_PlannedOrders[WeekIndex],10)=0,"",SUMIFS(T_PlannedOrders[EffectiveQty],T_PlannedOrders[Part Name],$A973,T_PlannedOrders[WeekIndex],10)&amp;" ("&amp;TEXT(SUMPRODUCT(MAX((T_PlannedOrders[Part Name]=$A973)*(T_PlannedOrders[WeekIndex]=10)*(T_PlannedOrders[EffectiveQty]&gt;0)*T_PlannedOrders[Order_Month])),"m月")&amp;"発注)")</f>
        <v/>
      </c>
      <c r="N999">
        <f>IF(SUMIFS(T_PlannedOrders[EffectiveQty],T_PlannedOrders[Part Name],$A973,T_PlannedOrders[WeekIndex],11)=0,"",SUMIFS(T_PlannedOrders[EffectiveQty],T_PlannedOrders[Part Name],$A973,T_PlannedOrders[WeekIndex],11)&amp;" ("&amp;TEXT(SUMPRODUCT(MAX((T_PlannedOrders[Part Name]=$A973)*(T_PlannedOrders[WeekIndex]=11)*(T_PlannedOrders[EffectiveQty]&gt;0)*T_PlannedOrders[Order_Month])),"m月")&amp;"発注)")</f>
        <v/>
      </c>
      <c r="O999">
        <f>IF(SUMIFS(T_PlannedOrders[EffectiveQty],T_PlannedOrders[Part Name],$A973,T_PlannedOrders[WeekIndex],12)=0,"",SUMIFS(T_PlannedOrders[EffectiveQty],T_PlannedOrders[Part Name],$A973,T_PlannedOrders[WeekIndex],12)&amp;" ("&amp;TEXT(SUMPRODUCT(MAX((T_PlannedOrders[Part Name]=$A973)*(T_PlannedOrders[WeekIndex]=12)*(T_PlannedOrders[EffectiveQty]&gt;0)*T_PlannedOrders[Order_Month])),"m月")&amp;"発注)")</f>
        <v/>
      </c>
      <c r="P999">
        <f>IF(SUMIFS(T_PlannedOrders[EffectiveQty],T_PlannedOrders[Part Name],$A973,T_PlannedOrders[WeekIndex],13)=0,"",SUMIFS(T_PlannedOrders[EffectiveQty],T_PlannedOrders[Part Name],$A973,T_PlannedOrders[WeekIndex],13)&amp;" ("&amp;TEXT(SUMPRODUCT(MAX((T_PlannedOrders[Part Name]=$A973)*(T_PlannedOrders[WeekIndex]=13)*(T_PlannedOrders[EffectiveQty]&gt;0)*T_PlannedOrders[Order_Month])),"m月")&amp;"発注)")</f>
        <v/>
      </c>
      <c r="Q999">
        <f>IF(SUMIFS(T_PlannedOrders[EffectiveQty],T_PlannedOrders[Part Name],$A973,T_PlannedOrders[WeekIndex],14)=0,"",SUMIFS(T_PlannedOrders[EffectiveQty],T_PlannedOrders[Part Name],$A973,T_PlannedOrders[WeekIndex],14)&amp;" ("&amp;TEXT(SUMPRODUCT(MAX((T_PlannedOrders[Part Name]=$A973)*(T_PlannedOrders[WeekIndex]=14)*(T_PlannedOrders[EffectiveQty]&gt;0)*T_PlannedOrders[Order_Month])),"m月")&amp;"発注)")</f>
        <v/>
      </c>
      <c r="R999">
        <f>IF(SUMIFS(T_PlannedOrders[EffectiveQty],T_PlannedOrders[Part Name],$A973,T_PlannedOrders[WeekIndex],15)=0,"",SUMIFS(T_PlannedOrders[EffectiveQty],T_PlannedOrders[Part Name],$A973,T_PlannedOrders[WeekIndex],15)&amp;" ("&amp;TEXT(SUMPRODUCT(MAX((T_PlannedOrders[Part Name]=$A973)*(T_PlannedOrders[WeekIndex]=15)*(T_PlannedOrders[EffectiveQty]&gt;0)*T_PlannedOrders[Order_Month])),"m月")&amp;"発注)")</f>
        <v/>
      </c>
      <c r="S999">
        <f>IF(SUMIFS(T_PlannedOrders[EffectiveQty],T_PlannedOrders[Part Name],$A973,T_PlannedOrders[WeekIndex],16)=0,"",SUMIFS(T_PlannedOrders[EffectiveQty],T_PlannedOrders[Part Name],$A973,T_PlannedOrders[WeekIndex],16)&amp;" ("&amp;TEXT(SUMPRODUCT(MAX((T_PlannedOrders[Part Name]=$A973)*(T_PlannedOrders[WeekIndex]=16)*(T_PlannedOrders[EffectiveQty]&gt;0)*T_PlannedOrders[Order_Month])),"m月")&amp;"発注)")</f>
        <v/>
      </c>
      <c r="T999">
        <f>IF(SUMIFS(T_PlannedOrders[EffectiveQty],T_PlannedOrders[Part Name],$A973,T_PlannedOrders[WeekIndex],17)=0,"",SUMIFS(T_PlannedOrders[EffectiveQty],T_PlannedOrders[Part Name],$A973,T_PlannedOrders[WeekIndex],17)&amp;" ("&amp;TEXT(SUMPRODUCT(MAX((T_PlannedOrders[Part Name]=$A973)*(T_PlannedOrders[WeekIndex]=17)*(T_PlannedOrders[EffectiveQty]&gt;0)*T_PlannedOrders[Order_Month])),"m月")&amp;"発注)")</f>
        <v/>
      </c>
      <c r="U999">
        <f>IF(SUMIFS(T_PlannedOrders[EffectiveQty],T_PlannedOrders[Part Name],$A973,T_PlannedOrders[WeekIndex],18)=0,"",SUMIFS(T_PlannedOrders[EffectiveQty],T_PlannedOrders[Part Name],$A973,T_PlannedOrders[WeekIndex],18)&amp;" ("&amp;TEXT(SUMPRODUCT(MAX((T_PlannedOrders[Part Name]=$A973)*(T_PlannedOrders[WeekIndex]=18)*(T_PlannedOrders[EffectiveQty]&gt;0)*T_PlannedOrders[Order_Month])),"m月")&amp;"発注)")</f>
        <v/>
      </c>
      <c r="V999">
        <f>IF(SUMIFS(T_PlannedOrders[EffectiveQty],T_PlannedOrders[Part Name],$A973,T_PlannedOrders[WeekIndex],19)=0,"",SUMIFS(T_PlannedOrders[EffectiveQty],T_PlannedOrders[Part Name],$A973,T_PlannedOrders[WeekIndex],19)&amp;" ("&amp;TEXT(SUMPRODUCT(MAX((T_PlannedOrders[Part Name]=$A973)*(T_PlannedOrders[WeekIndex]=19)*(T_PlannedOrders[EffectiveQty]&gt;0)*T_PlannedOrders[Order_Month])),"m月")&amp;"発注)")</f>
        <v/>
      </c>
      <c r="W999">
        <f>IF(SUMIFS(T_PlannedOrders[EffectiveQty],T_PlannedOrders[Part Name],$A973,T_PlannedOrders[WeekIndex],20)=0,"",SUMIFS(T_PlannedOrders[EffectiveQty],T_PlannedOrders[Part Name],$A973,T_PlannedOrders[WeekIndex],20)&amp;" ("&amp;TEXT(SUMPRODUCT(MAX((T_PlannedOrders[Part Name]=$A973)*(T_PlannedOrders[WeekIndex]=20)*(T_PlannedOrders[EffectiveQty]&gt;0)*T_PlannedOrders[Order_Month])),"m月")&amp;"発注)")</f>
        <v/>
      </c>
      <c r="X999">
        <f>IF(SUMIFS(T_PlannedOrders[EffectiveQty],T_PlannedOrders[Part Name],$A973,T_PlannedOrders[WeekIndex],21)=0,"",SUMIFS(T_PlannedOrders[EffectiveQty],T_PlannedOrders[Part Name],$A973,T_PlannedOrders[WeekIndex],21)&amp;" ("&amp;TEXT(SUMPRODUCT(MAX((T_PlannedOrders[Part Name]=$A973)*(T_PlannedOrders[WeekIndex]=21)*(T_PlannedOrders[EffectiveQty]&gt;0)*T_PlannedOrders[Order_Month])),"m月")&amp;"発注)")</f>
        <v/>
      </c>
      <c r="Y999">
        <f>IF(SUMIFS(T_PlannedOrders[EffectiveQty],T_PlannedOrders[Part Name],$A973,T_PlannedOrders[WeekIndex],22)=0,"",SUMIFS(T_PlannedOrders[EffectiveQty],T_PlannedOrders[Part Name],$A973,T_PlannedOrders[WeekIndex],22)&amp;" ("&amp;TEXT(SUMPRODUCT(MAX((T_PlannedOrders[Part Name]=$A973)*(T_PlannedOrders[WeekIndex]=22)*(T_PlannedOrders[EffectiveQty]&gt;0)*T_PlannedOrders[Order_Month])),"m月")&amp;"発注)")</f>
        <v/>
      </c>
      <c r="Z999">
        <f>IF(SUMIFS(T_PlannedOrders[EffectiveQty],T_PlannedOrders[Part Name],$A973,T_PlannedOrders[WeekIndex],23)=0,"",SUMIFS(T_PlannedOrders[EffectiveQty],T_PlannedOrders[Part Name],$A973,T_PlannedOrders[WeekIndex],23)&amp;" ("&amp;TEXT(SUMPRODUCT(MAX((T_PlannedOrders[Part Name]=$A973)*(T_PlannedOrders[WeekIndex]=23)*(T_PlannedOrders[EffectiveQty]&gt;0)*T_PlannedOrders[Order_Month])),"m月")&amp;"発注)")</f>
        <v/>
      </c>
      <c r="AA999">
        <f>IF(SUMIFS(T_PlannedOrders[EffectiveQty],T_PlannedOrders[Part Name],$A973,T_PlannedOrders[WeekIndex],24)=0,"",SUMIFS(T_PlannedOrders[EffectiveQty],T_PlannedOrders[Part Name],$A973,T_PlannedOrders[WeekIndex],24)&amp;" ("&amp;TEXT(SUMPRODUCT(MAX((T_PlannedOrders[Part Name]=$A973)*(T_PlannedOrders[WeekIndex]=24)*(T_PlannedOrders[EffectiveQty]&gt;0)*T_PlannedOrders[Order_Month])),"m月")&amp;"発注)")</f>
        <v/>
      </c>
      <c r="AB999">
        <f>IF(SUMIFS(T_PlannedOrders[EffectiveQty],T_PlannedOrders[Part Name],$A973,T_PlannedOrders[WeekIndex],25)=0,"",SUMIFS(T_PlannedOrders[EffectiveQty],T_PlannedOrders[Part Name],$A973,T_PlannedOrders[WeekIndex],25)&amp;" ("&amp;TEXT(SUMPRODUCT(MAX((T_PlannedOrders[Part Name]=$A973)*(T_PlannedOrders[WeekIndex]=25)*(T_PlannedOrders[EffectiveQty]&gt;0)*T_PlannedOrders[Order_Month])),"m月")&amp;"発注)")</f>
        <v/>
      </c>
      <c r="AC999">
        <f>IF(SUMIFS(T_PlannedOrders[EffectiveQty],T_PlannedOrders[Part Name],$A973,T_PlannedOrders[WeekIndex],26)=0,"",SUMIFS(T_PlannedOrders[EffectiveQty],T_PlannedOrders[Part Name],$A973,T_PlannedOrders[WeekIndex],26)&amp;" ("&amp;TEXT(SUMPRODUCT(MAX((T_PlannedOrders[Part Name]=$A973)*(T_PlannedOrders[WeekIndex]=26)*(T_PlannedOrders[EffectiveQty]&gt;0)*T_PlannedOrders[Order_Month])),"m月")&amp;"発注)")</f>
        <v/>
      </c>
      <c r="AD999">
        <f>IF(SUMIFS(T_PlannedOrders[EffectiveQty],T_PlannedOrders[Part Name],$A973,T_PlannedOrders[WeekIndex],27)=0,"",SUMIFS(T_PlannedOrders[EffectiveQty],T_PlannedOrders[Part Name],$A973,T_PlannedOrders[WeekIndex],27)&amp;" ("&amp;TEXT(SUMPRODUCT(MAX((T_PlannedOrders[Part Name]=$A973)*(T_PlannedOrders[WeekIndex]=27)*(T_PlannedOrders[EffectiveQty]&gt;0)*T_PlannedOrders[Order_Month])),"m月")&amp;"発注)")</f>
        <v/>
      </c>
      <c r="AE999">
        <f>IF(SUMIFS(T_PlannedOrders[EffectiveQty],T_PlannedOrders[Part Name],$A973,T_PlannedOrders[WeekIndex],28)=0,"",SUMIFS(T_PlannedOrders[EffectiveQty],T_PlannedOrders[Part Name],$A973,T_PlannedOrders[WeekIndex],28)&amp;" ("&amp;TEXT(SUMPRODUCT(MAX((T_PlannedOrders[Part Name]=$A973)*(T_PlannedOrders[WeekIndex]=28)*(T_PlannedOrders[EffectiveQty]&gt;0)*T_PlannedOrders[Order_Month])),"m月")&amp;"発注)")</f>
        <v/>
      </c>
      <c r="AF999">
        <f>IF(SUMIFS(T_PlannedOrders[EffectiveQty],T_PlannedOrders[Part Name],$A973,T_PlannedOrders[WeekIndex],29)=0,"",SUMIFS(T_PlannedOrders[EffectiveQty],T_PlannedOrders[Part Name],$A973,T_PlannedOrders[WeekIndex],29)&amp;" ("&amp;TEXT(SUMPRODUCT(MAX((T_PlannedOrders[Part Name]=$A973)*(T_PlannedOrders[WeekIndex]=29)*(T_PlannedOrders[EffectiveQty]&gt;0)*T_PlannedOrders[Order_Month])),"m月")&amp;"発注)")</f>
        <v/>
      </c>
      <c r="AG999">
        <f>IF(SUMIFS(T_PlannedOrders[EffectiveQty],T_PlannedOrders[Part Name],$A973,T_PlannedOrders[WeekIndex],30)=0,"",SUMIFS(T_PlannedOrders[EffectiveQty],T_PlannedOrders[Part Name],$A973,T_PlannedOrders[WeekIndex],30)&amp;" ("&amp;TEXT(SUMPRODUCT(MAX((T_PlannedOrders[Part Name]=$A973)*(T_PlannedOrders[WeekIndex]=30)*(T_PlannedOrders[EffectiveQty]&gt;0)*T_PlannedOrders[Order_Month])),"m月")&amp;"発注)")</f>
        <v/>
      </c>
      <c r="AH999">
        <f>IF(SUMIFS(T_PlannedOrders[EffectiveQty],T_PlannedOrders[Part Name],$A973,T_PlannedOrders[WeekIndex],31)=0,"",SUMIFS(T_PlannedOrders[EffectiveQty],T_PlannedOrders[Part Name],$A973,T_PlannedOrders[WeekIndex],31)&amp;" ("&amp;TEXT(SUMPRODUCT(MAX((T_PlannedOrders[Part Name]=$A973)*(T_PlannedOrders[WeekIndex]=31)*(T_PlannedOrders[EffectiveQty]&gt;0)*T_PlannedOrders[Order_Month])),"m月")&amp;"発注)")</f>
        <v/>
      </c>
      <c r="AI999">
        <f>IF(SUMIFS(T_PlannedOrders[EffectiveQty],T_PlannedOrders[Part Name],$A973,T_PlannedOrders[WeekIndex],32)=0,"",SUMIFS(T_PlannedOrders[EffectiveQty],T_PlannedOrders[Part Name],$A973,T_PlannedOrders[WeekIndex],32)&amp;" ("&amp;TEXT(SUMPRODUCT(MAX((T_PlannedOrders[Part Name]=$A973)*(T_PlannedOrders[WeekIndex]=32)*(T_PlannedOrders[EffectiveQty]&gt;0)*T_PlannedOrders[Order_Month])),"m月")&amp;"発注)")</f>
        <v/>
      </c>
      <c r="AJ999">
        <f>IF(SUMIFS(T_PlannedOrders[EffectiveQty],T_PlannedOrders[Part Name],$A973,T_PlannedOrders[WeekIndex],33)=0,"",SUMIFS(T_PlannedOrders[EffectiveQty],T_PlannedOrders[Part Name],$A973,T_PlannedOrders[WeekIndex],33)&amp;" ("&amp;TEXT(SUMPRODUCT(MAX((T_PlannedOrders[Part Name]=$A973)*(T_PlannedOrders[WeekIndex]=33)*(T_PlannedOrders[EffectiveQty]&gt;0)*T_PlannedOrders[Order_Month])),"m月")&amp;"発注)")</f>
        <v/>
      </c>
      <c r="AK999">
        <f>IF(SUMIFS(T_PlannedOrders[EffectiveQty],T_PlannedOrders[Part Name],$A973,T_PlannedOrders[WeekIndex],34)=0,"",SUMIFS(T_PlannedOrders[EffectiveQty],T_PlannedOrders[Part Name],$A973,T_PlannedOrders[WeekIndex],34)&amp;" ("&amp;TEXT(SUMPRODUCT(MAX((T_PlannedOrders[Part Name]=$A973)*(T_PlannedOrders[WeekIndex]=34)*(T_PlannedOrders[EffectiveQty]&gt;0)*T_PlannedOrders[Order_Month])),"m月")&amp;"発注)")</f>
        <v/>
      </c>
      <c r="AL999">
        <f>IF(SUMIFS(T_PlannedOrders[EffectiveQty],T_PlannedOrders[Part Name],$A973,T_PlannedOrders[WeekIndex],35)=0,"",SUMIFS(T_PlannedOrders[EffectiveQty],T_PlannedOrders[Part Name],$A973,T_PlannedOrders[WeekIndex],35)&amp;" ("&amp;TEXT(SUMPRODUCT(MAX((T_PlannedOrders[Part Name]=$A973)*(T_PlannedOrders[WeekIndex]=35)*(T_PlannedOrders[EffectiveQty]&gt;0)*T_PlannedOrders[Order_Month])),"m月")&amp;"発注)")</f>
        <v/>
      </c>
      <c r="AM999">
        <f>IF(SUMIFS(T_PlannedOrders[EffectiveQty],T_PlannedOrders[Part Name],$A973,T_PlannedOrders[WeekIndex],36)=0,"",SUMIFS(T_PlannedOrders[EffectiveQty],T_PlannedOrders[Part Name],$A973,T_PlannedOrders[WeekIndex],36)&amp;" ("&amp;TEXT(SUMPRODUCT(MAX((T_PlannedOrders[Part Name]=$A973)*(T_PlannedOrders[WeekIndex]=36)*(T_PlannedOrders[EffectiveQty]&gt;0)*T_PlannedOrders[Order_Month])),"m月")&amp;"発注)")</f>
        <v/>
      </c>
      <c r="AN999">
        <f>IF(SUMIFS(T_PlannedOrders[EffectiveQty],T_PlannedOrders[Part Name],$A973,T_PlannedOrders[WeekIndex],37)=0,"",SUMIFS(T_PlannedOrders[EffectiveQty],T_PlannedOrders[Part Name],$A973,T_PlannedOrders[WeekIndex],37)&amp;" ("&amp;TEXT(SUMPRODUCT(MAX((T_PlannedOrders[Part Name]=$A973)*(T_PlannedOrders[WeekIndex]=37)*(T_PlannedOrders[EffectiveQty]&gt;0)*T_PlannedOrders[Order_Month])),"m月")&amp;"発注)")</f>
        <v/>
      </c>
      <c r="AO999">
        <f>IF(SUMIFS(T_PlannedOrders[EffectiveQty],T_PlannedOrders[Part Name],$A973,T_PlannedOrders[WeekIndex],38)=0,"",SUMIFS(T_PlannedOrders[EffectiveQty],T_PlannedOrders[Part Name],$A973,T_PlannedOrders[WeekIndex],38)&amp;" ("&amp;TEXT(SUMPRODUCT(MAX((T_PlannedOrders[Part Name]=$A973)*(T_PlannedOrders[WeekIndex]=38)*(T_PlannedOrders[EffectiveQty]&gt;0)*T_PlannedOrders[Order_Month])),"m月")&amp;"発注)")</f>
        <v/>
      </c>
      <c r="AP999">
        <f>IF(SUMIFS(T_PlannedOrders[EffectiveQty],T_PlannedOrders[Part Name],$A973,T_PlannedOrders[WeekIndex],39)=0,"",SUMIFS(T_PlannedOrders[EffectiveQty],T_PlannedOrders[Part Name],$A973,T_PlannedOrders[WeekIndex],39)&amp;" ("&amp;TEXT(SUMPRODUCT(MAX((T_PlannedOrders[Part Name]=$A973)*(T_PlannedOrders[WeekIndex]=39)*(T_PlannedOrders[EffectiveQty]&gt;0)*T_PlannedOrders[Order_Month])),"m月")&amp;"発注)")</f>
        <v/>
      </c>
      <c r="AQ999">
        <f>IF(SUMIFS(T_PlannedOrders[EffectiveQty],T_PlannedOrders[Part Name],$A973,T_PlannedOrders[WeekIndex],40)=0,"",SUMIFS(T_PlannedOrders[EffectiveQty],T_PlannedOrders[Part Name],$A973,T_PlannedOrders[WeekIndex],40)&amp;" ("&amp;TEXT(SUMPRODUCT(MAX((T_PlannedOrders[Part Name]=$A973)*(T_PlannedOrders[WeekIndex]=40)*(T_PlannedOrders[EffectiveQty]&gt;0)*T_PlannedOrders[Order_Month])),"m月")&amp;"発注)")</f>
        <v/>
      </c>
      <c r="AR999">
        <f>IF(SUMIFS(T_PlannedOrders[EffectiveQty],T_PlannedOrders[Part Name],$A973,T_PlannedOrders[WeekIndex],41)=0,"",SUMIFS(T_PlannedOrders[EffectiveQty],T_PlannedOrders[Part Name],$A973,T_PlannedOrders[WeekIndex],41)&amp;" ("&amp;TEXT(SUMPRODUCT(MAX((T_PlannedOrders[Part Name]=$A973)*(T_PlannedOrders[WeekIndex]=41)*(T_PlannedOrders[EffectiveQty]&gt;0)*T_PlannedOrders[Order_Month])),"m月")&amp;"発注)")</f>
        <v/>
      </c>
      <c r="AS999">
        <f>IF(SUMIFS(T_PlannedOrders[EffectiveQty],T_PlannedOrders[Part Name],$A973,T_PlannedOrders[WeekIndex],42)=0,"",SUMIFS(T_PlannedOrders[EffectiveQty],T_PlannedOrders[Part Name],$A973,T_PlannedOrders[WeekIndex],42)&amp;" ("&amp;TEXT(SUMPRODUCT(MAX((T_PlannedOrders[Part Name]=$A973)*(T_PlannedOrders[WeekIndex]=42)*(T_PlannedOrders[EffectiveQty]&gt;0)*T_PlannedOrders[Order_Month])),"m月")&amp;"発注)")</f>
        <v/>
      </c>
      <c r="AT999">
        <f>IF(SUMIFS(T_PlannedOrders[EffectiveQty],T_PlannedOrders[Part Name],$A973,T_PlannedOrders[WeekIndex],43)=0,"",SUMIFS(T_PlannedOrders[EffectiveQty],T_PlannedOrders[Part Name],$A973,T_PlannedOrders[WeekIndex],43)&amp;" ("&amp;TEXT(SUMPRODUCT(MAX((T_PlannedOrders[Part Name]=$A973)*(T_PlannedOrders[WeekIndex]=43)*(T_PlannedOrders[EffectiveQty]&gt;0)*T_PlannedOrders[Order_Month])),"m月")&amp;"発注)")</f>
        <v/>
      </c>
      <c r="AU999">
        <f>IF(SUMIFS(T_PlannedOrders[EffectiveQty],T_PlannedOrders[Part Name],$A973,T_PlannedOrders[WeekIndex],44)=0,"",SUMIFS(T_PlannedOrders[EffectiveQty],T_PlannedOrders[Part Name],$A973,T_PlannedOrders[WeekIndex],44)&amp;" ("&amp;TEXT(SUMPRODUCT(MAX((T_PlannedOrders[Part Name]=$A973)*(T_PlannedOrders[WeekIndex]=44)*(T_PlannedOrders[EffectiveQty]&gt;0)*T_PlannedOrders[Order_Month])),"m月")&amp;"発注)")</f>
        <v/>
      </c>
      <c r="AV999">
        <f>IF(SUMIFS(T_PlannedOrders[EffectiveQty],T_PlannedOrders[Part Name],$A973,T_PlannedOrders[WeekIndex],45)=0,"",SUMIFS(T_PlannedOrders[EffectiveQty],T_PlannedOrders[Part Name],$A973,T_PlannedOrders[WeekIndex],45)&amp;" ("&amp;TEXT(SUMPRODUCT(MAX((T_PlannedOrders[Part Name]=$A973)*(T_PlannedOrders[WeekIndex]=45)*(T_PlannedOrders[EffectiveQty]&gt;0)*T_PlannedOrders[Order_Month])),"m月")&amp;"発注)")</f>
        <v/>
      </c>
      <c r="AW999">
        <f>IF(SUMIFS(T_PlannedOrders[EffectiveQty],T_PlannedOrders[Part Name],$A973,T_PlannedOrders[WeekIndex],46)=0,"",SUMIFS(T_PlannedOrders[EffectiveQty],T_PlannedOrders[Part Name],$A973,T_PlannedOrders[WeekIndex],46)&amp;" ("&amp;TEXT(SUMPRODUCT(MAX((T_PlannedOrders[Part Name]=$A973)*(T_PlannedOrders[WeekIndex]=46)*(T_PlannedOrders[EffectiveQty]&gt;0)*T_PlannedOrders[Order_Month])),"m月")&amp;"発注)")</f>
        <v/>
      </c>
      <c r="AX999">
        <f>IF(SUMIFS(T_PlannedOrders[EffectiveQty],T_PlannedOrders[Part Name],$A973,T_PlannedOrders[WeekIndex],47)=0,"",SUMIFS(T_PlannedOrders[EffectiveQty],T_PlannedOrders[Part Name],$A973,T_PlannedOrders[WeekIndex],47)&amp;" ("&amp;TEXT(SUMPRODUCT(MAX((T_PlannedOrders[Part Name]=$A973)*(T_PlannedOrders[WeekIndex]=47)*(T_PlannedOrders[EffectiveQty]&gt;0)*T_PlannedOrders[Order_Month])),"m月")&amp;"発注)")</f>
        <v/>
      </c>
      <c r="AY999">
        <f>IF(SUMIFS(T_PlannedOrders[EffectiveQty],T_PlannedOrders[Part Name],$A973,T_PlannedOrders[WeekIndex],48)=0,"",SUMIFS(T_PlannedOrders[EffectiveQty],T_PlannedOrders[Part Name],$A973,T_PlannedOrders[WeekIndex],48)&amp;" ("&amp;TEXT(SUMPRODUCT(MAX((T_PlannedOrders[Part Name]=$A973)*(T_PlannedOrders[WeekIndex]=48)*(T_PlannedOrders[EffectiveQty]&gt;0)*T_PlannedOrders[Order_Month])),"m月")&amp;"発注)")</f>
        <v/>
      </c>
      <c r="AZ999">
        <f>IF(SUMIFS(T_PlannedOrders[EffectiveQty],T_PlannedOrders[Part Name],$A973,T_PlannedOrders[WeekIndex],49)=0,"",SUMIFS(T_PlannedOrders[EffectiveQty],T_PlannedOrders[Part Name],$A973,T_PlannedOrders[WeekIndex],49)&amp;" ("&amp;TEXT(SUMPRODUCT(MAX((T_PlannedOrders[Part Name]=$A973)*(T_PlannedOrders[WeekIndex]=49)*(T_PlannedOrders[EffectiveQty]&gt;0)*T_PlannedOrders[Order_Month])),"m月")&amp;"発注)")</f>
        <v/>
      </c>
      <c r="BA999">
        <f>IF(SUMIFS(T_PlannedOrders[EffectiveQty],T_PlannedOrders[Part Name],$A973,T_PlannedOrders[WeekIndex],50)=0,"",SUMIFS(T_PlannedOrders[EffectiveQty],T_PlannedOrders[Part Name],$A973,T_PlannedOrders[WeekIndex],50)&amp;" ("&amp;TEXT(SUMPRODUCT(MAX((T_PlannedOrders[Part Name]=$A973)*(T_PlannedOrders[WeekIndex]=50)*(T_PlannedOrders[EffectiveQty]&gt;0)*T_PlannedOrders[Order_Month])),"m月")&amp;"発注)")</f>
        <v/>
      </c>
      <c r="BB999">
        <f>IF(SUMIFS(T_PlannedOrders[EffectiveQty],T_PlannedOrders[Part Name],$A973,T_PlannedOrders[WeekIndex],51)=0,"",SUMIFS(T_PlannedOrders[EffectiveQty],T_PlannedOrders[Part Name],$A973,T_PlannedOrders[WeekIndex],51)&amp;" ("&amp;TEXT(SUMPRODUCT(MAX((T_PlannedOrders[Part Name]=$A973)*(T_PlannedOrders[WeekIndex]=51)*(T_PlannedOrders[EffectiveQty]&gt;0)*T_PlannedOrders[Order_Month])),"m月")&amp;"発注)")</f>
        <v/>
      </c>
      <c r="BC999">
        <f>IF(SUMIFS(T_PlannedOrders[EffectiveQty],T_PlannedOrders[Part Name],$A973,T_PlannedOrders[WeekIndex],52)=0,"",SUMIFS(T_PlannedOrders[EffectiveQty],T_PlannedOrders[Part Name],$A973,T_PlannedOrders[WeekIndex],52)&amp;" ("&amp;TEXT(SUMPRODUCT(MAX((T_PlannedOrders[Part Name]=$A973)*(T_PlannedOrders[WeekIndex]=52)*(T_PlannedOrders[EffectiveQty]&gt;0)*T_PlannedOrders[Order_Month])),"m月")&amp;"発注)")</f>
        <v/>
      </c>
      <c r="BD999">
        <f>IF(SUMIFS(T_PlannedOrders[EffectiveQty],T_PlannedOrders[Part Name],$A973,T_PlannedOrders[WeekIndex],53)=0,"",SUMIFS(T_PlannedOrders[EffectiveQty],T_PlannedOrders[Part Name],$A973,T_PlannedOrders[WeekIndex],53)&amp;" ("&amp;TEXT(SUMPRODUCT(MAX((T_PlannedOrders[Part Name]=$A973)*(T_PlannedOrders[WeekIndex]=53)*(T_PlannedOrders[EffectiveQty]&gt;0)*T_PlannedOrders[Order_Month])),"m月")&amp;"発注)")</f>
        <v/>
      </c>
      <c r="BE999">
        <f>IF(SUMIFS(T_PlannedOrders[EffectiveQty],T_PlannedOrders[Part Name],$A973,T_PlannedOrders[WeekIndex],54)=0,"",SUMIFS(T_PlannedOrders[EffectiveQty],T_PlannedOrders[Part Name],$A973,T_PlannedOrders[WeekIndex],54)&amp;" ("&amp;TEXT(SUMPRODUCT(MAX((T_PlannedOrders[Part Name]=$A973)*(T_PlannedOrders[WeekIndex]=54)*(T_PlannedOrders[EffectiveQty]&gt;0)*T_PlannedOrders[Order_Month])),"m月")&amp;"発注)")</f>
        <v/>
      </c>
      <c r="BF999">
        <f>IF(SUMIFS(T_PlannedOrders[EffectiveQty],T_PlannedOrders[Part Name],$A973,T_PlannedOrders[WeekIndex],55)=0,"",SUMIFS(T_PlannedOrders[EffectiveQty],T_PlannedOrders[Part Name],$A973,T_PlannedOrders[WeekIndex],55)&amp;" ("&amp;TEXT(SUMPRODUCT(MAX((T_PlannedOrders[Part Name]=$A973)*(T_PlannedOrders[WeekIndex]=55)*(T_PlannedOrders[EffectiveQty]&gt;0)*T_PlannedOrders[Order_Month])),"m月")&amp;"発注)")</f>
        <v/>
      </c>
      <c r="BG999">
        <f>IF(SUMIFS(T_PlannedOrders[EffectiveQty],T_PlannedOrders[Part Name],$A973,T_PlannedOrders[WeekIndex],56)=0,"",SUMIFS(T_PlannedOrders[EffectiveQty],T_PlannedOrders[Part Name],$A973,T_PlannedOrders[WeekIndex],56)&amp;" ("&amp;TEXT(SUMPRODUCT(MAX((T_PlannedOrders[Part Name]=$A973)*(T_PlannedOrders[WeekIndex]=56)*(T_PlannedOrders[EffectiveQty]&gt;0)*T_PlannedOrders[Order_Month])),"m月")&amp;"発注)")</f>
        <v/>
      </c>
      <c r="BH999">
        <f>IF(SUMIFS(T_PlannedOrders[EffectiveQty],T_PlannedOrders[Part Name],$A973,T_PlannedOrders[WeekIndex],57)=0,"",SUMIFS(T_PlannedOrders[EffectiveQty],T_PlannedOrders[Part Name],$A973,T_PlannedOrders[WeekIndex],57)&amp;" ("&amp;TEXT(SUMPRODUCT(MAX((T_PlannedOrders[Part Name]=$A973)*(T_PlannedOrders[WeekIndex]=57)*(T_PlannedOrders[EffectiveQty]&gt;0)*T_PlannedOrders[Order_Month])),"m月")&amp;"発注)")</f>
        <v/>
      </c>
      <c r="BI999">
        <f>IF(SUMIFS(T_PlannedOrders[EffectiveQty],T_PlannedOrders[Part Name],$A973,T_PlannedOrders[WeekIndex],58)=0,"",SUMIFS(T_PlannedOrders[EffectiveQty],T_PlannedOrders[Part Name],$A973,T_PlannedOrders[WeekIndex],58)&amp;" ("&amp;TEXT(SUMPRODUCT(MAX((T_PlannedOrders[Part Name]=$A973)*(T_PlannedOrders[WeekIndex]=58)*(T_PlannedOrders[EffectiveQty]&gt;0)*T_PlannedOrders[Order_Month])),"m月")&amp;"発注)")</f>
        <v/>
      </c>
      <c r="BJ999">
        <f>IF(SUMIFS(T_PlannedOrders[EffectiveQty],T_PlannedOrders[Part Name],$A973,T_PlannedOrders[WeekIndex],59)=0,"",SUMIFS(T_PlannedOrders[EffectiveQty],T_PlannedOrders[Part Name],$A973,T_PlannedOrders[WeekIndex],59)&amp;" ("&amp;TEXT(SUMPRODUCT(MAX((T_PlannedOrders[Part Name]=$A973)*(T_PlannedOrders[WeekIndex]=59)*(T_PlannedOrders[EffectiveQty]&gt;0)*T_PlannedOrders[Order_Month])),"m月")&amp;"発注)")</f>
        <v/>
      </c>
      <c r="BK999">
        <f>IF(SUMIFS(T_PlannedOrders[EffectiveQty],T_PlannedOrders[Part Name],$A973,T_PlannedOrders[WeekIndex],60)=0,"",SUMIFS(T_PlannedOrders[EffectiveQty],T_PlannedOrders[Part Name],$A973,T_PlannedOrders[WeekIndex],60)&amp;" ("&amp;TEXT(SUMPRODUCT(MAX((T_PlannedOrders[Part Name]=$A973)*(T_PlannedOrders[WeekIndex]=60)*(T_PlannedOrders[EffectiveQty]&gt;0)*T_PlannedOrders[Order_Month])),"m月")&amp;"発注)")</f>
        <v/>
      </c>
      <c r="BL999">
        <f>IF(SUMIFS(T_PlannedOrders[EffectiveQty],T_PlannedOrders[Part Name],$A973,T_PlannedOrders[WeekIndex],61)=0,"",SUMIFS(T_PlannedOrders[EffectiveQty],T_PlannedOrders[Part Name],$A973,T_PlannedOrders[WeekIndex],61)&amp;" ("&amp;TEXT(SUMPRODUCT(MAX((T_PlannedOrders[Part Name]=$A973)*(T_PlannedOrders[WeekIndex]=61)*(T_PlannedOrders[EffectiveQty]&gt;0)*T_PlannedOrders[Order_Month])),"m月")&amp;"発注)")</f>
        <v/>
      </c>
      <c r="BM999">
        <f>IF(SUMIFS(T_PlannedOrders[EffectiveQty],T_PlannedOrders[Part Name],$A973,T_PlannedOrders[WeekIndex],62)=0,"",SUMIFS(T_PlannedOrders[EffectiveQty],T_PlannedOrders[Part Name],$A973,T_PlannedOrders[WeekIndex],62)&amp;" ("&amp;TEXT(SUMPRODUCT(MAX((T_PlannedOrders[Part Name]=$A973)*(T_PlannedOrders[WeekIndex]=62)*(T_PlannedOrders[EffectiveQty]&gt;0)*T_PlannedOrders[Order_Month])),"m月")&amp;"発注)")</f>
        <v/>
      </c>
      <c r="BN999">
        <f>IF(SUMIFS(T_PlannedOrders[EffectiveQty],T_PlannedOrders[Part Name],$A973,T_PlannedOrders[WeekIndex],63)=0,"",SUMIFS(T_PlannedOrders[EffectiveQty],T_PlannedOrders[Part Name],$A973,T_PlannedOrders[WeekIndex],63)&amp;" ("&amp;TEXT(SUMPRODUCT(MAX((T_PlannedOrders[Part Name]=$A973)*(T_PlannedOrders[WeekIndex]=63)*(T_PlannedOrders[EffectiveQty]&gt;0)*T_PlannedOrders[Order_Month])),"m月")&amp;"発注)")</f>
        <v/>
      </c>
      <c r="BO999">
        <f>IF(SUMIFS(T_PlannedOrders[EffectiveQty],T_PlannedOrders[Part Name],$A973,T_PlannedOrders[WeekIndex],64)=0,"",SUMIFS(T_PlannedOrders[EffectiveQty],T_PlannedOrders[Part Name],$A973,T_PlannedOrders[WeekIndex],64)&amp;" ("&amp;TEXT(SUMPRODUCT(MAX((T_PlannedOrders[Part Name]=$A973)*(T_PlannedOrders[WeekIndex]=64)*(T_PlannedOrders[EffectiveQty]&gt;0)*T_PlannedOrders[Order_Month])),"m月")&amp;"発注)")</f>
        <v/>
      </c>
      <c r="BP999">
        <f>IF(SUMIFS(T_PlannedOrders[EffectiveQty],T_PlannedOrders[Part Name],$A973,T_PlannedOrders[WeekIndex],65)=0,"",SUMIFS(T_PlannedOrders[EffectiveQty],T_PlannedOrders[Part Name],$A973,T_PlannedOrders[WeekIndex],65)&amp;" ("&amp;TEXT(SUMPRODUCT(MAX((T_PlannedOrders[Part Name]=$A973)*(T_PlannedOrders[WeekIndex]=65)*(T_PlannedOrders[EffectiveQty]&gt;0)*T_PlannedOrders[Order_Month])),"m月")&amp;"発注)")</f>
        <v/>
      </c>
      <c r="BQ999">
        <f>IF(SUMIFS(T_PlannedOrders[EffectiveQty],T_PlannedOrders[Part Name],$A973,T_PlannedOrders[WeekIndex],66)=0,"",SUMIFS(T_PlannedOrders[EffectiveQty],T_PlannedOrders[Part Name],$A973,T_PlannedOrders[WeekIndex],66)&amp;" ("&amp;TEXT(SUMPRODUCT(MAX((T_PlannedOrders[Part Name]=$A973)*(T_PlannedOrders[WeekIndex]=66)*(T_PlannedOrders[EffectiveQty]&gt;0)*T_PlannedOrders[Order_Month])),"m月")&amp;"発注)")</f>
        <v/>
      </c>
      <c r="BR999">
        <f>IF(SUMIFS(T_PlannedOrders[EffectiveQty],T_PlannedOrders[Part Name],$A973,T_PlannedOrders[WeekIndex],67)=0,"",SUMIFS(T_PlannedOrders[EffectiveQty],T_PlannedOrders[Part Name],$A973,T_PlannedOrders[WeekIndex],67)&amp;" ("&amp;TEXT(SUMPRODUCT(MAX((T_PlannedOrders[Part Name]=$A973)*(T_PlannedOrders[WeekIndex]=67)*(T_PlannedOrders[EffectiveQty]&gt;0)*T_PlannedOrders[Order_Month])),"m月")&amp;"発注)")</f>
        <v/>
      </c>
      <c r="BS999">
        <f>IF(SUMIFS(T_PlannedOrders[EffectiveQty],T_PlannedOrders[Part Name],$A973,T_PlannedOrders[WeekIndex],68)=0,"",SUMIFS(T_PlannedOrders[EffectiveQty],T_PlannedOrders[Part Name],$A973,T_PlannedOrders[WeekIndex],68)&amp;" ("&amp;TEXT(SUMPRODUCT(MAX((T_PlannedOrders[Part Name]=$A973)*(T_PlannedOrders[WeekIndex]=68)*(T_PlannedOrders[EffectiveQty]&gt;0)*T_PlannedOrders[Order_Month])),"m月")&amp;"発注)")</f>
        <v/>
      </c>
      <c r="BT999">
        <f>IF(SUMIFS(T_PlannedOrders[EffectiveQty],T_PlannedOrders[Part Name],$A973,T_PlannedOrders[WeekIndex],69)=0,"",SUMIFS(T_PlannedOrders[EffectiveQty],T_PlannedOrders[Part Name],$A973,T_PlannedOrders[WeekIndex],69)&amp;" ("&amp;TEXT(SUMPRODUCT(MAX((T_PlannedOrders[Part Name]=$A973)*(T_PlannedOrders[WeekIndex]=69)*(T_PlannedOrders[EffectiveQty]&gt;0)*T_PlannedOrders[Order_Month])),"m月")&amp;"発注)")</f>
        <v/>
      </c>
      <c r="BU999">
        <f>IF(SUMIFS(T_PlannedOrders[EffectiveQty],T_PlannedOrders[Part Name],$A973,T_PlannedOrders[WeekIndex],70)=0,"",SUMIFS(T_PlannedOrders[EffectiveQty],T_PlannedOrders[Part Name],$A973,T_PlannedOrders[WeekIndex],70)&amp;" ("&amp;TEXT(SUMPRODUCT(MAX((T_PlannedOrders[Part Name]=$A973)*(T_PlannedOrders[WeekIndex]=70)*(T_PlannedOrders[EffectiveQty]&gt;0)*T_PlannedOrders[Order_Month])),"m月")&amp;"発注)")</f>
        <v/>
      </c>
      <c r="BV999">
        <f>IF(SUMIFS(T_PlannedOrders[EffectiveQty],T_PlannedOrders[Part Name],$A973,T_PlannedOrders[WeekIndex],71)=0,"",SUMIFS(T_PlannedOrders[EffectiveQty],T_PlannedOrders[Part Name],$A973,T_PlannedOrders[WeekIndex],71)&amp;" ("&amp;TEXT(SUMPRODUCT(MAX((T_PlannedOrders[Part Name]=$A973)*(T_PlannedOrders[WeekIndex]=71)*(T_PlannedOrders[EffectiveQty]&gt;0)*T_PlannedOrders[Order_Month])),"m月")&amp;"発注)")</f>
        <v/>
      </c>
      <c r="BW999">
        <f>IF(SUMIFS(T_PlannedOrders[EffectiveQty],T_PlannedOrders[Part Name],$A973,T_PlannedOrders[WeekIndex],72)=0,"",SUMIFS(T_PlannedOrders[EffectiveQty],T_PlannedOrders[Part Name],$A973,T_PlannedOrders[WeekIndex],72)&amp;" ("&amp;TEXT(SUMPRODUCT(MAX((T_PlannedOrders[Part Name]=$A973)*(T_PlannedOrders[WeekIndex]=72)*(T_PlannedOrders[EffectiveQty]&gt;0)*T_PlannedOrders[Order_Month])),"m月")&amp;"発注)")</f>
        <v/>
      </c>
      <c r="BX999">
        <f>IF(SUMIFS(T_PlannedOrders[EffectiveQty],T_PlannedOrders[Part Name],$A973,T_PlannedOrders[WeekIndex],73)=0,"",SUMIFS(T_PlannedOrders[EffectiveQty],T_PlannedOrders[Part Name],$A973,T_PlannedOrders[WeekIndex],73)&amp;" ("&amp;TEXT(SUMPRODUCT(MAX((T_PlannedOrders[Part Name]=$A973)*(T_PlannedOrders[WeekIndex]=73)*(T_PlannedOrders[EffectiveQty]&gt;0)*T_PlannedOrders[Order_Month])),"m月")&amp;"発注)")</f>
        <v/>
      </c>
      <c r="BY999">
        <f>IF(SUMIFS(T_PlannedOrders[EffectiveQty],T_PlannedOrders[Part Name],$A973,T_PlannedOrders[WeekIndex],74)=0,"",SUMIFS(T_PlannedOrders[EffectiveQty],T_PlannedOrders[Part Name],$A973,T_PlannedOrders[WeekIndex],74)&amp;" ("&amp;TEXT(SUMPRODUCT(MAX((T_PlannedOrders[Part Name]=$A973)*(T_PlannedOrders[WeekIndex]=74)*(T_PlannedOrders[EffectiveQty]&gt;0)*T_PlannedOrders[Order_Month])),"m月")&amp;"発注)")</f>
        <v/>
      </c>
      <c r="BZ999">
        <f>IF(SUMIFS(T_PlannedOrders[EffectiveQty],T_PlannedOrders[Part Name],$A973,T_PlannedOrders[WeekIndex],75)=0,"",SUMIFS(T_PlannedOrders[EffectiveQty],T_PlannedOrders[Part Name],$A973,T_PlannedOrders[WeekIndex],75)&amp;" ("&amp;TEXT(SUMPRODUCT(MAX((T_PlannedOrders[Part Name]=$A973)*(T_PlannedOrders[WeekIndex]=75)*(T_PlannedOrders[EffectiveQty]&gt;0)*T_PlannedOrders[Order_Month])),"m月")&amp;"発注)")</f>
        <v/>
      </c>
      <c r="CA999">
        <f>IF(SUMIFS(T_PlannedOrders[EffectiveQty],T_PlannedOrders[Part Name],$A973,T_PlannedOrders[WeekIndex],76)=0,"",SUMIFS(T_PlannedOrders[EffectiveQty],T_PlannedOrders[Part Name],$A973,T_PlannedOrders[WeekIndex],76)&amp;" ("&amp;TEXT(SUMPRODUCT(MAX((T_PlannedOrders[Part Name]=$A973)*(T_PlannedOrders[WeekIndex]=76)*(T_PlannedOrders[EffectiveQty]&gt;0)*T_PlannedOrders[Order_Month])),"m月")&amp;"発注)")</f>
        <v/>
      </c>
      <c r="CB999">
        <f>IF(SUMIFS(T_PlannedOrders[EffectiveQty],T_PlannedOrders[Part Name],$A973,T_PlannedOrders[WeekIndex],77)=0,"",SUMIFS(T_PlannedOrders[EffectiveQty],T_PlannedOrders[Part Name],$A973,T_PlannedOrders[WeekIndex],77)&amp;" ("&amp;TEXT(SUMPRODUCT(MAX((T_PlannedOrders[Part Name]=$A973)*(T_PlannedOrders[WeekIndex]=77)*(T_PlannedOrders[EffectiveQty]&gt;0)*T_PlannedOrders[Order_Month])),"m月")&amp;"発注)")</f>
        <v/>
      </c>
      <c r="CC999">
        <f>IF(SUMIFS(T_PlannedOrders[EffectiveQty],T_PlannedOrders[Part Name],$A973,T_PlannedOrders[WeekIndex],78)=0,"",SUMIFS(T_PlannedOrders[EffectiveQty],T_PlannedOrders[Part Name],$A973,T_PlannedOrders[WeekIndex],78)&amp;" ("&amp;TEXT(SUMPRODUCT(MAX((T_PlannedOrders[Part Name]=$A973)*(T_PlannedOrders[WeekIndex]=78)*(T_PlannedOrders[EffectiveQty]&gt;0)*T_PlannedOrders[Order_Month])),"m月")&amp;"発注)")</f>
        <v/>
      </c>
      <c r="CD999">
        <f>IF(SUMIFS(T_PlannedOrders[EffectiveQty],T_PlannedOrders[Part Name],$A973,T_PlannedOrders[WeekIndex],79)=0,"",SUMIFS(T_PlannedOrders[EffectiveQty],T_PlannedOrders[Part Name],$A973,T_PlannedOrders[WeekIndex],79)&amp;" ("&amp;TEXT(SUMPRODUCT(MAX((T_PlannedOrders[Part Name]=$A973)*(T_PlannedOrders[WeekIndex]=79)*(T_PlannedOrders[EffectiveQty]&gt;0)*T_PlannedOrders[Order_Month])),"m月")&amp;"発注)")</f>
        <v/>
      </c>
      <c r="CE999">
        <f>IF(SUMIFS(T_PlannedOrders[EffectiveQty],T_PlannedOrders[Part Name],$A973,T_PlannedOrders[WeekIndex],80)=0,"",SUMIFS(T_PlannedOrders[EffectiveQty],T_PlannedOrders[Part Name],$A973,T_PlannedOrders[WeekIndex],80)&amp;" ("&amp;TEXT(SUMPRODUCT(MAX((T_PlannedOrders[Part Name]=$A973)*(T_PlannedOrders[WeekIndex]=80)*(T_PlannedOrders[EffectiveQty]&gt;0)*T_PlannedOrders[Order_Month])),"m月")&amp;"発注)")</f>
        <v/>
      </c>
      <c r="CF999">
        <f>IF(SUMIFS(T_PlannedOrders[EffectiveQty],T_PlannedOrders[Part Name],$A973,T_PlannedOrders[WeekIndex],81)=0,"",SUMIFS(T_PlannedOrders[EffectiveQty],T_PlannedOrders[Part Name],$A973,T_PlannedOrders[WeekIndex],81)&amp;" ("&amp;TEXT(SUMPRODUCT(MAX((T_PlannedOrders[Part Name]=$A973)*(T_PlannedOrders[WeekIndex]=81)*(T_PlannedOrders[EffectiveQty]&gt;0)*T_PlannedOrders[Order_Month])),"m月")&amp;"発注)")</f>
        <v/>
      </c>
      <c r="CG999">
        <f>IF(SUMIFS(T_PlannedOrders[EffectiveQty],T_PlannedOrders[Part Name],$A973,T_PlannedOrders[WeekIndex],82)=0,"",SUMIFS(T_PlannedOrders[EffectiveQty],T_PlannedOrders[Part Name],$A973,T_PlannedOrders[WeekIndex],82)&amp;" ("&amp;TEXT(SUMPRODUCT(MAX((T_PlannedOrders[Part Name]=$A973)*(T_PlannedOrders[WeekIndex]=82)*(T_PlannedOrders[EffectiveQty]&gt;0)*T_PlannedOrders[Order_Month])),"m月")&amp;"発注)")</f>
        <v/>
      </c>
      <c r="CH999">
        <f>IF(SUMIFS(T_PlannedOrders[EffectiveQty],T_PlannedOrders[Part Name],$A973,T_PlannedOrders[WeekIndex],83)=0,"",SUMIFS(T_PlannedOrders[EffectiveQty],T_PlannedOrders[Part Name],$A973,T_PlannedOrders[WeekIndex],83)&amp;" ("&amp;TEXT(SUMPRODUCT(MAX((T_PlannedOrders[Part Name]=$A973)*(T_PlannedOrders[WeekIndex]=83)*(T_PlannedOrders[EffectiveQty]&gt;0)*T_PlannedOrders[Order_Month])),"m月")&amp;"発注)")</f>
        <v/>
      </c>
      <c r="CI999">
        <f>IF(SUMIFS(T_PlannedOrders[EffectiveQty],T_PlannedOrders[Part Name],$A973,T_PlannedOrders[WeekIndex],84)=0,"",SUMIFS(T_PlannedOrders[EffectiveQty],T_PlannedOrders[Part Name],$A973,T_PlannedOrders[WeekIndex],84)&amp;" ("&amp;TEXT(SUMPRODUCT(MAX((T_PlannedOrders[Part Name]=$A973)*(T_PlannedOrders[WeekIndex]=84)*(T_PlannedOrders[EffectiveQty]&gt;0)*T_PlannedOrders[Order_Month])),"m月")&amp;"発注)")</f>
        <v/>
      </c>
      <c r="CJ999">
        <f>IF(SUMIFS(T_PlannedOrders[EffectiveQty],T_PlannedOrders[Part Name],$A973,T_PlannedOrders[WeekIndex],85)=0,"",SUMIFS(T_PlannedOrders[EffectiveQty],T_PlannedOrders[Part Name],$A973,T_PlannedOrders[WeekIndex],85)&amp;" ("&amp;TEXT(SUMPRODUCT(MAX((T_PlannedOrders[Part Name]=$A973)*(T_PlannedOrders[WeekIndex]=85)*(T_PlannedOrders[EffectiveQty]&gt;0)*T_PlannedOrders[Order_Month])),"m月")&amp;"発注)")</f>
        <v/>
      </c>
      <c r="CK999">
        <f>IF(SUMIFS(T_PlannedOrders[EffectiveQty],T_PlannedOrders[Part Name],$A973,T_PlannedOrders[WeekIndex],86)=0,"",SUMIFS(T_PlannedOrders[EffectiveQty],T_PlannedOrders[Part Name],$A973,T_PlannedOrders[WeekIndex],86)&amp;" ("&amp;TEXT(SUMPRODUCT(MAX((T_PlannedOrders[Part Name]=$A973)*(T_PlannedOrders[WeekIndex]=86)*(T_PlannedOrders[EffectiveQty]&gt;0)*T_PlannedOrders[Order_Month])),"m月")&amp;"発注)")</f>
        <v/>
      </c>
      <c r="CL999">
        <f>IF(SUMIFS(T_PlannedOrders[EffectiveQty],T_PlannedOrders[Part Name],$A973,T_PlannedOrders[WeekIndex],87)=0,"",SUMIFS(T_PlannedOrders[EffectiveQty],T_PlannedOrders[Part Name],$A973,T_PlannedOrders[WeekIndex],87)&amp;" ("&amp;TEXT(SUMPRODUCT(MAX((T_PlannedOrders[Part Name]=$A973)*(T_PlannedOrders[WeekIndex]=87)*(T_PlannedOrders[EffectiveQty]&gt;0)*T_PlannedOrders[Order_Month])),"m月")&amp;"発注)")</f>
        <v/>
      </c>
      <c r="CM999">
        <f>IF(SUMIFS(T_PlannedOrders[EffectiveQty],T_PlannedOrders[Part Name],$A973,T_PlannedOrders[WeekIndex],88)=0,"",SUMIFS(T_PlannedOrders[EffectiveQty],T_PlannedOrders[Part Name],$A973,T_PlannedOrders[WeekIndex],88)&amp;" ("&amp;TEXT(SUMPRODUCT(MAX((T_PlannedOrders[Part Name]=$A973)*(T_PlannedOrders[WeekIndex]=88)*(T_PlannedOrders[EffectiveQty]&gt;0)*T_PlannedOrders[Order_Month])),"m月")&amp;"発注)")</f>
        <v/>
      </c>
      <c r="CN999">
        <f>IF(SUMIFS(T_PlannedOrders[EffectiveQty],T_PlannedOrders[Part Name],$A973,T_PlannedOrders[WeekIndex],89)=0,"",SUMIFS(T_PlannedOrders[EffectiveQty],T_PlannedOrders[Part Name],$A973,T_PlannedOrders[WeekIndex],89)&amp;" ("&amp;TEXT(SUMPRODUCT(MAX((T_PlannedOrders[Part Name]=$A973)*(T_PlannedOrders[WeekIndex]=89)*(T_PlannedOrders[EffectiveQty]&gt;0)*T_PlannedOrders[Order_Month])),"m月")&amp;"発注)")</f>
        <v/>
      </c>
      <c r="CO999">
        <f>IF(SUMIFS(T_PlannedOrders[EffectiveQty],T_PlannedOrders[Part Name],$A973,T_PlannedOrders[WeekIndex],90)=0,"",SUMIFS(T_PlannedOrders[EffectiveQty],T_PlannedOrders[Part Name],$A973,T_PlannedOrders[WeekIndex],90)&amp;" ("&amp;TEXT(SUMPRODUCT(MAX((T_PlannedOrders[Part Name]=$A973)*(T_PlannedOrders[WeekIndex]=90)*(T_PlannedOrders[EffectiveQty]&gt;0)*T_PlannedOrders[Order_Month])),"m月")&amp;"発注)")</f>
        <v/>
      </c>
      <c r="CP999">
        <f>IF(SUMIFS(T_PlannedOrders[EffectiveQty],T_PlannedOrders[Part Name],$A973,T_PlannedOrders[WeekIndex],91)=0,"",SUMIFS(T_PlannedOrders[EffectiveQty],T_PlannedOrders[Part Name],$A973,T_PlannedOrders[WeekIndex],91)&amp;" ("&amp;TEXT(SUMPRODUCT(MAX((T_PlannedOrders[Part Name]=$A973)*(T_PlannedOrders[WeekIndex]=91)*(T_PlannedOrders[EffectiveQty]&gt;0)*T_PlannedOrders[Order_Month])),"m月")&amp;"発注)")</f>
        <v/>
      </c>
      <c r="CQ999">
        <f>IF(SUMIFS(T_PlannedOrders[EffectiveQty],T_PlannedOrders[Part Name],$A973,T_PlannedOrders[WeekIndex],92)=0,"",SUMIFS(T_PlannedOrders[EffectiveQty],T_PlannedOrders[Part Name],$A973,T_PlannedOrders[WeekIndex],92)&amp;" ("&amp;TEXT(SUMPRODUCT(MAX((T_PlannedOrders[Part Name]=$A973)*(T_PlannedOrders[WeekIndex]=92)*(T_PlannedOrders[EffectiveQty]&gt;0)*T_PlannedOrders[Order_Month])),"m月")&amp;"発注)")</f>
        <v/>
      </c>
      <c r="CR999">
        <f>IF(SUMIFS(T_PlannedOrders[EffectiveQty],T_PlannedOrders[Part Name],$A973,T_PlannedOrders[WeekIndex],93)=0,"",SUMIFS(T_PlannedOrders[EffectiveQty],T_PlannedOrders[Part Name],$A973,T_PlannedOrders[WeekIndex],93)&amp;" ("&amp;TEXT(SUMPRODUCT(MAX((T_PlannedOrders[Part Name]=$A973)*(T_PlannedOrders[WeekIndex]=93)*(T_PlannedOrders[EffectiveQty]&gt;0)*T_PlannedOrders[Order_Month])),"m月")&amp;"発注)")</f>
        <v/>
      </c>
      <c r="CS999">
        <f>IF(SUMIFS(T_PlannedOrders[EffectiveQty],T_PlannedOrders[Part Name],$A973,T_PlannedOrders[WeekIndex],94)=0,"",SUMIFS(T_PlannedOrders[EffectiveQty],T_PlannedOrders[Part Name],$A973,T_PlannedOrders[WeekIndex],94)&amp;" ("&amp;TEXT(SUMPRODUCT(MAX((T_PlannedOrders[Part Name]=$A973)*(T_PlannedOrders[WeekIndex]=94)*(T_PlannedOrders[EffectiveQty]&gt;0)*T_PlannedOrders[Order_Month])),"m月")&amp;"発注)")</f>
        <v/>
      </c>
      <c r="CT999">
        <f>IF(SUMIFS(T_PlannedOrders[EffectiveQty],T_PlannedOrders[Part Name],$A973,T_PlannedOrders[WeekIndex],95)=0,"",SUMIFS(T_PlannedOrders[EffectiveQty],T_PlannedOrders[Part Name],$A973,T_PlannedOrders[WeekIndex],95)&amp;" ("&amp;TEXT(SUMPRODUCT(MAX((T_PlannedOrders[Part Name]=$A973)*(T_PlannedOrders[WeekIndex]=95)*(T_PlannedOrders[EffectiveQty]&gt;0)*T_PlannedOrders[Order_Month])),"m月")&amp;"発注)")</f>
        <v/>
      </c>
      <c r="CU999">
        <f>IF(SUMIFS(T_PlannedOrders[EffectiveQty],T_PlannedOrders[Part Name],$A973,T_PlannedOrders[WeekIndex],96)=0,"",SUMIFS(T_PlannedOrders[EffectiveQty],T_PlannedOrders[Part Name],$A973,T_PlannedOrders[WeekIndex],96)&amp;" ("&amp;TEXT(SUMPRODUCT(MAX((T_PlannedOrders[Part Name]=$A973)*(T_PlannedOrders[WeekIndex]=96)*(T_PlannedOrders[EffectiveQty]&gt;0)*T_PlannedOrders[Order_Month])),"m月")&amp;"発注)")</f>
        <v/>
      </c>
      <c r="CV999">
        <f>IF(SUMIFS(T_PlannedOrders[EffectiveQty],T_PlannedOrders[Part Name],$A973,T_PlannedOrders[WeekIndex],97)=0,"",SUMIFS(T_PlannedOrders[EffectiveQty],T_PlannedOrders[Part Name],$A973,T_PlannedOrders[WeekIndex],97)&amp;" ("&amp;TEXT(SUMPRODUCT(MAX((T_PlannedOrders[Part Name]=$A973)*(T_PlannedOrders[WeekIndex]=97)*(T_PlannedOrders[EffectiveQty]&gt;0)*T_PlannedOrders[Order_Month])),"m月")&amp;"発注)")</f>
        <v/>
      </c>
      <c r="CW999">
        <f>IF(SUMIFS(T_PlannedOrders[EffectiveQty],T_PlannedOrders[Part Name],$A973,T_PlannedOrders[WeekIndex],98)=0,"",SUMIFS(T_PlannedOrders[EffectiveQty],T_PlannedOrders[Part Name],$A973,T_PlannedOrders[WeekIndex],98)&amp;" ("&amp;TEXT(SUMPRODUCT(MAX((T_PlannedOrders[Part Name]=$A973)*(T_PlannedOrders[WeekIndex]=98)*(T_PlannedOrders[EffectiveQty]&gt;0)*T_PlannedOrders[Order_Month])),"m月")&amp;"発注)")</f>
        <v/>
      </c>
      <c r="CX999">
        <f>IF(SUMIFS(T_PlannedOrders[EffectiveQty],T_PlannedOrders[Part Name],$A973,T_PlannedOrders[WeekIndex],99)=0,"",SUMIFS(T_PlannedOrders[EffectiveQty],T_PlannedOrders[Part Name],$A973,T_PlannedOrders[WeekIndex],99)&amp;" ("&amp;TEXT(SUMPRODUCT(MAX((T_PlannedOrders[Part Name]=$A973)*(T_PlannedOrders[WeekIndex]=99)*(T_PlannedOrders[EffectiveQty]&gt;0)*T_PlannedOrders[Order_Month])),"m月")&amp;"発注)")</f>
        <v/>
      </c>
      <c r="CY999">
        <f>IF(SUMIFS(T_PlannedOrders[EffectiveQty],T_PlannedOrders[Part Name],$A973,T_PlannedOrders[WeekIndex],100)=0,"",SUMIFS(T_PlannedOrders[EffectiveQty],T_PlannedOrders[Part Name],$A973,T_PlannedOrders[WeekIndex],100)&amp;" ("&amp;TEXT(SUMPRODUCT(MAX((T_PlannedOrders[Part Name]=$A973)*(T_PlannedOrders[WeekIndex]=100)*(T_PlannedOrders[EffectiveQty]&gt;0)*T_PlannedOrders[Order_Month])),"m月")&amp;"発注)")</f>
        <v/>
      </c>
      <c r="CZ999">
        <f>IF(SUMIFS(T_PlannedOrders[EffectiveQty],T_PlannedOrders[Part Name],$A973,T_PlannedOrders[WeekIndex],101)=0,"",SUMIFS(T_PlannedOrders[EffectiveQty],T_PlannedOrders[Part Name],$A973,T_PlannedOrders[WeekIndex],101)&amp;" ("&amp;TEXT(SUMPRODUCT(MAX((T_PlannedOrders[Part Name]=$A973)*(T_PlannedOrders[WeekIndex]=101)*(T_PlannedOrders[EffectiveQty]&gt;0)*T_PlannedOrders[Order_Month])),"m月")&amp;"発注)")</f>
        <v/>
      </c>
      <c r="DA999">
        <f>IF(SUMIFS(T_PlannedOrders[EffectiveQty],T_PlannedOrders[Part Name],$A973,T_PlannedOrders[WeekIndex],102)=0,"",SUMIFS(T_PlannedOrders[EffectiveQty],T_PlannedOrders[Part Name],$A973,T_PlannedOrders[WeekIndex],102)&amp;" ("&amp;TEXT(SUMPRODUCT(MAX((T_PlannedOrders[Part Name]=$A973)*(T_PlannedOrders[WeekIndex]=102)*(T_PlannedOrders[EffectiveQty]&gt;0)*T_PlannedOrders[Order_Month])),"m月")&amp;"発注)")</f>
        <v/>
      </c>
      <c r="DB999">
        <f>IF(SUMIFS(T_PlannedOrders[EffectiveQty],T_PlannedOrders[Part Name],$A973,T_PlannedOrders[WeekIndex],103)=0,"",SUMIFS(T_PlannedOrders[EffectiveQty],T_PlannedOrders[Part Name],$A973,T_PlannedOrders[WeekIndex],103)&amp;" ("&amp;TEXT(SUMPRODUCT(MAX((T_PlannedOrders[Part Name]=$A973)*(T_PlannedOrders[WeekIndex]=103)*(T_PlannedOrders[EffectiveQty]&gt;0)*T_PlannedOrders[Order_Month])),"m月")&amp;"発注)")</f>
        <v/>
      </c>
      <c r="DC999">
        <f>IF(SUMIFS(T_PlannedOrders[EffectiveQty],T_PlannedOrders[Part Name],$A973,T_PlannedOrders[WeekIndex],104)=0,"",SUMIFS(T_PlannedOrders[EffectiveQty],T_PlannedOrders[Part Name],$A973,T_PlannedOrders[WeekIndex],104)&amp;" ("&amp;TEXT(SUMPRODUCT(MAX((T_PlannedOrders[Part Name]=$A973)*(T_PlannedOrders[WeekIndex]=104)*(T_PlannedOrders[EffectiveQty]&gt;0)*T_PlannedOrders[Order_Month])),"m月")&amp;"発注)")</f>
        <v/>
      </c>
    </row>
    <row r="1000">
      <c r="B1000" s="4" t="inlineStr">
        <is>
          <t>合計在庫(週末時点,kg)</t>
        </is>
      </c>
      <c r="D1000">
        <f>'Grid_Stock'!B27</f>
        <v/>
      </c>
      <c r="E1000">
        <f>'Grid_Stock'!C27</f>
        <v/>
      </c>
      <c r="F1000">
        <f>'Grid_Stock'!D27</f>
        <v/>
      </c>
      <c r="G1000">
        <f>'Grid_Stock'!E27</f>
        <v/>
      </c>
      <c r="H1000">
        <f>'Grid_Stock'!F27</f>
        <v/>
      </c>
      <c r="I1000">
        <f>'Grid_Stock'!G27</f>
        <v/>
      </c>
      <c r="J1000">
        <f>'Grid_Stock'!H27</f>
        <v/>
      </c>
      <c r="K1000">
        <f>'Grid_Stock'!I27</f>
        <v/>
      </c>
      <c r="L1000">
        <f>'Grid_Stock'!J27</f>
        <v/>
      </c>
      <c r="M1000">
        <f>'Grid_Stock'!K27</f>
        <v/>
      </c>
      <c r="N1000">
        <f>'Grid_Stock'!L27</f>
        <v/>
      </c>
      <c r="O1000">
        <f>'Grid_Stock'!M27</f>
        <v/>
      </c>
      <c r="P1000">
        <f>'Grid_Stock'!N27</f>
        <v/>
      </c>
      <c r="Q1000">
        <f>'Grid_Stock'!O27</f>
        <v/>
      </c>
      <c r="R1000">
        <f>'Grid_Stock'!P27</f>
        <v/>
      </c>
      <c r="S1000">
        <f>'Grid_Stock'!Q27</f>
        <v/>
      </c>
      <c r="T1000">
        <f>'Grid_Stock'!R27</f>
        <v/>
      </c>
      <c r="U1000">
        <f>'Grid_Stock'!S27</f>
        <v/>
      </c>
      <c r="V1000">
        <f>'Grid_Stock'!T27</f>
        <v/>
      </c>
      <c r="W1000">
        <f>'Grid_Stock'!U27</f>
        <v/>
      </c>
      <c r="X1000">
        <f>'Grid_Stock'!V27</f>
        <v/>
      </c>
      <c r="Y1000">
        <f>'Grid_Stock'!W27</f>
        <v/>
      </c>
      <c r="Z1000">
        <f>'Grid_Stock'!X27</f>
        <v/>
      </c>
      <c r="AA1000">
        <f>'Grid_Stock'!Y27</f>
        <v/>
      </c>
      <c r="AB1000">
        <f>'Grid_Stock'!Z27</f>
        <v/>
      </c>
      <c r="AC1000">
        <f>'Grid_Stock'!AA27</f>
        <v/>
      </c>
      <c r="AD1000">
        <f>'Grid_Stock'!AB27</f>
        <v/>
      </c>
      <c r="AE1000">
        <f>'Grid_Stock'!AC27</f>
        <v/>
      </c>
      <c r="AF1000">
        <f>'Grid_Stock'!AD27</f>
        <v/>
      </c>
      <c r="AG1000">
        <f>'Grid_Stock'!AE27</f>
        <v/>
      </c>
      <c r="AH1000">
        <f>'Grid_Stock'!AF27</f>
        <v/>
      </c>
      <c r="AI1000">
        <f>'Grid_Stock'!AG27</f>
        <v/>
      </c>
      <c r="AJ1000">
        <f>'Grid_Stock'!AH27</f>
        <v/>
      </c>
      <c r="AK1000">
        <f>'Grid_Stock'!AI27</f>
        <v/>
      </c>
      <c r="AL1000">
        <f>'Grid_Stock'!AJ27</f>
        <v/>
      </c>
      <c r="AM1000">
        <f>'Grid_Stock'!AK27</f>
        <v/>
      </c>
      <c r="AN1000">
        <f>'Grid_Stock'!AL27</f>
        <v/>
      </c>
      <c r="AO1000">
        <f>'Grid_Stock'!AM27</f>
        <v/>
      </c>
      <c r="AP1000">
        <f>'Grid_Stock'!AN27</f>
        <v/>
      </c>
      <c r="AQ1000">
        <f>'Grid_Stock'!AO27</f>
        <v/>
      </c>
      <c r="AR1000">
        <f>'Grid_Stock'!AP27</f>
        <v/>
      </c>
      <c r="AS1000">
        <f>'Grid_Stock'!AQ27</f>
        <v/>
      </c>
      <c r="AT1000">
        <f>'Grid_Stock'!AR27</f>
        <v/>
      </c>
      <c r="AU1000">
        <f>'Grid_Stock'!AS27</f>
        <v/>
      </c>
      <c r="AV1000">
        <f>'Grid_Stock'!AT27</f>
        <v/>
      </c>
      <c r="AW1000">
        <f>'Grid_Stock'!AU27</f>
        <v/>
      </c>
      <c r="AX1000">
        <f>'Grid_Stock'!AV27</f>
        <v/>
      </c>
      <c r="AY1000">
        <f>'Grid_Stock'!AW27</f>
        <v/>
      </c>
      <c r="AZ1000">
        <f>'Grid_Stock'!AX27</f>
        <v/>
      </c>
      <c r="BA1000">
        <f>'Grid_Stock'!AY27</f>
        <v/>
      </c>
      <c r="BB1000">
        <f>'Grid_Stock'!AZ27</f>
        <v/>
      </c>
      <c r="BC1000">
        <f>'Grid_Stock'!BA27</f>
        <v/>
      </c>
      <c r="BD1000">
        <f>'Grid_Stock'!BB27</f>
        <v/>
      </c>
      <c r="BE1000">
        <f>'Grid_Stock'!BC27</f>
        <v/>
      </c>
      <c r="BF1000">
        <f>'Grid_Stock'!BD27</f>
        <v/>
      </c>
      <c r="BG1000">
        <f>'Grid_Stock'!BE27</f>
        <v/>
      </c>
      <c r="BH1000">
        <f>'Grid_Stock'!BF27</f>
        <v/>
      </c>
      <c r="BI1000">
        <f>'Grid_Stock'!BG27</f>
        <v/>
      </c>
      <c r="BJ1000">
        <f>'Grid_Stock'!BH27</f>
        <v/>
      </c>
      <c r="BK1000">
        <f>'Grid_Stock'!BI27</f>
        <v/>
      </c>
      <c r="BL1000">
        <f>'Grid_Stock'!BJ27</f>
        <v/>
      </c>
      <c r="BM1000">
        <f>'Grid_Stock'!BK27</f>
        <v/>
      </c>
      <c r="BN1000">
        <f>'Grid_Stock'!BL27</f>
        <v/>
      </c>
      <c r="BO1000">
        <f>'Grid_Stock'!BM27</f>
        <v/>
      </c>
      <c r="BP1000">
        <f>'Grid_Stock'!BN27</f>
        <v/>
      </c>
      <c r="BQ1000">
        <f>'Grid_Stock'!BO27</f>
        <v/>
      </c>
      <c r="BR1000">
        <f>'Grid_Stock'!BP27</f>
        <v/>
      </c>
      <c r="BS1000">
        <f>'Grid_Stock'!BQ27</f>
        <v/>
      </c>
      <c r="BT1000">
        <f>'Grid_Stock'!BR27</f>
        <v/>
      </c>
      <c r="BU1000">
        <f>'Grid_Stock'!BS27</f>
        <v/>
      </c>
      <c r="BV1000">
        <f>'Grid_Stock'!BT27</f>
        <v/>
      </c>
      <c r="BW1000">
        <f>'Grid_Stock'!BU27</f>
        <v/>
      </c>
      <c r="BX1000">
        <f>'Grid_Stock'!BV27</f>
        <v/>
      </c>
      <c r="BY1000">
        <f>'Grid_Stock'!BW27</f>
        <v/>
      </c>
      <c r="BZ1000">
        <f>'Grid_Stock'!BX27</f>
        <v/>
      </c>
      <c r="CA1000">
        <f>'Grid_Stock'!BY27</f>
        <v/>
      </c>
      <c r="CB1000">
        <f>'Grid_Stock'!BZ27</f>
        <v/>
      </c>
      <c r="CC1000">
        <f>'Grid_Stock'!CA27</f>
        <v/>
      </c>
      <c r="CD1000">
        <f>'Grid_Stock'!CB27</f>
        <v/>
      </c>
      <c r="CE1000">
        <f>'Grid_Stock'!CC27</f>
        <v/>
      </c>
      <c r="CF1000">
        <f>'Grid_Stock'!CD27</f>
        <v/>
      </c>
      <c r="CG1000">
        <f>'Grid_Stock'!CE27</f>
        <v/>
      </c>
      <c r="CH1000">
        <f>'Grid_Stock'!CF27</f>
        <v/>
      </c>
      <c r="CI1000">
        <f>'Grid_Stock'!CG27</f>
        <v/>
      </c>
      <c r="CJ1000">
        <f>'Grid_Stock'!CH27</f>
        <v/>
      </c>
      <c r="CK1000">
        <f>'Grid_Stock'!CI27</f>
        <v/>
      </c>
      <c r="CL1000">
        <f>'Grid_Stock'!CJ27</f>
        <v/>
      </c>
      <c r="CM1000">
        <f>'Grid_Stock'!CK27</f>
        <v/>
      </c>
      <c r="CN1000">
        <f>'Grid_Stock'!CL27</f>
        <v/>
      </c>
      <c r="CO1000">
        <f>'Grid_Stock'!CM27</f>
        <v/>
      </c>
      <c r="CP1000">
        <f>'Grid_Stock'!CN27</f>
        <v/>
      </c>
      <c r="CQ1000">
        <f>'Grid_Stock'!CO27</f>
        <v/>
      </c>
      <c r="CR1000">
        <f>'Grid_Stock'!CP27</f>
        <v/>
      </c>
      <c r="CS1000">
        <f>'Grid_Stock'!CQ27</f>
        <v/>
      </c>
      <c r="CT1000">
        <f>'Grid_Stock'!CR27</f>
        <v/>
      </c>
      <c r="CU1000">
        <f>'Grid_Stock'!CS27</f>
        <v/>
      </c>
      <c r="CV1000">
        <f>'Grid_Stock'!CT27</f>
        <v/>
      </c>
      <c r="CW1000">
        <f>'Grid_Stock'!CU27</f>
        <v/>
      </c>
      <c r="CX1000">
        <f>'Grid_Stock'!CV27</f>
        <v/>
      </c>
      <c r="CY1000">
        <f>'Grid_Stock'!CW27</f>
        <v/>
      </c>
      <c r="CZ1000">
        <f>'Grid_Stock'!CX27</f>
        <v/>
      </c>
      <c r="DA1000">
        <f>'Grid_Stock'!CY27</f>
        <v/>
      </c>
      <c r="DB1000">
        <f>'Grid_Stock'!CZ27</f>
        <v/>
      </c>
      <c r="DC1000">
        <f>'Grid_Stock'!DA27</f>
        <v/>
      </c>
    </row>
    <row r="1001">
      <c r="B1001" s="16" t="inlineStr">
        <is>
          <t>（発注の目安はDashboardの基準在庫[下限/上限]と色分けを参照）</t>
        </is>
      </c>
    </row>
    <row r="1003">
      <c r="A1003" s="14" t="inlineStr">
        <is>
          <t>CHEM-1730</t>
        </is>
      </c>
      <c r="B1003" s="14" t="inlineStr">
        <is>
          <t>NAT-41</t>
        </is>
      </c>
      <c r="C1003" s="15" t="n"/>
      <c r="D1003" s="14" t="n"/>
      <c r="E1003" s="14" t="n"/>
      <c r="F1003" s="14" t="n"/>
      <c r="G1003" s="14" t="n"/>
      <c r="H1003" s="14" t="n"/>
      <c r="I1003" s="14" t="n"/>
      <c r="J1003" s="14" t="n"/>
      <c r="K1003" s="14" t="n"/>
      <c r="L1003" s="14" t="n"/>
      <c r="M1003" s="14" t="n"/>
      <c r="N1003" s="14" t="n"/>
      <c r="O1003" s="14" t="n"/>
      <c r="P1003" s="14" t="n"/>
      <c r="Q1003" s="14" t="n"/>
      <c r="R1003" s="14" t="n"/>
      <c r="S1003" s="14" t="n"/>
      <c r="T1003" s="14" t="n"/>
      <c r="U1003" s="14" t="n"/>
      <c r="V1003" s="14" t="n"/>
      <c r="W1003" s="14" t="n"/>
      <c r="X1003" s="14" t="n"/>
      <c r="Y1003" s="14" t="n"/>
      <c r="Z1003" s="14" t="n"/>
      <c r="AA1003" s="14" t="n"/>
      <c r="AB1003" s="14" t="n"/>
      <c r="AC1003" s="14" t="n"/>
      <c r="AD1003" s="14" t="n"/>
      <c r="AE1003" s="14" t="n"/>
      <c r="AF1003" s="14" t="n"/>
      <c r="AG1003" s="14" t="n"/>
      <c r="AH1003" s="14" t="n"/>
      <c r="AI1003" s="14" t="n"/>
      <c r="AJ1003" s="14" t="n"/>
      <c r="AK1003" s="14" t="n"/>
      <c r="AL1003" s="14" t="n"/>
      <c r="AM1003" s="14" t="n"/>
      <c r="AN1003" s="14" t="n"/>
      <c r="AO1003" s="14" t="n"/>
      <c r="AP1003" s="14" t="n"/>
      <c r="AQ1003" s="14" t="n"/>
      <c r="AR1003" s="14" t="n"/>
      <c r="AS1003" s="14" t="n"/>
      <c r="AT1003" s="14" t="n"/>
      <c r="AU1003" s="14" t="n"/>
      <c r="AV1003" s="14" t="n"/>
      <c r="AW1003" s="14" t="n"/>
      <c r="AX1003" s="14" t="n"/>
      <c r="AY1003" s="14" t="n"/>
      <c r="AZ1003" s="14" t="n"/>
      <c r="BA1003" s="14" t="n"/>
      <c r="BB1003" s="14" t="n"/>
      <c r="BC1003" s="14" t="n"/>
      <c r="BD1003" s="14" t="n"/>
      <c r="BE1003" s="14" t="n"/>
      <c r="BF1003" s="14" t="n"/>
      <c r="BG1003" s="14" t="n"/>
      <c r="BH1003" s="14" t="n"/>
      <c r="BI1003" s="14" t="n"/>
      <c r="BJ1003" s="14" t="n"/>
      <c r="BK1003" s="14" t="n"/>
      <c r="BL1003" s="14" t="n"/>
      <c r="BM1003" s="14" t="n"/>
      <c r="BN1003" s="14" t="n"/>
      <c r="BO1003" s="14" t="n"/>
      <c r="BP1003" s="14" t="n"/>
      <c r="BQ1003" s="14" t="n"/>
      <c r="BR1003" s="14" t="n"/>
      <c r="BS1003" s="14" t="n"/>
      <c r="BT1003" s="14" t="n"/>
      <c r="BU1003" s="14" t="n"/>
      <c r="BV1003" s="14" t="n"/>
      <c r="BW1003" s="14" t="n"/>
      <c r="BX1003" s="14" t="n"/>
      <c r="BY1003" s="14" t="n"/>
      <c r="BZ1003" s="14" t="n"/>
      <c r="CA1003" s="14" t="n"/>
      <c r="CB1003" s="14" t="n"/>
      <c r="CC1003" s="14" t="n"/>
      <c r="CD1003" s="14" t="n"/>
      <c r="CE1003" s="14" t="n"/>
      <c r="CF1003" s="14" t="n"/>
      <c r="CG1003" s="14" t="n"/>
      <c r="CH1003" s="14" t="n"/>
      <c r="CI1003" s="14" t="n"/>
      <c r="CJ1003" s="14" t="n"/>
      <c r="CK1003" s="14" t="n"/>
      <c r="CL1003" s="14" t="n"/>
      <c r="CM1003" s="14" t="n"/>
      <c r="CN1003" s="14" t="n"/>
      <c r="CO1003" s="14" t="n"/>
      <c r="CP1003" s="14" t="n"/>
      <c r="CQ1003" s="14" t="n"/>
      <c r="CR1003" s="14" t="n"/>
      <c r="CS1003" s="14" t="n"/>
      <c r="CT1003" s="14" t="n"/>
      <c r="CU1003" s="14" t="n"/>
      <c r="CV1003" s="14" t="n"/>
      <c r="CW1003" s="14" t="n"/>
      <c r="CX1003" s="14" t="n"/>
      <c r="CY1003" s="14" t="n"/>
      <c r="CZ1003" s="14" t="n"/>
      <c r="DA1003" s="14" t="n"/>
      <c r="DB1003" s="14" t="n"/>
      <c r="DC1003" s="14" t="n"/>
    </row>
    <row r="1004">
      <c r="B1004" t="inlineStr">
        <is>
          <t>TPP-911</t>
        </is>
      </c>
      <c r="C1004" t="inlineStr">
        <is>
          <t>No. of batches</t>
        </is>
      </c>
      <c r="D1004">
        <f>IFERROR(INDEX(PP_Grid[#Data],$DD1004,2),0)</f>
        <v/>
      </c>
      <c r="E1004">
        <f>IFERROR(INDEX(PP_Grid[#Data],$DD1004,3),0)</f>
        <v/>
      </c>
      <c r="F1004">
        <f>IFERROR(INDEX(PP_Grid[#Data],$DD1004,4),0)</f>
        <v/>
      </c>
      <c r="G1004">
        <f>IFERROR(INDEX(PP_Grid[#Data],$DD1004,5),0)</f>
        <v/>
      </c>
      <c r="H1004">
        <f>IFERROR(INDEX(PP_Grid[#Data],$DD1004,6),0)</f>
        <v/>
      </c>
      <c r="I1004">
        <f>IFERROR(INDEX(PP_Grid[#Data],$DD1004,7),0)</f>
        <v/>
      </c>
      <c r="J1004">
        <f>IFERROR(INDEX(PP_Grid[#Data],$DD1004,8),0)</f>
        <v/>
      </c>
      <c r="K1004">
        <f>IFERROR(INDEX(PP_Grid[#Data],$DD1004,9),0)</f>
        <v/>
      </c>
      <c r="L1004">
        <f>IFERROR(INDEX(PP_Grid[#Data],$DD1004,10),0)</f>
        <v/>
      </c>
      <c r="M1004">
        <f>IFERROR(INDEX(PP_Grid[#Data],$DD1004,11),0)</f>
        <v/>
      </c>
      <c r="N1004">
        <f>IFERROR(INDEX(PP_Grid[#Data],$DD1004,12),0)</f>
        <v/>
      </c>
      <c r="O1004">
        <f>IFERROR(INDEX(PP_Grid[#Data],$DD1004,13),0)</f>
        <v/>
      </c>
      <c r="P1004">
        <f>IFERROR(INDEX(PP_Grid[#Data],$DD1004,14),0)</f>
        <v/>
      </c>
      <c r="Q1004">
        <f>IFERROR(INDEX(PP_Grid[#Data],$DD1004,15),0)</f>
        <v/>
      </c>
      <c r="R1004">
        <f>IFERROR(INDEX(PP_Grid[#Data],$DD1004,16),0)</f>
        <v/>
      </c>
      <c r="S1004">
        <f>IFERROR(INDEX(PP_Grid[#Data],$DD1004,17),0)</f>
        <v/>
      </c>
      <c r="T1004">
        <f>IFERROR(INDEX(PP_Grid[#Data],$DD1004,18),0)</f>
        <v/>
      </c>
      <c r="U1004">
        <f>IFERROR(INDEX(PP_Grid[#Data],$DD1004,19),0)</f>
        <v/>
      </c>
      <c r="V1004">
        <f>IFERROR(INDEX(PP_Grid[#Data],$DD1004,20),0)</f>
        <v/>
      </c>
      <c r="W1004">
        <f>IFERROR(INDEX(PP_Grid[#Data],$DD1004,21),0)</f>
        <v/>
      </c>
      <c r="X1004">
        <f>IFERROR(INDEX(PP_Grid[#Data],$DD1004,22),0)</f>
        <v/>
      </c>
      <c r="Y1004">
        <f>IFERROR(INDEX(PP_Grid[#Data],$DD1004,23),0)</f>
        <v/>
      </c>
      <c r="Z1004">
        <f>IFERROR(INDEX(PP_Grid[#Data],$DD1004,24),0)</f>
        <v/>
      </c>
      <c r="AA1004">
        <f>IFERROR(INDEX(PP_Grid[#Data],$DD1004,25),0)</f>
        <v/>
      </c>
      <c r="AB1004">
        <f>IFERROR(INDEX(PP_Grid[#Data],$DD1004,26),0)</f>
        <v/>
      </c>
      <c r="AC1004">
        <f>IFERROR(INDEX(PP_Grid[#Data],$DD1004,27),0)</f>
        <v/>
      </c>
      <c r="AD1004">
        <f>IFERROR(INDEX(PP_Grid[#Data],$DD1004,28),0)</f>
        <v/>
      </c>
      <c r="AE1004">
        <f>IFERROR(INDEX(PP_Grid[#Data],$DD1004,29),0)</f>
        <v/>
      </c>
      <c r="AF1004">
        <f>IFERROR(INDEX(PP_Grid[#Data],$DD1004,30),0)</f>
        <v/>
      </c>
      <c r="AG1004">
        <f>IFERROR(INDEX(PP_Grid[#Data],$DD1004,31),0)</f>
        <v/>
      </c>
      <c r="AH1004">
        <f>IFERROR(INDEX(PP_Grid[#Data],$DD1004,32),0)</f>
        <v/>
      </c>
      <c r="AI1004">
        <f>IFERROR(INDEX(PP_Grid[#Data],$DD1004,33),0)</f>
        <v/>
      </c>
      <c r="AJ1004">
        <f>IFERROR(INDEX(PP_Grid[#Data],$DD1004,34),0)</f>
        <v/>
      </c>
      <c r="AK1004">
        <f>IFERROR(INDEX(PP_Grid[#Data],$DD1004,35),0)</f>
        <v/>
      </c>
      <c r="AL1004">
        <f>IFERROR(INDEX(PP_Grid[#Data],$DD1004,36),0)</f>
        <v/>
      </c>
      <c r="AM1004">
        <f>IFERROR(INDEX(PP_Grid[#Data],$DD1004,37),0)</f>
        <v/>
      </c>
      <c r="AN1004">
        <f>IFERROR(INDEX(PP_Grid[#Data],$DD1004,38),0)</f>
        <v/>
      </c>
      <c r="AO1004">
        <f>IFERROR(INDEX(PP_Grid[#Data],$DD1004,39),0)</f>
        <v/>
      </c>
      <c r="AP1004">
        <f>IFERROR(INDEX(PP_Grid[#Data],$DD1004,40),0)</f>
        <v/>
      </c>
      <c r="AQ1004">
        <f>IFERROR(INDEX(PP_Grid[#Data],$DD1004,41),0)</f>
        <v/>
      </c>
      <c r="AR1004">
        <f>IFERROR(INDEX(PP_Grid[#Data],$DD1004,42),0)</f>
        <v/>
      </c>
      <c r="AS1004">
        <f>IFERROR(INDEX(PP_Grid[#Data],$DD1004,43),0)</f>
        <v/>
      </c>
      <c r="AT1004">
        <f>IFERROR(INDEX(PP_Grid[#Data],$DD1004,44),0)</f>
        <v/>
      </c>
      <c r="AU1004">
        <f>IFERROR(INDEX(PP_Grid[#Data],$DD1004,45),0)</f>
        <v/>
      </c>
      <c r="AV1004">
        <f>IFERROR(INDEX(PP_Grid[#Data],$DD1004,46),0)</f>
        <v/>
      </c>
      <c r="AW1004">
        <f>IFERROR(INDEX(PP_Grid[#Data],$DD1004,47),0)</f>
        <v/>
      </c>
      <c r="AX1004">
        <f>IFERROR(INDEX(PP_Grid[#Data],$DD1004,48),0)</f>
        <v/>
      </c>
      <c r="AY1004">
        <f>IFERROR(INDEX(PP_Grid[#Data],$DD1004,49),0)</f>
        <v/>
      </c>
      <c r="AZ1004">
        <f>IFERROR(INDEX(PP_Grid[#Data],$DD1004,50),0)</f>
        <v/>
      </c>
      <c r="BA1004">
        <f>IFERROR(INDEX(PP_Grid[#Data],$DD1004,51),0)</f>
        <v/>
      </c>
      <c r="BB1004">
        <f>IFERROR(INDEX(PP_Grid[#Data],$DD1004,52),0)</f>
        <v/>
      </c>
      <c r="BC1004">
        <f>IFERROR(INDEX(PP_Grid[#Data],$DD1004,53),0)</f>
        <v/>
      </c>
      <c r="BD1004">
        <f>IFERROR(INDEX(PP_Grid[#Data],$DD1004,54),0)</f>
        <v/>
      </c>
      <c r="BE1004">
        <f>IFERROR(INDEX(PP_Grid[#Data],$DD1004,55),0)</f>
        <v/>
      </c>
      <c r="BF1004">
        <f>IFERROR(INDEX(PP_Grid[#Data],$DD1004,56),0)</f>
        <v/>
      </c>
      <c r="BG1004">
        <f>IFERROR(INDEX(PP_Grid[#Data],$DD1004,57),0)</f>
        <v/>
      </c>
      <c r="BH1004">
        <f>IFERROR(INDEX(PP_Grid[#Data],$DD1004,58),0)</f>
        <v/>
      </c>
      <c r="BI1004">
        <f>IFERROR(INDEX(PP_Grid[#Data],$DD1004,59),0)</f>
        <v/>
      </c>
      <c r="BJ1004">
        <f>IFERROR(INDEX(PP_Grid[#Data],$DD1004,60),0)</f>
        <v/>
      </c>
      <c r="BK1004">
        <f>IFERROR(INDEX(PP_Grid[#Data],$DD1004,61),0)</f>
        <v/>
      </c>
      <c r="BL1004">
        <f>IFERROR(INDEX(PP_Grid[#Data],$DD1004,62),0)</f>
        <v/>
      </c>
      <c r="BM1004">
        <f>IFERROR(INDEX(PP_Grid[#Data],$DD1004,63),0)</f>
        <v/>
      </c>
      <c r="BN1004">
        <f>IFERROR(INDEX(PP_Grid[#Data],$DD1004,64),0)</f>
        <v/>
      </c>
      <c r="BO1004">
        <f>IFERROR(INDEX(PP_Grid[#Data],$DD1004,65),0)</f>
        <v/>
      </c>
      <c r="BP1004">
        <f>IFERROR(INDEX(PP_Grid[#Data],$DD1004,66),0)</f>
        <v/>
      </c>
      <c r="BQ1004">
        <f>IFERROR(INDEX(PP_Grid[#Data],$DD1004,67),0)</f>
        <v/>
      </c>
      <c r="BR1004">
        <f>IFERROR(INDEX(PP_Grid[#Data],$DD1004,68),0)</f>
        <v/>
      </c>
      <c r="BS1004">
        <f>IFERROR(INDEX(PP_Grid[#Data],$DD1004,69),0)</f>
        <v/>
      </c>
      <c r="BT1004">
        <f>IFERROR(INDEX(PP_Grid[#Data],$DD1004,70),0)</f>
        <v/>
      </c>
      <c r="BU1004">
        <f>IFERROR(INDEX(PP_Grid[#Data],$DD1004,71),0)</f>
        <v/>
      </c>
      <c r="BV1004">
        <f>IFERROR(INDEX(PP_Grid[#Data],$DD1004,72),0)</f>
        <v/>
      </c>
      <c r="BW1004">
        <f>IFERROR(INDEX(PP_Grid[#Data],$DD1004,73),0)</f>
        <v/>
      </c>
      <c r="BX1004">
        <f>IFERROR(INDEX(PP_Grid[#Data],$DD1004,74),0)</f>
        <v/>
      </c>
      <c r="BY1004">
        <f>IFERROR(INDEX(PP_Grid[#Data],$DD1004,75),0)</f>
        <v/>
      </c>
      <c r="BZ1004">
        <f>IFERROR(INDEX(PP_Grid[#Data],$DD1004,76),0)</f>
        <v/>
      </c>
      <c r="CA1004">
        <f>IFERROR(INDEX(PP_Grid[#Data],$DD1004,77),0)</f>
        <v/>
      </c>
      <c r="CB1004">
        <f>IFERROR(INDEX(PP_Grid[#Data],$DD1004,78),0)</f>
        <v/>
      </c>
      <c r="CC1004">
        <f>IFERROR(INDEX(PP_Grid[#Data],$DD1004,79),0)</f>
        <v/>
      </c>
      <c r="CD1004">
        <f>IFERROR(INDEX(PP_Grid[#Data],$DD1004,80),0)</f>
        <v/>
      </c>
      <c r="CE1004">
        <f>IFERROR(INDEX(PP_Grid[#Data],$DD1004,81),0)</f>
        <v/>
      </c>
      <c r="CF1004">
        <f>IFERROR(INDEX(PP_Grid[#Data],$DD1004,82),0)</f>
        <v/>
      </c>
      <c r="CG1004">
        <f>IFERROR(INDEX(PP_Grid[#Data],$DD1004,83),0)</f>
        <v/>
      </c>
      <c r="CH1004">
        <f>IFERROR(INDEX(PP_Grid[#Data],$DD1004,84),0)</f>
        <v/>
      </c>
      <c r="CI1004">
        <f>IFERROR(INDEX(PP_Grid[#Data],$DD1004,85),0)</f>
        <v/>
      </c>
      <c r="CJ1004">
        <f>IFERROR(INDEX(PP_Grid[#Data],$DD1004,86),0)</f>
        <v/>
      </c>
      <c r="CK1004">
        <f>IFERROR(INDEX(PP_Grid[#Data],$DD1004,87),0)</f>
        <v/>
      </c>
      <c r="CL1004">
        <f>IFERROR(INDEX(PP_Grid[#Data],$DD1004,88),0)</f>
        <v/>
      </c>
      <c r="CM1004">
        <f>IFERROR(INDEX(PP_Grid[#Data],$DD1004,89),0)</f>
        <v/>
      </c>
      <c r="CN1004">
        <f>IFERROR(INDEX(PP_Grid[#Data],$DD1004,90),0)</f>
        <v/>
      </c>
      <c r="CO1004">
        <f>IFERROR(INDEX(PP_Grid[#Data],$DD1004,91),0)</f>
        <v/>
      </c>
      <c r="CP1004">
        <f>IFERROR(INDEX(PP_Grid[#Data],$DD1004,92),0)</f>
        <v/>
      </c>
      <c r="CQ1004">
        <f>IFERROR(INDEX(PP_Grid[#Data],$DD1004,93),0)</f>
        <v/>
      </c>
      <c r="CR1004">
        <f>IFERROR(INDEX(PP_Grid[#Data],$DD1004,94),0)</f>
        <v/>
      </c>
      <c r="CS1004">
        <f>IFERROR(INDEX(PP_Grid[#Data],$DD1004,95),0)</f>
        <v/>
      </c>
      <c r="CT1004">
        <f>IFERROR(INDEX(PP_Grid[#Data],$DD1004,96),0)</f>
        <v/>
      </c>
      <c r="CU1004">
        <f>IFERROR(INDEX(PP_Grid[#Data],$DD1004,97),0)</f>
        <v/>
      </c>
      <c r="CV1004">
        <f>IFERROR(INDEX(PP_Grid[#Data],$DD1004,98),0)</f>
        <v/>
      </c>
      <c r="CW1004">
        <f>IFERROR(INDEX(PP_Grid[#Data],$DD1004,99),0)</f>
        <v/>
      </c>
      <c r="CX1004">
        <f>IFERROR(INDEX(PP_Grid[#Data],$DD1004,100),0)</f>
        <v/>
      </c>
      <c r="CY1004">
        <f>IFERROR(INDEX(PP_Grid[#Data],$DD1004,101),0)</f>
        <v/>
      </c>
      <c r="CZ1004">
        <f>IFERROR(INDEX(PP_Grid[#Data],$DD1004,102),0)</f>
        <v/>
      </c>
      <c r="DA1004">
        <f>IFERROR(INDEX(PP_Grid[#Data],$DD1004,103),0)</f>
        <v/>
      </c>
      <c r="DB1004">
        <f>IFERROR(INDEX(PP_Grid[#Data],$DD1004,104),0)</f>
        <v/>
      </c>
      <c r="DC1004">
        <f>IFERROR(INDEX(PP_Grid[#Data],$DD1004,105),0)</f>
        <v/>
      </c>
      <c r="DD1004" s="7">
        <f>IFERROR(MATCH($B1004,PP_Grid[Intermediate],0),99999)</f>
        <v/>
      </c>
    </row>
    <row r="1005">
      <c r="B1005" t="inlineStr">
        <is>
          <t>使用量(kg)</t>
        </is>
      </c>
      <c r="C1005">
        <f>SUMIFS(M_BOM[RM_Qty_Per_Batch],M_BOM[Intermediate],$B1004,M_BOM[Part Name],$A1003)</f>
        <v/>
      </c>
      <c r="D1005">
        <f>$C1005*D1004</f>
        <v/>
      </c>
      <c r="E1005">
        <f>$C1005*E1004</f>
        <v/>
      </c>
      <c r="F1005">
        <f>$C1005*F1004</f>
        <v/>
      </c>
      <c r="G1005">
        <f>$C1005*G1004</f>
        <v/>
      </c>
      <c r="H1005">
        <f>$C1005*H1004</f>
        <v/>
      </c>
      <c r="I1005">
        <f>$C1005*I1004</f>
        <v/>
      </c>
      <c r="J1005">
        <f>$C1005*J1004</f>
        <v/>
      </c>
      <c r="K1005">
        <f>$C1005*K1004</f>
        <v/>
      </c>
      <c r="L1005">
        <f>$C1005*L1004</f>
        <v/>
      </c>
      <c r="M1005">
        <f>$C1005*M1004</f>
        <v/>
      </c>
      <c r="N1005">
        <f>$C1005*N1004</f>
        <v/>
      </c>
      <c r="O1005">
        <f>$C1005*O1004</f>
        <v/>
      </c>
      <c r="P1005">
        <f>$C1005*P1004</f>
        <v/>
      </c>
      <c r="Q1005">
        <f>$C1005*Q1004</f>
        <v/>
      </c>
      <c r="R1005">
        <f>$C1005*R1004</f>
        <v/>
      </c>
      <c r="S1005">
        <f>$C1005*S1004</f>
        <v/>
      </c>
      <c r="T1005">
        <f>$C1005*T1004</f>
        <v/>
      </c>
      <c r="U1005">
        <f>$C1005*U1004</f>
        <v/>
      </c>
      <c r="V1005">
        <f>$C1005*V1004</f>
        <v/>
      </c>
      <c r="W1005">
        <f>$C1005*W1004</f>
        <v/>
      </c>
      <c r="X1005">
        <f>$C1005*X1004</f>
        <v/>
      </c>
      <c r="Y1005">
        <f>$C1005*Y1004</f>
        <v/>
      </c>
      <c r="Z1005">
        <f>$C1005*Z1004</f>
        <v/>
      </c>
      <c r="AA1005">
        <f>$C1005*AA1004</f>
        <v/>
      </c>
      <c r="AB1005">
        <f>$C1005*AB1004</f>
        <v/>
      </c>
      <c r="AC1005">
        <f>$C1005*AC1004</f>
        <v/>
      </c>
      <c r="AD1005">
        <f>$C1005*AD1004</f>
        <v/>
      </c>
      <c r="AE1005">
        <f>$C1005*AE1004</f>
        <v/>
      </c>
      <c r="AF1005">
        <f>$C1005*AF1004</f>
        <v/>
      </c>
      <c r="AG1005">
        <f>$C1005*AG1004</f>
        <v/>
      </c>
      <c r="AH1005">
        <f>$C1005*AH1004</f>
        <v/>
      </c>
      <c r="AI1005">
        <f>$C1005*AI1004</f>
        <v/>
      </c>
      <c r="AJ1005">
        <f>$C1005*AJ1004</f>
        <v/>
      </c>
      <c r="AK1005">
        <f>$C1005*AK1004</f>
        <v/>
      </c>
      <c r="AL1005">
        <f>$C1005*AL1004</f>
        <v/>
      </c>
      <c r="AM1005">
        <f>$C1005*AM1004</f>
        <v/>
      </c>
      <c r="AN1005">
        <f>$C1005*AN1004</f>
        <v/>
      </c>
      <c r="AO1005">
        <f>$C1005*AO1004</f>
        <v/>
      </c>
      <c r="AP1005">
        <f>$C1005*AP1004</f>
        <v/>
      </c>
      <c r="AQ1005">
        <f>$C1005*AQ1004</f>
        <v/>
      </c>
      <c r="AR1005">
        <f>$C1005*AR1004</f>
        <v/>
      </c>
      <c r="AS1005">
        <f>$C1005*AS1004</f>
        <v/>
      </c>
      <c r="AT1005">
        <f>$C1005*AT1004</f>
        <v/>
      </c>
      <c r="AU1005">
        <f>$C1005*AU1004</f>
        <v/>
      </c>
      <c r="AV1005">
        <f>$C1005*AV1004</f>
        <v/>
      </c>
      <c r="AW1005">
        <f>$C1005*AW1004</f>
        <v/>
      </c>
      <c r="AX1005">
        <f>$C1005*AX1004</f>
        <v/>
      </c>
      <c r="AY1005">
        <f>$C1005*AY1004</f>
        <v/>
      </c>
      <c r="AZ1005">
        <f>$C1005*AZ1004</f>
        <v/>
      </c>
      <c r="BA1005">
        <f>$C1005*BA1004</f>
        <v/>
      </c>
      <c r="BB1005">
        <f>$C1005*BB1004</f>
        <v/>
      </c>
      <c r="BC1005">
        <f>$C1005*BC1004</f>
        <v/>
      </c>
      <c r="BD1005">
        <f>$C1005*BD1004</f>
        <v/>
      </c>
      <c r="BE1005">
        <f>$C1005*BE1004</f>
        <v/>
      </c>
      <c r="BF1005">
        <f>$C1005*BF1004</f>
        <v/>
      </c>
      <c r="BG1005">
        <f>$C1005*BG1004</f>
        <v/>
      </c>
      <c r="BH1005">
        <f>$C1005*BH1004</f>
        <v/>
      </c>
      <c r="BI1005">
        <f>$C1005*BI1004</f>
        <v/>
      </c>
      <c r="BJ1005">
        <f>$C1005*BJ1004</f>
        <v/>
      </c>
      <c r="BK1005">
        <f>$C1005*BK1004</f>
        <v/>
      </c>
      <c r="BL1005">
        <f>$C1005*BL1004</f>
        <v/>
      </c>
      <c r="BM1005">
        <f>$C1005*BM1004</f>
        <v/>
      </c>
      <c r="BN1005">
        <f>$C1005*BN1004</f>
        <v/>
      </c>
      <c r="BO1005">
        <f>$C1005*BO1004</f>
        <v/>
      </c>
      <c r="BP1005">
        <f>$C1005*BP1004</f>
        <v/>
      </c>
      <c r="BQ1005">
        <f>$C1005*BQ1004</f>
        <v/>
      </c>
      <c r="BR1005">
        <f>$C1005*BR1004</f>
        <v/>
      </c>
      <c r="BS1005">
        <f>$C1005*BS1004</f>
        <v/>
      </c>
      <c r="BT1005">
        <f>$C1005*BT1004</f>
        <v/>
      </c>
      <c r="BU1005">
        <f>$C1005*BU1004</f>
        <v/>
      </c>
      <c r="BV1005">
        <f>$C1005*BV1004</f>
        <v/>
      </c>
      <c r="BW1005">
        <f>$C1005*BW1004</f>
        <v/>
      </c>
      <c r="BX1005">
        <f>$C1005*BX1004</f>
        <v/>
      </c>
      <c r="BY1005">
        <f>$C1005*BY1004</f>
        <v/>
      </c>
      <c r="BZ1005">
        <f>$C1005*BZ1004</f>
        <v/>
      </c>
      <c r="CA1005">
        <f>$C1005*CA1004</f>
        <v/>
      </c>
      <c r="CB1005">
        <f>$C1005*CB1004</f>
        <v/>
      </c>
      <c r="CC1005">
        <f>$C1005*CC1004</f>
        <v/>
      </c>
      <c r="CD1005">
        <f>$C1005*CD1004</f>
        <v/>
      </c>
      <c r="CE1005">
        <f>$C1005*CE1004</f>
        <v/>
      </c>
      <c r="CF1005">
        <f>$C1005*CF1004</f>
        <v/>
      </c>
      <c r="CG1005">
        <f>$C1005*CG1004</f>
        <v/>
      </c>
      <c r="CH1005">
        <f>$C1005*CH1004</f>
        <v/>
      </c>
      <c r="CI1005">
        <f>$C1005*CI1004</f>
        <v/>
      </c>
      <c r="CJ1005">
        <f>$C1005*CJ1004</f>
        <v/>
      </c>
      <c r="CK1005">
        <f>$C1005*CK1004</f>
        <v/>
      </c>
      <c r="CL1005">
        <f>$C1005*CL1004</f>
        <v/>
      </c>
      <c r="CM1005">
        <f>$C1005*CM1004</f>
        <v/>
      </c>
      <c r="CN1005">
        <f>$C1005*CN1004</f>
        <v/>
      </c>
      <c r="CO1005">
        <f>$C1005*CO1004</f>
        <v/>
      </c>
      <c r="CP1005">
        <f>$C1005*CP1004</f>
        <v/>
      </c>
      <c r="CQ1005">
        <f>$C1005*CQ1004</f>
        <v/>
      </c>
      <c r="CR1005">
        <f>$C1005*CR1004</f>
        <v/>
      </c>
      <c r="CS1005">
        <f>$C1005*CS1004</f>
        <v/>
      </c>
      <c r="CT1005">
        <f>$C1005*CT1004</f>
        <v/>
      </c>
      <c r="CU1005">
        <f>$C1005*CU1004</f>
        <v/>
      </c>
      <c r="CV1005">
        <f>$C1005*CV1004</f>
        <v/>
      </c>
      <c r="CW1005">
        <f>$C1005*CW1004</f>
        <v/>
      </c>
      <c r="CX1005">
        <f>$C1005*CX1004</f>
        <v/>
      </c>
      <c r="CY1005">
        <f>$C1005*CY1004</f>
        <v/>
      </c>
      <c r="CZ1005">
        <f>$C1005*CZ1004</f>
        <v/>
      </c>
      <c r="DA1005">
        <f>$C1005*DA1004</f>
        <v/>
      </c>
      <c r="DB1005">
        <f>$C1005*DB1004</f>
        <v/>
      </c>
      <c r="DC1005">
        <f>$C1005*DC1004</f>
        <v/>
      </c>
    </row>
    <row r="1006">
      <c r="B1006" t="inlineStr">
        <is>
          <t>TPP-912</t>
        </is>
      </c>
      <c r="C1006" t="inlineStr">
        <is>
          <t>No. of batches</t>
        </is>
      </c>
      <c r="D1006">
        <f>IFERROR(INDEX(PP_Grid[#Data],$DD1006,2),0)</f>
        <v/>
      </c>
      <c r="E1006">
        <f>IFERROR(INDEX(PP_Grid[#Data],$DD1006,3),0)</f>
        <v/>
      </c>
      <c r="F1006">
        <f>IFERROR(INDEX(PP_Grid[#Data],$DD1006,4),0)</f>
        <v/>
      </c>
      <c r="G1006">
        <f>IFERROR(INDEX(PP_Grid[#Data],$DD1006,5),0)</f>
        <v/>
      </c>
      <c r="H1006">
        <f>IFERROR(INDEX(PP_Grid[#Data],$DD1006,6),0)</f>
        <v/>
      </c>
      <c r="I1006">
        <f>IFERROR(INDEX(PP_Grid[#Data],$DD1006,7),0)</f>
        <v/>
      </c>
      <c r="J1006">
        <f>IFERROR(INDEX(PP_Grid[#Data],$DD1006,8),0)</f>
        <v/>
      </c>
      <c r="K1006">
        <f>IFERROR(INDEX(PP_Grid[#Data],$DD1006,9),0)</f>
        <v/>
      </c>
      <c r="L1006">
        <f>IFERROR(INDEX(PP_Grid[#Data],$DD1006,10),0)</f>
        <v/>
      </c>
      <c r="M1006">
        <f>IFERROR(INDEX(PP_Grid[#Data],$DD1006,11),0)</f>
        <v/>
      </c>
      <c r="N1006">
        <f>IFERROR(INDEX(PP_Grid[#Data],$DD1006,12),0)</f>
        <v/>
      </c>
      <c r="O1006">
        <f>IFERROR(INDEX(PP_Grid[#Data],$DD1006,13),0)</f>
        <v/>
      </c>
      <c r="P1006">
        <f>IFERROR(INDEX(PP_Grid[#Data],$DD1006,14),0)</f>
        <v/>
      </c>
      <c r="Q1006">
        <f>IFERROR(INDEX(PP_Grid[#Data],$DD1006,15),0)</f>
        <v/>
      </c>
      <c r="R1006">
        <f>IFERROR(INDEX(PP_Grid[#Data],$DD1006,16),0)</f>
        <v/>
      </c>
      <c r="S1006">
        <f>IFERROR(INDEX(PP_Grid[#Data],$DD1006,17),0)</f>
        <v/>
      </c>
      <c r="T1006">
        <f>IFERROR(INDEX(PP_Grid[#Data],$DD1006,18),0)</f>
        <v/>
      </c>
      <c r="U1006">
        <f>IFERROR(INDEX(PP_Grid[#Data],$DD1006,19),0)</f>
        <v/>
      </c>
      <c r="V1006">
        <f>IFERROR(INDEX(PP_Grid[#Data],$DD1006,20),0)</f>
        <v/>
      </c>
      <c r="W1006">
        <f>IFERROR(INDEX(PP_Grid[#Data],$DD1006,21),0)</f>
        <v/>
      </c>
      <c r="X1006">
        <f>IFERROR(INDEX(PP_Grid[#Data],$DD1006,22),0)</f>
        <v/>
      </c>
      <c r="Y1006">
        <f>IFERROR(INDEX(PP_Grid[#Data],$DD1006,23),0)</f>
        <v/>
      </c>
      <c r="Z1006">
        <f>IFERROR(INDEX(PP_Grid[#Data],$DD1006,24),0)</f>
        <v/>
      </c>
      <c r="AA1006">
        <f>IFERROR(INDEX(PP_Grid[#Data],$DD1006,25),0)</f>
        <v/>
      </c>
      <c r="AB1006">
        <f>IFERROR(INDEX(PP_Grid[#Data],$DD1006,26),0)</f>
        <v/>
      </c>
      <c r="AC1006">
        <f>IFERROR(INDEX(PP_Grid[#Data],$DD1006,27),0)</f>
        <v/>
      </c>
      <c r="AD1006">
        <f>IFERROR(INDEX(PP_Grid[#Data],$DD1006,28),0)</f>
        <v/>
      </c>
      <c r="AE1006">
        <f>IFERROR(INDEX(PP_Grid[#Data],$DD1006,29),0)</f>
        <v/>
      </c>
      <c r="AF1006">
        <f>IFERROR(INDEX(PP_Grid[#Data],$DD1006,30),0)</f>
        <v/>
      </c>
      <c r="AG1006">
        <f>IFERROR(INDEX(PP_Grid[#Data],$DD1006,31),0)</f>
        <v/>
      </c>
      <c r="AH1006">
        <f>IFERROR(INDEX(PP_Grid[#Data],$DD1006,32),0)</f>
        <v/>
      </c>
      <c r="AI1006">
        <f>IFERROR(INDEX(PP_Grid[#Data],$DD1006,33),0)</f>
        <v/>
      </c>
      <c r="AJ1006">
        <f>IFERROR(INDEX(PP_Grid[#Data],$DD1006,34),0)</f>
        <v/>
      </c>
      <c r="AK1006">
        <f>IFERROR(INDEX(PP_Grid[#Data],$DD1006,35),0)</f>
        <v/>
      </c>
      <c r="AL1006">
        <f>IFERROR(INDEX(PP_Grid[#Data],$DD1006,36),0)</f>
        <v/>
      </c>
      <c r="AM1006">
        <f>IFERROR(INDEX(PP_Grid[#Data],$DD1006,37),0)</f>
        <v/>
      </c>
      <c r="AN1006">
        <f>IFERROR(INDEX(PP_Grid[#Data],$DD1006,38),0)</f>
        <v/>
      </c>
      <c r="AO1006">
        <f>IFERROR(INDEX(PP_Grid[#Data],$DD1006,39),0)</f>
        <v/>
      </c>
      <c r="AP1006">
        <f>IFERROR(INDEX(PP_Grid[#Data],$DD1006,40),0)</f>
        <v/>
      </c>
      <c r="AQ1006">
        <f>IFERROR(INDEX(PP_Grid[#Data],$DD1006,41),0)</f>
        <v/>
      </c>
      <c r="AR1006">
        <f>IFERROR(INDEX(PP_Grid[#Data],$DD1006,42),0)</f>
        <v/>
      </c>
      <c r="AS1006">
        <f>IFERROR(INDEX(PP_Grid[#Data],$DD1006,43),0)</f>
        <v/>
      </c>
      <c r="AT1006">
        <f>IFERROR(INDEX(PP_Grid[#Data],$DD1006,44),0)</f>
        <v/>
      </c>
      <c r="AU1006">
        <f>IFERROR(INDEX(PP_Grid[#Data],$DD1006,45),0)</f>
        <v/>
      </c>
      <c r="AV1006">
        <f>IFERROR(INDEX(PP_Grid[#Data],$DD1006,46),0)</f>
        <v/>
      </c>
      <c r="AW1006">
        <f>IFERROR(INDEX(PP_Grid[#Data],$DD1006,47),0)</f>
        <v/>
      </c>
      <c r="AX1006">
        <f>IFERROR(INDEX(PP_Grid[#Data],$DD1006,48),0)</f>
        <v/>
      </c>
      <c r="AY1006">
        <f>IFERROR(INDEX(PP_Grid[#Data],$DD1006,49),0)</f>
        <v/>
      </c>
      <c r="AZ1006">
        <f>IFERROR(INDEX(PP_Grid[#Data],$DD1006,50),0)</f>
        <v/>
      </c>
      <c r="BA1006">
        <f>IFERROR(INDEX(PP_Grid[#Data],$DD1006,51),0)</f>
        <v/>
      </c>
      <c r="BB1006">
        <f>IFERROR(INDEX(PP_Grid[#Data],$DD1006,52),0)</f>
        <v/>
      </c>
      <c r="BC1006">
        <f>IFERROR(INDEX(PP_Grid[#Data],$DD1006,53),0)</f>
        <v/>
      </c>
      <c r="BD1006">
        <f>IFERROR(INDEX(PP_Grid[#Data],$DD1006,54),0)</f>
        <v/>
      </c>
      <c r="BE1006">
        <f>IFERROR(INDEX(PP_Grid[#Data],$DD1006,55),0)</f>
        <v/>
      </c>
      <c r="BF1006">
        <f>IFERROR(INDEX(PP_Grid[#Data],$DD1006,56),0)</f>
        <v/>
      </c>
      <c r="BG1006">
        <f>IFERROR(INDEX(PP_Grid[#Data],$DD1006,57),0)</f>
        <v/>
      </c>
      <c r="BH1006">
        <f>IFERROR(INDEX(PP_Grid[#Data],$DD1006,58),0)</f>
        <v/>
      </c>
      <c r="BI1006">
        <f>IFERROR(INDEX(PP_Grid[#Data],$DD1006,59),0)</f>
        <v/>
      </c>
      <c r="BJ1006">
        <f>IFERROR(INDEX(PP_Grid[#Data],$DD1006,60),0)</f>
        <v/>
      </c>
      <c r="BK1006">
        <f>IFERROR(INDEX(PP_Grid[#Data],$DD1006,61),0)</f>
        <v/>
      </c>
      <c r="BL1006">
        <f>IFERROR(INDEX(PP_Grid[#Data],$DD1006,62),0)</f>
        <v/>
      </c>
      <c r="BM1006">
        <f>IFERROR(INDEX(PP_Grid[#Data],$DD1006,63),0)</f>
        <v/>
      </c>
      <c r="BN1006">
        <f>IFERROR(INDEX(PP_Grid[#Data],$DD1006,64),0)</f>
        <v/>
      </c>
      <c r="BO1006">
        <f>IFERROR(INDEX(PP_Grid[#Data],$DD1006,65),0)</f>
        <v/>
      </c>
      <c r="BP1006">
        <f>IFERROR(INDEX(PP_Grid[#Data],$DD1006,66),0)</f>
        <v/>
      </c>
      <c r="BQ1006">
        <f>IFERROR(INDEX(PP_Grid[#Data],$DD1006,67),0)</f>
        <v/>
      </c>
      <c r="BR1006">
        <f>IFERROR(INDEX(PP_Grid[#Data],$DD1006,68),0)</f>
        <v/>
      </c>
      <c r="BS1006">
        <f>IFERROR(INDEX(PP_Grid[#Data],$DD1006,69),0)</f>
        <v/>
      </c>
      <c r="BT1006">
        <f>IFERROR(INDEX(PP_Grid[#Data],$DD1006,70),0)</f>
        <v/>
      </c>
      <c r="BU1006">
        <f>IFERROR(INDEX(PP_Grid[#Data],$DD1006,71),0)</f>
        <v/>
      </c>
      <c r="BV1006">
        <f>IFERROR(INDEX(PP_Grid[#Data],$DD1006,72),0)</f>
        <v/>
      </c>
      <c r="BW1006">
        <f>IFERROR(INDEX(PP_Grid[#Data],$DD1006,73),0)</f>
        <v/>
      </c>
      <c r="BX1006">
        <f>IFERROR(INDEX(PP_Grid[#Data],$DD1006,74),0)</f>
        <v/>
      </c>
      <c r="BY1006">
        <f>IFERROR(INDEX(PP_Grid[#Data],$DD1006,75),0)</f>
        <v/>
      </c>
      <c r="BZ1006">
        <f>IFERROR(INDEX(PP_Grid[#Data],$DD1006,76),0)</f>
        <v/>
      </c>
      <c r="CA1006">
        <f>IFERROR(INDEX(PP_Grid[#Data],$DD1006,77),0)</f>
        <v/>
      </c>
      <c r="CB1006">
        <f>IFERROR(INDEX(PP_Grid[#Data],$DD1006,78),0)</f>
        <v/>
      </c>
      <c r="CC1006">
        <f>IFERROR(INDEX(PP_Grid[#Data],$DD1006,79),0)</f>
        <v/>
      </c>
      <c r="CD1006">
        <f>IFERROR(INDEX(PP_Grid[#Data],$DD1006,80),0)</f>
        <v/>
      </c>
      <c r="CE1006">
        <f>IFERROR(INDEX(PP_Grid[#Data],$DD1006,81),0)</f>
        <v/>
      </c>
      <c r="CF1006">
        <f>IFERROR(INDEX(PP_Grid[#Data],$DD1006,82),0)</f>
        <v/>
      </c>
      <c r="CG1006">
        <f>IFERROR(INDEX(PP_Grid[#Data],$DD1006,83),0)</f>
        <v/>
      </c>
      <c r="CH1006">
        <f>IFERROR(INDEX(PP_Grid[#Data],$DD1006,84),0)</f>
        <v/>
      </c>
      <c r="CI1006">
        <f>IFERROR(INDEX(PP_Grid[#Data],$DD1006,85),0)</f>
        <v/>
      </c>
      <c r="CJ1006">
        <f>IFERROR(INDEX(PP_Grid[#Data],$DD1006,86),0)</f>
        <v/>
      </c>
      <c r="CK1006">
        <f>IFERROR(INDEX(PP_Grid[#Data],$DD1006,87),0)</f>
        <v/>
      </c>
      <c r="CL1006">
        <f>IFERROR(INDEX(PP_Grid[#Data],$DD1006,88),0)</f>
        <v/>
      </c>
      <c r="CM1006">
        <f>IFERROR(INDEX(PP_Grid[#Data],$DD1006,89),0)</f>
        <v/>
      </c>
      <c r="CN1006">
        <f>IFERROR(INDEX(PP_Grid[#Data],$DD1006,90),0)</f>
        <v/>
      </c>
      <c r="CO1006">
        <f>IFERROR(INDEX(PP_Grid[#Data],$DD1006,91),0)</f>
        <v/>
      </c>
      <c r="CP1006">
        <f>IFERROR(INDEX(PP_Grid[#Data],$DD1006,92),0)</f>
        <v/>
      </c>
      <c r="CQ1006">
        <f>IFERROR(INDEX(PP_Grid[#Data],$DD1006,93),0)</f>
        <v/>
      </c>
      <c r="CR1006">
        <f>IFERROR(INDEX(PP_Grid[#Data],$DD1006,94),0)</f>
        <v/>
      </c>
      <c r="CS1006">
        <f>IFERROR(INDEX(PP_Grid[#Data],$DD1006,95),0)</f>
        <v/>
      </c>
      <c r="CT1006">
        <f>IFERROR(INDEX(PP_Grid[#Data],$DD1006,96),0)</f>
        <v/>
      </c>
      <c r="CU1006">
        <f>IFERROR(INDEX(PP_Grid[#Data],$DD1006,97),0)</f>
        <v/>
      </c>
      <c r="CV1006">
        <f>IFERROR(INDEX(PP_Grid[#Data],$DD1006,98),0)</f>
        <v/>
      </c>
      <c r="CW1006">
        <f>IFERROR(INDEX(PP_Grid[#Data],$DD1006,99),0)</f>
        <v/>
      </c>
      <c r="CX1006">
        <f>IFERROR(INDEX(PP_Grid[#Data],$DD1006,100),0)</f>
        <v/>
      </c>
      <c r="CY1006">
        <f>IFERROR(INDEX(PP_Grid[#Data],$DD1006,101),0)</f>
        <v/>
      </c>
      <c r="CZ1006">
        <f>IFERROR(INDEX(PP_Grid[#Data],$DD1006,102),0)</f>
        <v/>
      </c>
      <c r="DA1006">
        <f>IFERROR(INDEX(PP_Grid[#Data],$DD1006,103),0)</f>
        <v/>
      </c>
      <c r="DB1006">
        <f>IFERROR(INDEX(PP_Grid[#Data],$DD1006,104),0)</f>
        <v/>
      </c>
      <c r="DC1006">
        <f>IFERROR(INDEX(PP_Grid[#Data],$DD1006,105),0)</f>
        <v/>
      </c>
      <c r="DD1006" s="7">
        <f>IFERROR(MATCH($B1006,PP_Grid[Intermediate],0),99999)</f>
        <v/>
      </c>
    </row>
    <row r="1007">
      <c r="B1007" t="inlineStr">
        <is>
          <t>使用量(kg)</t>
        </is>
      </c>
      <c r="C1007">
        <f>SUMIFS(M_BOM[RM_Qty_Per_Batch],M_BOM[Intermediate],$B1006,M_BOM[Part Name],$A1003)</f>
        <v/>
      </c>
      <c r="D1007">
        <f>$C1007*D1006</f>
        <v/>
      </c>
      <c r="E1007">
        <f>$C1007*E1006</f>
        <v/>
      </c>
      <c r="F1007">
        <f>$C1007*F1006</f>
        <v/>
      </c>
      <c r="G1007">
        <f>$C1007*G1006</f>
        <v/>
      </c>
      <c r="H1007">
        <f>$C1007*H1006</f>
        <v/>
      </c>
      <c r="I1007">
        <f>$C1007*I1006</f>
        <v/>
      </c>
      <c r="J1007">
        <f>$C1007*J1006</f>
        <v/>
      </c>
      <c r="K1007">
        <f>$C1007*K1006</f>
        <v/>
      </c>
      <c r="L1007">
        <f>$C1007*L1006</f>
        <v/>
      </c>
      <c r="M1007">
        <f>$C1007*M1006</f>
        <v/>
      </c>
      <c r="N1007">
        <f>$C1007*N1006</f>
        <v/>
      </c>
      <c r="O1007">
        <f>$C1007*O1006</f>
        <v/>
      </c>
      <c r="P1007">
        <f>$C1007*P1006</f>
        <v/>
      </c>
      <c r="Q1007">
        <f>$C1007*Q1006</f>
        <v/>
      </c>
      <c r="R1007">
        <f>$C1007*R1006</f>
        <v/>
      </c>
      <c r="S1007">
        <f>$C1007*S1006</f>
        <v/>
      </c>
      <c r="T1007">
        <f>$C1007*T1006</f>
        <v/>
      </c>
      <c r="U1007">
        <f>$C1007*U1006</f>
        <v/>
      </c>
      <c r="V1007">
        <f>$C1007*V1006</f>
        <v/>
      </c>
      <c r="W1007">
        <f>$C1007*W1006</f>
        <v/>
      </c>
      <c r="X1007">
        <f>$C1007*X1006</f>
        <v/>
      </c>
      <c r="Y1007">
        <f>$C1007*Y1006</f>
        <v/>
      </c>
      <c r="Z1007">
        <f>$C1007*Z1006</f>
        <v/>
      </c>
      <c r="AA1007">
        <f>$C1007*AA1006</f>
        <v/>
      </c>
      <c r="AB1007">
        <f>$C1007*AB1006</f>
        <v/>
      </c>
      <c r="AC1007">
        <f>$C1007*AC1006</f>
        <v/>
      </c>
      <c r="AD1007">
        <f>$C1007*AD1006</f>
        <v/>
      </c>
      <c r="AE1007">
        <f>$C1007*AE1006</f>
        <v/>
      </c>
      <c r="AF1007">
        <f>$C1007*AF1006</f>
        <v/>
      </c>
      <c r="AG1007">
        <f>$C1007*AG1006</f>
        <v/>
      </c>
      <c r="AH1007">
        <f>$C1007*AH1006</f>
        <v/>
      </c>
      <c r="AI1007">
        <f>$C1007*AI1006</f>
        <v/>
      </c>
      <c r="AJ1007">
        <f>$C1007*AJ1006</f>
        <v/>
      </c>
      <c r="AK1007">
        <f>$C1007*AK1006</f>
        <v/>
      </c>
      <c r="AL1007">
        <f>$C1007*AL1006</f>
        <v/>
      </c>
      <c r="AM1007">
        <f>$C1007*AM1006</f>
        <v/>
      </c>
      <c r="AN1007">
        <f>$C1007*AN1006</f>
        <v/>
      </c>
      <c r="AO1007">
        <f>$C1007*AO1006</f>
        <v/>
      </c>
      <c r="AP1007">
        <f>$C1007*AP1006</f>
        <v/>
      </c>
      <c r="AQ1007">
        <f>$C1007*AQ1006</f>
        <v/>
      </c>
      <c r="AR1007">
        <f>$C1007*AR1006</f>
        <v/>
      </c>
      <c r="AS1007">
        <f>$C1007*AS1006</f>
        <v/>
      </c>
      <c r="AT1007">
        <f>$C1007*AT1006</f>
        <v/>
      </c>
      <c r="AU1007">
        <f>$C1007*AU1006</f>
        <v/>
      </c>
      <c r="AV1007">
        <f>$C1007*AV1006</f>
        <v/>
      </c>
      <c r="AW1007">
        <f>$C1007*AW1006</f>
        <v/>
      </c>
      <c r="AX1007">
        <f>$C1007*AX1006</f>
        <v/>
      </c>
      <c r="AY1007">
        <f>$C1007*AY1006</f>
        <v/>
      </c>
      <c r="AZ1007">
        <f>$C1007*AZ1006</f>
        <v/>
      </c>
      <c r="BA1007">
        <f>$C1007*BA1006</f>
        <v/>
      </c>
      <c r="BB1007">
        <f>$C1007*BB1006</f>
        <v/>
      </c>
      <c r="BC1007">
        <f>$C1007*BC1006</f>
        <v/>
      </c>
      <c r="BD1007">
        <f>$C1007*BD1006</f>
        <v/>
      </c>
      <c r="BE1007">
        <f>$C1007*BE1006</f>
        <v/>
      </c>
      <c r="BF1007">
        <f>$C1007*BF1006</f>
        <v/>
      </c>
      <c r="BG1007">
        <f>$C1007*BG1006</f>
        <v/>
      </c>
      <c r="BH1007">
        <f>$C1007*BH1006</f>
        <v/>
      </c>
      <c r="BI1007">
        <f>$C1007*BI1006</f>
        <v/>
      </c>
      <c r="BJ1007">
        <f>$C1007*BJ1006</f>
        <v/>
      </c>
      <c r="BK1007">
        <f>$C1007*BK1006</f>
        <v/>
      </c>
      <c r="BL1007">
        <f>$C1007*BL1006</f>
        <v/>
      </c>
      <c r="BM1007">
        <f>$C1007*BM1006</f>
        <v/>
      </c>
      <c r="BN1007">
        <f>$C1007*BN1006</f>
        <v/>
      </c>
      <c r="BO1007">
        <f>$C1007*BO1006</f>
        <v/>
      </c>
      <c r="BP1007">
        <f>$C1007*BP1006</f>
        <v/>
      </c>
      <c r="BQ1007">
        <f>$C1007*BQ1006</f>
        <v/>
      </c>
      <c r="BR1007">
        <f>$C1007*BR1006</f>
        <v/>
      </c>
      <c r="BS1007">
        <f>$C1007*BS1006</f>
        <v/>
      </c>
      <c r="BT1007">
        <f>$C1007*BT1006</f>
        <v/>
      </c>
      <c r="BU1007">
        <f>$C1007*BU1006</f>
        <v/>
      </c>
      <c r="BV1007">
        <f>$C1007*BV1006</f>
        <v/>
      </c>
      <c r="BW1007">
        <f>$C1007*BW1006</f>
        <v/>
      </c>
      <c r="BX1007">
        <f>$C1007*BX1006</f>
        <v/>
      </c>
      <c r="BY1007">
        <f>$C1007*BY1006</f>
        <v/>
      </c>
      <c r="BZ1007">
        <f>$C1007*BZ1006</f>
        <v/>
      </c>
      <c r="CA1007">
        <f>$C1007*CA1006</f>
        <v/>
      </c>
      <c r="CB1007">
        <f>$C1007*CB1006</f>
        <v/>
      </c>
      <c r="CC1007">
        <f>$C1007*CC1006</f>
        <v/>
      </c>
      <c r="CD1007">
        <f>$C1007*CD1006</f>
        <v/>
      </c>
      <c r="CE1007">
        <f>$C1007*CE1006</f>
        <v/>
      </c>
      <c r="CF1007">
        <f>$C1007*CF1006</f>
        <v/>
      </c>
      <c r="CG1007">
        <f>$C1007*CG1006</f>
        <v/>
      </c>
      <c r="CH1007">
        <f>$C1007*CH1006</f>
        <v/>
      </c>
      <c r="CI1007">
        <f>$C1007*CI1006</f>
        <v/>
      </c>
      <c r="CJ1007">
        <f>$C1007*CJ1006</f>
        <v/>
      </c>
      <c r="CK1007">
        <f>$C1007*CK1006</f>
        <v/>
      </c>
      <c r="CL1007">
        <f>$C1007*CL1006</f>
        <v/>
      </c>
      <c r="CM1007">
        <f>$C1007*CM1006</f>
        <v/>
      </c>
      <c r="CN1007">
        <f>$C1007*CN1006</f>
        <v/>
      </c>
      <c r="CO1007">
        <f>$C1007*CO1006</f>
        <v/>
      </c>
      <c r="CP1007">
        <f>$C1007*CP1006</f>
        <v/>
      </c>
      <c r="CQ1007">
        <f>$C1007*CQ1006</f>
        <v/>
      </c>
      <c r="CR1007">
        <f>$C1007*CR1006</f>
        <v/>
      </c>
      <c r="CS1007">
        <f>$C1007*CS1006</f>
        <v/>
      </c>
      <c r="CT1007">
        <f>$C1007*CT1006</f>
        <v/>
      </c>
      <c r="CU1007">
        <f>$C1007*CU1006</f>
        <v/>
      </c>
      <c r="CV1007">
        <f>$C1007*CV1006</f>
        <v/>
      </c>
      <c r="CW1007">
        <f>$C1007*CW1006</f>
        <v/>
      </c>
      <c r="CX1007">
        <f>$C1007*CX1006</f>
        <v/>
      </c>
      <c r="CY1007">
        <f>$C1007*CY1006</f>
        <v/>
      </c>
      <c r="CZ1007">
        <f>$C1007*CZ1006</f>
        <v/>
      </c>
      <c r="DA1007">
        <f>$C1007*DA1006</f>
        <v/>
      </c>
      <c r="DB1007">
        <f>$C1007*DB1006</f>
        <v/>
      </c>
      <c r="DC1007">
        <f>$C1007*DC1006</f>
        <v/>
      </c>
    </row>
    <row r="1008">
      <c r="B1008" t="inlineStr">
        <is>
          <t>No of times used</t>
        </is>
      </c>
      <c r="C1008" t="inlineStr">
        <is>
          <t>No. of batches</t>
        </is>
      </c>
      <c r="D1008">
        <f>IFERROR(INDEX(PP_Grid[#Data],$DD1008,2),0)</f>
        <v/>
      </c>
      <c r="E1008">
        <f>IFERROR(INDEX(PP_Grid[#Data],$DD1008,3),0)</f>
        <v/>
      </c>
      <c r="F1008">
        <f>IFERROR(INDEX(PP_Grid[#Data],$DD1008,4),0)</f>
        <v/>
      </c>
      <c r="G1008">
        <f>IFERROR(INDEX(PP_Grid[#Data],$DD1008,5),0)</f>
        <v/>
      </c>
      <c r="H1008">
        <f>IFERROR(INDEX(PP_Grid[#Data],$DD1008,6),0)</f>
        <v/>
      </c>
      <c r="I1008">
        <f>IFERROR(INDEX(PP_Grid[#Data],$DD1008,7),0)</f>
        <v/>
      </c>
      <c r="J1008">
        <f>IFERROR(INDEX(PP_Grid[#Data],$DD1008,8),0)</f>
        <v/>
      </c>
      <c r="K1008">
        <f>IFERROR(INDEX(PP_Grid[#Data],$DD1008,9),0)</f>
        <v/>
      </c>
      <c r="L1008">
        <f>IFERROR(INDEX(PP_Grid[#Data],$DD1008,10),0)</f>
        <v/>
      </c>
      <c r="M1008">
        <f>IFERROR(INDEX(PP_Grid[#Data],$DD1008,11),0)</f>
        <v/>
      </c>
      <c r="N1008">
        <f>IFERROR(INDEX(PP_Grid[#Data],$DD1008,12),0)</f>
        <v/>
      </c>
      <c r="O1008">
        <f>IFERROR(INDEX(PP_Grid[#Data],$DD1008,13),0)</f>
        <v/>
      </c>
      <c r="P1008">
        <f>IFERROR(INDEX(PP_Grid[#Data],$DD1008,14),0)</f>
        <v/>
      </c>
      <c r="Q1008">
        <f>IFERROR(INDEX(PP_Grid[#Data],$DD1008,15),0)</f>
        <v/>
      </c>
      <c r="R1008">
        <f>IFERROR(INDEX(PP_Grid[#Data],$DD1008,16),0)</f>
        <v/>
      </c>
      <c r="S1008">
        <f>IFERROR(INDEX(PP_Grid[#Data],$DD1008,17),0)</f>
        <v/>
      </c>
      <c r="T1008">
        <f>IFERROR(INDEX(PP_Grid[#Data],$DD1008,18),0)</f>
        <v/>
      </c>
      <c r="U1008">
        <f>IFERROR(INDEX(PP_Grid[#Data],$DD1008,19),0)</f>
        <v/>
      </c>
      <c r="V1008">
        <f>IFERROR(INDEX(PP_Grid[#Data],$DD1008,20),0)</f>
        <v/>
      </c>
      <c r="W1008">
        <f>IFERROR(INDEX(PP_Grid[#Data],$DD1008,21),0)</f>
        <v/>
      </c>
      <c r="X1008">
        <f>IFERROR(INDEX(PP_Grid[#Data],$DD1008,22),0)</f>
        <v/>
      </c>
      <c r="Y1008">
        <f>IFERROR(INDEX(PP_Grid[#Data],$DD1008,23),0)</f>
        <v/>
      </c>
      <c r="Z1008">
        <f>IFERROR(INDEX(PP_Grid[#Data],$DD1008,24),0)</f>
        <v/>
      </c>
      <c r="AA1008">
        <f>IFERROR(INDEX(PP_Grid[#Data],$DD1008,25),0)</f>
        <v/>
      </c>
      <c r="AB1008">
        <f>IFERROR(INDEX(PP_Grid[#Data],$DD1008,26),0)</f>
        <v/>
      </c>
      <c r="AC1008">
        <f>IFERROR(INDEX(PP_Grid[#Data],$DD1008,27),0)</f>
        <v/>
      </c>
      <c r="AD1008">
        <f>IFERROR(INDEX(PP_Grid[#Data],$DD1008,28),0)</f>
        <v/>
      </c>
      <c r="AE1008">
        <f>IFERROR(INDEX(PP_Grid[#Data],$DD1008,29),0)</f>
        <v/>
      </c>
      <c r="AF1008">
        <f>IFERROR(INDEX(PP_Grid[#Data],$DD1008,30),0)</f>
        <v/>
      </c>
      <c r="AG1008">
        <f>IFERROR(INDEX(PP_Grid[#Data],$DD1008,31),0)</f>
        <v/>
      </c>
      <c r="AH1008">
        <f>IFERROR(INDEX(PP_Grid[#Data],$DD1008,32),0)</f>
        <v/>
      </c>
      <c r="AI1008">
        <f>IFERROR(INDEX(PP_Grid[#Data],$DD1008,33),0)</f>
        <v/>
      </c>
      <c r="AJ1008">
        <f>IFERROR(INDEX(PP_Grid[#Data],$DD1008,34),0)</f>
        <v/>
      </c>
      <c r="AK1008">
        <f>IFERROR(INDEX(PP_Grid[#Data],$DD1008,35),0)</f>
        <v/>
      </c>
      <c r="AL1008">
        <f>IFERROR(INDEX(PP_Grid[#Data],$DD1008,36),0)</f>
        <v/>
      </c>
      <c r="AM1008">
        <f>IFERROR(INDEX(PP_Grid[#Data],$DD1008,37),0)</f>
        <v/>
      </c>
      <c r="AN1008">
        <f>IFERROR(INDEX(PP_Grid[#Data],$DD1008,38),0)</f>
        <v/>
      </c>
      <c r="AO1008">
        <f>IFERROR(INDEX(PP_Grid[#Data],$DD1008,39),0)</f>
        <v/>
      </c>
      <c r="AP1008">
        <f>IFERROR(INDEX(PP_Grid[#Data],$DD1008,40),0)</f>
        <v/>
      </c>
      <c r="AQ1008">
        <f>IFERROR(INDEX(PP_Grid[#Data],$DD1008,41),0)</f>
        <v/>
      </c>
      <c r="AR1008">
        <f>IFERROR(INDEX(PP_Grid[#Data],$DD1008,42),0)</f>
        <v/>
      </c>
      <c r="AS1008">
        <f>IFERROR(INDEX(PP_Grid[#Data],$DD1008,43),0)</f>
        <v/>
      </c>
      <c r="AT1008">
        <f>IFERROR(INDEX(PP_Grid[#Data],$DD1008,44),0)</f>
        <v/>
      </c>
      <c r="AU1008">
        <f>IFERROR(INDEX(PP_Grid[#Data],$DD1008,45),0)</f>
        <v/>
      </c>
      <c r="AV1008">
        <f>IFERROR(INDEX(PP_Grid[#Data],$DD1008,46),0)</f>
        <v/>
      </c>
      <c r="AW1008">
        <f>IFERROR(INDEX(PP_Grid[#Data],$DD1008,47),0)</f>
        <v/>
      </c>
      <c r="AX1008">
        <f>IFERROR(INDEX(PP_Grid[#Data],$DD1008,48),0)</f>
        <v/>
      </c>
      <c r="AY1008">
        <f>IFERROR(INDEX(PP_Grid[#Data],$DD1008,49),0)</f>
        <v/>
      </c>
      <c r="AZ1008">
        <f>IFERROR(INDEX(PP_Grid[#Data],$DD1008,50),0)</f>
        <v/>
      </c>
      <c r="BA1008">
        <f>IFERROR(INDEX(PP_Grid[#Data],$DD1008,51),0)</f>
        <v/>
      </c>
      <c r="BB1008">
        <f>IFERROR(INDEX(PP_Grid[#Data],$DD1008,52),0)</f>
        <v/>
      </c>
      <c r="BC1008">
        <f>IFERROR(INDEX(PP_Grid[#Data],$DD1008,53),0)</f>
        <v/>
      </c>
      <c r="BD1008">
        <f>IFERROR(INDEX(PP_Grid[#Data],$DD1008,54),0)</f>
        <v/>
      </c>
      <c r="BE1008">
        <f>IFERROR(INDEX(PP_Grid[#Data],$DD1008,55),0)</f>
        <v/>
      </c>
      <c r="BF1008">
        <f>IFERROR(INDEX(PP_Grid[#Data],$DD1008,56),0)</f>
        <v/>
      </c>
      <c r="BG1008">
        <f>IFERROR(INDEX(PP_Grid[#Data],$DD1008,57),0)</f>
        <v/>
      </c>
      <c r="BH1008">
        <f>IFERROR(INDEX(PP_Grid[#Data],$DD1008,58),0)</f>
        <v/>
      </c>
      <c r="BI1008">
        <f>IFERROR(INDEX(PP_Grid[#Data],$DD1008,59),0)</f>
        <v/>
      </c>
      <c r="BJ1008">
        <f>IFERROR(INDEX(PP_Grid[#Data],$DD1008,60),0)</f>
        <v/>
      </c>
      <c r="BK1008">
        <f>IFERROR(INDEX(PP_Grid[#Data],$DD1008,61),0)</f>
        <v/>
      </c>
      <c r="BL1008">
        <f>IFERROR(INDEX(PP_Grid[#Data],$DD1008,62),0)</f>
        <v/>
      </c>
      <c r="BM1008">
        <f>IFERROR(INDEX(PP_Grid[#Data],$DD1008,63),0)</f>
        <v/>
      </c>
      <c r="BN1008">
        <f>IFERROR(INDEX(PP_Grid[#Data],$DD1008,64),0)</f>
        <v/>
      </c>
      <c r="BO1008">
        <f>IFERROR(INDEX(PP_Grid[#Data],$DD1008,65),0)</f>
        <v/>
      </c>
      <c r="BP1008">
        <f>IFERROR(INDEX(PP_Grid[#Data],$DD1008,66),0)</f>
        <v/>
      </c>
      <c r="BQ1008">
        <f>IFERROR(INDEX(PP_Grid[#Data],$DD1008,67),0)</f>
        <v/>
      </c>
      <c r="BR1008">
        <f>IFERROR(INDEX(PP_Grid[#Data],$DD1008,68),0)</f>
        <v/>
      </c>
      <c r="BS1008">
        <f>IFERROR(INDEX(PP_Grid[#Data],$DD1008,69),0)</f>
        <v/>
      </c>
      <c r="BT1008">
        <f>IFERROR(INDEX(PP_Grid[#Data],$DD1008,70),0)</f>
        <v/>
      </c>
      <c r="BU1008">
        <f>IFERROR(INDEX(PP_Grid[#Data],$DD1008,71),0)</f>
        <v/>
      </c>
      <c r="BV1008">
        <f>IFERROR(INDEX(PP_Grid[#Data],$DD1008,72),0)</f>
        <v/>
      </c>
      <c r="BW1008">
        <f>IFERROR(INDEX(PP_Grid[#Data],$DD1008,73),0)</f>
        <v/>
      </c>
      <c r="BX1008">
        <f>IFERROR(INDEX(PP_Grid[#Data],$DD1008,74),0)</f>
        <v/>
      </c>
      <c r="BY1008">
        <f>IFERROR(INDEX(PP_Grid[#Data],$DD1008,75),0)</f>
        <v/>
      </c>
      <c r="BZ1008">
        <f>IFERROR(INDEX(PP_Grid[#Data],$DD1008,76),0)</f>
        <v/>
      </c>
      <c r="CA1008">
        <f>IFERROR(INDEX(PP_Grid[#Data],$DD1008,77),0)</f>
        <v/>
      </c>
      <c r="CB1008">
        <f>IFERROR(INDEX(PP_Grid[#Data],$DD1008,78),0)</f>
        <v/>
      </c>
      <c r="CC1008">
        <f>IFERROR(INDEX(PP_Grid[#Data],$DD1008,79),0)</f>
        <v/>
      </c>
      <c r="CD1008">
        <f>IFERROR(INDEX(PP_Grid[#Data],$DD1008,80),0)</f>
        <v/>
      </c>
      <c r="CE1008">
        <f>IFERROR(INDEX(PP_Grid[#Data],$DD1008,81),0)</f>
        <v/>
      </c>
      <c r="CF1008">
        <f>IFERROR(INDEX(PP_Grid[#Data],$DD1008,82),0)</f>
        <v/>
      </c>
      <c r="CG1008">
        <f>IFERROR(INDEX(PP_Grid[#Data],$DD1008,83),0)</f>
        <v/>
      </c>
      <c r="CH1008">
        <f>IFERROR(INDEX(PP_Grid[#Data],$DD1008,84),0)</f>
        <v/>
      </c>
      <c r="CI1008">
        <f>IFERROR(INDEX(PP_Grid[#Data],$DD1008,85),0)</f>
        <v/>
      </c>
      <c r="CJ1008">
        <f>IFERROR(INDEX(PP_Grid[#Data],$DD1008,86),0)</f>
        <v/>
      </c>
      <c r="CK1008">
        <f>IFERROR(INDEX(PP_Grid[#Data],$DD1008,87),0)</f>
        <v/>
      </c>
      <c r="CL1008">
        <f>IFERROR(INDEX(PP_Grid[#Data],$DD1008,88),0)</f>
        <v/>
      </c>
      <c r="CM1008">
        <f>IFERROR(INDEX(PP_Grid[#Data],$DD1008,89),0)</f>
        <v/>
      </c>
      <c r="CN1008">
        <f>IFERROR(INDEX(PP_Grid[#Data],$DD1008,90),0)</f>
        <v/>
      </c>
      <c r="CO1008">
        <f>IFERROR(INDEX(PP_Grid[#Data],$DD1008,91),0)</f>
        <v/>
      </c>
      <c r="CP1008">
        <f>IFERROR(INDEX(PP_Grid[#Data],$DD1008,92),0)</f>
        <v/>
      </c>
      <c r="CQ1008">
        <f>IFERROR(INDEX(PP_Grid[#Data],$DD1008,93),0)</f>
        <v/>
      </c>
      <c r="CR1008">
        <f>IFERROR(INDEX(PP_Grid[#Data],$DD1008,94),0)</f>
        <v/>
      </c>
      <c r="CS1008">
        <f>IFERROR(INDEX(PP_Grid[#Data],$DD1008,95),0)</f>
        <v/>
      </c>
      <c r="CT1008">
        <f>IFERROR(INDEX(PP_Grid[#Data],$DD1008,96),0)</f>
        <v/>
      </c>
      <c r="CU1008">
        <f>IFERROR(INDEX(PP_Grid[#Data],$DD1008,97),0)</f>
        <v/>
      </c>
      <c r="CV1008">
        <f>IFERROR(INDEX(PP_Grid[#Data],$DD1008,98),0)</f>
        <v/>
      </c>
      <c r="CW1008">
        <f>IFERROR(INDEX(PP_Grid[#Data],$DD1008,99),0)</f>
        <v/>
      </c>
      <c r="CX1008">
        <f>IFERROR(INDEX(PP_Grid[#Data],$DD1008,100),0)</f>
        <v/>
      </c>
      <c r="CY1008">
        <f>IFERROR(INDEX(PP_Grid[#Data],$DD1008,101),0)</f>
        <v/>
      </c>
      <c r="CZ1008">
        <f>IFERROR(INDEX(PP_Grid[#Data],$DD1008,102),0)</f>
        <v/>
      </c>
      <c r="DA1008">
        <f>IFERROR(INDEX(PP_Grid[#Data],$DD1008,103),0)</f>
        <v/>
      </c>
      <c r="DB1008">
        <f>IFERROR(INDEX(PP_Grid[#Data],$DD1008,104),0)</f>
        <v/>
      </c>
      <c r="DC1008">
        <f>IFERROR(INDEX(PP_Grid[#Data],$DD1008,105),0)</f>
        <v/>
      </c>
      <c r="DD1008" s="7">
        <f>IFERROR(MATCH($B1008,PP_Grid[Intermediate],0),99999)</f>
        <v/>
      </c>
    </row>
    <row r="1009">
      <c r="B1009" t="inlineStr">
        <is>
          <t>使用量(kg)</t>
        </is>
      </c>
      <c r="C1009">
        <f>SUMIFS(M_BOM[RM_Qty_Per_Batch],M_BOM[Intermediate],$B1008,M_BOM[Part Name],$A1003)</f>
        <v/>
      </c>
      <c r="D1009">
        <f>$C1009*D1008</f>
        <v/>
      </c>
      <c r="E1009">
        <f>$C1009*E1008</f>
        <v/>
      </c>
      <c r="F1009">
        <f>$C1009*F1008</f>
        <v/>
      </c>
      <c r="G1009">
        <f>$C1009*G1008</f>
        <v/>
      </c>
      <c r="H1009">
        <f>$C1009*H1008</f>
        <v/>
      </c>
      <c r="I1009">
        <f>$C1009*I1008</f>
        <v/>
      </c>
      <c r="J1009">
        <f>$C1009*J1008</f>
        <v/>
      </c>
      <c r="K1009">
        <f>$C1009*K1008</f>
        <v/>
      </c>
      <c r="L1009">
        <f>$C1009*L1008</f>
        <v/>
      </c>
      <c r="M1009">
        <f>$C1009*M1008</f>
        <v/>
      </c>
      <c r="N1009">
        <f>$C1009*N1008</f>
        <v/>
      </c>
      <c r="O1009">
        <f>$C1009*O1008</f>
        <v/>
      </c>
      <c r="P1009">
        <f>$C1009*P1008</f>
        <v/>
      </c>
      <c r="Q1009">
        <f>$C1009*Q1008</f>
        <v/>
      </c>
      <c r="R1009">
        <f>$C1009*R1008</f>
        <v/>
      </c>
      <c r="S1009">
        <f>$C1009*S1008</f>
        <v/>
      </c>
      <c r="T1009">
        <f>$C1009*T1008</f>
        <v/>
      </c>
      <c r="U1009">
        <f>$C1009*U1008</f>
        <v/>
      </c>
      <c r="V1009">
        <f>$C1009*V1008</f>
        <v/>
      </c>
      <c r="W1009">
        <f>$C1009*W1008</f>
        <v/>
      </c>
      <c r="X1009">
        <f>$C1009*X1008</f>
        <v/>
      </c>
      <c r="Y1009">
        <f>$C1009*Y1008</f>
        <v/>
      </c>
      <c r="Z1009">
        <f>$C1009*Z1008</f>
        <v/>
      </c>
      <c r="AA1009">
        <f>$C1009*AA1008</f>
        <v/>
      </c>
      <c r="AB1009">
        <f>$C1009*AB1008</f>
        <v/>
      </c>
      <c r="AC1009">
        <f>$C1009*AC1008</f>
        <v/>
      </c>
      <c r="AD1009">
        <f>$C1009*AD1008</f>
        <v/>
      </c>
      <c r="AE1009">
        <f>$C1009*AE1008</f>
        <v/>
      </c>
      <c r="AF1009">
        <f>$C1009*AF1008</f>
        <v/>
      </c>
      <c r="AG1009">
        <f>$C1009*AG1008</f>
        <v/>
      </c>
      <c r="AH1009">
        <f>$C1009*AH1008</f>
        <v/>
      </c>
      <c r="AI1009">
        <f>$C1009*AI1008</f>
        <v/>
      </c>
      <c r="AJ1009">
        <f>$C1009*AJ1008</f>
        <v/>
      </c>
      <c r="AK1009">
        <f>$C1009*AK1008</f>
        <v/>
      </c>
      <c r="AL1009">
        <f>$C1009*AL1008</f>
        <v/>
      </c>
      <c r="AM1009">
        <f>$C1009*AM1008</f>
        <v/>
      </c>
      <c r="AN1009">
        <f>$C1009*AN1008</f>
        <v/>
      </c>
      <c r="AO1009">
        <f>$C1009*AO1008</f>
        <v/>
      </c>
      <c r="AP1009">
        <f>$C1009*AP1008</f>
        <v/>
      </c>
      <c r="AQ1009">
        <f>$C1009*AQ1008</f>
        <v/>
      </c>
      <c r="AR1009">
        <f>$C1009*AR1008</f>
        <v/>
      </c>
      <c r="AS1009">
        <f>$C1009*AS1008</f>
        <v/>
      </c>
      <c r="AT1009">
        <f>$C1009*AT1008</f>
        <v/>
      </c>
      <c r="AU1009">
        <f>$C1009*AU1008</f>
        <v/>
      </c>
      <c r="AV1009">
        <f>$C1009*AV1008</f>
        <v/>
      </c>
      <c r="AW1009">
        <f>$C1009*AW1008</f>
        <v/>
      </c>
      <c r="AX1009">
        <f>$C1009*AX1008</f>
        <v/>
      </c>
      <c r="AY1009">
        <f>$C1009*AY1008</f>
        <v/>
      </c>
      <c r="AZ1009">
        <f>$C1009*AZ1008</f>
        <v/>
      </c>
      <c r="BA1009">
        <f>$C1009*BA1008</f>
        <v/>
      </c>
      <c r="BB1009">
        <f>$C1009*BB1008</f>
        <v/>
      </c>
      <c r="BC1009">
        <f>$C1009*BC1008</f>
        <v/>
      </c>
      <c r="BD1009">
        <f>$C1009*BD1008</f>
        <v/>
      </c>
      <c r="BE1009">
        <f>$C1009*BE1008</f>
        <v/>
      </c>
      <c r="BF1009">
        <f>$C1009*BF1008</f>
        <v/>
      </c>
      <c r="BG1009">
        <f>$C1009*BG1008</f>
        <v/>
      </c>
      <c r="BH1009">
        <f>$C1009*BH1008</f>
        <v/>
      </c>
      <c r="BI1009">
        <f>$C1009*BI1008</f>
        <v/>
      </c>
      <c r="BJ1009">
        <f>$C1009*BJ1008</f>
        <v/>
      </c>
      <c r="BK1009">
        <f>$C1009*BK1008</f>
        <v/>
      </c>
      <c r="BL1009">
        <f>$C1009*BL1008</f>
        <v/>
      </c>
      <c r="BM1009">
        <f>$C1009*BM1008</f>
        <v/>
      </c>
      <c r="BN1009">
        <f>$C1009*BN1008</f>
        <v/>
      </c>
      <c r="BO1009">
        <f>$C1009*BO1008</f>
        <v/>
      </c>
      <c r="BP1009">
        <f>$C1009*BP1008</f>
        <v/>
      </c>
      <c r="BQ1009">
        <f>$C1009*BQ1008</f>
        <v/>
      </c>
      <c r="BR1009">
        <f>$C1009*BR1008</f>
        <v/>
      </c>
      <c r="BS1009">
        <f>$C1009*BS1008</f>
        <v/>
      </c>
      <c r="BT1009">
        <f>$C1009*BT1008</f>
        <v/>
      </c>
      <c r="BU1009">
        <f>$C1009*BU1008</f>
        <v/>
      </c>
      <c r="BV1009">
        <f>$C1009*BV1008</f>
        <v/>
      </c>
      <c r="BW1009">
        <f>$C1009*BW1008</f>
        <v/>
      </c>
      <c r="BX1009">
        <f>$C1009*BX1008</f>
        <v/>
      </c>
      <c r="BY1009">
        <f>$C1009*BY1008</f>
        <v/>
      </c>
      <c r="BZ1009">
        <f>$C1009*BZ1008</f>
        <v/>
      </c>
      <c r="CA1009">
        <f>$C1009*CA1008</f>
        <v/>
      </c>
      <c r="CB1009">
        <f>$C1009*CB1008</f>
        <v/>
      </c>
      <c r="CC1009">
        <f>$C1009*CC1008</f>
        <v/>
      </c>
      <c r="CD1009">
        <f>$C1009*CD1008</f>
        <v/>
      </c>
      <c r="CE1009">
        <f>$C1009*CE1008</f>
        <v/>
      </c>
      <c r="CF1009">
        <f>$C1009*CF1008</f>
        <v/>
      </c>
      <c r="CG1009">
        <f>$C1009*CG1008</f>
        <v/>
      </c>
      <c r="CH1009">
        <f>$C1009*CH1008</f>
        <v/>
      </c>
      <c r="CI1009">
        <f>$C1009*CI1008</f>
        <v/>
      </c>
      <c r="CJ1009">
        <f>$C1009*CJ1008</f>
        <v/>
      </c>
      <c r="CK1009">
        <f>$C1009*CK1008</f>
        <v/>
      </c>
      <c r="CL1009">
        <f>$C1009*CL1008</f>
        <v/>
      </c>
      <c r="CM1009">
        <f>$C1009*CM1008</f>
        <v/>
      </c>
      <c r="CN1009">
        <f>$C1009*CN1008</f>
        <v/>
      </c>
      <c r="CO1009">
        <f>$C1009*CO1008</f>
        <v/>
      </c>
      <c r="CP1009">
        <f>$C1009*CP1008</f>
        <v/>
      </c>
      <c r="CQ1009">
        <f>$C1009*CQ1008</f>
        <v/>
      </c>
      <c r="CR1009">
        <f>$C1009*CR1008</f>
        <v/>
      </c>
      <c r="CS1009">
        <f>$C1009*CS1008</f>
        <v/>
      </c>
      <c r="CT1009">
        <f>$C1009*CT1008</f>
        <v/>
      </c>
      <c r="CU1009">
        <f>$C1009*CU1008</f>
        <v/>
      </c>
      <c r="CV1009">
        <f>$C1009*CV1008</f>
        <v/>
      </c>
      <c r="CW1009">
        <f>$C1009*CW1008</f>
        <v/>
      </c>
      <c r="CX1009">
        <f>$C1009*CX1008</f>
        <v/>
      </c>
      <c r="CY1009">
        <f>$C1009*CY1008</f>
        <v/>
      </c>
      <c r="CZ1009">
        <f>$C1009*CZ1008</f>
        <v/>
      </c>
      <c r="DA1009">
        <f>$C1009*DA1008</f>
        <v/>
      </c>
      <c r="DB1009">
        <f>$C1009*DB1008</f>
        <v/>
      </c>
      <c r="DC1009">
        <f>$C1009*DC1008</f>
        <v/>
      </c>
    </row>
    <row r="1010">
      <c r="B1010" s="4" t="inlineStr">
        <is>
          <t>合計使用量(kg)/週</t>
        </is>
      </c>
      <c r="D1010">
        <f>'Grid_Requirement'!B31</f>
        <v/>
      </c>
      <c r="E1010">
        <f>'Grid_Requirement'!C31</f>
        <v/>
      </c>
      <c r="F1010">
        <f>'Grid_Requirement'!D31</f>
        <v/>
      </c>
      <c r="G1010">
        <f>'Grid_Requirement'!E31</f>
        <v/>
      </c>
      <c r="H1010">
        <f>'Grid_Requirement'!F31</f>
        <v/>
      </c>
      <c r="I1010">
        <f>'Grid_Requirement'!G31</f>
        <v/>
      </c>
      <c r="J1010">
        <f>'Grid_Requirement'!H31</f>
        <v/>
      </c>
      <c r="K1010">
        <f>'Grid_Requirement'!I31</f>
        <v/>
      </c>
      <c r="L1010">
        <f>'Grid_Requirement'!J31</f>
        <v/>
      </c>
      <c r="M1010">
        <f>'Grid_Requirement'!K31</f>
        <v/>
      </c>
      <c r="N1010">
        <f>'Grid_Requirement'!L31</f>
        <v/>
      </c>
      <c r="O1010">
        <f>'Grid_Requirement'!M31</f>
        <v/>
      </c>
      <c r="P1010">
        <f>'Grid_Requirement'!N31</f>
        <v/>
      </c>
      <c r="Q1010">
        <f>'Grid_Requirement'!O31</f>
        <v/>
      </c>
      <c r="R1010">
        <f>'Grid_Requirement'!P31</f>
        <v/>
      </c>
      <c r="S1010">
        <f>'Grid_Requirement'!Q31</f>
        <v/>
      </c>
      <c r="T1010">
        <f>'Grid_Requirement'!R31</f>
        <v/>
      </c>
      <c r="U1010">
        <f>'Grid_Requirement'!S31</f>
        <v/>
      </c>
      <c r="V1010">
        <f>'Grid_Requirement'!T31</f>
        <v/>
      </c>
      <c r="W1010">
        <f>'Grid_Requirement'!U31</f>
        <v/>
      </c>
      <c r="X1010">
        <f>'Grid_Requirement'!V31</f>
        <v/>
      </c>
      <c r="Y1010">
        <f>'Grid_Requirement'!W31</f>
        <v/>
      </c>
      <c r="Z1010">
        <f>'Grid_Requirement'!X31</f>
        <v/>
      </c>
      <c r="AA1010">
        <f>'Grid_Requirement'!Y31</f>
        <v/>
      </c>
      <c r="AB1010">
        <f>'Grid_Requirement'!Z31</f>
        <v/>
      </c>
      <c r="AC1010">
        <f>'Grid_Requirement'!AA31</f>
        <v/>
      </c>
      <c r="AD1010">
        <f>'Grid_Requirement'!AB31</f>
        <v/>
      </c>
      <c r="AE1010">
        <f>'Grid_Requirement'!AC31</f>
        <v/>
      </c>
      <c r="AF1010">
        <f>'Grid_Requirement'!AD31</f>
        <v/>
      </c>
      <c r="AG1010">
        <f>'Grid_Requirement'!AE31</f>
        <v/>
      </c>
      <c r="AH1010">
        <f>'Grid_Requirement'!AF31</f>
        <v/>
      </c>
      <c r="AI1010">
        <f>'Grid_Requirement'!AG31</f>
        <v/>
      </c>
      <c r="AJ1010">
        <f>'Grid_Requirement'!AH31</f>
        <v/>
      </c>
      <c r="AK1010">
        <f>'Grid_Requirement'!AI31</f>
        <v/>
      </c>
      <c r="AL1010">
        <f>'Grid_Requirement'!AJ31</f>
        <v/>
      </c>
      <c r="AM1010">
        <f>'Grid_Requirement'!AK31</f>
        <v/>
      </c>
      <c r="AN1010">
        <f>'Grid_Requirement'!AL31</f>
        <v/>
      </c>
      <c r="AO1010">
        <f>'Grid_Requirement'!AM31</f>
        <v/>
      </c>
      <c r="AP1010">
        <f>'Grid_Requirement'!AN31</f>
        <v/>
      </c>
      <c r="AQ1010">
        <f>'Grid_Requirement'!AO31</f>
        <v/>
      </c>
      <c r="AR1010">
        <f>'Grid_Requirement'!AP31</f>
        <v/>
      </c>
      <c r="AS1010">
        <f>'Grid_Requirement'!AQ31</f>
        <v/>
      </c>
      <c r="AT1010">
        <f>'Grid_Requirement'!AR31</f>
        <v/>
      </c>
      <c r="AU1010">
        <f>'Grid_Requirement'!AS31</f>
        <v/>
      </c>
      <c r="AV1010">
        <f>'Grid_Requirement'!AT31</f>
        <v/>
      </c>
      <c r="AW1010">
        <f>'Grid_Requirement'!AU31</f>
        <v/>
      </c>
      <c r="AX1010">
        <f>'Grid_Requirement'!AV31</f>
        <v/>
      </c>
      <c r="AY1010">
        <f>'Grid_Requirement'!AW31</f>
        <v/>
      </c>
      <c r="AZ1010">
        <f>'Grid_Requirement'!AX31</f>
        <v/>
      </c>
      <c r="BA1010">
        <f>'Grid_Requirement'!AY31</f>
        <v/>
      </c>
      <c r="BB1010">
        <f>'Grid_Requirement'!AZ31</f>
        <v/>
      </c>
      <c r="BC1010">
        <f>'Grid_Requirement'!BA31</f>
        <v/>
      </c>
      <c r="BD1010">
        <f>'Grid_Requirement'!BB31</f>
        <v/>
      </c>
      <c r="BE1010">
        <f>'Grid_Requirement'!BC31</f>
        <v/>
      </c>
      <c r="BF1010">
        <f>'Grid_Requirement'!BD31</f>
        <v/>
      </c>
      <c r="BG1010">
        <f>'Grid_Requirement'!BE31</f>
        <v/>
      </c>
      <c r="BH1010">
        <f>'Grid_Requirement'!BF31</f>
        <v/>
      </c>
      <c r="BI1010">
        <f>'Grid_Requirement'!BG31</f>
        <v/>
      </c>
      <c r="BJ1010">
        <f>'Grid_Requirement'!BH31</f>
        <v/>
      </c>
      <c r="BK1010">
        <f>'Grid_Requirement'!BI31</f>
        <v/>
      </c>
      <c r="BL1010">
        <f>'Grid_Requirement'!BJ31</f>
        <v/>
      </c>
      <c r="BM1010">
        <f>'Grid_Requirement'!BK31</f>
        <v/>
      </c>
      <c r="BN1010">
        <f>'Grid_Requirement'!BL31</f>
        <v/>
      </c>
      <c r="BO1010">
        <f>'Grid_Requirement'!BM31</f>
        <v/>
      </c>
      <c r="BP1010">
        <f>'Grid_Requirement'!BN31</f>
        <v/>
      </c>
      <c r="BQ1010">
        <f>'Grid_Requirement'!BO31</f>
        <v/>
      </c>
      <c r="BR1010">
        <f>'Grid_Requirement'!BP31</f>
        <v/>
      </c>
      <c r="BS1010">
        <f>'Grid_Requirement'!BQ31</f>
        <v/>
      </c>
      <c r="BT1010">
        <f>'Grid_Requirement'!BR31</f>
        <v/>
      </c>
      <c r="BU1010">
        <f>'Grid_Requirement'!BS31</f>
        <v/>
      </c>
      <c r="BV1010">
        <f>'Grid_Requirement'!BT31</f>
        <v/>
      </c>
      <c r="BW1010">
        <f>'Grid_Requirement'!BU31</f>
        <v/>
      </c>
      <c r="BX1010">
        <f>'Grid_Requirement'!BV31</f>
        <v/>
      </c>
      <c r="BY1010">
        <f>'Grid_Requirement'!BW31</f>
        <v/>
      </c>
      <c r="BZ1010">
        <f>'Grid_Requirement'!BX31</f>
        <v/>
      </c>
      <c r="CA1010">
        <f>'Grid_Requirement'!BY31</f>
        <v/>
      </c>
      <c r="CB1010">
        <f>'Grid_Requirement'!BZ31</f>
        <v/>
      </c>
      <c r="CC1010">
        <f>'Grid_Requirement'!CA31</f>
        <v/>
      </c>
      <c r="CD1010">
        <f>'Grid_Requirement'!CB31</f>
        <v/>
      </c>
      <c r="CE1010">
        <f>'Grid_Requirement'!CC31</f>
        <v/>
      </c>
      <c r="CF1010">
        <f>'Grid_Requirement'!CD31</f>
        <v/>
      </c>
      <c r="CG1010">
        <f>'Grid_Requirement'!CE31</f>
        <v/>
      </c>
      <c r="CH1010">
        <f>'Grid_Requirement'!CF31</f>
        <v/>
      </c>
      <c r="CI1010">
        <f>'Grid_Requirement'!CG31</f>
        <v/>
      </c>
      <c r="CJ1010">
        <f>'Grid_Requirement'!CH31</f>
        <v/>
      </c>
      <c r="CK1010">
        <f>'Grid_Requirement'!CI31</f>
        <v/>
      </c>
      <c r="CL1010">
        <f>'Grid_Requirement'!CJ31</f>
        <v/>
      </c>
      <c r="CM1010">
        <f>'Grid_Requirement'!CK31</f>
        <v/>
      </c>
      <c r="CN1010">
        <f>'Grid_Requirement'!CL31</f>
        <v/>
      </c>
      <c r="CO1010">
        <f>'Grid_Requirement'!CM31</f>
        <v/>
      </c>
      <c r="CP1010">
        <f>'Grid_Requirement'!CN31</f>
        <v/>
      </c>
      <c r="CQ1010">
        <f>'Grid_Requirement'!CO31</f>
        <v/>
      </c>
      <c r="CR1010">
        <f>'Grid_Requirement'!CP31</f>
        <v/>
      </c>
      <c r="CS1010">
        <f>'Grid_Requirement'!CQ31</f>
        <v/>
      </c>
      <c r="CT1010">
        <f>'Grid_Requirement'!CR31</f>
        <v/>
      </c>
      <c r="CU1010">
        <f>'Grid_Requirement'!CS31</f>
        <v/>
      </c>
      <c r="CV1010">
        <f>'Grid_Requirement'!CT31</f>
        <v/>
      </c>
      <c r="CW1010">
        <f>'Grid_Requirement'!CU31</f>
        <v/>
      </c>
      <c r="CX1010">
        <f>'Grid_Requirement'!CV31</f>
        <v/>
      </c>
      <c r="CY1010">
        <f>'Grid_Requirement'!CW31</f>
        <v/>
      </c>
      <c r="CZ1010">
        <f>'Grid_Requirement'!CX31</f>
        <v/>
      </c>
      <c r="DA1010">
        <f>'Grid_Requirement'!CY31</f>
        <v/>
      </c>
      <c r="DB1010">
        <f>'Grid_Requirement'!CZ31</f>
        <v/>
      </c>
      <c r="DC1010">
        <f>'Grid_Requirement'!DA31</f>
        <v/>
      </c>
    </row>
    <row r="1011">
      <c r="B1011" t="inlineStr">
        <is>
          <t>TTAF在庫(実績,kg)</t>
        </is>
      </c>
      <c r="D1011">
        <f>'T_TTAFStock'!B35</f>
        <v/>
      </c>
      <c r="E1011">
        <f>'T_TTAFStock'!C35</f>
        <v/>
      </c>
      <c r="F1011">
        <f>'T_TTAFStock'!D35</f>
        <v/>
      </c>
      <c r="G1011">
        <f>'T_TTAFStock'!E35</f>
        <v/>
      </c>
      <c r="H1011">
        <f>'T_TTAFStock'!F35</f>
        <v/>
      </c>
      <c r="I1011">
        <f>'T_TTAFStock'!G35</f>
        <v/>
      </c>
      <c r="J1011">
        <f>'T_TTAFStock'!H35</f>
        <v/>
      </c>
      <c r="K1011">
        <f>'T_TTAFStock'!I35</f>
        <v/>
      </c>
      <c r="L1011">
        <f>'T_TTAFStock'!J35</f>
        <v/>
      </c>
      <c r="M1011">
        <f>'T_TTAFStock'!K35</f>
        <v/>
      </c>
      <c r="N1011">
        <f>'T_TTAFStock'!L35</f>
        <v/>
      </c>
      <c r="O1011">
        <f>'T_TTAFStock'!M35</f>
        <v/>
      </c>
      <c r="P1011">
        <f>'T_TTAFStock'!N35</f>
        <v/>
      </c>
      <c r="Q1011">
        <f>'T_TTAFStock'!O35</f>
        <v/>
      </c>
      <c r="R1011">
        <f>'T_TTAFStock'!P35</f>
        <v/>
      </c>
      <c r="S1011">
        <f>'T_TTAFStock'!Q35</f>
        <v/>
      </c>
      <c r="T1011">
        <f>'T_TTAFStock'!R35</f>
        <v/>
      </c>
      <c r="U1011">
        <f>'T_TTAFStock'!S35</f>
        <v/>
      </c>
      <c r="V1011">
        <f>'T_TTAFStock'!T35</f>
        <v/>
      </c>
      <c r="W1011">
        <f>'T_TTAFStock'!U35</f>
        <v/>
      </c>
      <c r="X1011">
        <f>'T_TTAFStock'!V35</f>
        <v/>
      </c>
      <c r="Y1011">
        <f>'T_TTAFStock'!W35</f>
        <v/>
      </c>
      <c r="Z1011">
        <f>'T_TTAFStock'!X35</f>
        <v/>
      </c>
      <c r="AA1011">
        <f>'T_TTAFStock'!Y35</f>
        <v/>
      </c>
      <c r="AB1011">
        <f>'T_TTAFStock'!Z35</f>
        <v/>
      </c>
      <c r="AC1011">
        <f>'T_TTAFStock'!AA35</f>
        <v/>
      </c>
      <c r="AD1011">
        <f>'T_TTAFStock'!AB35</f>
        <v/>
      </c>
      <c r="AE1011">
        <f>'T_TTAFStock'!AC35</f>
        <v/>
      </c>
      <c r="AF1011">
        <f>'T_TTAFStock'!AD35</f>
        <v/>
      </c>
      <c r="AG1011">
        <f>'T_TTAFStock'!AE35</f>
        <v/>
      </c>
      <c r="AH1011">
        <f>'T_TTAFStock'!AF35</f>
        <v/>
      </c>
      <c r="AI1011">
        <f>'T_TTAFStock'!AG35</f>
        <v/>
      </c>
      <c r="AJ1011">
        <f>'T_TTAFStock'!AH35</f>
        <v/>
      </c>
      <c r="AK1011">
        <f>'T_TTAFStock'!AI35</f>
        <v/>
      </c>
      <c r="AL1011">
        <f>'T_TTAFStock'!AJ35</f>
        <v/>
      </c>
      <c r="AM1011">
        <f>'T_TTAFStock'!AK35</f>
        <v/>
      </c>
      <c r="AN1011">
        <f>'T_TTAFStock'!AL35</f>
        <v/>
      </c>
      <c r="AO1011">
        <f>'T_TTAFStock'!AM35</f>
        <v/>
      </c>
      <c r="AP1011">
        <f>'T_TTAFStock'!AN35</f>
        <v/>
      </c>
      <c r="AQ1011">
        <f>'T_TTAFStock'!AO35</f>
        <v/>
      </c>
      <c r="AR1011">
        <f>'T_TTAFStock'!AP35</f>
        <v/>
      </c>
      <c r="AS1011">
        <f>'T_TTAFStock'!AQ35</f>
        <v/>
      </c>
      <c r="AT1011">
        <f>'T_TTAFStock'!AR35</f>
        <v/>
      </c>
      <c r="AU1011">
        <f>'T_TTAFStock'!AS35</f>
        <v/>
      </c>
      <c r="AV1011">
        <f>'T_TTAFStock'!AT35</f>
        <v/>
      </c>
      <c r="AW1011">
        <f>'T_TTAFStock'!AU35</f>
        <v/>
      </c>
      <c r="AX1011">
        <f>'T_TTAFStock'!AV35</f>
        <v/>
      </c>
      <c r="AY1011">
        <f>'T_TTAFStock'!AW35</f>
        <v/>
      </c>
      <c r="AZ1011">
        <f>'T_TTAFStock'!AX35</f>
        <v/>
      </c>
      <c r="BA1011">
        <f>'T_TTAFStock'!AY35</f>
        <v/>
      </c>
      <c r="BB1011">
        <f>'T_TTAFStock'!AZ35</f>
        <v/>
      </c>
      <c r="BC1011">
        <f>'T_TTAFStock'!BA35</f>
        <v/>
      </c>
      <c r="BD1011">
        <f>'T_TTAFStock'!BB35</f>
        <v/>
      </c>
      <c r="BE1011">
        <f>'T_TTAFStock'!BC35</f>
        <v/>
      </c>
      <c r="BF1011">
        <f>'T_TTAFStock'!BD35</f>
        <v/>
      </c>
      <c r="BG1011">
        <f>'T_TTAFStock'!BE35</f>
        <v/>
      </c>
      <c r="BH1011">
        <f>'T_TTAFStock'!BF35</f>
        <v/>
      </c>
      <c r="BI1011">
        <f>'T_TTAFStock'!BG35</f>
        <v/>
      </c>
      <c r="BJ1011">
        <f>'T_TTAFStock'!BH35</f>
        <v/>
      </c>
      <c r="BK1011">
        <f>'T_TTAFStock'!BI35</f>
        <v/>
      </c>
      <c r="BL1011">
        <f>'T_TTAFStock'!BJ35</f>
        <v/>
      </c>
      <c r="BM1011">
        <f>'T_TTAFStock'!BK35</f>
        <v/>
      </c>
      <c r="BN1011">
        <f>'T_TTAFStock'!BL35</f>
        <v/>
      </c>
      <c r="BO1011">
        <f>'T_TTAFStock'!BM35</f>
        <v/>
      </c>
      <c r="BP1011">
        <f>'T_TTAFStock'!BN35</f>
        <v/>
      </c>
      <c r="BQ1011">
        <f>'T_TTAFStock'!BO35</f>
        <v/>
      </c>
      <c r="BR1011">
        <f>'T_TTAFStock'!BP35</f>
        <v/>
      </c>
      <c r="BS1011">
        <f>'T_TTAFStock'!BQ35</f>
        <v/>
      </c>
      <c r="BT1011">
        <f>'T_TTAFStock'!BR35</f>
        <v/>
      </c>
      <c r="BU1011">
        <f>'T_TTAFStock'!BS35</f>
        <v/>
      </c>
      <c r="BV1011">
        <f>'T_TTAFStock'!BT35</f>
        <v/>
      </c>
      <c r="BW1011">
        <f>'T_TTAFStock'!BU35</f>
        <v/>
      </c>
      <c r="BX1011">
        <f>'T_TTAFStock'!BV35</f>
        <v/>
      </c>
      <c r="BY1011">
        <f>'T_TTAFStock'!BW35</f>
        <v/>
      </c>
      <c r="BZ1011">
        <f>'T_TTAFStock'!BX35</f>
        <v/>
      </c>
      <c r="CA1011">
        <f>'T_TTAFStock'!BY35</f>
        <v/>
      </c>
      <c r="CB1011">
        <f>'T_TTAFStock'!BZ35</f>
        <v/>
      </c>
      <c r="CC1011">
        <f>'T_TTAFStock'!CA35</f>
        <v/>
      </c>
      <c r="CD1011">
        <f>'T_TTAFStock'!CB35</f>
        <v/>
      </c>
      <c r="CE1011">
        <f>'T_TTAFStock'!CC35</f>
        <v/>
      </c>
      <c r="CF1011">
        <f>'T_TTAFStock'!CD35</f>
        <v/>
      </c>
      <c r="CG1011">
        <f>'T_TTAFStock'!CE35</f>
        <v/>
      </c>
      <c r="CH1011">
        <f>'T_TTAFStock'!CF35</f>
        <v/>
      </c>
      <c r="CI1011">
        <f>'T_TTAFStock'!CG35</f>
        <v/>
      </c>
      <c r="CJ1011">
        <f>'T_TTAFStock'!CH35</f>
        <v/>
      </c>
      <c r="CK1011">
        <f>'T_TTAFStock'!CI35</f>
        <v/>
      </c>
      <c r="CL1011">
        <f>'T_TTAFStock'!CJ35</f>
        <v/>
      </c>
      <c r="CM1011">
        <f>'T_TTAFStock'!CK35</f>
        <v/>
      </c>
      <c r="CN1011">
        <f>'T_TTAFStock'!CL35</f>
        <v/>
      </c>
      <c r="CO1011">
        <f>'T_TTAFStock'!CM35</f>
        <v/>
      </c>
      <c r="CP1011">
        <f>'T_TTAFStock'!CN35</f>
        <v/>
      </c>
      <c r="CQ1011">
        <f>'T_TTAFStock'!CO35</f>
        <v/>
      </c>
      <c r="CR1011">
        <f>'T_TTAFStock'!CP35</f>
        <v/>
      </c>
      <c r="CS1011">
        <f>'T_TTAFStock'!CQ35</f>
        <v/>
      </c>
      <c r="CT1011">
        <f>'T_TTAFStock'!CR35</f>
        <v/>
      </c>
      <c r="CU1011">
        <f>'T_TTAFStock'!CS35</f>
        <v/>
      </c>
      <c r="CV1011">
        <f>'T_TTAFStock'!CT35</f>
        <v/>
      </c>
      <c r="CW1011">
        <f>'T_TTAFStock'!CU35</f>
        <v/>
      </c>
      <c r="CX1011">
        <f>'T_TTAFStock'!CV35</f>
        <v/>
      </c>
      <c r="CY1011">
        <f>'T_TTAFStock'!CW35</f>
        <v/>
      </c>
      <c r="CZ1011">
        <f>'T_TTAFStock'!CX35</f>
        <v/>
      </c>
      <c r="DA1011">
        <f>'T_TTAFStock'!CY35</f>
        <v/>
      </c>
      <c r="DB1011">
        <f>'T_TTAFStock'!CZ35</f>
        <v/>
      </c>
      <c r="DC1011">
        <f>'T_TTAFStock'!DA35</f>
        <v/>
      </c>
    </row>
    <row r="1012">
      <c r="B1012" t="inlineStr">
        <is>
          <t>自社在庫(実績,kg)</t>
        </is>
      </c>
      <c r="D1012">
        <f>'T_SelfStock'!B35</f>
        <v/>
      </c>
      <c r="E1012">
        <f>'T_SelfStock'!C35</f>
        <v/>
      </c>
      <c r="F1012">
        <f>'T_SelfStock'!D35</f>
        <v/>
      </c>
      <c r="G1012">
        <f>'T_SelfStock'!E35</f>
        <v/>
      </c>
      <c r="H1012">
        <f>'T_SelfStock'!F35</f>
        <v/>
      </c>
      <c r="I1012">
        <f>'T_SelfStock'!G35</f>
        <v/>
      </c>
      <c r="J1012">
        <f>'T_SelfStock'!H35</f>
        <v/>
      </c>
      <c r="K1012">
        <f>'T_SelfStock'!I35</f>
        <v/>
      </c>
      <c r="L1012">
        <f>'T_SelfStock'!J35</f>
        <v/>
      </c>
      <c r="M1012">
        <f>'T_SelfStock'!K35</f>
        <v/>
      </c>
      <c r="N1012">
        <f>'T_SelfStock'!L35</f>
        <v/>
      </c>
      <c r="O1012">
        <f>'T_SelfStock'!M35</f>
        <v/>
      </c>
      <c r="P1012">
        <f>'T_SelfStock'!N35</f>
        <v/>
      </c>
      <c r="Q1012">
        <f>'T_SelfStock'!O35</f>
        <v/>
      </c>
      <c r="R1012">
        <f>'T_SelfStock'!P35</f>
        <v/>
      </c>
      <c r="S1012">
        <f>'T_SelfStock'!Q35</f>
        <v/>
      </c>
      <c r="T1012">
        <f>'T_SelfStock'!R35</f>
        <v/>
      </c>
      <c r="U1012">
        <f>'T_SelfStock'!S35</f>
        <v/>
      </c>
      <c r="V1012">
        <f>'T_SelfStock'!T35</f>
        <v/>
      </c>
      <c r="W1012">
        <f>'T_SelfStock'!U35</f>
        <v/>
      </c>
      <c r="X1012">
        <f>'T_SelfStock'!V35</f>
        <v/>
      </c>
      <c r="Y1012">
        <f>'T_SelfStock'!W35</f>
        <v/>
      </c>
      <c r="Z1012">
        <f>'T_SelfStock'!X35</f>
        <v/>
      </c>
      <c r="AA1012">
        <f>'T_SelfStock'!Y35</f>
        <v/>
      </c>
      <c r="AB1012">
        <f>'T_SelfStock'!Z35</f>
        <v/>
      </c>
      <c r="AC1012">
        <f>'T_SelfStock'!AA35</f>
        <v/>
      </c>
      <c r="AD1012">
        <f>'T_SelfStock'!AB35</f>
        <v/>
      </c>
      <c r="AE1012">
        <f>'T_SelfStock'!AC35</f>
        <v/>
      </c>
      <c r="AF1012">
        <f>'T_SelfStock'!AD35</f>
        <v/>
      </c>
      <c r="AG1012">
        <f>'T_SelfStock'!AE35</f>
        <v/>
      </c>
      <c r="AH1012">
        <f>'T_SelfStock'!AF35</f>
        <v/>
      </c>
      <c r="AI1012">
        <f>'T_SelfStock'!AG35</f>
        <v/>
      </c>
      <c r="AJ1012">
        <f>'T_SelfStock'!AH35</f>
        <v/>
      </c>
      <c r="AK1012">
        <f>'T_SelfStock'!AI35</f>
        <v/>
      </c>
      <c r="AL1012">
        <f>'T_SelfStock'!AJ35</f>
        <v/>
      </c>
      <c r="AM1012">
        <f>'T_SelfStock'!AK35</f>
        <v/>
      </c>
      <c r="AN1012">
        <f>'T_SelfStock'!AL35</f>
        <v/>
      </c>
      <c r="AO1012">
        <f>'T_SelfStock'!AM35</f>
        <v/>
      </c>
      <c r="AP1012">
        <f>'T_SelfStock'!AN35</f>
        <v/>
      </c>
      <c r="AQ1012">
        <f>'T_SelfStock'!AO35</f>
        <v/>
      </c>
      <c r="AR1012">
        <f>'T_SelfStock'!AP35</f>
        <v/>
      </c>
      <c r="AS1012">
        <f>'T_SelfStock'!AQ35</f>
        <v/>
      </c>
      <c r="AT1012">
        <f>'T_SelfStock'!AR35</f>
        <v/>
      </c>
      <c r="AU1012">
        <f>'T_SelfStock'!AS35</f>
        <v/>
      </c>
      <c r="AV1012">
        <f>'T_SelfStock'!AT35</f>
        <v/>
      </c>
      <c r="AW1012">
        <f>'T_SelfStock'!AU35</f>
        <v/>
      </c>
      <c r="AX1012">
        <f>'T_SelfStock'!AV35</f>
        <v/>
      </c>
      <c r="AY1012">
        <f>'T_SelfStock'!AW35</f>
        <v/>
      </c>
      <c r="AZ1012">
        <f>'T_SelfStock'!AX35</f>
        <v/>
      </c>
      <c r="BA1012">
        <f>'T_SelfStock'!AY35</f>
        <v/>
      </c>
      <c r="BB1012">
        <f>'T_SelfStock'!AZ35</f>
        <v/>
      </c>
      <c r="BC1012">
        <f>'T_SelfStock'!BA35</f>
        <v/>
      </c>
      <c r="BD1012">
        <f>'T_SelfStock'!BB35</f>
        <v/>
      </c>
      <c r="BE1012">
        <f>'T_SelfStock'!BC35</f>
        <v/>
      </c>
      <c r="BF1012">
        <f>'T_SelfStock'!BD35</f>
        <v/>
      </c>
      <c r="BG1012">
        <f>'T_SelfStock'!BE35</f>
        <v/>
      </c>
      <c r="BH1012">
        <f>'T_SelfStock'!BF35</f>
        <v/>
      </c>
      <c r="BI1012">
        <f>'T_SelfStock'!BG35</f>
        <v/>
      </c>
      <c r="BJ1012">
        <f>'T_SelfStock'!BH35</f>
        <v/>
      </c>
      <c r="BK1012">
        <f>'T_SelfStock'!BI35</f>
        <v/>
      </c>
      <c r="BL1012">
        <f>'T_SelfStock'!BJ35</f>
        <v/>
      </c>
      <c r="BM1012">
        <f>'T_SelfStock'!BK35</f>
        <v/>
      </c>
      <c r="BN1012">
        <f>'T_SelfStock'!BL35</f>
        <v/>
      </c>
      <c r="BO1012">
        <f>'T_SelfStock'!BM35</f>
        <v/>
      </c>
      <c r="BP1012">
        <f>'T_SelfStock'!BN35</f>
        <v/>
      </c>
      <c r="BQ1012">
        <f>'T_SelfStock'!BO35</f>
        <v/>
      </c>
      <c r="BR1012">
        <f>'T_SelfStock'!BP35</f>
        <v/>
      </c>
      <c r="BS1012">
        <f>'T_SelfStock'!BQ35</f>
        <v/>
      </c>
      <c r="BT1012">
        <f>'T_SelfStock'!BR35</f>
        <v/>
      </c>
      <c r="BU1012">
        <f>'T_SelfStock'!BS35</f>
        <v/>
      </c>
      <c r="BV1012">
        <f>'T_SelfStock'!BT35</f>
        <v/>
      </c>
      <c r="BW1012">
        <f>'T_SelfStock'!BU35</f>
        <v/>
      </c>
      <c r="BX1012">
        <f>'T_SelfStock'!BV35</f>
        <v/>
      </c>
      <c r="BY1012">
        <f>'T_SelfStock'!BW35</f>
        <v/>
      </c>
      <c r="BZ1012">
        <f>'T_SelfStock'!BX35</f>
        <v/>
      </c>
      <c r="CA1012">
        <f>'T_SelfStock'!BY35</f>
        <v/>
      </c>
      <c r="CB1012">
        <f>'T_SelfStock'!BZ35</f>
        <v/>
      </c>
      <c r="CC1012">
        <f>'T_SelfStock'!CA35</f>
        <v/>
      </c>
      <c r="CD1012">
        <f>'T_SelfStock'!CB35</f>
        <v/>
      </c>
      <c r="CE1012">
        <f>'T_SelfStock'!CC35</f>
        <v/>
      </c>
      <c r="CF1012">
        <f>'T_SelfStock'!CD35</f>
        <v/>
      </c>
      <c r="CG1012">
        <f>'T_SelfStock'!CE35</f>
        <v/>
      </c>
      <c r="CH1012">
        <f>'T_SelfStock'!CF35</f>
        <v/>
      </c>
      <c r="CI1012">
        <f>'T_SelfStock'!CG35</f>
        <v/>
      </c>
      <c r="CJ1012">
        <f>'T_SelfStock'!CH35</f>
        <v/>
      </c>
      <c r="CK1012">
        <f>'T_SelfStock'!CI35</f>
        <v/>
      </c>
      <c r="CL1012">
        <f>'T_SelfStock'!CJ35</f>
        <v/>
      </c>
      <c r="CM1012">
        <f>'T_SelfStock'!CK35</f>
        <v/>
      </c>
      <c r="CN1012">
        <f>'T_SelfStock'!CL35</f>
        <v/>
      </c>
      <c r="CO1012">
        <f>'T_SelfStock'!CM35</f>
        <v/>
      </c>
      <c r="CP1012">
        <f>'T_SelfStock'!CN35</f>
        <v/>
      </c>
      <c r="CQ1012">
        <f>'T_SelfStock'!CO35</f>
        <v/>
      </c>
      <c r="CR1012">
        <f>'T_SelfStock'!CP35</f>
        <v/>
      </c>
      <c r="CS1012">
        <f>'T_SelfStock'!CQ35</f>
        <v/>
      </c>
      <c r="CT1012">
        <f>'T_SelfStock'!CR35</f>
        <v/>
      </c>
      <c r="CU1012">
        <f>'T_SelfStock'!CS35</f>
        <v/>
      </c>
      <c r="CV1012">
        <f>'T_SelfStock'!CT35</f>
        <v/>
      </c>
      <c r="CW1012">
        <f>'T_SelfStock'!CU35</f>
        <v/>
      </c>
      <c r="CX1012">
        <f>'T_SelfStock'!CV35</f>
        <v/>
      </c>
      <c r="CY1012">
        <f>'T_SelfStock'!CW35</f>
        <v/>
      </c>
      <c r="CZ1012">
        <f>'T_SelfStock'!CX35</f>
        <v/>
      </c>
      <c r="DA1012">
        <f>'T_SelfStock'!CY35</f>
        <v/>
      </c>
      <c r="DB1012">
        <f>'T_SelfStock'!CZ35</f>
        <v/>
      </c>
      <c r="DC1012">
        <f>'T_SelfStock'!DA35</f>
        <v/>
      </c>
    </row>
    <row r="1013">
      <c r="B1013" t="inlineStr">
        <is>
          <t>Order(発注予定,kg)</t>
        </is>
      </c>
      <c r="D1013">
        <f>IF(SUMIFS(T_PlannedOrders[EffectiveQty],T_PlannedOrders[Part Name],$A1003,T_PlannedOrders[WeekIndex],1)=0,"",SUMIFS(T_PlannedOrders[EffectiveQty],T_PlannedOrders[Part Name],$A1003,T_PlannedOrders[WeekIndex],1)&amp;" ("&amp;TEXT(SUMPRODUCT(MAX((T_PlannedOrders[Part Name]=$A1003)*(T_PlannedOrders[WeekIndex]=1)*(T_PlannedOrders[EffectiveQty]&gt;0)*T_PlannedOrders[Order_Month])),"m月")&amp;"発注)")</f>
        <v/>
      </c>
      <c r="E1013">
        <f>IF(SUMIFS(T_PlannedOrders[EffectiveQty],T_PlannedOrders[Part Name],$A1003,T_PlannedOrders[WeekIndex],2)=0,"",SUMIFS(T_PlannedOrders[EffectiveQty],T_PlannedOrders[Part Name],$A1003,T_PlannedOrders[WeekIndex],2)&amp;" ("&amp;TEXT(SUMPRODUCT(MAX((T_PlannedOrders[Part Name]=$A1003)*(T_PlannedOrders[WeekIndex]=2)*(T_PlannedOrders[EffectiveQty]&gt;0)*T_PlannedOrders[Order_Month])),"m月")&amp;"発注)")</f>
        <v/>
      </c>
      <c r="F1013">
        <f>IF(SUMIFS(T_PlannedOrders[EffectiveQty],T_PlannedOrders[Part Name],$A1003,T_PlannedOrders[WeekIndex],3)=0,"",SUMIFS(T_PlannedOrders[EffectiveQty],T_PlannedOrders[Part Name],$A1003,T_PlannedOrders[WeekIndex],3)&amp;" ("&amp;TEXT(SUMPRODUCT(MAX((T_PlannedOrders[Part Name]=$A1003)*(T_PlannedOrders[WeekIndex]=3)*(T_PlannedOrders[EffectiveQty]&gt;0)*T_PlannedOrders[Order_Month])),"m月")&amp;"発注)")</f>
        <v/>
      </c>
      <c r="G1013">
        <f>IF(SUMIFS(T_PlannedOrders[EffectiveQty],T_PlannedOrders[Part Name],$A1003,T_PlannedOrders[WeekIndex],4)=0,"",SUMIFS(T_PlannedOrders[EffectiveQty],T_PlannedOrders[Part Name],$A1003,T_PlannedOrders[WeekIndex],4)&amp;" ("&amp;TEXT(SUMPRODUCT(MAX((T_PlannedOrders[Part Name]=$A1003)*(T_PlannedOrders[WeekIndex]=4)*(T_PlannedOrders[EffectiveQty]&gt;0)*T_PlannedOrders[Order_Month])),"m月")&amp;"発注)")</f>
        <v/>
      </c>
      <c r="H1013">
        <f>IF(SUMIFS(T_PlannedOrders[EffectiveQty],T_PlannedOrders[Part Name],$A1003,T_PlannedOrders[WeekIndex],5)=0,"",SUMIFS(T_PlannedOrders[EffectiveQty],T_PlannedOrders[Part Name],$A1003,T_PlannedOrders[WeekIndex],5)&amp;" ("&amp;TEXT(SUMPRODUCT(MAX((T_PlannedOrders[Part Name]=$A1003)*(T_PlannedOrders[WeekIndex]=5)*(T_PlannedOrders[EffectiveQty]&gt;0)*T_PlannedOrders[Order_Month])),"m月")&amp;"発注)")</f>
        <v/>
      </c>
      <c r="I1013">
        <f>IF(SUMIFS(T_PlannedOrders[EffectiveQty],T_PlannedOrders[Part Name],$A1003,T_PlannedOrders[WeekIndex],6)=0,"",SUMIFS(T_PlannedOrders[EffectiveQty],T_PlannedOrders[Part Name],$A1003,T_PlannedOrders[WeekIndex],6)&amp;" ("&amp;TEXT(SUMPRODUCT(MAX((T_PlannedOrders[Part Name]=$A1003)*(T_PlannedOrders[WeekIndex]=6)*(T_PlannedOrders[EffectiveQty]&gt;0)*T_PlannedOrders[Order_Month])),"m月")&amp;"発注)")</f>
        <v/>
      </c>
      <c r="J1013">
        <f>IF(SUMIFS(T_PlannedOrders[EffectiveQty],T_PlannedOrders[Part Name],$A1003,T_PlannedOrders[WeekIndex],7)=0,"",SUMIFS(T_PlannedOrders[EffectiveQty],T_PlannedOrders[Part Name],$A1003,T_PlannedOrders[WeekIndex],7)&amp;" ("&amp;TEXT(SUMPRODUCT(MAX((T_PlannedOrders[Part Name]=$A1003)*(T_PlannedOrders[WeekIndex]=7)*(T_PlannedOrders[EffectiveQty]&gt;0)*T_PlannedOrders[Order_Month])),"m月")&amp;"発注)")</f>
        <v/>
      </c>
      <c r="K1013">
        <f>IF(SUMIFS(T_PlannedOrders[EffectiveQty],T_PlannedOrders[Part Name],$A1003,T_PlannedOrders[WeekIndex],8)=0,"",SUMIFS(T_PlannedOrders[EffectiveQty],T_PlannedOrders[Part Name],$A1003,T_PlannedOrders[WeekIndex],8)&amp;" ("&amp;TEXT(SUMPRODUCT(MAX((T_PlannedOrders[Part Name]=$A1003)*(T_PlannedOrders[WeekIndex]=8)*(T_PlannedOrders[EffectiveQty]&gt;0)*T_PlannedOrders[Order_Month])),"m月")&amp;"発注)")</f>
        <v/>
      </c>
      <c r="L1013">
        <f>IF(SUMIFS(T_PlannedOrders[EffectiveQty],T_PlannedOrders[Part Name],$A1003,T_PlannedOrders[WeekIndex],9)=0,"",SUMIFS(T_PlannedOrders[EffectiveQty],T_PlannedOrders[Part Name],$A1003,T_PlannedOrders[WeekIndex],9)&amp;" ("&amp;TEXT(SUMPRODUCT(MAX((T_PlannedOrders[Part Name]=$A1003)*(T_PlannedOrders[WeekIndex]=9)*(T_PlannedOrders[EffectiveQty]&gt;0)*T_PlannedOrders[Order_Month])),"m月")&amp;"発注)")</f>
        <v/>
      </c>
      <c r="M1013">
        <f>IF(SUMIFS(T_PlannedOrders[EffectiveQty],T_PlannedOrders[Part Name],$A1003,T_PlannedOrders[WeekIndex],10)=0,"",SUMIFS(T_PlannedOrders[EffectiveQty],T_PlannedOrders[Part Name],$A1003,T_PlannedOrders[WeekIndex],10)&amp;" ("&amp;TEXT(SUMPRODUCT(MAX((T_PlannedOrders[Part Name]=$A1003)*(T_PlannedOrders[WeekIndex]=10)*(T_PlannedOrders[EffectiveQty]&gt;0)*T_PlannedOrders[Order_Month])),"m月")&amp;"発注)")</f>
        <v/>
      </c>
      <c r="N1013">
        <f>IF(SUMIFS(T_PlannedOrders[EffectiveQty],T_PlannedOrders[Part Name],$A1003,T_PlannedOrders[WeekIndex],11)=0,"",SUMIFS(T_PlannedOrders[EffectiveQty],T_PlannedOrders[Part Name],$A1003,T_PlannedOrders[WeekIndex],11)&amp;" ("&amp;TEXT(SUMPRODUCT(MAX((T_PlannedOrders[Part Name]=$A1003)*(T_PlannedOrders[WeekIndex]=11)*(T_PlannedOrders[EffectiveQty]&gt;0)*T_PlannedOrders[Order_Month])),"m月")&amp;"発注)")</f>
        <v/>
      </c>
      <c r="O1013">
        <f>IF(SUMIFS(T_PlannedOrders[EffectiveQty],T_PlannedOrders[Part Name],$A1003,T_PlannedOrders[WeekIndex],12)=0,"",SUMIFS(T_PlannedOrders[EffectiveQty],T_PlannedOrders[Part Name],$A1003,T_PlannedOrders[WeekIndex],12)&amp;" ("&amp;TEXT(SUMPRODUCT(MAX((T_PlannedOrders[Part Name]=$A1003)*(T_PlannedOrders[WeekIndex]=12)*(T_PlannedOrders[EffectiveQty]&gt;0)*T_PlannedOrders[Order_Month])),"m月")&amp;"発注)")</f>
        <v/>
      </c>
      <c r="P1013">
        <f>IF(SUMIFS(T_PlannedOrders[EffectiveQty],T_PlannedOrders[Part Name],$A1003,T_PlannedOrders[WeekIndex],13)=0,"",SUMIFS(T_PlannedOrders[EffectiveQty],T_PlannedOrders[Part Name],$A1003,T_PlannedOrders[WeekIndex],13)&amp;" ("&amp;TEXT(SUMPRODUCT(MAX((T_PlannedOrders[Part Name]=$A1003)*(T_PlannedOrders[WeekIndex]=13)*(T_PlannedOrders[EffectiveQty]&gt;0)*T_PlannedOrders[Order_Month])),"m月")&amp;"発注)")</f>
        <v/>
      </c>
      <c r="Q1013">
        <f>IF(SUMIFS(T_PlannedOrders[EffectiveQty],T_PlannedOrders[Part Name],$A1003,T_PlannedOrders[WeekIndex],14)=0,"",SUMIFS(T_PlannedOrders[EffectiveQty],T_PlannedOrders[Part Name],$A1003,T_PlannedOrders[WeekIndex],14)&amp;" ("&amp;TEXT(SUMPRODUCT(MAX((T_PlannedOrders[Part Name]=$A1003)*(T_PlannedOrders[WeekIndex]=14)*(T_PlannedOrders[EffectiveQty]&gt;0)*T_PlannedOrders[Order_Month])),"m月")&amp;"発注)")</f>
        <v/>
      </c>
      <c r="R1013">
        <f>IF(SUMIFS(T_PlannedOrders[EffectiveQty],T_PlannedOrders[Part Name],$A1003,T_PlannedOrders[WeekIndex],15)=0,"",SUMIFS(T_PlannedOrders[EffectiveQty],T_PlannedOrders[Part Name],$A1003,T_PlannedOrders[WeekIndex],15)&amp;" ("&amp;TEXT(SUMPRODUCT(MAX((T_PlannedOrders[Part Name]=$A1003)*(T_PlannedOrders[WeekIndex]=15)*(T_PlannedOrders[EffectiveQty]&gt;0)*T_PlannedOrders[Order_Month])),"m月")&amp;"発注)")</f>
        <v/>
      </c>
      <c r="S1013">
        <f>IF(SUMIFS(T_PlannedOrders[EffectiveQty],T_PlannedOrders[Part Name],$A1003,T_PlannedOrders[WeekIndex],16)=0,"",SUMIFS(T_PlannedOrders[EffectiveQty],T_PlannedOrders[Part Name],$A1003,T_PlannedOrders[WeekIndex],16)&amp;" ("&amp;TEXT(SUMPRODUCT(MAX((T_PlannedOrders[Part Name]=$A1003)*(T_PlannedOrders[WeekIndex]=16)*(T_PlannedOrders[EffectiveQty]&gt;0)*T_PlannedOrders[Order_Month])),"m月")&amp;"発注)")</f>
        <v/>
      </c>
      <c r="T1013">
        <f>IF(SUMIFS(T_PlannedOrders[EffectiveQty],T_PlannedOrders[Part Name],$A1003,T_PlannedOrders[WeekIndex],17)=0,"",SUMIFS(T_PlannedOrders[EffectiveQty],T_PlannedOrders[Part Name],$A1003,T_PlannedOrders[WeekIndex],17)&amp;" ("&amp;TEXT(SUMPRODUCT(MAX((T_PlannedOrders[Part Name]=$A1003)*(T_PlannedOrders[WeekIndex]=17)*(T_PlannedOrders[EffectiveQty]&gt;0)*T_PlannedOrders[Order_Month])),"m月")&amp;"発注)")</f>
        <v/>
      </c>
      <c r="U1013">
        <f>IF(SUMIFS(T_PlannedOrders[EffectiveQty],T_PlannedOrders[Part Name],$A1003,T_PlannedOrders[WeekIndex],18)=0,"",SUMIFS(T_PlannedOrders[EffectiveQty],T_PlannedOrders[Part Name],$A1003,T_PlannedOrders[WeekIndex],18)&amp;" ("&amp;TEXT(SUMPRODUCT(MAX((T_PlannedOrders[Part Name]=$A1003)*(T_PlannedOrders[WeekIndex]=18)*(T_PlannedOrders[EffectiveQty]&gt;0)*T_PlannedOrders[Order_Month])),"m月")&amp;"発注)")</f>
        <v/>
      </c>
      <c r="V1013">
        <f>IF(SUMIFS(T_PlannedOrders[EffectiveQty],T_PlannedOrders[Part Name],$A1003,T_PlannedOrders[WeekIndex],19)=0,"",SUMIFS(T_PlannedOrders[EffectiveQty],T_PlannedOrders[Part Name],$A1003,T_PlannedOrders[WeekIndex],19)&amp;" ("&amp;TEXT(SUMPRODUCT(MAX((T_PlannedOrders[Part Name]=$A1003)*(T_PlannedOrders[WeekIndex]=19)*(T_PlannedOrders[EffectiveQty]&gt;0)*T_PlannedOrders[Order_Month])),"m月")&amp;"発注)")</f>
        <v/>
      </c>
      <c r="W1013">
        <f>IF(SUMIFS(T_PlannedOrders[EffectiveQty],T_PlannedOrders[Part Name],$A1003,T_PlannedOrders[WeekIndex],20)=0,"",SUMIFS(T_PlannedOrders[EffectiveQty],T_PlannedOrders[Part Name],$A1003,T_PlannedOrders[WeekIndex],20)&amp;" ("&amp;TEXT(SUMPRODUCT(MAX((T_PlannedOrders[Part Name]=$A1003)*(T_PlannedOrders[WeekIndex]=20)*(T_PlannedOrders[EffectiveQty]&gt;0)*T_PlannedOrders[Order_Month])),"m月")&amp;"発注)")</f>
        <v/>
      </c>
      <c r="X1013">
        <f>IF(SUMIFS(T_PlannedOrders[EffectiveQty],T_PlannedOrders[Part Name],$A1003,T_PlannedOrders[WeekIndex],21)=0,"",SUMIFS(T_PlannedOrders[EffectiveQty],T_PlannedOrders[Part Name],$A1003,T_PlannedOrders[WeekIndex],21)&amp;" ("&amp;TEXT(SUMPRODUCT(MAX((T_PlannedOrders[Part Name]=$A1003)*(T_PlannedOrders[WeekIndex]=21)*(T_PlannedOrders[EffectiveQty]&gt;0)*T_PlannedOrders[Order_Month])),"m月")&amp;"発注)")</f>
        <v/>
      </c>
      <c r="Y1013">
        <f>IF(SUMIFS(T_PlannedOrders[EffectiveQty],T_PlannedOrders[Part Name],$A1003,T_PlannedOrders[WeekIndex],22)=0,"",SUMIFS(T_PlannedOrders[EffectiveQty],T_PlannedOrders[Part Name],$A1003,T_PlannedOrders[WeekIndex],22)&amp;" ("&amp;TEXT(SUMPRODUCT(MAX((T_PlannedOrders[Part Name]=$A1003)*(T_PlannedOrders[WeekIndex]=22)*(T_PlannedOrders[EffectiveQty]&gt;0)*T_PlannedOrders[Order_Month])),"m月")&amp;"発注)")</f>
        <v/>
      </c>
      <c r="Z1013">
        <f>IF(SUMIFS(T_PlannedOrders[EffectiveQty],T_PlannedOrders[Part Name],$A1003,T_PlannedOrders[WeekIndex],23)=0,"",SUMIFS(T_PlannedOrders[EffectiveQty],T_PlannedOrders[Part Name],$A1003,T_PlannedOrders[WeekIndex],23)&amp;" ("&amp;TEXT(SUMPRODUCT(MAX((T_PlannedOrders[Part Name]=$A1003)*(T_PlannedOrders[WeekIndex]=23)*(T_PlannedOrders[EffectiveQty]&gt;0)*T_PlannedOrders[Order_Month])),"m月")&amp;"発注)")</f>
        <v/>
      </c>
      <c r="AA1013">
        <f>IF(SUMIFS(T_PlannedOrders[EffectiveQty],T_PlannedOrders[Part Name],$A1003,T_PlannedOrders[WeekIndex],24)=0,"",SUMIFS(T_PlannedOrders[EffectiveQty],T_PlannedOrders[Part Name],$A1003,T_PlannedOrders[WeekIndex],24)&amp;" ("&amp;TEXT(SUMPRODUCT(MAX((T_PlannedOrders[Part Name]=$A1003)*(T_PlannedOrders[WeekIndex]=24)*(T_PlannedOrders[EffectiveQty]&gt;0)*T_PlannedOrders[Order_Month])),"m月")&amp;"発注)")</f>
        <v/>
      </c>
      <c r="AB1013">
        <f>IF(SUMIFS(T_PlannedOrders[EffectiveQty],T_PlannedOrders[Part Name],$A1003,T_PlannedOrders[WeekIndex],25)=0,"",SUMIFS(T_PlannedOrders[EffectiveQty],T_PlannedOrders[Part Name],$A1003,T_PlannedOrders[WeekIndex],25)&amp;" ("&amp;TEXT(SUMPRODUCT(MAX((T_PlannedOrders[Part Name]=$A1003)*(T_PlannedOrders[WeekIndex]=25)*(T_PlannedOrders[EffectiveQty]&gt;0)*T_PlannedOrders[Order_Month])),"m月")&amp;"発注)")</f>
        <v/>
      </c>
      <c r="AC1013">
        <f>IF(SUMIFS(T_PlannedOrders[EffectiveQty],T_PlannedOrders[Part Name],$A1003,T_PlannedOrders[WeekIndex],26)=0,"",SUMIFS(T_PlannedOrders[EffectiveQty],T_PlannedOrders[Part Name],$A1003,T_PlannedOrders[WeekIndex],26)&amp;" ("&amp;TEXT(SUMPRODUCT(MAX((T_PlannedOrders[Part Name]=$A1003)*(T_PlannedOrders[WeekIndex]=26)*(T_PlannedOrders[EffectiveQty]&gt;0)*T_PlannedOrders[Order_Month])),"m月")&amp;"発注)")</f>
        <v/>
      </c>
      <c r="AD1013">
        <f>IF(SUMIFS(T_PlannedOrders[EffectiveQty],T_PlannedOrders[Part Name],$A1003,T_PlannedOrders[WeekIndex],27)=0,"",SUMIFS(T_PlannedOrders[EffectiveQty],T_PlannedOrders[Part Name],$A1003,T_PlannedOrders[WeekIndex],27)&amp;" ("&amp;TEXT(SUMPRODUCT(MAX((T_PlannedOrders[Part Name]=$A1003)*(T_PlannedOrders[WeekIndex]=27)*(T_PlannedOrders[EffectiveQty]&gt;0)*T_PlannedOrders[Order_Month])),"m月")&amp;"発注)")</f>
        <v/>
      </c>
      <c r="AE1013">
        <f>IF(SUMIFS(T_PlannedOrders[EffectiveQty],T_PlannedOrders[Part Name],$A1003,T_PlannedOrders[WeekIndex],28)=0,"",SUMIFS(T_PlannedOrders[EffectiveQty],T_PlannedOrders[Part Name],$A1003,T_PlannedOrders[WeekIndex],28)&amp;" ("&amp;TEXT(SUMPRODUCT(MAX((T_PlannedOrders[Part Name]=$A1003)*(T_PlannedOrders[WeekIndex]=28)*(T_PlannedOrders[EffectiveQty]&gt;0)*T_PlannedOrders[Order_Month])),"m月")&amp;"発注)")</f>
        <v/>
      </c>
      <c r="AF1013">
        <f>IF(SUMIFS(T_PlannedOrders[EffectiveQty],T_PlannedOrders[Part Name],$A1003,T_PlannedOrders[WeekIndex],29)=0,"",SUMIFS(T_PlannedOrders[EffectiveQty],T_PlannedOrders[Part Name],$A1003,T_PlannedOrders[WeekIndex],29)&amp;" ("&amp;TEXT(SUMPRODUCT(MAX((T_PlannedOrders[Part Name]=$A1003)*(T_PlannedOrders[WeekIndex]=29)*(T_PlannedOrders[EffectiveQty]&gt;0)*T_PlannedOrders[Order_Month])),"m月")&amp;"発注)")</f>
        <v/>
      </c>
      <c r="AG1013">
        <f>IF(SUMIFS(T_PlannedOrders[EffectiveQty],T_PlannedOrders[Part Name],$A1003,T_PlannedOrders[WeekIndex],30)=0,"",SUMIFS(T_PlannedOrders[EffectiveQty],T_PlannedOrders[Part Name],$A1003,T_PlannedOrders[WeekIndex],30)&amp;" ("&amp;TEXT(SUMPRODUCT(MAX((T_PlannedOrders[Part Name]=$A1003)*(T_PlannedOrders[WeekIndex]=30)*(T_PlannedOrders[EffectiveQty]&gt;0)*T_PlannedOrders[Order_Month])),"m月")&amp;"発注)")</f>
        <v/>
      </c>
      <c r="AH1013">
        <f>IF(SUMIFS(T_PlannedOrders[EffectiveQty],T_PlannedOrders[Part Name],$A1003,T_PlannedOrders[WeekIndex],31)=0,"",SUMIFS(T_PlannedOrders[EffectiveQty],T_PlannedOrders[Part Name],$A1003,T_PlannedOrders[WeekIndex],31)&amp;" ("&amp;TEXT(SUMPRODUCT(MAX((T_PlannedOrders[Part Name]=$A1003)*(T_PlannedOrders[WeekIndex]=31)*(T_PlannedOrders[EffectiveQty]&gt;0)*T_PlannedOrders[Order_Month])),"m月")&amp;"発注)")</f>
        <v/>
      </c>
      <c r="AI1013">
        <f>IF(SUMIFS(T_PlannedOrders[EffectiveQty],T_PlannedOrders[Part Name],$A1003,T_PlannedOrders[WeekIndex],32)=0,"",SUMIFS(T_PlannedOrders[EffectiveQty],T_PlannedOrders[Part Name],$A1003,T_PlannedOrders[WeekIndex],32)&amp;" ("&amp;TEXT(SUMPRODUCT(MAX((T_PlannedOrders[Part Name]=$A1003)*(T_PlannedOrders[WeekIndex]=32)*(T_PlannedOrders[EffectiveQty]&gt;0)*T_PlannedOrders[Order_Month])),"m月")&amp;"発注)")</f>
        <v/>
      </c>
      <c r="AJ1013">
        <f>IF(SUMIFS(T_PlannedOrders[EffectiveQty],T_PlannedOrders[Part Name],$A1003,T_PlannedOrders[WeekIndex],33)=0,"",SUMIFS(T_PlannedOrders[EffectiveQty],T_PlannedOrders[Part Name],$A1003,T_PlannedOrders[WeekIndex],33)&amp;" ("&amp;TEXT(SUMPRODUCT(MAX((T_PlannedOrders[Part Name]=$A1003)*(T_PlannedOrders[WeekIndex]=33)*(T_PlannedOrders[EffectiveQty]&gt;0)*T_PlannedOrders[Order_Month])),"m月")&amp;"発注)")</f>
        <v/>
      </c>
      <c r="AK1013">
        <f>IF(SUMIFS(T_PlannedOrders[EffectiveQty],T_PlannedOrders[Part Name],$A1003,T_PlannedOrders[WeekIndex],34)=0,"",SUMIFS(T_PlannedOrders[EffectiveQty],T_PlannedOrders[Part Name],$A1003,T_PlannedOrders[WeekIndex],34)&amp;" ("&amp;TEXT(SUMPRODUCT(MAX((T_PlannedOrders[Part Name]=$A1003)*(T_PlannedOrders[WeekIndex]=34)*(T_PlannedOrders[EffectiveQty]&gt;0)*T_PlannedOrders[Order_Month])),"m月")&amp;"発注)")</f>
        <v/>
      </c>
      <c r="AL1013">
        <f>IF(SUMIFS(T_PlannedOrders[EffectiveQty],T_PlannedOrders[Part Name],$A1003,T_PlannedOrders[WeekIndex],35)=0,"",SUMIFS(T_PlannedOrders[EffectiveQty],T_PlannedOrders[Part Name],$A1003,T_PlannedOrders[WeekIndex],35)&amp;" ("&amp;TEXT(SUMPRODUCT(MAX((T_PlannedOrders[Part Name]=$A1003)*(T_PlannedOrders[WeekIndex]=35)*(T_PlannedOrders[EffectiveQty]&gt;0)*T_PlannedOrders[Order_Month])),"m月")&amp;"発注)")</f>
        <v/>
      </c>
      <c r="AM1013">
        <f>IF(SUMIFS(T_PlannedOrders[EffectiveQty],T_PlannedOrders[Part Name],$A1003,T_PlannedOrders[WeekIndex],36)=0,"",SUMIFS(T_PlannedOrders[EffectiveQty],T_PlannedOrders[Part Name],$A1003,T_PlannedOrders[WeekIndex],36)&amp;" ("&amp;TEXT(SUMPRODUCT(MAX((T_PlannedOrders[Part Name]=$A1003)*(T_PlannedOrders[WeekIndex]=36)*(T_PlannedOrders[EffectiveQty]&gt;0)*T_PlannedOrders[Order_Month])),"m月")&amp;"発注)")</f>
        <v/>
      </c>
      <c r="AN1013">
        <f>IF(SUMIFS(T_PlannedOrders[EffectiveQty],T_PlannedOrders[Part Name],$A1003,T_PlannedOrders[WeekIndex],37)=0,"",SUMIFS(T_PlannedOrders[EffectiveQty],T_PlannedOrders[Part Name],$A1003,T_PlannedOrders[WeekIndex],37)&amp;" ("&amp;TEXT(SUMPRODUCT(MAX((T_PlannedOrders[Part Name]=$A1003)*(T_PlannedOrders[WeekIndex]=37)*(T_PlannedOrders[EffectiveQty]&gt;0)*T_PlannedOrders[Order_Month])),"m月")&amp;"発注)")</f>
        <v/>
      </c>
      <c r="AO1013">
        <f>IF(SUMIFS(T_PlannedOrders[EffectiveQty],T_PlannedOrders[Part Name],$A1003,T_PlannedOrders[WeekIndex],38)=0,"",SUMIFS(T_PlannedOrders[EffectiveQty],T_PlannedOrders[Part Name],$A1003,T_PlannedOrders[WeekIndex],38)&amp;" ("&amp;TEXT(SUMPRODUCT(MAX((T_PlannedOrders[Part Name]=$A1003)*(T_PlannedOrders[WeekIndex]=38)*(T_PlannedOrders[EffectiveQty]&gt;0)*T_PlannedOrders[Order_Month])),"m月")&amp;"発注)")</f>
        <v/>
      </c>
      <c r="AP1013">
        <f>IF(SUMIFS(T_PlannedOrders[EffectiveQty],T_PlannedOrders[Part Name],$A1003,T_PlannedOrders[WeekIndex],39)=0,"",SUMIFS(T_PlannedOrders[EffectiveQty],T_PlannedOrders[Part Name],$A1003,T_PlannedOrders[WeekIndex],39)&amp;" ("&amp;TEXT(SUMPRODUCT(MAX((T_PlannedOrders[Part Name]=$A1003)*(T_PlannedOrders[WeekIndex]=39)*(T_PlannedOrders[EffectiveQty]&gt;0)*T_PlannedOrders[Order_Month])),"m月")&amp;"発注)")</f>
        <v/>
      </c>
      <c r="AQ1013">
        <f>IF(SUMIFS(T_PlannedOrders[EffectiveQty],T_PlannedOrders[Part Name],$A1003,T_PlannedOrders[WeekIndex],40)=0,"",SUMIFS(T_PlannedOrders[EffectiveQty],T_PlannedOrders[Part Name],$A1003,T_PlannedOrders[WeekIndex],40)&amp;" ("&amp;TEXT(SUMPRODUCT(MAX((T_PlannedOrders[Part Name]=$A1003)*(T_PlannedOrders[WeekIndex]=40)*(T_PlannedOrders[EffectiveQty]&gt;0)*T_PlannedOrders[Order_Month])),"m月")&amp;"発注)")</f>
        <v/>
      </c>
      <c r="AR1013">
        <f>IF(SUMIFS(T_PlannedOrders[EffectiveQty],T_PlannedOrders[Part Name],$A1003,T_PlannedOrders[WeekIndex],41)=0,"",SUMIFS(T_PlannedOrders[EffectiveQty],T_PlannedOrders[Part Name],$A1003,T_PlannedOrders[WeekIndex],41)&amp;" ("&amp;TEXT(SUMPRODUCT(MAX((T_PlannedOrders[Part Name]=$A1003)*(T_PlannedOrders[WeekIndex]=41)*(T_PlannedOrders[EffectiveQty]&gt;0)*T_PlannedOrders[Order_Month])),"m月")&amp;"発注)")</f>
        <v/>
      </c>
      <c r="AS1013">
        <f>IF(SUMIFS(T_PlannedOrders[EffectiveQty],T_PlannedOrders[Part Name],$A1003,T_PlannedOrders[WeekIndex],42)=0,"",SUMIFS(T_PlannedOrders[EffectiveQty],T_PlannedOrders[Part Name],$A1003,T_PlannedOrders[WeekIndex],42)&amp;" ("&amp;TEXT(SUMPRODUCT(MAX((T_PlannedOrders[Part Name]=$A1003)*(T_PlannedOrders[WeekIndex]=42)*(T_PlannedOrders[EffectiveQty]&gt;0)*T_PlannedOrders[Order_Month])),"m月")&amp;"発注)")</f>
        <v/>
      </c>
      <c r="AT1013">
        <f>IF(SUMIFS(T_PlannedOrders[EffectiveQty],T_PlannedOrders[Part Name],$A1003,T_PlannedOrders[WeekIndex],43)=0,"",SUMIFS(T_PlannedOrders[EffectiveQty],T_PlannedOrders[Part Name],$A1003,T_PlannedOrders[WeekIndex],43)&amp;" ("&amp;TEXT(SUMPRODUCT(MAX((T_PlannedOrders[Part Name]=$A1003)*(T_PlannedOrders[WeekIndex]=43)*(T_PlannedOrders[EffectiveQty]&gt;0)*T_PlannedOrders[Order_Month])),"m月")&amp;"発注)")</f>
        <v/>
      </c>
      <c r="AU1013">
        <f>IF(SUMIFS(T_PlannedOrders[EffectiveQty],T_PlannedOrders[Part Name],$A1003,T_PlannedOrders[WeekIndex],44)=0,"",SUMIFS(T_PlannedOrders[EffectiveQty],T_PlannedOrders[Part Name],$A1003,T_PlannedOrders[WeekIndex],44)&amp;" ("&amp;TEXT(SUMPRODUCT(MAX((T_PlannedOrders[Part Name]=$A1003)*(T_PlannedOrders[WeekIndex]=44)*(T_PlannedOrders[EffectiveQty]&gt;0)*T_PlannedOrders[Order_Month])),"m月")&amp;"発注)")</f>
        <v/>
      </c>
      <c r="AV1013">
        <f>IF(SUMIFS(T_PlannedOrders[EffectiveQty],T_PlannedOrders[Part Name],$A1003,T_PlannedOrders[WeekIndex],45)=0,"",SUMIFS(T_PlannedOrders[EffectiveQty],T_PlannedOrders[Part Name],$A1003,T_PlannedOrders[WeekIndex],45)&amp;" ("&amp;TEXT(SUMPRODUCT(MAX((T_PlannedOrders[Part Name]=$A1003)*(T_PlannedOrders[WeekIndex]=45)*(T_PlannedOrders[EffectiveQty]&gt;0)*T_PlannedOrders[Order_Month])),"m月")&amp;"発注)")</f>
        <v/>
      </c>
      <c r="AW1013">
        <f>IF(SUMIFS(T_PlannedOrders[EffectiveQty],T_PlannedOrders[Part Name],$A1003,T_PlannedOrders[WeekIndex],46)=0,"",SUMIFS(T_PlannedOrders[EffectiveQty],T_PlannedOrders[Part Name],$A1003,T_PlannedOrders[WeekIndex],46)&amp;" ("&amp;TEXT(SUMPRODUCT(MAX((T_PlannedOrders[Part Name]=$A1003)*(T_PlannedOrders[WeekIndex]=46)*(T_PlannedOrders[EffectiveQty]&gt;0)*T_PlannedOrders[Order_Month])),"m月")&amp;"発注)")</f>
        <v/>
      </c>
      <c r="AX1013">
        <f>IF(SUMIFS(T_PlannedOrders[EffectiveQty],T_PlannedOrders[Part Name],$A1003,T_PlannedOrders[WeekIndex],47)=0,"",SUMIFS(T_PlannedOrders[EffectiveQty],T_PlannedOrders[Part Name],$A1003,T_PlannedOrders[WeekIndex],47)&amp;" ("&amp;TEXT(SUMPRODUCT(MAX((T_PlannedOrders[Part Name]=$A1003)*(T_PlannedOrders[WeekIndex]=47)*(T_PlannedOrders[EffectiveQty]&gt;0)*T_PlannedOrders[Order_Month])),"m月")&amp;"発注)")</f>
        <v/>
      </c>
      <c r="AY1013">
        <f>IF(SUMIFS(T_PlannedOrders[EffectiveQty],T_PlannedOrders[Part Name],$A1003,T_PlannedOrders[WeekIndex],48)=0,"",SUMIFS(T_PlannedOrders[EffectiveQty],T_PlannedOrders[Part Name],$A1003,T_PlannedOrders[WeekIndex],48)&amp;" ("&amp;TEXT(SUMPRODUCT(MAX((T_PlannedOrders[Part Name]=$A1003)*(T_PlannedOrders[WeekIndex]=48)*(T_PlannedOrders[EffectiveQty]&gt;0)*T_PlannedOrders[Order_Month])),"m月")&amp;"発注)")</f>
        <v/>
      </c>
      <c r="AZ1013">
        <f>IF(SUMIFS(T_PlannedOrders[EffectiveQty],T_PlannedOrders[Part Name],$A1003,T_PlannedOrders[WeekIndex],49)=0,"",SUMIFS(T_PlannedOrders[EffectiveQty],T_PlannedOrders[Part Name],$A1003,T_PlannedOrders[WeekIndex],49)&amp;" ("&amp;TEXT(SUMPRODUCT(MAX((T_PlannedOrders[Part Name]=$A1003)*(T_PlannedOrders[WeekIndex]=49)*(T_PlannedOrders[EffectiveQty]&gt;0)*T_PlannedOrders[Order_Month])),"m月")&amp;"発注)")</f>
        <v/>
      </c>
      <c r="BA1013">
        <f>IF(SUMIFS(T_PlannedOrders[EffectiveQty],T_PlannedOrders[Part Name],$A1003,T_PlannedOrders[WeekIndex],50)=0,"",SUMIFS(T_PlannedOrders[EffectiveQty],T_PlannedOrders[Part Name],$A1003,T_PlannedOrders[WeekIndex],50)&amp;" ("&amp;TEXT(SUMPRODUCT(MAX((T_PlannedOrders[Part Name]=$A1003)*(T_PlannedOrders[WeekIndex]=50)*(T_PlannedOrders[EffectiveQty]&gt;0)*T_PlannedOrders[Order_Month])),"m月")&amp;"発注)")</f>
        <v/>
      </c>
      <c r="BB1013">
        <f>IF(SUMIFS(T_PlannedOrders[EffectiveQty],T_PlannedOrders[Part Name],$A1003,T_PlannedOrders[WeekIndex],51)=0,"",SUMIFS(T_PlannedOrders[EffectiveQty],T_PlannedOrders[Part Name],$A1003,T_PlannedOrders[WeekIndex],51)&amp;" ("&amp;TEXT(SUMPRODUCT(MAX((T_PlannedOrders[Part Name]=$A1003)*(T_PlannedOrders[WeekIndex]=51)*(T_PlannedOrders[EffectiveQty]&gt;0)*T_PlannedOrders[Order_Month])),"m月")&amp;"発注)")</f>
        <v/>
      </c>
      <c r="BC1013">
        <f>IF(SUMIFS(T_PlannedOrders[EffectiveQty],T_PlannedOrders[Part Name],$A1003,T_PlannedOrders[WeekIndex],52)=0,"",SUMIFS(T_PlannedOrders[EffectiveQty],T_PlannedOrders[Part Name],$A1003,T_PlannedOrders[WeekIndex],52)&amp;" ("&amp;TEXT(SUMPRODUCT(MAX((T_PlannedOrders[Part Name]=$A1003)*(T_PlannedOrders[WeekIndex]=52)*(T_PlannedOrders[EffectiveQty]&gt;0)*T_PlannedOrders[Order_Month])),"m月")&amp;"発注)")</f>
        <v/>
      </c>
      <c r="BD1013">
        <f>IF(SUMIFS(T_PlannedOrders[EffectiveQty],T_PlannedOrders[Part Name],$A1003,T_PlannedOrders[WeekIndex],53)=0,"",SUMIFS(T_PlannedOrders[EffectiveQty],T_PlannedOrders[Part Name],$A1003,T_PlannedOrders[WeekIndex],53)&amp;" ("&amp;TEXT(SUMPRODUCT(MAX((T_PlannedOrders[Part Name]=$A1003)*(T_PlannedOrders[WeekIndex]=53)*(T_PlannedOrders[EffectiveQty]&gt;0)*T_PlannedOrders[Order_Month])),"m月")&amp;"発注)")</f>
        <v/>
      </c>
      <c r="BE1013">
        <f>IF(SUMIFS(T_PlannedOrders[EffectiveQty],T_PlannedOrders[Part Name],$A1003,T_PlannedOrders[WeekIndex],54)=0,"",SUMIFS(T_PlannedOrders[EffectiveQty],T_PlannedOrders[Part Name],$A1003,T_PlannedOrders[WeekIndex],54)&amp;" ("&amp;TEXT(SUMPRODUCT(MAX((T_PlannedOrders[Part Name]=$A1003)*(T_PlannedOrders[WeekIndex]=54)*(T_PlannedOrders[EffectiveQty]&gt;0)*T_PlannedOrders[Order_Month])),"m月")&amp;"発注)")</f>
        <v/>
      </c>
      <c r="BF1013">
        <f>IF(SUMIFS(T_PlannedOrders[EffectiveQty],T_PlannedOrders[Part Name],$A1003,T_PlannedOrders[WeekIndex],55)=0,"",SUMIFS(T_PlannedOrders[EffectiveQty],T_PlannedOrders[Part Name],$A1003,T_PlannedOrders[WeekIndex],55)&amp;" ("&amp;TEXT(SUMPRODUCT(MAX((T_PlannedOrders[Part Name]=$A1003)*(T_PlannedOrders[WeekIndex]=55)*(T_PlannedOrders[EffectiveQty]&gt;0)*T_PlannedOrders[Order_Month])),"m月")&amp;"発注)")</f>
        <v/>
      </c>
      <c r="BG1013">
        <f>IF(SUMIFS(T_PlannedOrders[EffectiveQty],T_PlannedOrders[Part Name],$A1003,T_PlannedOrders[WeekIndex],56)=0,"",SUMIFS(T_PlannedOrders[EffectiveQty],T_PlannedOrders[Part Name],$A1003,T_PlannedOrders[WeekIndex],56)&amp;" ("&amp;TEXT(SUMPRODUCT(MAX((T_PlannedOrders[Part Name]=$A1003)*(T_PlannedOrders[WeekIndex]=56)*(T_PlannedOrders[EffectiveQty]&gt;0)*T_PlannedOrders[Order_Month])),"m月")&amp;"発注)")</f>
        <v/>
      </c>
      <c r="BH1013">
        <f>IF(SUMIFS(T_PlannedOrders[EffectiveQty],T_PlannedOrders[Part Name],$A1003,T_PlannedOrders[WeekIndex],57)=0,"",SUMIFS(T_PlannedOrders[EffectiveQty],T_PlannedOrders[Part Name],$A1003,T_PlannedOrders[WeekIndex],57)&amp;" ("&amp;TEXT(SUMPRODUCT(MAX((T_PlannedOrders[Part Name]=$A1003)*(T_PlannedOrders[WeekIndex]=57)*(T_PlannedOrders[EffectiveQty]&gt;0)*T_PlannedOrders[Order_Month])),"m月")&amp;"発注)")</f>
        <v/>
      </c>
      <c r="BI1013">
        <f>IF(SUMIFS(T_PlannedOrders[EffectiveQty],T_PlannedOrders[Part Name],$A1003,T_PlannedOrders[WeekIndex],58)=0,"",SUMIFS(T_PlannedOrders[EffectiveQty],T_PlannedOrders[Part Name],$A1003,T_PlannedOrders[WeekIndex],58)&amp;" ("&amp;TEXT(SUMPRODUCT(MAX((T_PlannedOrders[Part Name]=$A1003)*(T_PlannedOrders[WeekIndex]=58)*(T_PlannedOrders[EffectiveQty]&gt;0)*T_PlannedOrders[Order_Month])),"m月")&amp;"発注)")</f>
        <v/>
      </c>
      <c r="BJ1013">
        <f>IF(SUMIFS(T_PlannedOrders[EffectiveQty],T_PlannedOrders[Part Name],$A1003,T_PlannedOrders[WeekIndex],59)=0,"",SUMIFS(T_PlannedOrders[EffectiveQty],T_PlannedOrders[Part Name],$A1003,T_PlannedOrders[WeekIndex],59)&amp;" ("&amp;TEXT(SUMPRODUCT(MAX((T_PlannedOrders[Part Name]=$A1003)*(T_PlannedOrders[WeekIndex]=59)*(T_PlannedOrders[EffectiveQty]&gt;0)*T_PlannedOrders[Order_Month])),"m月")&amp;"発注)")</f>
        <v/>
      </c>
      <c r="BK1013">
        <f>IF(SUMIFS(T_PlannedOrders[EffectiveQty],T_PlannedOrders[Part Name],$A1003,T_PlannedOrders[WeekIndex],60)=0,"",SUMIFS(T_PlannedOrders[EffectiveQty],T_PlannedOrders[Part Name],$A1003,T_PlannedOrders[WeekIndex],60)&amp;" ("&amp;TEXT(SUMPRODUCT(MAX((T_PlannedOrders[Part Name]=$A1003)*(T_PlannedOrders[WeekIndex]=60)*(T_PlannedOrders[EffectiveQty]&gt;0)*T_PlannedOrders[Order_Month])),"m月")&amp;"発注)")</f>
        <v/>
      </c>
      <c r="BL1013">
        <f>IF(SUMIFS(T_PlannedOrders[EffectiveQty],T_PlannedOrders[Part Name],$A1003,T_PlannedOrders[WeekIndex],61)=0,"",SUMIFS(T_PlannedOrders[EffectiveQty],T_PlannedOrders[Part Name],$A1003,T_PlannedOrders[WeekIndex],61)&amp;" ("&amp;TEXT(SUMPRODUCT(MAX((T_PlannedOrders[Part Name]=$A1003)*(T_PlannedOrders[WeekIndex]=61)*(T_PlannedOrders[EffectiveQty]&gt;0)*T_PlannedOrders[Order_Month])),"m月")&amp;"発注)")</f>
        <v/>
      </c>
      <c r="BM1013">
        <f>IF(SUMIFS(T_PlannedOrders[EffectiveQty],T_PlannedOrders[Part Name],$A1003,T_PlannedOrders[WeekIndex],62)=0,"",SUMIFS(T_PlannedOrders[EffectiveQty],T_PlannedOrders[Part Name],$A1003,T_PlannedOrders[WeekIndex],62)&amp;" ("&amp;TEXT(SUMPRODUCT(MAX((T_PlannedOrders[Part Name]=$A1003)*(T_PlannedOrders[WeekIndex]=62)*(T_PlannedOrders[EffectiveQty]&gt;0)*T_PlannedOrders[Order_Month])),"m月")&amp;"発注)")</f>
        <v/>
      </c>
      <c r="BN1013">
        <f>IF(SUMIFS(T_PlannedOrders[EffectiveQty],T_PlannedOrders[Part Name],$A1003,T_PlannedOrders[WeekIndex],63)=0,"",SUMIFS(T_PlannedOrders[EffectiveQty],T_PlannedOrders[Part Name],$A1003,T_PlannedOrders[WeekIndex],63)&amp;" ("&amp;TEXT(SUMPRODUCT(MAX((T_PlannedOrders[Part Name]=$A1003)*(T_PlannedOrders[WeekIndex]=63)*(T_PlannedOrders[EffectiveQty]&gt;0)*T_PlannedOrders[Order_Month])),"m月")&amp;"発注)")</f>
        <v/>
      </c>
      <c r="BO1013">
        <f>IF(SUMIFS(T_PlannedOrders[EffectiveQty],T_PlannedOrders[Part Name],$A1003,T_PlannedOrders[WeekIndex],64)=0,"",SUMIFS(T_PlannedOrders[EffectiveQty],T_PlannedOrders[Part Name],$A1003,T_PlannedOrders[WeekIndex],64)&amp;" ("&amp;TEXT(SUMPRODUCT(MAX((T_PlannedOrders[Part Name]=$A1003)*(T_PlannedOrders[WeekIndex]=64)*(T_PlannedOrders[EffectiveQty]&gt;0)*T_PlannedOrders[Order_Month])),"m月")&amp;"発注)")</f>
        <v/>
      </c>
      <c r="BP1013">
        <f>IF(SUMIFS(T_PlannedOrders[EffectiveQty],T_PlannedOrders[Part Name],$A1003,T_PlannedOrders[WeekIndex],65)=0,"",SUMIFS(T_PlannedOrders[EffectiveQty],T_PlannedOrders[Part Name],$A1003,T_PlannedOrders[WeekIndex],65)&amp;" ("&amp;TEXT(SUMPRODUCT(MAX((T_PlannedOrders[Part Name]=$A1003)*(T_PlannedOrders[WeekIndex]=65)*(T_PlannedOrders[EffectiveQty]&gt;0)*T_PlannedOrders[Order_Month])),"m月")&amp;"発注)")</f>
        <v/>
      </c>
      <c r="BQ1013">
        <f>IF(SUMIFS(T_PlannedOrders[EffectiveQty],T_PlannedOrders[Part Name],$A1003,T_PlannedOrders[WeekIndex],66)=0,"",SUMIFS(T_PlannedOrders[EffectiveQty],T_PlannedOrders[Part Name],$A1003,T_PlannedOrders[WeekIndex],66)&amp;" ("&amp;TEXT(SUMPRODUCT(MAX((T_PlannedOrders[Part Name]=$A1003)*(T_PlannedOrders[WeekIndex]=66)*(T_PlannedOrders[EffectiveQty]&gt;0)*T_PlannedOrders[Order_Month])),"m月")&amp;"発注)")</f>
        <v/>
      </c>
      <c r="BR1013">
        <f>IF(SUMIFS(T_PlannedOrders[EffectiveQty],T_PlannedOrders[Part Name],$A1003,T_PlannedOrders[WeekIndex],67)=0,"",SUMIFS(T_PlannedOrders[EffectiveQty],T_PlannedOrders[Part Name],$A1003,T_PlannedOrders[WeekIndex],67)&amp;" ("&amp;TEXT(SUMPRODUCT(MAX((T_PlannedOrders[Part Name]=$A1003)*(T_PlannedOrders[WeekIndex]=67)*(T_PlannedOrders[EffectiveQty]&gt;0)*T_PlannedOrders[Order_Month])),"m月")&amp;"発注)")</f>
        <v/>
      </c>
      <c r="BS1013">
        <f>IF(SUMIFS(T_PlannedOrders[EffectiveQty],T_PlannedOrders[Part Name],$A1003,T_PlannedOrders[WeekIndex],68)=0,"",SUMIFS(T_PlannedOrders[EffectiveQty],T_PlannedOrders[Part Name],$A1003,T_PlannedOrders[WeekIndex],68)&amp;" ("&amp;TEXT(SUMPRODUCT(MAX((T_PlannedOrders[Part Name]=$A1003)*(T_PlannedOrders[WeekIndex]=68)*(T_PlannedOrders[EffectiveQty]&gt;0)*T_PlannedOrders[Order_Month])),"m月")&amp;"発注)")</f>
        <v/>
      </c>
      <c r="BT1013">
        <f>IF(SUMIFS(T_PlannedOrders[EffectiveQty],T_PlannedOrders[Part Name],$A1003,T_PlannedOrders[WeekIndex],69)=0,"",SUMIFS(T_PlannedOrders[EffectiveQty],T_PlannedOrders[Part Name],$A1003,T_PlannedOrders[WeekIndex],69)&amp;" ("&amp;TEXT(SUMPRODUCT(MAX((T_PlannedOrders[Part Name]=$A1003)*(T_PlannedOrders[WeekIndex]=69)*(T_PlannedOrders[EffectiveQty]&gt;0)*T_PlannedOrders[Order_Month])),"m月")&amp;"発注)")</f>
        <v/>
      </c>
      <c r="BU1013">
        <f>IF(SUMIFS(T_PlannedOrders[EffectiveQty],T_PlannedOrders[Part Name],$A1003,T_PlannedOrders[WeekIndex],70)=0,"",SUMIFS(T_PlannedOrders[EffectiveQty],T_PlannedOrders[Part Name],$A1003,T_PlannedOrders[WeekIndex],70)&amp;" ("&amp;TEXT(SUMPRODUCT(MAX((T_PlannedOrders[Part Name]=$A1003)*(T_PlannedOrders[WeekIndex]=70)*(T_PlannedOrders[EffectiveQty]&gt;0)*T_PlannedOrders[Order_Month])),"m月")&amp;"発注)")</f>
        <v/>
      </c>
      <c r="BV1013">
        <f>IF(SUMIFS(T_PlannedOrders[EffectiveQty],T_PlannedOrders[Part Name],$A1003,T_PlannedOrders[WeekIndex],71)=0,"",SUMIFS(T_PlannedOrders[EffectiveQty],T_PlannedOrders[Part Name],$A1003,T_PlannedOrders[WeekIndex],71)&amp;" ("&amp;TEXT(SUMPRODUCT(MAX((T_PlannedOrders[Part Name]=$A1003)*(T_PlannedOrders[WeekIndex]=71)*(T_PlannedOrders[EffectiveQty]&gt;0)*T_PlannedOrders[Order_Month])),"m月")&amp;"発注)")</f>
        <v/>
      </c>
      <c r="BW1013">
        <f>IF(SUMIFS(T_PlannedOrders[EffectiveQty],T_PlannedOrders[Part Name],$A1003,T_PlannedOrders[WeekIndex],72)=0,"",SUMIFS(T_PlannedOrders[EffectiveQty],T_PlannedOrders[Part Name],$A1003,T_PlannedOrders[WeekIndex],72)&amp;" ("&amp;TEXT(SUMPRODUCT(MAX((T_PlannedOrders[Part Name]=$A1003)*(T_PlannedOrders[WeekIndex]=72)*(T_PlannedOrders[EffectiveQty]&gt;0)*T_PlannedOrders[Order_Month])),"m月")&amp;"発注)")</f>
        <v/>
      </c>
      <c r="BX1013">
        <f>IF(SUMIFS(T_PlannedOrders[EffectiveQty],T_PlannedOrders[Part Name],$A1003,T_PlannedOrders[WeekIndex],73)=0,"",SUMIFS(T_PlannedOrders[EffectiveQty],T_PlannedOrders[Part Name],$A1003,T_PlannedOrders[WeekIndex],73)&amp;" ("&amp;TEXT(SUMPRODUCT(MAX((T_PlannedOrders[Part Name]=$A1003)*(T_PlannedOrders[WeekIndex]=73)*(T_PlannedOrders[EffectiveQty]&gt;0)*T_PlannedOrders[Order_Month])),"m月")&amp;"発注)")</f>
        <v/>
      </c>
      <c r="BY1013">
        <f>IF(SUMIFS(T_PlannedOrders[EffectiveQty],T_PlannedOrders[Part Name],$A1003,T_PlannedOrders[WeekIndex],74)=0,"",SUMIFS(T_PlannedOrders[EffectiveQty],T_PlannedOrders[Part Name],$A1003,T_PlannedOrders[WeekIndex],74)&amp;" ("&amp;TEXT(SUMPRODUCT(MAX((T_PlannedOrders[Part Name]=$A1003)*(T_PlannedOrders[WeekIndex]=74)*(T_PlannedOrders[EffectiveQty]&gt;0)*T_PlannedOrders[Order_Month])),"m月")&amp;"発注)")</f>
        <v/>
      </c>
      <c r="BZ1013">
        <f>IF(SUMIFS(T_PlannedOrders[EffectiveQty],T_PlannedOrders[Part Name],$A1003,T_PlannedOrders[WeekIndex],75)=0,"",SUMIFS(T_PlannedOrders[EffectiveQty],T_PlannedOrders[Part Name],$A1003,T_PlannedOrders[WeekIndex],75)&amp;" ("&amp;TEXT(SUMPRODUCT(MAX((T_PlannedOrders[Part Name]=$A1003)*(T_PlannedOrders[WeekIndex]=75)*(T_PlannedOrders[EffectiveQty]&gt;0)*T_PlannedOrders[Order_Month])),"m月")&amp;"発注)")</f>
        <v/>
      </c>
      <c r="CA1013">
        <f>IF(SUMIFS(T_PlannedOrders[EffectiveQty],T_PlannedOrders[Part Name],$A1003,T_PlannedOrders[WeekIndex],76)=0,"",SUMIFS(T_PlannedOrders[EffectiveQty],T_PlannedOrders[Part Name],$A1003,T_PlannedOrders[WeekIndex],76)&amp;" ("&amp;TEXT(SUMPRODUCT(MAX((T_PlannedOrders[Part Name]=$A1003)*(T_PlannedOrders[WeekIndex]=76)*(T_PlannedOrders[EffectiveQty]&gt;0)*T_PlannedOrders[Order_Month])),"m月")&amp;"発注)")</f>
        <v/>
      </c>
      <c r="CB1013">
        <f>IF(SUMIFS(T_PlannedOrders[EffectiveQty],T_PlannedOrders[Part Name],$A1003,T_PlannedOrders[WeekIndex],77)=0,"",SUMIFS(T_PlannedOrders[EffectiveQty],T_PlannedOrders[Part Name],$A1003,T_PlannedOrders[WeekIndex],77)&amp;" ("&amp;TEXT(SUMPRODUCT(MAX((T_PlannedOrders[Part Name]=$A1003)*(T_PlannedOrders[WeekIndex]=77)*(T_PlannedOrders[EffectiveQty]&gt;0)*T_PlannedOrders[Order_Month])),"m月")&amp;"発注)")</f>
        <v/>
      </c>
      <c r="CC1013">
        <f>IF(SUMIFS(T_PlannedOrders[EffectiveQty],T_PlannedOrders[Part Name],$A1003,T_PlannedOrders[WeekIndex],78)=0,"",SUMIFS(T_PlannedOrders[EffectiveQty],T_PlannedOrders[Part Name],$A1003,T_PlannedOrders[WeekIndex],78)&amp;" ("&amp;TEXT(SUMPRODUCT(MAX((T_PlannedOrders[Part Name]=$A1003)*(T_PlannedOrders[WeekIndex]=78)*(T_PlannedOrders[EffectiveQty]&gt;0)*T_PlannedOrders[Order_Month])),"m月")&amp;"発注)")</f>
        <v/>
      </c>
      <c r="CD1013">
        <f>IF(SUMIFS(T_PlannedOrders[EffectiveQty],T_PlannedOrders[Part Name],$A1003,T_PlannedOrders[WeekIndex],79)=0,"",SUMIFS(T_PlannedOrders[EffectiveQty],T_PlannedOrders[Part Name],$A1003,T_PlannedOrders[WeekIndex],79)&amp;" ("&amp;TEXT(SUMPRODUCT(MAX((T_PlannedOrders[Part Name]=$A1003)*(T_PlannedOrders[WeekIndex]=79)*(T_PlannedOrders[EffectiveQty]&gt;0)*T_PlannedOrders[Order_Month])),"m月")&amp;"発注)")</f>
        <v/>
      </c>
      <c r="CE1013">
        <f>IF(SUMIFS(T_PlannedOrders[EffectiveQty],T_PlannedOrders[Part Name],$A1003,T_PlannedOrders[WeekIndex],80)=0,"",SUMIFS(T_PlannedOrders[EffectiveQty],T_PlannedOrders[Part Name],$A1003,T_PlannedOrders[WeekIndex],80)&amp;" ("&amp;TEXT(SUMPRODUCT(MAX((T_PlannedOrders[Part Name]=$A1003)*(T_PlannedOrders[WeekIndex]=80)*(T_PlannedOrders[EffectiveQty]&gt;0)*T_PlannedOrders[Order_Month])),"m月")&amp;"発注)")</f>
        <v/>
      </c>
      <c r="CF1013">
        <f>IF(SUMIFS(T_PlannedOrders[EffectiveQty],T_PlannedOrders[Part Name],$A1003,T_PlannedOrders[WeekIndex],81)=0,"",SUMIFS(T_PlannedOrders[EffectiveQty],T_PlannedOrders[Part Name],$A1003,T_PlannedOrders[WeekIndex],81)&amp;" ("&amp;TEXT(SUMPRODUCT(MAX((T_PlannedOrders[Part Name]=$A1003)*(T_PlannedOrders[WeekIndex]=81)*(T_PlannedOrders[EffectiveQty]&gt;0)*T_PlannedOrders[Order_Month])),"m月")&amp;"発注)")</f>
        <v/>
      </c>
      <c r="CG1013">
        <f>IF(SUMIFS(T_PlannedOrders[EffectiveQty],T_PlannedOrders[Part Name],$A1003,T_PlannedOrders[WeekIndex],82)=0,"",SUMIFS(T_PlannedOrders[EffectiveQty],T_PlannedOrders[Part Name],$A1003,T_PlannedOrders[WeekIndex],82)&amp;" ("&amp;TEXT(SUMPRODUCT(MAX((T_PlannedOrders[Part Name]=$A1003)*(T_PlannedOrders[WeekIndex]=82)*(T_PlannedOrders[EffectiveQty]&gt;0)*T_PlannedOrders[Order_Month])),"m月")&amp;"発注)")</f>
        <v/>
      </c>
      <c r="CH1013">
        <f>IF(SUMIFS(T_PlannedOrders[EffectiveQty],T_PlannedOrders[Part Name],$A1003,T_PlannedOrders[WeekIndex],83)=0,"",SUMIFS(T_PlannedOrders[EffectiveQty],T_PlannedOrders[Part Name],$A1003,T_PlannedOrders[WeekIndex],83)&amp;" ("&amp;TEXT(SUMPRODUCT(MAX((T_PlannedOrders[Part Name]=$A1003)*(T_PlannedOrders[WeekIndex]=83)*(T_PlannedOrders[EffectiveQty]&gt;0)*T_PlannedOrders[Order_Month])),"m月")&amp;"発注)")</f>
        <v/>
      </c>
      <c r="CI1013">
        <f>IF(SUMIFS(T_PlannedOrders[EffectiveQty],T_PlannedOrders[Part Name],$A1003,T_PlannedOrders[WeekIndex],84)=0,"",SUMIFS(T_PlannedOrders[EffectiveQty],T_PlannedOrders[Part Name],$A1003,T_PlannedOrders[WeekIndex],84)&amp;" ("&amp;TEXT(SUMPRODUCT(MAX((T_PlannedOrders[Part Name]=$A1003)*(T_PlannedOrders[WeekIndex]=84)*(T_PlannedOrders[EffectiveQty]&gt;0)*T_PlannedOrders[Order_Month])),"m月")&amp;"発注)")</f>
        <v/>
      </c>
      <c r="CJ1013">
        <f>IF(SUMIFS(T_PlannedOrders[EffectiveQty],T_PlannedOrders[Part Name],$A1003,T_PlannedOrders[WeekIndex],85)=0,"",SUMIFS(T_PlannedOrders[EffectiveQty],T_PlannedOrders[Part Name],$A1003,T_PlannedOrders[WeekIndex],85)&amp;" ("&amp;TEXT(SUMPRODUCT(MAX((T_PlannedOrders[Part Name]=$A1003)*(T_PlannedOrders[WeekIndex]=85)*(T_PlannedOrders[EffectiveQty]&gt;0)*T_PlannedOrders[Order_Month])),"m月")&amp;"発注)")</f>
        <v/>
      </c>
      <c r="CK1013">
        <f>IF(SUMIFS(T_PlannedOrders[EffectiveQty],T_PlannedOrders[Part Name],$A1003,T_PlannedOrders[WeekIndex],86)=0,"",SUMIFS(T_PlannedOrders[EffectiveQty],T_PlannedOrders[Part Name],$A1003,T_PlannedOrders[WeekIndex],86)&amp;" ("&amp;TEXT(SUMPRODUCT(MAX((T_PlannedOrders[Part Name]=$A1003)*(T_PlannedOrders[WeekIndex]=86)*(T_PlannedOrders[EffectiveQty]&gt;0)*T_PlannedOrders[Order_Month])),"m月")&amp;"発注)")</f>
        <v/>
      </c>
      <c r="CL1013">
        <f>IF(SUMIFS(T_PlannedOrders[EffectiveQty],T_PlannedOrders[Part Name],$A1003,T_PlannedOrders[WeekIndex],87)=0,"",SUMIFS(T_PlannedOrders[EffectiveQty],T_PlannedOrders[Part Name],$A1003,T_PlannedOrders[WeekIndex],87)&amp;" ("&amp;TEXT(SUMPRODUCT(MAX((T_PlannedOrders[Part Name]=$A1003)*(T_PlannedOrders[WeekIndex]=87)*(T_PlannedOrders[EffectiveQty]&gt;0)*T_PlannedOrders[Order_Month])),"m月")&amp;"発注)")</f>
        <v/>
      </c>
      <c r="CM1013">
        <f>IF(SUMIFS(T_PlannedOrders[EffectiveQty],T_PlannedOrders[Part Name],$A1003,T_PlannedOrders[WeekIndex],88)=0,"",SUMIFS(T_PlannedOrders[EffectiveQty],T_PlannedOrders[Part Name],$A1003,T_PlannedOrders[WeekIndex],88)&amp;" ("&amp;TEXT(SUMPRODUCT(MAX((T_PlannedOrders[Part Name]=$A1003)*(T_PlannedOrders[WeekIndex]=88)*(T_PlannedOrders[EffectiveQty]&gt;0)*T_PlannedOrders[Order_Month])),"m月")&amp;"発注)")</f>
        <v/>
      </c>
      <c r="CN1013">
        <f>IF(SUMIFS(T_PlannedOrders[EffectiveQty],T_PlannedOrders[Part Name],$A1003,T_PlannedOrders[WeekIndex],89)=0,"",SUMIFS(T_PlannedOrders[EffectiveQty],T_PlannedOrders[Part Name],$A1003,T_PlannedOrders[WeekIndex],89)&amp;" ("&amp;TEXT(SUMPRODUCT(MAX((T_PlannedOrders[Part Name]=$A1003)*(T_PlannedOrders[WeekIndex]=89)*(T_PlannedOrders[EffectiveQty]&gt;0)*T_PlannedOrders[Order_Month])),"m月")&amp;"発注)")</f>
        <v/>
      </c>
      <c r="CO1013">
        <f>IF(SUMIFS(T_PlannedOrders[EffectiveQty],T_PlannedOrders[Part Name],$A1003,T_PlannedOrders[WeekIndex],90)=0,"",SUMIFS(T_PlannedOrders[EffectiveQty],T_PlannedOrders[Part Name],$A1003,T_PlannedOrders[WeekIndex],90)&amp;" ("&amp;TEXT(SUMPRODUCT(MAX((T_PlannedOrders[Part Name]=$A1003)*(T_PlannedOrders[WeekIndex]=90)*(T_PlannedOrders[EffectiveQty]&gt;0)*T_PlannedOrders[Order_Month])),"m月")&amp;"発注)")</f>
        <v/>
      </c>
      <c r="CP1013">
        <f>IF(SUMIFS(T_PlannedOrders[EffectiveQty],T_PlannedOrders[Part Name],$A1003,T_PlannedOrders[WeekIndex],91)=0,"",SUMIFS(T_PlannedOrders[EffectiveQty],T_PlannedOrders[Part Name],$A1003,T_PlannedOrders[WeekIndex],91)&amp;" ("&amp;TEXT(SUMPRODUCT(MAX((T_PlannedOrders[Part Name]=$A1003)*(T_PlannedOrders[WeekIndex]=91)*(T_PlannedOrders[EffectiveQty]&gt;0)*T_PlannedOrders[Order_Month])),"m月")&amp;"発注)")</f>
        <v/>
      </c>
      <c r="CQ1013">
        <f>IF(SUMIFS(T_PlannedOrders[EffectiveQty],T_PlannedOrders[Part Name],$A1003,T_PlannedOrders[WeekIndex],92)=0,"",SUMIFS(T_PlannedOrders[EffectiveQty],T_PlannedOrders[Part Name],$A1003,T_PlannedOrders[WeekIndex],92)&amp;" ("&amp;TEXT(SUMPRODUCT(MAX((T_PlannedOrders[Part Name]=$A1003)*(T_PlannedOrders[WeekIndex]=92)*(T_PlannedOrders[EffectiveQty]&gt;0)*T_PlannedOrders[Order_Month])),"m月")&amp;"発注)")</f>
        <v/>
      </c>
      <c r="CR1013">
        <f>IF(SUMIFS(T_PlannedOrders[EffectiveQty],T_PlannedOrders[Part Name],$A1003,T_PlannedOrders[WeekIndex],93)=0,"",SUMIFS(T_PlannedOrders[EffectiveQty],T_PlannedOrders[Part Name],$A1003,T_PlannedOrders[WeekIndex],93)&amp;" ("&amp;TEXT(SUMPRODUCT(MAX((T_PlannedOrders[Part Name]=$A1003)*(T_PlannedOrders[WeekIndex]=93)*(T_PlannedOrders[EffectiveQty]&gt;0)*T_PlannedOrders[Order_Month])),"m月")&amp;"発注)")</f>
        <v/>
      </c>
      <c r="CS1013">
        <f>IF(SUMIFS(T_PlannedOrders[EffectiveQty],T_PlannedOrders[Part Name],$A1003,T_PlannedOrders[WeekIndex],94)=0,"",SUMIFS(T_PlannedOrders[EffectiveQty],T_PlannedOrders[Part Name],$A1003,T_PlannedOrders[WeekIndex],94)&amp;" ("&amp;TEXT(SUMPRODUCT(MAX((T_PlannedOrders[Part Name]=$A1003)*(T_PlannedOrders[WeekIndex]=94)*(T_PlannedOrders[EffectiveQty]&gt;0)*T_PlannedOrders[Order_Month])),"m月")&amp;"発注)")</f>
        <v/>
      </c>
      <c r="CT1013">
        <f>IF(SUMIFS(T_PlannedOrders[EffectiveQty],T_PlannedOrders[Part Name],$A1003,T_PlannedOrders[WeekIndex],95)=0,"",SUMIFS(T_PlannedOrders[EffectiveQty],T_PlannedOrders[Part Name],$A1003,T_PlannedOrders[WeekIndex],95)&amp;" ("&amp;TEXT(SUMPRODUCT(MAX((T_PlannedOrders[Part Name]=$A1003)*(T_PlannedOrders[WeekIndex]=95)*(T_PlannedOrders[EffectiveQty]&gt;0)*T_PlannedOrders[Order_Month])),"m月")&amp;"発注)")</f>
        <v/>
      </c>
      <c r="CU1013">
        <f>IF(SUMIFS(T_PlannedOrders[EffectiveQty],T_PlannedOrders[Part Name],$A1003,T_PlannedOrders[WeekIndex],96)=0,"",SUMIFS(T_PlannedOrders[EffectiveQty],T_PlannedOrders[Part Name],$A1003,T_PlannedOrders[WeekIndex],96)&amp;" ("&amp;TEXT(SUMPRODUCT(MAX((T_PlannedOrders[Part Name]=$A1003)*(T_PlannedOrders[WeekIndex]=96)*(T_PlannedOrders[EffectiveQty]&gt;0)*T_PlannedOrders[Order_Month])),"m月")&amp;"発注)")</f>
        <v/>
      </c>
      <c r="CV1013">
        <f>IF(SUMIFS(T_PlannedOrders[EffectiveQty],T_PlannedOrders[Part Name],$A1003,T_PlannedOrders[WeekIndex],97)=0,"",SUMIFS(T_PlannedOrders[EffectiveQty],T_PlannedOrders[Part Name],$A1003,T_PlannedOrders[WeekIndex],97)&amp;" ("&amp;TEXT(SUMPRODUCT(MAX((T_PlannedOrders[Part Name]=$A1003)*(T_PlannedOrders[WeekIndex]=97)*(T_PlannedOrders[EffectiveQty]&gt;0)*T_PlannedOrders[Order_Month])),"m月")&amp;"発注)")</f>
        <v/>
      </c>
      <c r="CW1013">
        <f>IF(SUMIFS(T_PlannedOrders[EffectiveQty],T_PlannedOrders[Part Name],$A1003,T_PlannedOrders[WeekIndex],98)=0,"",SUMIFS(T_PlannedOrders[EffectiveQty],T_PlannedOrders[Part Name],$A1003,T_PlannedOrders[WeekIndex],98)&amp;" ("&amp;TEXT(SUMPRODUCT(MAX((T_PlannedOrders[Part Name]=$A1003)*(T_PlannedOrders[WeekIndex]=98)*(T_PlannedOrders[EffectiveQty]&gt;0)*T_PlannedOrders[Order_Month])),"m月")&amp;"発注)")</f>
        <v/>
      </c>
      <c r="CX1013">
        <f>IF(SUMIFS(T_PlannedOrders[EffectiveQty],T_PlannedOrders[Part Name],$A1003,T_PlannedOrders[WeekIndex],99)=0,"",SUMIFS(T_PlannedOrders[EffectiveQty],T_PlannedOrders[Part Name],$A1003,T_PlannedOrders[WeekIndex],99)&amp;" ("&amp;TEXT(SUMPRODUCT(MAX((T_PlannedOrders[Part Name]=$A1003)*(T_PlannedOrders[WeekIndex]=99)*(T_PlannedOrders[EffectiveQty]&gt;0)*T_PlannedOrders[Order_Month])),"m月")&amp;"発注)")</f>
        <v/>
      </c>
      <c r="CY1013">
        <f>IF(SUMIFS(T_PlannedOrders[EffectiveQty],T_PlannedOrders[Part Name],$A1003,T_PlannedOrders[WeekIndex],100)=0,"",SUMIFS(T_PlannedOrders[EffectiveQty],T_PlannedOrders[Part Name],$A1003,T_PlannedOrders[WeekIndex],100)&amp;" ("&amp;TEXT(SUMPRODUCT(MAX((T_PlannedOrders[Part Name]=$A1003)*(T_PlannedOrders[WeekIndex]=100)*(T_PlannedOrders[EffectiveQty]&gt;0)*T_PlannedOrders[Order_Month])),"m月")&amp;"発注)")</f>
        <v/>
      </c>
      <c r="CZ1013">
        <f>IF(SUMIFS(T_PlannedOrders[EffectiveQty],T_PlannedOrders[Part Name],$A1003,T_PlannedOrders[WeekIndex],101)=0,"",SUMIFS(T_PlannedOrders[EffectiveQty],T_PlannedOrders[Part Name],$A1003,T_PlannedOrders[WeekIndex],101)&amp;" ("&amp;TEXT(SUMPRODUCT(MAX((T_PlannedOrders[Part Name]=$A1003)*(T_PlannedOrders[WeekIndex]=101)*(T_PlannedOrders[EffectiveQty]&gt;0)*T_PlannedOrders[Order_Month])),"m月")&amp;"発注)")</f>
        <v/>
      </c>
      <c r="DA1013">
        <f>IF(SUMIFS(T_PlannedOrders[EffectiveQty],T_PlannedOrders[Part Name],$A1003,T_PlannedOrders[WeekIndex],102)=0,"",SUMIFS(T_PlannedOrders[EffectiveQty],T_PlannedOrders[Part Name],$A1003,T_PlannedOrders[WeekIndex],102)&amp;" ("&amp;TEXT(SUMPRODUCT(MAX((T_PlannedOrders[Part Name]=$A1003)*(T_PlannedOrders[WeekIndex]=102)*(T_PlannedOrders[EffectiveQty]&gt;0)*T_PlannedOrders[Order_Month])),"m月")&amp;"発注)")</f>
        <v/>
      </c>
      <c r="DB1013">
        <f>IF(SUMIFS(T_PlannedOrders[EffectiveQty],T_PlannedOrders[Part Name],$A1003,T_PlannedOrders[WeekIndex],103)=0,"",SUMIFS(T_PlannedOrders[EffectiveQty],T_PlannedOrders[Part Name],$A1003,T_PlannedOrders[WeekIndex],103)&amp;" ("&amp;TEXT(SUMPRODUCT(MAX((T_PlannedOrders[Part Name]=$A1003)*(T_PlannedOrders[WeekIndex]=103)*(T_PlannedOrders[EffectiveQty]&gt;0)*T_PlannedOrders[Order_Month])),"m月")&amp;"発注)")</f>
        <v/>
      </c>
      <c r="DC1013">
        <f>IF(SUMIFS(T_PlannedOrders[EffectiveQty],T_PlannedOrders[Part Name],$A1003,T_PlannedOrders[WeekIndex],104)=0,"",SUMIFS(T_PlannedOrders[EffectiveQty],T_PlannedOrders[Part Name],$A1003,T_PlannedOrders[WeekIndex],104)&amp;" ("&amp;TEXT(SUMPRODUCT(MAX((T_PlannedOrders[Part Name]=$A1003)*(T_PlannedOrders[WeekIndex]=104)*(T_PlannedOrders[EffectiveQty]&gt;0)*T_PlannedOrders[Order_Month])),"m月")&amp;"発注)")</f>
        <v/>
      </c>
    </row>
    <row r="1014">
      <c r="B1014" s="4" t="inlineStr">
        <is>
          <t>合計在庫(週末時点,kg)</t>
        </is>
      </c>
      <c r="D1014">
        <f>'Grid_Stock'!B31</f>
        <v/>
      </c>
      <c r="E1014">
        <f>'Grid_Stock'!C31</f>
        <v/>
      </c>
      <c r="F1014">
        <f>'Grid_Stock'!D31</f>
        <v/>
      </c>
      <c r="G1014">
        <f>'Grid_Stock'!E31</f>
        <v/>
      </c>
      <c r="H1014">
        <f>'Grid_Stock'!F31</f>
        <v/>
      </c>
      <c r="I1014">
        <f>'Grid_Stock'!G31</f>
        <v/>
      </c>
      <c r="J1014">
        <f>'Grid_Stock'!H31</f>
        <v/>
      </c>
      <c r="K1014">
        <f>'Grid_Stock'!I31</f>
        <v/>
      </c>
      <c r="L1014">
        <f>'Grid_Stock'!J31</f>
        <v/>
      </c>
      <c r="M1014">
        <f>'Grid_Stock'!K31</f>
        <v/>
      </c>
      <c r="N1014">
        <f>'Grid_Stock'!L31</f>
        <v/>
      </c>
      <c r="O1014">
        <f>'Grid_Stock'!M31</f>
        <v/>
      </c>
      <c r="P1014">
        <f>'Grid_Stock'!N31</f>
        <v/>
      </c>
      <c r="Q1014">
        <f>'Grid_Stock'!O31</f>
        <v/>
      </c>
      <c r="R1014">
        <f>'Grid_Stock'!P31</f>
        <v/>
      </c>
      <c r="S1014">
        <f>'Grid_Stock'!Q31</f>
        <v/>
      </c>
      <c r="T1014">
        <f>'Grid_Stock'!R31</f>
        <v/>
      </c>
      <c r="U1014">
        <f>'Grid_Stock'!S31</f>
        <v/>
      </c>
      <c r="V1014">
        <f>'Grid_Stock'!T31</f>
        <v/>
      </c>
      <c r="W1014">
        <f>'Grid_Stock'!U31</f>
        <v/>
      </c>
      <c r="X1014">
        <f>'Grid_Stock'!V31</f>
        <v/>
      </c>
      <c r="Y1014">
        <f>'Grid_Stock'!W31</f>
        <v/>
      </c>
      <c r="Z1014">
        <f>'Grid_Stock'!X31</f>
        <v/>
      </c>
      <c r="AA1014">
        <f>'Grid_Stock'!Y31</f>
        <v/>
      </c>
      <c r="AB1014">
        <f>'Grid_Stock'!Z31</f>
        <v/>
      </c>
      <c r="AC1014">
        <f>'Grid_Stock'!AA31</f>
        <v/>
      </c>
      <c r="AD1014">
        <f>'Grid_Stock'!AB31</f>
        <v/>
      </c>
      <c r="AE1014">
        <f>'Grid_Stock'!AC31</f>
        <v/>
      </c>
      <c r="AF1014">
        <f>'Grid_Stock'!AD31</f>
        <v/>
      </c>
      <c r="AG1014">
        <f>'Grid_Stock'!AE31</f>
        <v/>
      </c>
      <c r="AH1014">
        <f>'Grid_Stock'!AF31</f>
        <v/>
      </c>
      <c r="AI1014">
        <f>'Grid_Stock'!AG31</f>
        <v/>
      </c>
      <c r="AJ1014">
        <f>'Grid_Stock'!AH31</f>
        <v/>
      </c>
      <c r="AK1014">
        <f>'Grid_Stock'!AI31</f>
        <v/>
      </c>
      <c r="AL1014">
        <f>'Grid_Stock'!AJ31</f>
        <v/>
      </c>
      <c r="AM1014">
        <f>'Grid_Stock'!AK31</f>
        <v/>
      </c>
      <c r="AN1014">
        <f>'Grid_Stock'!AL31</f>
        <v/>
      </c>
      <c r="AO1014">
        <f>'Grid_Stock'!AM31</f>
        <v/>
      </c>
      <c r="AP1014">
        <f>'Grid_Stock'!AN31</f>
        <v/>
      </c>
      <c r="AQ1014">
        <f>'Grid_Stock'!AO31</f>
        <v/>
      </c>
      <c r="AR1014">
        <f>'Grid_Stock'!AP31</f>
        <v/>
      </c>
      <c r="AS1014">
        <f>'Grid_Stock'!AQ31</f>
        <v/>
      </c>
      <c r="AT1014">
        <f>'Grid_Stock'!AR31</f>
        <v/>
      </c>
      <c r="AU1014">
        <f>'Grid_Stock'!AS31</f>
        <v/>
      </c>
      <c r="AV1014">
        <f>'Grid_Stock'!AT31</f>
        <v/>
      </c>
      <c r="AW1014">
        <f>'Grid_Stock'!AU31</f>
        <v/>
      </c>
      <c r="AX1014">
        <f>'Grid_Stock'!AV31</f>
        <v/>
      </c>
      <c r="AY1014">
        <f>'Grid_Stock'!AW31</f>
        <v/>
      </c>
      <c r="AZ1014">
        <f>'Grid_Stock'!AX31</f>
        <v/>
      </c>
      <c r="BA1014">
        <f>'Grid_Stock'!AY31</f>
        <v/>
      </c>
      <c r="BB1014">
        <f>'Grid_Stock'!AZ31</f>
        <v/>
      </c>
      <c r="BC1014">
        <f>'Grid_Stock'!BA31</f>
        <v/>
      </c>
      <c r="BD1014">
        <f>'Grid_Stock'!BB31</f>
        <v/>
      </c>
      <c r="BE1014">
        <f>'Grid_Stock'!BC31</f>
        <v/>
      </c>
      <c r="BF1014">
        <f>'Grid_Stock'!BD31</f>
        <v/>
      </c>
      <c r="BG1014">
        <f>'Grid_Stock'!BE31</f>
        <v/>
      </c>
      <c r="BH1014">
        <f>'Grid_Stock'!BF31</f>
        <v/>
      </c>
      <c r="BI1014">
        <f>'Grid_Stock'!BG31</f>
        <v/>
      </c>
      <c r="BJ1014">
        <f>'Grid_Stock'!BH31</f>
        <v/>
      </c>
      <c r="BK1014">
        <f>'Grid_Stock'!BI31</f>
        <v/>
      </c>
      <c r="BL1014">
        <f>'Grid_Stock'!BJ31</f>
        <v/>
      </c>
      <c r="BM1014">
        <f>'Grid_Stock'!BK31</f>
        <v/>
      </c>
      <c r="BN1014">
        <f>'Grid_Stock'!BL31</f>
        <v/>
      </c>
      <c r="BO1014">
        <f>'Grid_Stock'!BM31</f>
        <v/>
      </c>
      <c r="BP1014">
        <f>'Grid_Stock'!BN31</f>
        <v/>
      </c>
      <c r="BQ1014">
        <f>'Grid_Stock'!BO31</f>
        <v/>
      </c>
      <c r="BR1014">
        <f>'Grid_Stock'!BP31</f>
        <v/>
      </c>
      <c r="BS1014">
        <f>'Grid_Stock'!BQ31</f>
        <v/>
      </c>
      <c r="BT1014">
        <f>'Grid_Stock'!BR31</f>
        <v/>
      </c>
      <c r="BU1014">
        <f>'Grid_Stock'!BS31</f>
        <v/>
      </c>
      <c r="BV1014">
        <f>'Grid_Stock'!BT31</f>
        <v/>
      </c>
      <c r="BW1014">
        <f>'Grid_Stock'!BU31</f>
        <v/>
      </c>
      <c r="BX1014">
        <f>'Grid_Stock'!BV31</f>
        <v/>
      </c>
      <c r="BY1014">
        <f>'Grid_Stock'!BW31</f>
        <v/>
      </c>
      <c r="BZ1014">
        <f>'Grid_Stock'!BX31</f>
        <v/>
      </c>
      <c r="CA1014">
        <f>'Grid_Stock'!BY31</f>
        <v/>
      </c>
      <c r="CB1014">
        <f>'Grid_Stock'!BZ31</f>
        <v/>
      </c>
      <c r="CC1014">
        <f>'Grid_Stock'!CA31</f>
        <v/>
      </c>
      <c r="CD1014">
        <f>'Grid_Stock'!CB31</f>
        <v/>
      </c>
      <c r="CE1014">
        <f>'Grid_Stock'!CC31</f>
        <v/>
      </c>
      <c r="CF1014">
        <f>'Grid_Stock'!CD31</f>
        <v/>
      </c>
      <c r="CG1014">
        <f>'Grid_Stock'!CE31</f>
        <v/>
      </c>
      <c r="CH1014">
        <f>'Grid_Stock'!CF31</f>
        <v/>
      </c>
      <c r="CI1014">
        <f>'Grid_Stock'!CG31</f>
        <v/>
      </c>
      <c r="CJ1014">
        <f>'Grid_Stock'!CH31</f>
        <v/>
      </c>
      <c r="CK1014">
        <f>'Grid_Stock'!CI31</f>
        <v/>
      </c>
      <c r="CL1014">
        <f>'Grid_Stock'!CJ31</f>
        <v/>
      </c>
      <c r="CM1014">
        <f>'Grid_Stock'!CK31</f>
        <v/>
      </c>
      <c r="CN1014">
        <f>'Grid_Stock'!CL31</f>
        <v/>
      </c>
      <c r="CO1014">
        <f>'Grid_Stock'!CM31</f>
        <v/>
      </c>
      <c r="CP1014">
        <f>'Grid_Stock'!CN31</f>
        <v/>
      </c>
      <c r="CQ1014">
        <f>'Grid_Stock'!CO31</f>
        <v/>
      </c>
      <c r="CR1014">
        <f>'Grid_Stock'!CP31</f>
        <v/>
      </c>
      <c r="CS1014">
        <f>'Grid_Stock'!CQ31</f>
        <v/>
      </c>
      <c r="CT1014">
        <f>'Grid_Stock'!CR31</f>
        <v/>
      </c>
      <c r="CU1014">
        <f>'Grid_Stock'!CS31</f>
        <v/>
      </c>
      <c r="CV1014">
        <f>'Grid_Stock'!CT31</f>
        <v/>
      </c>
      <c r="CW1014">
        <f>'Grid_Stock'!CU31</f>
        <v/>
      </c>
      <c r="CX1014">
        <f>'Grid_Stock'!CV31</f>
        <v/>
      </c>
      <c r="CY1014">
        <f>'Grid_Stock'!CW31</f>
        <v/>
      </c>
      <c r="CZ1014">
        <f>'Grid_Stock'!CX31</f>
        <v/>
      </c>
      <c r="DA1014">
        <f>'Grid_Stock'!CY31</f>
        <v/>
      </c>
      <c r="DB1014">
        <f>'Grid_Stock'!CZ31</f>
        <v/>
      </c>
      <c r="DC1014">
        <f>'Grid_Stock'!DA31</f>
        <v/>
      </c>
    </row>
    <row r="1015">
      <c r="B1015" s="16" t="inlineStr">
        <is>
          <t>（発注の目安はDashboardの基準在庫[下限/上限]と色分けを参照）</t>
        </is>
      </c>
    </row>
    <row r="1017">
      <c r="A1017" s="14" t="inlineStr">
        <is>
          <t>CHEM-1770</t>
        </is>
      </c>
      <c r="B1017" s="14" t="inlineStr">
        <is>
          <t>RCT-39</t>
        </is>
      </c>
      <c r="C1017" s="15" t="n"/>
      <c r="D1017" s="14" t="n"/>
      <c r="E1017" s="14" t="n"/>
      <c r="F1017" s="14" t="n"/>
      <c r="G1017" s="14" t="n"/>
      <c r="H1017" s="14" t="n"/>
      <c r="I1017" s="14" t="n"/>
      <c r="J1017" s="14" t="n"/>
      <c r="K1017" s="14" t="n"/>
      <c r="L1017" s="14" t="n"/>
      <c r="M1017" s="14" t="n"/>
      <c r="N1017" s="14" t="n"/>
      <c r="O1017" s="14" t="n"/>
      <c r="P1017" s="14" t="n"/>
      <c r="Q1017" s="14" t="n"/>
      <c r="R1017" s="14" t="n"/>
      <c r="S1017" s="14" t="n"/>
      <c r="T1017" s="14" t="n"/>
      <c r="U1017" s="14" t="n"/>
      <c r="V1017" s="14" t="n"/>
      <c r="W1017" s="14" t="n"/>
      <c r="X1017" s="14" t="n"/>
      <c r="Y1017" s="14" t="n"/>
      <c r="Z1017" s="14" t="n"/>
      <c r="AA1017" s="14" t="n"/>
      <c r="AB1017" s="14" t="n"/>
      <c r="AC1017" s="14" t="n"/>
      <c r="AD1017" s="14" t="n"/>
      <c r="AE1017" s="14" t="n"/>
      <c r="AF1017" s="14" t="n"/>
      <c r="AG1017" s="14" t="n"/>
      <c r="AH1017" s="14" t="n"/>
      <c r="AI1017" s="14" t="n"/>
      <c r="AJ1017" s="14" t="n"/>
      <c r="AK1017" s="14" t="n"/>
      <c r="AL1017" s="14" t="n"/>
      <c r="AM1017" s="14" t="n"/>
      <c r="AN1017" s="14" t="n"/>
      <c r="AO1017" s="14" t="n"/>
      <c r="AP1017" s="14" t="n"/>
      <c r="AQ1017" s="14" t="n"/>
      <c r="AR1017" s="14" t="n"/>
      <c r="AS1017" s="14" t="n"/>
      <c r="AT1017" s="14" t="n"/>
      <c r="AU1017" s="14" t="n"/>
      <c r="AV1017" s="14" t="n"/>
      <c r="AW1017" s="14" t="n"/>
      <c r="AX1017" s="14" t="n"/>
      <c r="AY1017" s="14" t="n"/>
      <c r="AZ1017" s="14" t="n"/>
      <c r="BA1017" s="14" t="n"/>
      <c r="BB1017" s="14" t="n"/>
      <c r="BC1017" s="14" t="n"/>
      <c r="BD1017" s="14" t="n"/>
      <c r="BE1017" s="14" t="n"/>
      <c r="BF1017" s="14" t="n"/>
      <c r="BG1017" s="14" t="n"/>
      <c r="BH1017" s="14" t="n"/>
      <c r="BI1017" s="14" t="n"/>
      <c r="BJ1017" s="14" t="n"/>
      <c r="BK1017" s="14" t="n"/>
      <c r="BL1017" s="14" t="n"/>
      <c r="BM1017" s="14" t="n"/>
      <c r="BN1017" s="14" t="n"/>
      <c r="BO1017" s="14" t="n"/>
      <c r="BP1017" s="14" t="n"/>
      <c r="BQ1017" s="14" t="n"/>
      <c r="BR1017" s="14" t="n"/>
      <c r="BS1017" s="14" t="n"/>
      <c r="BT1017" s="14" t="n"/>
      <c r="BU1017" s="14" t="n"/>
      <c r="BV1017" s="14" t="n"/>
      <c r="BW1017" s="14" t="n"/>
      <c r="BX1017" s="14" t="n"/>
      <c r="BY1017" s="14" t="n"/>
      <c r="BZ1017" s="14" t="n"/>
      <c r="CA1017" s="14" t="n"/>
      <c r="CB1017" s="14" t="n"/>
      <c r="CC1017" s="14" t="n"/>
      <c r="CD1017" s="14" t="n"/>
      <c r="CE1017" s="14" t="n"/>
      <c r="CF1017" s="14" t="n"/>
      <c r="CG1017" s="14" t="n"/>
      <c r="CH1017" s="14" t="n"/>
      <c r="CI1017" s="14" t="n"/>
      <c r="CJ1017" s="14" t="n"/>
      <c r="CK1017" s="14" t="n"/>
      <c r="CL1017" s="14" t="n"/>
      <c r="CM1017" s="14" t="n"/>
      <c r="CN1017" s="14" t="n"/>
      <c r="CO1017" s="14" t="n"/>
      <c r="CP1017" s="14" t="n"/>
      <c r="CQ1017" s="14" t="n"/>
      <c r="CR1017" s="14" t="n"/>
      <c r="CS1017" s="14" t="n"/>
      <c r="CT1017" s="14" t="n"/>
      <c r="CU1017" s="14" t="n"/>
      <c r="CV1017" s="14" t="n"/>
      <c r="CW1017" s="14" t="n"/>
      <c r="CX1017" s="14" t="n"/>
      <c r="CY1017" s="14" t="n"/>
      <c r="CZ1017" s="14" t="n"/>
      <c r="DA1017" s="14" t="n"/>
      <c r="DB1017" s="14" t="n"/>
      <c r="DC1017" s="14" t="n"/>
    </row>
    <row r="1018">
      <c r="B1018" t="inlineStr">
        <is>
          <t>TPP-635</t>
        </is>
      </c>
      <c r="C1018" t="inlineStr">
        <is>
          <t>No. of batches</t>
        </is>
      </c>
      <c r="D1018">
        <f>IFERROR(INDEX(PP_Grid[#Data],$DD1018,2),0)</f>
        <v/>
      </c>
      <c r="E1018">
        <f>IFERROR(INDEX(PP_Grid[#Data],$DD1018,3),0)</f>
        <v/>
      </c>
      <c r="F1018">
        <f>IFERROR(INDEX(PP_Grid[#Data],$DD1018,4),0)</f>
        <v/>
      </c>
      <c r="G1018">
        <f>IFERROR(INDEX(PP_Grid[#Data],$DD1018,5),0)</f>
        <v/>
      </c>
      <c r="H1018">
        <f>IFERROR(INDEX(PP_Grid[#Data],$DD1018,6),0)</f>
        <v/>
      </c>
      <c r="I1018">
        <f>IFERROR(INDEX(PP_Grid[#Data],$DD1018,7),0)</f>
        <v/>
      </c>
      <c r="J1018">
        <f>IFERROR(INDEX(PP_Grid[#Data],$DD1018,8),0)</f>
        <v/>
      </c>
      <c r="K1018">
        <f>IFERROR(INDEX(PP_Grid[#Data],$DD1018,9),0)</f>
        <v/>
      </c>
      <c r="L1018">
        <f>IFERROR(INDEX(PP_Grid[#Data],$DD1018,10),0)</f>
        <v/>
      </c>
      <c r="M1018">
        <f>IFERROR(INDEX(PP_Grid[#Data],$DD1018,11),0)</f>
        <v/>
      </c>
      <c r="N1018">
        <f>IFERROR(INDEX(PP_Grid[#Data],$DD1018,12),0)</f>
        <v/>
      </c>
      <c r="O1018">
        <f>IFERROR(INDEX(PP_Grid[#Data],$DD1018,13),0)</f>
        <v/>
      </c>
      <c r="P1018">
        <f>IFERROR(INDEX(PP_Grid[#Data],$DD1018,14),0)</f>
        <v/>
      </c>
      <c r="Q1018">
        <f>IFERROR(INDEX(PP_Grid[#Data],$DD1018,15),0)</f>
        <v/>
      </c>
      <c r="R1018">
        <f>IFERROR(INDEX(PP_Grid[#Data],$DD1018,16),0)</f>
        <v/>
      </c>
      <c r="S1018">
        <f>IFERROR(INDEX(PP_Grid[#Data],$DD1018,17),0)</f>
        <v/>
      </c>
      <c r="T1018">
        <f>IFERROR(INDEX(PP_Grid[#Data],$DD1018,18),0)</f>
        <v/>
      </c>
      <c r="U1018">
        <f>IFERROR(INDEX(PP_Grid[#Data],$DD1018,19),0)</f>
        <v/>
      </c>
      <c r="V1018">
        <f>IFERROR(INDEX(PP_Grid[#Data],$DD1018,20),0)</f>
        <v/>
      </c>
      <c r="W1018">
        <f>IFERROR(INDEX(PP_Grid[#Data],$DD1018,21),0)</f>
        <v/>
      </c>
      <c r="X1018">
        <f>IFERROR(INDEX(PP_Grid[#Data],$DD1018,22),0)</f>
        <v/>
      </c>
      <c r="Y1018">
        <f>IFERROR(INDEX(PP_Grid[#Data],$DD1018,23),0)</f>
        <v/>
      </c>
      <c r="Z1018">
        <f>IFERROR(INDEX(PP_Grid[#Data],$DD1018,24),0)</f>
        <v/>
      </c>
      <c r="AA1018">
        <f>IFERROR(INDEX(PP_Grid[#Data],$DD1018,25),0)</f>
        <v/>
      </c>
      <c r="AB1018">
        <f>IFERROR(INDEX(PP_Grid[#Data],$DD1018,26),0)</f>
        <v/>
      </c>
      <c r="AC1018">
        <f>IFERROR(INDEX(PP_Grid[#Data],$DD1018,27),0)</f>
        <v/>
      </c>
      <c r="AD1018">
        <f>IFERROR(INDEX(PP_Grid[#Data],$DD1018,28),0)</f>
        <v/>
      </c>
      <c r="AE1018">
        <f>IFERROR(INDEX(PP_Grid[#Data],$DD1018,29),0)</f>
        <v/>
      </c>
      <c r="AF1018">
        <f>IFERROR(INDEX(PP_Grid[#Data],$DD1018,30),0)</f>
        <v/>
      </c>
      <c r="AG1018">
        <f>IFERROR(INDEX(PP_Grid[#Data],$DD1018,31),0)</f>
        <v/>
      </c>
      <c r="AH1018">
        <f>IFERROR(INDEX(PP_Grid[#Data],$DD1018,32),0)</f>
        <v/>
      </c>
      <c r="AI1018">
        <f>IFERROR(INDEX(PP_Grid[#Data],$DD1018,33),0)</f>
        <v/>
      </c>
      <c r="AJ1018">
        <f>IFERROR(INDEX(PP_Grid[#Data],$DD1018,34),0)</f>
        <v/>
      </c>
      <c r="AK1018">
        <f>IFERROR(INDEX(PP_Grid[#Data],$DD1018,35),0)</f>
        <v/>
      </c>
      <c r="AL1018">
        <f>IFERROR(INDEX(PP_Grid[#Data],$DD1018,36),0)</f>
        <v/>
      </c>
      <c r="AM1018">
        <f>IFERROR(INDEX(PP_Grid[#Data],$DD1018,37),0)</f>
        <v/>
      </c>
      <c r="AN1018">
        <f>IFERROR(INDEX(PP_Grid[#Data],$DD1018,38),0)</f>
        <v/>
      </c>
      <c r="AO1018">
        <f>IFERROR(INDEX(PP_Grid[#Data],$DD1018,39),0)</f>
        <v/>
      </c>
      <c r="AP1018">
        <f>IFERROR(INDEX(PP_Grid[#Data],$DD1018,40),0)</f>
        <v/>
      </c>
      <c r="AQ1018">
        <f>IFERROR(INDEX(PP_Grid[#Data],$DD1018,41),0)</f>
        <v/>
      </c>
      <c r="AR1018">
        <f>IFERROR(INDEX(PP_Grid[#Data],$DD1018,42),0)</f>
        <v/>
      </c>
      <c r="AS1018">
        <f>IFERROR(INDEX(PP_Grid[#Data],$DD1018,43),0)</f>
        <v/>
      </c>
      <c r="AT1018">
        <f>IFERROR(INDEX(PP_Grid[#Data],$DD1018,44),0)</f>
        <v/>
      </c>
      <c r="AU1018">
        <f>IFERROR(INDEX(PP_Grid[#Data],$DD1018,45),0)</f>
        <v/>
      </c>
      <c r="AV1018">
        <f>IFERROR(INDEX(PP_Grid[#Data],$DD1018,46),0)</f>
        <v/>
      </c>
      <c r="AW1018">
        <f>IFERROR(INDEX(PP_Grid[#Data],$DD1018,47),0)</f>
        <v/>
      </c>
      <c r="AX1018">
        <f>IFERROR(INDEX(PP_Grid[#Data],$DD1018,48),0)</f>
        <v/>
      </c>
      <c r="AY1018">
        <f>IFERROR(INDEX(PP_Grid[#Data],$DD1018,49),0)</f>
        <v/>
      </c>
      <c r="AZ1018">
        <f>IFERROR(INDEX(PP_Grid[#Data],$DD1018,50),0)</f>
        <v/>
      </c>
      <c r="BA1018">
        <f>IFERROR(INDEX(PP_Grid[#Data],$DD1018,51),0)</f>
        <v/>
      </c>
      <c r="BB1018">
        <f>IFERROR(INDEX(PP_Grid[#Data],$DD1018,52),0)</f>
        <v/>
      </c>
      <c r="BC1018">
        <f>IFERROR(INDEX(PP_Grid[#Data],$DD1018,53),0)</f>
        <v/>
      </c>
      <c r="BD1018">
        <f>IFERROR(INDEX(PP_Grid[#Data],$DD1018,54),0)</f>
        <v/>
      </c>
      <c r="BE1018">
        <f>IFERROR(INDEX(PP_Grid[#Data],$DD1018,55),0)</f>
        <v/>
      </c>
      <c r="BF1018">
        <f>IFERROR(INDEX(PP_Grid[#Data],$DD1018,56),0)</f>
        <v/>
      </c>
      <c r="BG1018">
        <f>IFERROR(INDEX(PP_Grid[#Data],$DD1018,57),0)</f>
        <v/>
      </c>
      <c r="BH1018">
        <f>IFERROR(INDEX(PP_Grid[#Data],$DD1018,58),0)</f>
        <v/>
      </c>
      <c r="BI1018">
        <f>IFERROR(INDEX(PP_Grid[#Data],$DD1018,59),0)</f>
        <v/>
      </c>
      <c r="BJ1018">
        <f>IFERROR(INDEX(PP_Grid[#Data],$DD1018,60),0)</f>
        <v/>
      </c>
      <c r="BK1018">
        <f>IFERROR(INDEX(PP_Grid[#Data],$DD1018,61),0)</f>
        <v/>
      </c>
      <c r="BL1018">
        <f>IFERROR(INDEX(PP_Grid[#Data],$DD1018,62),0)</f>
        <v/>
      </c>
      <c r="BM1018">
        <f>IFERROR(INDEX(PP_Grid[#Data],$DD1018,63),0)</f>
        <v/>
      </c>
      <c r="BN1018">
        <f>IFERROR(INDEX(PP_Grid[#Data],$DD1018,64),0)</f>
        <v/>
      </c>
      <c r="BO1018">
        <f>IFERROR(INDEX(PP_Grid[#Data],$DD1018,65),0)</f>
        <v/>
      </c>
      <c r="BP1018">
        <f>IFERROR(INDEX(PP_Grid[#Data],$DD1018,66),0)</f>
        <v/>
      </c>
      <c r="BQ1018">
        <f>IFERROR(INDEX(PP_Grid[#Data],$DD1018,67),0)</f>
        <v/>
      </c>
      <c r="BR1018">
        <f>IFERROR(INDEX(PP_Grid[#Data],$DD1018,68),0)</f>
        <v/>
      </c>
      <c r="BS1018">
        <f>IFERROR(INDEX(PP_Grid[#Data],$DD1018,69),0)</f>
        <v/>
      </c>
      <c r="BT1018">
        <f>IFERROR(INDEX(PP_Grid[#Data],$DD1018,70),0)</f>
        <v/>
      </c>
      <c r="BU1018">
        <f>IFERROR(INDEX(PP_Grid[#Data],$DD1018,71),0)</f>
        <v/>
      </c>
      <c r="BV1018">
        <f>IFERROR(INDEX(PP_Grid[#Data],$DD1018,72),0)</f>
        <v/>
      </c>
      <c r="BW1018">
        <f>IFERROR(INDEX(PP_Grid[#Data],$DD1018,73),0)</f>
        <v/>
      </c>
      <c r="BX1018">
        <f>IFERROR(INDEX(PP_Grid[#Data],$DD1018,74),0)</f>
        <v/>
      </c>
      <c r="BY1018">
        <f>IFERROR(INDEX(PP_Grid[#Data],$DD1018,75),0)</f>
        <v/>
      </c>
      <c r="BZ1018">
        <f>IFERROR(INDEX(PP_Grid[#Data],$DD1018,76),0)</f>
        <v/>
      </c>
      <c r="CA1018">
        <f>IFERROR(INDEX(PP_Grid[#Data],$DD1018,77),0)</f>
        <v/>
      </c>
      <c r="CB1018">
        <f>IFERROR(INDEX(PP_Grid[#Data],$DD1018,78),0)</f>
        <v/>
      </c>
      <c r="CC1018">
        <f>IFERROR(INDEX(PP_Grid[#Data],$DD1018,79),0)</f>
        <v/>
      </c>
      <c r="CD1018">
        <f>IFERROR(INDEX(PP_Grid[#Data],$DD1018,80),0)</f>
        <v/>
      </c>
      <c r="CE1018">
        <f>IFERROR(INDEX(PP_Grid[#Data],$DD1018,81),0)</f>
        <v/>
      </c>
      <c r="CF1018">
        <f>IFERROR(INDEX(PP_Grid[#Data],$DD1018,82),0)</f>
        <v/>
      </c>
      <c r="CG1018">
        <f>IFERROR(INDEX(PP_Grid[#Data],$DD1018,83),0)</f>
        <v/>
      </c>
      <c r="CH1018">
        <f>IFERROR(INDEX(PP_Grid[#Data],$DD1018,84),0)</f>
        <v/>
      </c>
      <c r="CI1018">
        <f>IFERROR(INDEX(PP_Grid[#Data],$DD1018,85),0)</f>
        <v/>
      </c>
      <c r="CJ1018">
        <f>IFERROR(INDEX(PP_Grid[#Data],$DD1018,86),0)</f>
        <v/>
      </c>
      <c r="CK1018">
        <f>IFERROR(INDEX(PP_Grid[#Data],$DD1018,87),0)</f>
        <v/>
      </c>
      <c r="CL1018">
        <f>IFERROR(INDEX(PP_Grid[#Data],$DD1018,88),0)</f>
        <v/>
      </c>
      <c r="CM1018">
        <f>IFERROR(INDEX(PP_Grid[#Data],$DD1018,89),0)</f>
        <v/>
      </c>
      <c r="CN1018">
        <f>IFERROR(INDEX(PP_Grid[#Data],$DD1018,90),0)</f>
        <v/>
      </c>
      <c r="CO1018">
        <f>IFERROR(INDEX(PP_Grid[#Data],$DD1018,91),0)</f>
        <v/>
      </c>
      <c r="CP1018">
        <f>IFERROR(INDEX(PP_Grid[#Data],$DD1018,92),0)</f>
        <v/>
      </c>
      <c r="CQ1018">
        <f>IFERROR(INDEX(PP_Grid[#Data],$DD1018,93),0)</f>
        <v/>
      </c>
      <c r="CR1018">
        <f>IFERROR(INDEX(PP_Grid[#Data],$DD1018,94),0)</f>
        <v/>
      </c>
      <c r="CS1018">
        <f>IFERROR(INDEX(PP_Grid[#Data],$DD1018,95),0)</f>
        <v/>
      </c>
      <c r="CT1018">
        <f>IFERROR(INDEX(PP_Grid[#Data],$DD1018,96),0)</f>
        <v/>
      </c>
      <c r="CU1018">
        <f>IFERROR(INDEX(PP_Grid[#Data],$DD1018,97),0)</f>
        <v/>
      </c>
      <c r="CV1018">
        <f>IFERROR(INDEX(PP_Grid[#Data],$DD1018,98),0)</f>
        <v/>
      </c>
      <c r="CW1018">
        <f>IFERROR(INDEX(PP_Grid[#Data],$DD1018,99),0)</f>
        <v/>
      </c>
      <c r="CX1018">
        <f>IFERROR(INDEX(PP_Grid[#Data],$DD1018,100),0)</f>
        <v/>
      </c>
      <c r="CY1018">
        <f>IFERROR(INDEX(PP_Grid[#Data],$DD1018,101),0)</f>
        <v/>
      </c>
      <c r="CZ1018">
        <f>IFERROR(INDEX(PP_Grid[#Data],$DD1018,102),0)</f>
        <v/>
      </c>
      <c r="DA1018">
        <f>IFERROR(INDEX(PP_Grid[#Data],$DD1018,103),0)</f>
        <v/>
      </c>
      <c r="DB1018">
        <f>IFERROR(INDEX(PP_Grid[#Data],$DD1018,104),0)</f>
        <v/>
      </c>
      <c r="DC1018">
        <f>IFERROR(INDEX(PP_Grid[#Data],$DD1018,105),0)</f>
        <v/>
      </c>
      <c r="DD1018" s="7">
        <f>IFERROR(MATCH($B1018,PP_Grid[Intermediate],0),99999)</f>
        <v/>
      </c>
    </row>
    <row r="1019">
      <c r="B1019" t="inlineStr">
        <is>
          <t>使用量(kg)</t>
        </is>
      </c>
      <c r="C1019">
        <f>SUMIFS(M_BOM[RM_Qty_Per_Batch],M_BOM[Intermediate],$B1018,M_BOM[Part Name],$A1017)</f>
        <v/>
      </c>
      <c r="D1019">
        <f>$C1019*D1018</f>
        <v/>
      </c>
      <c r="E1019">
        <f>$C1019*E1018</f>
        <v/>
      </c>
      <c r="F1019">
        <f>$C1019*F1018</f>
        <v/>
      </c>
      <c r="G1019">
        <f>$C1019*G1018</f>
        <v/>
      </c>
      <c r="H1019">
        <f>$C1019*H1018</f>
        <v/>
      </c>
      <c r="I1019">
        <f>$C1019*I1018</f>
        <v/>
      </c>
      <c r="J1019">
        <f>$C1019*J1018</f>
        <v/>
      </c>
      <c r="K1019">
        <f>$C1019*K1018</f>
        <v/>
      </c>
      <c r="L1019">
        <f>$C1019*L1018</f>
        <v/>
      </c>
      <c r="M1019">
        <f>$C1019*M1018</f>
        <v/>
      </c>
      <c r="N1019">
        <f>$C1019*N1018</f>
        <v/>
      </c>
      <c r="O1019">
        <f>$C1019*O1018</f>
        <v/>
      </c>
      <c r="P1019">
        <f>$C1019*P1018</f>
        <v/>
      </c>
      <c r="Q1019">
        <f>$C1019*Q1018</f>
        <v/>
      </c>
      <c r="R1019">
        <f>$C1019*R1018</f>
        <v/>
      </c>
      <c r="S1019">
        <f>$C1019*S1018</f>
        <v/>
      </c>
      <c r="T1019">
        <f>$C1019*T1018</f>
        <v/>
      </c>
      <c r="U1019">
        <f>$C1019*U1018</f>
        <v/>
      </c>
      <c r="V1019">
        <f>$C1019*V1018</f>
        <v/>
      </c>
      <c r="W1019">
        <f>$C1019*W1018</f>
        <v/>
      </c>
      <c r="X1019">
        <f>$C1019*X1018</f>
        <v/>
      </c>
      <c r="Y1019">
        <f>$C1019*Y1018</f>
        <v/>
      </c>
      <c r="Z1019">
        <f>$C1019*Z1018</f>
        <v/>
      </c>
      <c r="AA1019">
        <f>$C1019*AA1018</f>
        <v/>
      </c>
      <c r="AB1019">
        <f>$C1019*AB1018</f>
        <v/>
      </c>
      <c r="AC1019">
        <f>$C1019*AC1018</f>
        <v/>
      </c>
      <c r="AD1019">
        <f>$C1019*AD1018</f>
        <v/>
      </c>
      <c r="AE1019">
        <f>$C1019*AE1018</f>
        <v/>
      </c>
      <c r="AF1019">
        <f>$C1019*AF1018</f>
        <v/>
      </c>
      <c r="AG1019">
        <f>$C1019*AG1018</f>
        <v/>
      </c>
      <c r="AH1019">
        <f>$C1019*AH1018</f>
        <v/>
      </c>
      <c r="AI1019">
        <f>$C1019*AI1018</f>
        <v/>
      </c>
      <c r="AJ1019">
        <f>$C1019*AJ1018</f>
        <v/>
      </c>
      <c r="AK1019">
        <f>$C1019*AK1018</f>
        <v/>
      </c>
      <c r="AL1019">
        <f>$C1019*AL1018</f>
        <v/>
      </c>
      <c r="AM1019">
        <f>$C1019*AM1018</f>
        <v/>
      </c>
      <c r="AN1019">
        <f>$C1019*AN1018</f>
        <v/>
      </c>
      <c r="AO1019">
        <f>$C1019*AO1018</f>
        <v/>
      </c>
      <c r="AP1019">
        <f>$C1019*AP1018</f>
        <v/>
      </c>
      <c r="AQ1019">
        <f>$C1019*AQ1018</f>
        <v/>
      </c>
      <c r="AR1019">
        <f>$C1019*AR1018</f>
        <v/>
      </c>
      <c r="AS1019">
        <f>$C1019*AS1018</f>
        <v/>
      </c>
      <c r="AT1019">
        <f>$C1019*AT1018</f>
        <v/>
      </c>
      <c r="AU1019">
        <f>$C1019*AU1018</f>
        <v/>
      </c>
      <c r="AV1019">
        <f>$C1019*AV1018</f>
        <v/>
      </c>
      <c r="AW1019">
        <f>$C1019*AW1018</f>
        <v/>
      </c>
      <c r="AX1019">
        <f>$C1019*AX1018</f>
        <v/>
      </c>
      <c r="AY1019">
        <f>$C1019*AY1018</f>
        <v/>
      </c>
      <c r="AZ1019">
        <f>$C1019*AZ1018</f>
        <v/>
      </c>
      <c r="BA1019">
        <f>$C1019*BA1018</f>
        <v/>
      </c>
      <c r="BB1019">
        <f>$C1019*BB1018</f>
        <v/>
      </c>
      <c r="BC1019">
        <f>$C1019*BC1018</f>
        <v/>
      </c>
      <c r="BD1019">
        <f>$C1019*BD1018</f>
        <v/>
      </c>
      <c r="BE1019">
        <f>$C1019*BE1018</f>
        <v/>
      </c>
      <c r="BF1019">
        <f>$C1019*BF1018</f>
        <v/>
      </c>
      <c r="BG1019">
        <f>$C1019*BG1018</f>
        <v/>
      </c>
      <c r="BH1019">
        <f>$C1019*BH1018</f>
        <v/>
      </c>
      <c r="BI1019">
        <f>$C1019*BI1018</f>
        <v/>
      </c>
      <c r="BJ1019">
        <f>$C1019*BJ1018</f>
        <v/>
      </c>
      <c r="BK1019">
        <f>$C1019*BK1018</f>
        <v/>
      </c>
      <c r="BL1019">
        <f>$C1019*BL1018</f>
        <v/>
      </c>
      <c r="BM1019">
        <f>$C1019*BM1018</f>
        <v/>
      </c>
      <c r="BN1019">
        <f>$C1019*BN1018</f>
        <v/>
      </c>
      <c r="BO1019">
        <f>$C1019*BO1018</f>
        <v/>
      </c>
      <c r="BP1019">
        <f>$C1019*BP1018</f>
        <v/>
      </c>
      <c r="BQ1019">
        <f>$C1019*BQ1018</f>
        <v/>
      </c>
      <c r="BR1019">
        <f>$C1019*BR1018</f>
        <v/>
      </c>
      <c r="BS1019">
        <f>$C1019*BS1018</f>
        <v/>
      </c>
      <c r="BT1019">
        <f>$C1019*BT1018</f>
        <v/>
      </c>
      <c r="BU1019">
        <f>$C1019*BU1018</f>
        <v/>
      </c>
      <c r="BV1019">
        <f>$C1019*BV1018</f>
        <v/>
      </c>
      <c r="BW1019">
        <f>$C1019*BW1018</f>
        <v/>
      </c>
      <c r="BX1019">
        <f>$C1019*BX1018</f>
        <v/>
      </c>
      <c r="BY1019">
        <f>$C1019*BY1018</f>
        <v/>
      </c>
      <c r="BZ1019">
        <f>$C1019*BZ1018</f>
        <v/>
      </c>
      <c r="CA1019">
        <f>$C1019*CA1018</f>
        <v/>
      </c>
      <c r="CB1019">
        <f>$C1019*CB1018</f>
        <v/>
      </c>
      <c r="CC1019">
        <f>$C1019*CC1018</f>
        <v/>
      </c>
      <c r="CD1019">
        <f>$C1019*CD1018</f>
        <v/>
      </c>
      <c r="CE1019">
        <f>$C1019*CE1018</f>
        <v/>
      </c>
      <c r="CF1019">
        <f>$C1019*CF1018</f>
        <v/>
      </c>
      <c r="CG1019">
        <f>$C1019*CG1018</f>
        <v/>
      </c>
      <c r="CH1019">
        <f>$C1019*CH1018</f>
        <v/>
      </c>
      <c r="CI1019">
        <f>$C1019*CI1018</f>
        <v/>
      </c>
      <c r="CJ1019">
        <f>$C1019*CJ1018</f>
        <v/>
      </c>
      <c r="CK1019">
        <f>$C1019*CK1018</f>
        <v/>
      </c>
      <c r="CL1019">
        <f>$C1019*CL1018</f>
        <v/>
      </c>
      <c r="CM1019">
        <f>$C1019*CM1018</f>
        <v/>
      </c>
      <c r="CN1019">
        <f>$C1019*CN1018</f>
        <v/>
      </c>
      <c r="CO1019">
        <f>$C1019*CO1018</f>
        <v/>
      </c>
      <c r="CP1019">
        <f>$C1019*CP1018</f>
        <v/>
      </c>
      <c r="CQ1019">
        <f>$C1019*CQ1018</f>
        <v/>
      </c>
      <c r="CR1019">
        <f>$C1019*CR1018</f>
        <v/>
      </c>
      <c r="CS1019">
        <f>$C1019*CS1018</f>
        <v/>
      </c>
      <c r="CT1019">
        <f>$C1019*CT1018</f>
        <v/>
      </c>
      <c r="CU1019">
        <f>$C1019*CU1018</f>
        <v/>
      </c>
      <c r="CV1019">
        <f>$C1019*CV1018</f>
        <v/>
      </c>
      <c r="CW1019">
        <f>$C1019*CW1018</f>
        <v/>
      </c>
      <c r="CX1019">
        <f>$C1019*CX1018</f>
        <v/>
      </c>
      <c r="CY1019">
        <f>$C1019*CY1018</f>
        <v/>
      </c>
      <c r="CZ1019">
        <f>$C1019*CZ1018</f>
        <v/>
      </c>
      <c r="DA1019">
        <f>$C1019*DA1018</f>
        <v/>
      </c>
      <c r="DB1019">
        <f>$C1019*DB1018</f>
        <v/>
      </c>
      <c r="DC1019">
        <f>$C1019*DC1018</f>
        <v/>
      </c>
    </row>
    <row r="1020">
      <c r="B1020" t="inlineStr">
        <is>
          <t>No of times used</t>
        </is>
      </c>
      <c r="C1020" t="inlineStr">
        <is>
          <t>No. of batches</t>
        </is>
      </c>
      <c r="D1020">
        <f>IFERROR(INDEX(PP_Grid[#Data],$DD1020,2),0)</f>
        <v/>
      </c>
      <c r="E1020">
        <f>IFERROR(INDEX(PP_Grid[#Data],$DD1020,3),0)</f>
        <v/>
      </c>
      <c r="F1020">
        <f>IFERROR(INDEX(PP_Grid[#Data],$DD1020,4),0)</f>
        <v/>
      </c>
      <c r="G1020">
        <f>IFERROR(INDEX(PP_Grid[#Data],$DD1020,5),0)</f>
        <v/>
      </c>
      <c r="H1020">
        <f>IFERROR(INDEX(PP_Grid[#Data],$DD1020,6),0)</f>
        <v/>
      </c>
      <c r="I1020">
        <f>IFERROR(INDEX(PP_Grid[#Data],$DD1020,7),0)</f>
        <v/>
      </c>
      <c r="J1020">
        <f>IFERROR(INDEX(PP_Grid[#Data],$DD1020,8),0)</f>
        <v/>
      </c>
      <c r="K1020">
        <f>IFERROR(INDEX(PP_Grid[#Data],$DD1020,9),0)</f>
        <v/>
      </c>
      <c r="L1020">
        <f>IFERROR(INDEX(PP_Grid[#Data],$DD1020,10),0)</f>
        <v/>
      </c>
      <c r="M1020">
        <f>IFERROR(INDEX(PP_Grid[#Data],$DD1020,11),0)</f>
        <v/>
      </c>
      <c r="N1020">
        <f>IFERROR(INDEX(PP_Grid[#Data],$DD1020,12),0)</f>
        <v/>
      </c>
      <c r="O1020">
        <f>IFERROR(INDEX(PP_Grid[#Data],$DD1020,13),0)</f>
        <v/>
      </c>
      <c r="P1020">
        <f>IFERROR(INDEX(PP_Grid[#Data],$DD1020,14),0)</f>
        <v/>
      </c>
      <c r="Q1020">
        <f>IFERROR(INDEX(PP_Grid[#Data],$DD1020,15),0)</f>
        <v/>
      </c>
      <c r="R1020">
        <f>IFERROR(INDEX(PP_Grid[#Data],$DD1020,16),0)</f>
        <v/>
      </c>
      <c r="S1020">
        <f>IFERROR(INDEX(PP_Grid[#Data],$DD1020,17),0)</f>
        <v/>
      </c>
      <c r="T1020">
        <f>IFERROR(INDEX(PP_Grid[#Data],$DD1020,18),0)</f>
        <v/>
      </c>
      <c r="U1020">
        <f>IFERROR(INDEX(PP_Grid[#Data],$DD1020,19),0)</f>
        <v/>
      </c>
      <c r="V1020">
        <f>IFERROR(INDEX(PP_Grid[#Data],$DD1020,20),0)</f>
        <v/>
      </c>
      <c r="W1020">
        <f>IFERROR(INDEX(PP_Grid[#Data],$DD1020,21),0)</f>
        <v/>
      </c>
      <c r="X1020">
        <f>IFERROR(INDEX(PP_Grid[#Data],$DD1020,22),0)</f>
        <v/>
      </c>
      <c r="Y1020">
        <f>IFERROR(INDEX(PP_Grid[#Data],$DD1020,23),0)</f>
        <v/>
      </c>
      <c r="Z1020">
        <f>IFERROR(INDEX(PP_Grid[#Data],$DD1020,24),0)</f>
        <v/>
      </c>
      <c r="AA1020">
        <f>IFERROR(INDEX(PP_Grid[#Data],$DD1020,25),0)</f>
        <v/>
      </c>
      <c r="AB1020">
        <f>IFERROR(INDEX(PP_Grid[#Data],$DD1020,26),0)</f>
        <v/>
      </c>
      <c r="AC1020">
        <f>IFERROR(INDEX(PP_Grid[#Data],$DD1020,27),0)</f>
        <v/>
      </c>
      <c r="AD1020">
        <f>IFERROR(INDEX(PP_Grid[#Data],$DD1020,28),0)</f>
        <v/>
      </c>
      <c r="AE1020">
        <f>IFERROR(INDEX(PP_Grid[#Data],$DD1020,29),0)</f>
        <v/>
      </c>
      <c r="AF1020">
        <f>IFERROR(INDEX(PP_Grid[#Data],$DD1020,30),0)</f>
        <v/>
      </c>
      <c r="AG1020">
        <f>IFERROR(INDEX(PP_Grid[#Data],$DD1020,31),0)</f>
        <v/>
      </c>
      <c r="AH1020">
        <f>IFERROR(INDEX(PP_Grid[#Data],$DD1020,32),0)</f>
        <v/>
      </c>
      <c r="AI1020">
        <f>IFERROR(INDEX(PP_Grid[#Data],$DD1020,33),0)</f>
        <v/>
      </c>
      <c r="AJ1020">
        <f>IFERROR(INDEX(PP_Grid[#Data],$DD1020,34),0)</f>
        <v/>
      </c>
      <c r="AK1020">
        <f>IFERROR(INDEX(PP_Grid[#Data],$DD1020,35),0)</f>
        <v/>
      </c>
      <c r="AL1020">
        <f>IFERROR(INDEX(PP_Grid[#Data],$DD1020,36),0)</f>
        <v/>
      </c>
      <c r="AM1020">
        <f>IFERROR(INDEX(PP_Grid[#Data],$DD1020,37),0)</f>
        <v/>
      </c>
      <c r="AN1020">
        <f>IFERROR(INDEX(PP_Grid[#Data],$DD1020,38),0)</f>
        <v/>
      </c>
      <c r="AO1020">
        <f>IFERROR(INDEX(PP_Grid[#Data],$DD1020,39),0)</f>
        <v/>
      </c>
      <c r="AP1020">
        <f>IFERROR(INDEX(PP_Grid[#Data],$DD1020,40),0)</f>
        <v/>
      </c>
      <c r="AQ1020">
        <f>IFERROR(INDEX(PP_Grid[#Data],$DD1020,41),0)</f>
        <v/>
      </c>
      <c r="AR1020">
        <f>IFERROR(INDEX(PP_Grid[#Data],$DD1020,42),0)</f>
        <v/>
      </c>
      <c r="AS1020">
        <f>IFERROR(INDEX(PP_Grid[#Data],$DD1020,43),0)</f>
        <v/>
      </c>
      <c r="AT1020">
        <f>IFERROR(INDEX(PP_Grid[#Data],$DD1020,44),0)</f>
        <v/>
      </c>
      <c r="AU1020">
        <f>IFERROR(INDEX(PP_Grid[#Data],$DD1020,45),0)</f>
        <v/>
      </c>
      <c r="AV1020">
        <f>IFERROR(INDEX(PP_Grid[#Data],$DD1020,46),0)</f>
        <v/>
      </c>
      <c r="AW1020">
        <f>IFERROR(INDEX(PP_Grid[#Data],$DD1020,47),0)</f>
        <v/>
      </c>
      <c r="AX1020">
        <f>IFERROR(INDEX(PP_Grid[#Data],$DD1020,48),0)</f>
        <v/>
      </c>
      <c r="AY1020">
        <f>IFERROR(INDEX(PP_Grid[#Data],$DD1020,49),0)</f>
        <v/>
      </c>
      <c r="AZ1020">
        <f>IFERROR(INDEX(PP_Grid[#Data],$DD1020,50),0)</f>
        <v/>
      </c>
      <c r="BA1020">
        <f>IFERROR(INDEX(PP_Grid[#Data],$DD1020,51),0)</f>
        <v/>
      </c>
      <c r="BB1020">
        <f>IFERROR(INDEX(PP_Grid[#Data],$DD1020,52),0)</f>
        <v/>
      </c>
      <c r="BC1020">
        <f>IFERROR(INDEX(PP_Grid[#Data],$DD1020,53),0)</f>
        <v/>
      </c>
      <c r="BD1020">
        <f>IFERROR(INDEX(PP_Grid[#Data],$DD1020,54),0)</f>
        <v/>
      </c>
      <c r="BE1020">
        <f>IFERROR(INDEX(PP_Grid[#Data],$DD1020,55),0)</f>
        <v/>
      </c>
      <c r="BF1020">
        <f>IFERROR(INDEX(PP_Grid[#Data],$DD1020,56),0)</f>
        <v/>
      </c>
      <c r="BG1020">
        <f>IFERROR(INDEX(PP_Grid[#Data],$DD1020,57),0)</f>
        <v/>
      </c>
      <c r="BH1020">
        <f>IFERROR(INDEX(PP_Grid[#Data],$DD1020,58),0)</f>
        <v/>
      </c>
      <c r="BI1020">
        <f>IFERROR(INDEX(PP_Grid[#Data],$DD1020,59),0)</f>
        <v/>
      </c>
      <c r="BJ1020">
        <f>IFERROR(INDEX(PP_Grid[#Data],$DD1020,60),0)</f>
        <v/>
      </c>
      <c r="BK1020">
        <f>IFERROR(INDEX(PP_Grid[#Data],$DD1020,61),0)</f>
        <v/>
      </c>
      <c r="BL1020">
        <f>IFERROR(INDEX(PP_Grid[#Data],$DD1020,62),0)</f>
        <v/>
      </c>
      <c r="BM1020">
        <f>IFERROR(INDEX(PP_Grid[#Data],$DD1020,63),0)</f>
        <v/>
      </c>
      <c r="BN1020">
        <f>IFERROR(INDEX(PP_Grid[#Data],$DD1020,64),0)</f>
        <v/>
      </c>
      <c r="BO1020">
        <f>IFERROR(INDEX(PP_Grid[#Data],$DD1020,65),0)</f>
        <v/>
      </c>
      <c r="BP1020">
        <f>IFERROR(INDEX(PP_Grid[#Data],$DD1020,66),0)</f>
        <v/>
      </c>
      <c r="BQ1020">
        <f>IFERROR(INDEX(PP_Grid[#Data],$DD1020,67),0)</f>
        <v/>
      </c>
      <c r="BR1020">
        <f>IFERROR(INDEX(PP_Grid[#Data],$DD1020,68),0)</f>
        <v/>
      </c>
      <c r="BS1020">
        <f>IFERROR(INDEX(PP_Grid[#Data],$DD1020,69),0)</f>
        <v/>
      </c>
      <c r="BT1020">
        <f>IFERROR(INDEX(PP_Grid[#Data],$DD1020,70),0)</f>
        <v/>
      </c>
      <c r="BU1020">
        <f>IFERROR(INDEX(PP_Grid[#Data],$DD1020,71),0)</f>
        <v/>
      </c>
      <c r="BV1020">
        <f>IFERROR(INDEX(PP_Grid[#Data],$DD1020,72),0)</f>
        <v/>
      </c>
      <c r="BW1020">
        <f>IFERROR(INDEX(PP_Grid[#Data],$DD1020,73),0)</f>
        <v/>
      </c>
      <c r="BX1020">
        <f>IFERROR(INDEX(PP_Grid[#Data],$DD1020,74),0)</f>
        <v/>
      </c>
      <c r="BY1020">
        <f>IFERROR(INDEX(PP_Grid[#Data],$DD1020,75),0)</f>
        <v/>
      </c>
      <c r="BZ1020">
        <f>IFERROR(INDEX(PP_Grid[#Data],$DD1020,76),0)</f>
        <v/>
      </c>
      <c r="CA1020">
        <f>IFERROR(INDEX(PP_Grid[#Data],$DD1020,77),0)</f>
        <v/>
      </c>
      <c r="CB1020">
        <f>IFERROR(INDEX(PP_Grid[#Data],$DD1020,78),0)</f>
        <v/>
      </c>
      <c r="CC1020">
        <f>IFERROR(INDEX(PP_Grid[#Data],$DD1020,79),0)</f>
        <v/>
      </c>
      <c r="CD1020">
        <f>IFERROR(INDEX(PP_Grid[#Data],$DD1020,80),0)</f>
        <v/>
      </c>
      <c r="CE1020">
        <f>IFERROR(INDEX(PP_Grid[#Data],$DD1020,81),0)</f>
        <v/>
      </c>
      <c r="CF1020">
        <f>IFERROR(INDEX(PP_Grid[#Data],$DD1020,82),0)</f>
        <v/>
      </c>
      <c r="CG1020">
        <f>IFERROR(INDEX(PP_Grid[#Data],$DD1020,83),0)</f>
        <v/>
      </c>
      <c r="CH1020">
        <f>IFERROR(INDEX(PP_Grid[#Data],$DD1020,84),0)</f>
        <v/>
      </c>
      <c r="CI1020">
        <f>IFERROR(INDEX(PP_Grid[#Data],$DD1020,85),0)</f>
        <v/>
      </c>
      <c r="CJ1020">
        <f>IFERROR(INDEX(PP_Grid[#Data],$DD1020,86),0)</f>
        <v/>
      </c>
      <c r="CK1020">
        <f>IFERROR(INDEX(PP_Grid[#Data],$DD1020,87),0)</f>
        <v/>
      </c>
      <c r="CL1020">
        <f>IFERROR(INDEX(PP_Grid[#Data],$DD1020,88),0)</f>
        <v/>
      </c>
      <c r="CM1020">
        <f>IFERROR(INDEX(PP_Grid[#Data],$DD1020,89),0)</f>
        <v/>
      </c>
      <c r="CN1020">
        <f>IFERROR(INDEX(PP_Grid[#Data],$DD1020,90),0)</f>
        <v/>
      </c>
      <c r="CO1020">
        <f>IFERROR(INDEX(PP_Grid[#Data],$DD1020,91),0)</f>
        <v/>
      </c>
      <c r="CP1020">
        <f>IFERROR(INDEX(PP_Grid[#Data],$DD1020,92),0)</f>
        <v/>
      </c>
      <c r="CQ1020">
        <f>IFERROR(INDEX(PP_Grid[#Data],$DD1020,93),0)</f>
        <v/>
      </c>
      <c r="CR1020">
        <f>IFERROR(INDEX(PP_Grid[#Data],$DD1020,94),0)</f>
        <v/>
      </c>
      <c r="CS1020">
        <f>IFERROR(INDEX(PP_Grid[#Data],$DD1020,95),0)</f>
        <v/>
      </c>
      <c r="CT1020">
        <f>IFERROR(INDEX(PP_Grid[#Data],$DD1020,96),0)</f>
        <v/>
      </c>
      <c r="CU1020">
        <f>IFERROR(INDEX(PP_Grid[#Data],$DD1020,97),0)</f>
        <v/>
      </c>
      <c r="CV1020">
        <f>IFERROR(INDEX(PP_Grid[#Data],$DD1020,98),0)</f>
        <v/>
      </c>
      <c r="CW1020">
        <f>IFERROR(INDEX(PP_Grid[#Data],$DD1020,99),0)</f>
        <v/>
      </c>
      <c r="CX1020">
        <f>IFERROR(INDEX(PP_Grid[#Data],$DD1020,100),0)</f>
        <v/>
      </c>
      <c r="CY1020">
        <f>IFERROR(INDEX(PP_Grid[#Data],$DD1020,101),0)</f>
        <v/>
      </c>
      <c r="CZ1020">
        <f>IFERROR(INDEX(PP_Grid[#Data],$DD1020,102),0)</f>
        <v/>
      </c>
      <c r="DA1020">
        <f>IFERROR(INDEX(PP_Grid[#Data],$DD1020,103),0)</f>
        <v/>
      </c>
      <c r="DB1020">
        <f>IFERROR(INDEX(PP_Grid[#Data],$DD1020,104),0)</f>
        <v/>
      </c>
      <c r="DC1020">
        <f>IFERROR(INDEX(PP_Grid[#Data],$DD1020,105),0)</f>
        <v/>
      </c>
      <c r="DD1020" s="7">
        <f>IFERROR(MATCH($B1020,PP_Grid[Intermediate],0),99999)</f>
        <v/>
      </c>
    </row>
    <row r="1021">
      <c r="B1021" t="inlineStr">
        <is>
          <t>使用量(kg)</t>
        </is>
      </c>
      <c r="C1021">
        <f>SUMIFS(M_BOM[RM_Qty_Per_Batch],M_BOM[Intermediate],$B1020,M_BOM[Part Name],$A1017)</f>
        <v/>
      </c>
      <c r="D1021">
        <f>$C1021*D1020</f>
        <v/>
      </c>
      <c r="E1021">
        <f>$C1021*E1020</f>
        <v/>
      </c>
      <c r="F1021">
        <f>$C1021*F1020</f>
        <v/>
      </c>
      <c r="G1021">
        <f>$C1021*G1020</f>
        <v/>
      </c>
      <c r="H1021">
        <f>$C1021*H1020</f>
        <v/>
      </c>
      <c r="I1021">
        <f>$C1021*I1020</f>
        <v/>
      </c>
      <c r="J1021">
        <f>$C1021*J1020</f>
        <v/>
      </c>
      <c r="K1021">
        <f>$C1021*K1020</f>
        <v/>
      </c>
      <c r="L1021">
        <f>$C1021*L1020</f>
        <v/>
      </c>
      <c r="M1021">
        <f>$C1021*M1020</f>
        <v/>
      </c>
      <c r="N1021">
        <f>$C1021*N1020</f>
        <v/>
      </c>
      <c r="O1021">
        <f>$C1021*O1020</f>
        <v/>
      </c>
      <c r="P1021">
        <f>$C1021*P1020</f>
        <v/>
      </c>
      <c r="Q1021">
        <f>$C1021*Q1020</f>
        <v/>
      </c>
      <c r="R1021">
        <f>$C1021*R1020</f>
        <v/>
      </c>
      <c r="S1021">
        <f>$C1021*S1020</f>
        <v/>
      </c>
      <c r="T1021">
        <f>$C1021*T1020</f>
        <v/>
      </c>
      <c r="U1021">
        <f>$C1021*U1020</f>
        <v/>
      </c>
      <c r="V1021">
        <f>$C1021*V1020</f>
        <v/>
      </c>
      <c r="W1021">
        <f>$C1021*W1020</f>
        <v/>
      </c>
      <c r="X1021">
        <f>$C1021*X1020</f>
        <v/>
      </c>
      <c r="Y1021">
        <f>$C1021*Y1020</f>
        <v/>
      </c>
      <c r="Z1021">
        <f>$C1021*Z1020</f>
        <v/>
      </c>
      <c r="AA1021">
        <f>$C1021*AA1020</f>
        <v/>
      </c>
      <c r="AB1021">
        <f>$C1021*AB1020</f>
        <v/>
      </c>
      <c r="AC1021">
        <f>$C1021*AC1020</f>
        <v/>
      </c>
      <c r="AD1021">
        <f>$C1021*AD1020</f>
        <v/>
      </c>
      <c r="AE1021">
        <f>$C1021*AE1020</f>
        <v/>
      </c>
      <c r="AF1021">
        <f>$C1021*AF1020</f>
        <v/>
      </c>
      <c r="AG1021">
        <f>$C1021*AG1020</f>
        <v/>
      </c>
      <c r="AH1021">
        <f>$C1021*AH1020</f>
        <v/>
      </c>
      <c r="AI1021">
        <f>$C1021*AI1020</f>
        <v/>
      </c>
      <c r="AJ1021">
        <f>$C1021*AJ1020</f>
        <v/>
      </c>
      <c r="AK1021">
        <f>$C1021*AK1020</f>
        <v/>
      </c>
      <c r="AL1021">
        <f>$C1021*AL1020</f>
        <v/>
      </c>
      <c r="AM1021">
        <f>$C1021*AM1020</f>
        <v/>
      </c>
      <c r="AN1021">
        <f>$C1021*AN1020</f>
        <v/>
      </c>
      <c r="AO1021">
        <f>$C1021*AO1020</f>
        <v/>
      </c>
      <c r="AP1021">
        <f>$C1021*AP1020</f>
        <v/>
      </c>
      <c r="AQ1021">
        <f>$C1021*AQ1020</f>
        <v/>
      </c>
      <c r="AR1021">
        <f>$C1021*AR1020</f>
        <v/>
      </c>
      <c r="AS1021">
        <f>$C1021*AS1020</f>
        <v/>
      </c>
      <c r="AT1021">
        <f>$C1021*AT1020</f>
        <v/>
      </c>
      <c r="AU1021">
        <f>$C1021*AU1020</f>
        <v/>
      </c>
      <c r="AV1021">
        <f>$C1021*AV1020</f>
        <v/>
      </c>
      <c r="AW1021">
        <f>$C1021*AW1020</f>
        <v/>
      </c>
      <c r="AX1021">
        <f>$C1021*AX1020</f>
        <v/>
      </c>
      <c r="AY1021">
        <f>$C1021*AY1020</f>
        <v/>
      </c>
      <c r="AZ1021">
        <f>$C1021*AZ1020</f>
        <v/>
      </c>
      <c r="BA1021">
        <f>$C1021*BA1020</f>
        <v/>
      </c>
      <c r="BB1021">
        <f>$C1021*BB1020</f>
        <v/>
      </c>
      <c r="BC1021">
        <f>$C1021*BC1020</f>
        <v/>
      </c>
      <c r="BD1021">
        <f>$C1021*BD1020</f>
        <v/>
      </c>
      <c r="BE1021">
        <f>$C1021*BE1020</f>
        <v/>
      </c>
      <c r="BF1021">
        <f>$C1021*BF1020</f>
        <v/>
      </c>
      <c r="BG1021">
        <f>$C1021*BG1020</f>
        <v/>
      </c>
      <c r="BH1021">
        <f>$C1021*BH1020</f>
        <v/>
      </c>
      <c r="BI1021">
        <f>$C1021*BI1020</f>
        <v/>
      </c>
      <c r="BJ1021">
        <f>$C1021*BJ1020</f>
        <v/>
      </c>
      <c r="BK1021">
        <f>$C1021*BK1020</f>
        <v/>
      </c>
      <c r="BL1021">
        <f>$C1021*BL1020</f>
        <v/>
      </c>
      <c r="BM1021">
        <f>$C1021*BM1020</f>
        <v/>
      </c>
      <c r="BN1021">
        <f>$C1021*BN1020</f>
        <v/>
      </c>
      <c r="BO1021">
        <f>$C1021*BO1020</f>
        <v/>
      </c>
      <c r="BP1021">
        <f>$C1021*BP1020</f>
        <v/>
      </c>
      <c r="BQ1021">
        <f>$C1021*BQ1020</f>
        <v/>
      </c>
      <c r="BR1021">
        <f>$C1021*BR1020</f>
        <v/>
      </c>
      <c r="BS1021">
        <f>$C1021*BS1020</f>
        <v/>
      </c>
      <c r="BT1021">
        <f>$C1021*BT1020</f>
        <v/>
      </c>
      <c r="BU1021">
        <f>$C1021*BU1020</f>
        <v/>
      </c>
      <c r="BV1021">
        <f>$C1021*BV1020</f>
        <v/>
      </c>
      <c r="BW1021">
        <f>$C1021*BW1020</f>
        <v/>
      </c>
      <c r="BX1021">
        <f>$C1021*BX1020</f>
        <v/>
      </c>
      <c r="BY1021">
        <f>$C1021*BY1020</f>
        <v/>
      </c>
      <c r="BZ1021">
        <f>$C1021*BZ1020</f>
        <v/>
      </c>
      <c r="CA1021">
        <f>$C1021*CA1020</f>
        <v/>
      </c>
      <c r="CB1021">
        <f>$C1021*CB1020</f>
        <v/>
      </c>
      <c r="CC1021">
        <f>$C1021*CC1020</f>
        <v/>
      </c>
      <c r="CD1021">
        <f>$C1021*CD1020</f>
        <v/>
      </c>
      <c r="CE1021">
        <f>$C1021*CE1020</f>
        <v/>
      </c>
      <c r="CF1021">
        <f>$C1021*CF1020</f>
        <v/>
      </c>
      <c r="CG1021">
        <f>$C1021*CG1020</f>
        <v/>
      </c>
      <c r="CH1021">
        <f>$C1021*CH1020</f>
        <v/>
      </c>
      <c r="CI1021">
        <f>$C1021*CI1020</f>
        <v/>
      </c>
      <c r="CJ1021">
        <f>$C1021*CJ1020</f>
        <v/>
      </c>
      <c r="CK1021">
        <f>$C1021*CK1020</f>
        <v/>
      </c>
      <c r="CL1021">
        <f>$C1021*CL1020</f>
        <v/>
      </c>
      <c r="CM1021">
        <f>$C1021*CM1020</f>
        <v/>
      </c>
      <c r="CN1021">
        <f>$C1021*CN1020</f>
        <v/>
      </c>
      <c r="CO1021">
        <f>$C1021*CO1020</f>
        <v/>
      </c>
      <c r="CP1021">
        <f>$C1021*CP1020</f>
        <v/>
      </c>
      <c r="CQ1021">
        <f>$C1021*CQ1020</f>
        <v/>
      </c>
      <c r="CR1021">
        <f>$C1021*CR1020</f>
        <v/>
      </c>
      <c r="CS1021">
        <f>$C1021*CS1020</f>
        <v/>
      </c>
      <c r="CT1021">
        <f>$C1021*CT1020</f>
        <v/>
      </c>
      <c r="CU1021">
        <f>$C1021*CU1020</f>
        <v/>
      </c>
      <c r="CV1021">
        <f>$C1021*CV1020</f>
        <v/>
      </c>
      <c r="CW1021">
        <f>$C1021*CW1020</f>
        <v/>
      </c>
      <c r="CX1021">
        <f>$C1021*CX1020</f>
        <v/>
      </c>
      <c r="CY1021">
        <f>$C1021*CY1020</f>
        <v/>
      </c>
      <c r="CZ1021">
        <f>$C1021*CZ1020</f>
        <v/>
      </c>
      <c r="DA1021">
        <f>$C1021*DA1020</f>
        <v/>
      </c>
      <c r="DB1021">
        <f>$C1021*DB1020</f>
        <v/>
      </c>
      <c r="DC1021">
        <f>$C1021*DC1020</f>
        <v/>
      </c>
    </row>
    <row r="1022">
      <c r="B1022" s="4" t="inlineStr">
        <is>
          <t>合計使用量(kg)/週</t>
        </is>
      </c>
      <c r="D1022">
        <f>'Grid_Requirement'!B36</f>
        <v/>
      </c>
      <c r="E1022">
        <f>'Grid_Requirement'!C36</f>
        <v/>
      </c>
      <c r="F1022">
        <f>'Grid_Requirement'!D36</f>
        <v/>
      </c>
      <c r="G1022">
        <f>'Grid_Requirement'!E36</f>
        <v/>
      </c>
      <c r="H1022">
        <f>'Grid_Requirement'!F36</f>
        <v/>
      </c>
      <c r="I1022">
        <f>'Grid_Requirement'!G36</f>
        <v/>
      </c>
      <c r="J1022">
        <f>'Grid_Requirement'!H36</f>
        <v/>
      </c>
      <c r="K1022">
        <f>'Grid_Requirement'!I36</f>
        <v/>
      </c>
      <c r="L1022">
        <f>'Grid_Requirement'!J36</f>
        <v/>
      </c>
      <c r="M1022">
        <f>'Grid_Requirement'!K36</f>
        <v/>
      </c>
      <c r="N1022">
        <f>'Grid_Requirement'!L36</f>
        <v/>
      </c>
      <c r="O1022">
        <f>'Grid_Requirement'!M36</f>
        <v/>
      </c>
      <c r="P1022">
        <f>'Grid_Requirement'!N36</f>
        <v/>
      </c>
      <c r="Q1022">
        <f>'Grid_Requirement'!O36</f>
        <v/>
      </c>
      <c r="R1022">
        <f>'Grid_Requirement'!P36</f>
        <v/>
      </c>
      <c r="S1022">
        <f>'Grid_Requirement'!Q36</f>
        <v/>
      </c>
      <c r="T1022">
        <f>'Grid_Requirement'!R36</f>
        <v/>
      </c>
      <c r="U1022">
        <f>'Grid_Requirement'!S36</f>
        <v/>
      </c>
      <c r="V1022">
        <f>'Grid_Requirement'!T36</f>
        <v/>
      </c>
      <c r="W1022">
        <f>'Grid_Requirement'!U36</f>
        <v/>
      </c>
      <c r="X1022">
        <f>'Grid_Requirement'!V36</f>
        <v/>
      </c>
      <c r="Y1022">
        <f>'Grid_Requirement'!W36</f>
        <v/>
      </c>
      <c r="Z1022">
        <f>'Grid_Requirement'!X36</f>
        <v/>
      </c>
      <c r="AA1022">
        <f>'Grid_Requirement'!Y36</f>
        <v/>
      </c>
      <c r="AB1022">
        <f>'Grid_Requirement'!Z36</f>
        <v/>
      </c>
      <c r="AC1022">
        <f>'Grid_Requirement'!AA36</f>
        <v/>
      </c>
      <c r="AD1022">
        <f>'Grid_Requirement'!AB36</f>
        <v/>
      </c>
      <c r="AE1022">
        <f>'Grid_Requirement'!AC36</f>
        <v/>
      </c>
      <c r="AF1022">
        <f>'Grid_Requirement'!AD36</f>
        <v/>
      </c>
      <c r="AG1022">
        <f>'Grid_Requirement'!AE36</f>
        <v/>
      </c>
      <c r="AH1022">
        <f>'Grid_Requirement'!AF36</f>
        <v/>
      </c>
      <c r="AI1022">
        <f>'Grid_Requirement'!AG36</f>
        <v/>
      </c>
      <c r="AJ1022">
        <f>'Grid_Requirement'!AH36</f>
        <v/>
      </c>
      <c r="AK1022">
        <f>'Grid_Requirement'!AI36</f>
        <v/>
      </c>
      <c r="AL1022">
        <f>'Grid_Requirement'!AJ36</f>
        <v/>
      </c>
      <c r="AM1022">
        <f>'Grid_Requirement'!AK36</f>
        <v/>
      </c>
      <c r="AN1022">
        <f>'Grid_Requirement'!AL36</f>
        <v/>
      </c>
      <c r="AO1022">
        <f>'Grid_Requirement'!AM36</f>
        <v/>
      </c>
      <c r="AP1022">
        <f>'Grid_Requirement'!AN36</f>
        <v/>
      </c>
      <c r="AQ1022">
        <f>'Grid_Requirement'!AO36</f>
        <v/>
      </c>
      <c r="AR1022">
        <f>'Grid_Requirement'!AP36</f>
        <v/>
      </c>
      <c r="AS1022">
        <f>'Grid_Requirement'!AQ36</f>
        <v/>
      </c>
      <c r="AT1022">
        <f>'Grid_Requirement'!AR36</f>
        <v/>
      </c>
      <c r="AU1022">
        <f>'Grid_Requirement'!AS36</f>
        <v/>
      </c>
      <c r="AV1022">
        <f>'Grid_Requirement'!AT36</f>
        <v/>
      </c>
      <c r="AW1022">
        <f>'Grid_Requirement'!AU36</f>
        <v/>
      </c>
      <c r="AX1022">
        <f>'Grid_Requirement'!AV36</f>
        <v/>
      </c>
      <c r="AY1022">
        <f>'Grid_Requirement'!AW36</f>
        <v/>
      </c>
      <c r="AZ1022">
        <f>'Grid_Requirement'!AX36</f>
        <v/>
      </c>
      <c r="BA1022">
        <f>'Grid_Requirement'!AY36</f>
        <v/>
      </c>
      <c r="BB1022">
        <f>'Grid_Requirement'!AZ36</f>
        <v/>
      </c>
      <c r="BC1022">
        <f>'Grid_Requirement'!BA36</f>
        <v/>
      </c>
      <c r="BD1022">
        <f>'Grid_Requirement'!BB36</f>
        <v/>
      </c>
      <c r="BE1022">
        <f>'Grid_Requirement'!BC36</f>
        <v/>
      </c>
      <c r="BF1022">
        <f>'Grid_Requirement'!BD36</f>
        <v/>
      </c>
      <c r="BG1022">
        <f>'Grid_Requirement'!BE36</f>
        <v/>
      </c>
      <c r="BH1022">
        <f>'Grid_Requirement'!BF36</f>
        <v/>
      </c>
      <c r="BI1022">
        <f>'Grid_Requirement'!BG36</f>
        <v/>
      </c>
      <c r="BJ1022">
        <f>'Grid_Requirement'!BH36</f>
        <v/>
      </c>
      <c r="BK1022">
        <f>'Grid_Requirement'!BI36</f>
        <v/>
      </c>
      <c r="BL1022">
        <f>'Grid_Requirement'!BJ36</f>
        <v/>
      </c>
      <c r="BM1022">
        <f>'Grid_Requirement'!BK36</f>
        <v/>
      </c>
      <c r="BN1022">
        <f>'Grid_Requirement'!BL36</f>
        <v/>
      </c>
      <c r="BO1022">
        <f>'Grid_Requirement'!BM36</f>
        <v/>
      </c>
      <c r="BP1022">
        <f>'Grid_Requirement'!BN36</f>
        <v/>
      </c>
      <c r="BQ1022">
        <f>'Grid_Requirement'!BO36</f>
        <v/>
      </c>
      <c r="BR1022">
        <f>'Grid_Requirement'!BP36</f>
        <v/>
      </c>
      <c r="BS1022">
        <f>'Grid_Requirement'!BQ36</f>
        <v/>
      </c>
      <c r="BT1022">
        <f>'Grid_Requirement'!BR36</f>
        <v/>
      </c>
      <c r="BU1022">
        <f>'Grid_Requirement'!BS36</f>
        <v/>
      </c>
      <c r="BV1022">
        <f>'Grid_Requirement'!BT36</f>
        <v/>
      </c>
      <c r="BW1022">
        <f>'Grid_Requirement'!BU36</f>
        <v/>
      </c>
      <c r="BX1022">
        <f>'Grid_Requirement'!BV36</f>
        <v/>
      </c>
      <c r="BY1022">
        <f>'Grid_Requirement'!BW36</f>
        <v/>
      </c>
      <c r="BZ1022">
        <f>'Grid_Requirement'!BX36</f>
        <v/>
      </c>
      <c r="CA1022">
        <f>'Grid_Requirement'!BY36</f>
        <v/>
      </c>
      <c r="CB1022">
        <f>'Grid_Requirement'!BZ36</f>
        <v/>
      </c>
      <c r="CC1022">
        <f>'Grid_Requirement'!CA36</f>
        <v/>
      </c>
      <c r="CD1022">
        <f>'Grid_Requirement'!CB36</f>
        <v/>
      </c>
      <c r="CE1022">
        <f>'Grid_Requirement'!CC36</f>
        <v/>
      </c>
      <c r="CF1022">
        <f>'Grid_Requirement'!CD36</f>
        <v/>
      </c>
      <c r="CG1022">
        <f>'Grid_Requirement'!CE36</f>
        <v/>
      </c>
      <c r="CH1022">
        <f>'Grid_Requirement'!CF36</f>
        <v/>
      </c>
      <c r="CI1022">
        <f>'Grid_Requirement'!CG36</f>
        <v/>
      </c>
      <c r="CJ1022">
        <f>'Grid_Requirement'!CH36</f>
        <v/>
      </c>
      <c r="CK1022">
        <f>'Grid_Requirement'!CI36</f>
        <v/>
      </c>
      <c r="CL1022">
        <f>'Grid_Requirement'!CJ36</f>
        <v/>
      </c>
      <c r="CM1022">
        <f>'Grid_Requirement'!CK36</f>
        <v/>
      </c>
      <c r="CN1022">
        <f>'Grid_Requirement'!CL36</f>
        <v/>
      </c>
      <c r="CO1022">
        <f>'Grid_Requirement'!CM36</f>
        <v/>
      </c>
      <c r="CP1022">
        <f>'Grid_Requirement'!CN36</f>
        <v/>
      </c>
      <c r="CQ1022">
        <f>'Grid_Requirement'!CO36</f>
        <v/>
      </c>
      <c r="CR1022">
        <f>'Grid_Requirement'!CP36</f>
        <v/>
      </c>
      <c r="CS1022">
        <f>'Grid_Requirement'!CQ36</f>
        <v/>
      </c>
      <c r="CT1022">
        <f>'Grid_Requirement'!CR36</f>
        <v/>
      </c>
      <c r="CU1022">
        <f>'Grid_Requirement'!CS36</f>
        <v/>
      </c>
      <c r="CV1022">
        <f>'Grid_Requirement'!CT36</f>
        <v/>
      </c>
      <c r="CW1022">
        <f>'Grid_Requirement'!CU36</f>
        <v/>
      </c>
      <c r="CX1022">
        <f>'Grid_Requirement'!CV36</f>
        <v/>
      </c>
      <c r="CY1022">
        <f>'Grid_Requirement'!CW36</f>
        <v/>
      </c>
      <c r="CZ1022">
        <f>'Grid_Requirement'!CX36</f>
        <v/>
      </c>
      <c r="DA1022">
        <f>'Grid_Requirement'!CY36</f>
        <v/>
      </c>
      <c r="DB1022">
        <f>'Grid_Requirement'!CZ36</f>
        <v/>
      </c>
      <c r="DC1022">
        <f>'Grid_Requirement'!DA36</f>
        <v/>
      </c>
    </row>
    <row r="1023">
      <c r="B1023" t="inlineStr">
        <is>
          <t>TTAF在庫(実績,kg)</t>
        </is>
      </c>
      <c r="D1023">
        <f>'T_TTAFStock'!B40</f>
        <v/>
      </c>
      <c r="E1023">
        <f>'T_TTAFStock'!C40</f>
        <v/>
      </c>
      <c r="F1023">
        <f>'T_TTAFStock'!D40</f>
        <v/>
      </c>
      <c r="G1023">
        <f>'T_TTAFStock'!E40</f>
        <v/>
      </c>
      <c r="H1023">
        <f>'T_TTAFStock'!F40</f>
        <v/>
      </c>
      <c r="I1023">
        <f>'T_TTAFStock'!G40</f>
        <v/>
      </c>
      <c r="J1023">
        <f>'T_TTAFStock'!H40</f>
        <v/>
      </c>
      <c r="K1023">
        <f>'T_TTAFStock'!I40</f>
        <v/>
      </c>
      <c r="L1023">
        <f>'T_TTAFStock'!J40</f>
        <v/>
      </c>
      <c r="M1023">
        <f>'T_TTAFStock'!K40</f>
        <v/>
      </c>
      <c r="N1023">
        <f>'T_TTAFStock'!L40</f>
        <v/>
      </c>
      <c r="O1023">
        <f>'T_TTAFStock'!M40</f>
        <v/>
      </c>
      <c r="P1023">
        <f>'T_TTAFStock'!N40</f>
        <v/>
      </c>
      <c r="Q1023">
        <f>'T_TTAFStock'!O40</f>
        <v/>
      </c>
      <c r="R1023">
        <f>'T_TTAFStock'!P40</f>
        <v/>
      </c>
      <c r="S1023">
        <f>'T_TTAFStock'!Q40</f>
        <v/>
      </c>
      <c r="T1023">
        <f>'T_TTAFStock'!R40</f>
        <v/>
      </c>
      <c r="U1023">
        <f>'T_TTAFStock'!S40</f>
        <v/>
      </c>
      <c r="V1023">
        <f>'T_TTAFStock'!T40</f>
        <v/>
      </c>
      <c r="W1023">
        <f>'T_TTAFStock'!U40</f>
        <v/>
      </c>
      <c r="X1023">
        <f>'T_TTAFStock'!V40</f>
        <v/>
      </c>
      <c r="Y1023">
        <f>'T_TTAFStock'!W40</f>
        <v/>
      </c>
      <c r="Z1023">
        <f>'T_TTAFStock'!X40</f>
        <v/>
      </c>
      <c r="AA1023">
        <f>'T_TTAFStock'!Y40</f>
        <v/>
      </c>
      <c r="AB1023">
        <f>'T_TTAFStock'!Z40</f>
        <v/>
      </c>
      <c r="AC1023">
        <f>'T_TTAFStock'!AA40</f>
        <v/>
      </c>
      <c r="AD1023">
        <f>'T_TTAFStock'!AB40</f>
        <v/>
      </c>
      <c r="AE1023">
        <f>'T_TTAFStock'!AC40</f>
        <v/>
      </c>
      <c r="AF1023">
        <f>'T_TTAFStock'!AD40</f>
        <v/>
      </c>
      <c r="AG1023">
        <f>'T_TTAFStock'!AE40</f>
        <v/>
      </c>
      <c r="AH1023">
        <f>'T_TTAFStock'!AF40</f>
        <v/>
      </c>
      <c r="AI1023">
        <f>'T_TTAFStock'!AG40</f>
        <v/>
      </c>
      <c r="AJ1023">
        <f>'T_TTAFStock'!AH40</f>
        <v/>
      </c>
      <c r="AK1023">
        <f>'T_TTAFStock'!AI40</f>
        <v/>
      </c>
      <c r="AL1023">
        <f>'T_TTAFStock'!AJ40</f>
        <v/>
      </c>
      <c r="AM1023">
        <f>'T_TTAFStock'!AK40</f>
        <v/>
      </c>
      <c r="AN1023">
        <f>'T_TTAFStock'!AL40</f>
        <v/>
      </c>
      <c r="AO1023">
        <f>'T_TTAFStock'!AM40</f>
        <v/>
      </c>
      <c r="AP1023">
        <f>'T_TTAFStock'!AN40</f>
        <v/>
      </c>
      <c r="AQ1023">
        <f>'T_TTAFStock'!AO40</f>
        <v/>
      </c>
      <c r="AR1023">
        <f>'T_TTAFStock'!AP40</f>
        <v/>
      </c>
      <c r="AS1023">
        <f>'T_TTAFStock'!AQ40</f>
        <v/>
      </c>
      <c r="AT1023">
        <f>'T_TTAFStock'!AR40</f>
        <v/>
      </c>
      <c r="AU1023">
        <f>'T_TTAFStock'!AS40</f>
        <v/>
      </c>
      <c r="AV1023">
        <f>'T_TTAFStock'!AT40</f>
        <v/>
      </c>
      <c r="AW1023">
        <f>'T_TTAFStock'!AU40</f>
        <v/>
      </c>
      <c r="AX1023">
        <f>'T_TTAFStock'!AV40</f>
        <v/>
      </c>
      <c r="AY1023">
        <f>'T_TTAFStock'!AW40</f>
        <v/>
      </c>
      <c r="AZ1023">
        <f>'T_TTAFStock'!AX40</f>
        <v/>
      </c>
      <c r="BA1023">
        <f>'T_TTAFStock'!AY40</f>
        <v/>
      </c>
      <c r="BB1023">
        <f>'T_TTAFStock'!AZ40</f>
        <v/>
      </c>
      <c r="BC1023">
        <f>'T_TTAFStock'!BA40</f>
        <v/>
      </c>
      <c r="BD1023">
        <f>'T_TTAFStock'!BB40</f>
        <v/>
      </c>
      <c r="BE1023">
        <f>'T_TTAFStock'!BC40</f>
        <v/>
      </c>
      <c r="BF1023">
        <f>'T_TTAFStock'!BD40</f>
        <v/>
      </c>
      <c r="BG1023">
        <f>'T_TTAFStock'!BE40</f>
        <v/>
      </c>
      <c r="BH1023">
        <f>'T_TTAFStock'!BF40</f>
        <v/>
      </c>
      <c r="BI1023">
        <f>'T_TTAFStock'!BG40</f>
        <v/>
      </c>
      <c r="BJ1023">
        <f>'T_TTAFStock'!BH40</f>
        <v/>
      </c>
      <c r="BK1023">
        <f>'T_TTAFStock'!BI40</f>
        <v/>
      </c>
      <c r="BL1023">
        <f>'T_TTAFStock'!BJ40</f>
        <v/>
      </c>
      <c r="BM1023">
        <f>'T_TTAFStock'!BK40</f>
        <v/>
      </c>
      <c r="BN1023">
        <f>'T_TTAFStock'!BL40</f>
        <v/>
      </c>
      <c r="BO1023">
        <f>'T_TTAFStock'!BM40</f>
        <v/>
      </c>
      <c r="BP1023">
        <f>'T_TTAFStock'!BN40</f>
        <v/>
      </c>
      <c r="BQ1023">
        <f>'T_TTAFStock'!BO40</f>
        <v/>
      </c>
      <c r="BR1023">
        <f>'T_TTAFStock'!BP40</f>
        <v/>
      </c>
      <c r="BS1023">
        <f>'T_TTAFStock'!BQ40</f>
        <v/>
      </c>
      <c r="BT1023">
        <f>'T_TTAFStock'!BR40</f>
        <v/>
      </c>
      <c r="BU1023">
        <f>'T_TTAFStock'!BS40</f>
        <v/>
      </c>
      <c r="BV1023">
        <f>'T_TTAFStock'!BT40</f>
        <v/>
      </c>
      <c r="BW1023">
        <f>'T_TTAFStock'!BU40</f>
        <v/>
      </c>
      <c r="BX1023">
        <f>'T_TTAFStock'!BV40</f>
        <v/>
      </c>
      <c r="BY1023">
        <f>'T_TTAFStock'!BW40</f>
        <v/>
      </c>
      <c r="BZ1023">
        <f>'T_TTAFStock'!BX40</f>
        <v/>
      </c>
      <c r="CA1023">
        <f>'T_TTAFStock'!BY40</f>
        <v/>
      </c>
      <c r="CB1023">
        <f>'T_TTAFStock'!BZ40</f>
        <v/>
      </c>
      <c r="CC1023">
        <f>'T_TTAFStock'!CA40</f>
        <v/>
      </c>
      <c r="CD1023">
        <f>'T_TTAFStock'!CB40</f>
        <v/>
      </c>
      <c r="CE1023">
        <f>'T_TTAFStock'!CC40</f>
        <v/>
      </c>
      <c r="CF1023">
        <f>'T_TTAFStock'!CD40</f>
        <v/>
      </c>
      <c r="CG1023">
        <f>'T_TTAFStock'!CE40</f>
        <v/>
      </c>
      <c r="CH1023">
        <f>'T_TTAFStock'!CF40</f>
        <v/>
      </c>
      <c r="CI1023">
        <f>'T_TTAFStock'!CG40</f>
        <v/>
      </c>
      <c r="CJ1023">
        <f>'T_TTAFStock'!CH40</f>
        <v/>
      </c>
      <c r="CK1023">
        <f>'T_TTAFStock'!CI40</f>
        <v/>
      </c>
      <c r="CL1023">
        <f>'T_TTAFStock'!CJ40</f>
        <v/>
      </c>
      <c r="CM1023">
        <f>'T_TTAFStock'!CK40</f>
        <v/>
      </c>
      <c r="CN1023">
        <f>'T_TTAFStock'!CL40</f>
        <v/>
      </c>
      <c r="CO1023">
        <f>'T_TTAFStock'!CM40</f>
        <v/>
      </c>
      <c r="CP1023">
        <f>'T_TTAFStock'!CN40</f>
        <v/>
      </c>
      <c r="CQ1023">
        <f>'T_TTAFStock'!CO40</f>
        <v/>
      </c>
      <c r="CR1023">
        <f>'T_TTAFStock'!CP40</f>
        <v/>
      </c>
      <c r="CS1023">
        <f>'T_TTAFStock'!CQ40</f>
        <v/>
      </c>
      <c r="CT1023">
        <f>'T_TTAFStock'!CR40</f>
        <v/>
      </c>
      <c r="CU1023">
        <f>'T_TTAFStock'!CS40</f>
        <v/>
      </c>
      <c r="CV1023">
        <f>'T_TTAFStock'!CT40</f>
        <v/>
      </c>
      <c r="CW1023">
        <f>'T_TTAFStock'!CU40</f>
        <v/>
      </c>
      <c r="CX1023">
        <f>'T_TTAFStock'!CV40</f>
        <v/>
      </c>
      <c r="CY1023">
        <f>'T_TTAFStock'!CW40</f>
        <v/>
      </c>
      <c r="CZ1023">
        <f>'T_TTAFStock'!CX40</f>
        <v/>
      </c>
      <c r="DA1023">
        <f>'T_TTAFStock'!CY40</f>
        <v/>
      </c>
      <c r="DB1023">
        <f>'T_TTAFStock'!CZ40</f>
        <v/>
      </c>
      <c r="DC1023">
        <f>'T_TTAFStock'!DA40</f>
        <v/>
      </c>
    </row>
    <row r="1024">
      <c r="B1024" t="inlineStr">
        <is>
          <t>自社在庫(実績,kg)</t>
        </is>
      </c>
      <c r="D1024">
        <f>'T_SelfStock'!B40</f>
        <v/>
      </c>
      <c r="E1024">
        <f>'T_SelfStock'!C40</f>
        <v/>
      </c>
      <c r="F1024">
        <f>'T_SelfStock'!D40</f>
        <v/>
      </c>
      <c r="G1024">
        <f>'T_SelfStock'!E40</f>
        <v/>
      </c>
      <c r="H1024">
        <f>'T_SelfStock'!F40</f>
        <v/>
      </c>
      <c r="I1024">
        <f>'T_SelfStock'!G40</f>
        <v/>
      </c>
      <c r="J1024">
        <f>'T_SelfStock'!H40</f>
        <v/>
      </c>
      <c r="K1024">
        <f>'T_SelfStock'!I40</f>
        <v/>
      </c>
      <c r="L1024">
        <f>'T_SelfStock'!J40</f>
        <v/>
      </c>
      <c r="M1024">
        <f>'T_SelfStock'!K40</f>
        <v/>
      </c>
      <c r="N1024">
        <f>'T_SelfStock'!L40</f>
        <v/>
      </c>
      <c r="O1024">
        <f>'T_SelfStock'!M40</f>
        <v/>
      </c>
      <c r="P1024">
        <f>'T_SelfStock'!N40</f>
        <v/>
      </c>
      <c r="Q1024">
        <f>'T_SelfStock'!O40</f>
        <v/>
      </c>
      <c r="R1024">
        <f>'T_SelfStock'!P40</f>
        <v/>
      </c>
      <c r="S1024">
        <f>'T_SelfStock'!Q40</f>
        <v/>
      </c>
      <c r="T1024">
        <f>'T_SelfStock'!R40</f>
        <v/>
      </c>
      <c r="U1024">
        <f>'T_SelfStock'!S40</f>
        <v/>
      </c>
      <c r="V1024">
        <f>'T_SelfStock'!T40</f>
        <v/>
      </c>
      <c r="W1024">
        <f>'T_SelfStock'!U40</f>
        <v/>
      </c>
      <c r="X1024">
        <f>'T_SelfStock'!V40</f>
        <v/>
      </c>
      <c r="Y1024">
        <f>'T_SelfStock'!W40</f>
        <v/>
      </c>
      <c r="Z1024">
        <f>'T_SelfStock'!X40</f>
        <v/>
      </c>
      <c r="AA1024">
        <f>'T_SelfStock'!Y40</f>
        <v/>
      </c>
      <c r="AB1024">
        <f>'T_SelfStock'!Z40</f>
        <v/>
      </c>
      <c r="AC1024">
        <f>'T_SelfStock'!AA40</f>
        <v/>
      </c>
      <c r="AD1024">
        <f>'T_SelfStock'!AB40</f>
        <v/>
      </c>
      <c r="AE1024">
        <f>'T_SelfStock'!AC40</f>
        <v/>
      </c>
      <c r="AF1024">
        <f>'T_SelfStock'!AD40</f>
        <v/>
      </c>
      <c r="AG1024">
        <f>'T_SelfStock'!AE40</f>
        <v/>
      </c>
      <c r="AH1024">
        <f>'T_SelfStock'!AF40</f>
        <v/>
      </c>
      <c r="AI1024">
        <f>'T_SelfStock'!AG40</f>
        <v/>
      </c>
      <c r="AJ1024">
        <f>'T_SelfStock'!AH40</f>
        <v/>
      </c>
      <c r="AK1024">
        <f>'T_SelfStock'!AI40</f>
        <v/>
      </c>
      <c r="AL1024">
        <f>'T_SelfStock'!AJ40</f>
        <v/>
      </c>
      <c r="AM1024">
        <f>'T_SelfStock'!AK40</f>
        <v/>
      </c>
      <c r="AN1024">
        <f>'T_SelfStock'!AL40</f>
        <v/>
      </c>
      <c r="AO1024">
        <f>'T_SelfStock'!AM40</f>
        <v/>
      </c>
      <c r="AP1024">
        <f>'T_SelfStock'!AN40</f>
        <v/>
      </c>
      <c r="AQ1024">
        <f>'T_SelfStock'!AO40</f>
        <v/>
      </c>
      <c r="AR1024">
        <f>'T_SelfStock'!AP40</f>
        <v/>
      </c>
      <c r="AS1024">
        <f>'T_SelfStock'!AQ40</f>
        <v/>
      </c>
      <c r="AT1024">
        <f>'T_SelfStock'!AR40</f>
        <v/>
      </c>
      <c r="AU1024">
        <f>'T_SelfStock'!AS40</f>
        <v/>
      </c>
      <c r="AV1024">
        <f>'T_SelfStock'!AT40</f>
        <v/>
      </c>
      <c r="AW1024">
        <f>'T_SelfStock'!AU40</f>
        <v/>
      </c>
      <c r="AX1024">
        <f>'T_SelfStock'!AV40</f>
        <v/>
      </c>
      <c r="AY1024">
        <f>'T_SelfStock'!AW40</f>
        <v/>
      </c>
      <c r="AZ1024">
        <f>'T_SelfStock'!AX40</f>
        <v/>
      </c>
      <c r="BA1024">
        <f>'T_SelfStock'!AY40</f>
        <v/>
      </c>
      <c r="BB1024">
        <f>'T_SelfStock'!AZ40</f>
        <v/>
      </c>
      <c r="BC1024">
        <f>'T_SelfStock'!BA40</f>
        <v/>
      </c>
      <c r="BD1024">
        <f>'T_SelfStock'!BB40</f>
        <v/>
      </c>
      <c r="BE1024">
        <f>'T_SelfStock'!BC40</f>
        <v/>
      </c>
      <c r="BF1024">
        <f>'T_SelfStock'!BD40</f>
        <v/>
      </c>
      <c r="BG1024">
        <f>'T_SelfStock'!BE40</f>
        <v/>
      </c>
      <c r="BH1024">
        <f>'T_SelfStock'!BF40</f>
        <v/>
      </c>
      <c r="BI1024">
        <f>'T_SelfStock'!BG40</f>
        <v/>
      </c>
      <c r="BJ1024">
        <f>'T_SelfStock'!BH40</f>
        <v/>
      </c>
      <c r="BK1024">
        <f>'T_SelfStock'!BI40</f>
        <v/>
      </c>
      <c r="BL1024">
        <f>'T_SelfStock'!BJ40</f>
        <v/>
      </c>
      <c r="BM1024">
        <f>'T_SelfStock'!BK40</f>
        <v/>
      </c>
      <c r="BN1024">
        <f>'T_SelfStock'!BL40</f>
        <v/>
      </c>
      <c r="BO1024">
        <f>'T_SelfStock'!BM40</f>
        <v/>
      </c>
      <c r="BP1024">
        <f>'T_SelfStock'!BN40</f>
        <v/>
      </c>
      <c r="BQ1024">
        <f>'T_SelfStock'!BO40</f>
        <v/>
      </c>
      <c r="BR1024">
        <f>'T_SelfStock'!BP40</f>
        <v/>
      </c>
      <c r="BS1024">
        <f>'T_SelfStock'!BQ40</f>
        <v/>
      </c>
      <c r="BT1024">
        <f>'T_SelfStock'!BR40</f>
        <v/>
      </c>
      <c r="BU1024">
        <f>'T_SelfStock'!BS40</f>
        <v/>
      </c>
      <c r="BV1024">
        <f>'T_SelfStock'!BT40</f>
        <v/>
      </c>
      <c r="BW1024">
        <f>'T_SelfStock'!BU40</f>
        <v/>
      </c>
      <c r="BX1024">
        <f>'T_SelfStock'!BV40</f>
        <v/>
      </c>
      <c r="BY1024">
        <f>'T_SelfStock'!BW40</f>
        <v/>
      </c>
      <c r="BZ1024">
        <f>'T_SelfStock'!BX40</f>
        <v/>
      </c>
      <c r="CA1024">
        <f>'T_SelfStock'!BY40</f>
        <v/>
      </c>
      <c r="CB1024">
        <f>'T_SelfStock'!BZ40</f>
        <v/>
      </c>
      <c r="CC1024">
        <f>'T_SelfStock'!CA40</f>
        <v/>
      </c>
      <c r="CD1024">
        <f>'T_SelfStock'!CB40</f>
        <v/>
      </c>
      <c r="CE1024">
        <f>'T_SelfStock'!CC40</f>
        <v/>
      </c>
      <c r="CF1024">
        <f>'T_SelfStock'!CD40</f>
        <v/>
      </c>
      <c r="CG1024">
        <f>'T_SelfStock'!CE40</f>
        <v/>
      </c>
      <c r="CH1024">
        <f>'T_SelfStock'!CF40</f>
        <v/>
      </c>
      <c r="CI1024">
        <f>'T_SelfStock'!CG40</f>
        <v/>
      </c>
      <c r="CJ1024">
        <f>'T_SelfStock'!CH40</f>
        <v/>
      </c>
      <c r="CK1024">
        <f>'T_SelfStock'!CI40</f>
        <v/>
      </c>
      <c r="CL1024">
        <f>'T_SelfStock'!CJ40</f>
        <v/>
      </c>
      <c r="CM1024">
        <f>'T_SelfStock'!CK40</f>
        <v/>
      </c>
      <c r="CN1024">
        <f>'T_SelfStock'!CL40</f>
        <v/>
      </c>
      <c r="CO1024">
        <f>'T_SelfStock'!CM40</f>
        <v/>
      </c>
      <c r="CP1024">
        <f>'T_SelfStock'!CN40</f>
        <v/>
      </c>
      <c r="CQ1024">
        <f>'T_SelfStock'!CO40</f>
        <v/>
      </c>
      <c r="CR1024">
        <f>'T_SelfStock'!CP40</f>
        <v/>
      </c>
      <c r="CS1024">
        <f>'T_SelfStock'!CQ40</f>
        <v/>
      </c>
      <c r="CT1024">
        <f>'T_SelfStock'!CR40</f>
        <v/>
      </c>
      <c r="CU1024">
        <f>'T_SelfStock'!CS40</f>
        <v/>
      </c>
      <c r="CV1024">
        <f>'T_SelfStock'!CT40</f>
        <v/>
      </c>
      <c r="CW1024">
        <f>'T_SelfStock'!CU40</f>
        <v/>
      </c>
      <c r="CX1024">
        <f>'T_SelfStock'!CV40</f>
        <v/>
      </c>
      <c r="CY1024">
        <f>'T_SelfStock'!CW40</f>
        <v/>
      </c>
      <c r="CZ1024">
        <f>'T_SelfStock'!CX40</f>
        <v/>
      </c>
      <c r="DA1024">
        <f>'T_SelfStock'!CY40</f>
        <v/>
      </c>
      <c r="DB1024">
        <f>'T_SelfStock'!CZ40</f>
        <v/>
      </c>
      <c r="DC1024">
        <f>'T_SelfStock'!DA40</f>
        <v/>
      </c>
    </row>
    <row r="1025">
      <c r="B1025" t="inlineStr">
        <is>
          <t>Order(発注予定,kg)</t>
        </is>
      </c>
      <c r="D1025">
        <f>IF(SUMIFS(T_PlannedOrders[EffectiveQty],T_PlannedOrders[Part Name],$A1017,T_PlannedOrders[WeekIndex],1)=0,"",SUMIFS(T_PlannedOrders[EffectiveQty],T_PlannedOrders[Part Name],$A1017,T_PlannedOrders[WeekIndex],1)&amp;" ("&amp;TEXT(SUMPRODUCT(MAX((T_PlannedOrders[Part Name]=$A1017)*(T_PlannedOrders[WeekIndex]=1)*(T_PlannedOrders[EffectiveQty]&gt;0)*T_PlannedOrders[Order_Month])),"m月")&amp;"発注)")</f>
        <v/>
      </c>
      <c r="E1025">
        <f>IF(SUMIFS(T_PlannedOrders[EffectiveQty],T_PlannedOrders[Part Name],$A1017,T_PlannedOrders[WeekIndex],2)=0,"",SUMIFS(T_PlannedOrders[EffectiveQty],T_PlannedOrders[Part Name],$A1017,T_PlannedOrders[WeekIndex],2)&amp;" ("&amp;TEXT(SUMPRODUCT(MAX((T_PlannedOrders[Part Name]=$A1017)*(T_PlannedOrders[WeekIndex]=2)*(T_PlannedOrders[EffectiveQty]&gt;0)*T_PlannedOrders[Order_Month])),"m月")&amp;"発注)")</f>
        <v/>
      </c>
      <c r="F1025">
        <f>IF(SUMIFS(T_PlannedOrders[EffectiveQty],T_PlannedOrders[Part Name],$A1017,T_PlannedOrders[WeekIndex],3)=0,"",SUMIFS(T_PlannedOrders[EffectiveQty],T_PlannedOrders[Part Name],$A1017,T_PlannedOrders[WeekIndex],3)&amp;" ("&amp;TEXT(SUMPRODUCT(MAX((T_PlannedOrders[Part Name]=$A1017)*(T_PlannedOrders[WeekIndex]=3)*(T_PlannedOrders[EffectiveQty]&gt;0)*T_PlannedOrders[Order_Month])),"m月")&amp;"発注)")</f>
        <v/>
      </c>
      <c r="G1025">
        <f>IF(SUMIFS(T_PlannedOrders[EffectiveQty],T_PlannedOrders[Part Name],$A1017,T_PlannedOrders[WeekIndex],4)=0,"",SUMIFS(T_PlannedOrders[EffectiveQty],T_PlannedOrders[Part Name],$A1017,T_PlannedOrders[WeekIndex],4)&amp;" ("&amp;TEXT(SUMPRODUCT(MAX((T_PlannedOrders[Part Name]=$A1017)*(T_PlannedOrders[WeekIndex]=4)*(T_PlannedOrders[EffectiveQty]&gt;0)*T_PlannedOrders[Order_Month])),"m月")&amp;"発注)")</f>
        <v/>
      </c>
      <c r="H1025">
        <f>IF(SUMIFS(T_PlannedOrders[EffectiveQty],T_PlannedOrders[Part Name],$A1017,T_PlannedOrders[WeekIndex],5)=0,"",SUMIFS(T_PlannedOrders[EffectiveQty],T_PlannedOrders[Part Name],$A1017,T_PlannedOrders[WeekIndex],5)&amp;" ("&amp;TEXT(SUMPRODUCT(MAX((T_PlannedOrders[Part Name]=$A1017)*(T_PlannedOrders[WeekIndex]=5)*(T_PlannedOrders[EffectiveQty]&gt;0)*T_PlannedOrders[Order_Month])),"m月")&amp;"発注)")</f>
        <v/>
      </c>
      <c r="I1025">
        <f>IF(SUMIFS(T_PlannedOrders[EffectiveQty],T_PlannedOrders[Part Name],$A1017,T_PlannedOrders[WeekIndex],6)=0,"",SUMIFS(T_PlannedOrders[EffectiveQty],T_PlannedOrders[Part Name],$A1017,T_PlannedOrders[WeekIndex],6)&amp;" ("&amp;TEXT(SUMPRODUCT(MAX((T_PlannedOrders[Part Name]=$A1017)*(T_PlannedOrders[WeekIndex]=6)*(T_PlannedOrders[EffectiveQty]&gt;0)*T_PlannedOrders[Order_Month])),"m月")&amp;"発注)")</f>
        <v/>
      </c>
      <c r="J1025">
        <f>IF(SUMIFS(T_PlannedOrders[EffectiveQty],T_PlannedOrders[Part Name],$A1017,T_PlannedOrders[WeekIndex],7)=0,"",SUMIFS(T_PlannedOrders[EffectiveQty],T_PlannedOrders[Part Name],$A1017,T_PlannedOrders[WeekIndex],7)&amp;" ("&amp;TEXT(SUMPRODUCT(MAX((T_PlannedOrders[Part Name]=$A1017)*(T_PlannedOrders[WeekIndex]=7)*(T_PlannedOrders[EffectiveQty]&gt;0)*T_PlannedOrders[Order_Month])),"m月")&amp;"発注)")</f>
        <v/>
      </c>
      <c r="K1025">
        <f>IF(SUMIFS(T_PlannedOrders[EffectiveQty],T_PlannedOrders[Part Name],$A1017,T_PlannedOrders[WeekIndex],8)=0,"",SUMIFS(T_PlannedOrders[EffectiveQty],T_PlannedOrders[Part Name],$A1017,T_PlannedOrders[WeekIndex],8)&amp;" ("&amp;TEXT(SUMPRODUCT(MAX((T_PlannedOrders[Part Name]=$A1017)*(T_PlannedOrders[WeekIndex]=8)*(T_PlannedOrders[EffectiveQty]&gt;0)*T_PlannedOrders[Order_Month])),"m月")&amp;"発注)")</f>
        <v/>
      </c>
      <c r="L1025">
        <f>IF(SUMIFS(T_PlannedOrders[EffectiveQty],T_PlannedOrders[Part Name],$A1017,T_PlannedOrders[WeekIndex],9)=0,"",SUMIFS(T_PlannedOrders[EffectiveQty],T_PlannedOrders[Part Name],$A1017,T_PlannedOrders[WeekIndex],9)&amp;" ("&amp;TEXT(SUMPRODUCT(MAX((T_PlannedOrders[Part Name]=$A1017)*(T_PlannedOrders[WeekIndex]=9)*(T_PlannedOrders[EffectiveQty]&gt;0)*T_PlannedOrders[Order_Month])),"m月")&amp;"発注)")</f>
        <v/>
      </c>
      <c r="M1025">
        <f>IF(SUMIFS(T_PlannedOrders[EffectiveQty],T_PlannedOrders[Part Name],$A1017,T_PlannedOrders[WeekIndex],10)=0,"",SUMIFS(T_PlannedOrders[EffectiveQty],T_PlannedOrders[Part Name],$A1017,T_PlannedOrders[WeekIndex],10)&amp;" ("&amp;TEXT(SUMPRODUCT(MAX((T_PlannedOrders[Part Name]=$A1017)*(T_PlannedOrders[WeekIndex]=10)*(T_PlannedOrders[EffectiveQty]&gt;0)*T_PlannedOrders[Order_Month])),"m月")&amp;"発注)")</f>
        <v/>
      </c>
      <c r="N1025">
        <f>IF(SUMIFS(T_PlannedOrders[EffectiveQty],T_PlannedOrders[Part Name],$A1017,T_PlannedOrders[WeekIndex],11)=0,"",SUMIFS(T_PlannedOrders[EffectiveQty],T_PlannedOrders[Part Name],$A1017,T_PlannedOrders[WeekIndex],11)&amp;" ("&amp;TEXT(SUMPRODUCT(MAX((T_PlannedOrders[Part Name]=$A1017)*(T_PlannedOrders[WeekIndex]=11)*(T_PlannedOrders[EffectiveQty]&gt;0)*T_PlannedOrders[Order_Month])),"m月")&amp;"発注)")</f>
        <v/>
      </c>
      <c r="O1025">
        <f>IF(SUMIFS(T_PlannedOrders[EffectiveQty],T_PlannedOrders[Part Name],$A1017,T_PlannedOrders[WeekIndex],12)=0,"",SUMIFS(T_PlannedOrders[EffectiveQty],T_PlannedOrders[Part Name],$A1017,T_PlannedOrders[WeekIndex],12)&amp;" ("&amp;TEXT(SUMPRODUCT(MAX((T_PlannedOrders[Part Name]=$A1017)*(T_PlannedOrders[WeekIndex]=12)*(T_PlannedOrders[EffectiveQty]&gt;0)*T_PlannedOrders[Order_Month])),"m月")&amp;"発注)")</f>
        <v/>
      </c>
      <c r="P1025">
        <f>IF(SUMIFS(T_PlannedOrders[EffectiveQty],T_PlannedOrders[Part Name],$A1017,T_PlannedOrders[WeekIndex],13)=0,"",SUMIFS(T_PlannedOrders[EffectiveQty],T_PlannedOrders[Part Name],$A1017,T_PlannedOrders[WeekIndex],13)&amp;" ("&amp;TEXT(SUMPRODUCT(MAX((T_PlannedOrders[Part Name]=$A1017)*(T_PlannedOrders[WeekIndex]=13)*(T_PlannedOrders[EffectiveQty]&gt;0)*T_PlannedOrders[Order_Month])),"m月")&amp;"発注)")</f>
        <v/>
      </c>
      <c r="Q1025">
        <f>IF(SUMIFS(T_PlannedOrders[EffectiveQty],T_PlannedOrders[Part Name],$A1017,T_PlannedOrders[WeekIndex],14)=0,"",SUMIFS(T_PlannedOrders[EffectiveQty],T_PlannedOrders[Part Name],$A1017,T_PlannedOrders[WeekIndex],14)&amp;" ("&amp;TEXT(SUMPRODUCT(MAX((T_PlannedOrders[Part Name]=$A1017)*(T_PlannedOrders[WeekIndex]=14)*(T_PlannedOrders[EffectiveQty]&gt;0)*T_PlannedOrders[Order_Month])),"m月")&amp;"発注)")</f>
        <v/>
      </c>
      <c r="R1025">
        <f>IF(SUMIFS(T_PlannedOrders[EffectiveQty],T_PlannedOrders[Part Name],$A1017,T_PlannedOrders[WeekIndex],15)=0,"",SUMIFS(T_PlannedOrders[EffectiveQty],T_PlannedOrders[Part Name],$A1017,T_PlannedOrders[WeekIndex],15)&amp;" ("&amp;TEXT(SUMPRODUCT(MAX((T_PlannedOrders[Part Name]=$A1017)*(T_PlannedOrders[WeekIndex]=15)*(T_PlannedOrders[EffectiveQty]&gt;0)*T_PlannedOrders[Order_Month])),"m月")&amp;"発注)")</f>
        <v/>
      </c>
      <c r="S1025">
        <f>IF(SUMIFS(T_PlannedOrders[EffectiveQty],T_PlannedOrders[Part Name],$A1017,T_PlannedOrders[WeekIndex],16)=0,"",SUMIFS(T_PlannedOrders[EffectiveQty],T_PlannedOrders[Part Name],$A1017,T_PlannedOrders[WeekIndex],16)&amp;" ("&amp;TEXT(SUMPRODUCT(MAX((T_PlannedOrders[Part Name]=$A1017)*(T_PlannedOrders[WeekIndex]=16)*(T_PlannedOrders[EffectiveQty]&gt;0)*T_PlannedOrders[Order_Month])),"m月")&amp;"発注)")</f>
        <v/>
      </c>
      <c r="T1025">
        <f>IF(SUMIFS(T_PlannedOrders[EffectiveQty],T_PlannedOrders[Part Name],$A1017,T_PlannedOrders[WeekIndex],17)=0,"",SUMIFS(T_PlannedOrders[EffectiveQty],T_PlannedOrders[Part Name],$A1017,T_PlannedOrders[WeekIndex],17)&amp;" ("&amp;TEXT(SUMPRODUCT(MAX((T_PlannedOrders[Part Name]=$A1017)*(T_PlannedOrders[WeekIndex]=17)*(T_PlannedOrders[EffectiveQty]&gt;0)*T_PlannedOrders[Order_Month])),"m月")&amp;"発注)")</f>
        <v/>
      </c>
      <c r="U1025">
        <f>IF(SUMIFS(T_PlannedOrders[EffectiveQty],T_PlannedOrders[Part Name],$A1017,T_PlannedOrders[WeekIndex],18)=0,"",SUMIFS(T_PlannedOrders[EffectiveQty],T_PlannedOrders[Part Name],$A1017,T_PlannedOrders[WeekIndex],18)&amp;" ("&amp;TEXT(SUMPRODUCT(MAX((T_PlannedOrders[Part Name]=$A1017)*(T_PlannedOrders[WeekIndex]=18)*(T_PlannedOrders[EffectiveQty]&gt;0)*T_PlannedOrders[Order_Month])),"m月")&amp;"発注)")</f>
        <v/>
      </c>
      <c r="V1025">
        <f>IF(SUMIFS(T_PlannedOrders[EffectiveQty],T_PlannedOrders[Part Name],$A1017,T_PlannedOrders[WeekIndex],19)=0,"",SUMIFS(T_PlannedOrders[EffectiveQty],T_PlannedOrders[Part Name],$A1017,T_PlannedOrders[WeekIndex],19)&amp;" ("&amp;TEXT(SUMPRODUCT(MAX((T_PlannedOrders[Part Name]=$A1017)*(T_PlannedOrders[WeekIndex]=19)*(T_PlannedOrders[EffectiveQty]&gt;0)*T_PlannedOrders[Order_Month])),"m月")&amp;"発注)")</f>
        <v/>
      </c>
      <c r="W1025">
        <f>IF(SUMIFS(T_PlannedOrders[EffectiveQty],T_PlannedOrders[Part Name],$A1017,T_PlannedOrders[WeekIndex],20)=0,"",SUMIFS(T_PlannedOrders[EffectiveQty],T_PlannedOrders[Part Name],$A1017,T_PlannedOrders[WeekIndex],20)&amp;" ("&amp;TEXT(SUMPRODUCT(MAX((T_PlannedOrders[Part Name]=$A1017)*(T_PlannedOrders[WeekIndex]=20)*(T_PlannedOrders[EffectiveQty]&gt;0)*T_PlannedOrders[Order_Month])),"m月")&amp;"発注)")</f>
        <v/>
      </c>
      <c r="X1025">
        <f>IF(SUMIFS(T_PlannedOrders[EffectiveQty],T_PlannedOrders[Part Name],$A1017,T_PlannedOrders[WeekIndex],21)=0,"",SUMIFS(T_PlannedOrders[EffectiveQty],T_PlannedOrders[Part Name],$A1017,T_PlannedOrders[WeekIndex],21)&amp;" ("&amp;TEXT(SUMPRODUCT(MAX((T_PlannedOrders[Part Name]=$A1017)*(T_PlannedOrders[WeekIndex]=21)*(T_PlannedOrders[EffectiveQty]&gt;0)*T_PlannedOrders[Order_Month])),"m月")&amp;"発注)")</f>
        <v/>
      </c>
      <c r="Y1025">
        <f>IF(SUMIFS(T_PlannedOrders[EffectiveQty],T_PlannedOrders[Part Name],$A1017,T_PlannedOrders[WeekIndex],22)=0,"",SUMIFS(T_PlannedOrders[EffectiveQty],T_PlannedOrders[Part Name],$A1017,T_PlannedOrders[WeekIndex],22)&amp;" ("&amp;TEXT(SUMPRODUCT(MAX((T_PlannedOrders[Part Name]=$A1017)*(T_PlannedOrders[WeekIndex]=22)*(T_PlannedOrders[EffectiveQty]&gt;0)*T_PlannedOrders[Order_Month])),"m月")&amp;"発注)")</f>
        <v/>
      </c>
      <c r="Z1025">
        <f>IF(SUMIFS(T_PlannedOrders[EffectiveQty],T_PlannedOrders[Part Name],$A1017,T_PlannedOrders[WeekIndex],23)=0,"",SUMIFS(T_PlannedOrders[EffectiveQty],T_PlannedOrders[Part Name],$A1017,T_PlannedOrders[WeekIndex],23)&amp;" ("&amp;TEXT(SUMPRODUCT(MAX((T_PlannedOrders[Part Name]=$A1017)*(T_PlannedOrders[WeekIndex]=23)*(T_PlannedOrders[EffectiveQty]&gt;0)*T_PlannedOrders[Order_Month])),"m月")&amp;"発注)")</f>
        <v/>
      </c>
      <c r="AA1025">
        <f>IF(SUMIFS(T_PlannedOrders[EffectiveQty],T_PlannedOrders[Part Name],$A1017,T_PlannedOrders[WeekIndex],24)=0,"",SUMIFS(T_PlannedOrders[EffectiveQty],T_PlannedOrders[Part Name],$A1017,T_PlannedOrders[WeekIndex],24)&amp;" ("&amp;TEXT(SUMPRODUCT(MAX((T_PlannedOrders[Part Name]=$A1017)*(T_PlannedOrders[WeekIndex]=24)*(T_PlannedOrders[EffectiveQty]&gt;0)*T_PlannedOrders[Order_Month])),"m月")&amp;"発注)")</f>
        <v/>
      </c>
      <c r="AB1025">
        <f>IF(SUMIFS(T_PlannedOrders[EffectiveQty],T_PlannedOrders[Part Name],$A1017,T_PlannedOrders[WeekIndex],25)=0,"",SUMIFS(T_PlannedOrders[EffectiveQty],T_PlannedOrders[Part Name],$A1017,T_PlannedOrders[WeekIndex],25)&amp;" ("&amp;TEXT(SUMPRODUCT(MAX((T_PlannedOrders[Part Name]=$A1017)*(T_PlannedOrders[WeekIndex]=25)*(T_PlannedOrders[EffectiveQty]&gt;0)*T_PlannedOrders[Order_Month])),"m月")&amp;"発注)")</f>
        <v/>
      </c>
      <c r="AC1025">
        <f>IF(SUMIFS(T_PlannedOrders[EffectiveQty],T_PlannedOrders[Part Name],$A1017,T_PlannedOrders[WeekIndex],26)=0,"",SUMIFS(T_PlannedOrders[EffectiveQty],T_PlannedOrders[Part Name],$A1017,T_PlannedOrders[WeekIndex],26)&amp;" ("&amp;TEXT(SUMPRODUCT(MAX((T_PlannedOrders[Part Name]=$A1017)*(T_PlannedOrders[WeekIndex]=26)*(T_PlannedOrders[EffectiveQty]&gt;0)*T_PlannedOrders[Order_Month])),"m月")&amp;"発注)")</f>
        <v/>
      </c>
      <c r="AD1025">
        <f>IF(SUMIFS(T_PlannedOrders[EffectiveQty],T_PlannedOrders[Part Name],$A1017,T_PlannedOrders[WeekIndex],27)=0,"",SUMIFS(T_PlannedOrders[EffectiveQty],T_PlannedOrders[Part Name],$A1017,T_PlannedOrders[WeekIndex],27)&amp;" ("&amp;TEXT(SUMPRODUCT(MAX((T_PlannedOrders[Part Name]=$A1017)*(T_PlannedOrders[WeekIndex]=27)*(T_PlannedOrders[EffectiveQty]&gt;0)*T_PlannedOrders[Order_Month])),"m月")&amp;"発注)")</f>
        <v/>
      </c>
      <c r="AE1025">
        <f>IF(SUMIFS(T_PlannedOrders[EffectiveQty],T_PlannedOrders[Part Name],$A1017,T_PlannedOrders[WeekIndex],28)=0,"",SUMIFS(T_PlannedOrders[EffectiveQty],T_PlannedOrders[Part Name],$A1017,T_PlannedOrders[WeekIndex],28)&amp;" ("&amp;TEXT(SUMPRODUCT(MAX((T_PlannedOrders[Part Name]=$A1017)*(T_PlannedOrders[WeekIndex]=28)*(T_PlannedOrders[EffectiveQty]&gt;0)*T_PlannedOrders[Order_Month])),"m月")&amp;"発注)")</f>
        <v/>
      </c>
      <c r="AF1025">
        <f>IF(SUMIFS(T_PlannedOrders[EffectiveQty],T_PlannedOrders[Part Name],$A1017,T_PlannedOrders[WeekIndex],29)=0,"",SUMIFS(T_PlannedOrders[EffectiveQty],T_PlannedOrders[Part Name],$A1017,T_PlannedOrders[WeekIndex],29)&amp;" ("&amp;TEXT(SUMPRODUCT(MAX((T_PlannedOrders[Part Name]=$A1017)*(T_PlannedOrders[WeekIndex]=29)*(T_PlannedOrders[EffectiveQty]&gt;0)*T_PlannedOrders[Order_Month])),"m月")&amp;"発注)")</f>
        <v/>
      </c>
      <c r="AG1025">
        <f>IF(SUMIFS(T_PlannedOrders[EffectiveQty],T_PlannedOrders[Part Name],$A1017,T_PlannedOrders[WeekIndex],30)=0,"",SUMIFS(T_PlannedOrders[EffectiveQty],T_PlannedOrders[Part Name],$A1017,T_PlannedOrders[WeekIndex],30)&amp;" ("&amp;TEXT(SUMPRODUCT(MAX((T_PlannedOrders[Part Name]=$A1017)*(T_PlannedOrders[WeekIndex]=30)*(T_PlannedOrders[EffectiveQty]&gt;0)*T_PlannedOrders[Order_Month])),"m月")&amp;"発注)")</f>
        <v/>
      </c>
      <c r="AH1025">
        <f>IF(SUMIFS(T_PlannedOrders[EffectiveQty],T_PlannedOrders[Part Name],$A1017,T_PlannedOrders[WeekIndex],31)=0,"",SUMIFS(T_PlannedOrders[EffectiveQty],T_PlannedOrders[Part Name],$A1017,T_PlannedOrders[WeekIndex],31)&amp;" ("&amp;TEXT(SUMPRODUCT(MAX((T_PlannedOrders[Part Name]=$A1017)*(T_PlannedOrders[WeekIndex]=31)*(T_PlannedOrders[EffectiveQty]&gt;0)*T_PlannedOrders[Order_Month])),"m月")&amp;"発注)")</f>
        <v/>
      </c>
      <c r="AI1025">
        <f>IF(SUMIFS(T_PlannedOrders[EffectiveQty],T_PlannedOrders[Part Name],$A1017,T_PlannedOrders[WeekIndex],32)=0,"",SUMIFS(T_PlannedOrders[EffectiveQty],T_PlannedOrders[Part Name],$A1017,T_PlannedOrders[WeekIndex],32)&amp;" ("&amp;TEXT(SUMPRODUCT(MAX((T_PlannedOrders[Part Name]=$A1017)*(T_PlannedOrders[WeekIndex]=32)*(T_PlannedOrders[EffectiveQty]&gt;0)*T_PlannedOrders[Order_Month])),"m月")&amp;"発注)")</f>
        <v/>
      </c>
      <c r="AJ1025">
        <f>IF(SUMIFS(T_PlannedOrders[EffectiveQty],T_PlannedOrders[Part Name],$A1017,T_PlannedOrders[WeekIndex],33)=0,"",SUMIFS(T_PlannedOrders[EffectiveQty],T_PlannedOrders[Part Name],$A1017,T_PlannedOrders[WeekIndex],33)&amp;" ("&amp;TEXT(SUMPRODUCT(MAX((T_PlannedOrders[Part Name]=$A1017)*(T_PlannedOrders[WeekIndex]=33)*(T_PlannedOrders[EffectiveQty]&gt;0)*T_PlannedOrders[Order_Month])),"m月")&amp;"発注)")</f>
        <v/>
      </c>
      <c r="AK1025">
        <f>IF(SUMIFS(T_PlannedOrders[EffectiveQty],T_PlannedOrders[Part Name],$A1017,T_PlannedOrders[WeekIndex],34)=0,"",SUMIFS(T_PlannedOrders[EffectiveQty],T_PlannedOrders[Part Name],$A1017,T_PlannedOrders[WeekIndex],34)&amp;" ("&amp;TEXT(SUMPRODUCT(MAX((T_PlannedOrders[Part Name]=$A1017)*(T_PlannedOrders[WeekIndex]=34)*(T_PlannedOrders[EffectiveQty]&gt;0)*T_PlannedOrders[Order_Month])),"m月")&amp;"発注)")</f>
        <v/>
      </c>
      <c r="AL1025">
        <f>IF(SUMIFS(T_PlannedOrders[EffectiveQty],T_PlannedOrders[Part Name],$A1017,T_PlannedOrders[WeekIndex],35)=0,"",SUMIFS(T_PlannedOrders[EffectiveQty],T_PlannedOrders[Part Name],$A1017,T_PlannedOrders[WeekIndex],35)&amp;" ("&amp;TEXT(SUMPRODUCT(MAX((T_PlannedOrders[Part Name]=$A1017)*(T_PlannedOrders[WeekIndex]=35)*(T_PlannedOrders[EffectiveQty]&gt;0)*T_PlannedOrders[Order_Month])),"m月")&amp;"発注)")</f>
        <v/>
      </c>
      <c r="AM1025">
        <f>IF(SUMIFS(T_PlannedOrders[EffectiveQty],T_PlannedOrders[Part Name],$A1017,T_PlannedOrders[WeekIndex],36)=0,"",SUMIFS(T_PlannedOrders[EffectiveQty],T_PlannedOrders[Part Name],$A1017,T_PlannedOrders[WeekIndex],36)&amp;" ("&amp;TEXT(SUMPRODUCT(MAX((T_PlannedOrders[Part Name]=$A1017)*(T_PlannedOrders[WeekIndex]=36)*(T_PlannedOrders[EffectiveQty]&gt;0)*T_PlannedOrders[Order_Month])),"m月")&amp;"発注)")</f>
        <v/>
      </c>
      <c r="AN1025">
        <f>IF(SUMIFS(T_PlannedOrders[EffectiveQty],T_PlannedOrders[Part Name],$A1017,T_PlannedOrders[WeekIndex],37)=0,"",SUMIFS(T_PlannedOrders[EffectiveQty],T_PlannedOrders[Part Name],$A1017,T_PlannedOrders[WeekIndex],37)&amp;" ("&amp;TEXT(SUMPRODUCT(MAX((T_PlannedOrders[Part Name]=$A1017)*(T_PlannedOrders[WeekIndex]=37)*(T_PlannedOrders[EffectiveQty]&gt;0)*T_PlannedOrders[Order_Month])),"m月")&amp;"発注)")</f>
        <v/>
      </c>
      <c r="AO1025">
        <f>IF(SUMIFS(T_PlannedOrders[EffectiveQty],T_PlannedOrders[Part Name],$A1017,T_PlannedOrders[WeekIndex],38)=0,"",SUMIFS(T_PlannedOrders[EffectiveQty],T_PlannedOrders[Part Name],$A1017,T_PlannedOrders[WeekIndex],38)&amp;" ("&amp;TEXT(SUMPRODUCT(MAX((T_PlannedOrders[Part Name]=$A1017)*(T_PlannedOrders[WeekIndex]=38)*(T_PlannedOrders[EffectiveQty]&gt;0)*T_PlannedOrders[Order_Month])),"m月")&amp;"発注)")</f>
        <v/>
      </c>
      <c r="AP1025">
        <f>IF(SUMIFS(T_PlannedOrders[EffectiveQty],T_PlannedOrders[Part Name],$A1017,T_PlannedOrders[WeekIndex],39)=0,"",SUMIFS(T_PlannedOrders[EffectiveQty],T_PlannedOrders[Part Name],$A1017,T_PlannedOrders[WeekIndex],39)&amp;" ("&amp;TEXT(SUMPRODUCT(MAX((T_PlannedOrders[Part Name]=$A1017)*(T_PlannedOrders[WeekIndex]=39)*(T_PlannedOrders[EffectiveQty]&gt;0)*T_PlannedOrders[Order_Month])),"m月")&amp;"発注)")</f>
        <v/>
      </c>
      <c r="AQ1025">
        <f>IF(SUMIFS(T_PlannedOrders[EffectiveQty],T_PlannedOrders[Part Name],$A1017,T_PlannedOrders[WeekIndex],40)=0,"",SUMIFS(T_PlannedOrders[EffectiveQty],T_PlannedOrders[Part Name],$A1017,T_PlannedOrders[WeekIndex],40)&amp;" ("&amp;TEXT(SUMPRODUCT(MAX((T_PlannedOrders[Part Name]=$A1017)*(T_PlannedOrders[WeekIndex]=40)*(T_PlannedOrders[EffectiveQty]&gt;0)*T_PlannedOrders[Order_Month])),"m月")&amp;"発注)")</f>
        <v/>
      </c>
      <c r="AR1025">
        <f>IF(SUMIFS(T_PlannedOrders[EffectiveQty],T_PlannedOrders[Part Name],$A1017,T_PlannedOrders[WeekIndex],41)=0,"",SUMIFS(T_PlannedOrders[EffectiveQty],T_PlannedOrders[Part Name],$A1017,T_PlannedOrders[WeekIndex],41)&amp;" ("&amp;TEXT(SUMPRODUCT(MAX((T_PlannedOrders[Part Name]=$A1017)*(T_PlannedOrders[WeekIndex]=41)*(T_PlannedOrders[EffectiveQty]&gt;0)*T_PlannedOrders[Order_Month])),"m月")&amp;"発注)")</f>
        <v/>
      </c>
      <c r="AS1025">
        <f>IF(SUMIFS(T_PlannedOrders[EffectiveQty],T_PlannedOrders[Part Name],$A1017,T_PlannedOrders[WeekIndex],42)=0,"",SUMIFS(T_PlannedOrders[EffectiveQty],T_PlannedOrders[Part Name],$A1017,T_PlannedOrders[WeekIndex],42)&amp;" ("&amp;TEXT(SUMPRODUCT(MAX((T_PlannedOrders[Part Name]=$A1017)*(T_PlannedOrders[WeekIndex]=42)*(T_PlannedOrders[EffectiveQty]&gt;0)*T_PlannedOrders[Order_Month])),"m月")&amp;"発注)")</f>
        <v/>
      </c>
      <c r="AT1025">
        <f>IF(SUMIFS(T_PlannedOrders[EffectiveQty],T_PlannedOrders[Part Name],$A1017,T_PlannedOrders[WeekIndex],43)=0,"",SUMIFS(T_PlannedOrders[EffectiveQty],T_PlannedOrders[Part Name],$A1017,T_PlannedOrders[WeekIndex],43)&amp;" ("&amp;TEXT(SUMPRODUCT(MAX((T_PlannedOrders[Part Name]=$A1017)*(T_PlannedOrders[WeekIndex]=43)*(T_PlannedOrders[EffectiveQty]&gt;0)*T_PlannedOrders[Order_Month])),"m月")&amp;"発注)")</f>
        <v/>
      </c>
      <c r="AU1025">
        <f>IF(SUMIFS(T_PlannedOrders[EffectiveQty],T_PlannedOrders[Part Name],$A1017,T_PlannedOrders[WeekIndex],44)=0,"",SUMIFS(T_PlannedOrders[EffectiveQty],T_PlannedOrders[Part Name],$A1017,T_PlannedOrders[WeekIndex],44)&amp;" ("&amp;TEXT(SUMPRODUCT(MAX((T_PlannedOrders[Part Name]=$A1017)*(T_PlannedOrders[WeekIndex]=44)*(T_PlannedOrders[EffectiveQty]&gt;0)*T_PlannedOrders[Order_Month])),"m月")&amp;"発注)")</f>
        <v/>
      </c>
      <c r="AV1025">
        <f>IF(SUMIFS(T_PlannedOrders[EffectiveQty],T_PlannedOrders[Part Name],$A1017,T_PlannedOrders[WeekIndex],45)=0,"",SUMIFS(T_PlannedOrders[EffectiveQty],T_PlannedOrders[Part Name],$A1017,T_PlannedOrders[WeekIndex],45)&amp;" ("&amp;TEXT(SUMPRODUCT(MAX((T_PlannedOrders[Part Name]=$A1017)*(T_PlannedOrders[WeekIndex]=45)*(T_PlannedOrders[EffectiveQty]&gt;0)*T_PlannedOrders[Order_Month])),"m月")&amp;"発注)")</f>
        <v/>
      </c>
      <c r="AW1025">
        <f>IF(SUMIFS(T_PlannedOrders[EffectiveQty],T_PlannedOrders[Part Name],$A1017,T_PlannedOrders[WeekIndex],46)=0,"",SUMIFS(T_PlannedOrders[EffectiveQty],T_PlannedOrders[Part Name],$A1017,T_PlannedOrders[WeekIndex],46)&amp;" ("&amp;TEXT(SUMPRODUCT(MAX((T_PlannedOrders[Part Name]=$A1017)*(T_PlannedOrders[WeekIndex]=46)*(T_PlannedOrders[EffectiveQty]&gt;0)*T_PlannedOrders[Order_Month])),"m月")&amp;"発注)")</f>
        <v/>
      </c>
      <c r="AX1025">
        <f>IF(SUMIFS(T_PlannedOrders[EffectiveQty],T_PlannedOrders[Part Name],$A1017,T_PlannedOrders[WeekIndex],47)=0,"",SUMIFS(T_PlannedOrders[EffectiveQty],T_PlannedOrders[Part Name],$A1017,T_PlannedOrders[WeekIndex],47)&amp;" ("&amp;TEXT(SUMPRODUCT(MAX((T_PlannedOrders[Part Name]=$A1017)*(T_PlannedOrders[WeekIndex]=47)*(T_PlannedOrders[EffectiveQty]&gt;0)*T_PlannedOrders[Order_Month])),"m月")&amp;"発注)")</f>
        <v/>
      </c>
      <c r="AY1025">
        <f>IF(SUMIFS(T_PlannedOrders[EffectiveQty],T_PlannedOrders[Part Name],$A1017,T_PlannedOrders[WeekIndex],48)=0,"",SUMIFS(T_PlannedOrders[EffectiveQty],T_PlannedOrders[Part Name],$A1017,T_PlannedOrders[WeekIndex],48)&amp;" ("&amp;TEXT(SUMPRODUCT(MAX((T_PlannedOrders[Part Name]=$A1017)*(T_PlannedOrders[WeekIndex]=48)*(T_PlannedOrders[EffectiveQty]&gt;0)*T_PlannedOrders[Order_Month])),"m月")&amp;"発注)")</f>
        <v/>
      </c>
      <c r="AZ1025">
        <f>IF(SUMIFS(T_PlannedOrders[EffectiveQty],T_PlannedOrders[Part Name],$A1017,T_PlannedOrders[WeekIndex],49)=0,"",SUMIFS(T_PlannedOrders[EffectiveQty],T_PlannedOrders[Part Name],$A1017,T_PlannedOrders[WeekIndex],49)&amp;" ("&amp;TEXT(SUMPRODUCT(MAX((T_PlannedOrders[Part Name]=$A1017)*(T_PlannedOrders[WeekIndex]=49)*(T_PlannedOrders[EffectiveQty]&gt;0)*T_PlannedOrders[Order_Month])),"m月")&amp;"発注)")</f>
        <v/>
      </c>
      <c r="BA1025">
        <f>IF(SUMIFS(T_PlannedOrders[EffectiveQty],T_PlannedOrders[Part Name],$A1017,T_PlannedOrders[WeekIndex],50)=0,"",SUMIFS(T_PlannedOrders[EffectiveQty],T_PlannedOrders[Part Name],$A1017,T_PlannedOrders[WeekIndex],50)&amp;" ("&amp;TEXT(SUMPRODUCT(MAX((T_PlannedOrders[Part Name]=$A1017)*(T_PlannedOrders[WeekIndex]=50)*(T_PlannedOrders[EffectiveQty]&gt;0)*T_PlannedOrders[Order_Month])),"m月")&amp;"発注)")</f>
        <v/>
      </c>
      <c r="BB1025">
        <f>IF(SUMIFS(T_PlannedOrders[EffectiveQty],T_PlannedOrders[Part Name],$A1017,T_PlannedOrders[WeekIndex],51)=0,"",SUMIFS(T_PlannedOrders[EffectiveQty],T_PlannedOrders[Part Name],$A1017,T_PlannedOrders[WeekIndex],51)&amp;" ("&amp;TEXT(SUMPRODUCT(MAX((T_PlannedOrders[Part Name]=$A1017)*(T_PlannedOrders[WeekIndex]=51)*(T_PlannedOrders[EffectiveQty]&gt;0)*T_PlannedOrders[Order_Month])),"m月")&amp;"発注)")</f>
        <v/>
      </c>
      <c r="BC1025">
        <f>IF(SUMIFS(T_PlannedOrders[EffectiveQty],T_PlannedOrders[Part Name],$A1017,T_PlannedOrders[WeekIndex],52)=0,"",SUMIFS(T_PlannedOrders[EffectiveQty],T_PlannedOrders[Part Name],$A1017,T_PlannedOrders[WeekIndex],52)&amp;" ("&amp;TEXT(SUMPRODUCT(MAX((T_PlannedOrders[Part Name]=$A1017)*(T_PlannedOrders[WeekIndex]=52)*(T_PlannedOrders[EffectiveQty]&gt;0)*T_PlannedOrders[Order_Month])),"m月")&amp;"発注)")</f>
        <v/>
      </c>
      <c r="BD1025">
        <f>IF(SUMIFS(T_PlannedOrders[EffectiveQty],T_PlannedOrders[Part Name],$A1017,T_PlannedOrders[WeekIndex],53)=0,"",SUMIFS(T_PlannedOrders[EffectiveQty],T_PlannedOrders[Part Name],$A1017,T_PlannedOrders[WeekIndex],53)&amp;" ("&amp;TEXT(SUMPRODUCT(MAX((T_PlannedOrders[Part Name]=$A1017)*(T_PlannedOrders[WeekIndex]=53)*(T_PlannedOrders[EffectiveQty]&gt;0)*T_PlannedOrders[Order_Month])),"m月")&amp;"発注)")</f>
        <v/>
      </c>
      <c r="BE1025">
        <f>IF(SUMIFS(T_PlannedOrders[EffectiveQty],T_PlannedOrders[Part Name],$A1017,T_PlannedOrders[WeekIndex],54)=0,"",SUMIFS(T_PlannedOrders[EffectiveQty],T_PlannedOrders[Part Name],$A1017,T_PlannedOrders[WeekIndex],54)&amp;" ("&amp;TEXT(SUMPRODUCT(MAX((T_PlannedOrders[Part Name]=$A1017)*(T_PlannedOrders[WeekIndex]=54)*(T_PlannedOrders[EffectiveQty]&gt;0)*T_PlannedOrders[Order_Month])),"m月")&amp;"発注)")</f>
        <v/>
      </c>
      <c r="BF1025">
        <f>IF(SUMIFS(T_PlannedOrders[EffectiveQty],T_PlannedOrders[Part Name],$A1017,T_PlannedOrders[WeekIndex],55)=0,"",SUMIFS(T_PlannedOrders[EffectiveQty],T_PlannedOrders[Part Name],$A1017,T_PlannedOrders[WeekIndex],55)&amp;" ("&amp;TEXT(SUMPRODUCT(MAX((T_PlannedOrders[Part Name]=$A1017)*(T_PlannedOrders[WeekIndex]=55)*(T_PlannedOrders[EffectiveQty]&gt;0)*T_PlannedOrders[Order_Month])),"m月")&amp;"発注)")</f>
        <v/>
      </c>
      <c r="BG1025">
        <f>IF(SUMIFS(T_PlannedOrders[EffectiveQty],T_PlannedOrders[Part Name],$A1017,T_PlannedOrders[WeekIndex],56)=0,"",SUMIFS(T_PlannedOrders[EffectiveQty],T_PlannedOrders[Part Name],$A1017,T_PlannedOrders[WeekIndex],56)&amp;" ("&amp;TEXT(SUMPRODUCT(MAX((T_PlannedOrders[Part Name]=$A1017)*(T_PlannedOrders[WeekIndex]=56)*(T_PlannedOrders[EffectiveQty]&gt;0)*T_PlannedOrders[Order_Month])),"m月")&amp;"発注)")</f>
        <v/>
      </c>
      <c r="BH1025">
        <f>IF(SUMIFS(T_PlannedOrders[EffectiveQty],T_PlannedOrders[Part Name],$A1017,T_PlannedOrders[WeekIndex],57)=0,"",SUMIFS(T_PlannedOrders[EffectiveQty],T_PlannedOrders[Part Name],$A1017,T_PlannedOrders[WeekIndex],57)&amp;" ("&amp;TEXT(SUMPRODUCT(MAX((T_PlannedOrders[Part Name]=$A1017)*(T_PlannedOrders[WeekIndex]=57)*(T_PlannedOrders[EffectiveQty]&gt;0)*T_PlannedOrders[Order_Month])),"m月")&amp;"発注)")</f>
        <v/>
      </c>
      <c r="BI1025">
        <f>IF(SUMIFS(T_PlannedOrders[EffectiveQty],T_PlannedOrders[Part Name],$A1017,T_PlannedOrders[WeekIndex],58)=0,"",SUMIFS(T_PlannedOrders[EffectiveQty],T_PlannedOrders[Part Name],$A1017,T_PlannedOrders[WeekIndex],58)&amp;" ("&amp;TEXT(SUMPRODUCT(MAX((T_PlannedOrders[Part Name]=$A1017)*(T_PlannedOrders[WeekIndex]=58)*(T_PlannedOrders[EffectiveQty]&gt;0)*T_PlannedOrders[Order_Month])),"m月")&amp;"発注)")</f>
        <v/>
      </c>
      <c r="BJ1025">
        <f>IF(SUMIFS(T_PlannedOrders[EffectiveQty],T_PlannedOrders[Part Name],$A1017,T_PlannedOrders[WeekIndex],59)=0,"",SUMIFS(T_PlannedOrders[EffectiveQty],T_PlannedOrders[Part Name],$A1017,T_PlannedOrders[WeekIndex],59)&amp;" ("&amp;TEXT(SUMPRODUCT(MAX((T_PlannedOrders[Part Name]=$A1017)*(T_PlannedOrders[WeekIndex]=59)*(T_PlannedOrders[EffectiveQty]&gt;0)*T_PlannedOrders[Order_Month])),"m月")&amp;"発注)")</f>
        <v/>
      </c>
      <c r="BK1025">
        <f>IF(SUMIFS(T_PlannedOrders[EffectiveQty],T_PlannedOrders[Part Name],$A1017,T_PlannedOrders[WeekIndex],60)=0,"",SUMIFS(T_PlannedOrders[EffectiveQty],T_PlannedOrders[Part Name],$A1017,T_PlannedOrders[WeekIndex],60)&amp;" ("&amp;TEXT(SUMPRODUCT(MAX((T_PlannedOrders[Part Name]=$A1017)*(T_PlannedOrders[WeekIndex]=60)*(T_PlannedOrders[EffectiveQty]&gt;0)*T_PlannedOrders[Order_Month])),"m月")&amp;"発注)")</f>
        <v/>
      </c>
      <c r="BL1025">
        <f>IF(SUMIFS(T_PlannedOrders[EffectiveQty],T_PlannedOrders[Part Name],$A1017,T_PlannedOrders[WeekIndex],61)=0,"",SUMIFS(T_PlannedOrders[EffectiveQty],T_PlannedOrders[Part Name],$A1017,T_PlannedOrders[WeekIndex],61)&amp;" ("&amp;TEXT(SUMPRODUCT(MAX((T_PlannedOrders[Part Name]=$A1017)*(T_PlannedOrders[WeekIndex]=61)*(T_PlannedOrders[EffectiveQty]&gt;0)*T_PlannedOrders[Order_Month])),"m月")&amp;"発注)")</f>
        <v/>
      </c>
      <c r="BM1025">
        <f>IF(SUMIFS(T_PlannedOrders[EffectiveQty],T_PlannedOrders[Part Name],$A1017,T_PlannedOrders[WeekIndex],62)=0,"",SUMIFS(T_PlannedOrders[EffectiveQty],T_PlannedOrders[Part Name],$A1017,T_PlannedOrders[WeekIndex],62)&amp;" ("&amp;TEXT(SUMPRODUCT(MAX((T_PlannedOrders[Part Name]=$A1017)*(T_PlannedOrders[WeekIndex]=62)*(T_PlannedOrders[EffectiveQty]&gt;0)*T_PlannedOrders[Order_Month])),"m月")&amp;"発注)")</f>
        <v/>
      </c>
      <c r="BN1025">
        <f>IF(SUMIFS(T_PlannedOrders[EffectiveQty],T_PlannedOrders[Part Name],$A1017,T_PlannedOrders[WeekIndex],63)=0,"",SUMIFS(T_PlannedOrders[EffectiveQty],T_PlannedOrders[Part Name],$A1017,T_PlannedOrders[WeekIndex],63)&amp;" ("&amp;TEXT(SUMPRODUCT(MAX((T_PlannedOrders[Part Name]=$A1017)*(T_PlannedOrders[WeekIndex]=63)*(T_PlannedOrders[EffectiveQty]&gt;0)*T_PlannedOrders[Order_Month])),"m月")&amp;"発注)")</f>
        <v/>
      </c>
      <c r="BO1025">
        <f>IF(SUMIFS(T_PlannedOrders[EffectiveQty],T_PlannedOrders[Part Name],$A1017,T_PlannedOrders[WeekIndex],64)=0,"",SUMIFS(T_PlannedOrders[EffectiveQty],T_PlannedOrders[Part Name],$A1017,T_PlannedOrders[WeekIndex],64)&amp;" ("&amp;TEXT(SUMPRODUCT(MAX((T_PlannedOrders[Part Name]=$A1017)*(T_PlannedOrders[WeekIndex]=64)*(T_PlannedOrders[EffectiveQty]&gt;0)*T_PlannedOrders[Order_Month])),"m月")&amp;"発注)")</f>
        <v/>
      </c>
      <c r="BP1025">
        <f>IF(SUMIFS(T_PlannedOrders[EffectiveQty],T_PlannedOrders[Part Name],$A1017,T_PlannedOrders[WeekIndex],65)=0,"",SUMIFS(T_PlannedOrders[EffectiveQty],T_PlannedOrders[Part Name],$A1017,T_PlannedOrders[WeekIndex],65)&amp;" ("&amp;TEXT(SUMPRODUCT(MAX((T_PlannedOrders[Part Name]=$A1017)*(T_PlannedOrders[WeekIndex]=65)*(T_PlannedOrders[EffectiveQty]&gt;0)*T_PlannedOrders[Order_Month])),"m月")&amp;"発注)")</f>
        <v/>
      </c>
      <c r="BQ1025">
        <f>IF(SUMIFS(T_PlannedOrders[EffectiveQty],T_PlannedOrders[Part Name],$A1017,T_PlannedOrders[WeekIndex],66)=0,"",SUMIFS(T_PlannedOrders[EffectiveQty],T_PlannedOrders[Part Name],$A1017,T_PlannedOrders[WeekIndex],66)&amp;" ("&amp;TEXT(SUMPRODUCT(MAX((T_PlannedOrders[Part Name]=$A1017)*(T_PlannedOrders[WeekIndex]=66)*(T_PlannedOrders[EffectiveQty]&gt;0)*T_PlannedOrders[Order_Month])),"m月")&amp;"発注)")</f>
        <v/>
      </c>
      <c r="BR1025">
        <f>IF(SUMIFS(T_PlannedOrders[EffectiveQty],T_PlannedOrders[Part Name],$A1017,T_PlannedOrders[WeekIndex],67)=0,"",SUMIFS(T_PlannedOrders[EffectiveQty],T_PlannedOrders[Part Name],$A1017,T_PlannedOrders[WeekIndex],67)&amp;" ("&amp;TEXT(SUMPRODUCT(MAX((T_PlannedOrders[Part Name]=$A1017)*(T_PlannedOrders[WeekIndex]=67)*(T_PlannedOrders[EffectiveQty]&gt;0)*T_PlannedOrders[Order_Month])),"m月")&amp;"発注)")</f>
        <v/>
      </c>
      <c r="BS1025">
        <f>IF(SUMIFS(T_PlannedOrders[EffectiveQty],T_PlannedOrders[Part Name],$A1017,T_PlannedOrders[WeekIndex],68)=0,"",SUMIFS(T_PlannedOrders[EffectiveQty],T_PlannedOrders[Part Name],$A1017,T_PlannedOrders[WeekIndex],68)&amp;" ("&amp;TEXT(SUMPRODUCT(MAX((T_PlannedOrders[Part Name]=$A1017)*(T_PlannedOrders[WeekIndex]=68)*(T_PlannedOrders[EffectiveQty]&gt;0)*T_PlannedOrders[Order_Month])),"m月")&amp;"発注)")</f>
        <v/>
      </c>
      <c r="BT1025">
        <f>IF(SUMIFS(T_PlannedOrders[EffectiveQty],T_PlannedOrders[Part Name],$A1017,T_PlannedOrders[WeekIndex],69)=0,"",SUMIFS(T_PlannedOrders[EffectiveQty],T_PlannedOrders[Part Name],$A1017,T_PlannedOrders[WeekIndex],69)&amp;" ("&amp;TEXT(SUMPRODUCT(MAX((T_PlannedOrders[Part Name]=$A1017)*(T_PlannedOrders[WeekIndex]=69)*(T_PlannedOrders[EffectiveQty]&gt;0)*T_PlannedOrders[Order_Month])),"m月")&amp;"発注)")</f>
        <v/>
      </c>
      <c r="BU1025">
        <f>IF(SUMIFS(T_PlannedOrders[EffectiveQty],T_PlannedOrders[Part Name],$A1017,T_PlannedOrders[WeekIndex],70)=0,"",SUMIFS(T_PlannedOrders[EffectiveQty],T_PlannedOrders[Part Name],$A1017,T_PlannedOrders[WeekIndex],70)&amp;" ("&amp;TEXT(SUMPRODUCT(MAX((T_PlannedOrders[Part Name]=$A1017)*(T_PlannedOrders[WeekIndex]=70)*(T_PlannedOrders[EffectiveQty]&gt;0)*T_PlannedOrders[Order_Month])),"m月")&amp;"発注)")</f>
        <v/>
      </c>
      <c r="BV1025">
        <f>IF(SUMIFS(T_PlannedOrders[EffectiveQty],T_PlannedOrders[Part Name],$A1017,T_PlannedOrders[WeekIndex],71)=0,"",SUMIFS(T_PlannedOrders[EffectiveQty],T_PlannedOrders[Part Name],$A1017,T_PlannedOrders[WeekIndex],71)&amp;" ("&amp;TEXT(SUMPRODUCT(MAX((T_PlannedOrders[Part Name]=$A1017)*(T_PlannedOrders[WeekIndex]=71)*(T_PlannedOrders[EffectiveQty]&gt;0)*T_PlannedOrders[Order_Month])),"m月")&amp;"発注)")</f>
        <v/>
      </c>
      <c r="BW1025">
        <f>IF(SUMIFS(T_PlannedOrders[EffectiveQty],T_PlannedOrders[Part Name],$A1017,T_PlannedOrders[WeekIndex],72)=0,"",SUMIFS(T_PlannedOrders[EffectiveQty],T_PlannedOrders[Part Name],$A1017,T_PlannedOrders[WeekIndex],72)&amp;" ("&amp;TEXT(SUMPRODUCT(MAX((T_PlannedOrders[Part Name]=$A1017)*(T_PlannedOrders[WeekIndex]=72)*(T_PlannedOrders[EffectiveQty]&gt;0)*T_PlannedOrders[Order_Month])),"m月")&amp;"発注)")</f>
        <v/>
      </c>
      <c r="BX1025">
        <f>IF(SUMIFS(T_PlannedOrders[EffectiveQty],T_PlannedOrders[Part Name],$A1017,T_PlannedOrders[WeekIndex],73)=0,"",SUMIFS(T_PlannedOrders[EffectiveQty],T_PlannedOrders[Part Name],$A1017,T_PlannedOrders[WeekIndex],73)&amp;" ("&amp;TEXT(SUMPRODUCT(MAX((T_PlannedOrders[Part Name]=$A1017)*(T_PlannedOrders[WeekIndex]=73)*(T_PlannedOrders[EffectiveQty]&gt;0)*T_PlannedOrders[Order_Month])),"m月")&amp;"発注)")</f>
        <v/>
      </c>
      <c r="BY1025">
        <f>IF(SUMIFS(T_PlannedOrders[EffectiveQty],T_PlannedOrders[Part Name],$A1017,T_PlannedOrders[WeekIndex],74)=0,"",SUMIFS(T_PlannedOrders[EffectiveQty],T_PlannedOrders[Part Name],$A1017,T_PlannedOrders[WeekIndex],74)&amp;" ("&amp;TEXT(SUMPRODUCT(MAX((T_PlannedOrders[Part Name]=$A1017)*(T_PlannedOrders[WeekIndex]=74)*(T_PlannedOrders[EffectiveQty]&gt;0)*T_PlannedOrders[Order_Month])),"m月")&amp;"発注)")</f>
        <v/>
      </c>
      <c r="BZ1025">
        <f>IF(SUMIFS(T_PlannedOrders[EffectiveQty],T_PlannedOrders[Part Name],$A1017,T_PlannedOrders[WeekIndex],75)=0,"",SUMIFS(T_PlannedOrders[EffectiveQty],T_PlannedOrders[Part Name],$A1017,T_PlannedOrders[WeekIndex],75)&amp;" ("&amp;TEXT(SUMPRODUCT(MAX((T_PlannedOrders[Part Name]=$A1017)*(T_PlannedOrders[WeekIndex]=75)*(T_PlannedOrders[EffectiveQty]&gt;0)*T_PlannedOrders[Order_Month])),"m月")&amp;"発注)")</f>
        <v/>
      </c>
      <c r="CA1025">
        <f>IF(SUMIFS(T_PlannedOrders[EffectiveQty],T_PlannedOrders[Part Name],$A1017,T_PlannedOrders[WeekIndex],76)=0,"",SUMIFS(T_PlannedOrders[EffectiveQty],T_PlannedOrders[Part Name],$A1017,T_PlannedOrders[WeekIndex],76)&amp;" ("&amp;TEXT(SUMPRODUCT(MAX((T_PlannedOrders[Part Name]=$A1017)*(T_PlannedOrders[WeekIndex]=76)*(T_PlannedOrders[EffectiveQty]&gt;0)*T_PlannedOrders[Order_Month])),"m月")&amp;"発注)")</f>
        <v/>
      </c>
      <c r="CB1025">
        <f>IF(SUMIFS(T_PlannedOrders[EffectiveQty],T_PlannedOrders[Part Name],$A1017,T_PlannedOrders[WeekIndex],77)=0,"",SUMIFS(T_PlannedOrders[EffectiveQty],T_PlannedOrders[Part Name],$A1017,T_PlannedOrders[WeekIndex],77)&amp;" ("&amp;TEXT(SUMPRODUCT(MAX((T_PlannedOrders[Part Name]=$A1017)*(T_PlannedOrders[WeekIndex]=77)*(T_PlannedOrders[EffectiveQty]&gt;0)*T_PlannedOrders[Order_Month])),"m月")&amp;"発注)")</f>
        <v/>
      </c>
      <c r="CC1025">
        <f>IF(SUMIFS(T_PlannedOrders[EffectiveQty],T_PlannedOrders[Part Name],$A1017,T_PlannedOrders[WeekIndex],78)=0,"",SUMIFS(T_PlannedOrders[EffectiveQty],T_PlannedOrders[Part Name],$A1017,T_PlannedOrders[WeekIndex],78)&amp;" ("&amp;TEXT(SUMPRODUCT(MAX((T_PlannedOrders[Part Name]=$A1017)*(T_PlannedOrders[WeekIndex]=78)*(T_PlannedOrders[EffectiveQty]&gt;0)*T_PlannedOrders[Order_Month])),"m月")&amp;"発注)")</f>
        <v/>
      </c>
      <c r="CD1025">
        <f>IF(SUMIFS(T_PlannedOrders[EffectiveQty],T_PlannedOrders[Part Name],$A1017,T_PlannedOrders[WeekIndex],79)=0,"",SUMIFS(T_PlannedOrders[EffectiveQty],T_PlannedOrders[Part Name],$A1017,T_PlannedOrders[WeekIndex],79)&amp;" ("&amp;TEXT(SUMPRODUCT(MAX((T_PlannedOrders[Part Name]=$A1017)*(T_PlannedOrders[WeekIndex]=79)*(T_PlannedOrders[EffectiveQty]&gt;0)*T_PlannedOrders[Order_Month])),"m月")&amp;"発注)")</f>
        <v/>
      </c>
      <c r="CE1025">
        <f>IF(SUMIFS(T_PlannedOrders[EffectiveQty],T_PlannedOrders[Part Name],$A1017,T_PlannedOrders[WeekIndex],80)=0,"",SUMIFS(T_PlannedOrders[EffectiveQty],T_PlannedOrders[Part Name],$A1017,T_PlannedOrders[WeekIndex],80)&amp;" ("&amp;TEXT(SUMPRODUCT(MAX((T_PlannedOrders[Part Name]=$A1017)*(T_PlannedOrders[WeekIndex]=80)*(T_PlannedOrders[EffectiveQty]&gt;0)*T_PlannedOrders[Order_Month])),"m月")&amp;"発注)")</f>
        <v/>
      </c>
      <c r="CF1025">
        <f>IF(SUMIFS(T_PlannedOrders[EffectiveQty],T_PlannedOrders[Part Name],$A1017,T_PlannedOrders[WeekIndex],81)=0,"",SUMIFS(T_PlannedOrders[EffectiveQty],T_PlannedOrders[Part Name],$A1017,T_PlannedOrders[WeekIndex],81)&amp;" ("&amp;TEXT(SUMPRODUCT(MAX((T_PlannedOrders[Part Name]=$A1017)*(T_PlannedOrders[WeekIndex]=81)*(T_PlannedOrders[EffectiveQty]&gt;0)*T_PlannedOrders[Order_Month])),"m月")&amp;"発注)")</f>
        <v/>
      </c>
      <c r="CG1025">
        <f>IF(SUMIFS(T_PlannedOrders[EffectiveQty],T_PlannedOrders[Part Name],$A1017,T_PlannedOrders[WeekIndex],82)=0,"",SUMIFS(T_PlannedOrders[EffectiveQty],T_PlannedOrders[Part Name],$A1017,T_PlannedOrders[WeekIndex],82)&amp;" ("&amp;TEXT(SUMPRODUCT(MAX((T_PlannedOrders[Part Name]=$A1017)*(T_PlannedOrders[WeekIndex]=82)*(T_PlannedOrders[EffectiveQty]&gt;0)*T_PlannedOrders[Order_Month])),"m月")&amp;"発注)")</f>
        <v/>
      </c>
      <c r="CH1025">
        <f>IF(SUMIFS(T_PlannedOrders[EffectiveQty],T_PlannedOrders[Part Name],$A1017,T_PlannedOrders[WeekIndex],83)=0,"",SUMIFS(T_PlannedOrders[EffectiveQty],T_PlannedOrders[Part Name],$A1017,T_PlannedOrders[WeekIndex],83)&amp;" ("&amp;TEXT(SUMPRODUCT(MAX((T_PlannedOrders[Part Name]=$A1017)*(T_PlannedOrders[WeekIndex]=83)*(T_PlannedOrders[EffectiveQty]&gt;0)*T_PlannedOrders[Order_Month])),"m月")&amp;"発注)")</f>
        <v/>
      </c>
      <c r="CI1025">
        <f>IF(SUMIFS(T_PlannedOrders[EffectiveQty],T_PlannedOrders[Part Name],$A1017,T_PlannedOrders[WeekIndex],84)=0,"",SUMIFS(T_PlannedOrders[EffectiveQty],T_PlannedOrders[Part Name],$A1017,T_PlannedOrders[WeekIndex],84)&amp;" ("&amp;TEXT(SUMPRODUCT(MAX((T_PlannedOrders[Part Name]=$A1017)*(T_PlannedOrders[WeekIndex]=84)*(T_PlannedOrders[EffectiveQty]&gt;0)*T_PlannedOrders[Order_Month])),"m月")&amp;"発注)")</f>
        <v/>
      </c>
      <c r="CJ1025">
        <f>IF(SUMIFS(T_PlannedOrders[EffectiveQty],T_PlannedOrders[Part Name],$A1017,T_PlannedOrders[WeekIndex],85)=0,"",SUMIFS(T_PlannedOrders[EffectiveQty],T_PlannedOrders[Part Name],$A1017,T_PlannedOrders[WeekIndex],85)&amp;" ("&amp;TEXT(SUMPRODUCT(MAX((T_PlannedOrders[Part Name]=$A1017)*(T_PlannedOrders[WeekIndex]=85)*(T_PlannedOrders[EffectiveQty]&gt;0)*T_PlannedOrders[Order_Month])),"m月")&amp;"発注)")</f>
        <v/>
      </c>
      <c r="CK1025">
        <f>IF(SUMIFS(T_PlannedOrders[EffectiveQty],T_PlannedOrders[Part Name],$A1017,T_PlannedOrders[WeekIndex],86)=0,"",SUMIFS(T_PlannedOrders[EffectiveQty],T_PlannedOrders[Part Name],$A1017,T_PlannedOrders[WeekIndex],86)&amp;" ("&amp;TEXT(SUMPRODUCT(MAX((T_PlannedOrders[Part Name]=$A1017)*(T_PlannedOrders[WeekIndex]=86)*(T_PlannedOrders[EffectiveQty]&gt;0)*T_PlannedOrders[Order_Month])),"m月")&amp;"発注)")</f>
        <v/>
      </c>
      <c r="CL1025">
        <f>IF(SUMIFS(T_PlannedOrders[EffectiveQty],T_PlannedOrders[Part Name],$A1017,T_PlannedOrders[WeekIndex],87)=0,"",SUMIFS(T_PlannedOrders[EffectiveQty],T_PlannedOrders[Part Name],$A1017,T_PlannedOrders[WeekIndex],87)&amp;" ("&amp;TEXT(SUMPRODUCT(MAX((T_PlannedOrders[Part Name]=$A1017)*(T_PlannedOrders[WeekIndex]=87)*(T_PlannedOrders[EffectiveQty]&gt;0)*T_PlannedOrders[Order_Month])),"m月")&amp;"発注)")</f>
        <v/>
      </c>
      <c r="CM1025">
        <f>IF(SUMIFS(T_PlannedOrders[EffectiveQty],T_PlannedOrders[Part Name],$A1017,T_PlannedOrders[WeekIndex],88)=0,"",SUMIFS(T_PlannedOrders[EffectiveQty],T_PlannedOrders[Part Name],$A1017,T_PlannedOrders[WeekIndex],88)&amp;" ("&amp;TEXT(SUMPRODUCT(MAX((T_PlannedOrders[Part Name]=$A1017)*(T_PlannedOrders[WeekIndex]=88)*(T_PlannedOrders[EffectiveQty]&gt;0)*T_PlannedOrders[Order_Month])),"m月")&amp;"発注)")</f>
        <v/>
      </c>
      <c r="CN1025">
        <f>IF(SUMIFS(T_PlannedOrders[EffectiveQty],T_PlannedOrders[Part Name],$A1017,T_PlannedOrders[WeekIndex],89)=0,"",SUMIFS(T_PlannedOrders[EffectiveQty],T_PlannedOrders[Part Name],$A1017,T_PlannedOrders[WeekIndex],89)&amp;" ("&amp;TEXT(SUMPRODUCT(MAX((T_PlannedOrders[Part Name]=$A1017)*(T_PlannedOrders[WeekIndex]=89)*(T_PlannedOrders[EffectiveQty]&gt;0)*T_PlannedOrders[Order_Month])),"m月")&amp;"発注)")</f>
        <v/>
      </c>
      <c r="CO1025">
        <f>IF(SUMIFS(T_PlannedOrders[EffectiveQty],T_PlannedOrders[Part Name],$A1017,T_PlannedOrders[WeekIndex],90)=0,"",SUMIFS(T_PlannedOrders[EffectiveQty],T_PlannedOrders[Part Name],$A1017,T_PlannedOrders[WeekIndex],90)&amp;" ("&amp;TEXT(SUMPRODUCT(MAX((T_PlannedOrders[Part Name]=$A1017)*(T_PlannedOrders[WeekIndex]=90)*(T_PlannedOrders[EffectiveQty]&gt;0)*T_PlannedOrders[Order_Month])),"m月")&amp;"発注)")</f>
        <v/>
      </c>
      <c r="CP1025">
        <f>IF(SUMIFS(T_PlannedOrders[EffectiveQty],T_PlannedOrders[Part Name],$A1017,T_PlannedOrders[WeekIndex],91)=0,"",SUMIFS(T_PlannedOrders[EffectiveQty],T_PlannedOrders[Part Name],$A1017,T_PlannedOrders[WeekIndex],91)&amp;" ("&amp;TEXT(SUMPRODUCT(MAX((T_PlannedOrders[Part Name]=$A1017)*(T_PlannedOrders[WeekIndex]=91)*(T_PlannedOrders[EffectiveQty]&gt;0)*T_PlannedOrders[Order_Month])),"m月")&amp;"発注)")</f>
        <v/>
      </c>
      <c r="CQ1025">
        <f>IF(SUMIFS(T_PlannedOrders[EffectiveQty],T_PlannedOrders[Part Name],$A1017,T_PlannedOrders[WeekIndex],92)=0,"",SUMIFS(T_PlannedOrders[EffectiveQty],T_PlannedOrders[Part Name],$A1017,T_PlannedOrders[WeekIndex],92)&amp;" ("&amp;TEXT(SUMPRODUCT(MAX((T_PlannedOrders[Part Name]=$A1017)*(T_PlannedOrders[WeekIndex]=92)*(T_PlannedOrders[EffectiveQty]&gt;0)*T_PlannedOrders[Order_Month])),"m月")&amp;"発注)")</f>
        <v/>
      </c>
      <c r="CR1025">
        <f>IF(SUMIFS(T_PlannedOrders[EffectiveQty],T_PlannedOrders[Part Name],$A1017,T_PlannedOrders[WeekIndex],93)=0,"",SUMIFS(T_PlannedOrders[EffectiveQty],T_PlannedOrders[Part Name],$A1017,T_PlannedOrders[WeekIndex],93)&amp;" ("&amp;TEXT(SUMPRODUCT(MAX((T_PlannedOrders[Part Name]=$A1017)*(T_PlannedOrders[WeekIndex]=93)*(T_PlannedOrders[EffectiveQty]&gt;0)*T_PlannedOrders[Order_Month])),"m月")&amp;"発注)")</f>
        <v/>
      </c>
      <c r="CS1025">
        <f>IF(SUMIFS(T_PlannedOrders[EffectiveQty],T_PlannedOrders[Part Name],$A1017,T_PlannedOrders[WeekIndex],94)=0,"",SUMIFS(T_PlannedOrders[EffectiveQty],T_PlannedOrders[Part Name],$A1017,T_PlannedOrders[WeekIndex],94)&amp;" ("&amp;TEXT(SUMPRODUCT(MAX((T_PlannedOrders[Part Name]=$A1017)*(T_PlannedOrders[WeekIndex]=94)*(T_PlannedOrders[EffectiveQty]&gt;0)*T_PlannedOrders[Order_Month])),"m月")&amp;"発注)")</f>
        <v/>
      </c>
      <c r="CT1025">
        <f>IF(SUMIFS(T_PlannedOrders[EffectiveQty],T_PlannedOrders[Part Name],$A1017,T_PlannedOrders[WeekIndex],95)=0,"",SUMIFS(T_PlannedOrders[EffectiveQty],T_PlannedOrders[Part Name],$A1017,T_PlannedOrders[WeekIndex],95)&amp;" ("&amp;TEXT(SUMPRODUCT(MAX((T_PlannedOrders[Part Name]=$A1017)*(T_PlannedOrders[WeekIndex]=95)*(T_PlannedOrders[EffectiveQty]&gt;0)*T_PlannedOrders[Order_Month])),"m月")&amp;"発注)")</f>
        <v/>
      </c>
      <c r="CU1025">
        <f>IF(SUMIFS(T_PlannedOrders[EffectiveQty],T_PlannedOrders[Part Name],$A1017,T_PlannedOrders[WeekIndex],96)=0,"",SUMIFS(T_PlannedOrders[EffectiveQty],T_PlannedOrders[Part Name],$A1017,T_PlannedOrders[WeekIndex],96)&amp;" ("&amp;TEXT(SUMPRODUCT(MAX((T_PlannedOrders[Part Name]=$A1017)*(T_PlannedOrders[WeekIndex]=96)*(T_PlannedOrders[EffectiveQty]&gt;0)*T_PlannedOrders[Order_Month])),"m月")&amp;"発注)")</f>
        <v/>
      </c>
      <c r="CV1025">
        <f>IF(SUMIFS(T_PlannedOrders[EffectiveQty],T_PlannedOrders[Part Name],$A1017,T_PlannedOrders[WeekIndex],97)=0,"",SUMIFS(T_PlannedOrders[EffectiveQty],T_PlannedOrders[Part Name],$A1017,T_PlannedOrders[WeekIndex],97)&amp;" ("&amp;TEXT(SUMPRODUCT(MAX((T_PlannedOrders[Part Name]=$A1017)*(T_PlannedOrders[WeekIndex]=97)*(T_PlannedOrders[EffectiveQty]&gt;0)*T_PlannedOrders[Order_Month])),"m月")&amp;"発注)")</f>
        <v/>
      </c>
      <c r="CW1025">
        <f>IF(SUMIFS(T_PlannedOrders[EffectiveQty],T_PlannedOrders[Part Name],$A1017,T_PlannedOrders[WeekIndex],98)=0,"",SUMIFS(T_PlannedOrders[EffectiveQty],T_PlannedOrders[Part Name],$A1017,T_PlannedOrders[WeekIndex],98)&amp;" ("&amp;TEXT(SUMPRODUCT(MAX((T_PlannedOrders[Part Name]=$A1017)*(T_PlannedOrders[WeekIndex]=98)*(T_PlannedOrders[EffectiveQty]&gt;0)*T_PlannedOrders[Order_Month])),"m月")&amp;"発注)")</f>
        <v/>
      </c>
      <c r="CX1025">
        <f>IF(SUMIFS(T_PlannedOrders[EffectiveQty],T_PlannedOrders[Part Name],$A1017,T_PlannedOrders[WeekIndex],99)=0,"",SUMIFS(T_PlannedOrders[EffectiveQty],T_PlannedOrders[Part Name],$A1017,T_PlannedOrders[WeekIndex],99)&amp;" ("&amp;TEXT(SUMPRODUCT(MAX((T_PlannedOrders[Part Name]=$A1017)*(T_PlannedOrders[WeekIndex]=99)*(T_PlannedOrders[EffectiveQty]&gt;0)*T_PlannedOrders[Order_Month])),"m月")&amp;"発注)")</f>
        <v/>
      </c>
      <c r="CY1025">
        <f>IF(SUMIFS(T_PlannedOrders[EffectiveQty],T_PlannedOrders[Part Name],$A1017,T_PlannedOrders[WeekIndex],100)=0,"",SUMIFS(T_PlannedOrders[EffectiveQty],T_PlannedOrders[Part Name],$A1017,T_PlannedOrders[WeekIndex],100)&amp;" ("&amp;TEXT(SUMPRODUCT(MAX((T_PlannedOrders[Part Name]=$A1017)*(T_PlannedOrders[WeekIndex]=100)*(T_PlannedOrders[EffectiveQty]&gt;0)*T_PlannedOrders[Order_Month])),"m月")&amp;"発注)")</f>
        <v/>
      </c>
      <c r="CZ1025">
        <f>IF(SUMIFS(T_PlannedOrders[EffectiveQty],T_PlannedOrders[Part Name],$A1017,T_PlannedOrders[WeekIndex],101)=0,"",SUMIFS(T_PlannedOrders[EffectiveQty],T_PlannedOrders[Part Name],$A1017,T_PlannedOrders[WeekIndex],101)&amp;" ("&amp;TEXT(SUMPRODUCT(MAX((T_PlannedOrders[Part Name]=$A1017)*(T_PlannedOrders[WeekIndex]=101)*(T_PlannedOrders[EffectiveQty]&gt;0)*T_PlannedOrders[Order_Month])),"m月")&amp;"発注)")</f>
        <v/>
      </c>
      <c r="DA1025">
        <f>IF(SUMIFS(T_PlannedOrders[EffectiveQty],T_PlannedOrders[Part Name],$A1017,T_PlannedOrders[WeekIndex],102)=0,"",SUMIFS(T_PlannedOrders[EffectiveQty],T_PlannedOrders[Part Name],$A1017,T_PlannedOrders[WeekIndex],102)&amp;" ("&amp;TEXT(SUMPRODUCT(MAX((T_PlannedOrders[Part Name]=$A1017)*(T_PlannedOrders[WeekIndex]=102)*(T_PlannedOrders[EffectiveQty]&gt;0)*T_PlannedOrders[Order_Month])),"m月")&amp;"発注)")</f>
        <v/>
      </c>
      <c r="DB1025">
        <f>IF(SUMIFS(T_PlannedOrders[EffectiveQty],T_PlannedOrders[Part Name],$A1017,T_PlannedOrders[WeekIndex],103)=0,"",SUMIFS(T_PlannedOrders[EffectiveQty],T_PlannedOrders[Part Name],$A1017,T_PlannedOrders[WeekIndex],103)&amp;" ("&amp;TEXT(SUMPRODUCT(MAX((T_PlannedOrders[Part Name]=$A1017)*(T_PlannedOrders[WeekIndex]=103)*(T_PlannedOrders[EffectiveQty]&gt;0)*T_PlannedOrders[Order_Month])),"m月")&amp;"発注)")</f>
        <v/>
      </c>
      <c r="DC1025">
        <f>IF(SUMIFS(T_PlannedOrders[EffectiveQty],T_PlannedOrders[Part Name],$A1017,T_PlannedOrders[WeekIndex],104)=0,"",SUMIFS(T_PlannedOrders[EffectiveQty],T_PlannedOrders[Part Name],$A1017,T_PlannedOrders[WeekIndex],104)&amp;" ("&amp;TEXT(SUMPRODUCT(MAX((T_PlannedOrders[Part Name]=$A1017)*(T_PlannedOrders[WeekIndex]=104)*(T_PlannedOrders[EffectiveQty]&gt;0)*T_PlannedOrders[Order_Month])),"m月")&amp;"発注)")</f>
        <v/>
      </c>
    </row>
    <row r="1026">
      <c r="B1026" s="4" t="inlineStr">
        <is>
          <t>合計在庫(週末時点,kg)</t>
        </is>
      </c>
      <c r="D1026">
        <f>'Grid_Stock'!B36</f>
        <v/>
      </c>
      <c r="E1026">
        <f>'Grid_Stock'!C36</f>
        <v/>
      </c>
      <c r="F1026">
        <f>'Grid_Stock'!D36</f>
        <v/>
      </c>
      <c r="G1026">
        <f>'Grid_Stock'!E36</f>
        <v/>
      </c>
      <c r="H1026">
        <f>'Grid_Stock'!F36</f>
        <v/>
      </c>
      <c r="I1026">
        <f>'Grid_Stock'!G36</f>
        <v/>
      </c>
      <c r="J1026">
        <f>'Grid_Stock'!H36</f>
        <v/>
      </c>
      <c r="K1026">
        <f>'Grid_Stock'!I36</f>
        <v/>
      </c>
      <c r="L1026">
        <f>'Grid_Stock'!J36</f>
        <v/>
      </c>
      <c r="M1026">
        <f>'Grid_Stock'!K36</f>
        <v/>
      </c>
      <c r="N1026">
        <f>'Grid_Stock'!L36</f>
        <v/>
      </c>
      <c r="O1026">
        <f>'Grid_Stock'!M36</f>
        <v/>
      </c>
      <c r="P1026">
        <f>'Grid_Stock'!N36</f>
        <v/>
      </c>
      <c r="Q1026">
        <f>'Grid_Stock'!O36</f>
        <v/>
      </c>
      <c r="R1026">
        <f>'Grid_Stock'!P36</f>
        <v/>
      </c>
      <c r="S1026">
        <f>'Grid_Stock'!Q36</f>
        <v/>
      </c>
      <c r="T1026">
        <f>'Grid_Stock'!R36</f>
        <v/>
      </c>
      <c r="U1026">
        <f>'Grid_Stock'!S36</f>
        <v/>
      </c>
      <c r="V1026">
        <f>'Grid_Stock'!T36</f>
        <v/>
      </c>
      <c r="W1026">
        <f>'Grid_Stock'!U36</f>
        <v/>
      </c>
      <c r="X1026">
        <f>'Grid_Stock'!V36</f>
        <v/>
      </c>
      <c r="Y1026">
        <f>'Grid_Stock'!W36</f>
        <v/>
      </c>
      <c r="Z1026">
        <f>'Grid_Stock'!X36</f>
        <v/>
      </c>
      <c r="AA1026">
        <f>'Grid_Stock'!Y36</f>
        <v/>
      </c>
      <c r="AB1026">
        <f>'Grid_Stock'!Z36</f>
        <v/>
      </c>
      <c r="AC1026">
        <f>'Grid_Stock'!AA36</f>
        <v/>
      </c>
      <c r="AD1026">
        <f>'Grid_Stock'!AB36</f>
        <v/>
      </c>
      <c r="AE1026">
        <f>'Grid_Stock'!AC36</f>
        <v/>
      </c>
      <c r="AF1026">
        <f>'Grid_Stock'!AD36</f>
        <v/>
      </c>
      <c r="AG1026">
        <f>'Grid_Stock'!AE36</f>
        <v/>
      </c>
      <c r="AH1026">
        <f>'Grid_Stock'!AF36</f>
        <v/>
      </c>
      <c r="AI1026">
        <f>'Grid_Stock'!AG36</f>
        <v/>
      </c>
      <c r="AJ1026">
        <f>'Grid_Stock'!AH36</f>
        <v/>
      </c>
      <c r="AK1026">
        <f>'Grid_Stock'!AI36</f>
        <v/>
      </c>
      <c r="AL1026">
        <f>'Grid_Stock'!AJ36</f>
        <v/>
      </c>
      <c r="AM1026">
        <f>'Grid_Stock'!AK36</f>
        <v/>
      </c>
      <c r="AN1026">
        <f>'Grid_Stock'!AL36</f>
        <v/>
      </c>
      <c r="AO1026">
        <f>'Grid_Stock'!AM36</f>
        <v/>
      </c>
      <c r="AP1026">
        <f>'Grid_Stock'!AN36</f>
        <v/>
      </c>
      <c r="AQ1026">
        <f>'Grid_Stock'!AO36</f>
        <v/>
      </c>
      <c r="AR1026">
        <f>'Grid_Stock'!AP36</f>
        <v/>
      </c>
      <c r="AS1026">
        <f>'Grid_Stock'!AQ36</f>
        <v/>
      </c>
      <c r="AT1026">
        <f>'Grid_Stock'!AR36</f>
        <v/>
      </c>
      <c r="AU1026">
        <f>'Grid_Stock'!AS36</f>
        <v/>
      </c>
      <c r="AV1026">
        <f>'Grid_Stock'!AT36</f>
        <v/>
      </c>
      <c r="AW1026">
        <f>'Grid_Stock'!AU36</f>
        <v/>
      </c>
      <c r="AX1026">
        <f>'Grid_Stock'!AV36</f>
        <v/>
      </c>
      <c r="AY1026">
        <f>'Grid_Stock'!AW36</f>
        <v/>
      </c>
      <c r="AZ1026">
        <f>'Grid_Stock'!AX36</f>
        <v/>
      </c>
      <c r="BA1026">
        <f>'Grid_Stock'!AY36</f>
        <v/>
      </c>
      <c r="BB1026">
        <f>'Grid_Stock'!AZ36</f>
        <v/>
      </c>
      <c r="BC1026">
        <f>'Grid_Stock'!BA36</f>
        <v/>
      </c>
      <c r="BD1026">
        <f>'Grid_Stock'!BB36</f>
        <v/>
      </c>
      <c r="BE1026">
        <f>'Grid_Stock'!BC36</f>
        <v/>
      </c>
      <c r="BF1026">
        <f>'Grid_Stock'!BD36</f>
        <v/>
      </c>
      <c r="BG1026">
        <f>'Grid_Stock'!BE36</f>
        <v/>
      </c>
      <c r="BH1026">
        <f>'Grid_Stock'!BF36</f>
        <v/>
      </c>
      <c r="BI1026">
        <f>'Grid_Stock'!BG36</f>
        <v/>
      </c>
      <c r="BJ1026">
        <f>'Grid_Stock'!BH36</f>
        <v/>
      </c>
      <c r="BK1026">
        <f>'Grid_Stock'!BI36</f>
        <v/>
      </c>
      <c r="BL1026">
        <f>'Grid_Stock'!BJ36</f>
        <v/>
      </c>
      <c r="BM1026">
        <f>'Grid_Stock'!BK36</f>
        <v/>
      </c>
      <c r="BN1026">
        <f>'Grid_Stock'!BL36</f>
        <v/>
      </c>
      <c r="BO1026">
        <f>'Grid_Stock'!BM36</f>
        <v/>
      </c>
      <c r="BP1026">
        <f>'Grid_Stock'!BN36</f>
        <v/>
      </c>
      <c r="BQ1026">
        <f>'Grid_Stock'!BO36</f>
        <v/>
      </c>
      <c r="BR1026">
        <f>'Grid_Stock'!BP36</f>
        <v/>
      </c>
      <c r="BS1026">
        <f>'Grid_Stock'!BQ36</f>
        <v/>
      </c>
      <c r="BT1026">
        <f>'Grid_Stock'!BR36</f>
        <v/>
      </c>
      <c r="BU1026">
        <f>'Grid_Stock'!BS36</f>
        <v/>
      </c>
      <c r="BV1026">
        <f>'Grid_Stock'!BT36</f>
        <v/>
      </c>
      <c r="BW1026">
        <f>'Grid_Stock'!BU36</f>
        <v/>
      </c>
      <c r="BX1026">
        <f>'Grid_Stock'!BV36</f>
        <v/>
      </c>
      <c r="BY1026">
        <f>'Grid_Stock'!BW36</f>
        <v/>
      </c>
      <c r="BZ1026">
        <f>'Grid_Stock'!BX36</f>
        <v/>
      </c>
      <c r="CA1026">
        <f>'Grid_Stock'!BY36</f>
        <v/>
      </c>
      <c r="CB1026">
        <f>'Grid_Stock'!BZ36</f>
        <v/>
      </c>
      <c r="CC1026">
        <f>'Grid_Stock'!CA36</f>
        <v/>
      </c>
      <c r="CD1026">
        <f>'Grid_Stock'!CB36</f>
        <v/>
      </c>
      <c r="CE1026">
        <f>'Grid_Stock'!CC36</f>
        <v/>
      </c>
      <c r="CF1026">
        <f>'Grid_Stock'!CD36</f>
        <v/>
      </c>
      <c r="CG1026">
        <f>'Grid_Stock'!CE36</f>
        <v/>
      </c>
      <c r="CH1026">
        <f>'Grid_Stock'!CF36</f>
        <v/>
      </c>
      <c r="CI1026">
        <f>'Grid_Stock'!CG36</f>
        <v/>
      </c>
      <c r="CJ1026">
        <f>'Grid_Stock'!CH36</f>
        <v/>
      </c>
      <c r="CK1026">
        <f>'Grid_Stock'!CI36</f>
        <v/>
      </c>
      <c r="CL1026">
        <f>'Grid_Stock'!CJ36</f>
        <v/>
      </c>
      <c r="CM1026">
        <f>'Grid_Stock'!CK36</f>
        <v/>
      </c>
      <c r="CN1026">
        <f>'Grid_Stock'!CL36</f>
        <v/>
      </c>
      <c r="CO1026">
        <f>'Grid_Stock'!CM36</f>
        <v/>
      </c>
      <c r="CP1026">
        <f>'Grid_Stock'!CN36</f>
        <v/>
      </c>
      <c r="CQ1026">
        <f>'Grid_Stock'!CO36</f>
        <v/>
      </c>
      <c r="CR1026">
        <f>'Grid_Stock'!CP36</f>
        <v/>
      </c>
      <c r="CS1026">
        <f>'Grid_Stock'!CQ36</f>
        <v/>
      </c>
      <c r="CT1026">
        <f>'Grid_Stock'!CR36</f>
        <v/>
      </c>
      <c r="CU1026">
        <f>'Grid_Stock'!CS36</f>
        <v/>
      </c>
      <c r="CV1026">
        <f>'Grid_Stock'!CT36</f>
        <v/>
      </c>
      <c r="CW1026">
        <f>'Grid_Stock'!CU36</f>
        <v/>
      </c>
      <c r="CX1026">
        <f>'Grid_Stock'!CV36</f>
        <v/>
      </c>
      <c r="CY1026">
        <f>'Grid_Stock'!CW36</f>
        <v/>
      </c>
      <c r="CZ1026">
        <f>'Grid_Stock'!CX36</f>
        <v/>
      </c>
      <c r="DA1026">
        <f>'Grid_Stock'!CY36</f>
        <v/>
      </c>
      <c r="DB1026">
        <f>'Grid_Stock'!CZ36</f>
        <v/>
      </c>
      <c r="DC1026">
        <f>'Grid_Stock'!DA36</f>
        <v/>
      </c>
    </row>
    <row r="1027">
      <c r="B1027" s="16" t="inlineStr">
        <is>
          <t>（発注の目安はDashboardの基準在庫[下限/上限]と色分けを参照）</t>
        </is>
      </c>
    </row>
    <row r="1029">
      <c r="A1029" s="14" t="inlineStr">
        <is>
          <t>5SN</t>
        </is>
      </c>
      <c r="B1029" s="14" t="inlineStr">
        <is>
          <t>5SN</t>
        </is>
      </c>
      <c r="C1029" s="15" t="n"/>
      <c r="D1029" s="14" t="n"/>
      <c r="E1029" s="14" t="n"/>
      <c r="F1029" s="14" t="n"/>
      <c r="G1029" s="14" t="n"/>
      <c r="H1029" s="14" t="n"/>
      <c r="I1029" s="14" t="n"/>
      <c r="J1029" s="14" t="n"/>
      <c r="K1029" s="14" t="n"/>
      <c r="L1029" s="14" t="n"/>
      <c r="M1029" s="14" t="n"/>
      <c r="N1029" s="14" t="n"/>
      <c r="O1029" s="14" t="n"/>
      <c r="P1029" s="14" t="n"/>
      <c r="Q1029" s="14" t="n"/>
      <c r="R1029" s="14" t="n"/>
      <c r="S1029" s="14" t="n"/>
      <c r="T1029" s="14" t="n"/>
      <c r="U1029" s="14" t="n"/>
      <c r="V1029" s="14" t="n"/>
      <c r="W1029" s="14" t="n"/>
      <c r="X1029" s="14" t="n"/>
      <c r="Y1029" s="14" t="n"/>
      <c r="Z1029" s="14" t="n"/>
      <c r="AA1029" s="14" t="n"/>
      <c r="AB1029" s="14" t="n"/>
      <c r="AC1029" s="14" t="n"/>
      <c r="AD1029" s="14" t="n"/>
      <c r="AE1029" s="14" t="n"/>
      <c r="AF1029" s="14" t="n"/>
      <c r="AG1029" s="14" t="n"/>
      <c r="AH1029" s="14" t="n"/>
      <c r="AI1029" s="14" t="n"/>
      <c r="AJ1029" s="14" t="n"/>
      <c r="AK1029" s="14" t="n"/>
      <c r="AL1029" s="14" t="n"/>
      <c r="AM1029" s="14" t="n"/>
      <c r="AN1029" s="14" t="n"/>
      <c r="AO1029" s="14" t="n"/>
      <c r="AP1029" s="14" t="n"/>
      <c r="AQ1029" s="14" t="n"/>
      <c r="AR1029" s="14" t="n"/>
      <c r="AS1029" s="14" t="n"/>
      <c r="AT1029" s="14" t="n"/>
      <c r="AU1029" s="14" t="n"/>
      <c r="AV1029" s="14" t="n"/>
      <c r="AW1029" s="14" t="n"/>
      <c r="AX1029" s="14" t="n"/>
      <c r="AY1029" s="14" t="n"/>
      <c r="AZ1029" s="14" t="n"/>
      <c r="BA1029" s="14" t="n"/>
      <c r="BB1029" s="14" t="n"/>
      <c r="BC1029" s="14" t="n"/>
      <c r="BD1029" s="14" t="n"/>
      <c r="BE1029" s="14" t="n"/>
      <c r="BF1029" s="14" t="n"/>
      <c r="BG1029" s="14" t="n"/>
      <c r="BH1029" s="14" t="n"/>
      <c r="BI1029" s="14" t="n"/>
      <c r="BJ1029" s="14" t="n"/>
      <c r="BK1029" s="14" t="n"/>
      <c r="BL1029" s="14" t="n"/>
      <c r="BM1029" s="14" t="n"/>
      <c r="BN1029" s="14" t="n"/>
      <c r="BO1029" s="14" t="n"/>
      <c r="BP1029" s="14" t="n"/>
      <c r="BQ1029" s="14" t="n"/>
      <c r="BR1029" s="14" t="n"/>
      <c r="BS1029" s="14" t="n"/>
      <c r="BT1029" s="14" t="n"/>
      <c r="BU1029" s="14" t="n"/>
      <c r="BV1029" s="14" t="n"/>
      <c r="BW1029" s="14" t="n"/>
      <c r="BX1029" s="14" t="n"/>
      <c r="BY1029" s="14" t="n"/>
      <c r="BZ1029" s="14" t="n"/>
      <c r="CA1029" s="14" t="n"/>
      <c r="CB1029" s="14" t="n"/>
      <c r="CC1029" s="14" t="n"/>
      <c r="CD1029" s="14" t="n"/>
      <c r="CE1029" s="14" t="n"/>
      <c r="CF1029" s="14" t="n"/>
      <c r="CG1029" s="14" t="n"/>
      <c r="CH1029" s="14" t="n"/>
      <c r="CI1029" s="14" t="n"/>
      <c r="CJ1029" s="14" t="n"/>
      <c r="CK1029" s="14" t="n"/>
      <c r="CL1029" s="14" t="n"/>
      <c r="CM1029" s="14" t="n"/>
      <c r="CN1029" s="14" t="n"/>
      <c r="CO1029" s="14" t="n"/>
      <c r="CP1029" s="14" t="n"/>
      <c r="CQ1029" s="14" t="n"/>
      <c r="CR1029" s="14" t="n"/>
      <c r="CS1029" s="14" t="n"/>
      <c r="CT1029" s="14" t="n"/>
      <c r="CU1029" s="14" t="n"/>
      <c r="CV1029" s="14" t="n"/>
      <c r="CW1029" s="14" t="n"/>
      <c r="CX1029" s="14" t="n"/>
      <c r="CY1029" s="14" t="n"/>
      <c r="CZ1029" s="14" t="n"/>
      <c r="DA1029" s="14" t="n"/>
      <c r="DB1029" s="14" t="n"/>
      <c r="DC1029" s="14" t="n"/>
    </row>
    <row r="1030">
      <c r="B1030" t="inlineStr">
        <is>
          <t>0Q110</t>
        </is>
      </c>
      <c r="C1030" t="inlineStr">
        <is>
          <t>No. of batches</t>
        </is>
      </c>
      <c r="D1030">
        <f>IFERROR(INDEX(PP_Grid[#Data],$DD1030,2),0)</f>
        <v/>
      </c>
      <c r="E1030">
        <f>IFERROR(INDEX(PP_Grid[#Data],$DD1030,3),0)</f>
        <v/>
      </c>
      <c r="F1030">
        <f>IFERROR(INDEX(PP_Grid[#Data],$DD1030,4),0)</f>
        <v/>
      </c>
      <c r="G1030">
        <f>IFERROR(INDEX(PP_Grid[#Data],$DD1030,5),0)</f>
        <v/>
      </c>
      <c r="H1030">
        <f>IFERROR(INDEX(PP_Grid[#Data],$DD1030,6),0)</f>
        <v/>
      </c>
      <c r="I1030">
        <f>IFERROR(INDEX(PP_Grid[#Data],$DD1030,7),0)</f>
        <v/>
      </c>
      <c r="J1030">
        <f>IFERROR(INDEX(PP_Grid[#Data],$DD1030,8),0)</f>
        <v/>
      </c>
      <c r="K1030">
        <f>IFERROR(INDEX(PP_Grid[#Data],$DD1030,9),0)</f>
        <v/>
      </c>
      <c r="L1030">
        <f>IFERROR(INDEX(PP_Grid[#Data],$DD1030,10),0)</f>
        <v/>
      </c>
      <c r="M1030">
        <f>IFERROR(INDEX(PP_Grid[#Data],$DD1030,11),0)</f>
        <v/>
      </c>
      <c r="N1030">
        <f>IFERROR(INDEX(PP_Grid[#Data],$DD1030,12),0)</f>
        <v/>
      </c>
      <c r="O1030">
        <f>IFERROR(INDEX(PP_Grid[#Data],$DD1030,13),0)</f>
        <v/>
      </c>
      <c r="P1030">
        <f>IFERROR(INDEX(PP_Grid[#Data],$DD1030,14),0)</f>
        <v/>
      </c>
      <c r="Q1030">
        <f>IFERROR(INDEX(PP_Grid[#Data],$DD1030,15),0)</f>
        <v/>
      </c>
      <c r="R1030">
        <f>IFERROR(INDEX(PP_Grid[#Data],$DD1030,16),0)</f>
        <v/>
      </c>
      <c r="S1030">
        <f>IFERROR(INDEX(PP_Grid[#Data],$DD1030,17),0)</f>
        <v/>
      </c>
      <c r="T1030">
        <f>IFERROR(INDEX(PP_Grid[#Data],$DD1030,18),0)</f>
        <v/>
      </c>
      <c r="U1030">
        <f>IFERROR(INDEX(PP_Grid[#Data],$DD1030,19),0)</f>
        <v/>
      </c>
      <c r="V1030">
        <f>IFERROR(INDEX(PP_Grid[#Data],$DD1030,20),0)</f>
        <v/>
      </c>
      <c r="W1030">
        <f>IFERROR(INDEX(PP_Grid[#Data],$DD1030,21),0)</f>
        <v/>
      </c>
      <c r="X1030">
        <f>IFERROR(INDEX(PP_Grid[#Data],$DD1030,22),0)</f>
        <v/>
      </c>
      <c r="Y1030">
        <f>IFERROR(INDEX(PP_Grid[#Data],$DD1030,23),0)</f>
        <v/>
      </c>
      <c r="Z1030">
        <f>IFERROR(INDEX(PP_Grid[#Data],$DD1030,24),0)</f>
        <v/>
      </c>
      <c r="AA1030">
        <f>IFERROR(INDEX(PP_Grid[#Data],$DD1030,25),0)</f>
        <v/>
      </c>
      <c r="AB1030">
        <f>IFERROR(INDEX(PP_Grid[#Data],$DD1030,26),0)</f>
        <v/>
      </c>
      <c r="AC1030">
        <f>IFERROR(INDEX(PP_Grid[#Data],$DD1030,27),0)</f>
        <v/>
      </c>
      <c r="AD1030">
        <f>IFERROR(INDEX(PP_Grid[#Data],$DD1030,28),0)</f>
        <v/>
      </c>
      <c r="AE1030">
        <f>IFERROR(INDEX(PP_Grid[#Data],$DD1030,29),0)</f>
        <v/>
      </c>
      <c r="AF1030">
        <f>IFERROR(INDEX(PP_Grid[#Data],$DD1030,30),0)</f>
        <v/>
      </c>
      <c r="AG1030">
        <f>IFERROR(INDEX(PP_Grid[#Data],$DD1030,31),0)</f>
        <v/>
      </c>
      <c r="AH1030">
        <f>IFERROR(INDEX(PP_Grid[#Data],$DD1030,32),0)</f>
        <v/>
      </c>
      <c r="AI1030">
        <f>IFERROR(INDEX(PP_Grid[#Data],$DD1030,33),0)</f>
        <v/>
      </c>
      <c r="AJ1030">
        <f>IFERROR(INDEX(PP_Grid[#Data],$DD1030,34),0)</f>
        <v/>
      </c>
      <c r="AK1030">
        <f>IFERROR(INDEX(PP_Grid[#Data],$DD1030,35),0)</f>
        <v/>
      </c>
      <c r="AL1030">
        <f>IFERROR(INDEX(PP_Grid[#Data],$DD1030,36),0)</f>
        <v/>
      </c>
      <c r="AM1030">
        <f>IFERROR(INDEX(PP_Grid[#Data],$DD1030,37),0)</f>
        <v/>
      </c>
      <c r="AN1030">
        <f>IFERROR(INDEX(PP_Grid[#Data],$DD1030,38),0)</f>
        <v/>
      </c>
      <c r="AO1030">
        <f>IFERROR(INDEX(PP_Grid[#Data],$DD1030,39),0)</f>
        <v/>
      </c>
      <c r="AP1030">
        <f>IFERROR(INDEX(PP_Grid[#Data],$DD1030,40),0)</f>
        <v/>
      </c>
      <c r="AQ1030">
        <f>IFERROR(INDEX(PP_Grid[#Data],$DD1030,41),0)</f>
        <v/>
      </c>
      <c r="AR1030">
        <f>IFERROR(INDEX(PP_Grid[#Data],$DD1030,42),0)</f>
        <v/>
      </c>
      <c r="AS1030">
        <f>IFERROR(INDEX(PP_Grid[#Data],$DD1030,43),0)</f>
        <v/>
      </c>
      <c r="AT1030">
        <f>IFERROR(INDEX(PP_Grid[#Data],$DD1030,44),0)</f>
        <v/>
      </c>
      <c r="AU1030">
        <f>IFERROR(INDEX(PP_Grid[#Data],$DD1030,45),0)</f>
        <v/>
      </c>
      <c r="AV1030">
        <f>IFERROR(INDEX(PP_Grid[#Data],$DD1030,46),0)</f>
        <v/>
      </c>
      <c r="AW1030">
        <f>IFERROR(INDEX(PP_Grid[#Data],$DD1030,47),0)</f>
        <v/>
      </c>
      <c r="AX1030">
        <f>IFERROR(INDEX(PP_Grid[#Data],$DD1030,48),0)</f>
        <v/>
      </c>
      <c r="AY1030">
        <f>IFERROR(INDEX(PP_Grid[#Data],$DD1030,49),0)</f>
        <v/>
      </c>
      <c r="AZ1030">
        <f>IFERROR(INDEX(PP_Grid[#Data],$DD1030,50),0)</f>
        <v/>
      </c>
      <c r="BA1030">
        <f>IFERROR(INDEX(PP_Grid[#Data],$DD1030,51),0)</f>
        <v/>
      </c>
      <c r="BB1030">
        <f>IFERROR(INDEX(PP_Grid[#Data],$DD1030,52),0)</f>
        <v/>
      </c>
      <c r="BC1030">
        <f>IFERROR(INDEX(PP_Grid[#Data],$DD1030,53),0)</f>
        <v/>
      </c>
      <c r="BD1030">
        <f>IFERROR(INDEX(PP_Grid[#Data],$DD1030,54),0)</f>
        <v/>
      </c>
      <c r="BE1030">
        <f>IFERROR(INDEX(PP_Grid[#Data],$DD1030,55),0)</f>
        <v/>
      </c>
      <c r="BF1030">
        <f>IFERROR(INDEX(PP_Grid[#Data],$DD1030,56),0)</f>
        <v/>
      </c>
      <c r="BG1030">
        <f>IFERROR(INDEX(PP_Grid[#Data],$DD1030,57),0)</f>
        <v/>
      </c>
      <c r="BH1030">
        <f>IFERROR(INDEX(PP_Grid[#Data],$DD1030,58),0)</f>
        <v/>
      </c>
      <c r="BI1030">
        <f>IFERROR(INDEX(PP_Grid[#Data],$DD1030,59),0)</f>
        <v/>
      </c>
      <c r="BJ1030">
        <f>IFERROR(INDEX(PP_Grid[#Data],$DD1030,60),0)</f>
        <v/>
      </c>
      <c r="BK1030">
        <f>IFERROR(INDEX(PP_Grid[#Data],$DD1030,61),0)</f>
        <v/>
      </c>
      <c r="BL1030">
        <f>IFERROR(INDEX(PP_Grid[#Data],$DD1030,62),0)</f>
        <v/>
      </c>
      <c r="BM1030">
        <f>IFERROR(INDEX(PP_Grid[#Data],$DD1030,63),0)</f>
        <v/>
      </c>
      <c r="BN1030">
        <f>IFERROR(INDEX(PP_Grid[#Data],$DD1030,64),0)</f>
        <v/>
      </c>
      <c r="BO1030">
        <f>IFERROR(INDEX(PP_Grid[#Data],$DD1030,65),0)</f>
        <v/>
      </c>
      <c r="BP1030">
        <f>IFERROR(INDEX(PP_Grid[#Data],$DD1030,66),0)</f>
        <v/>
      </c>
      <c r="BQ1030">
        <f>IFERROR(INDEX(PP_Grid[#Data],$DD1030,67),0)</f>
        <v/>
      </c>
      <c r="BR1030">
        <f>IFERROR(INDEX(PP_Grid[#Data],$DD1030,68),0)</f>
        <v/>
      </c>
      <c r="BS1030">
        <f>IFERROR(INDEX(PP_Grid[#Data],$DD1030,69),0)</f>
        <v/>
      </c>
      <c r="BT1030">
        <f>IFERROR(INDEX(PP_Grid[#Data],$DD1030,70),0)</f>
        <v/>
      </c>
      <c r="BU1030">
        <f>IFERROR(INDEX(PP_Grid[#Data],$DD1030,71),0)</f>
        <v/>
      </c>
      <c r="BV1030">
        <f>IFERROR(INDEX(PP_Grid[#Data],$DD1030,72),0)</f>
        <v/>
      </c>
      <c r="BW1030">
        <f>IFERROR(INDEX(PP_Grid[#Data],$DD1030,73),0)</f>
        <v/>
      </c>
      <c r="BX1030">
        <f>IFERROR(INDEX(PP_Grid[#Data],$DD1030,74),0)</f>
        <v/>
      </c>
      <c r="BY1030">
        <f>IFERROR(INDEX(PP_Grid[#Data],$DD1030,75),0)</f>
        <v/>
      </c>
      <c r="BZ1030">
        <f>IFERROR(INDEX(PP_Grid[#Data],$DD1030,76),0)</f>
        <v/>
      </c>
      <c r="CA1030">
        <f>IFERROR(INDEX(PP_Grid[#Data],$DD1030,77),0)</f>
        <v/>
      </c>
      <c r="CB1030">
        <f>IFERROR(INDEX(PP_Grid[#Data],$DD1030,78),0)</f>
        <v/>
      </c>
      <c r="CC1030">
        <f>IFERROR(INDEX(PP_Grid[#Data],$DD1030,79),0)</f>
        <v/>
      </c>
      <c r="CD1030">
        <f>IFERROR(INDEX(PP_Grid[#Data],$DD1030,80),0)</f>
        <v/>
      </c>
      <c r="CE1030">
        <f>IFERROR(INDEX(PP_Grid[#Data],$DD1030,81),0)</f>
        <v/>
      </c>
      <c r="CF1030">
        <f>IFERROR(INDEX(PP_Grid[#Data],$DD1030,82),0)</f>
        <v/>
      </c>
      <c r="CG1030">
        <f>IFERROR(INDEX(PP_Grid[#Data],$DD1030,83),0)</f>
        <v/>
      </c>
      <c r="CH1030">
        <f>IFERROR(INDEX(PP_Grid[#Data],$DD1030,84),0)</f>
        <v/>
      </c>
      <c r="CI1030">
        <f>IFERROR(INDEX(PP_Grid[#Data],$DD1030,85),0)</f>
        <v/>
      </c>
      <c r="CJ1030">
        <f>IFERROR(INDEX(PP_Grid[#Data],$DD1030,86),0)</f>
        <v/>
      </c>
      <c r="CK1030">
        <f>IFERROR(INDEX(PP_Grid[#Data],$DD1030,87),0)</f>
        <v/>
      </c>
      <c r="CL1030">
        <f>IFERROR(INDEX(PP_Grid[#Data],$DD1030,88),0)</f>
        <v/>
      </c>
      <c r="CM1030">
        <f>IFERROR(INDEX(PP_Grid[#Data],$DD1030,89),0)</f>
        <v/>
      </c>
      <c r="CN1030">
        <f>IFERROR(INDEX(PP_Grid[#Data],$DD1030,90),0)</f>
        <v/>
      </c>
      <c r="CO1030">
        <f>IFERROR(INDEX(PP_Grid[#Data],$DD1030,91),0)</f>
        <v/>
      </c>
      <c r="CP1030">
        <f>IFERROR(INDEX(PP_Grid[#Data],$DD1030,92),0)</f>
        <v/>
      </c>
      <c r="CQ1030">
        <f>IFERROR(INDEX(PP_Grid[#Data],$DD1030,93),0)</f>
        <v/>
      </c>
      <c r="CR1030">
        <f>IFERROR(INDEX(PP_Grid[#Data],$DD1030,94),0)</f>
        <v/>
      </c>
      <c r="CS1030">
        <f>IFERROR(INDEX(PP_Grid[#Data],$DD1030,95),0)</f>
        <v/>
      </c>
      <c r="CT1030">
        <f>IFERROR(INDEX(PP_Grid[#Data],$DD1030,96),0)</f>
        <v/>
      </c>
      <c r="CU1030">
        <f>IFERROR(INDEX(PP_Grid[#Data],$DD1030,97),0)</f>
        <v/>
      </c>
      <c r="CV1030">
        <f>IFERROR(INDEX(PP_Grid[#Data],$DD1030,98),0)</f>
        <v/>
      </c>
      <c r="CW1030">
        <f>IFERROR(INDEX(PP_Grid[#Data],$DD1030,99),0)</f>
        <v/>
      </c>
      <c r="CX1030">
        <f>IFERROR(INDEX(PP_Grid[#Data],$DD1030,100),0)</f>
        <v/>
      </c>
      <c r="CY1030">
        <f>IFERROR(INDEX(PP_Grid[#Data],$DD1030,101),0)</f>
        <v/>
      </c>
      <c r="CZ1030">
        <f>IFERROR(INDEX(PP_Grid[#Data],$DD1030,102),0)</f>
        <v/>
      </c>
      <c r="DA1030">
        <f>IFERROR(INDEX(PP_Grid[#Data],$DD1030,103),0)</f>
        <v/>
      </c>
      <c r="DB1030">
        <f>IFERROR(INDEX(PP_Grid[#Data],$DD1030,104),0)</f>
        <v/>
      </c>
      <c r="DC1030">
        <f>IFERROR(INDEX(PP_Grid[#Data],$DD1030,105),0)</f>
        <v/>
      </c>
      <c r="DD1030" s="7">
        <f>IFERROR(MATCH($B1030,PP_Grid[Intermediate],0),99999)</f>
        <v/>
      </c>
    </row>
    <row r="1031">
      <c r="B1031" t="inlineStr">
        <is>
          <t>使用量(kg)</t>
        </is>
      </c>
      <c r="C1031">
        <f>SUMIFS(M_BOM[RM_Qty_Per_Batch],M_BOM[Intermediate],$B1030,M_BOM[Part Name],$A1029)</f>
        <v/>
      </c>
      <c r="D1031">
        <f>$C1031*D1030</f>
        <v/>
      </c>
      <c r="E1031">
        <f>$C1031*E1030</f>
        <v/>
      </c>
      <c r="F1031">
        <f>$C1031*F1030</f>
        <v/>
      </c>
      <c r="G1031">
        <f>$C1031*G1030</f>
        <v/>
      </c>
      <c r="H1031">
        <f>$C1031*H1030</f>
        <v/>
      </c>
      <c r="I1031">
        <f>$C1031*I1030</f>
        <v/>
      </c>
      <c r="J1031">
        <f>$C1031*J1030</f>
        <v/>
      </c>
      <c r="K1031">
        <f>$C1031*K1030</f>
        <v/>
      </c>
      <c r="L1031">
        <f>$C1031*L1030</f>
        <v/>
      </c>
      <c r="M1031">
        <f>$C1031*M1030</f>
        <v/>
      </c>
      <c r="N1031">
        <f>$C1031*N1030</f>
        <v/>
      </c>
      <c r="O1031">
        <f>$C1031*O1030</f>
        <v/>
      </c>
      <c r="P1031">
        <f>$C1031*P1030</f>
        <v/>
      </c>
      <c r="Q1031">
        <f>$C1031*Q1030</f>
        <v/>
      </c>
      <c r="R1031">
        <f>$C1031*R1030</f>
        <v/>
      </c>
      <c r="S1031">
        <f>$C1031*S1030</f>
        <v/>
      </c>
      <c r="T1031">
        <f>$C1031*T1030</f>
        <v/>
      </c>
      <c r="U1031">
        <f>$C1031*U1030</f>
        <v/>
      </c>
      <c r="V1031">
        <f>$C1031*V1030</f>
        <v/>
      </c>
      <c r="W1031">
        <f>$C1031*W1030</f>
        <v/>
      </c>
      <c r="X1031">
        <f>$C1031*X1030</f>
        <v/>
      </c>
      <c r="Y1031">
        <f>$C1031*Y1030</f>
        <v/>
      </c>
      <c r="Z1031">
        <f>$C1031*Z1030</f>
        <v/>
      </c>
      <c r="AA1031">
        <f>$C1031*AA1030</f>
        <v/>
      </c>
      <c r="AB1031">
        <f>$C1031*AB1030</f>
        <v/>
      </c>
      <c r="AC1031">
        <f>$C1031*AC1030</f>
        <v/>
      </c>
      <c r="AD1031">
        <f>$C1031*AD1030</f>
        <v/>
      </c>
      <c r="AE1031">
        <f>$C1031*AE1030</f>
        <v/>
      </c>
      <c r="AF1031">
        <f>$C1031*AF1030</f>
        <v/>
      </c>
      <c r="AG1031">
        <f>$C1031*AG1030</f>
        <v/>
      </c>
      <c r="AH1031">
        <f>$C1031*AH1030</f>
        <v/>
      </c>
      <c r="AI1031">
        <f>$C1031*AI1030</f>
        <v/>
      </c>
      <c r="AJ1031">
        <f>$C1031*AJ1030</f>
        <v/>
      </c>
      <c r="AK1031">
        <f>$C1031*AK1030</f>
        <v/>
      </c>
      <c r="AL1031">
        <f>$C1031*AL1030</f>
        <v/>
      </c>
      <c r="AM1031">
        <f>$C1031*AM1030</f>
        <v/>
      </c>
      <c r="AN1031">
        <f>$C1031*AN1030</f>
        <v/>
      </c>
      <c r="AO1031">
        <f>$C1031*AO1030</f>
        <v/>
      </c>
      <c r="AP1031">
        <f>$C1031*AP1030</f>
        <v/>
      </c>
      <c r="AQ1031">
        <f>$C1031*AQ1030</f>
        <v/>
      </c>
      <c r="AR1031">
        <f>$C1031*AR1030</f>
        <v/>
      </c>
      <c r="AS1031">
        <f>$C1031*AS1030</f>
        <v/>
      </c>
      <c r="AT1031">
        <f>$C1031*AT1030</f>
        <v/>
      </c>
      <c r="AU1031">
        <f>$C1031*AU1030</f>
        <v/>
      </c>
      <c r="AV1031">
        <f>$C1031*AV1030</f>
        <v/>
      </c>
      <c r="AW1031">
        <f>$C1031*AW1030</f>
        <v/>
      </c>
      <c r="AX1031">
        <f>$C1031*AX1030</f>
        <v/>
      </c>
      <c r="AY1031">
        <f>$C1031*AY1030</f>
        <v/>
      </c>
      <c r="AZ1031">
        <f>$C1031*AZ1030</f>
        <v/>
      </c>
      <c r="BA1031">
        <f>$C1031*BA1030</f>
        <v/>
      </c>
      <c r="BB1031">
        <f>$C1031*BB1030</f>
        <v/>
      </c>
      <c r="BC1031">
        <f>$C1031*BC1030</f>
        <v/>
      </c>
      <c r="BD1031">
        <f>$C1031*BD1030</f>
        <v/>
      </c>
      <c r="BE1031">
        <f>$C1031*BE1030</f>
        <v/>
      </c>
      <c r="BF1031">
        <f>$C1031*BF1030</f>
        <v/>
      </c>
      <c r="BG1031">
        <f>$C1031*BG1030</f>
        <v/>
      </c>
      <c r="BH1031">
        <f>$C1031*BH1030</f>
        <v/>
      </c>
      <c r="BI1031">
        <f>$C1031*BI1030</f>
        <v/>
      </c>
      <c r="BJ1031">
        <f>$C1031*BJ1030</f>
        <v/>
      </c>
      <c r="BK1031">
        <f>$C1031*BK1030</f>
        <v/>
      </c>
      <c r="BL1031">
        <f>$C1031*BL1030</f>
        <v/>
      </c>
      <c r="BM1031">
        <f>$C1031*BM1030</f>
        <v/>
      </c>
      <c r="BN1031">
        <f>$C1031*BN1030</f>
        <v/>
      </c>
      <c r="BO1031">
        <f>$C1031*BO1030</f>
        <v/>
      </c>
      <c r="BP1031">
        <f>$C1031*BP1030</f>
        <v/>
      </c>
      <c r="BQ1031">
        <f>$C1031*BQ1030</f>
        <v/>
      </c>
      <c r="BR1031">
        <f>$C1031*BR1030</f>
        <v/>
      </c>
      <c r="BS1031">
        <f>$C1031*BS1030</f>
        <v/>
      </c>
      <c r="BT1031">
        <f>$C1031*BT1030</f>
        <v/>
      </c>
      <c r="BU1031">
        <f>$C1031*BU1030</f>
        <v/>
      </c>
      <c r="BV1031">
        <f>$C1031*BV1030</f>
        <v/>
      </c>
      <c r="BW1031">
        <f>$C1031*BW1030</f>
        <v/>
      </c>
      <c r="BX1031">
        <f>$C1031*BX1030</f>
        <v/>
      </c>
      <c r="BY1031">
        <f>$C1031*BY1030</f>
        <v/>
      </c>
      <c r="BZ1031">
        <f>$C1031*BZ1030</f>
        <v/>
      </c>
      <c r="CA1031">
        <f>$C1031*CA1030</f>
        <v/>
      </c>
      <c r="CB1031">
        <f>$C1031*CB1030</f>
        <v/>
      </c>
      <c r="CC1031">
        <f>$C1031*CC1030</f>
        <v/>
      </c>
      <c r="CD1031">
        <f>$C1031*CD1030</f>
        <v/>
      </c>
      <c r="CE1031">
        <f>$C1031*CE1030</f>
        <v/>
      </c>
      <c r="CF1031">
        <f>$C1031*CF1030</f>
        <v/>
      </c>
      <c r="CG1031">
        <f>$C1031*CG1030</f>
        <v/>
      </c>
      <c r="CH1031">
        <f>$C1031*CH1030</f>
        <v/>
      </c>
      <c r="CI1031">
        <f>$C1031*CI1030</f>
        <v/>
      </c>
      <c r="CJ1031">
        <f>$C1031*CJ1030</f>
        <v/>
      </c>
      <c r="CK1031">
        <f>$C1031*CK1030</f>
        <v/>
      </c>
      <c r="CL1031">
        <f>$C1031*CL1030</f>
        <v/>
      </c>
      <c r="CM1031">
        <f>$C1031*CM1030</f>
        <v/>
      </c>
      <c r="CN1031">
        <f>$C1031*CN1030</f>
        <v/>
      </c>
      <c r="CO1031">
        <f>$C1031*CO1030</f>
        <v/>
      </c>
      <c r="CP1031">
        <f>$C1031*CP1030</f>
        <v/>
      </c>
      <c r="CQ1031">
        <f>$C1031*CQ1030</f>
        <v/>
      </c>
      <c r="CR1031">
        <f>$C1031*CR1030</f>
        <v/>
      </c>
      <c r="CS1031">
        <f>$C1031*CS1030</f>
        <v/>
      </c>
      <c r="CT1031">
        <f>$C1031*CT1030</f>
        <v/>
      </c>
      <c r="CU1031">
        <f>$C1031*CU1030</f>
        <v/>
      </c>
      <c r="CV1031">
        <f>$C1031*CV1030</f>
        <v/>
      </c>
      <c r="CW1031">
        <f>$C1031*CW1030</f>
        <v/>
      </c>
      <c r="CX1031">
        <f>$C1031*CX1030</f>
        <v/>
      </c>
      <c r="CY1031">
        <f>$C1031*CY1030</f>
        <v/>
      </c>
      <c r="CZ1031">
        <f>$C1031*CZ1030</f>
        <v/>
      </c>
      <c r="DA1031">
        <f>$C1031*DA1030</f>
        <v/>
      </c>
      <c r="DB1031">
        <f>$C1031*DB1030</f>
        <v/>
      </c>
      <c r="DC1031">
        <f>$C1031*DC1030</f>
        <v/>
      </c>
    </row>
    <row r="1032">
      <c r="B1032" s="4" t="inlineStr">
        <is>
          <t>合計使用量(kg)/週</t>
        </is>
      </c>
      <c r="D1032">
        <f>'Grid_Requirement'!B40</f>
        <v/>
      </c>
      <c r="E1032">
        <f>'Grid_Requirement'!C40</f>
        <v/>
      </c>
      <c r="F1032">
        <f>'Grid_Requirement'!D40</f>
        <v/>
      </c>
      <c r="G1032">
        <f>'Grid_Requirement'!E40</f>
        <v/>
      </c>
      <c r="H1032">
        <f>'Grid_Requirement'!F40</f>
        <v/>
      </c>
      <c r="I1032">
        <f>'Grid_Requirement'!G40</f>
        <v/>
      </c>
      <c r="J1032">
        <f>'Grid_Requirement'!H40</f>
        <v/>
      </c>
      <c r="K1032">
        <f>'Grid_Requirement'!I40</f>
        <v/>
      </c>
      <c r="L1032">
        <f>'Grid_Requirement'!J40</f>
        <v/>
      </c>
      <c r="M1032">
        <f>'Grid_Requirement'!K40</f>
        <v/>
      </c>
      <c r="N1032">
        <f>'Grid_Requirement'!L40</f>
        <v/>
      </c>
      <c r="O1032">
        <f>'Grid_Requirement'!M40</f>
        <v/>
      </c>
      <c r="P1032">
        <f>'Grid_Requirement'!N40</f>
        <v/>
      </c>
      <c r="Q1032">
        <f>'Grid_Requirement'!O40</f>
        <v/>
      </c>
      <c r="R1032">
        <f>'Grid_Requirement'!P40</f>
        <v/>
      </c>
      <c r="S1032">
        <f>'Grid_Requirement'!Q40</f>
        <v/>
      </c>
      <c r="T1032">
        <f>'Grid_Requirement'!R40</f>
        <v/>
      </c>
      <c r="U1032">
        <f>'Grid_Requirement'!S40</f>
        <v/>
      </c>
      <c r="V1032">
        <f>'Grid_Requirement'!T40</f>
        <v/>
      </c>
      <c r="W1032">
        <f>'Grid_Requirement'!U40</f>
        <v/>
      </c>
      <c r="X1032">
        <f>'Grid_Requirement'!V40</f>
        <v/>
      </c>
      <c r="Y1032">
        <f>'Grid_Requirement'!W40</f>
        <v/>
      </c>
      <c r="Z1032">
        <f>'Grid_Requirement'!X40</f>
        <v/>
      </c>
      <c r="AA1032">
        <f>'Grid_Requirement'!Y40</f>
        <v/>
      </c>
      <c r="AB1032">
        <f>'Grid_Requirement'!Z40</f>
        <v/>
      </c>
      <c r="AC1032">
        <f>'Grid_Requirement'!AA40</f>
        <v/>
      </c>
      <c r="AD1032">
        <f>'Grid_Requirement'!AB40</f>
        <v/>
      </c>
      <c r="AE1032">
        <f>'Grid_Requirement'!AC40</f>
        <v/>
      </c>
      <c r="AF1032">
        <f>'Grid_Requirement'!AD40</f>
        <v/>
      </c>
      <c r="AG1032">
        <f>'Grid_Requirement'!AE40</f>
        <v/>
      </c>
      <c r="AH1032">
        <f>'Grid_Requirement'!AF40</f>
        <v/>
      </c>
      <c r="AI1032">
        <f>'Grid_Requirement'!AG40</f>
        <v/>
      </c>
      <c r="AJ1032">
        <f>'Grid_Requirement'!AH40</f>
        <v/>
      </c>
      <c r="AK1032">
        <f>'Grid_Requirement'!AI40</f>
        <v/>
      </c>
      <c r="AL1032">
        <f>'Grid_Requirement'!AJ40</f>
        <v/>
      </c>
      <c r="AM1032">
        <f>'Grid_Requirement'!AK40</f>
        <v/>
      </c>
      <c r="AN1032">
        <f>'Grid_Requirement'!AL40</f>
        <v/>
      </c>
      <c r="AO1032">
        <f>'Grid_Requirement'!AM40</f>
        <v/>
      </c>
      <c r="AP1032">
        <f>'Grid_Requirement'!AN40</f>
        <v/>
      </c>
      <c r="AQ1032">
        <f>'Grid_Requirement'!AO40</f>
        <v/>
      </c>
      <c r="AR1032">
        <f>'Grid_Requirement'!AP40</f>
        <v/>
      </c>
      <c r="AS1032">
        <f>'Grid_Requirement'!AQ40</f>
        <v/>
      </c>
      <c r="AT1032">
        <f>'Grid_Requirement'!AR40</f>
        <v/>
      </c>
      <c r="AU1032">
        <f>'Grid_Requirement'!AS40</f>
        <v/>
      </c>
      <c r="AV1032">
        <f>'Grid_Requirement'!AT40</f>
        <v/>
      </c>
      <c r="AW1032">
        <f>'Grid_Requirement'!AU40</f>
        <v/>
      </c>
      <c r="AX1032">
        <f>'Grid_Requirement'!AV40</f>
        <v/>
      </c>
      <c r="AY1032">
        <f>'Grid_Requirement'!AW40</f>
        <v/>
      </c>
      <c r="AZ1032">
        <f>'Grid_Requirement'!AX40</f>
        <v/>
      </c>
      <c r="BA1032">
        <f>'Grid_Requirement'!AY40</f>
        <v/>
      </c>
      <c r="BB1032">
        <f>'Grid_Requirement'!AZ40</f>
        <v/>
      </c>
      <c r="BC1032">
        <f>'Grid_Requirement'!BA40</f>
        <v/>
      </c>
      <c r="BD1032">
        <f>'Grid_Requirement'!BB40</f>
        <v/>
      </c>
      <c r="BE1032">
        <f>'Grid_Requirement'!BC40</f>
        <v/>
      </c>
      <c r="BF1032">
        <f>'Grid_Requirement'!BD40</f>
        <v/>
      </c>
      <c r="BG1032">
        <f>'Grid_Requirement'!BE40</f>
        <v/>
      </c>
      <c r="BH1032">
        <f>'Grid_Requirement'!BF40</f>
        <v/>
      </c>
      <c r="BI1032">
        <f>'Grid_Requirement'!BG40</f>
        <v/>
      </c>
      <c r="BJ1032">
        <f>'Grid_Requirement'!BH40</f>
        <v/>
      </c>
      <c r="BK1032">
        <f>'Grid_Requirement'!BI40</f>
        <v/>
      </c>
      <c r="BL1032">
        <f>'Grid_Requirement'!BJ40</f>
        <v/>
      </c>
      <c r="BM1032">
        <f>'Grid_Requirement'!BK40</f>
        <v/>
      </c>
      <c r="BN1032">
        <f>'Grid_Requirement'!BL40</f>
        <v/>
      </c>
      <c r="BO1032">
        <f>'Grid_Requirement'!BM40</f>
        <v/>
      </c>
      <c r="BP1032">
        <f>'Grid_Requirement'!BN40</f>
        <v/>
      </c>
      <c r="BQ1032">
        <f>'Grid_Requirement'!BO40</f>
        <v/>
      </c>
      <c r="BR1032">
        <f>'Grid_Requirement'!BP40</f>
        <v/>
      </c>
      <c r="BS1032">
        <f>'Grid_Requirement'!BQ40</f>
        <v/>
      </c>
      <c r="BT1032">
        <f>'Grid_Requirement'!BR40</f>
        <v/>
      </c>
      <c r="BU1032">
        <f>'Grid_Requirement'!BS40</f>
        <v/>
      </c>
      <c r="BV1032">
        <f>'Grid_Requirement'!BT40</f>
        <v/>
      </c>
      <c r="BW1032">
        <f>'Grid_Requirement'!BU40</f>
        <v/>
      </c>
      <c r="BX1032">
        <f>'Grid_Requirement'!BV40</f>
        <v/>
      </c>
      <c r="BY1032">
        <f>'Grid_Requirement'!BW40</f>
        <v/>
      </c>
      <c r="BZ1032">
        <f>'Grid_Requirement'!BX40</f>
        <v/>
      </c>
      <c r="CA1032">
        <f>'Grid_Requirement'!BY40</f>
        <v/>
      </c>
      <c r="CB1032">
        <f>'Grid_Requirement'!BZ40</f>
        <v/>
      </c>
      <c r="CC1032">
        <f>'Grid_Requirement'!CA40</f>
        <v/>
      </c>
      <c r="CD1032">
        <f>'Grid_Requirement'!CB40</f>
        <v/>
      </c>
      <c r="CE1032">
        <f>'Grid_Requirement'!CC40</f>
        <v/>
      </c>
      <c r="CF1032">
        <f>'Grid_Requirement'!CD40</f>
        <v/>
      </c>
      <c r="CG1032">
        <f>'Grid_Requirement'!CE40</f>
        <v/>
      </c>
      <c r="CH1032">
        <f>'Grid_Requirement'!CF40</f>
        <v/>
      </c>
      <c r="CI1032">
        <f>'Grid_Requirement'!CG40</f>
        <v/>
      </c>
      <c r="CJ1032">
        <f>'Grid_Requirement'!CH40</f>
        <v/>
      </c>
      <c r="CK1032">
        <f>'Grid_Requirement'!CI40</f>
        <v/>
      </c>
      <c r="CL1032">
        <f>'Grid_Requirement'!CJ40</f>
        <v/>
      </c>
      <c r="CM1032">
        <f>'Grid_Requirement'!CK40</f>
        <v/>
      </c>
      <c r="CN1032">
        <f>'Grid_Requirement'!CL40</f>
        <v/>
      </c>
      <c r="CO1032">
        <f>'Grid_Requirement'!CM40</f>
        <v/>
      </c>
      <c r="CP1032">
        <f>'Grid_Requirement'!CN40</f>
        <v/>
      </c>
      <c r="CQ1032">
        <f>'Grid_Requirement'!CO40</f>
        <v/>
      </c>
      <c r="CR1032">
        <f>'Grid_Requirement'!CP40</f>
        <v/>
      </c>
      <c r="CS1032">
        <f>'Grid_Requirement'!CQ40</f>
        <v/>
      </c>
      <c r="CT1032">
        <f>'Grid_Requirement'!CR40</f>
        <v/>
      </c>
      <c r="CU1032">
        <f>'Grid_Requirement'!CS40</f>
        <v/>
      </c>
      <c r="CV1032">
        <f>'Grid_Requirement'!CT40</f>
        <v/>
      </c>
      <c r="CW1032">
        <f>'Grid_Requirement'!CU40</f>
        <v/>
      </c>
      <c r="CX1032">
        <f>'Grid_Requirement'!CV40</f>
        <v/>
      </c>
      <c r="CY1032">
        <f>'Grid_Requirement'!CW40</f>
        <v/>
      </c>
      <c r="CZ1032">
        <f>'Grid_Requirement'!CX40</f>
        <v/>
      </c>
      <c r="DA1032">
        <f>'Grid_Requirement'!CY40</f>
        <v/>
      </c>
      <c r="DB1032">
        <f>'Grid_Requirement'!CZ40</f>
        <v/>
      </c>
      <c r="DC1032">
        <f>'Grid_Requirement'!DA40</f>
        <v/>
      </c>
    </row>
    <row r="1033">
      <c r="B1033" t="inlineStr">
        <is>
          <t>TTAF在庫(実績,kg)</t>
        </is>
      </c>
      <c r="D1033">
        <f>'T_TTAFStock'!B44</f>
        <v/>
      </c>
      <c r="E1033">
        <f>'T_TTAFStock'!C44</f>
        <v/>
      </c>
      <c r="F1033">
        <f>'T_TTAFStock'!D44</f>
        <v/>
      </c>
      <c r="G1033">
        <f>'T_TTAFStock'!E44</f>
        <v/>
      </c>
      <c r="H1033">
        <f>'T_TTAFStock'!F44</f>
        <v/>
      </c>
      <c r="I1033">
        <f>'T_TTAFStock'!G44</f>
        <v/>
      </c>
      <c r="J1033">
        <f>'T_TTAFStock'!H44</f>
        <v/>
      </c>
      <c r="K1033">
        <f>'T_TTAFStock'!I44</f>
        <v/>
      </c>
      <c r="L1033">
        <f>'T_TTAFStock'!J44</f>
        <v/>
      </c>
      <c r="M1033">
        <f>'T_TTAFStock'!K44</f>
        <v/>
      </c>
      <c r="N1033">
        <f>'T_TTAFStock'!L44</f>
        <v/>
      </c>
      <c r="O1033">
        <f>'T_TTAFStock'!M44</f>
        <v/>
      </c>
      <c r="P1033">
        <f>'T_TTAFStock'!N44</f>
        <v/>
      </c>
      <c r="Q1033">
        <f>'T_TTAFStock'!O44</f>
        <v/>
      </c>
      <c r="R1033">
        <f>'T_TTAFStock'!P44</f>
        <v/>
      </c>
      <c r="S1033">
        <f>'T_TTAFStock'!Q44</f>
        <v/>
      </c>
      <c r="T1033">
        <f>'T_TTAFStock'!R44</f>
        <v/>
      </c>
      <c r="U1033">
        <f>'T_TTAFStock'!S44</f>
        <v/>
      </c>
      <c r="V1033">
        <f>'T_TTAFStock'!T44</f>
        <v/>
      </c>
      <c r="W1033">
        <f>'T_TTAFStock'!U44</f>
        <v/>
      </c>
      <c r="X1033">
        <f>'T_TTAFStock'!V44</f>
        <v/>
      </c>
      <c r="Y1033">
        <f>'T_TTAFStock'!W44</f>
        <v/>
      </c>
      <c r="Z1033">
        <f>'T_TTAFStock'!X44</f>
        <v/>
      </c>
      <c r="AA1033">
        <f>'T_TTAFStock'!Y44</f>
        <v/>
      </c>
      <c r="AB1033">
        <f>'T_TTAFStock'!Z44</f>
        <v/>
      </c>
      <c r="AC1033">
        <f>'T_TTAFStock'!AA44</f>
        <v/>
      </c>
      <c r="AD1033">
        <f>'T_TTAFStock'!AB44</f>
        <v/>
      </c>
      <c r="AE1033">
        <f>'T_TTAFStock'!AC44</f>
        <v/>
      </c>
      <c r="AF1033">
        <f>'T_TTAFStock'!AD44</f>
        <v/>
      </c>
      <c r="AG1033">
        <f>'T_TTAFStock'!AE44</f>
        <v/>
      </c>
      <c r="AH1033">
        <f>'T_TTAFStock'!AF44</f>
        <v/>
      </c>
      <c r="AI1033">
        <f>'T_TTAFStock'!AG44</f>
        <v/>
      </c>
      <c r="AJ1033">
        <f>'T_TTAFStock'!AH44</f>
        <v/>
      </c>
      <c r="AK1033">
        <f>'T_TTAFStock'!AI44</f>
        <v/>
      </c>
      <c r="AL1033">
        <f>'T_TTAFStock'!AJ44</f>
        <v/>
      </c>
      <c r="AM1033">
        <f>'T_TTAFStock'!AK44</f>
        <v/>
      </c>
      <c r="AN1033">
        <f>'T_TTAFStock'!AL44</f>
        <v/>
      </c>
      <c r="AO1033">
        <f>'T_TTAFStock'!AM44</f>
        <v/>
      </c>
      <c r="AP1033">
        <f>'T_TTAFStock'!AN44</f>
        <v/>
      </c>
      <c r="AQ1033">
        <f>'T_TTAFStock'!AO44</f>
        <v/>
      </c>
      <c r="AR1033">
        <f>'T_TTAFStock'!AP44</f>
        <v/>
      </c>
      <c r="AS1033">
        <f>'T_TTAFStock'!AQ44</f>
        <v/>
      </c>
      <c r="AT1033">
        <f>'T_TTAFStock'!AR44</f>
        <v/>
      </c>
      <c r="AU1033">
        <f>'T_TTAFStock'!AS44</f>
        <v/>
      </c>
      <c r="AV1033">
        <f>'T_TTAFStock'!AT44</f>
        <v/>
      </c>
      <c r="AW1033">
        <f>'T_TTAFStock'!AU44</f>
        <v/>
      </c>
      <c r="AX1033">
        <f>'T_TTAFStock'!AV44</f>
        <v/>
      </c>
      <c r="AY1033">
        <f>'T_TTAFStock'!AW44</f>
        <v/>
      </c>
      <c r="AZ1033">
        <f>'T_TTAFStock'!AX44</f>
        <v/>
      </c>
      <c r="BA1033">
        <f>'T_TTAFStock'!AY44</f>
        <v/>
      </c>
      <c r="BB1033">
        <f>'T_TTAFStock'!AZ44</f>
        <v/>
      </c>
      <c r="BC1033">
        <f>'T_TTAFStock'!BA44</f>
        <v/>
      </c>
      <c r="BD1033">
        <f>'T_TTAFStock'!BB44</f>
        <v/>
      </c>
      <c r="BE1033">
        <f>'T_TTAFStock'!BC44</f>
        <v/>
      </c>
      <c r="BF1033">
        <f>'T_TTAFStock'!BD44</f>
        <v/>
      </c>
      <c r="BG1033">
        <f>'T_TTAFStock'!BE44</f>
        <v/>
      </c>
      <c r="BH1033">
        <f>'T_TTAFStock'!BF44</f>
        <v/>
      </c>
      <c r="BI1033">
        <f>'T_TTAFStock'!BG44</f>
        <v/>
      </c>
      <c r="BJ1033">
        <f>'T_TTAFStock'!BH44</f>
        <v/>
      </c>
      <c r="BK1033">
        <f>'T_TTAFStock'!BI44</f>
        <v/>
      </c>
      <c r="BL1033">
        <f>'T_TTAFStock'!BJ44</f>
        <v/>
      </c>
      <c r="BM1033">
        <f>'T_TTAFStock'!BK44</f>
        <v/>
      </c>
      <c r="BN1033">
        <f>'T_TTAFStock'!BL44</f>
        <v/>
      </c>
      <c r="BO1033">
        <f>'T_TTAFStock'!BM44</f>
        <v/>
      </c>
      <c r="BP1033">
        <f>'T_TTAFStock'!BN44</f>
        <v/>
      </c>
      <c r="BQ1033">
        <f>'T_TTAFStock'!BO44</f>
        <v/>
      </c>
      <c r="BR1033">
        <f>'T_TTAFStock'!BP44</f>
        <v/>
      </c>
      <c r="BS1033">
        <f>'T_TTAFStock'!BQ44</f>
        <v/>
      </c>
      <c r="BT1033">
        <f>'T_TTAFStock'!BR44</f>
        <v/>
      </c>
      <c r="BU1033">
        <f>'T_TTAFStock'!BS44</f>
        <v/>
      </c>
      <c r="BV1033">
        <f>'T_TTAFStock'!BT44</f>
        <v/>
      </c>
      <c r="BW1033">
        <f>'T_TTAFStock'!BU44</f>
        <v/>
      </c>
      <c r="BX1033">
        <f>'T_TTAFStock'!BV44</f>
        <v/>
      </c>
      <c r="BY1033">
        <f>'T_TTAFStock'!BW44</f>
        <v/>
      </c>
      <c r="BZ1033">
        <f>'T_TTAFStock'!BX44</f>
        <v/>
      </c>
      <c r="CA1033">
        <f>'T_TTAFStock'!BY44</f>
        <v/>
      </c>
      <c r="CB1033">
        <f>'T_TTAFStock'!BZ44</f>
        <v/>
      </c>
      <c r="CC1033">
        <f>'T_TTAFStock'!CA44</f>
        <v/>
      </c>
      <c r="CD1033">
        <f>'T_TTAFStock'!CB44</f>
        <v/>
      </c>
      <c r="CE1033">
        <f>'T_TTAFStock'!CC44</f>
        <v/>
      </c>
      <c r="CF1033">
        <f>'T_TTAFStock'!CD44</f>
        <v/>
      </c>
      <c r="CG1033">
        <f>'T_TTAFStock'!CE44</f>
        <v/>
      </c>
      <c r="CH1033">
        <f>'T_TTAFStock'!CF44</f>
        <v/>
      </c>
      <c r="CI1033">
        <f>'T_TTAFStock'!CG44</f>
        <v/>
      </c>
      <c r="CJ1033">
        <f>'T_TTAFStock'!CH44</f>
        <v/>
      </c>
      <c r="CK1033">
        <f>'T_TTAFStock'!CI44</f>
        <v/>
      </c>
      <c r="CL1033">
        <f>'T_TTAFStock'!CJ44</f>
        <v/>
      </c>
      <c r="CM1033">
        <f>'T_TTAFStock'!CK44</f>
        <v/>
      </c>
      <c r="CN1033">
        <f>'T_TTAFStock'!CL44</f>
        <v/>
      </c>
      <c r="CO1033">
        <f>'T_TTAFStock'!CM44</f>
        <v/>
      </c>
      <c r="CP1033">
        <f>'T_TTAFStock'!CN44</f>
        <v/>
      </c>
      <c r="CQ1033">
        <f>'T_TTAFStock'!CO44</f>
        <v/>
      </c>
      <c r="CR1033">
        <f>'T_TTAFStock'!CP44</f>
        <v/>
      </c>
      <c r="CS1033">
        <f>'T_TTAFStock'!CQ44</f>
        <v/>
      </c>
      <c r="CT1033">
        <f>'T_TTAFStock'!CR44</f>
        <v/>
      </c>
      <c r="CU1033">
        <f>'T_TTAFStock'!CS44</f>
        <v/>
      </c>
      <c r="CV1033">
        <f>'T_TTAFStock'!CT44</f>
        <v/>
      </c>
      <c r="CW1033">
        <f>'T_TTAFStock'!CU44</f>
        <v/>
      </c>
      <c r="CX1033">
        <f>'T_TTAFStock'!CV44</f>
        <v/>
      </c>
      <c r="CY1033">
        <f>'T_TTAFStock'!CW44</f>
        <v/>
      </c>
      <c r="CZ1033">
        <f>'T_TTAFStock'!CX44</f>
        <v/>
      </c>
      <c r="DA1033">
        <f>'T_TTAFStock'!CY44</f>
        <v/>
      </c>
      <c r="DB1033">
        <f>'T_TTAFStock'!CZ44</f>
        <v/>
      </c>
      <c r="DC1033">
        <f>'T_TTAFStock'!DA44</f>
        <v/>
      </c>
    </row>
    <row r="1034">
      <c r="B1034" t="inlineStr">
        <is>
          <t>自社在庫(実績,kg)</t>
        </is>
      </c>
      <c r="D1034">
        <f>'T_SelfStock'!B44</f>
        <v/>
      </c>
      <c r="E1034">
        <f>'T_SelfStock'!C44</f>
        <v/>
      </c>
      <c r="F1034">
        <f>'T_SelfStock'!D44</f>
        <v/>
      </c>
      <c r="G1034">
        <f>'T_SelfStock'!E44</f>
        <v/>
      </c>
      <c r="H1034">
        <f>'T_SelfStock'!F44</f>
        <v/>
      </c>
      <c r="I1034">
        <f>'T_SelfStock'!G44</f>
        <v/>
      </c>
      <c r="J1034">
        <f>'T_SelfStock'!H44</f>
        <v/>
      </c>
      <c r="K1034">
        <f>'T_SelfStock'!I44</f>
        <v/>
      </c>
      <c r="L1034">
        <f>'T_SelfStock'!J44</f>
        <v/>
      </c>
      <c r="M1034">
        <f>'T_SelfStock'!K44</f>
        <v/>
      </c>
      <c r="N1034">
        <f>'T_SelfStock'!L44</f>
        <v/>
      </c>
      <c r="O1034">
        <f>'T_SelfStock'!M44</f>
        <v/>
      </c>
      <c r="P1034">
        <f>'T_SelfStock'!N44</f>
        <v/>
      </c>
      <c r="Q1034">
        <f>'T_SelfStock'!O44</f>
        <v/>
      </c>
      <c r="R1034">
        <f>'T_SelfStock'!P44</f>
        <v/>
      </c>
      <c r="S1034">
        <f>'T_SelfStock'!Q44</f>
        <v/>
      </c>
      <c r="T1034">
        <f>'T_SelfStock'!R44</f>
        <v/>
      </c>
      <c r="U1034">
        <f>'T_SelfStock'!S44</f>
        <v/>
      </c>
      <c r="V1034">
        <f>'T_SelfStock'!T44</f>
        <v/>
      </c>
      <c r="W1034">
        <f>'T_SelfStock'!U44</f>
        <v/>
      </c>
      <c r="X1034">
        <f>'T_SelfStock'!V44</f>
        <v/>
      </c>
      <c r="Y1034">
        <f>'T_SelfStock'!W44</f>
        <v/>
      </c>
      <c r="Z1034">
        <f>'T_SelfStock'!X44</f>
        <v/>
      </c>
      <c r="AA1034">
        <f>'T_SelfStock'!Y44</f>
        <v/>
      </c>
      <c r="AB1034">
        <f>'T_SelfStock'!Z44</f>
        <v/>
      </c>
      <c r="AC1034">
        <f>'T_SelfStock'!AA44</f>
        <v/>
      </c>
      <c r="AD1034">
        <f>'T_SelfStock'!AB44</f>
        <v/>
      </c>
      <c r="AE1034">
        <f>'T_SelfStock'!AC44</f>
        <v/>
      </c>
      <c r="AF1034">
        <f>'T_SelfStock'!AD44</f>
        <v/>
      </c>
      <c r="AG1034">
        <f>'T_SelfStock'!AE44</f>
        <v/>
      </c>
      <c r="AH1034">
        <f>'T_SelfStock'!AF44</f>
        <v/>
      </c>
      <c r="AI1034">
        <f>'T_SelfStock'!AG44</f>
        <v/>
      </c>
      <c r="AJ1034">
        <f>'T_SelfStock'!AH44</f>
        <v/>
      </c>
      <c r="AK1034">
        <f>'T_SelfStock'!AI44</f>
        <v/>
      </c>
      <c r="AL1034">
        <f>'T_SelfStock'!AJ44</f>
        <v/>
      </c>
      <c r="AM1034">
        <f>'T_SelfStock'!AK44</f>
        <v/>
      </c>
      <c r="AN1034">
        <f>'T_SelfStock'!AL44</f>
        <v/>
      </c>
      <c r="AO1034">
        <f>'T_SelfStock'!AM44</f>
        <v/>
      </c>
      <c r="AP1034">
        <f>'T_SelfStock'!AN44</f>
        <v/>
      </c>
      <c r="AQ1034">
        <f>'T_SelfStock'!AO44</f>
        <v/>
      </c>
      <c r="AR1034">
        <f>'T_SelfStock'!AP44</f>
        <v/>
      </c>
      <c r="AS1034">
        <f>'T_SelfStock'!AQ44</f>
        <v/>
      </c>
      <c r="AT1034">
        <f>'T_SelfStock'!AR44</f>
        <v/>
      </c>
      <c r="AU1034">
        <f>'T_SelfStock'!AS44</f>
        <v/>
      </c>
      <c r="AV1034">
        <f>'T_SelfStock'!AT44</f>
        <v/>
      </c>
      <c r="AW1034">
        <f>'T_SelfStock'!AU44</f>
        <v/>
      </c>
      <c r="AX1034">
        <f>'T_SelfStock'!AV44</f>
        <v/>
      </c>
      <c r="AY1034">
        <f>'T_SelfStock'!AW44</f>
        <v/>
      </c>
      <c r="AZ1034">
        <f>'T_SelfStock'!AX44</f>
        <v/>
      </c>
      <c r="BA1034">
        <f>'T_SelfStock'!AY44</f>
        <v/>
      </c>
      <c r="BB1034">
        <f>'T_SelfStock'!AZ44</f>
        <v/>
      </c>
      <c r="BC1034">
        <f>'T_SelfStock'!BA44</f>
        <v/>
      </c>
      <c r="BD1034">
        <f>'T_SelfStock'!BB44</f>
        <v/>
      </c>
      <c r="BE1034">
        <f>'T_SelfStock'!BC44</f>
        <v/>
      </c>
      <c r="BF1034">
        <f>'T_SelfStock'!BD44</f>
        <v/>
      </c>
      <c r="BG1034">
        <f>'T_SelfStock'!BE44</f>
        <v/>
      </c>
      <c r="BH1034">
        <f>'T_SelfStock'!BF44</f>
        <v/>
      </c>
      <c r="BI1034">
        <f>'T_SelfStock'!BG44</f>
        <v/>
      </c>
      <c r="BJ1034">
        <f>'T_SelfStock'!BH44</f>
        <v/>
      </c>
      <c r="BK1034">
        <f>'T_SelfStock'!BI44</f>
        <v/>
      </c>
      <c r="BL1034">
        <f>'T_SelfStock'!BJ44</f>
        <v/>
      </c>
      <c r="BM1034">
        <f>'T_SelfStock'!BK44</f>
        <v/>
      </c>
      <c r="BN1034">
        <f>'T_SelfStock'!BL44</f>
        <v/>
      </c>
      <c r="BO1034">
        <f>'T_SelfStock'!BM44</f>
        <v/>
      </c>
      <c r="BP1034">
        <f>'T_SelfStock'!BN44</f>
        <v/>
      </c>
      <c r="BQ1034">
        <f>'T_SelfStock'!BO44</f>
        <v/>
      </c>
      <c r="BR1034">
        <f>'T_SelfStock'!BP44</f>
        <v/>
      </c>
      <c r="BS1034">
        <f>'T_SelfStock'!BQ44</f>
        <v/>
      </c>
      <c r="BT1034">
        <f>'T_SelfStock'!BR44</f>
        <v/>
      </c>
      <c r="BU1034">
        <f>'T_SelfStock'!BS44</f>
        <v/>
      </c>
      <c r="BV1034">
        <f>'T_SelfStock'!BT44</f>
        <v/>
      </c>
      <c r="BW1034">
        <f>'T_SelfStock'!BU44</f>
        <v/>
      </c>
      <c r="BX1034">
        <f>'T_SelfStock'!BV44</f>
        <v/>
      </c>
      <c r="BY1034">
        <f>'T_SelfStock'!BW44</f>
        <v/>
      </c>
      <c r="BZ1034">
        <f>'T_SelfStock'!BX44</f>
        <v/>
      </c>
      <c r="CA1034">
        <f>'T_SelfStock'!BY44</f>
        <v/>
      </c>
      <c r="CB1034">
        <f>'T_SelfStock'!BZ44</f>
        <v/>
      </c>
      <c r="CC1034">
        <f>'T_SelfStock'!CA44</f>
        <v/>
      </c>
      <c r="CD1034">
        <f>'T_SelfStock'!CB44</f>
        <v/>
      </c>
      <c r="CE1034">
        <f>'T_SelfStock'!CC44</f>
        <v/>
      </c>
      <c r="CF1034">
        <f>'T_SelfStock'!CD44</f>
        <v/>
      </c>
      <c r="CG1034">
        <f>'T_SelfStock'!CE44</f>
        <v/>
      </c>
      <c r="CH1034">
        <f>'T_SelfStock'!CF44</f>
        <v/>
      </c>
      <c r="CI1034">
        <f>'T_SelfStock'!CG44</f>
        <v/>
      </c>
      <c r="CJ1034">
        <f>'T_SelfStock'!CH44</f>
        <v/>
      </c>
      <c r="CK1034">
        <f>'T_SelfStock'!CI44</f>
        <v/>
      </c>
      <c r="CL1034">
        <f>'T_SelfStock'!CJ44</f>
        <v/>
      </c>
      <c r="CM1034">
        <f>'T_SelfStock'!CK44</f>
        <v/>
      </c>
      <c r="CN1034">
        <f>'T_SelfStock'!CL44</f>
        <v/>
      </c>
      <c r="CO1034">
        <f>'T_SelfStock'!CM44</f>
        <v/>
      </c>
      <c r="CP1034">
        <f>'T_SelfStock'!CN44</f>
        <v/>
      </c>
      <c r="CQ1034">
        <f>'T_SelfStock'!CO44</f>
        <v/>
      </c>
      <c r="CR1034">
        <f>'T_SelfStock'!CP44</f>
        <v/>
      </c>
      <c r="CS1034">
        <f>'T_SelfStock'!CQ44</f>
        <v/>
      </c>
      <c r="CT1034">
        <f>'T_SelfStock'!CR44</f>
        <v/>
      </c>
      <c r="CU1034">
        <f>'T_SelfStock'!CS44</f>
        <v/>
      </c>
      <c r="CV1034">
        <f>'T_SelfStock'!CT44</f>
        <v/>
      </c>
      <c r="CW1034">
        <f>'T_SelfStock'!CU44</f>
        <v/>
      </c>
      <c r="CX1034">
        <f>'T_SelfStock'!CV44</f>
        <v/>
      </c>
      <c r="CY1034">
        <f>'T_SelfStock'!CW44</f>
        <v/>
      </c>
      <c r="CZ1034">
        <f>'T_SelfStock'!CX44</f>
        <v/>
      </c>
      <c r="DA1034">
        <f>'T_SelfStock'!CY44</f>
        <v/>
      </c>
      <c r="DB1034">
        <f>'T_SelfStock'!CZ44</f>
        <v/>
      </c>
      <c r="DC1034">
        <f>'T_SelfStock'!DA44</f>
        <v/>
      </c>
    </row>
    <row r="1035">
      <c r="B1035" t="inlineStr">
        <is>
          <t>Order(発注予定,kg)</t>
        </is>
      </c>
      <c r="D1035">
        <f>IF(SUMIFS(T_PlannedOrders[EffectiveQty],T_PlannedOrders[Part Name],$A1029,T_PlannedOrders[WeekIndex],1)=0,"",SUMIFS(T_PlannedOrders[EffectiveQty],T_PlannedOrders[Part Name],$A1029,T_PlannedOrders[WeekIndex],1)&amp;" ("&amp;TEXT(SUMPRODUCT(MAX((T_PlannedOrders[Part Name]=$A1029)*(T_PlannedOrders[WeekIndex]=1)*(T_PlannedOrders[EffectiveQty]&gt;0)*T_PlannedOrders[Order_Month])),"m月")&amp;"発注)")</f>
        <v/>
      </c>
      <c r="E1035">
        <f>IF(SUMIFS(T_PlannedOrders[EffectiveQty],T_PlannedOrders[Part Name],$A1029,T_PlannedOrders[WeekIndex],2)=0,"",SUMIFS(T_PlannedOrders[EffectiveQty],T_PlannedOrders[Part Name],$A1029,T_PlannedOrders[WeekIndex],2)&amp;" ("&amp;TEXT(SUMPRODUCT(MAX((T_PlannedOrders[Part Name]=$A1029)*(T_PlannedOrders[WeekIndex]=2)*(T_PlannedOrders[EffectiveQty]&gt;0)*T_PlannedOrders[Order_Month])),"m月")&amp;"発注)")</f>
        <v/>
      </c>
      <c r="F1035">
        <f>IF(SUMIFS(T_PlannedOrders[EffectiveQty],T_PlannedOrders[Part Name],$A1029,T_PlannedOrders[WeekIndex],3)=0,"",SUMIFS(T_PlannedOrders[EffectiveQty],T_PlannedOrders[Part Name],$A1029,T_PlannedOrders[WeekIndex],3)&amp;" ("&amp;TEXT(SUMPRODUCT(MAX((T_PlannedOrders[Part Name]=$A1029)*(T_PlannedOrders[WeekIndex]=3)*(T_PlannedOrders[EffectiveQty]&gt;0)*T_PlannedOrders[Order_Month])),"m月")&amp;"発注)")</f>
        <v/>
      </c>
      <c r="G1035">
        <f>IF(SUMIFS(T_PlannedOrders[EffectiveQty],T_PlannedOrders[Part Name],$A1029,T_PlannedOrders[WeekIndex],4)=0,"",SUMIFS(T_PlannedOrders[EffectiveQty],T_PlannedOrders[Part Name],$A1029,T_PlannedOrders[WeekIndex],4)&amp;" ("&amp;TEXT(SUMPRODUCT(MAX((T_PlannedOrders[Part Name]=$A1029)*(T_PlannedOrders[WeekIndex]=4)*(T_PlannedOrders[EffectiveQty]&gt;0)*T_PlannedOrders[Order_Month])),"m月")&amp;"発注)")</f>
        <v/>
      </c>
      <c r="H1035">
        <f>IF(SUMIFS(T_PlannedOrders[EffectiveQty],T_PlannedOrders[Part Name],$A1029,T_PlannedOrders[WeekIndex],5)=0,"",SUMIFS(T_PlannedOrders[EffectiveQty],T_PlannedOrders[Part Name],$A1029,T_PlannedOrders[WeekIndex],5)&amp;" ("&amp;TEXT(SUMPRODUCT(MAX((T_PlannedOrders[Part Name]=$A1029)*(T_PlannedOrders[WeekIndex]=5)*(T_PlannedOrders[EffectiveQty]&gt;0)*T_PlannedOrders[Order_Month])),"m月")&amp;"発注)")</f>
        <v/>
      </c>
      <c r="I1035">
        <f>IF(SUMIFS(T_PlannedOrders[EffectiveQty],T_PlannedOrders[Part Name],$A1029,T_PlannedOrders[WeekIndex],6)=0,"",SUMIFS(T_PlannedOrders[EffectiveQty],T_PlannedOrders[Part Name],$A1029,T_PlannedOrders[WeekIndex],6)&amp;" ("&amp;TEXT(SUMPRODUCT(MAX((T_PlannedOrders[Part Name]=$A1029)*(T_PlannedOrders[WeekIndex]=6)*(T_PlannedOrders[EffectiveQty]&gt;0)*T_PlannedOrders[Order_Month])),"m月")&amp;"発注)")</f>
        <v/>
      </c>
      <c r="J1035">
        <f>IF(SUMIFS(T_PlannedOrders[EffectiveQty],T_PlannedOrders[Part Name],$A1029,T_PlannedOrders[WeekIndex],7)=0,"",SUMIFS(T_PlannedOrders[EffectiveQty],T_PlannedOrders[Part Name],$A1029,T_PlannedOrders[WeekIndex],7)&amp;" ("&amp;TEXT(SUMPRODUCT(MAX((T_PlannedOrders[Part Name]=$A1029)*(T_PlannedOrders[WeekIndex]=7)*(T_PlannedOrders[EffectiveQty]&gt;0)*T_PlannedOrders[Order_Month])),"m月")&amp;"発注)")</f>
        <v/>
      </c>
      <c r="K1035">
        <f>IF(SUMIFS(T_PlannedOrders[EffectiveQty],T_PlannedOrders[Part Name],$A1029,T_PlannedOrders[WeekIndex],8)=0,"",SUMIFS(T_PlannedOrders[EffectiveQty],T_PlannedOrders[Part Name],$A1029,T_PlannedOrders[WeekIndex],8)&amp;" ("&amp;TEXT(SUMPRODUCT(MAX((T_PlannedOrders[Part Name]=$A1029)*(T_PlannedOrders[WeekIndex]=8)*(T_PlannedOrders[EffectiveQty]&gt;0)*T_PlannedOrders[Order_Month])),"m月")&amp;"発注)")</f>
        <v/>
      </c>
      <c r="L1035">
        <f>IF(SUMIFS(T_PlannedOrders[EffectiveQty],T_PlannedOrders[Part Name],$A1029,T_PlannedOrders[WeekIndex],9)=0,"",SUMIFS(T_PlannedOrders[EffectiveQty],T_PlannedOrders[Part Name],$A1029,T_PlannedOrders[WeekIndex],9)&amp;" ("&amp;TEXT(SUMPRODUCT(MAX((T_PlannedOrders[Part Name]=$A1029)*(T_PlannedOrders[WeekIndex]=9)*(T_PlannedOrders[EffectiveQty]&gt;0)*T_PlannedOrders[Order_Month])),"m月")&amp;"発注)")</f>
        <v/>
      </c>
      <c r="M1035">
        <f>IF(SUMIFS(T_PlannedOrders[EffectiveQty],T_PlannedOrders[Part Name],$A1029,T_PlannedOrders[WeekIndex],10)=0,"",SUMIFS(T_PlannedOrders[EffectiveQty],T_PlannedOrders[Part Name],$A1029,T_PlannedOrders[WeekIndex],10)&amp;" ("&amp;TEXT(SUMPRODUCT(MAX((T_PlannedOrders[Part Name]=$A1029)*(T_PlannedOrders[WeekIndex]=10)*(T_PlannedOrders[EffectiveQty]&gt;0)*T_PlannedOrders[Order_Month])),"m月")&amp;"発注)")</f>
        <v/>
      </c>
      <c r="N1035">
        <f>IF(SUMIFS(T_PlannedOrders[EffectiveQty],T_PlannedOrders[Part Name],$A1029,T_PlannedOrders[WeekIndex],11)=0,"",SUMIFS(T_PlannedOrders[EffectiveQty],T_PlannedOrders[Part Name],$A1029,T_PlannedOrders[WeekIndex],11)&amp;" ("&amp;TEXT(SUMPRODUCT(MAX((T_PlannedOrders[Part Name]=$A1029)*(T_PlannedOrders[WeekIndex]=11)*(T_PlannedOrders[EffectiveQty]&gt;0)*T_PlannedOrders[Order_Month])),"m月")&amp;"発注)")</f>
        <v/>
      </c>
      <c r="O1035">
        <f>IF(SUMIFS(T_PlannedOrders[EffectiveQty],T_PlannedOrders[Part Name],$A1029,T_PlannedOrders[WeekIndex],12)=0,"",SUMIFS(T_PlannedOrders[EffectiveQty],T_PlannedOrders[Part Name],$A1029,T_PlannedOrders[WeekIndex],12)&amp;" ("&amp;TEXT(SUMPRODUCT(MAX((T_PlannedOrders[Part Name]=$A1029)*(T_PlannedOrders[WeekIndex]=12)*(T_PlannedOrders[EffectiveQty]&gt;0)*T_PlannedOrders[Order_Month])),"m月")&amp;"発注)")</f>
        <v/>
      </c>
      <c r="P1035">
        <f>IF(SUMIFS(T_PlannedOrders[EffectiveQty],T_PlannedOrders[Part Name],$A1029,T_PlannedOrders[WeekIndex],13)=0,"",SUMIFS(T_PlannedOrders[EffectiveQty],T_PlannedOrders[Part Name],$A1029,T_PlannedOrders[WeekIndex],13)&amp;" ("&amp;TEXT(SUMPRODUCT(MAX((T_PlannedOrders[Part Name]=$A1029)*(T_PlannedOrders[WeekIndex]=13)*(T_PlannedOrders[EffectiveQty]&gt;0)*T_PlannedOrders[Order_Month])),"m月")&amp;"発注)")</f>
        <v/>
      </c>
      <c r="Q1035">
        <f>IF(SUMIFS(T_PlannedOrders[EffectiveQty],T_PlannedOrders[Part Name],$A1029,T_PlannedOrders[WeekIndex],14)=0,"",SUMIFS(T_PlannedOrders[EffectiveQty],T_PlannedOrders[Part Name],$A1029,T_PlannedOrders[WeekIndex],14)&amp;" ("&amp;TEXT(SUMPRODUCT(MAX((T_PlannedOrders[Part Name]=$A1029)*(T_PlannedOrders[WeekIndex]=14)*(T_PlannedOrders[EffectiveQty]&gt;0)*T_PlannedOrders[Order_Month])),"m月")&amp;"発注)")</f>
        <v/>
      </c>
      <c r="R1035">
        <f>IF(SUMIFS(T_PlannedOrders[EffectiveQty],T_PlannedOrders[Part Name],$A1029,T_PlannedOrders[WeekIndex],15)=0,"",SUMIFS(T_PlannedOrders[EffectiveQty],T_PlannedOrders[Part Name],$A1029,T_PlannedOrders[WeekIndex],15)&amp;" ("&amp;TEXT(SUMPRODUCT(MAX((T_PlannedOrders[Part Name]=$A1029)*(T_PlannedOrders[WeekIndex]=15)*(T_PlannedOrders[EffectiveQty]&gt;0)*T_PlannedOrders[Order_Month])),"m月")&amp;"発注)")</f>
        <v/>
      </c>
      <c r="S1035">
        <f>IF(SUMIFS(T_PlannedOrders[EffectiveQty],T_PlannedOrders[Part Name],$A1029,T_PlannedOrders[WeekIndex],16)=0,"",SUMIFS(T_PlannedOrders[EffectiveQty],T_PlannedOrders[Part Name],$A1029,T_PlannedOrders[WeekIndex],16)&amp;" ("&amp;TEXT(SUMPRODUCT(MAX((T_PlannedOrders[Part Name]=$A1029)*(T_PlannedOrders[WeekIndex]=16)*(T_PlannedOrders[EffectiveQty]&gt;0)*T_PlannedOrders[Order_Month])),"m月")&amp;"発注)")</f>
        <v/>
      </c>
      <c r="T1035">
        <f>IF(SUMIFS(T_PlannedOrders[EffectiveQty],T_PlannedOrders[Part Name],$A1029,T_PlannedOrders[WeekIndex],17)=0,"",SUMIFS(T_PlannedOrders[EffectiveQty],T_PlannedOrders[Part Name],$A1029,T_PlannedOrders[WeekIndex],17)&amp;" ("&amp;TEXT(SUMPRODUCT(MAX((T_PlannedOrders[Part Name]=$A1029)*(T_PlannedOrders[WeekIndex]=17)*(T_PlannedOrders[EffectiveQty]&gt;0)*T_PlannedOrders[Order_Month])),"m月")&amp;"発注)")</f>
        <v/>
      </c>
      <c r="U1035">
        <f>IF(SUMIFS(T_PlannedOrders[EffectiveQty],T_PlannedOrders[Part Name],$A1029,T_PlannedOrders[WeekIndex],18)=0,"",SUMIFS(T_PlannedOrders[EffectiveQty],T_PlannedOrders[Part Name],$A1029,T_PlannedOrders[WeekIndex],18)&amp;" ("&amp;TEXT(SUMPRODUCT(MAX((T_PlannedOrders[Part Name]=$A1029)*(T_PlannedOrders[WeekIndex]=18)*(T_PlannedOrders[EffectiveQty]&gt;0)*T_PlannedOrders[Order_Month])),"m月")&amp;"発注)")</f>
        <v/>
      </c>
      <c r="V1035">
        <f>IF(SUMIFS(T_PlannedOrders[EffectiveQty],T_PlannedOrders[Part Name],$A1029,T_PlannedOrders[WeekIndex],19)=0,"",SUMIFS(T_PlannedOrders[EffectiveQty],T_PlannedOrders[Part Name],$A1029,T_PlannedOrders[WeekIndex],19)&amp;" ("&amp;TEXT(SUMPRODUCT(MAX((T_PlannedOrders[Part Name]=$A1029)*(T_PlannedOrders[WeekIndex]=19)*(T_PlannedOrders[EffectiveQty]&gt;0)*T_PlannedOrders[Order_Month])),"m月")&amp;"発注)")</f>
        <v/>
      </c>
      <c r="W1035">
        <f>IF(SUMIFS(T_PlannedOrders[EffectiveQty],T_PlannedOrders[Part Name],$A1029,T_PlannedOrders[WeekIndex],20)=0,"",SUMIFS(T_PlannedOrders[EffectiveQty],T_PlannedOrders[Part Name],$A1029,T_PlannedOrders[WeekIndex],20)&amp;" ("&amp;TEXT(SUMPRODUCT(MAX((T_PlannedOrders[Part Name]=$A1029)*(T_PlannedOrders[WeekIndex]=20)*(T_PlannedOrders[EffectiveQty]&gt;0)*T_PlannedOrders[Order_Month])),"m月")&amp;"発注)")</f>
        <v/>
      </c>
      <c r="X1035">
        <f>IF(SUMIFS(T_PlannedOrders[EffectiveQty],T_PlannedOrders[Part Name],$A1029,T_PlannedOrders[WeekIndex],21)=0,"",SUMIFS(T_PlannedOrders[EffectiveQty],T_PlannedOrders[Part Name],$A1029,T_PlannedOrders[WeekIndex],21)&amp;" ("&amp;TEXT(SUMPRODUCT(MAX((T_PlannedOrders[Part Name]=$A1029)*(T_PlannedOrders[WeekIndex]=21)*(T_PlannedOrders[EffectiveQty]&gt;0)*T_PlannedOrders[Order_Month])),"m月")&amp;"発注)")</f>
        <v/>
      </c>
      <c r="Y1035">
        <f>IF(SUMIFS(T_PlannedOrders[EffectiveQty],T_PlannedOrders[Part Name],$A1029,T_PlannedOrders[WeekIndex],22)=0,"",SUMIFS(T_PlannedOrders[EffectiveQty],T_PlannedOrders[Part Name],$A1029,T_PlannedOrders[WeekIndex],22)&amp;" ("&amp;TEXT(SUMPRODUCT(MAX((T_PlannedOrders[Part Name]=$A1029)*(T_PlannedOrders[WeekIndex]=22)*(T_PlannedOrders[EffectiveQty]&gt;0)*T_PlannedOrders[Order_Month])),"m月")&amp;"発注)")</f>
        <v/>
      </c>
      <c r="Z1035">
        <f>IF(SUMIFS(T_PlannedOrders[EffectiveQty],T_PlannedOrders[Part Name],$A1029,T_PlannedOrders[WeekIndex],23)=0,"",SUMIFS(T_PlannedOrders[EffectiveQty],T_PlannedOrders[Part Name],$A1029,T_PlannedOrders[WeekIndex],23)&amp;" ("&amp;TEXT(SUMPRODUCT(MAX((T_PlannedOrders[Part Name]=$A1029)*(T_PlannedOrders[WeekIndex]=23)*(T_PlannedOrders[EffectiveQty]&gt;0)*T_PlannedOrders[Order_Month])),"m月")&amp;"発注)")</f>
        <v/>
      </c>
      <c r="AA1035">
        <f>IF(SUMIFS(T_PlannedOrders[EffectiveQty],T_PlannedOrders[Part Name],$A1029,T_PlannedOrders[WeekIndex],24)=0,"",SUMIFS(T_PlannedOrders[EffectiveQty],T_PlannedOrders[Part Name],$A1029,T_PlannedOrders[WeekIndex],24)&amp;" ("&amp;TEXT(SUMPRODUCT(MAX((T_PlannedOrders[Part Name]=$A1029)*(T_PlannedOrders[WeekIndex]=24)*(T_PlannedOrders[EffectiveQty]&gt;0)*T_PlannedOrders[Order_Month])),"m月")&amp;"発注)")</f>
        <v/>
      </c>
      <c r="AB1035">
        <f>IF(SUMIFS(T_PlannedOrders[EffectiveQty],T_PlannedOrders[Part Name],$A1029,T_PlannedOrders[WeekIndex],25)=0,"",SUMIFS(T_PlannedOrders[EffectiveQty],T_PlannedOrders[Part Name],$A1029,T_PlannedOrders[WeekIndex],25)&amp;" ("&amp;TEXT(SUMPRODUCT(MAX((T_PlannedOrders[Part Name]=$A1029)*(T_PlannedOrders[WeekIndex]=25)*(T_PlannedOrders[EffectiveQty]&gt;0)*T_PlannedOrders[Order_Month])),"m月")&amp;"発注)")</f>
        <v/>
      </c>
      <c r="AC1035">
        <f>IF(SUMIFS(T_PlannedOrders[EffectiveQty],T_PlannedOrders[Part Name],$A1029,T_PlannedOrders[WeekIndex],26)=0,"",SUMIFS(T_PlannedOrders[EffectiveQty],T_PlannedOrders[Part Name],$A1029,T_PlannedOrders[WeekIndex],26)&amp;" ("&amp;TEXT(SUMPRODUCT(MAX((T_PlannedOrders[Part Name]=$A1029)*(T_PlannedOrders[WeekIndex]=26)*(T_PlannedOrders[EffectiveQty]&gt;0)*T_PlannedOrders[Order_Month])),"m月")&amp;"発注)")</f>
        <v/>
      </c>
      <c r="AD1035">
        <f>IF(SUMIFS(T_PlannedOrders[EffectiveQty],T_PlannedOrders[Part Name],$A1029,T_PlannedOrders[WeekIndex],27)=0,"",SUMIFS(T_PlannedOrders[EffectiveQty],T_PlannedOrders[Part Name],$A1029,T_PlannedOrders[WeekIndex],27)&amp;" ("&amp;TEXT(SUMPRODUCT(MAX((T_PlannedOrders[Part Name]=$A1029)*(T_PlannedOrders[WeekIndex]=27)*(T_PlannedOrders[EffectiveQty]&gt;0)*T_PlannedOrders[Order_Month])),"m月")&amp;"発注)")</f>
        <v/>
      </c>
      <c r="AE1035">
        <f>IF(SUMIFS(T_PlannedOrders[EffectiveQty],T_PlannedOrders[Part Name],$A1029,T_PlannedOrders[WeekIndex],28)=0,"",SUMIFS(T_PlannedOrders[EffectiveQty],T_PlannedOrders[Part Name],$A1029,T_PlannedOrders[WeekIndex],28)&amp;" ("&amp;TEXT(SUMPRODUCT(MAX((T_PlannedOrders[Part Name]=$A1029)*(T_PlannedOrders[WeekIndex]=28)*(T_PlannedOrders[EffectiveQty]&gt;0)*T_PlannedOrders[Order_Month])),"m月")&amp;"発注)")</f>
        <v/>
      </c>
      <c r="AF1035">
        <f>IF(SUMIFS(T_PlannedOrders[EffectiveQty],T_PlannedOrders[Part Name],$A1029,T_PlannedOrders[WeekIndex],29)=0,"",SUMIFS(T_PlannedOrders[EffectiveQty],T_PlannedOrders[Part Name],$A1029,T_PlannedOrders[WeekIndex],29)&amp;" ("&amp;TEXT(SUMPRODUCT(MAX((T_PlannedOrders[Part Name]=$A1029)*(T_PlannedOrders[WeekIndex]=29)*(T_PlannedOrders[EffectiveQty]&gt;0)*T_PlannedOrders[Order_Month])),"m月")&amp;"発注)")</f>
        <v/>
      </c>
      <c r="AG1035">
        <f>IF(SUMIFS(T_PlannedOrders[EffectiveQty],T_PlannedOrders[Part Name],$A1029,T_PlannedOrders[WeekIndex],30)=0,"",SUMIFS(T_PlannedOrders[EffectiveQty],T_PlannedOrders[Part Name],$A1029,T_PlannedOrders[WeekIndex],30)&amp;" ("&amp;TEXT(SUMPRODUCT(MAX((T_PlannedOrders[Part Name]=$A1029)*(T_PlannedOrders[WeekIndex]=30)*(T_PlannedOrders[EffectiveQty]&gt;0)*T_PlannedOrders[Order_Month])),"m月")&amp;"発注)")</f>
        <v/>
      </c>
      <c r="AH1035">
        <f>IF(SUMIFS(T_PlannedOrders[EffectiveQty],T_PlannedOrders[Part Name],$A1029,T_PlannedOrders[WeekIndex],31)=0,"",SUMIFS(T_PlannedOrders[EffectiveQty],T_PlannedOrders[Part Name],$A1029,T_PlannedOrders[WeekIndex],31)&amp;" ("&amp;TEXT(SUMPRODUCT(MAX((T_PlannedOrders[Part Name]=$A1029)*(T_PlannedOrders[WeekIndex]=31)*(T_PlannedOrders[EffectiveQty]&gt;0)*T_PlannedOrders[Order_Month])),"m月")&amp;"発注)")</f>
        <v/>
      </c>
      <c r="AI1035">
        <f>IF(SUMIFS(T_PlannedOrders[EffectiveQty],T_PlannedOrders[Part Name],$A1029,T_PlannedOrders[WeekIndex],32)=0,"",SUMIFS(T_PlannedOrders[EffectiveQty],T_PlannedOrders[Part Name],$A1029,T_PlannedOrders[WeekIndex],32)&amp;" ("&amp;TEXT(SUMPRODUCT(MAX((T_PlannedOrders[Part Name]=$A1029)*(T_PlannedOrders[WeekIndex]=32)*(T_PlannedOrders[EffectiveQty]&gt;0)*T_PlannedOrders[Order_Month])),"m月")&amp;"発注)")</f>
        <v/>
      </c>
      <c r="AJ1035">
        <f>IF(SUMIFS(T_PlannedOrders[EffectiveQty],T_PlannedOrders[Part Name],$A1029,T_PlannedOrders[WeekIndex],33)=0,"",SUMIFS(T_PlannedOrders[EffectiveQty],T_PlannedOrders[Part Name],$A1029,T_PlannedOrders[WeekIndex],33)&amp;" ("&amp;TEXT(SUMPRODUCT(MAX((T_PlannedOrders[Part Name]=$A1029)*(T_PlannedOrders[WeekIndex]=33)*(T_PlannedOrders[EffectiveQty]&gt;0)*T_PlannedOrders[Order_Month])),"m月")&amp;"発注)")</f>
        <v/>
      </c>
      <c r="AK1035">
        <f>IF(SUMIFS(T_PlannedOrders[EffectiveQty],T_PlannedOrders[Part Name],$A1029,T_PlannedOrders[WeekIndex],34)=0,"",SUMIFS(T_PlannedOrders[EffectiveQty],T_PlannedOrders[Part Name],$A1029,T_PlannedOrders[WeekIndex],34)&amp;" ("&amp;TEXT(SUMPRODUCT(MAX((T_PlannedOrders[Part Name]=$A1029)*(T_PlannedOrders[WeekIndex]=34)*(T_PlannedOrders[EffectiveQty]&gt;0)*T_PlannedOrders[Order_Month])),"m月")&amp;"発注)")</f>
        <v/>
      </c>
      <c r="AL1035">
        <f>IF(SUMIFS(T_PlannedOrders[EffectiveQty],T_PlannedOrders[Part Name],$A1029,T_PlannedOrders[WeekIndex],35)=0,"",SUMIFS(T_PlannedOrders[EffectiveQty],T_PlannedOrders[Part Name],$A1029,T_PlannedOrders[WeekIndex],35)&amp;" ("&amp;TEXT(SUMPRODUCT(MAX((T_PlannedOrders[Part Name]=$A1029)*(T_PlannedOrders[WeekIndex]=35)*(T_PlannedOrders[EffectiveQty]&gt;0)*T_PlannedOrders[Order_Month])),"m月")&amp;"発注)")</f>
        <v/>
      </c>
      <c r="AM1035">
        <f>IF(SUMIFS(T_PlannedOrders[EffectiveQty],T_PlannedOrders[Part Name],$A1029,T_PlannedOrders[WeekIndex],36)=0,"",SUMIFS(T_PlannedOrders[EffectiveQty],T_PlannedOrders[Part Name],$A1029,T_PlannedOrders[WeekIndex],36)&amp;" ("&amp;TEXT(SUMPRODUCT(MAX((T_PlannedOrders[Part Name]=$A1029)*(T_PlannedOrders[WeekIndex]=36)*(T_PlannedOrders[EffectiveQty]&gt;0)*T_PlannedOrders[Order_Month])),"m月")&amp;"発注)")</f>
        <v/>
      </c>
      <c r="AN1035">
        <f>IF(SUMIFS(T_PlannedOrders[EffectiveQty],T_PlannedOrders[Part Name],$A1029,T_PlannedOrders[WeekIndex],37)=0,"",SUMIFS(T_PlannedOrders[EffectiveQty],T_PlannedOrders[Part Name],$A1029,T_PlannedOrders[WeekIndex],37)&amp;" ("&amp;TEXT(SUMPRODUCT(MAX((T_PlannedOrders[Part Name]=$A1029)*(T_PlannedOrders[WeekIndex]=37)*(T_PlannedOrders[EffectiveQty]&gt;0)*T_PlannedOrders[Order_Month])),"m月")&amp;"発注)")</f>
        <v/>
      </c>
      <c r="AO1035">
        <f>IF(SUMIFS(T_PlannedOrders[EffectiveQty],T_PlannedOrders[Part Name],$A1029,T_PlannedOrders[WeekIndex],38)=0,"",SUMIFS(T_PlannedOrders[EffectiveQty],T_PlannedOrders[Part Name],$A1029,T_PlannedOrders[WeekIndex],38)&amp;" ("&amp;TEXT(SUMPRODUCT(MAX((T_PlannedOrders[Part Name]=$A1029)*(T_PlannedOrders[WeekIndex]=38)*(T_PlannedOrders[EffectiveQty]&gt;0)*T_PlannedOrders[Order_Month])),"m月")&amp;"発注)")</f>
        <v/>
      </c>
      <c r="AP1035">
        <f>IF(SUMIFS(T_PlannedOrders[EffectiveQty],T_PlannedOrders[Part Name],$A1029,T_PlannedOrders[WeekIndex],39)=0,"",SUMIFS(T_PlannedOrders[EffectiveQty],T_PlannedOrders[Part Name],$A1029,T_PlannedOrders[WeekIndex],39)&amp;" ("&amp;TEXT(SUMPRODUCT(MAX((T_PlannedOrders[Part Name]=$A1029)*(T_PlannedOrders[WeekIndex]=39)*(T_PlannedOrders[EffectiveQty]&gt;0)*T_PlannedOrders[Order_Month])),"m月")&amp;"発注)")</f>
        <v/>
      </c>
      <c r="AQ1035">
        <f>IF(SUMIFS(T_PlannedOrders[EffectiveQty],T_PlannedOrders[Part Name],$A1029,T_PlannedOrders[WeekIndex],40)=0,"",SUMIFS(T_PlannedOrders[EffectiveQty],T_PlannedOrders[Part Name],$A1029,T_PlannedOrders[WeekIndex],40)&amp;" ("&amp;TEXT(SUMPRODUCT(MAX((T_PlannedOrders[Part Name]=$A1029)*(T_PlannedOrders[WeekIndex]=40)*(T_PlannedOrders[EffectiveQty]&gt;0)*T_PlannedOrders[Order_Month])),"m月")&amp;"発注)")</f>
        <v/>
      </c>
      <c r="AR1035">
        <f>IF(SUMIFS(T_PlannedOrders[EffectiveQty],T_PlannedOrders[Part Name],$A1029,T_PlannedOrders[WeekIndex],41)=0,"",SUMIFS(T_PlannedOrders[EffectiveQty],T_PlannedOrders[Part Name],$A1029,T_PlannedOrders[WeekIndex],41)&amp;" ("&amp;TEXT(SUMPRODUCT(MAX((T_PlannedOrders[Part Name]=$A1029)*(T_PlannedOrders[WeekIndex]=41)*(T_PlannedOrders[EffectiveQty]&gt;0)*T_PlannedOrders[Order_Month])),"m月")&amp;"発注)")</f>
        <v/>
      </c>
      <c r="AS1035">
        <f>IF(SUMIFS(T_PlannedOrders[EffectiveQty],T_PlannedOrders[Part Name],$A1029,T_PlannedOrders[WeekIndex],42)=0,"",SUMIFS(T_PlannedOrders[EffectiveQty],T_PlannedOrders[Part Name],$A1029,T_PlannedOrders[WeekIndex],42)&amp;" ("&amp;TEXT(SUMPRODUCT(MAX((T_PlannedOrders[Part Name]=$A1029)*(T_PlannedOrders[WeekIndex]=42)*(T_PlannedOrders[EffectiveQty]&gt;0)*T_PlannedOrders[Order_Month])),"m月")&amp;"発注)")</f>
        <v/>
      </c>
      <c r="AT1035">
        <f>IF(SUMIFS(T_PlannedOrders[EffectiveQty],T_PlannedOrders[Part Name],$A1029,T_PlannedOrders[WeekIndex],43)=0,"",SUMIFS(T_PlannedOrders[EffectiveQty],T_PlannedOrders[Part Name],$A1029,T_PlannedOrders[WeekIndex],43)&amp;" ("&amp;TEXT(SUMPRODUCT(MAX((T_PlannedOrders[Part Name]=$A1029)*(T_PlannedOrders[WeekIndex]=43)*(T_PlannedOrders[EffectiveQty]&gt;0)*T_PlannedOrders[Order_Month])),"m月")&amp;"発注)")</f>
        <v/>
      </c>
      <c r="AU1035">
        <f>IF(SUMIFS(T_PlannedOrders[EffectiveQty],T_PlannedOrders[Part Name],$A1029,T_PlannedOrders[WeekIndex],44)=0,"",SUMIFS(T_PlannedOrders[EffectiveQty],T_PlannedOrders[Part Name],$A1029,T_PlannedOrders[WeekIndex],44)&amp;" ("&amp;TEXT(SUMPRODUCT(MAX((T_PlannedOrders[Part Name]=$A1029)*(T_PlannedOrders[WeekIndex]=44)*(T_PlannedOrders[EffectiveQty]&gt;0)*T_PlannedOrders[Order_Month])),"m月")&amp;"発注)")</f>
        <v/>
      </c>
      <c r="AV1035">
        <f>IF(SUMIFS(T_PlannedOrders[EffectiveQty],T_PlannedOrders[Part Name],$A1029,T_PlannedOrders[WeekIndex],45)=0,"",SUMIFS(T_PlannedOrders[EffectiveQty],T_PlannedOrders[Part Name],$A1029,T_PlannedOrders[WeekIndex],45)&amp;" ("&amp;TEXT(SUMPRODUCT(MAX((T_PlannedOrders[Part Name]=$A1029)*(T_PlannedOrders[WeekIndex]=45)*(T_PlannedOrders[EffectiveQty]&gt;0)*T_PlannedOrders[Order_Month])),"m月")&amp;"発注)")</f>
        <v/>
      </c>
      <c r="AW1035">
        <f>IF(SUMIFS(T_PlannedOrders[EffectiveQty],T_PlannedOrders[Part Name],$A1029,T_PlannedOrders[WeekIndex],46)=0,"",SUMIFS(T_PlannedOrders[EffectiveQty],T_PlannedOrders[Part Name],$A1029,T_PlannedOrders[WeekIndex],46)&amp;" ("&amp;TEXT(SUMPRODUCT(MAX((T_PlannedOrders[Part Name]=$A1029)*(T_PlannedOrders[WeekIndex]=46)*(T_PlannedOrders[EffectiveQty]&gt;0)*T_PlannedOrders[Order_Month])),"m月")&amp;"発注)")</f>
        <v/>
      </c>
      <c r="AX1035">
        <f>IF(SUMIFS(T_PlannedOrders[EffectiveQty],T_PlannedOrders[Part Name],$A1029,T_PlannedOrders[WeekIndex],47)=0,"",SUMIFS(T_PlannedOrders[EffectiveQty],T_PlannedOrders[Part Name],$A1029,T_PlannedOrders[WeekIndex],47)&amp;" ("&amp;TEXT(SUMPRODUCT(MAX((T_PlannedOrders[Part Name]=$A1029)*(T_PlannedOrders[WeekIndex]=47)*(T_PlannedOrders[EffectiveQty]&gt;0)*T_PlannedOrders[Order_Month])),"m月")&amp;"発注)")</f>
        <v/>
      </c>
      <c r="AY1035">
        <f>IF(SUMIFS(T_PlannedOrders[EffectiveQty],T_PlannedOrders[Part Name],$A1029,T_PlannedOrders[WeekIndex],48)=0,"",SUMIFS(T_PlannedOrders[EffectiveQty],T_PlannedOrders[Part Name],$A1029,T_PlannedOrders[WeekIndex],48)&amp;" ("&amp;TEXT(SUMPRODUCT(MAX((T_PlannedOrders[Part Name]=$A1029)*(T_PlannedOrders[WeekIndex]=48)*(T_PlannedOrders[EffectiveQty]&gt;0)*T_PlannedOrders[Order_Month])),"m月")&amp;"発注)")</f>
        <v/>
      </c>
      <c r="AZ1035">
        <f>IF(SUMIFS(T_PlannedOrders[EffectiveQty],T_PlannedOrders[Part Name],$A1029,T_PlannedOrders[WeekIndex],49)=0,"",SUMIFS(T_PlannedOrders[EffectiveQty],T_PlannedOrders[Part Name],$A1029,T_PlannedOrders[WeekIndex],49)&amp;" ("&amp;TEXT(SUMPRODUCT(MAX((T_PlannedOrders[Part Name]=$A1029)*(T_PlannedOrders[WeekIndex]=49)*(T_PlannedOrders[EffectiveQty]&gt;0)*T_PlannedOrders[Order_Month])),"m月")&amp;"発注)")</f>
        <v/>
      </c>
      <c r="BA1035">
        <f>IF(SUMIFS(T_PlannedOrders[EffectiveQty],T_PlannedOrders[Part Name],$A1029,T_PlannedOrders[WeekIndex],50)=0,"",SUMIFS(T_PlannedOrders[EffectiveQty],T_PlannedOrders[Part Name],$A1029,T_PlannedOrders[WeekIndex],50)&amp;" ("&amp;TEXT(SUMPRODUCT(MAX((T_PlannedOrders[Part Name]=$A1029)*(T_PlannedOrders[WeekIndex]=50)*(T_PlannedOrders[EffectiveQty]&gt;0)*T_PlannedOrders[Order_Month])),"m月")&amp;"発注)")</f>
        <v/>
      </c>
      <c r="BB1035">
        <f>IF(SUMIFS(T_PlannedOrders[EffectiveQty],T_PlannedOrders[Part Name],$A1029,T_PlannedOrders[WeekIndex],51)=0,"",SUMIFS(T_PlannedOrders[EffectiveQty],T_PlannedOrders[Part Name],$A1029,T_PlannedOrders[WeekIndex],51)&amp;" ("&amp;TEXT(SUMPRODUCT(MAX((T_PlannedOrders[Part Name]=$A1029)*(T_PlannedOrders[WeekIndex]=51)*(T_PlannedOrders[EffectiveQty]&gt;0)*T_PlannedOrders[Order_Month])),"m月")&amp;"発注)")</f>
        <v/>
      </c>
      <c r="BC1035">
        <f>IF(SUMIFS(T_PlannedOrders[EffectiveQty],T_PlannedOrders[Part Name],$A1029,T_PlannedOrders[WeekIndex],52)=0,"",SUMIFS(T_PlannedOrders[EffectiveQty],T_PlannedOrders[Part Name],$A1029,T_PlannedOrders[WeekIndex],52)&amp;" ("&amp;TEXT(SUMPRODUCT(MAX((T_PlannedOrders[Part Name]=$A1029)*(T_PlannedOrders[WeekIndex]=52)*(T_PlannedOrders[EffectiveQty]&gt;0)*T_PlannedOrders[Order_Month])),"m月")&amp;"発注)")</f>
        <v/>
      </c>
      <c r="BD1035">
        <f>IF(SUMIFS(T_PlannedOrders[EffectiveQty],T_PlannedOrders[Part Name],$A1029,T_PlannedOrders[WeekIndex],53)=0,"",SUMIFS(T_PlannedOrders[EffectiveQty],T_PlannedOrders[Part Name],$A1029,T_PlannedOrders[WeekIndex],53)&amp;" ("&amp;TEXT(SUMPRODUCT(MAX((T_PlannedOrders[Part Name]=$A1029)*(T_PlannedOrders[WeekIndex]=53)*(T_PlannedOrders[EffectiveQty]&gt;0)*T_PlannedOrders[Order_Month])),"m月")&amp;"発注)")</f>
        <v/>
      </c>
      <c r="BE1035">
        <f>IF(SUMIFS(T_PlannedOrders[EffectiveQty],T_PlannedOrders[Part Name],$A1029,T_PlannedOrders[WeekIndex],54)=0,"",SUMIFS(T_PlannedOrders[EffectiveQty],T_PlannedOrders[Part Name],$A1029,T_PlannedOrders[WeekIndex],54)&amp;" ("&amp;TEXT(SUMPRODUCT(MAX((T_PlannedOrders[Part Name]=$A1029)*(T_PlannedOrders[WeekIndex]=54)*(T_PlannedOrders[EffectiveQty]&gt;0)*T_PlannedOrders[Order_Month])),"m月")&amp;"発注)")</f>
        <v/>
      </c>
      <c r="BF1035">
        <f>IF(SUMIFS(T_PlannedOrders[EffectiveQty],T_PlannedOrders[Part Name],$A1029,T_PlannedOrders[WeekIndex],55)=0,"",SUMIFS(T_PlannedOrders[EffectiveQty],T_PlannedOrders[Part Name],$A1029,T_PlannedOrders[WeekIndex],55)&amp;" ("&amp;TEXT(SUMPRODUCT(MAX((T_PlannedOrders[Part Name]=$A1029)*(T_PlannedOrders[WeekIndex]=55)*(T_PlannedOrders[EffectiveQty]&gt;0)*T_PlannedOrders[Order_Month])),"m月")&amp;"発注)")</f>
        <v/>
      </c>
      <c r="BG1035">
        <f>IF(SUMIFS(T_PlannedOrders[EffectiveQty],T_PlannedOrders[Part Name],$A1029,T_PlannedOrders[WeekIndex],56)=0,"",SUMIFS(T_PlannedOrders[EffectiveQty],T_PlannedOrders[Part Name],$A1029,T_PlannedOrders[WeekIndex],56)&amp;" ("&amp;TEXT(SUMPRODUCT(MAX((T_PlannedOrders[Part Name]=$A1029)*(T_PlannedOrders[WeekIndex]=56)*(T_PlannedOrders[EffectiveQty]&gt;0)*T_PlannedOrders[Order_Month])),"m月")&amp;"発注)")</f>
        <v/>
      </c>
      <c r="BH1035">
        <f>IF(SUMIFS(T_PlannedOrders[EffectiveQty],T_PlannedOrders[Part Name],$A1029,T_PlannedOrders[WeekIndex],57)=0,"",SUMIFS(T_PlannedOrders[EffectiveQty],T_PlannedOrders[Part Name],$A1029,T_PlannedOrders[WeekIndex],57)&amp;" ("&amp;TEXT(SUMPRODUCT(MAX((T_PlannedOrders[Part Name]=$A1029)*(T_PlannedOrders[WeekIndex]=57)*(T_PlannedOrders[EffectiveQty]&gt;0)*T_PlannedOrders[Order_Month])),"m月")&amp;"発注)")</f>
        <v/>
      </c>
      <c r="BI1035">
        <f>IF(SUMIFS(T_PlannedOrders[EffectiveQty],T_PlannedOrders[Part Name],$A1029,T_PlannedOrders[WeekIndex],58)=0,"",SUMIFS(T_PlannedOrders[EffectiveQty],T_PlannedOrders[Part Name],$A1029,T_PlannedOrders[WeekIndex],58)&amp;" ("&amp;TEXT(SUMPRODUCT(MAX((T_PlannedOrders[Part Name]=$A1029)*(T_PlannedOrders[WeekIndex]=58)*(T_PlannedOrders[EffectiveQty]&gt;0)*T_PlannedOrders[Order_Month])),"m月")&amp;"発注)")</f>
        <v/>
      </c>
      <c r="BJ1035">
        <f>IF(SUMIFS(T_PlannedOrders[EffectiveQty],T_PlannedOrders[Part Name],$A1029,T_PlannedOrders[WeekIndex],59)=0,"",SUMIFS(T_PlannedOrders[EffectiveQty],T_PlannedOrders[Part Name],$A1029,T_PlannedOrders[WeekIndex],59)&amp;" ("&amp;TEXT(SUMPRODUCT(MAX((T_PlannedOrders[Part Name]=$A1029)*(T_PlannedOrders[WeekIndex]=59)*(T_PlannedOrders[EffectiveQty]&gt;0)*T_PlannedOrders[Order_Month])),"m月")&amp;"発注)")</f>
        <v/>
      </c>
      <c r="BK1035">
        <f>IF(SUMIFS(T_PlannedOrders[EffectiveQty],T_PlannedOrders[Part Name],$A1029,T_PlannedOrders[WeekIndex],60)=0,"",SUMIFS(T_PlannedOrders[EffectiveQty],T_PlannedOrders[Part Name],$A1029,T_PlannedOrders[WeekIndex],60)&amp;" ("&amp;TEXT(SUMPRODUCT(MAX((T_PlannedOrders[Part Name]=$A1029)*(T_PlannedOrders[WeekIndex]=60)*(T_PlannedOrders[EffectiveQty]&gt;0)*T_PlannedOrders[Order_Month])),"m月")&amp;"発注)")</f>
        <v/>
      </c>
      <c r="BL1035">
        <f>IF(SUMIFS(T_PlannedOrders[EffectiveQty],T_PlannedOrders[Part Name],$A1029,T_PlannedOrders[WeekIndex],61)=0,"",SUMIFS(T_PlannedOrders[EffectiveQty],T_PlannedOrders[Part Name],$A1029,T_PlannedOrders[WeekIndex],61)&amp;" ("&amp;TEXT(SUMPRODUCT(MAX((T_PlannedOrders[Part Name]=$A1029)*(T_PlannedOrders[WeekIndex]=61)*(T_PlannedOrders[EffectiveQty]&gt;0)*T_PlannedOrders[Order_Month])),"m月")&amp;"発注)")</f>
        <v/>
      </c>
      <c r="BM1035">
        <f>IF(SUMIFS(T_PlannedOrders[EffectiveQty],T_PlannedOrders[Part Name],$A1029,T_PlannedOrders[WeekIndex],62)=0,"",SUMIFS(T_PlannedOrders[EffectiveQty],T_PlannedOrders[Part Name],$A1029,T_PlannedOrders[WeekIndex],62)&amp;" ("&amp;TEXT(SUMPRODUCT(MAX((T_PlannedOrders[Part Name]=$A1029)*(T_PlannedOrders[WeekIndex]=62)*(T_PlannedOrders[EffectiveQty]&gt;0)*T_PlannedOrders[Order_Month])),"m月")&amp;"発注)")</f>
        <v/>
      </c>
      <c r="BN1035">
        <f>IF(SUMIFS(T_PlannedOrders[EffectiveQty],T_PlannedOrders[Part Name],$A1029,T_PlannedOrders[WeekIndex],63)=0,"",SUMIFS(T_PlannedOrders[EffectiveQty],T_PlannedOrders[Part Name],$A1029,T_PlannedOrders[WeekIndex],63)&amp;" ("&amp;TEXT(SUMPRODUCT(MAX((T_PlannedOrders[Part Name]=$A1029)*(T_PlannedOrders[WeekIndex]=63)*(T_PlannedOrders[EffectiveQty]&gt;0)*T_PlannedOrders[Order_Month])),"m月")&amp;"発注)")</f>
        <v/>
      </c>
      <c r="BO1035">
        <f>IF(SUMIFS(T_PlannedOrders[EffectiveQty],T_PlannedOrders[Part Name],$A1029,T_PlannedOrders[WeekIndex],64)=0,"",SUMIFS(T_PlannedOrders[EffectiveQty],T_PlannedOrders[Part Name],$A1029,T_PlannedOrders[WeekIndex],64)&amp;" ("&amp;TEXT(SUMPRODUCT(MAX((T_PlannedOrders[Part Name]=$A1029)*(T_PlannedOrders[WeekIndex]=64)*(T_PlannedOrders[EffectiveQty]&gt;0)*T_PlannedOrders[Order_Month])),"m月")&amp;"発注)")</f>
        <v/>
      </c>
      <c r="BP1035">
        <f>IF(SUMIFS(T_PlannedOrders[EffectiveQty],T_PlannedOrders[Part Name],$A1029,T_PlannedOrders[WeekIndex],65)=0,"",SUMIFS(T_PlannedOrders[EffectiveQty],T_PlannedOrders[Part Name],$A1029,T_PlannedOrders[WeekIndex],65)&amp;" ("&amp;TEXT(SUMPRODUCT(MAX((T_PlannedOrders[Part Name]=$A1029)*(T_PlannedOrders[WeekIndex]=65)*(T_PlannedOrders[EffectiveQty]&gt;0)*T_PlannedOrders[Order_Month])),"m月")&amp;"発注)")</f>
        <v/>
      </c>
      <c r="BQ1035">
        <f>IF(SUMIFS(T_PlannedOrders[EffectiveQty],T_PlannedOrders[Part Name],$A1029,T_PlannedOrders[WeekIndex],66)=0,"",SUMIFS(T_PlannedOrders[EffectiveQty],T_PlannedOrders[Part Name],$A1029,T_PlannedOrders[WeekIndex],66)&amp;" ("&amp;TEXT(SUMPRODUCT(MAX((T_PlannedOrders[Part Name]=$A1029)*(T_PlannedOrders[WeekIndex]=66)*(T_PlannedOrders[EffectiveQty]&gt;0)*T_PlannedOrders[Order_Month])),"m月")&amp;"発注)")</f>
        <v/>
      </c>
      <c r="BR1035">
        <f>IF(SUMIFS(T_PlannedOrders[EffectiveQty],T_PlannedOrders[Part Name],$A1029,T_PlannedOrders[WeekIndex],67)=0,"",SUMIFS(T_PlannedOrders[EffectiveQty],T_PlannedOrders[Part Name],$A1029,T_PlannedOrders[WeekIndex],67)&amp;" ("&amp;TEXT(SUMPRODUCT(MAX((T_PlannedOrders[Part Name]=$A1029)*(T_PlannedOrders[WeekIndex]=67)*(T_PlannedOrders[EffectiveQty]&gt;0)*T_PlannedOrders[Order_Month])),"m月")&amp;"発注)")</f>
        <v/>
      </c>
      <c r="BS1035">
        <f>IF(SUMIFS(T_PlannedOrders[EffectiveQty],T_PlannedOrders[Part Name],$A1029,T_PlannedOrders[WeekIndex],68)=0,"",SUMIFS(T_PlannedOrders[EffectiveQty],T_PlannedOrders[Part Name],$A1029,T_PlannedOrders[WeekIndex],68)&amp;" ("&amp;TEXT(SUMPRODUCT(MAX((T_PlannedOrders[Part Name]=$A1029)*(T_PlannedOrders[WeekIndex]=68)*(T_PlannedOrders[EffectiveQty]&gt;0)*T_PlannedOrders[Order_Month])),"m月")&amp;"発注)")</f>
        <v/>
      </c>
      <c r="BT1035">
        <f>IF(SUMIFS(T_PlannedOrders[EffectiveQty],T_PlannedOrders[Part Name],$A1029,T_PlannedOrders[WeekIndex],69)=0,"",SUMIFS(T_PlannedOrders[EffectiveQty],T_PlannedOrders[Part Name],$A1029,T_PlannedOrders[WeekIndex],69)&amp;" ("&amp;TEXT(SUMPRODUCT(MAX((T_PlannedOrders[Part Name]=$A1029)*(T_PlannedOrders[WeekIndex]=69)*(T_PlannedOrders[EffectiveQty]&gt;0)*T_PlannedOrders[Order_Month])),"m月")&amp;"発注)")</f>
        <v/>
      </c>
      <c r="BU1035">
        <f>IF(SUMIFS(T_PlannedOrders[EffectiveQty],T_PlannedOrders[Part Name],$A1029,T_PlannedOrders[WeekIndex],70)=0,"",SUMIFS(T_PlannedOrders[EffectiveQty],T_PlannedOrders[Part Name],$A1029,T_PlannedOrders[WeekIndex],70)&amp;" ("&amp;TEXT(SUMPRODUCT(MAX((T_PlannedOrders[Part Name]=$A1029)*(T_PlannedOrders[WeekIndex]=70)*(T_PlannedOrders[EffectiveQty]&gt;0)*T_PlannedOrders[Order_Month])),"m月")&amp;"発注)")</f>
        <v/>
      </c>
      <c r="BV1035">
        <f>IF(SUMIFS(T_PlannedOrders[EffectiveQty],T_PlannedOrders[Part Name],$A1029,T_PlannedOrders[WeekIndex],71)=0,"",SUMIFS(T_PlannedOrders[EffectiveQty],T_PlannedOrders[Part Name],$A1029,T_PlannedOrders[WeekIndex],71)&amp;" ("&amp;TEXT(SUMPRODUCT(MAX((T_PlannedOrders[Part Name]=$A1029)*(T_PlannedOrders[WeekIndex]=71)*(T_PlannedOrders[EffectiveQty]&gt;0)*T_PlannedOrders[Order_Month])),"m月")&amp;"発注)")</f>
        <v/>
      </c>
      <c r="BW1035">
        <f>IF(SUMIFS(T_PlannedOrders[EffectiveQty],T_PlannedOrders[Part Name],$A1029,T_PlannedOrders[WeekIndex],72)=0,"",SUMIFS(T_PlannedOrders[EffectiveQty],T_PlannedOrders[Part Name],$A1029,T_PlannedOrders[WeekIndex],72)&amp;" ("&amp;TEXT(SUMPRODUCT(MAX((T_PlannedOrders[Part Name]=$A1029)*(T_PlannedOrders[WeekIndex]=72)*(T_PlannedOrders[EffectiveQty]&gt;0)*T_PlannedOrders[Order_Month])),"m月")&amp;"発注)")</f>
        <v/>
      </c>
      <c r="BX1035">
        <f>IF(SUMIFS(T_PlannedOrders[EffectiveQty],T_PlannedOrders[Part Name],$A1029,T_PlannedOrders[WeekIndex],73)=0,"",SUMIFS(T_PlannedOrders[EffectiveQty],T_PlannedOrders[Part Name],$A1029,T_PlannedOrders[WeekIndex],73)&amp;" ("&amp;TEXT(SUMPRODUCT(MAX((T_PlannedOrders[Part Name]=$A1029)*(T_PlannedOrders[WeekIndex]=73)*(T_PlannedOrders[EffectiveQty]&gt;0)*T_PlannedOrders[Order_Month])),"m月")&amp;"発注)")</f>
        <v/>
      </c>
      <c r="BY1035">
        <f>IF(SUMIFS(T_PlannedOrders[EffectiveQty],T_PlannedOrders[Part Name],$A1029,T_PlannedOrders[WeekIndex],74)=0,"",SUMIFS(T_PlannedOrders[EffectiveQty],T_PlannedOrders[Part Name],$A1029,T_PlannedOrders[WeekIndex],74)&amp;" ("&amp;TEXT(SUMPRODUCT(MAX((T_PlannedOrders[Part Name]=$A1029)*(T_PlannedOrders[WeekIndex]=74)*(T_PlannedOrders[EffectiveQty]&gt;0)*T_PlannedOrders[Order_Month])),"m月")&amp;"発注)")</f>
        <v/>
      </c>
      <c r="BZ1035">
        <f>IF(SUMIFS(T_PlannedOrders[EffectiveQty],T_PlannedOrders[Part Name],$A1029,T_PlannedOrders[WeekIndex],75)=0,"",SUMIFS(T_PlannedOrders[EffectiveQty],T_PlannedOrders[Part Name],$A1029,T_PlannedOrders[WeekIndex],75)&amp;" ("&amp;TEXT(SUMPRODUCT(MAX((T_PlannedOrders[Part Name]=$A1029)*(T_PlannedOrders[WeekIndex]=75)*(T_PlannedOrders[EffectiveQty]&gt;0)*T_PlannedOrders[Order_Month])),"m月")&amp;"発注)")</f>
        <v/>
      </c>
      <c r="CA1035">
        <f>IF(SUMIFS(T_PlannedOrders[EffectiveQty],T_PlannedOrders[Part Name],$A1029,T_PlannedOrders[WeekIndex],76)=0,"",SUMIFS(T_PlannedOrders[EffectiveQty],T_PlannedOrders[Part Name],$A1029,T_PlannedOrders[WeekIndex],76)&amp;" ("&amp;TEXT(SUMPRODUCT(MAX((T_PlannedOrders[Part Name]=$A1029)*(T_PlannedOrders[WeekIndex]=76)*(T_PlannedOrders[EffectiveQty]&gt;0)*T_PlannedOrders[Order_Month])),"m月")&amp;"発注)")</f>
        <v/>
      </c>
      <c r="CB1035">
        <f>IF(SUMIFS(T_PlannedOrders[EffectiveQty],T_PlannedOrders[Part Name],$A1029,T_PlannedOrders[WeekIndex],77)=0,"",SUMIFS(T_PlannedOrders[EffectiveQty],T_PlannedOrders[Part Name],$A1029,T_PlannedOrders[WeekIndex],77)&amp;" ("&amp;TEXT(SUMPRODUCT(MAX((T_PlannedOrders[Part Name]=$A1029)*(T_PlannedOrders[WeekIndex]=77)*(T_PlannedOrders[EffectiveQty]&gt;0)*T_PlannedOrders[Order_Month])),"m月")&amp;"発注)")</f>
        <v/>
      </c>
      <c r="CC1035">
        <f>IF(SUMIFS(T_PlannedOrders[EffectiveQty],T_PlannedOrders[Part Name],$A1029,T_PlannedOrders[WeekIndex],78)=0,"",SUMIFS(T_PlannedOrders[EffectiveQty],T_PlannedOrders[Part Name],$A1029,T_PlannedOrders[WeekIndex],78)&amp;" ("&amp;TEXT(SUMPRODUCT(MAX((T_PlannedOrders[Part Name]=$A1029)*(T_PlannedOrders[WeekIndex]=78)*(T_PlannedOrders[EffectiveQty]&gt;0)*T_PlannedOrders[Order_Month])),"m月")&amp;"発注)")</f>
        <v/>
      </c>
      <c r="CD1035">
        <f>IF(SUMIFS(T_PlannedOrders[EffectiveQty],T_PlannedOrders[Part Name],$A1029,T_PlannedOrders[WeekIndex],79)=0,"",SUMIFS(T_PlannedOrders[EffectiveQty],T_PlannedOrders[Part Name],$A1029,T_PlannedOrders[WeekIndex],79)&amp;" ("&amp;TEXT(SUMPRODUCT(MAX((T_PlannedOrders[Part Name]=$A1029)*(T_PlannedOrders[WeekIndex]=79)*(T_PlannedOrders[EffectiveQty]&gt;0)*T_PlannedOrders[Order_Month])),"m月")&amp;"発注)")</f>
        <v/>
      </c>
      <c r="CE1035">
        <f>IF(SUMIFS(T_PlannedOrders[EffectiveQty],T_PlannedOrders[Part Name],$A1029,T_PlannedOrders[WeekIndex],80)=0,"",SUMIFS(T_PlannedOrders[EffectiveQty],T_PlannedOrders[Part Name],$A1029,T_PlannedOrders[WeekIndex],80)&amp;" ("&amp;TEXT(SUMPRODUCT(MAX((T_PlannedOrders[Part Name]=$A1029)*(T_PlannedOrders[WeekIndex]=80)*(T_PlannedOrders[EffectiveQty]&gt;0)*T_PlannedOrders[Order_Month])),"m月")&amp;"発注)")</f>
        <v/>
      </c>
      <c r="CF1035">
        <f>IF(SUMIFS(T_PlannedOrders[EffectiveQty],T_PlannedOrders[Part Name],$A1029,T_PlannedOrders[WeekIndex],81)=0,"",SUMIFS(T_PlannedOrders[EffectiveQty],T_PlannedOrders[Part Name],$A1029,T_PlannedOrders[WeekIndex],81)&amp;" ("&amp;TEXT(SUMPRODUCT(MAX((T_PlannedOrders[Part Name]=$A1029)*(T_PlannedOrders[WeekIndex]=81)*(T_PlannedOrders[EffectiveQty]&gt;0)*T_PlannedOrders[Order_Month])),"m月")&amp;"発注)")</f>
        <v/>
      </c>
      <c r="CG1035">
        <f>IF(SUMIFS(T_PlannedOrders[EffectiveQty],T_PlannedOrders[Part Name],$A1029,T_PlannedOrders[WeekIndex],82)=0,"",SUMIFS(T_PlannedOrders[EffectiveQty],T_PlannedOrders[Part Name],$A1029,T_PlannedOrders[WeekIndex],82)&amp;" ("&amp;TEXT(SUMPRODUCT(MAX((T_PlannedOrders[Part Name]=$A1029)*(T_PlannedOrders[WeekIndex]=82)*(T_PlannedOrders[EffectiveQty]&gt;0)*T_PlannedOrders[Order_Month])),"m月")&amp;"発注)")</f>
        <v/>
      </c>
      <c r="CH1035">
        <f>IF(SUMIFS(T_PlannedOrders[EffectiveQty],T_PlannedOrders[Part Name],$A1029,T_PlannedOrders[WeekIndex],83)=0,"",SUMIFS(T_PlannedOrders[EffectiveQty],T_PlannedOrders[Part Name],$A1029,T_PlannedOrders[WeekIndex],83)&amp;" ("&amp;TEXT(SUMPRODUCT(MAX((T_PlannedOrders[Part Name]=$A1029)*(T_PlannedOrders[WeekIndex]=83)*(T_PlannedOrders[EffectiveQty]&gt;0)*T_PlannedOrders[Order_Month])),"m月")&amp;"発注)")</f>
        <v/>
      </c>
      <c r="CI1035">
        <f>IF(SUMIFS(T_PlannedOrders[EffectiveQty],T_PlannedOrders[Part Name],$A1029,T_PlannedOrders[WeekIndex],84)=0,"",SUMIFS(T_PlannedOrders[EffectiveQty],T_PlannedOrders[Part Name],$A1029,T_PlannedOrders[WeekIndex],84)&amp;" ("&amp;TEXT(SUMPRODUCT(MAX((T_PlannedOrders[Part Name]=$A1029)*(T_PlannedOrders[WeekIndex]=84)*(T_PlannedOrders[EffectiveQty]&gt;0)*T_PlannedOrders[Order_Month])),"m月")&amp;"発注)")</f>
        <v/>
      </c>
      <c r="CJ1035">
        <f>IF(SUMIFS(T_PlannedOrders[EffectiveQty],T_PlannedOrders[Part Name],$A1029,T_PlannedOrders[WeekIndex],85)=0,"",SUMIFS(T_PlannedOrders[EffectiveQty],T_PlannedOrders[Part Name],$A1029,T_PlannedOrders[WeekIndex],85)&amp;" ("&amp;TEXT(SUMPRODUCT(MAX((T_PlannedOrders[Part Name]=$A1029)*(T_PlannedOrders[WeekIndex]=85)*(T_PlannedOrders[EffectiveQty]&gt;0)*T_PlannedOrders[Order_Month])),"m月")&amp;"発注)")</f>
        <v/>
      </c>
      <c r="CK1035">
        <f>IF(SUMIFS(T_PlannedOrders[EffectiveQty],T_PlannedOrders[Part Name],$A1029,T_PlannedOrders[WeekIndex],86)=0,"",SUMIFS(T_PlannedOrders[EffectiveQty],T_PlannedOrders[Part Name],$A1029,T_PlannedOrders[WeekIndex],86)&amp;" ("&amp;TEXT(SUMPRODUCT(MAX((T_PlannedOrders[Part Name]=$A1029)*(T_PlannedOrders[WeekIndex]=86)*(T_PlannedOrders[EffectiveQty]&gt;0)*T_PlannedOrders[Order_Month])),"m月")&amp;"発注)")</f>
        <v/>
      </c>
      <c r="CL1035">
        <f>IF(SUMIFS(T_PlannedOrders[EffectiveQty],T_PlannedOrders[Part Name],$A1029,T_PlannedOrders[WeekIndex],87)=0,"",SUMIFS(T_PlannedOrders[EffectiveQty],T_PlannedOrders[Part Name],$A1029,T_PlannedOrders[WeekIndex],87)&amp;" ("&amp;TEXT(SUMPRODUCT(MAX((T_PlannedOrders[Part Name]=$A1029)*(T_PlannedOrders[WeekIndex]=87)*(T_PlannedOrders[EffectiveQty]&gt;0)*T_PlannedOrders[Order_Month])),"m月")&amp;"発注)")</f>
        <v/>
      </c>
      <c r="CM1035">
        <f>IF(SUMIFS(T_PlannedOrders[EffectiveQty],T_PlannedOrders[Part Name],$A1029,T_PlannedOrders[WeekIndex],88)=0,"",SUMIFS(T_PlannedOrders[EffectiveQty],T_PlannedOrders[Part Name],$A1029,T_PlannedOrders[WeekIndex],88)&amp;" ("&amp;TEXT(SUMPRODUCT(MAX((T_PlannedOrders[Part Name]=$A1029)*(T_PlannedOrders[WeekIndex]=88)*(T_PlannedOrders[EffectiveQty]&gt;0)*T_PlannedOrders[Order_Month])),"m月")&amp;"発注)")</f>
        <v/>
      </c>
      <c r="CN1035">
        <f>IF(SUMIFS(T_PlannedOrders[EffectiveQty],T_PlannedOrders[Part Name],$A1029,T_PlannedOrders[WeekIndex],89)=0,"",SUMIFS(T_PlannedOrders[EffectiveQty],T_PlannedOrders[Part Name],$A1029,T_PlannedOrders[WeekIndex],89)&amp;" ("&amp;TEXT(SUMPRODUCT(MAX((T_PlannedOrders[Part Name]=$A1029)*(T_PlannedOrders[WeekIndex]=89)*(T_PlannedOrders[EffectiveQty]&gt;0)*T_PlannedOrders[Order_Month])),"m月")&amp;"発注)")</f>
        <v/>
      </c>
      <c r="CO1035">
        <f>IF(SUMIFS(T_PlannedOrders[EffectiveQty],T_PlannedOrders[Part Name],$A1029,T_PlannedOrders[WeekIndex],90)=0,"",SUMIFS(T_PlannedOrders[EffectiveQty],T_PlannedOrders[Part Name],$A1029,T_PlannedOrders[WeekIndex],90)&amp;" ("&amp;TEXT(SUMPRODUCT(MAX((T_PlannedOrders[Part Name]=$A1029)*(T_PlannedOrders[WeekIndex]=90)*(T_PlannedOrders[EffectiveQty]&gt;0)*T_PlannedOrders[Order_Month])),"m月")&amp;"発注)")</f>
        <v/>
      </c>
      <c r="CP1035">
        <f>IF(SUMIFS(T_PlannedOrders[EffectiveQty],T_PlannedOrders[Part Name],$A1029,T_PlannedOrders[WeekIndex],91)=0,"",SUMIFS(T_PlannedOrders[EffectiveQty],T_PlannedOrders[Part Name],$A1029,T_PlannedOrders[WeekIndex],91)&amp;" ("&amp;TEXT(SUMPRODUCT(MAX((T_PlannedOrders[Part Name]=$A1029)*(T_PlannedOrders[WeekIndex]=91)*(T_PlannedOrders[EffectiveQty]&gt;0)*T_PlannedOrders[Order_Month])),"m月")&amp;"発注)")</f>
        <v/>
      </c>
      <c r="CQ1035">
        <f>IF(SUMIFS(T_PlannedOrders[EffectiveQty],T_PlannedOrders[Part Name],$A1029,T_PlannedOrders[WeekIndex],92)=0,"",SUMIFS(T_PlannedOrders[EffectiveQty],T_PlannedOrders[Part Name],$A1029,T_PlannedOrders[WeekIndex],92)&amp;" ("&amp;TEXT(SUMPRODUCT(MAX((T_PlannedOrders[Part Name]=$A1029)*(T_PlannedOrders[WeekIndex]=92)*(T_PlannedOrders[EffectiveQty]&gt;0)*T_PlannedOrders[Order_Month])),"m月")&amp;"発注)")</f>
        <v/>
      </c>
      <c r="CR1035">
        <f>IF(SUMIFS(T_PlannedOrders[EffectiveQty],T_PlannedOrders[Part Name],$A1029,T_PlannedOrders[WeekIndex],93)=0,"",SUMIFS(T_PlannedOrders[EffectiveQty],T_PlannedOrders[Part Name],$A1029,T_PlannedOrders[WeekIndex],93)&amp;" ("&amp;TEXT(SUMPRODUCT(MAX((T_PlannedOrders[Part Name]=$A1029)*(T_PlannedOrders[WeekIndex]=93)*(T_PlannedOrders[EffectiveQty]&gt;0)*T_PlannedOrders[Order_Month])),"m月")&amp;"発注)")</f>
        <v/>
      </c>
      <c r="CS1035">
        <f>IF(SUMIFS(T_PlannedOrders[EffectiveQty],T_PlannedOrders[Part Name],$A1029,T_PlannedOrders[WeekIndex],94)=0,"",SUMIFS(T_PlannedOrders[EffectiveQty],T_PlannedOrders[Part Name],$A1029,T_PlannedOrders[WeekIndex],94)&amp;" ("&amp;TEXT(SUMPRODUCT(MAX((T_PlannedOrders[Part Name]=$A1029)*(T_PlannedOrders[WeekIndex]=94)*(T_PlannedOrders[EffectiveQty]&gt;0)*T_PlannedOrders[Order_Month])),"m月")&amp;"発注)")</f>
        <v/>
      </c>
      <c r="CT1035">
        <f>IF(SUMIFS(T_PlannedOrders[EffectiveQty],T_PlannedOrders[Part Name],$A1029,T_PlannedOrders[WeekIndex],95)=0,"",SUMIFS(T_PlannedOrders[EffectiveQty],T_PlannedOrders[Part Name],$A1029,T_PlannedOrders[WeekIndex],95)&amp;" ("&amp;TEXT(SUMPRODUCT(MAX((T_PlannedOrders[Part Name]=$A1029)*(T_PlannedOrders[WeekIndex]=95)*(T_PlannedOrders[EffectiveQty]&gt;0)*T_PlannedOrders[Order_Month])),"m月")&amp;"発注)")</f>
        <v/>
      </c>
      <c r="CU1035">
        <f>IF(SUMIFS(T_PlannedOrders[EffectiveQty],T_PlannedOrders[Part Name],$A1029,T_PlannedOrders[WeekIndex],96)=0,"",SUMIFS(T_PlannedOrders[EffectiveQty],T_PlannedOrders[Part Name],$A1029,T_PlannedOrders[WeekIndex],96)&amp;" ("&amp;TEXT(SUMPRODUCT(MAX((T_PlannedOrders[Part Name]=$A1029)*(T_PlannedOrders[WeekIndex]=96)*(T_PlannedOrders[EffectiveQty]&gt;0)*T_PlannedOrders[Order_Month])),"m月")&amp;"発注)")</f>
        <v/>
      </c>
      <c r="CV1035">
        <f>IF(SUMIFS(T_PlannedOrders[EffectiveQty],T_PlannedOrders[Part Name],$A1029,T_PlannedOrders[WeekIndex],97)=0,"",SUMIFS(T_PlannedOrders[EffectiveQty],T_PlannedOrders[Part Name],$A1029,T_PlannedOrders[WeekIndex],97)&amp;" ("&amp;TEXT(SUMPRODUCT(MAX((T_PlannedOrders[Part Name]=$A1029)*(T_PlannedOrders[WeekIndex]=97)*(T_PlannedOrders[EffectiveQty]&gt;0)*T_PlannedOrders[Order_Month])),"m月")&amp;"発注)")</f>
        <v/>
      </c>
      <c r="CW1035">
        <f>IF(SUMIFS(T_PlannedOrders[EffectiveQty],T_PlannedOrders[Part Name],$A1029,T_PlannedOrders[WeekIndex],98)=0,"",SUMIFS(T_PlannedOrders[EffectiveQty],T_PlannedOrders[Part Name],$A1029,T_PlannedOrders[WeekIndex],98)&amp;" ("&amp;TEXT(SUMPRODUCT(MAX((T_PlannedOrders[Part Name]=$A1029)*(T_PlannedOrders[WeekIndex]=98)*(T_PlannedOrders[EffectiveQty]&gt;0)*T_PlannedOrders[Order_Month])),"m月")&amp;"発注)")</f>
        <v/>
      </c>
      <c r="CX1035">
        <f>IF(SUMIFS(T_PlannedOrders[EffectiveQty],T_PlannedOrders[Part Name],$A1029,T_PlannedOrders[WeekIndex],99)=0,"",SUMIFS(T_PlannedOrders[EffectiveQty],T_PlannedOrders[Part Name],$A1029,T_PlannedOrders[WeekIndex],99)&amp;" ("&amp;TEXT(SUMPRODUCT(MAX((T_PlannedOrders[Part Name]=$A1029)*(T_PlannedOrders[WeekIndex]=99)*(T_PlannedOrders[EffectiveQty]&gt;0)*T_PlannedOrders[Order_Month])),"m月")&amp;"発注)")</f>
        <v/>
      </c>
      <c r="CY1035">
        <f>IF(SUMIFS(T_PlannedOrders[EffectiveQty],T_PlannedOrders[Part Name],$A1029,T_PlannedOrders[WeekIndex],100)=0,"",SUMIFS(T_PlannedOrders[EffectiveQty],T_PlannedOrders[Part Name],$A1029,T_PlannedOrders[WeekIndex],100)&amp;" ("&amp;TEXT(SUMPRODUCT(MAX((T_PlannedOrders[Part Name]=$A1029)*(T_PlannedOrders[WeekIndex]=100)*(T_PlannedOrders[EffectiveQty]&gt;0)*T_PlannedOrders[Order_Month])),"m月")&amp;"発注)")</f>
        <v/>
      </c>
      <c r="CZ1035">
        <f>IF(SUMIFS(T_PlannedOrders[EffectiveQty],T_PlannedOrders[Part Name],$A1029,T_PlannedOrders[WeekIndex],101)=0,"",SUMIFS(T_PlannedOrders[EffectiveQty],T_PlannedOrders[Part Name],$A1029,T_PlannedOrders[WeekIndex],101)&amp;" ("&amp;TEXT(SUMPRODUCT(MAX((T_PlannedOrders[Part Name]=$A1029)*(T_PlannedOrders[WeekIndex]=101)*(T_PlannedOrders[EffectiveQty]&gt;0)*T_PlannedOrders[Order_Month])),"m月")&amp;"発注)")</f>
        <v/>
      </c>
      <c r="DA1035">
        <f>IF(SUMIFS(T_PlannedOrders[EffectiveQty],T_PlannedOrders[Part Name],$A1029,T_PlannedOrders[WeekIndex],102)=0,"",SUMIFS(T_PlannedOrders[EffectiveQty],T_PlannedOrders[Part Name],$A1029,T_PlannedOrders[WeekIndex],102)&amp;" ("&amp;TEXT(SUMPRODUCT(MAX((T_PlannedOrders[Part Name]=$A1029)*(T_PlannedOrders[WeekIndex]=102)*(T_PlannedOrders[EffectiveQty]&gt;0)*T_PlannedOrders[Order_Month])),"m月")&amp;"発注)")</f>
        <v/>
      </c>
      <c r="DB1035">
        <f>IF(SUMIFS(T_PlannedOrders[EffectiveQty],T_PlannedOrders[Part Name],$A1029,T_PlannedOrders[WeekIndex],103)=0,"",SUMIFS(T_PlannedOrders[EffectiveQty],T_PlannedOrders[Part Name],$A1029,T_PlannedOrders[WeekIndex],103)&amp;" ("&amp;TEXT(SUMPRODUCT(MAX((T_PlannedOrders[Part Name]=$A1029)*(T_PlannedOrders[WeekIndex]=103)*(T_PlannedOrders[EffectiveQty]&gt;0)*T_PlannedOrders[Order_Month])),"m月")&amp;"発注)")</f>
        <v/>
      </c>
      <c r="DC1035">
        <f>IF(SUMIFS(T_PlannedOrders[EffectiveQty],T_PlannedOrders[Part Name],$A1029,T_PlannedOrders[WeekIndex],104)=0,"",SUMIFS(T_PlannedOrders[EffectiveQty],T_PlannedOrders[Part Name],$A1029,T_PlannedOrders[WeekIndex],104)&amp;" ("&amp;TEXT(SUMPRODUCT(MAX((T_PlannedOrders[Part Name]=$A1029)*(T_PlannedOrders[WeekIndex]=104)*(T_PlannedOrders[EffectiveQty]&gt;0)*T_PlannedOrders[Order_Month])),"m月")&amp;"発注)")</f>
        <v/>
      </c>
    </row>
    <row r="1036">
      <c r="B1036" s="4" t="inlineStr">
        <is>
          <t>合計在庫(週末時点,kg)</t>
        </is>
      </c>
      <c r="D1036">
        <f>'Grid_Stock'!B40</f>
        <v/>
      </c>
      <c r="E1036">
        <f>'Grid_Stock'!C40</f>
        <v/>
      </c>
      <c r="F1036">
        <f>'Grid_Stock'!D40</f>
        <v/>
      </c>
      <c r="G1036">
        <f>'Grid_Stock'!E40</f>
        <v/>
      </c>
      <c r="H1036">
        <f>'Grid_Stock'!F40</f>
        <v/>
      </c>
      <c r="I1036">
        <f>'Grid_Stock'!G40</f>
        <v/>
      </c>
      <c r="J1036">
        <f>'Grid_Stock'!H40</f>
        <v/>
      </c>
      <c r="K1036">
        <f>'Grid_Stock'!I40</f>
        <v/>
      </c>
      <c r="L1036">
        <f>'Grid_Stock'!J40</f>
        <v/>
      </c>
      <c r="M1036">
        <f>'Grid_Stock'!K40</f>
        <v/>
      </c>
      <c r="N1036">
        <f>'Grid_Stock'!L40</f>
        <v/>
      </c>
      <c r="O1036">
        <f>'Grid_Stock'!M40</f>
        <v/>
      </c>
      <c r="P1036">
        <f>'Grid_Stock'!N40</f>
        <v/>
      </c>
      <c r="Q1036">
        <f>'Grid_Stock'!O40</f>
        <v/>
      </c>
      <c r="R1036">
        <f>'Grid_Stock'!P40</f>
        <v/>
      </c>
      <c r="S1036">
        <f>'Grid_Stock'!Q40</f>
        <v/>
      </c>
      <c r="T1036">
        <f>'Grid_Stock'!R40</f>
        <v/>
      </c>
      <c r="U1036">
        <f>'Grid_Stock'!S40</f>
        <v/>
      </c>
      <c r="V1036">
        <f>'Grid_Stock'!T40</f>
        <v/>
      </c>
      <c r="W1036">
        <f>'Grid_Stock'!U40</f>
        <v/>
      </c>
      <c r="X1036">
        <f>'Grid_Stock'!V40</f>
        <v/>
      </c>
      <c r="Y1036">
        <f>'Grid_Stock'!W40</f>
        <v/>
      </c>
      <c r="Z1036">
        <f>'Grid_Stock'!X40</f>
        <v/>
      </c>
      <c r="AA1036">
        <f>'Grid_Stock'!Y40</f>
        <v/>
      </c>
      <c r="AB1036">
        <f>'Grid_Stock'!Z40</f>
        <v/>
      </c>
      <c r="AC1036">
        <f>'Grid_Stock'!AA40</f>
        <v/>
      </c>
      <c r="AD1036">
        <f>'Grid_Stock'!AB40</f>
        <v/>
      </c>
      <c r="AE1036">
        <f>'Grid_Stock'!AC40</f>
        <v/>
      </c>
      <c r="AF1036">
        <f>'Grid_Stock'!AD40</f>
        <v/>
      </c>
      <c r="AG1036">
        <f>'Grid_Stock'!AE40</f>
        <v/>
      </c>
      <c r="AH1036">
        <f>'Grid_Stock'!AF40</f>
        <v/>
      </c>
      <c r="AI1036">
        <f>'Grid_Stock'!AG40</f>
        <v/>
      </c>
      <c r="AJ1036">
        <f>'Grid_Stock'!AH40</f>
        <v/>
      </c>
      <c r="AK1036">
        <f>'Grid_Stock'!AI40</f>
        <v/>
      </c>
      <c r="AL1036">
        <f>'Grid_Stock'!AJ40</f>
        <v/>
      </c>
      <c r="AM1036">
        <f>'Grid_Stock'!AK40</f>
        <v/>
      </c>
      <c r="AN1036">
        <f>'Grid_Stock'!AL40</f>
        <v/>
      </c>
      <c r="AO1036">
        <f>'Grid_Stock'!AM40</f>
        <v/>
      </c>
      <c r="AP1036">
        <f>'Grid_Stock'!AN40</f>
        <v/>
      </c>
      <c r="AQ1036">
        <f>'Grid_Stock'!AO40</f>
        <v/>
      </c>
      <c r="AR1036">
        <f>'Grid_Stock'!AP40</f>
        <v/>
      </c>
      <c r="AS1036">
        <f>'Grid_Stock'!AQ40</f>
        <v/>
      </c>
      <c r="AT1036">
        <f>'Grid_Stock'!AR40</f>
        <v/>
      </c>
      <c r="AU1036">
        <f>'Grid_Stock'!AS40</f>
        <v/>
      </c>
      <c r="AV1036">
        <f>'Grid_Stock'!AT40</f>
        <v/>
      </c>
      <c r="AW1036">
        <f>'Grid_Stock'!AU40</f>
        <v/>
      </c>
      <c r="AX1036">
        <f>'Grid_Stock'!AV40</f>
        <v/>
      </c>
      <c r="AY1036">
        <f>'Grid_Stock'!AW40</f>
        <v/>
      </c>
      <c r="AZ1036">
        <f>'Grid_Stock'!AX40</f>
        <v/>
      </c>
      <c r="BA1036">
        <f>'Grid_Stock'!AY40</f>
        <v/>
      </c>
      <c r="BB1036">
        <f>'Grid_Stock'!AZ40</f>
        <v/>
      </c>
      <c r="BC1036">
        <f>'Grid_Stock'!BA40</f>
        <v/>
      </c>
      <c r="BD1036">
        <f>'Grid_Stock'!BB40</f>
        <v/>
      </c>
      <c r="BE1036">
        <f>'Grid_Stock'!BC40</f>
        <v/>
      </c>
      <c r="BF1036">
        <f>'Grid_Stock'!BD40</f>
        <v/>
      </c>
      <c r="BG1036">
        <f>'Grid_Stock'!BE40</f>
        <v/>
      </c>
      <c r="BH1036">
        <f>'Grid_Stock'!BF40</f>
        <v/>
      </c>
      <c r="BI1036">
        <f>'Grid_Stock'!BG40</f>
        <v/>
      </c>
      <c r="BJ1036">
        <f>'Grid_Stock'!BH40</f>
        <v/>
      </c>
      <c r="BK1036">
        <f>'Grid_Stock'!BI40</f>
        <v/>
      </c>
      <c r="BL1036">
        <f>'Grid_Stock'!BJ40</f>
        <v/>
      </c>
      <c r="BM1036">
        <f>'Grid_Stock'!BK40</f>
        <v/>
      </c>
      <c r="BN1036">
        <f>'Grid_Stock'!BL40</f>
        <v/>
      </c>
      <c r="BO1036">
        <f>'Grid_Stock'!BM40</f>
        <v/>
      </c>
      <c r="BP1036">
        <f>'Grid_Stock'!BN40</f>
        <v/>
      </c>
      <c r="BQ1036">
        <f>'Grid_Stock'!BO40</f>
        <v/>
      </c>
      <c r="BR1036">
        <f>'Grid_Stock'!BP40</f>
        <v/>
      </c>
      <c r="BS1036">
        <f>'Grid_Stock'!BQ40</f>
        <v/>
      </c>
      <c r="BT1036">
        <f>'Grid_Stock'!BR40</f>
        <v/>
      </c>
      <c r="BU1036">
        <f>'Grid_Stock'!BS40</f>
        <v/>
      </c>
      <c r="BV1036">
        <f>'Grid_Stock'!BT40</f>
        <v/>
      </c>
      <c r="BW1036">
        <f>'Grid_Stock'!BU40</f>
        <v/>
      </c>
      <c r="BX1036">
        <f>'Grid_Stock'!BV40</f>
        <v/>
      </c>
      <c r="BY1036">
        <f>'Grid_Stock'!BW40</f>
        <v/>
      </c>
      <c r="BZ1036">
        <f>'Grid_Stock'!BX40</f>
        <v/>
      </c>
      <c r="CA1036">
        <f>'Grid_Stock'!BY40</f>
        <v/>
      </c>
      <c r="CB1036">
        <f>'Grid_Stock'!BZ40</f>
        <v/>
      </c>
      <c r="CC1036">
        <f>'Grid_Stock'!CA40</f>
        <v/>
      </c>
      <c r="CD1036">
        <f>'Grid_Stock'!CB40</f>
        <v/>
      </c>
      <c r="CE1036">
        <f>'Grid_Stock'!CC40</f>
        <v/>
      </c>
      <c r="CF1036">
        <f>'Grid_Stock'!CD40</f>
        <v/>
      </c>
      <c r="CG1036">
        <f>'Grid_Stock'!CE40</f>
        <v/>
      </c>
      <c r="CH1036">
        <f>'Grid_Stock'!CF40</f>
        <v/>
      </c>
      <c r="CI1036">
        <f>'Grid_Stock'!CG40</f>
        <v/>
      </c>
      <c r="CJ1036">
        <f>'Grid_Stock'!CH40</f>
        <v/>
      </c>
      <c r="CK1036">
        <f>'Grid_Stock'!CI40</f>
        <v/>
      </c>
      <c r="CL1036">
        <f>'Grid_Stock'!CJ40</f>
        <v/>
      </c>
      <c r="CM1036">
        <f>'Grid_Stock'!CK40</f>
        <v/>
      </c>
      <c r="CN1036">
        <f>'Grid_Stock'!CL40</f>
        <v/>
      </c>
      <c r="CO1036">
        <f>'Grid_Stock'!CM40</f>
        <v/>
      </c>
      <c r="CP1036">
        <f>'Grid_Stock'!CN40</f>
        <v/>
      </c>
      <c r="CQ1036">
        <f>'Grid_Stock'!CO40</f>
        <v/>
      </c>
      <c r="CR1036">
        <f>'Grid_Stock'!CP40</f>
        <v/>
      </c>
      <c r="CS1036">
        <f>'Grid_Stock'!CQ40</f>
        <v/>
      </c>
      <c r="CT1036">
        <f>'Grid_Stock'!CR40</f>
        <v/>
      </c>
      <c r="CU1036">
        <f>'Grid_Stock'!CS40</f>
        <v/>
      </c>
      <c r="CV1036">
        <f>'Grid_Stock'!CT40</f>
        <v/>
      </c>
      <c r="CW1036">
        <f>'Grid_Stock'!CU40</f>
        <v/>
      </c>
      <c r="CX1036">
        <f>'Grid_Stock'!CV40</f>
        <v/>
      </c>
      <c r="CY1036">
        <f>'Grid_Stock'!CW40</f>
        <v/>
      </c>
      <c r="CZ1036">
        <f>'Grid_Stock'!CX40</f>
        <v/>
      </c>
      <c r="DA1036">
        <f>'Grid_Stock'!CY40</f>
        <v/>
      </c>
      <c r="DB1036">
        <f>'Grid_Stock'!CZ40</f>
        <v/>
      </c>
      <c r="DC1036">
        <f>'Grid_Stock'!DA40</f>
        <v/>
      </c>
    </row>
    <row r="1037">
      <c r="B1037" s="16" t="inlineStr">
        <is>
          <t>（発注の目安はDashboardの基準在庫[下限/上限]と色分けを参照）</t>
        </is>
      </c>
    </row>
    <row r="1039">
      <c r="A1039" s="14" t="inlineStr">
        <is>
          <t>TDJ</t>
        </is>
      </c>
      <c r="B1039" s="14" t="inlineStr">
        <is>
          <t>(11R-08) TP156- 103-130*TG</t>
        </is>
      </c>
      <c r="C1039" s="15" t="n"/>
      <c r="D1039" s="14" t="n"/>
      <c r="E1039" s="14" t="n"/>
      <c r="F1039" s="14" t="n"/>
      <c r="G1039" s="14" t="n"/>
      <c r="H1039" s="14" t="n"/>
      <c r="I1039" s="14" t="n"/>
      <c r="J1039" s="14" t="n"/>
      <c r="K1039" s="14" t="n"/>
      <c r="L1039" s="14" t="n"/>
      <c r="M1039" s="14" t="n"/>
      <c r="N1039" s="14" t="n"/>
      <c r="O1039" s="14" t="n"/>
      <c r="P1039" s="14" t="n"/>
      <c r="Q1039" s="14" t="n"/>
      <c r="R1039" s="14" t="n"/>
      <c r="S1039" s="14" t="n"/>
      <c r="T1039" s="14" t="n"/>
      <c r="U1039" s="14" t="n"/>
      <c r="V1039" s="14" t="n"/>
      <c r="W1039" s="14" t="n"/>
      <c r="X1039" s="14" t="n"/>
      <c r="Y1039" s="14" t="n"/>
      <c r="Z1039" s="14" t="n"/>
      <c r="AA1039" s="14" t="n"/>
      <c r="AB1039" s="14" t="n"/>
      <c r="AC1039" s="14" t="n"/>
      <c r="AD1039" s="14" t="n"/>
      <c r="AE1039" s="14" t="n"/>
      <c r="AF1039" s="14" t="n"/>
      <c r="AG1039" s="14" t="n"/>
      <c r="AH1039" s="14" t="n"/>
      <c r="AI1039" s="14" t="n"/>
      <c r="AJ1039" s="14" t="n"/>
      <c r="AK1039" s="14" t="n"/>
      <c r="AL1039" s="14" t="n"/>
      <c r="AM1039" s="14" t="n"/>
      <c r="AN1039" s="14" t="n"/>
      <c r="AO1039" s="14" t="n"/>
      <c r="AP1039" s="14" t="n"/>
      <c r="AQ1039" s="14" t="n"/>
      <c r="AR1039" s="14" t="n"/>
      <c r="AS1039" s="14" t="n"/>
      <c r="AT1039" s="14" t="n"/>
      <c r="AU1039" s="14" t="n"/>
      <c r="AV1039" s="14" t="n"/>
      <c r="AW1039" s="14" t="n"/>
      <c r="AX1039" s="14" t="n"/>
      <c r="AY1039" s="14" t="n"/>
      <c r="AZ1039" s="14" t="n"/>
      <c r="BA1039" s="14" t="n"/>
      <c r="BB1039" s="14" t="n"/>
      <c r="BC1039" s="14" t="n"/>
      <c r="BD1039" s="14" t="n"/>
      <c r="BE1039" s="14" t="n"/>
      <c r="BF1039" s="14" t="n"/>
      <c r="BG1039" s="14" t="n"/>
      <c r="BH1039" s="14" t="n"/>
      <c r="BI1039" s="14" t="n"/>
      <c r="BJ1039" s="14" t="n"/>
      <c r="BK1039" s="14" t="n"/>
      <c r="BL1039" s="14" t="n"/>
      <c r="BM1039" s="14" t="n"/>
      <c r="BN1039" s="14" t="n"/>
      <c r="BO1039" s="14" t="n"/>
      <c r="BP1039" s="14" t="n"/>
      <c r="BQ1039" s="14" t="n"/>
      <c r="BR1039" s="14" t="n"/>
      <c r="BS1039" s="14" t="n"/>
      <c r="BT1039" s="14" t="n"/>
      <c r="BU1039" s="14" t="n"/>
      <c r="BV1039" s="14" t="n"/>
      <c r="BW1039" s="14" t="n"/>
      <c r="BX1039" s="14" t="n"/>
      <c r="BY1039" s="14" t="n"/>
      <c r="BZ1039" s="14" t="n"/>
      <c r="CA1039" s="14" t="n"/>
      <c r="CB1039" s="14" t="n"/>
      <c r="CC1039" s="14" t="n"/>
      <c r="CD1039" s="14" t="n"/>
      <c r="CE1039" s="14" t="n"/>
      <c r="CF1039" s="14" t="n"/>
      <c r="CG1039" s="14" t="n"/>
      <c r="CH1039" s="14" t="n"/>
      <c r="CI1039" s="14" t="n"/>
      <c r="CJ1039" s="14" t="n"/>
      <c r="CK1039" s="14" t="n"/>
      <c r="CL1039" s="14" t="n"/>
      <c r="CM1039" s="14" t="n"/>
      <c r="CN1039" s="14" t="n"/>
      <c r="CO1039" s="14" t="n"/>
      <c r="CP1039" s="14" t="n"/>
      <c r="CQ1039" s="14" t="n"/>
      <c r="CR1039" s="14" t="n"/>
      <c r="CS1039" s="14" t="n"/>
      <c r="CT1039" s="14" t="n"/>
      <c r="CU1039" s="14" t="n"/>
      <c r="CV1039" s="14" t="n"/>
      <c r="CW1039" s="14" t="n"/>
      <c r="CX1039" s="14" t="n"/>
      <c r="CY1039" s="14" t="n"/>
      <c r="CZ1039" s="14" t="n"/>
      <c r="DA1039" s="14" t="n"/>
      <c r="DB1039" s="14" t="n"/>
      <c r="DC1039" s="14" t="n"/>
    </row>
    <row r="1040">
      <c r="B1040" t="inlineStr">
        <is>
          <t>0TA30</t>
        </is>
      </c>
      <c r="C1040" t="inlineStr">
        <is>
          <t>No. of batches</t>
        </is>
      </c>
      <c r="D1040">
        <f>IFERROR(INDEX(PP_Grid[#Data],$DD1040,2),0)</f>
        <v/>
      </c>
      <c r="E1040">
        <f>IFERROR(INDEX(PP_Grid[#Data],$DD1040,3),0)</f>
        <v/>
      </c>
      <c r="F1040">
        <f>IFERROR(INDEX(PP_Grid[#Data],$DD1040,4),0)</f>
        <v/>
      </c>
      <c r="G1040">
        <f>IFERROR(INDEX(PP_Grid[#Data],$DD1040,5),0)</f>
        <v/>
      </c>
      <c r="H1040">
        <f>IFERROR(INDEX(PP_Grid[#Data],$DD1040,6),0)</f>
        <v/>
      </c>
      <c r="I1040">
        <f>IFERROR(INDEX(PP_Grid[#Data],$DD1040,7),0)</f>
        <v/>
      </c>
      <c r="J1040">
        <f>IFERROR(INDEX(PP_Grid[#Data],$DD1040,8),0)</f>
        <v/>
      </c>
      <c r="K1040">
        <f>IFERROR(INDEX(PP_Grid[#Data],$DD1040,9),0)</f>
        <v/>
      </c>
      <c r="L1040">
        <f>IFERROR(INDEX(PP_Grid[#Data],$DD1040,10),0)</f>
        <v/>
      </c>
      <c r="M1040">
        <f>IFERROR(INDEX(PP_Grid[#Data],$DD1040,11),0)</f>
        <v/>
      </c>
      <c r="N1040">
        <f>IFERROR(INDEX(PP_Grid[#Data],$DD1040,12),0)</f>
        <v/>
      </c>
      <c r="O1040">
        <f>IFERROR(INDEX(PP_Grid[#Data],$DD1040,13),0)</f>
        <v/>
      </c>
      <c r="P1040">
        <f>IFERROR(INDEX(PP_Grid[#Data],$DD1040,14),0)</f>
        <v/>
      </c>
      <c r="Q1040">
        <f>IFERROR(INDEX(PP_Grid[#Data],$DD1040,15),0)</f>
        <v/>
      </c>
      <c r="R1040">
        <f>IFERROR(INDEX(PP_Grid[#Data],$DD1040,16),0)</f>
        <v/>
      </c>
      <c r="S1040">
        <f>IFERROR(INDEX(PP_Grid[#Data],$DD1040,17),0)</f>
        <v/>
      </c>
      <c r="T1040">
        <f>IFERROR(INDEX(PP_Grid[#Data],$DD1040,18),0)</f>
        <v/>
      </c>
      <c r="U1040">
        <f>IFERROR(INDEX(PP_Grid[#Data],$DD1040,19),0)</f>
        <v/>
      </c>
      <c r="V1040">
        <f>IFERROR(INDEX(PP_Grid[#Data],$DD1040,20),0)</f>
        <v/>
      </c>
      <c r="W1040">
        <f>IFERROR(INDEX(PP_Grid[#Data],$DD1040,21),0)</f>
        <v/>
      </c>
      <c r="X1040">
        <f>IFERROR(INDEX(PP_Grid[#Data],$DD1040,22),0)</f>
        <v/>
      </c>
      <c r="Y1040">
        <f>IFERROR(INDEX(PP_Grid[#Data],$DD1040,23),0)</f>
        <v/>
      </c>
      <c r="Z1040">
        <f>IFERROR(INDEX(PP_Grid[#Data],$DD1040,24),0)</f>
        <v/>
      </c>
      <c r="AA1040">
        <f>IFERROR(INDEX(PP_Grid[#Data],$DD1040,25),0)</f>
        <v/>
      </c>
      <c r="AB1040">
        <f>IFERROR(INDEX(PP_Grid[#Data],$DD1040,26),0)</f>
        <v/>
      </c>
      <c r="AC1040">
        <f>IFERROR(INDEX(PP_Grid[#Data],$DD1040,27),0)</f>
        <v/>
      </c>
      <c r="AD1040">
        <f>IFERROR(INDEX(PP_Grid[#Data],$DD1040,28),0)</f>
        <v/>
      </c>
      <c r="AE1040">
        <f>IFERROR(INDEX(PP_Grid[#Data],$DD1040,29),0)</f>
        <v/>
      </c>
      <c r="AF1040">
        <f>IFERROR(INDEX(PP_Grid[#Data],$DD1040,30),0)</f>
        <v/>
      </c>
      <c r="AG1040">
        <f>IFERROR(INDEX(PP_Grid[#Data],$DD1040,31),0)</f>
        <v/>
      </c>
      <c r="AH1040">
        <f>IFERROR(INDEX(PP_Grid[#Data],$DD1040,32),0)</f>
        <v/>
      </c>
      <c r="AI1040">
        <f>IFERROR(INDEX(PP_Grid[#Data],$DD1040,33),0)</f>
        <v/>
      </c>
      <c r="AJ1040">
        <f>IFERROR(INDEX(PP_Grid[#Data],$DD1040,34),0)</f>
        <v/>
      </c>
      <c r="AK1040">
        <f>IFERROR(INDEX(PP_Grid[#Data],$DD1040,35),0)</f>
        <v/>
      </c>
      <c r="AL1040">
        <f>IFERROR(INDEX(PP_Grid[#Data],$DD1040,36),0)</f>
        <v/>
      </c>
      <c r="AM1040">
        <f>IFERROR(INDEX(PP_Grid[#Data],$DD1040,37),0)</f>
        <v/>
      </c>
      <c r="AN1040">
        <f>IFERROR(INDEX(PP_Grid[#Data],$DD1040,38),0)</f>
        <v/>
      </c>
      <c r="AO1040">
        <f>IFERROR(INDEX(PP_Grid[#Data],$DD1040,39),0)</f>
        <v/>
      </c>
      <c r="AP1040">
        <f>IFERROR(INDEX(PP_Grid[#Data],$DD1040,40),0)</f>
        <v/>
      </c>
      <c r="AQ1040">
        <f>IFERROR(INDEX(PP_Grid[#Data],$DD1040,41),0)</f>
        <v/>
      </c>
      <c r="AR1040">
        <f>IFERROR(INDEX(PP_Grid[#Data],$DD1040,42),0)</f>
        <v/>
      </c>
      <c r="AS1040">
        <f>IFERROR(INDEX(PP_Grid[#Data],$DD1040,43),0)</f>
        <v/>
      </c>
      <c r="AT1040">
        <f>IFERROR(INDEX(PP_Grid[#Data],$DD1040,44),0)</f>
        <v/>
      </c>
      <c r="AU1040">
        <f>IFERROR(INDEX(PP_Grid[#Data],$DD1040,45),0)</f>
        <v/>
      </c>
      <c r="AV1040">
        <f>IFERROR(INDEX(PP_Grid[#Data],$DD1040,46),0)</f>
        <v/>
      </c>
      <c r="AW1040">
        <f>IFERROR(INDEX(PP_Grid[#Data],$DD1040,47),0)</f>
        <v/>
      </c>
      <c r="AX1040">
        <f>IFERROR(INDEX(PP_Grid[#Data],$DD1040,48),0)</f>
        <v/>
      </c>
      <c r="AY1040">
        <f>IFERROR(INDEX(PP_Grid[#Data],$DD1040,49),0)</f>
        <v/>
      </c>
      <c r="AZ1040">
        <f>IFERROR(INDEX(PP_Grid[#Data],$DD1040,50),0)</f>
        <v/>
      </c>
      <c r="BA1040">
        <f>IFERROR(INDEX(PP_Grid[#Data],$DD1040,51),0)</f>
        <v/>
      </c>
      <c r="BB1040">
        <f>IFERROR(INDEX(PP_Grid[#Data],$DD1040,52),0)</f>
        <v/>
      </c>
      <c r="BC1040">
        <f>IFERROR(INDEX(PP_Grid[#Data],$DD1040,53),0)</f>
        <v/>
      </c>
      <c r="BD1040">
        <f>IFERROR(INDEX(PP_Grid[#Data],$DD1040,54),0)</f>
        <v/>
      </c>
      <c r="BE1040">
        <f>IFERROR(INDEX(PP_Grid[#Data],$DD1040,55),0)</f>
        <v/>
      </c>
      <c r="BF1040">
        <f>IFERROR(INDEX(PP_Grid[#Data],$DD1040,56),0)</f>
        <v/>
      </c>
      <c r="BG1040">
        <f>IFERROR(INDEX(PP_Grid[#Data],$DD1040,57),0)</f>
        <v/>
      </c>
      <c r="BH1040">
        <f>IFERROR(INDEX(PP_Grid[#Data],$DD1040,58),0)</f>
        <v/>
      </c>
      <c r="BI1040">
        <f>IFERROR(INDEX(PP_Grid[#Data],$DD1040,59),0)</f>
        <v/>
      </c>
      <c r="BJ1040">
        <f>IFERROR(INDEX(PP_Grid[#Data],$DD1040,60),0)</f>
        <v/>
      </c>
      <c r="BK1040">
        <f>IFERROR(INDEX(PP_Grid[#Data],$DD1040,61),0)</f>
        <v/>
      </c>
      <c r="BL1040">
        <f>IFERROR(INDEX(PP_Grid[#Data],$DD1040,62),0)</f>
        <v/>
      </c>
      <c r="BM1040">
        <f>IFERROR(INDEX(PP_Grid[#Data],$DD1040,63),0)</f>
        <v/>
      </c>
      <c r="BN1040">
        <f>IFERROR(INDEX(PP_Grid[#Data],$DD1040,64),0)</f>
        <v/>
      </c>
      <c r="BO1040">
        <f>IFERROR(INDEX(PP_Grid[#Data],$DD1040,65),0)</f>
        <v/>
      </c>
      <c r="BP1040">
        <f>IFERROR(INDEX(PP_Grid[#Data],$DD1040,66),0)</f>
        <v/>
      </c>
      <c r="BQ1040">
        <f>IFERROR(INDEX(PP_Grid[#Data],$DD1040,67),0)</f>
        <v/>
      </c>
      <c r="BR1040">
        <f>IFERROR(INDEX(PP_Grid[#Data],$DD1040,68),0)</f>
        <v/>
      </c>
      <c r="BS1040">
        <f>IFERROR(INDEX(PP_Grid[#Data],$DD1040,69),0)</f>
        <v/>
      </c>
      <c r="BT1040">
        <f>IFERROR(INDEX(PP_Grid[#Data],$DD1040,70),0)</f>
        <v/>
      </c>
      <c r="BU1040">
        <f>IFERROR(INDEX(PP_Grid[#Data],$DD1040,71),0)</f>
        <v/>
      </c>
      <c r="BV1040">
        <f>IFERROR(INDEX(PP_Grid[#Data],$DD1040,72),0)</f>
        <v/>
      </c>
      <c r="BW1040">
        <f>IFERROR(INDEX(PP_Grid[#Data],$DD1040,73),0)</f>
        <v/>
      </c>
      <c r="BX1040">
        <f>IFERROR(INDEX(PP_Grid[#Data],$DD1040,74),0)</f>
        <v/>
      </c>
      <c r="BY1040">
        <f>IFERROR(INDEX(PP_Grid[#Data],$DD1040,75),0)</f>
        <v/>
      </c>
      <c r="BZ1040">
        <f>IFERROR(INDEX(PP_Grid[#Data],$DD1040,76),0)</f>
        <v/>
      </c>
      <c r="CA1040">
        <f>IFERROR(INDEX(PP_Grid[#Data],$DD1040,77),0)</f>
        <v/>
      </c>
      <c r="CB1040">
        <f>IFERROR(INDEX(PP_Grid[#Data],$DD1040,78),0)</f>
        <v/>
      </c>
      <c r="CC1040">
        <f>IFERROR(INDEX(PP_Grid[#Data],$DD1040,79),0)</f>
        <v/>
      </c>
      <c r="CD1040">
        <f>IFERROR(INDEX(PP_Grid[#Data],$DD1040,80),0)</f>
        <v/>
      </c>
      <c r="CE1040">
        <f>IFERROR(INDEX(PP_Grid[#Data],$DD1040,81),0)</f>
        <v/>
      </c>
      <c r="CF1040">
        <f>IFERROR(INDEX(PP_Grid[#Data],$DD1040,82),0)</f>
        <v/>
      </c>
      <c r="CG1040">
        <f>IFERROR(INDEX(PP_Grid[#Data],$DD1040,83),0)</f>
        <v/>
      </c>
      <c r="CH1040">
        <f>IFERROR(INDEX(PP_Grid[#Data],$DD1040,84),0)</f>
        <v/>
      </c>
      <c r="CI1040">
        <f>IFERROR(INDEX(PP_Grid[#Data],$DD1040,85),0)</f>
        <v/>
      </c>
      <c r="CJ1040">
        <f>IFERROR(INDEX(PP_Grid[#Data],$DD1040,86),0)</f>
        <v/>
      </c>
      <c r="CK1040">
        <f>IFERROR(INDEX(PP_Grid[#Data],$DD1040,87),0)</f>
        <v/>
      </c>
      <c r="CL1040">
        <f>IFERROR(INDEX(PP_Grid[#Data],$DD1040,88),0)</f>
        <v/>
      </c>
      <c r="CM1040">
        <f>IFERROR(INDEX(PP_Grid[#Data],$DD1040,89),0)</f>
        <v/>
      </c>
      <c r="CN1040">
        <f>IFERROR(INDEX(PP_Grid[#Data],$DD1040,90),0)</f>
        <v/>
      </c>
      <c r="CO1040">
        <f>IFERROR(INDEX(PP_Grid[#Data],$DD1040,91),0)</f>
        <v/>
      </c>
      <c r="CP1040">
        <f>IFERROR(INDEX(PP_Grid[#Data],$DD1040,92),0)</f>
        <v/>
      </c>
      <c r="CQ1040">
        <f>IFERROR(INDEX(PP_Grid[#Data],$DD1040,93),0)</f>
        <v/>
      </c>
      <c r="CR1040">
        <f>IFERROR(INDEX(PP_Grid[#Data],$DD1040,94),0)</f>
        <v/>
      </c>
      <c r="CS1040">
        <f>IFERROR(INDEX(PP_Grid[#Data],$DD1040,95),0)</f>
        <v/>
      </c>
      <c r="CT1040">
        <f>IFERROR(INDEX(PP_Grid[#Data],$DD1040,96),0)</f>
        <v/>
      </c>
      <c r="CU1040">
        <f>IFERROR(INDEX(PP_Grid[#Data],$DD1040,97),0)</f>
        <v/>
      </c>
      <c r="CV1040">
        <f>IFERROR(INDEX(PP_Grid[#Data],$DD1040,98),0)</f>
        <v/>
      </c>
      <c r="CW1040">
        <f>IFERROR(INDEX(PP_Grid[#Data],$DD1040,99),0)</f>
        <v/>
      </c>
      <c r="CX1040">
        <f>IFERROR(INDEX(PP_Grid[#Data],$DD1040,100),0)</f>
        <v/>
      </c>
      <c r="CY1040">
        <f>IFERROR(INDEX(PP_Grid[#Data],$DD1040,101),0)</f>
        <v/>
      </c>
      <c r="CZ1040">
        <f>IFERROR(INDEX(PP_Grid[#Data],$DD1040,102),0)</f>
        <v/>
      </c>
      <c r="DA1040">
        <f>IFERROR(INDEX(PP_Grid[#Data],$DD1040,103),0)</f>
        <v/>
      </c>
      <c r="DB1040">
        <f>IFERROR(INDEX(PP_Grid[#Data],$DD1040,104),0)</f>
        <v/>
      </c>
      <c r="DC1040">
        <f>IFERROR(INDEX(PP_Grid[#Data],$DD1040,105),0)</f>
        <v/>
      </c>
      <c r="DD1040" s="7">
        <f>IFERROR(MATCH($B1040,PP_Grid[Intermediate],0),99999)</f>
        <v/>
      </c>
    </row>
    <row r="1041">
      <c r="B1041" t="inlineStr">
        <is>
          <t>使用量(kg)</t>
        </is>
      </c>
      <c r="C1041">
        <f>SUMIFS(M_BOM[RM_Qty_Per_Batch],M_BOM[Intermediate],$B1040,M_BOM[Part Name],$A1039)</f>
        <v/>
      </c>
      <c r="D1041">
        <f>$C1041*D1040</f>
        <v/>
      </c>
      <c r="E1041">
        <f>$C1041*E1040</f>
        <v/>
      </c>
      <c r="F1041">
        <f>$C1041*F1040</f>
        <v/>
      </c>
      <c r="G1041">
        <f>$C1041*G1040</f>
        <v/>
      </c>
      <c r="H1041">
        <f>$C1041*H1040</f>
        <v/>
      </c>
      <c r="I1041">
        <f>$C1041*I1040</f>
        <v/>
      </c>
      <c r="J1041">
        <f>$C1041*J1040</f>
        <v/>
      </c>
      <c r="K1041">
        <f>$C1041*K1040</f>
        <v/>
      </c>
      <c r="L1041">
        <f>$C1041*L1040</f>
        <v/>
      </c>
      <c r="M1041">
        <f>$C1041*M1040</f>
        <v/>
      </c>
      <c r="N1041">
        <f>$C1041*N1040</f>
        <v/>
      </c>
      <c r="O1041">
        <f>$C1041*O1040</f>
        <v/>
      </c>
      <c r="P1041">
        <f>$C1041*P1040</f>
        <v/>
      </c>
      <c r="Q1041">
        <f>$C1041*Q1040</f>
        <v/>
      </c>
      <c r="R1041">
        <f>$C1041*R1040</f>
        <v/>
      </c>
      <c r="S1041">
        <f>$C1041*S1040</f>
        <v/>
      </c>
      <c r="T1041">
        <f>$C1041*T1040</f>
        <v/>
      </c>
      <c r="U1041">
        <f>$C1041*U1040</f>
        <v/>
      </c>
      <c r="V1041">
        <f>$C1041*V1040</f>
        <v/>
      </c>
      <c r="W1041">
        <f>$C1041*W1040</f>
        <v/>
      </c>
      <c r="X1041">
        <f>$C1041*X1040</f>
        <v/>
      </c>
      <c r="Y1041">
        <f>$C1041*Y1040</f>
        <v/>
      </c>
      <c r="Z1041">
        <f>$C1041*Z1040</f>
        <v/>
      </c>
      <c r="AA1041">
        <f>$C1041*AA1040</f>
        <v/>
      </c>
      <c r="AB1041">
        <f>$C1041*AB1040</f>
        <v/>
      </c>
      <c r="AC1041">
        <f>$C1041*AC1040</f>
        <v/>
      </c>
      <c r="AD1041">
        <f>$C1041*AD1040</f>
        <v/>
      </c>
      <c r="AE1041">
        <f>$C1041*AE1040</f>
        <v/>
      </c>
      <c r="AF1041">
        <f>$C1041*AF1040</f>
        <v/>
      </c>
      <c r="AG1041">
        <f>$C1041*AG1040</f>
        <v/>
      </c>
      <c r="AH1041">
        <f>$C1041*AH1040</f>
        <v/>
      </c>
      <c r="AI1041">
        <f>$C1041*AI1040</f>
        <v/>
      </c>
      <c r="AJ1041">
        <f>$C1041*AJ1040</f>
        <v/>
      </c>
      <c r="AK1041">
        <f>$C1041*AK1040</f>
        <v/>
      </c>
      <c r="AL1041">
        <f>$C1041*AL1040</f>
        <v/>
      </c>
      <c r="AM1041">
        <f>$C1041*AM1040</f>
        <v/>
      </c>
      <c r="AN1041">
        <f>$C1041*AN1040</f>
        <v/>
      </c>
      <c r="AO1041">
        <f>$C1041*AO1040</f>
        <v/>
      </c>
      <c r="AP1041">
        <f>$C1041*AP1040</f>
        <v/>
      </c>
      <c r="AQ1041">
        <f>$C1041*AQ1040</f>
        <v/>
      </c>
      <c r="AR1041">
        <f>$C1041*AR1040</f>
        <v/>
      </c>
      <c r="AS1041">
        <f>$C1041*AS1040</f>
        <v/>
      </c>
      <c r="AT1041">
        <f>$C1041*AT1040</f>
        <v/>
      </c>
      <c r="AU1041">
        <f>$C1041*AU1040</f>
        <v/>
      </c>
      <c r="AV1041">
        <f>$C1041*AV1040</f>
        <v/>
      </c>
      <c r="AW1041">
        <f>$C1041*AW1040</f>
        <v/>
      </c>
      <c r="AX1041">
        <f>$C1041*AX1040</f>
        <v/>
      </c>
      <c r="AY1041">
        <f>$C1041*AY1040</f>
        <v/>
      </c>
      <c r="AZ1041">
        <f>$C1041*AZ1040</f>
        <v/>
      </c>
      <c r="BA1041">
        <f>$C1041*BA1040</f>
        <v/>
      </c>
      <c r="BB1041">
        <f>$C1041*BB1040</f>
        <v/>
      </c>
      <c r="BC1041">
        <f>$C1041*BC1040</f>
        <v/>
      </c>
      <c r="BD1041">
        <f>$C1041*BD1040</f>
        <v/>
      </c>
      <c r="BE1041">
        <f>$C1041*BE1040</f>
        <v/>
      </c>
      <c r="BF1041">
        <f>$C1041*BF1040</f>
        <v/>
      </c>
      <c r="BG1041">
        <f>$C1041*BG1040</f>
        <v/>
      </c>
      <c r="BH1041">
        <f>$C1041*BH1040</f>
        <v/>
      </c>
      <c r="BI1041">
        <f>$C1041*BI1040</f>
        <v/>
      </c>
      <c r="BJ1041">
        <f>$C1041*BJ1040</f>
        <v/>
      </c>
      <c r="BK1041">
        <f>$C1041*BK1040</f>
        <v/>
      </c>
      <c r="BL1041">
        <f>$C1041*BL1040</f>
        <v/>
      </c>
      <c r="BM1041">
        <f>$C1041*BM1040</f>
        <v/>
      </c>
      <c r="BN1041">
        <f>$C1041*BN1040</f>
        <v/>
      </c>
      <c r="BO1041">
        <f>$C1041*BO1040</f>
        <v/>
      </c>
      <c r="BP1041">
        <f>$C1041*BP1040</f>
        <v/>
      </c>
      <c r="BQ1041">
        <f>$C1041*BQ1040</f>
        <v/>
      </c>
      <c r="BR1041">
        <f>$C1041*BR1040</f>
        <v/>
      </c>
      <c r="BS1041">
        <f>$C1041*BS1040</f>
        <v/>
      </c>
      <c r="BT1041">
        <f>$C1041*BT1040</f>
        <v/>
      </c>
      <c r="BU1041">
        <f>$C1041*BU1040</f>
        <v/>
      </c>
      <c r="BV1041">
        <f>$C1041*BV1040</f>
        <v/>
      </c>
      <c r="BW1041">
        <f>$C1041*BW1040</f>
        <v/>
      </c>
      <c r="BX1041">
        <f>$C1041*BX1040</f>
        <v/>
      </c>
      <c r="BY1041">
        <f>$C1041*BY1040</f>
        <v/>
      </c>
      <c r="BZ1041">
        <f>$C1041*BZ1040</f>
        <v/>
      </c>
      <c r="CA1041">
        <f>$C1041*CA1040</f>
        <v/>
      </c>
      <c r="CB1041">
        <f>$C1041*CB1040</f>
        <v/>
      </c>
      <c r="CC1041">
        <f>$C1041*CC1040</f>
        <v/>
      </c>
      <c r="CD1041">
        <f>$C1041*CD1040</f>
        <v/>
      </c>
      <c r="CE1041">
        <f>$C1041*CE1040</f>
        <v/>
      </c>
      <c r="CF1041">
        <f>$C1041*CF1040</f>
        <v/>
      </c>
      <c r="CG1041">
        <f>$C1041*CG1040</f>
        <v/>
      </c>
      <c r="CH1041">
        <f>$C1041*CH1040</f>
        <v/>
      </c>
      <c r="CI1041">
        <f>$C1041*CI1040</f>
        <v/>
      </c>
      <c r="CJ1041">
        <f>$C1041*CJ1040</f>
        <v/>
      </c>
      <c r="CK1041">
        <f>$C1041*CK1040</f>
        <v/>
      </c>
      <c r="CL1041">
        <f>$C1041*CL1040</f>
        <v/>
      </c>
      <c r="CM1041">
        <f>$C1041*CM1040</f>
        <v/>
      </c>
      <c r="CN1041">
        <f>$C1041*CN1040</f>
        <v/>
      </c>
      <c r="CO1041">
        <f>$C1041*CO1040</f>
        <v/>
      </c>
      <c r="CP1041">
        <f>$C1041*CP1040</f>
        <v/>
      </c>
      <c r="CQ1041">
        <f>$C1041*CQ1040</f>
        <v/>
      </c>
      <c r="CR1041">
        <f>$C1041*CR1040</f>
        <v/>
      </c>
      <c r="CS1041">
        <f>$C1041*CS1040</f>
        <v/>
      </c>
      <c r="CT1041">
        <f>$C1041*CT1040</f>
        <v/>
      </c>
      <c r="CU1041">
        <f>$C1041*CU1040</f>
        <v/>
      </c>
      <c r="CV1041">
        <f>$C1041*CV1040</f>
        <v/>
      </c>
      <c r="CW1041">
        <f>$C1041*CW1040</f>
        <v/>
      </c>
      <c r="CX1041">
        <f>$C1041*CX1040</f>
        <v/>
      </c>
      <c r="CY1041">
        <f>$C1041*CY1040</f>
        <v/>
      </c>
      <c r="CZ1041">
        <f>$C1041*CZ1040</f>
        <v/>
      </c>
      <c r="DA1041">
        <f>$C1041*DA1040</f>
        <v/>
      </c>
      <c r="DB1041">
        <f>$C1041*DB1040</f>
        <v/>
      </c>
      <c r="DC1041">
        <f>$C1041*DC1040</f>
        <v/>
      </c>
    </row>
    <row r="1042">
      <c r="B1042" s="4" t="inlineStr">
        <is>
          <t>合計使用量(kg)/週</t>
        </is>
      </c>
      <c r="D1042">
        <f>'Grid_Requirement'!B30</f>
        <v/>
      </c>
      <c r="E1042">
        <f>'Grid_Requirement'!C30</f>
        <v/>
      </c>
      <c r="F1042">
        <f>'Grid_Requirement'!D30</f>
        <v/>
      </c>
      <c r="G1042">
        <f>'Grid_Requirement'!E30</f>
        <v/>
      </c>
      <c r="H1042">
        <f>'Grid_Requirement'!F30</f>
        <v/>
      </c>
      <c r="I1042">
        <f>'Grid_Requirement'!G30</f>
        <v/>
      </c>
      <c r="J1042">
        <f>'Grid_Requirement'!H30</f>
        <v/>
      </c>
      <c r="K1042">
        <f>'Grid_Requirement'!I30</f>
        <v/>
      </c>
      <c r="L1042">
        <f>'Grid_Requirement'!J30</f>
        <v/>
      </c>
      <c r="M1042">
        <f>'Grid_Requirement'!K30</f>
        <v/>
      </c>
      <c r="N1042">
        <f>'Grid_Requirement'!L30</f>
        <v/>
      </c>
      <c r="O1042">
        <f>'Grid_Requirement'!M30</f>
        <v/>
      </c>
      <c r="P1042">
        <f>'Grid_Requirement'!N30</f>
        <v/>
      </c>
      <c r="Q1042">
        <f>'Grid_Requirement'!O30</f>
        <v/>
      </c>
      <c r="R1042">
        <f>'Grid_Requirement'!P30</f>
        <v/>
      </c>
      <c r="S1042">
        <f>'Grid_Requirement'!Q30</f>
        <v/>
      </c>
      <c r="T1042">
        <f>'Grid_Requirement'!R30</f>
        <v/>
      </c>
      <c r="U1042">
        <f>'Grid_Requirement'!S30</f>
        <v/>
      </c>
      <c r="V1042">
        <f>'Grid_Requirement'!T30</f>
        <v/>
      </c>
      <c r="W1042">
        <f>'Grid_Requirement'!U30</f>
        <v/>
      </c>
      <c r="X1042">
        <f>'Grid_Requirement'!V30</f>
        <v/>
      </c>
      <c r="Y1042">
        <f>'Grid_Requirement'!W30</f>
        <v/>
      </c>
      <c r="Z1042">
        <f>'Grid_Requirement'!X30</f>
        <v/>
      </c>
      <c r="AA1042">
        <f>'Grid_Requirement'!Y30</f>
        <v/>
      </c>
      <c r="AB1042">
        <f>'Grid_Requirement'!Z30</f>
        <v/>
      </c>
      <c r="AC1042">
        <f>'Grid_Requirement'!AA30</f>
        <v/>
      </c>
      <c r="AD1042">
        <f>'Grid_Requirement'!AB30</f>
        <v/>
      </c>
      <c r="AE1042">
        <f>'Grid_Requirement'!AC30</f>
        <v/>
      </c>
      <c r="AF1042">
        <f>'Grid_Requirement'!AD30</f>
        <v/>
      </c>
      <c r="AG1042">
        <f>'Grid_Requirement'!AE30</f>
        <v/>
      </c>
      <c r="AH1042">
        <f>'Grid_Requirement'!AF30</f>
        <v/>
      </c>
      <c r="AI1042">
        <f>'Grid_Requirement'!AG30</f>
        <v/>
      </c>
      <c r="AJ1042">
        <f>'Grid_Requirement'!AH30</f>
        <v/>
      </c>
      <c r="AK1042">
        <f>'Grid_Requirement'!AI30</f>
        <v/>
      </c>
      <c r="AL1042">
        <f>'Grid_Requirement'!AJ30</f>
        <v/>
      </c>
      <c r="AM1042">
        <f>'Grid_Requirement'!AK30</f>
        <v/>
      </c>
      <c r="AN1042">
        <f>'Grid_Requirement'!AL30</f>
        <v/>
      </c>
      <c r="AO1042">
        <f>'Grid_Requirement'!AM30</f>
        <v/>
      </c>
      <c r="AP1042">
        <f>'Grid_Requirement'!AN30</f>
        <v/>
      </c>
      <c r="AQ1042">
        <f>'Grid_Requirement'!AO30</f>
        <v/>
      </c>
      <c r="AR1042">
        <f>'Grid_Requirement'!AP30</f>
        <v/>
      </c>
      <c r="AS1042">
        <f>'Grid_Requirement'!AQ30</f>
        <v/>
      </c>
      <c r="AT1042">
        <f>'Grid_Requirement'!AR30</f>
        <v/>
      </c>
      <c r="AU1042">
        <f>'Grid_Requirement'!AS30</f>
        <v/>
      </c>
      <c r="AV1042">
        <f>'Grid_Requirement'!AT30</f>
        <v/>
      </c>
      <c r="AW1042">
        <f>'Grid_Requirement'!AU30</f>
        <v/>
      </c>
      <c r="AX1042">
        <f>'Grid_Requirement'!AV30</f>
        <v/>
      </c>
      <c r="AY1042">
        <f>'Grid_Requirement'!AW30</f>
        <v/>
      </c>
      <c r="AZ1042">
        <f>'Grid_Requirement'!AX30</f>
        <v/>
      </c>
      <c r="BA1042">
        <f>'Grid_Requirement'!AY30</f>
        <v/>
      </c>
      <c r="BB1042">
        <f>'Grid_Requirement'!AZ30</f>
        <v/>
      </c>
      <c r="BC1042">
        <f>'Grid_Requirement'!BA30</f>
        <v/>
      </c>
      <c r="BD1042">
        <f>'Grid_Requirement'!BB30</f>
        <v/>
      </c>
      <c r="BE1042">
        <f>'Grid_Requirement'!BC30</f>
        <v/>
      </c>
      <c r="BF1042">
        <f>'Grid_Requirement'!BD30</f>
        <v/>
      </c>
      <c r="BG1042">
        <f>'Grid_Requirement'!BE30</f>
        <v/>
      </c>
      <c r="BH1042">
        <f>'Grid_Requirement'!BF30</f>
        <v/>
      </c>
      <c r="BI1042">
        <f>'Grid_Requirement'!BG30</f>
        <v/>
      </c>
      <c r="BJ1042">
        <f>'Grid_Requirement'!BH30</f>
        <v/>
      </c>
      <c r="BK1042">
        <f>'Grid_Requirement'!BI30</f>
        <v/>
      </c>
      <c r="BL1042">
        <f>'Grid_Requirement'!BJ30</f>
        <v/>
      </c>
      <c r="BM1042">
        <f>'Grid_Requirement'!BK30</f>
        <v/>
      </c>
      <c r="BN1042">
        <f>'Grid_Requirement'!BL30</f>
        <v/>
      </c>
      <c r="BO1042">
        <f>'Grid_Requirement'!BM30</f>
        <v/>
      </c>
      <c r="BP1042">
        <f>'Grid_Requirement'!BN30</f>
        <v/>
      </c>
      <c r="BQ1042">
        <f>'Grid_Requirement'!BO30</f>
        <v/>
      </c>
      <c r="BR1042">
        <f>'Grid_Requirement'!BP30</f>
        <v/>
      </c>
      <c r="BS1042">
        <f>'Grid_Requirement'!BQ30</f>
        <v/>
      </c>
      <c r="BT1042">
        <f>'Grid_Requirement'!BR30</f>
        <v/>
      </c>
      <c r="BU1042">
        <f>'Grid_Requirement'!BS30</f>
        <v/>
      </c>
      <c r="BV1042">
        <f>'Grid_Requirement'!BT30</f>
        <v/>
      </c>
      <c r="BW1042">
        <f>'Grid_Requirement'!BU30</f>
        <v/>
      </c>
      <c r="BX1042">
        <f>'Grid_Requirement'!BV30</f>
        <v/>
      </c>
      <c r="BY1042">
        <f>'Grid_Requirement'!BW30</f>
        <v/>
      </c>
      <c r="BZ1042">
        <f>'Grid_Requirement'!BX30</f>
        <v/>
      </c>
      <c r="CA1042">
        <f>'Grid_Requirement'!BY30</f>
        <v/>
      </c>
      <c r="CB1042">
        <f>'Grid_Requirement'!BZ30</f>
        <v/>
      </c>
      <c r="CC1042">
        <f>'Grid_Requirement'!CA30</f>
        <v/>
      </c>
      <c r="CD1042">
        <f>'Grid_Requirement'!CB30</f>
        <v/>
      </c>
      <c r="CE1042">
        <f>'Grid_Requirement'!CC30</f>
        <v/>
      </c>
      <c r="CF1042">
        <f>'Grid_Requirement'!CD30</f>
        <v/>
      </c>
      <c r="CG1042">
        <f>'Grid_Requirement'!CE30</f>
        <v/>
      </c>
      <c r="CH1042">
        <f>'Grid_Requirement'!CF30</f>
        <v/>
      </c>
      <c r="CI1042">
        <f>'Grid_Requirement'!CG30</f>
        <v/>
      </c>
      <c r="CJ1042">
        <f>'Grid_Requirement'!CH30</f>
        <v/>
      </c>
      <c r="CK1042">
        <f>'Grid_Requirement'!CI30</f>
        <v/>
      </c>
      <c r="CL1042">
        <f>'Grid_Requirement'!CJ30</f>
        <v/>
      </c>
      <c r="CM1042">
        <f>'Grid_Requirement'!CK30</f>
        <v/>
      </c>
      <c r="CN1042">
        <f>'Grid_Requirement'!CL30</f>
        <v/>
      </c>
      <c r="CO1042">
        <f>'Grid_Requirement'!CM30</f>
        <v/>
      </c>
      <c r="CP1042">
        <f>'Grid_Requirement'!CN30</f>
        <v/>
      </c>
      <c r="CQ1042">
        <f>'Grid_Requirement'!CO30</f>
        <v/>
      </c>
      <c r="CR1042">
        <f>'Grid_Requirement'!CP30</f>
        <v/>
      </c>
      <c r="CS1042">
        <f>'Grid_Requirement'!CQ30</f>
        <v/>
      </c>
      <c r="CT1042">
        <f>'Grid_Requirement'!CR30</f>
        <v/>
      </c>
      <c r="CU1042">
        <f>'Grid_Requirement'!CS30</f>
        <v/>
      </c>
      <c r="CV1042">
        <f>'Grid_Requirement'!CT30</f>
        <v/>
      </c>
      <c r="CW1042">
        <f>'Grid_Requirement'!CU30</f>
        <v/>
      </c>
      <c r="CX1042">
        <f>'Grid_Requirement'!CV30</f>
        <v/>
      </c>
      <c r="CY1042">
        <f>'Grid_Requirement'!CW30</f>
        <v/>
      </c>
      <c r="CZ1042">
        <f>'Grid_Requirement'!CX30</f>
        <v/>
      </c>
      <c r="DA1042">
        <f>'Grid_Requirement'!CY30</f>
        <v/>
      </c>
      <c r="DB1042">
        <f>'Grid_Requirement'!CZ30</f>
        <v/>
      </c>
      <c r="DC1042">
        <f>'Grid_Requirement'!DA30</f>
        <v/>
      </c>
    </row>
    <row r="1043">
      <c r="B1043" t="inlineStr">
        <is>
          <t>TTAF在庫(実績,kg)</t>
        </is>
      </c>
      <c r="D1043">
        <f>'T_TTAFStock'!B34</f>
        <v/>
      </c>
      <c r="E1043">
        <f>'T_TTAFStock'!C34</f>
        <v/>
      </c>
      <c r="F1043">
        <f>'T_TTAFStock'!D34</f>
        <v/>
      </c>
      <c r="G1043">
        <f>'T_TTAFStock'!E34</f>
        <v/>
      </c>
      <c r="H1043">
        <f>'T_TTAFStock'!F34</f>
        <v/>
      </c>
      <c r="I1043">
        <f>'T_TTAFStock'!G34</f>
        <v/>
      </c>
      <c r="J1043">
        <f>'T_TTAFStock'!H34</f>
        <v/>
      </c>
      <c r="K1043">
        <f>'T_TTAFStock'!I34</f>
        <v/>
      </c>
      <c r="L1043">
        <f>'T_TTAFStock'!J34</f>
        <v/>
      </c>
      <c r="M1043">
        <f>'T_TTAFStock'!K34</f>
        <v/>
      </c>
      <c r="N1043">
        <f>'T_TTAFStock'!L34</f>
        <v/>
      </c>
      <c r="O1043">
        <f>'T_TTAFStock'!M34</f>
        <v/>
      </c>
      <c r="P1043">
        <f>'T_TTAFStock'!N34</f>
        <v/>
      </c>
      <c r="Q1043">
        <f>'T_TTAFStock'!O34</f>
        <v/>
      </c>
      <c r="R1043">
        <f>'T_TTAFStock'!P34</f>
        <v/>
      </c>
      <c r="S1043">
        <f>'T_TTAFStock'!Q34</f>
        <v/>
      </c>
      <c r="T1043">
        <f>'T_TTAFStock'!R34</f>
        <v/>
      </c>
      <c r="U1043">
        <f>'T_TTAFStock'!S34</f>
        <v/>
      </c>
      <c r="V1043">
        <f>'T_TTAFStock'!T34</f>
        <v/>
      </c>
      <c r="W1043">
        <f>'T_TTAFStock'!U34</f>
        <v/>
      </c>
      <c r="X1043">
        <f>'T_TTAFStock'!V34</f>
        <v/>
      </c>
      <c r="Y1043">
        <f>'T_TTAFStock'!W34</f>
        <v/>
      </c>
      <c r="Z1043">
        <f>'T_TTAFStock'!X34</f>
        <v/>
      </c>
      <c r="AA1043">
        <f>'T_TTAFStock'!Y34</f>
        <v/>
      </c>
      <c r="AB1043">
        <f>'T_TTAFStock'!Z34</f>
        <v/>
      </c>
      <c r="AC1043">
        <f>'T_TTAFStock'!AA34</f>
        <v/>
      </c>
      <c r="AD1043">
        <f>'T_TTAFStock'!AB34</f>
        <v/>
      </c>
      <c r="AE1043">
        <f>'T_TTAFStock'!AC34</f>
        <v/>
      </c>
      <c r="AF1043">
        <f>'T_TTAFStock'!AD34</f>
        <v/>
      </c>
      <c r="AG1043">
        <f>'T_TTAFStock'!AE34</f>
        <v/>
      </c>
      <c r="AH1043">
        <f>'T_TTAFStock'!AF34</f>
        <v/>
      </c>
      <c r="AI1043">
        <f>'T_TTAFStock'!AG34</f>
        <v/>
      </c>
      <c r="AJ1043">
        <f>'T_TTAFStock'!AH34</f>
        <v/>
      </c>
      <c r="AK1043">
        <f>'T_TTAFStock'!AI34</f>
        <v/>
      </c>
      <c r="AL1043">
        <f>'T_TTAFStock'!AJ34</f>
        <v/>
      </c>
      <c r="AM1043">
        <f>'T_TTAFStock'!AK34</f>
        <v/>
      </c>
      <c r="AN1043">
        <f>'T_TTAFStock'!AL34</f>
        <v/>
      </c>
      <c r="AO1043">
        <f>'T_TTAFStock'!AM34</f>
        <v/>
      </c>
      <c r="AP1043">
        <f>'T_TTAFStock'!AN34</f>
        <v/>
      </c>
      <c r="AQ1043">
        <f>'T_TTAFStock'!AO34</f>
        <v/>
      </c>
      <c r="AR1043">
        <f>'T_TTAFStock'!AP34</f>
        <v/>
      </c>
      <c r="AS1043">
        <f>'T_TTAFStock'!AQ34</f>
        <v/>
      </c>
      <c r="AT1043">
        <f>'T_TTAFStock'!AR34</f>
        <v/>
      </c>
      <c r="AU1043">
        <f>'T_TTAFStock'!AS34</f>
        <v/>
      </c>
      <c r="AV1043">
        <f>'T_TTAFStock'!AT34</f>
        <v/>
      </c>
      <c r="AW1043">
        <f>'T_TTAFStock'!AU34</f>
        <v/>
      </c>
      <c r="AX1043">
        <f>'T_TTAFStock'!AV34</f>
        <v/>
      </c>
      <c r="AY1043">
        <f>'T_TTAFStock'!AW34</f>
        <v/>
      </c>
      <c r="AZ1043">
        <f>'T_TTAFStock'!AX34</f>
        <v/>
      </c>
      <c r="BA1043">
        <f>'T_TTAFStock'!AY34</f>
        <v/>
      </c>
      <c r="BB1043">
        <f>'T_TTAFStock'!AZ34</f>
        <v/>
      </c>
      <c r="BC1043">
        <f>'T_TTAFStock'!BA34</f>
        <v/>
      </c>
      <c r="BD1043">
        <f>'T_TTAFStock'!BB34</f>
        <v/>
      </c>
      <c r="BE1043">
        <f>'T_TTAFStock'!BC34</f>
        <v/>
      </c>
      <c r="BF1043">
        <f>'T_TTAFStock'!BD34</f>
        <v/>
      </c>
      <c r="BG1043">
        <f>'T_TTAFStock'!BE34</f>
        <v/>
      </c>
      <c r="BH1043">
        <f>'T_TTAFStock'!BF34</f>
        <v/>
      </c>
      <c r="BI1043">
        <f>'T_TTAFStock'!BG34</f>
        <v/>
      </c>
      <c r="BJ1043">
        <f>'T_TTAFStock'!BH34</f>
        <v/>
      </c>
      <c r="BK1043">
        <f>'T_TTAFStock'!BI34</f>
        <v/>
      </c>
      <c r="BL1043">
        <f>'T_TTAFStock'!BJ34</f>
        <v/>
      </c>
      <c r="BM1043">
        <f>'T_TTAFStock'!BK34</f>
        <v/>
      </c>
      <c r="BN1043">
        <f>'T_TTAFStock'!BL34</f>
        <v/>
      </c>
      <c r="BO1043">
        <f>'T_TTAFStock'!BM34</f>
        <v/>
      </c>
      <c r="BP1043">
        <f>'T_TTAFStock'!BN34</f>
        <v/>
      </c>
      <c r="BQ1043">
        <f>'T_TTAFStock'!BO34</f>
        <v/>
      </c>
      <c r="BR1043">
        <f>'T_TTAFStock'!BP34</f>
        <v/>
      </c>
      <c r="BS1043">
        <f>'T_TTAFStock'!BQ34</f>
        <v/>
      </c>
      <c r="BT1043">
        <f>'T_TTAFStock'!BR34</f>
        <v/>
      </c>
      <c r="BU1043">
        <f>'T_TTAFStock'!BS34</f>
        <v/>
      </c>
      <c r="BV1043">
        <f>'T_TTAFStock'!BT34</f>
        <v/>
      </c>
      <c r="BW1043">
        <f>'T_TTAFStock'!BU34</f>
        <v/>
      </c>
      <c r="BX1043">
        <f>'T_TTAFStock'!BV34</f>
        <v/>
      </c>
      <c r="BY1043">
        <f>'T_TTAFStock'!BW34</f>
        <v/>
      </c>
      <c r="BZ1043">
        <f>'T_TTAFStock'!BX34</f>
        <v/>
      </c>
      <c r="CA1043">
        <f>'T_TTAFStock'!BY34</f>
        <v/>
      </c>
      <c r="CB1043">
        <f>'T_TTAFStock'!BZ34</f>
        <v/>
      </c>
      <c r="CC1043">
        <f>'T_TTAFStock'!CA34</f>
        <v/>
      </c>
      <c r="CD1043">
        <f>'T_TTAFStock'!CB34</f>
        <v/>
      </c>
      <c r="CE1043">
        <f>'T_TTAFStock'!CC34</f>
        <v/>
      </c>
      <c r="CF1043">
        <f>'T_TTAFStock'!CD34</f>
        <v/>
      </c>
      <c r="CG1043">
        <f>'T_TTAFStock'!CE34</f>
        <v/>
      </c>
      <c r="CH1043">
        <f>'T_TTAFStock'!CF34</f>
        <v/>
      </c>
      <c r="CI1043">
        <f>'T_TTAFStock'!CG34</f>
        <v/>
      </c>
      <c r="CJ1043">
        <f>'T_TTAFStock'!CH34</f>
        <v/>
      </c>
      <c r="CK1043">
        <f>'T_TTAFStock'!CI34</f>
        <v/>
      </c>
      <c r="CL1043">
        <f>'T_TTAFStock'!CJ34</f>
        <v/>
      </c>
      <c r="CM1043">
        <f>'T_TTAFStock'!CK34</f>
        <v/>
      </c>
      <c r="CN1043">
        <f>'T_TTAFStock'!CL34</f>
        <v/>
      </c>
      <c r="CO1043">
        <f>'T_TTAFStock'!CM34</f>
        <v/>
      </c>
      <c r="CP1043">
        <f>'T_TTAFStock'!CN34</f>
        <v/>
      </c>
      <c r="CQ1043">
        <f>'T_TTAFStock'!CO34</f>
        <v/>
      </c>
      <c r="CR1043">
        <f>'T_TTAFStock'!CP34</f>
        <v/>
      </c>
      <c r="CS1043">
        <f>'T_TTAFStock'!CQ34</f>
        <v/>
      </c>
      <c r="CT1043">
        <f>'T_TTAFStock'!CR34</f>
        <v/>
      </c>
      <c r="CU1043">
        <f>'T_TTAFStock'!CS34</f>
        <v/>
      </c>
      <c r="CV1043">
        <f>'T_TTAFStock'!CT34</f>
        <v/>
      </c>
      <c r="CW1043">
        <f>'T_TTAFStock'!CU34</f>
        <v/>
      </c>
      <c r="CX1043">
        <f>'T_TTAFStock'!CV34</f>
        <v/>
      </c>
      <c r="CY1043">
        <f>'T_TTAFStock'!CW34</f>
        <v/>
      </c>
      <c r="CZ1043">
        <f>'T_TTAFStock'!CX34</f>
        <v/>
      </c>
      <c r="DA1043">
        <f>'T_TTAFStock'!CY34</f>
        <v/>
      </c>
      <c r="DB1043">
        <f>'T_TTAFStock'!CZ34</f>
        <v/>
      </c>
      <c r="DC1043">
        <f>'T_TTAFStock'!DA34</f>
        <v/>
      </c>
    </row>
    <row r="1044">
      <c r="B1044" t="inlineStr">
        <is>
          <t>自社在庫(実績,kg)</t>
        </is>
      </c>
      <c r="D1044">
        <f>'T_SelfStock'!B34</f>
        <v/>
      </c>
      <c r="E1044">
        <f>'T_SelfStock'!C34</f>
        <v/>
      </c>
      <c r="F1044">
        <f>'T_SelfStock'!D34</f>
        <v/>
      </c>
      <c r="G1044">
        <f>'T_SelfStock'!E34</f>
        <v/>
      </c>
      <c r="H1044">
        <f>'T_SelfStock'!F34</f>
        <v/>
      </c>
      <c r="I1044">
        <f>'T_SelfStock'!G34</f>
        <v/>
      </c>
      <c r="J1044">
        <f>'T_SelfStock'!H34</f>
        <v/>
      </c>
      <c r="K1044">
        <f>'T_SelfStock'!I34</f>
        <v/>
      </c>
      <c r="L1044">
        <f>'T_SelfStock'!J34</f>
        <v/>
      </c>
      <c r="M1044">
        <f>'T_SelfStock'!K34</f>
        <v/>
      </c>
      <c r="N1044">
        <f>'T_SelfStock'!L34</f>
        <v/>
      </c>
      <c r="O1044">
        <f>'T_SelfStock'!M34</f>
        <v/>
      </c>
      <c r="P1044">
        <f>'T_SelfStock'!N34</f>
        <v/>
      </c>
      <c r="Q1044">
        <f>'T_SelfStock'!O34</f>
        <v/>
      </c>
      <c r="R1044">
        <f>'T_SelfStock'!P34</f>
        <v/>
      </c>
      <c r="S1044">
        <f>'T_SelfStock'!Q34</f>
        <v/>
      </c>
      <c r="T1044">
        <f>'T_SelfStock'!R34</f>
        <v/>
      </c>
      <c r="U1044">
        <f>'T_SelfStock'!S34</f>
        <v/>
      </c>
      <c r="V1044">
        <f>'T_SelfStock'!T34</f>
        <v/>
      </c>
      <c r="W1044">
        <f>'T_SelfStock'!U34</f>
        <v/>
      </c>
      <c r="X1044">
        <f>'T_SelfStock'!V34</f>
        <v/>
      </c>
      <c r="Y1044">
        <f>'T_SelfStock'!W34</f>
        <v/>
      </c>
      <c r="Z1044">
        <f>'T_SelfStock'!X34</f>
        <v/>
      </c>
      <c r="AA1044">
        <f>'T_SelfStock'!Y34</f>
        <v/>
      </c>
      <c r="AB1044">
        <f>'T_SelfStock'!Z34</f>
        <v/>
      </c>
      <c r="AC1044">
        <f>'T_SelfStock'!AA34</f>
        <v/>
      </c>
      <c r="AD1044">
        <f>'T_SelfStock'!AB34</f>
        <v/>
      </c>
      <c r="AE1044">
        <f>'T_SelfStock'!AC34</f>
        <v/>
      </c>
      <c r="AF1044">
        <f>'T_SelfStock'!AD34</f>
        <v/>
      </c>
      <c r="AG1044">
        <f>'T_SelfStock'!AE34</f>
        <v/>
      </c>
      <c r="AH1044">
        <f>'T_SelfStock'!AF34</f>
        <v/>
      </c>
      <c r="AI1044">
        <f>'T_SelfStock'!AG34</f>
        <v/>
      </c>
      <c r="AJ1044">
        <f>'T_SelfStock'!AH34</f>
        <v/>
      </c>
      <c r="AK1044">
        <f>'T_SelfStock'!AI34</f>
        <v/>
      </c>
      <c r="AL1044">
        <f>'T_SelfStock'!AJ34</f>
        <v/>
      </c>
      <c r="AM1044">
        <f>'T_SelfStock'!AK34</f>
        <v/>
      </c>
      <c r="AN1044">
        <f>'T_SelfStock'!AL34</f>
        <v/>
      </c>
      <c r="AO1044">
        <f>'T_SelfStock'!AM34</f>
        <v/>
      </c>
      <c r="AP1044">
        <f>'T_SelfStock'!AN34</f>
        <v/>
      </c>
      <c r="AQ1044">
        <f>'T_SelfStock'!AO34</f>
        <v/>
      </c>
      <c r="AR1044">
        <f>'T_SelfStock'!AP34</f>
        <v/>
      </c>
      <c r="AS1044">
        <f>'T_SelfStock'!AQ34</f>
        <v/>
      </c>
      <c r="AT1044">
        <f>'T_SelfStock'!AR34</f>
        <v/>
      </c>
      <c r="AU1044">
        <f>'T_SelfStock'!AS34</f>
        <v/>
      </c>
      <c r="AV1044">
        <f>'T_SelfStock'!AT34</f>
        <v/>
      </c>
      <c r="AW1044">
        <f>'T_SelfStock'!AU34</f>
        <v/>
      </c>
      <c r="AX1044">
        <f>'T_SelfStock'!AV34</f>
        <v/>
      </c>
      <c r="AY1044">
        <f>'T_SelfStock'!AW34</f>
        <v/>
      </c>
      <c r="AZ1044">
        <f>'T_SelfStock'!AX34</f>
        <v/>
      </c>
      <c r="BA1044">
        <f>'T_SelfStock'!AY34</f>
        <v/>
      </c>
      <c r="BB1044">
        <f>'T_SelfStock'!AZ34</f>
        <v/>
      </c>
      <c r="BC1044">
        <f>'T_SelfStock'!BA34</f>
        <v/>
      </c>
      <c r="BD1044">
        <f>'T_SelfStock'!BB34</f>
        <v/>
      </c>
      <c r="BE1044">
        <f>'T_SelfStock'!BC34</f>
        <v/>
      </c>
      <c r="BF1044">
        <f>'T_SelfStock'!BD34</f>
        <v/>
      </c>
      <c r="BG1044">
        <f>'T_SelfStock'!BE34</f>
        <v/>
      </c>
      <c r="BH1044">
        <f>'T_SelfStock'!BF34</f>
        <v/>
      </c>
      <c r="BI1044">
        <f>'T_SelfStock'!BG34</f>
        <v/>
      </c>
      <c r="BJ1044">
        <f>'T_SelfStock'!BH34</f>
        <v/>
      </c>
      <c r="BK1044">
        <f>'T_SelfStock'!BI34</f>
        <v/>
      </c>
      <c r="BL1044">
        <f>'T_SelfStock'!BJ34</f>
        <v/>
      </c>
      <c r="BM1044">
        <f>'T_SelfStock'!BK34</f>
        <v/>
      </c>
      <c r="BN1044">
        <f>'T_SelfStock'!BL34</f>
        <v/>
      </c>
      <c r="BO1044">
        <f>'T_SelfStock'!BM34</f>
        <v/>
      </c>
      <c r="BP1044">
        <f>'T_SelfStock'!BN34</f>
        <v/>
      </c>
      <c r="BQ1044">
        <f>'T_SelfStock'!BO34</f>
        <v/>
      </c>
      <c r="BR1044">
        <f>'T_SelfStock'!BP34</f>
        <v/>
      </c>
      <c r="BS1044">
        <f>'T_SelfStock'!BQ34</f>
        <v/>
      </c>
      <c r="BT1044">
        <f>'T_SelfStock'!BR34</f>
        <v/>
      </c>
      <c r="BU1044">
        <f>'T_SelfStock'!BS34</f>
        <v/>
      </c>
      <c r="BV1044">
        <f>'T_SelfStock'!BT34</f>
        <v/>
      </c>
      <c r="BW1044">
        <f>'T_SelfStock'!BU34</f>
        <v/>
      </c>
      <c r="BX1044">
        <f>'T_SelfStock'!BV34</f>
        <v/>
      </c>
      <c r="BY1044">
        <f>'T_SelfStock'!BW34</f>
        <v/>
      </c>
      <c r="BZ1044">
        <f>'T_SelfStock'!BX34</f>
        <v/>
      </c>
      <c r="CA1044">
        <f>'T_SelfStock'!BY34</f>
        <v/>
      </c>
      <c r="CB1044">
        <f>'T_SelfStock'!BZ34</f>
        <v/>
      </c>
      <c r="CC1044">
        <f>'T_SelfStock'!CA34</f>
        <v/>
      </c>
      <c r="CD1044">
        <f>'T_SelfStock'!CB34</f>
        <v/>
      </c>
      <c r="CE1044">
        <f>'T_SelfStock'!CC34</f>
        <v/>
      </c>
      <c r="CF1044">
        <f>'T_SelfStock'!CD34</f>
        <v/>
      </c>
      <c r="CG1044">
        <f>'T_SelfStock'!CE34</f>
        <v/>
      </c>
      <c r="CH1044">
        <f>'T_SelfStock'!CF34</f>
        <v/>
      </c>
      <c r="CI1044">
        <f>'T_SelfStock'!CG34</f>
        <v/>
      </c>
      <c r="CJ1044">
        <f>'T_SelfStock'!CH34</f>
        <v/>
      </c>
      <c r="CK1044">
        <f>'T_SelfStock'!CI34</f>
        <v/>
      </c>
      <c r="CL1044">
        <f>'T_SelfStock'!CJ34</f>
        <v/>
      </c>
      <c r="CM1044">
        <f>'T_SelfStock'!CK34</f>
        <v/>
      </c>
      <c r="CN1044">
        <f>'T_SelfStock'!CL34</f>
        <v/>
      </c>
      <c r="CO1044">
        <f>'T_SelfStock'!CM34</f>
        <v/>
      </c>
      <c r="CP1044">
        <f>'T_SelfStock'!CN34</f>
        <v/>
      </c>
      <c r="CQ1044">
        <f>'T_SelfStock'!CO34</f>
        <v/>
      </c>
      <c r="CR1044">
        <f>'T_SelfStock'!CP34</f>
        <v/>
      </c>
      <c r="CS1044">
        <f>'T_SelfStock'!CQ34</f>
        <v/>
      </c>
      <c r="CT1044">
        <f>'T_SelfStock'!CR34</f>
        <v/>
      </c>
      <c r="CU1044">
        <f>'T_SelfStock'!CS34</f>
        <v/>
      </c>
      <c r="CV1044">
        <f>'T_SelfStock'!CT34</f>
        <v/>
      </c>
      <c r="CW1044">
        <f>'T_SelfStock'!CU34</f>
        <v/>
      </c>
      <c r="CX1044">
        <f>'T_SelfStock'!CV34</f>
        <v/>
      </c>
      <c r="CY1044">
        <f>'T_SelfStock'!CW34</f>
        <v/>
      </c>
      <c r="CZ1044">
        <f>'T_SelfStock'!CX34</f>
        <v/>
      </c>
      <c r="DA1044">
        <f>'T_SelfStock'!CY34</f>
        <v/>
      </c>
      <c r="DB1044">
        <f>'T_SelfStock'!CZ34</f>
        <v/>
      </c>
      <c r="DC1044">
        <f>'T_SelfStock'!DA34</f>
        <v/>
      </c>
    </row>
    <row r="1045">
      <c r="B1045" t="inlineStr">
        <is>
          <t>Order(発注予定,kg)</t>
        </is>
      </c>
      <c r="D1045">
        <f>IF(SUMIFS(T_PlannedOrders[EffectiveQty],T_PlannedOrders[Part Name],$A1039,T_PlannedOrders[WeekIndex],1)=0,"",SUMIFS(T_PlannedOrders[EffectiveQty],T_PlannedOrders[Part Name],$A1039,T_PlannedOrders[WeekIndex],1)&amp;" ("&amp;TEXT(SUMPRODUCT(MAX((T_PlannedOrders[Part Name]=$A1039)*(T_PlannedOrders[WeekIndex]=1)*(T_PlannedOrders[EffectiveQty]&gt;0)*T_PlannedOrders[Order_Month])),"m月")&amp;"発注)")</f>
        <v/>
      </c>
      <c r="E1045">
        <f>IF(SUMIFS(T_PlannedOrders[EffectiveQty],T_PlannedOrders[Part Name],$A1039,T_PlannedOrders[WeekIndex],2)=0,"",SUMIFS(T_PlannedOrders[EffectiveQty],T_PlannedOrders[Part Name],$A1039,T_PlannedOrders[WeekIndex],2)&amp;" ("&amp;TEXT(SUMPRODUCT(MAX((T_PlannedOrders[Part Name]=$A1039)*(T_PlannedOrders[WeekIndex]=2)*(T_PlannedOrders[EffectiveQty]&gt;0)*T_PlannedOrders[Order_Month])),"m月")&amp;"発注)")</f>
        <v/>
      </c>
      <c r="F1045">
        <f>IF(SUMIFS(T_PlannedOrders[EffectiveQty],T_PlannedOrders[Part Name],$A1039,T_PlannedOrders[WeekIndex],3)=0,"",SUMIFS(T_PlannedOrders[EffectiveQty],T_PlannedOrders[Part Name],$A1039,T_PlannedOrders[WeekIndex],3)&amp;" ("&amp;TEXT(SUMPRODUCT(MAX((T_PlannedOrders[Part Name]=$A1039)*(T_PlannedOrders[WeekIndex]=3)*(T_PlannedOrders[EffectiveQty]&gt;0)*T_PlannedOrders[Order_Month])),"m月")&amp;"発注)")</f>
        <v/>
      </c>
      <c r="G1045">
        <f>IF(SUMIFS(T_PlannedOrders[EffectiveQty],T_PlannedOrders[Part Name],$A1039,T_PlannedOrders[WeekIndex],4)=0,"",SUMIFS(T_PlannedOrders[EffectiveQty],T_PlannedOrders[Part Name],$A1039,T_PlannedOrders[WeekIndex],4)&amp;" ("&amp;TEXT(SUMPRODUCT(MAX((T_PlannedOrders[Part Name]=$A1039)*(T_PlannedOrders[WeekIndex]=4)*(T_PlannedOrders[EffectiveQty]&gt;0)*T_PlannedOrders[Order_Month])),"m月")&amp;"発注)")</f>
        <v/>
      </c>
      <c r="H1045">
        <f>IF(SUMIFS(T_PlannedOrders[EffectiveQty],T_PlannedOrders[Part Name],$A1039,T_PlannedOrders[WeekIndex],5)=0,"",SUMIFS(T_PlannedOrders[EffectiveQty],T_PlannedOrders[Part Name],$A1039,T_PlannedOrders[WeekIndex],5)&amp;" ("&amp;TEXT(SUMPRODUCT(MAX((T_PlannedOrders[Part Name]=$A1039)*(T_PlannedOrders[WeekIndex]=5)*(T_PlannedOrders[EffectiveQty]&gt;0)*T_PlannedOrders[Order_Month])),"m月")&amp;"発注)")</f>
        <v/>
      </c>
      <c r="I1045">
        <f>IF(SUMIFS(T_PlannedOrders[EffectiveQty],T_PlannedOrders[Part Name],$A1039,T_PlannedOrders[WeekIndex],6)=0,"",SUMIFS(T_PlannedOrders[EffectiveQty],T_PlannedOrders[Part Name],$A1039,T_PlannedOrders[WeekIndex],6)&amp;" ("&amp;TEXT(SUMPRODUCT(MAX((T_PlannedOrders[Part Name]=$A1039)*(T_PlannedOrders[WeekIndex]=6)*(T_PlannedOrders[EffectiveQty]&gt;0)*T_PlannedOrders[Order_Month])),"m月")&amp;"発注)")</f>
        <v/>
      </c>
      <c r="J1045">
        <f>IF(SUMIFS(T_PlannedOrders[EffectiveQty],T_PlannedOrders[Part Name],$A1039,T_PlannedOrders[WeekIndex],7)=0,"",SUMIFS(T_PlannedOrders[EffectiveQty],T_PlannedOrders[Part Name],$A1039,T_PlannedOrders[WeekIndex],7)&amp;" ("&amp;TEXT(SUMPRODUCT(MAX((T_PlannedOrders[Part Name]=$A1039)*(T_PlannedOrders[WeekIndex]=7)*(T_PlannedOrders[EffectiveQty]&gt;0)*T_PlannedOrders[Order_Month])),"m月")&amp;"発注)")</f>
        <v/>
      </c>
      <c r="K1045">
        <f>IF(SUMIFS(T_PlannedOrders[EffectiveQty],T_PlannedOrders[Part Name],$A1039,T_PlannedOrders[WeekIndex],8)=0,"",SUMIFS(T_PlannedOrders[EffectiveQty],T_PlannedOrders[Part Name],$A1039,T_PlannedOrders[WeekIndex],8)&amp;" ("&amp;TEXT(SUMPRODUCT(MAX((T_PlannedOrders[Part Name]=$A1039)*(T_PlannedOrders[WeekIndex]=8)*(T_PlannedOrders[EffectiveQty]&gt;0)*T_PlannedOrders[Order_Month])),"m月")&amp;"発注)")</f>
        <v/>
      </c>
      <c r="L1045">
        <f>IF(SUMIFS(T_PlannedOrders[EffectiveQty],T_PlannedOrders[Part Name],$A1039,T_PlannedOrders[WeekIndex],9)=0,"",SUMIFS(T_PlannedOrders[EffectiveQty],T_PlannedOrders[Part Name],$A1039,T_PlannedOrders[WeekIndex],9)&amp;" ("&amp;TEXT(SUMPRODUCT(MAX((T_PlannedOrders[Part Name]=$A1039)*(T_PlannedOrders[WeekIndex]=9)*(T_PlannedOrders[EffectiveQty]&gt;0)*T_PlannedOrders[Order_Month])),"m月")&amp;"発注)")</f>
        <v/>
      </c>
      <c r="M1045">
        <f>IF(SUMIFS(T_PlannedOrders[EffectiveQty],T_PlannedOrders[Part Name],$A1039,T_PlannedOrders[WeekIndex],10)=0,"",SUMIFS(T_PlannedOrders[EffectiveQty],T_PlannedOrders[Part Name],$A1039,T_PlannedOrders[WeekIndex],10)&amp;" ("&amp;TEXT(SUMPRODUCT(MAX((T_PlannedOrders[Part Name]=$A1039)*(T_PlannedOrders[WeekIndex]=10)*(T_PlannedOrders[EffectiveQty]&gt;0)*T_PlannedOrders[Order_Month])),"m月")&amp;"発注)")</f>
        <v/>
      </c>
      <c r="N1045">
        <f>IF(SUMIFS(T_PlannedOrders[EffectiveQty],T_PlannedOrders[Part Name],$A1039,T_PlannedOrders[WeekIndex],11)=0,"",SUMIFS(T_PlannedOrders[EffectiveQty],T_PlannedOrders[Part Name],$A1039,T_PlannedOrders[WeekIndex],11)&amp;" ("&amp;TEXT(SUMPRODUCT(MAX((T_PlannedOrders[Part Name]=$A1039)*(T_PlannedOrders[WeekIndex]=11)*(T_PlannedOrders[EffectiveQty]&gt;0)*T_PlannedOrders[Order_Month])),"m月")&amp;"発注)")</f>
        <v/>
      </c>
      <c r="O1045">
        <f>IF(SUMIFS(T_PlannedOrders[EffectiveQty],T_PlannedOrders[Part Name],$A1039,T_PlannedOrders[WeekIndex],12)=0,"",SUMIFS(T_PlannedOrders[EffectiveQty],T_PlannedOrders[Part Name],$A1039,T_PlannedOrders[WeekIndex],12)&amp;" ("&amp;TEXT(SUMPRODUCT(MAX((T_PlannedOrders[Part Name]=$A1039)*(T_PlannedOrders[WeekIndex]=12)*(T_PlannedOrders[EffectiveQty]&gt;0)*T_PlannedOrders[Order_Month])),"m月")&amp;"発注)")</f>
        <v/>
      </c>
      <c r="P1045">
        <f>IF(SUMIFS(T_PlannedOrders[EffectiveQty],T_PlannedOrders[Part Name],$A1039,T_PlannedOrders[WeekIndex],13)=0,"",SUMIFS(T_PlannedOrders[EffectiveQty],T_PlannedOrders[Part Name],$A1039,T_PlannedOrders[WeekIndex],13)&amp;" ("&amp;TEXT(SUMPRODUCT(MAX((T_PlannedOrders[Part Name]=$A1039)*(T_PlannedOrders[WeekIndex]=13)*(T_PlannedOrders[EffectiveQty]&gt;0)*T_PlannedOrders[Order_Month])),"m月")&amp;"発注)")</f>
        <v/>
      </c>
      <c r="Q1045">
        <f>IF(SUMIFS(T_PlannedOrders[EffectiveQty],T_PlannedOrders[Part Name],$A1039,T_PlannedOrders[WeekIndex],14)=0,"",SUMIFS(T_PlannedOrders[EffectiveQty],T_PlannedOrders[Part Name],$A1039,T_PlannedOrders[WeekIndex],14)&amp;" ("&amp;TEXT(SUMPRODUCT(MAX((T_PlannedOrders[Part Name]=$A1039)*(T_PlannedOrders[WeekIndex]=14)*(T_PlannedOrders[EffectiveQty]&gt;0)*T_PlannedOrders[Order_Month])),"m月")&amp;"発注)")</f>
        <v/>
      </c>
      <c r="R1045">
        <f>IF(SUMIFS(T_PlannedOrders[EffectiveQty],T_PlannedOrders[Part Name],$A1039,T_PlannedOrders[WeekIndex],15)=0,"",SUMIFS(T_PlannedOrders[EffectiveQty],T_PlannedOrders[Part Name],$A1039,T_PlannedOrders[WeekIndex],15)&amp;" ("&amp;TEXT(SUMPRODUCT(MAX((T_PlannedOrders[Part Name]=$A1039)*(T_PlannedOrders[WeekIndex]=15)*(T_PlannedOrders[EffectiveQty]&gt;0)*T_PlannedOrders[Order_Month])),"m月")&amp;"発注)")</f>
        <v/>
      </c>
      <c r="S1045">
        <f>IF(SUMIFS(T_PlannedOrders[EffectiveQty],T_PlannedOrders[Part Name],$A1039,T_PlannedOrders[WeekIndex],16)=0,"",SUMIFS(T_PlannedOrders[EffectiveQty],T_PlannedOrders[Part Name],$A1039,T_PlannedOrders[WeekIndex],16)&amp;" ("&amp;TEXT(SUMPRODUCT(MAX((T_PlannedOrders[Part Name]=$A1039)*(T_PlannedOrders[WeekIndex]=16)*(T_PlannedOrders[EffectiveQty]&gt;0)*T_PlannedOrders[Order_Month])),"m月")&amp;"発注)")</f>
        <v/>
      </c>
      <c r="T1045">
        <f>IF(SUMIFS(T_PlannedOrders[EffectiveQty],T_PlannedOrders[Part Name],$A1039,T_PlannedOrders[WeekIndex],17)=0,"",SUMIFS(T_PlannedOrders[EffectiveQty],T_PlannedOrders[Part Name],$A1039,T_PlannedOrders[WeekIndex],17)&amp;" ("&amp;TEXT(SUMPRODUCT(MAX((T_PlannedOrders[Part Name]=$A1039)*(T_PlannedOrders[WeekIndex]=17)*(T_PlannedOrders[EffectiveQty]&gt;0)*T_PlannedOrders[Order_Month])),"m月")&amp;"発注)")</f>
        <v/>
      </c>
      <c r="U1045">
        <f>IF(SUMIFS(T_PlannedOrders[EffectiveQty],T_PlannedOrders[Part Name],$A1039,T_PlannedOrders[WeekIndex],18)=0,"",SUMIFS(T_PlannedOrders[EffectiveQty],T_PlannedOrders[Part Name],$A1039,T_PlannedOrders[WeekIndex],18)&amp;" ("&amp;TEXT(SUMPRODUCT(MAX((T_PlannedOrders[Part Name]=$A1039)*(T_PlannedOrders[WeekIndex]=18)*(T_PlannedOrders[EffectiveQty]&gt;0)*T_PlannedOrders[Order_Month])),"m月")&amp;"発注)")</f>
        <v/>
      </c>
      <c r="V1045">
        <f>IF(SUMIFS(T_PlannedOrders[EffectiveQty],T_PlannedOrders[Part Name],$A1039,T_PlannedOrders[WeekIndex],19)=0,"",SUMIFS(T_PlannedOrders[EffectiveQty],T_PlannedOrders[Part Name],$A1039,T_PlannedOrders[WeekIndex],19)&amp;" ("&amp;TEXT(SUMPRODUCT(MAX((T_PlannedOrders[Part Name]=$A1039)*(T_PlannedOrders[WeekIndex]=19)*(T_PlannedOrders[EffectiveQty]&gt;0)*T_PlannedOrders[Order_Month])),"m月")&amp;"発注)")</f>
        <v/>
      </c>
      <c r="W1045">
        <f>IF(SUMIFS(T_PlannedOrders[EffectiveQty],T_PlannedOrders[Part Name],$A1039,T_PlannedOrders[WeekIndex],20)=0,"",SUMIFS(T_PlannedOrders[EffectiveQty],T_PlannedOrders[Part Name],$A1039,T_PlannedOrders[WeekIndex],20)&amp;" ("&amp;TEXT(SUMPRODUCT(MAX((T_PlannedOrders[Part Name]=$A1039)*(T_PlannedOrders[WeekIndex]=20)*(T_PlannedOrders[EffectiveQty]&gt;0)*T_PlannedOrders[Order_Month])),"m月")&amp;"発注)")</f>
        <v/>
      </c>
      <c r="X1045">
        <f>IF(SUMIFS(T_PlannedOrders[EffectiveQty],T_PlannedOrders[Part Name],$A1039,T_PlannedOrders[WeekIndex],21)=0,"",SUMIFS(T_PlannedOrders[EffectiveQty],T_PlannedOrders[Part Name],$A1039,T_PlannedOrders[WeekIndex],21)&amp;" ("&amp;TEXT(SUMPRODUCT(MAX((T_PlannedOrders[Part Name]=$A1039)*(T_PlannedOrders[WeekIndex]=21)*(T_PlannedOrders[EffectiveQty]&gt;0)*T_PlannedOrders[Order_Month])),"m月")&amp;"発注)")</f>
        <v/>
      </c>
      <c r="Y1045">
        <f>IF(SUMIFS(T_PlannedOrders[EffectiveQty],T_PlannedOrders[Part Name],$A1039,T_PlannedOrders[WeekIndex],22)=0,"",SUMIFS(T_PlannedOrders[EffectiveQty],T_PlannedOrders[Part Name],$A1039,T_PlannedOrders[WeekIndex],22)&amp;" ("&amp;TEXT(SUMPRODUCT(MAX((T_PlannedOrders[Part Name]=$A1039)*(T_PlannedOrders[WeekIndex]=22)*(T_PlannedOrders[EffectiveQty]&gt;0)*T_PlannedOrders[Order_Month])),"m月")&amp;"発注)")</f>
        <v/>
      </c>
      <c r="Z1045">
        <f>IF(SUMIFS(T_PlannedOrders[EffectiveQty],T_PlannedOrders[Part Name],$A1039,T_PlannedOrders[WeekIndex],23)=0,"",SUMIFS(T_PlannedOrders[EffectiveQty],T_PlannedOrders[Part Name],$A1039,T_PlannedOrders[WeekIndex],23)&amp;" ("&amp;TEXT(SUMPRODUCT(MAX((T_PlannedOrders[Part Name]=$A1039)*(T_PlannedOrders[WeekIndex]=23)*(T_PlannedOrders[EffectiveQty]&gt;0)*T_PlannedOrders[Order_Month])),"m月")&amp;"発注)")</f>
        <v/>
      </c>
      <c r="AA1045">
        <f>IF(SUMIFS(T_PlannedOrders[EffectiveQty],T_PlannedOrders[Part Name],$A1039,T_PlannedOrders[WeekIndex],24)=0,"",SUMIFS(T_PlannedOrders[EffectiveQty],T_PlannedOrders[Part Name],$A1039,T_PlannedOrders[WeekIndex],24)&amp;" ("&amp;TEXT(SUMPRODUCT(MAX((T_PlannedOrders[Part Name]=$A1039)*(T_PlannedOrders[WeekIndex]=24)*(T_PlannedOrders[EffectiveQty]&gt;0)*T_PlannedOrders[Order_Month])),"m月")&amp;"発注)")</f>
        <v/>
      </c>
      <c r="AB1045">
        <f>IF(SUMIFS(T_PlannedOrders[EffectiveQty],T_PlannedOrders[Part Name],$A1039,T_PlannedOrders[WeekIndex],25)=0,"",SUMIFS(T_PlannedOrders[EffectiveQty],T_PlannedOrders[Part Name],$A1039,T_PlannedOrders[WeekIndex],25)&amp;" ("&amp;TEXT(SUMPRODUCT(MAX((T_PlannedOrders[Part Name]=$A1039)*(T_PlannedOrders[WeekIndex]=25)*(T_PlannedOrders[EffectiveQty]&gt;0)*T_PlannedOrders[Order_Month])),"m月")&amp;"発注)")</f>
        <v/>
      </c>
      <c r="AC1045">
        <f>IF(SUMIFS(T_PlannedOrders[EffectiveQty],T_PlannedOrders[Part Name],$A1039,T_PlannedOrders[WeekIndex],26)=0,"",SUMIFS(T_PlannedOrders[EffectiveQty],T_PlannedOrders[Part Name],$A1039,T_PlannedOrders[WeekIndex],26)&amp;" ("&amp;TEXT(SUMPRODUCT(MAX((T_PlannedOrders[Part Name]=$A1039)*(T_PlannedOrders[WeekIndex]=26)*(T_PlannedOrders[EffectiveQty]&gt;0)*T_PlannedOrders[Order_Month])),"m月")&amp;"発注)")</f>
        <v/>
      </c>
      <c r="AD1045">
        <f>IF(SUMIFS(T_PlannedOrders[EffectiveQty],T_PlannedOrders[Part Name],$A1039,T_PlannedOrders[WeekIndex],27)=0,"",SUMIFS(T_PlannedOrders[EffectiveQty],T_PlannedOrders[Part Name],$A1039,T_PlannedOrders[WeekIndex],27)&amp;" ("&amp;TEXT(SUMPRODUCT(MAX((T_PlannedOrders[Part Name]=$A1039)*(T_PlannedOrders[WeekIndex]=27)*(T_PlannedOrders[EffectiveQty]&gt;0)*T_PlannedOrders[Order_Month])),"m月")&amp;"発注)")</f>
        <v/>
      </c>
      <c r="AE1045">
        <f>IF(SUMIFS(T_PlannedOrders[EffectiveQty],T_PlannedOrders[Part Name],$A1039,T_PlannedOrders[WeekIndex],28)=0,"",SUMIFS(T_PlannedOrders[EffectiveQty],T_PlannedOrders[Part Name],$A1039,T_PlannedOrders[WeekIndex],28)&amp;" ("&amp;TEXT(SUMPRODUCT(MAX((T_PlannedOrders[Part Name]=$A1039)*(T_PlannedOrders[WeekIndex]=28)*(T_PlannedOrders[EffectiveQty]&gt;0)*T_PlannedOrders[Order_Month])),"m月")&amp;"発注)")</f>
        <v/>
      </c>
      <c r="AF1045">
        <f>IF(SUMIFS(T_PlannedOrders[EffectiveQty],T_PlannedOrders[Part Name],$A1039,T_PlannedOrders[WeekIndex],29)=0,"",SUMIFS(T_PlannedOrders[EffectiveQty],T_PlannedOrders[Part Name],$A1039,T_PlannedOrders[WeekIndex],29)&amp;" ("&amp;TEXT(SUMPRODUCT(MAX((T_PlannedOrders[Part Name]=$A1039)*(T_PlannedOrders[WeekIndex]=29)*(T_PlannedOrders[EffectiveQty]&gt;0)*T_PlannedOrders[Order_Month])),"m月")&amp;"発注)")</f>
        <v/>
      </c>
      <c r="AG1045">
        <f>IF(SUMIFS(T_PlannedOrders[EffectiveQty],T_PlannedOrders[Part Name],$A1039,T_PlannedOrders[WeekIndex],30)=0,"",SUMIFS(T_PlannedOrders[EffectiveQty],T_PlannedOrders[Part Name],$A1039,T_PlannedOrders[WeekIndex],30)&amp;" ("&amp;TEXT(SUMPRODUCT(MAX((T_PlannedOrders[Part Name]=$A1039)*(T_PlannedOrders[WeekIndex]=30)*(T_PlannedOrders[EffectiveQty]&gt;0)*T_PlannedOrders[Order_Month])),"m月")&amp;"発注)")</f>
        <v/>
      </c>
      <c r="AH1045">
        <f>IF(SUMIFS(T_PlannedOrders[EffectiveQty],T_PlannedOrders[Part Name],$A1039,T_PlannedOrders[WeekIndex],31)=0,"",SUMIFS(T_PlannedOrders[EffectiveQty],T_PlannedOrders[Part Name],$A1039,T_PlannedOrders[WeekIndex],31)&amp;" ("&amp;TEXT(SUMPRODUCT(MAX((T_PlannedOrders[Part Name]=$A1039)*(T_PlannedOrders[WeekIndex]=31)*(T_PlannedOrders[EffectiveQty]&gt;0)*T_PlannedOrders[Order_Month])),"m月")&amp;"発注)")</f>
        <v/>
      </c>
      <c r="AI1045">
        <f>IF(SUMIFS(T_PlannedOrders[EffectiveQty],T_PlannedOrders[Part Name],$A1039,T_PlannedOrders[WeekIndex],32)=0,"",SUMIFS(T_PlannedOrders[EffectiveQty],T_PlannedOrders[Part Name],$A1039,T_PlannedOrders[WeekIndex],32)&amp;" ("&amp;TEXT(SUMPRODUCT(MAX((T_PlannedOrders[Part Name]=$A1039)*(T_PlannedOrders[WeekIndex]=32)*(T_PlannedOrders[EffectiveQty]&gt;0)*T_PlannedOrders[Order_Month])),"m月")&amp;"発注)")</f>
        <v/>
      </c>
      <c r="AJ1045">
        <f>IF(SUMIFS(T_PlannedOrders[EffectiveQty],T_PlannedOrders[Part Name],$A1039,T_PlannedOrders[WeekIndex],33)=0,"",SUMIFS(T_PlannedOrders[EffectiveQty],T_PlannedOrders[Part Name],$A1039,T_PlannedOrders[WeekIndex],33)&amp;" ("&amp;TEXT(SUMPRODUCT(MAX((T_PlannedOrders[Part Name]=$A1039)*(T_PlannedOrders[WeekIndex]=33)*(T_PlannedOrders[EffectiveQty]&gt;0)*T_PlannedOrders[Order_Month])),"m月")&amp;"発注)")</f>
        <v/>
      </c>
      <c r="AK1045">
        <f>IF(SUMIFS(T_PlannedOrders[EffectiveQty],T_PlannedOrders[Part Name],$A1039,T_PlannedOrders[WeekIndex],34)=0,"",SUMIFS(T_PlannedOrders[EffectiveQty],T_PlannedOrders[Part Name],$A1039,T_PlannedOrders[WeekIndex],34)&amp;" ("&amp;TEXT(SUMPRODUCT(MAX((T_PlannedOrders[Part Name]=$A1039)*(T_PlannedOrders[WeekIndex]=34)*(T_PlannedOrders[EffectiveQty]&gt;0)*T_PlannedOrders[Order_Month])),"m月")&amp;"発注)")</f>
        <v/>
      </c>
      <c r="AL1045">
        <f>IF(SUMIFS(T_PlannedOrders[EffectiveQty],T_PlannedOrders[Part Name],$A1039,T_PlannedOrders[WeekIndex],35)=0,"",SUMIFS(T_PlannedOrders[EffectiveQty],T_PlannedOrders[Part Name],$A1039,T_PlannedOrders[WeekIndex],35)&amp;" ("&amp;TEXT(SUMPRODUCT(MAX((T_PlannedOrders[Part Name]=$A1039)*(T_PlannedOrders[WeekIndex]=35)*(T_PlannedOrders[EffectiveQty]&gt;0)*T_PlannedOrders[Order_Month])),"m月")&amp;"発注)")</f>
        <v/>
      </c>
      <c r="AM1045">
        <f>IF(SUMIFS(T_PlannedOrders[EffectiveQty],T_PlannedOrders[Part Name],$A1039,T_PlannedOrders[WeekIndex],36)=0,"",SUMIFS(T_PlannedOrders[EffectiveQty],T_PlannedOrders[Part Name],$A1039,T_PlannedOrders[WeekIndex],36)&amp;" ("&amp;TEXT(SUMPRODUCT(MAX((T_PlannedOrders[Part Name]=$A1039)*(T_PlannedOrders[WeekIndex]=36)*(T_PlannedOrders[EffectiveQty]&gt;0)*T_PlannedOrders[Order_Month])),"m月")&amp;"発注)")</f>
        <v/>
      </c>
      <c r="AN1045">
        <f>IF(SUMIFS(T_PlannedOrders[EffectiveQty],T_PlannedOrders[Part Name],$A1039,T_PlannedOrders[WeekIndex],37)=0,"",SUMIFS(T_PlannedOrders[EffectiveQty],T_PlannedOrders[Part Name],$A1039,T_PlannedOrders[WeekIndex],37)&amp;" ("&amp;TEXT(SUMPRODUCT(MAX((T_PlannedOrders[Part Name]=$A1039)*(T_PlannedOrders[WeekIndex]=37)*(T_PlannedOrders[EffectiveQty]&gt;0)*T_PlannedOrders[Order_Month])),"m月")&amp;"発注)")</f>
        <v/>
      </c>
      <c r="AO1045">
        <f>IF(SUMIFS(T_PlannedOrders[EffectiveQty],T_PlannedOrders[Part Name],$A1039,T_PlannedOrders[WeekIndex],38)=0,"",SUMIFS(T_PlannedOrders[EffectiveQty],T_PlannedOrders[Part Name],$A1039,T_PlannedOrders[WeekIndex],38)&amp;" ("&amp;TEXT(SUMPRODUCT(MAX((T_PlannedOrders[Part Name]=$A1039)*(T_PlannedOrders[WeekIndex]=38)*(T_PlannedOrders[EffectiveQty]&gt;0)*T_PlannedOrders[Order_Month])),"m月")&amp;"発注)")</f>
        <v/>
      </c>
      <c r="AP1045">
        <f>IF(SUMIFS(T_PlannedOrders[EffectiveQty],T_PlannedOrders[Part Name],$A1039,T_PlannedOrders[WeekIndex],39)=0,"",SUMIFS(T_PlannedOrders[EffectiveQty],T_PlannedOrders[Part Name],$A1039,T_PlannedOrders[WeekIndex],39)&amp;" ("&amp;TEXT(SUMPRODUCT(MAX((T_PlannedOrders[Part Name]=$A1039)*(T_PlannedOrders[WeekIndex]=39)*(T_PlannedOrders[EffectiveQty]&gt;0)*T_PlannedOrders[Order_Month])),"m月")&amp;"発注)")</f>
        <v/>
      </c>
      <c r="AQ1045">
        <f>IF(SUMIFS(T_PlannedOrders[EffectiveQty],T_PlannedOrders[Part Name],$A1039,T_PlannedOrders[WeekIndex],40)=0,"",SUMIFS(T_PlannedOrders[EffectiveQty],T_PlannedOrders[Part Name],$A1039,T_PlannedOrders[WeekIndex],40)&amp;" ("&amp;TEXT(SUMPRODUCT(MAX((T_PlannedOrders[Part Name]=$A1039)*(T_PlannedOrders[WeekIndex]=40)*(T_PlannedOrders[EffectiveQty]&gt;0)*T_PlannedOrders[Order_Month])),"m月")&amp;"発注)")</f>
        <v/>
      </c>
      <c r="AR1045">
        <f>IF(SUMIFS(T_PlannedOrders[EffectiveQty],T_PlannedOrders[Part Name],$A1039,T_PlannedOrders[WeekIndex],41)=0,"",SUMIFS(T_PlannedOrders[EffectiveQty],T_PlannedOrders[Part Name],$A1039,T_PlannedOrders[WeekIndex],41)&amp;" ("&amp;TEXT(SUMPRODUCT(MAX((T_PlannedOrders[Part Name]=$A1039)*(T_PlannedOrders[WeekIndex]=41)*(T_PlannedOrders[EffectiveQty]&gt;0)*T_PlannedOrders[Order_Month])),"m月")&amp;"発注)")</f>
        <v/>
      </c>
      <c r="AS1045">
        <f>IF(SUMIFS(T_PlannedOrders[EffectiveQty],T_PlannedOrders[Part Name],$A1039,T_PlannedOrders[WeekIndex],42)=0,"",SUMIFS(T_PlannedOrders[EffectiveQty],T_PlannedOrders[Part Name],$A1039,T_PlannedOrders[WeekIndex],42)&amp;" ("&amp;TEXT(SUMPRODUCT(MAX((T_PlannedOrders[Part Name]=$A1039)*(T_PlannedOrders[WeekIndex]=42)*(T_PlannedOrders[EffectiveQty]&gt;0)*T_PlannedOrders[Order_Month])),"m月")&amp;"発注)")</f>
        <v/>
      </c>
      <c r="AT1045">
        <f>IF(SUMIFS(T_PlannedOrders[EffectiveQty],T_PlannedOrders[Part Name],$A1039,T_PlannedOrders[WeekIndex],43)=0,"",SUMIFS(T_PlannedOrders[EffectiveQty],T_PlannedOrders[Part Name],$A1039,T_PlannedOrders[WeekIndex],43)&amp;" ("&amp;TEXT(SUMPRODUCT(MAX((T_PlannedOrders[Part Name]=$A1039)*(T_PlannedOrders[WeekIndex]=43)*(T_PlannedOrders[EffectiveQty]&gt;0)*T_PlannedOrders[Order_Month])),"m月")&amp;"発注)")</f>
        <v/>
      </c>
      <c r="AU1045">
        <f>IF(SUMIFS(T_PlannedOrders[EffectiveQty],T_PlannedOrders[Part Name],$A1039,T_PlannedOrders[WeekIndex],44)=0,"",SUMIFS(T_PlannedOrders[EffectiveQty],T_PlannedOrders[Part Name],$A1039,T_PlannedOrders[WeekIndex],44)&amp;" ("&amp;TEXT(SUMPRODUCT(MAX((T_PlannedOrders[Part Name]=$A1039)*(T_PlannedOrders[WeekIndex]=44)*(T_PlannedOrders[EffectiveQty]&gt;0)*T_PlannedOrders[Order_Month])),"m月")&amp;"発注)")</f>
        <v/>
      </c>
      <c r="AV1045">
        <f>IF(SUMIFS(T_PlannedOrders[EffectiveQty],T_PlannedOrders[Part Name],$A1039,T_PlannedOrders[WeekIndex],45)=0,"",SUMIFS(T_PlannedOrders[EffectiveQty],T_PlannedOrders[Part Name],$A1039,T_PlannedOrders[WeekIndex],45)&amp;" ("&amp;TEXT(SUMPRODUCT(MAX((T_PlannedOrders[Part Name]=$A1039)*(T_PlannedOrders[WeekIndex]=45)*(T_PlannedOrders[EffectiveQty]&gt;0)*T_PlannedOrders[Order_Month])),"m月")&amp;"発注)")</f>
        <v/>
      </c>
      <c r="AW1045">
        <f>IF(SUMIFS(T_PlannedOrders[EffectiveQty],T_PlannedOrders[Part Name],$A1039,T_PlannedOrders[WeekIndex],46)=0,"",SUMIFS(T_PlannedOrders[EffectiveQty],T_PlannedOrders[Part Name],$A1039,T_PlannedOrders[WeekIndex],46)&amp;" ("&amp;TEXT(SUMPRODUCT(MAX((T_PlannedOrders[Part Name]=$A1039)*(T_PlannedOrders[WeekIndex]=46)*(T_PlannedOrders[EffectiveQty]&gt;0)*T_PlannedOrders[Order_Month])),"m月")&amp;"発注)")</f>
        <v/>
      </c>
      <c r="AX1045">
        <f>IF(SUMIFS(T_PlannedOrders[EffectiveQty],T_PlannedOrders[Part Name],$A1039,T_PlannedOrders[WeekIndex],47)=0,"",SUMIFS(T_PlannedOrders[EffectiveQty],T_PlannedOrders[Part Name],$A1039,T_PlannedOrders[WeekIndex],47)&amp;" ("&amp;TEXT(SUMPRODUCT(MAX((T_PlannedOrders[Part Name]=$A1039)*(T_PlannedOrders[WeekIndex]=47)*(T_PlannedOrders[EffectiveQty]&gt;0)*T_PlannedOrders[Order_Month])),"m月")&amp;"発注)")</f>
        <v/>
      </c>
      <c r="AY1045">
        <f>IF(SUMIFS(T_PlannedOrders[EffectiveQty],T_PlannedOrders[Part Name],$A1039,T_PlannedOrders[WeekIndex],48)=0,"",SUMIFS(T_PlannedOrders[EffectiveQty],T_PlannedOrders[Part Name],$A1039,T_PlannedOrders[WeekIndex],48)&amp;" ("&amp;TEXT(SUMPRODUCT(MAX((T_PlannedOrders[Part Name]=$A1039)*(T_PlannedOrders[WeekIndex]=48)*(T_PlannedOrders[EffectiveQty]&gt;0)*T_PlannedOrders[Order_Month])),"m月")&amp;"発注)")</f>
        <v/>
      </c>
      <c r="AZ1045">
        <f>IF(SUMIFS(T_PlannedOrders[EffectiveQty],T_PlannedOrders[Part Name],$A1039,T_PlannedOrders[WeekIndex],49)=0,"",SUMIFS(T_PlannedOrders[EffectiveQty],T_PlannedOrders[Part Name],$A1039,T_PlannedOrders[WeekIndex],49)&amp;" ("&amp;TEXT(SUMPRODUCT(MAX((T_PlannedOrders[Part Name]=$A1039)*(T_PlannedOrders[WeekIndex]=49)*(T_PlannedOrders[EffectiveQty]&gt;0)*T_PlannedOrders[Order_Month])),"m月")&amp;"発注)")</f>
        <v/>
      </c>
      <c r="BA1045">
        <f>IF(SUMIFS(T_PlannedOrders[EffectiveQty],T_PlannedOrders[Part Name],$A1039,T_PlannedOrders[WeekIndex],50)=0,"",SUMIFS(T_PlannedOrders[EffectiveQty],T_PlannedOrders[Part Name],$A1039,T_PlannedOrders[WeekIndex],50)&amp;" ("&amp;TEXT(SUMPRODUCT(MAX((T_PlannedOrders[Part Name]=$A1039)*(T_PlannedOrders[WeekIndex]=50)*(T_PlannedOrders[EffectiveQty]&gt;0)*T_PlannedOrders[Order_Month])),"m月")&amp;"発注)")</f>
        <v/>
      </c>
      <c r="BB1045">
        <f>IF(SUMIFS(T_PlannedOrders[EffectiveQty],T_PlannedOrders[Part Name],$A1039,T_PlannedOrders[WeekIndex],51)=0,"",SUMIFS(T_PlannedOrders[EffectiveQty],T_PlannedOrders[Part Name],$A1039,T_PlannedOrders[WeekIndex],51)&amp;" ("&amp;TEXT(SUMPRODUCT(MAX((T_PlannedOrders[Part Name]=$A1039)*(T_PlannedOrders[WeekIndex]=51)*(T_PlannedOrders[EffectiveQty]&gt;0)*T_PlannedOrders[Order_Month])),"m月")&amp;"発注)")</f>
        <v/>
      </c>
      <c r="BC1045">
        <f>IF(SUMIFS(T_PlannedOrders[EffectiveQty],T_PlannedOrders[Part Name],$A1039,T_PlannedOrders[WeekIndex],52)=0,"",SUMIFS(T_PlannedOrders[EffectiveQty],T_PlannedOrders[Part Name],$A1039,T_PlannedOrders[WeekIndex],52)&amp;" ("&amp;TEXT(SUMPRODUCT(MAX((T_PlannedOrders[Part Name]=$A1039)*(T_PlannedOrders[WeekIndex]=52)*(T_PlannedOrders[EffectiveQty]&gt;0)*T_PlannedOrders[Order_Month])),"m月")&amp;"発注)")</f>
        <v/>
      </c>
      <c r="BD1045">
        <f>IF(SUMIFS(T_PlannedOrders[EffectiveQty],T_PlannedOrders[Part Name],$A1039,T_PlannedOrders[WeekIndex],53)=0,"",SUMIFS(T_PlannedOrders[EffectiveQty],T_PlannedOrders[Part Name],$A1039,T_PlannedOrders[WeekIndex],53)&amp;" ("&amp;TEXT(SUMPRODUCT(MAX((T_PlannedOrders[Part Name]=$A1039)*(T_PlannedOrders[WeekIndex]=53)*(T_PlannedOrders[EffectiveQty]&gt;0)*T_PlannedOrders[Order_Month])),"m月")&amp;"発注)")</f>
        <v/>
      </c>
      <c r="BE1045">
        <f>IF(SUMIFS(T_PlannedOrders[EffectiveQty],T_PlannedOrders[Part Name],$A1039,T_PlannedOrders[WeekIndex],54)=0,"",SUMIFS(T_PlannedOrders[EffectiveQty],T_PlannedOrders[Part Name],$A1039,T_PlannedOrders[WeekIndex],54)&amp;" ("&amp;TEXT(SUMPRODUCT(MAX((T_PlannedOrders[Part Name]=$A1039)*(T_PlannedOrders[WeekIndex]=54)*(T_PlannedOrders[EffectiveQty]&gt;0)*T_PlannedOrders[Order_Month])),"m月")&amp;"発注)")</f>
        <v/>
      </c>
      <c r="BF1045">
        <f>IF(SUMIFS(T_PlannedOrders[EffectiveQty],T_PlannedOrders[Part Name],$A1039,T_PlannedOrders[WeekIndex],55)=0,"",SUMIFS(T_PlannedOrders[EffectiveQty],T_PlannedOrders[Part Name],$A1039,T_PlannedOrders[WeekIndex],55)&amp;" ("&amp;TEXT(SUMPRODUCT(MAX((T_PlannedOrders[Part Name]=$A1039)*(T_PlannedOrders[WeekIndex]=55)*(T_PlannedOrders[EffectiveQty]&gt;0)*T_PlannedOrders[Order_Month])),"m月")&amp;"発注)")</f>
        <v/>
      </c>
      <c r="BG1045">
        <f>IF(SUMIFS(T_PlannedOrders[EffectiveQty],T_PlannedOrders[Part Name],$A1039,T_PlannedOrders[WeekIndex],56)=0,"",SUMIFS(T_PlannedOrders[EffectiveQty],T_PlannedOrders[Part Name],$A1039,T_PlannedOrders[WeekIndex],56)&amp;" ("&amp;TEXT(SUMPRODUCT(MAX((T_PlannedOrders[Part Name]=$A1039)*(T_PlannedOrders[WeekIndex]=56)*(T_PlannedOrders[EffectiveQty]&gt;0)*T_PlannedOrders[Order_Month])),"m月")&amp;"発注)")</f>
        <v/>
      </c>
      <c r="BH1045">
        <f>IF(SUMIFS(T_PlannedOrders[EffectiveQty],T_PlannedOrders[Part Name],$A1039,T_PlannedOrders[WeekIndex],57)=0,"",SUMIFS(T_PlannedOrders[EffectiveQty],T_PlannedOrders[Part Name],$A1039,T_PlannedOrders[WeekIndex],57)&amp;" ("&amp;TEXT(SUMPRODUCT(MAX((T_PlannedOrders[Part Name]=$A1039)*(T_PlannedOrders[WeekIndex]=57)*(T_PlannedOrders[EffectiveQty]&gt;0)*T_PlannedOrders[Order_Month])),"m月")&amp;"発注)")</f>
        <v/>
      </c>
      <c r="BI1045">
        <f>IF(SUMIFS(T_PlannedOrders[EffectiveQty],T_PlannedOrders[Part Name],$A1039,T_PlannedOrders[WeekIndex],58)=0,"",SUMIFS(T_PlannedOrders[EffectiveQty],T_PlannedOrders[Part Name],$A1039,T_PlannedOrders[WeekIndex],58)&amp;" ("&amp;TEXT(SUMPRODUCT(MAX((T_PlannedOrders[Part Name]=$A1039)*(T_PlannedOrders[WeekIndex]=58)*(T_PlannedOrders[EffectiveQty]&gt;0)*T_PlannedOrders[Order_Month])),"m月")&amp;"発注)")</f>
        <v/>
      </c>
      <c r="BJ1045">
        <f>IF(SUMIFS(T_PlannedOrders[EffectiveQty],T_PlannedOrders[Part Name],$A1039,T_PlannedOrders[WeekIndex],59)=0,"",SUMIFS(T_PlannedOrders[EffectiveQty],T_PlannedOrders[Part Name],$A1039,T_PlannedOrders[WeekIndex],59)&amp;" ("&amp;TEXT(SUMPRODUCT(MAX((T_PlannedOrders[Part Name]=$A1039)*(T_PlannedOrders[WeekIndex]=59)*(T_PlannedOrders[EffectiveQty]&gt;0)*T_PlannedOrders[Order_Month])),"m月")&amp;"発注)")</f>
        <v/>
      </c>
      <c r="BK1045">
        <f>IF(SUMIFS(T_PlannedOrders[EffectiveQty],T_PlannedOrders[Part Name],$A1039,T_PlannedOrders[WeekIndex],60)=0,"",SUMIFS(T_PlannedOrders[EffectiveQty],T_PlannedOrders[Part Name],$A1039,T_PlannedOrders[WeekIndex],60)&amp;" ("&amp;TEXT(SUMPRODUCT(MAX((T_PlannedOrders[Part Name]=$A1039)*(T_PlannedOrders[WeekIndex]=60)*(T_PlannedOrders[EffectiveQty]&gt;0)*T_PlannedOrders[Order_Month])),"m月")&amp;"発注)")</f>
        <v/>
      </c>
      <c r="BL1045">
        <f>IF(SUMIFS(T_PlannedOrders[EffectiveQty],T_PlannedOrders[Part Name],$A1039,T_PlannedOrders[WeekIndex],61)=0,"",SUMIFS(T_PlannedOrders[EffectiveQty],T_PlannedOrders[Part Name],$A1039,T_PlannedOrders[WeekIndex],61)&amp;" ("&amp;TEXT(SUMPRODUCT(MAX((T_PlannedOrders[Part Name]=$A1039)*(T_PlannedOrders[WeekIndex]=61)*(T_PlannedOrders[EffectiveQty]&gt;0)*T_PlannedOrders[Order_Month])),"m月")&amp;"発注)")</f>
        <v/>
      </c>
      <c r="BM1045">
        <f>IF(SUMIFS(T_PlannedOrders[EffectiveQty],T_PlannedOrders[Part Name],$A1039,T_PlannedOrders[WeekIndex],62)=0,"",SUMIFS(T_PlannedOrders[EffectiveQty],T_PlannedOrders[Part Name],$A1039,T_PlannedOrders[WeekIndex],62)&amp;" ("&amp;TEXT(SUMPRODUCT(MAX((T_PlannedOrders[Part Name]=$A1039)*(T_PlannedOrders[WeekIndex]=62)*(T_PlannedOrders[EffectiveQty]&gt;0)*T_PlannedOrders[Order_Month])),"m月")&amp;"発注)")</f>
        <v/>
      </c>
      <c r="BN1045">
        <f>IF(SUMIFS(T_PlannedOrders[EffectiveQty],T_PlannedOrders[Part Name],$A1039,T_PlannedOrders[WeekIndex],63)=0,"",SUMIFS(T_PlannedOrders[EffectiveQty],T_PlannedOrders[Part Name],$A1039,T_PlannedOrders[WeekIndex],63)&amp;" ("&amp;TEXT(SUMPRODUCT(MAX((T_PlannedOrders[Part Name]=$A1039)*(T_PlannedOrders[WeekIndex]=63)*(T_PlannedOrders[EffectiveQty]&gt;0)*T_PlannedOrders[Order_Month])),"m月")&amp;"発注)")</f>
        <v/>
      </c>
      <c r="BO1045">
        <f>IF(SUMIFS(T_PlannedOrders[EffectiveQty],T_PlannedOrders[Part Name],$A1039,T_PlannedOrders[WeekIndex],64)=0,"",SUMIFS(T_PlannedOrders[EffectiveQty],T_PlannedOrders[Part Name],$A1039,T_PlannedOrders[WeekIndex],64)&amp;" ("&amp;TEXT(SUMPRODUCT(MAX((T_PlannedOrders[Part Name]=$A1039)*(T_PlannedOrders[WeekIndex]=64)*(T_PlannedOrders[EffectiveQty]&gt;0)*T_PlannedOrders[Order_Month])),"m月")&amp;"発注)")</f>
        <v/>
      </c>
      <c r="BP1045">
        <f>IF(SUMIFS(T_PlannedOrders[EffectiveQty],T_PlannedOrders[Part Name],$A1039,T_PlannedOrders[WeekIndex],65)=0,"",SUMIFS(T_PlannedOrders[EffectiveQty],T_PlannedOrders[Part Name],$A1039,T_PlannedOrders[WeekIndex],65)&amp;" ("&amp;TEXT(SUMPRODUCT(MAX((T_PlannedOrders[Part Name]=$A1039)*(T_PlannedOrders[WeekIndex]=65)*(T_PlannedOrders[EffectiveQty]&gt;0)*T_PlannedOrders[Order_Month])),"m月")&amp;"発注)")</f>
        <v/>
      </c>
      <c r="BQ1045">
        <f>IF(SUMIFS(T_PlannedOrders[EffectiveQty],T_PlannedOrders[Part Name],$A1039,T_PlannedOrders[WeekIndex],66)=0,"",SUMIFS(T_PlannedOrders[EffectiveQty],T_PlannedOrders[Part Name],$A1039,T_PlannedOrders[WeekIndex],66)&amp;" ("&amp;TEXT(SUMPRODUCT(MAX((T_PlannedOrders[Part Name]=$A1039)*(T_PlannedOrders[WeekIndex]=66)*(T_PlannedOrders[EffectiveQty]&gt;0)*T_PlannedOrders[Order_Month])),"m月")&amp;"発注)")</f>
        <v/>
      </c>
      <c r="BR1045">
        <f>IF(SUMIFS(T_PlannedOrders[EffectiveQty],T_PlannedOrders[Part Name],$A1039,T_PlannedOrders[WeekIndex],67)=0,"",SUMIFS(T_PlannedOrders[EffectiveQty],T_PlannedOrders[Part Name],$A1039,T_PlannedOrders[WeekIndex],67)&amp;" ("&amp;TEXT(SUMPRODUCT(MAX((T_PlannedOrders[Part Name]=$A1039)*(T_PlannedOrders[WeekIndex]=67)*(T_PlannedOrders[EffectiveQty]&gt;0)*T_PlannedOrders[Order_Month])),"m月")&amp;"発注)")</f>
        <v/>
      </c>
      <c r="BS1045">
        <f>IF(SUMIFS(T_PlannedOrders[EffectiveQty],T_PlannedOrders[Part Name],$A1039,T_PlannedOrders[WeekIndex],68)=0,"",SUMIFS(T_PlannedOrders[EffectiveQty],T_PlannedOrders[Part Name],$A1039,T_PlannedOrders[WeekIndex],68)&amp;" ("&amp;TEXT(SUMPRODUCT(MAX((T_PlannedOrders[Part Name]=$A1039)*(T_PlannedOrders[WeekIndex]=68)*(T_PlannedOrders[EffectiveQty]&gt;0)*T_PlannedOrders[Order_Month])),"m月")&amp;"発注)")</f>
        <v/>
      </c>
      <c r="BT1045">
        <f>IF(SUMIFS(T_PlannedOrders[EffectiveQty],T_PlannedOrders[Part Name],$A1039,T_PlannedOrders[WeekIndex],69)=0,"",SUMIFS(T_PlannedOrders[EffectiveQty],T_PlannedOrders[Part Name],$A1039,T_PlannedOrders[WeekIndex],69)&amp;" ("&amp;TEXT(SUMPRODUCT(MAX((T_PlannedOrders[Part Name]=$A1039)*(T_PlannedOrders[WeekIndex]=69)*(T_PlannedOrders[EffectiveQty]&gt;0)*T_PlannedOrders[Order_Month])),"m月")&amp;"発注)")</f>
        <v/>
      </c>
      <c r="BU1045">
        <f>IF(SUMIFS(T_PlannedOrders[EffectiveQty],T_PlannedOrders[Part Name],$A1039,T_PlannedOrders[WeekIndex],70)=0,"",SUMIFS(T_PlannedOrders[EffectiveQty],T_PlannedOrders[Part Name],$A1039,T_PlannedOrders[WeekIndex],70)&amp;" ("&amp;TEXT(SUMPRODUCT(MAX((T_PlannedOrders[Part Name]=$A1039)*(T_PlannedOrders[WeekIndex]=70)*(T_PlannedOrders[EffectiveQty]&gt;0)*T_PlannedOrders[Order_Month])),"m月")&amp;"発注)")</f>
        <v/>
      </c>
      <c r="BV1045">
        <f>IF(SUMIFS(T_PlannedOrders[EffectiveQty],T_PlannedOrders[Part Name],$A1039,T_PlannedOrders[WeekIndex],71)=0,"",SUMIFS(T_PlannedOrders[EffectiveQty],T_PlannedOrders[Part Name],$A1039,T_PlannedOrders[WeekIndex],71)&amp;" ("&amp;TEXT(SUMPRODUCT(MAX((T_PlannedOrders[Part Name]=$A1039)*(T_PlannedOrders[WeekIndex]=71)*(T_PlannedOrders[EffectiveQty]&gt;0)*T_PlannedOrders[Order_Month])),"m月")&amp;"発注)")</f>
        <v/>
      </c>
      <c r="BW1045">
        <f>IF(SUMIFS(T_PlannedOrders[EffectiveQty],T_PlannedOrders[Part Name],$A1039,T_PlannedOrders[WeekIndex],72)=0,"",SUMIFS(T_PlannedOrders[EffectiveQty],T_PlannedOrders[Part Name],$A1039,T_PlannedOrders[WeekIndex],72)&amp;" ("&amp;TEXT(SUMPRODUCT(MAX((T_PlannedOrders[Part Name]=$A1039)*(T_PlannedOrders[WeekIndex]=72)*(T_PlannedOrders[EffectiveQty]&gt;0)*T_PlannedOrders[Order_Month])),"m月")&amp;"発注)")</f>
        <v/>
      </c>
      <c r="BX1045">
        <f>IF(SUMIFS(T_PlannedOrders[EffectiveQty],T_PlannedOrders[Part Name],$A1039,T_PlannedOrders[WeekIndex],73)=0,"",SUMIFS(T_PlannedOrders[EffectiveQty],T_PlannedOrders[Part Name],$A1039,T_PlannedOrders[WeekIndex],73)&amp;" ("&amp;TEXT(SUMPRODUCT(MAX((T_PlannedOrders[Part Name]=$A1039)*(T_PlannedOrders[WeekIndex]=73)*(T_PlannedOrders[EffectiveQty]&gt;0)*T_PlannedOrders[Order_Month])),"m月")&amp;"発注)")</f>
        <v/>
      </c>
      <c r="BY1045">
        <f>IF(SUMIFS(T_PlannedOrders[EffectiveQty],T_PlannedOrders[Part Name],$A1039,T_PlannedOrders[WeekIndex],74)=0,"",SUMIFS(T_PlannedOrders[EffectiveQty],T_PlannedOrders[Part Name],$A1039,T_PlannedOrders[WeekIndex],74)&amp;" ("&amp;TEXT(SUMPRODUCT(MAX((T_PlannedOrders[Part Name]=$A1039)*(T_PlannedOrders[WeekIndex]=74)*(T_PlannedOrders[EffectiveQty]&gt;0)*T_PlannedOrders[Order_Month])),"m月")&amp;"発注)")</f>
        <v/>
      </c>
      <c r="BZ1045">
        <f>IF(SUMIFS(T_PlannedOrders[EffectiveQty],T_PlannedOrders[Part Name],$A1039,T_PlannedOrders[WeekIndex],75)=0,"",SUMIFS(T_PlannedOrders[EffectiveQty],T_PlannedOrders[Part Name],$A1039,T_PlannedOrders[WeekIndex],75)&amp;" ("&amp;TEXT(SUMPRODUCT(MAX((T_PlannedOrders[Part Name]=$A1039)*(T_PlannedOrders[WeekIndex]=75)*(T_PlannedOrders[EffectiveQty]&gt;0)*T_PlannedOrders[Order_Month])),"m月")&amp;"発注)")</f>
        <v/>
      </c>
      <c r="CA1045">
        <f>IF(SUMIFS(T_PlannedOrders[EffectiveQty],T_PlannedOrders[Part Name],$A1039,T_PlannedOrders[WeekIndex],76)=0,"",SUMIFS(T_PlannedOrders[EffectiveQty],T_PlannedOrders[Part Name],$A1039,T_PlannedOrders[WeekIndex],76)&amp;" ("&amp;TEXT(SUMPRODUCT(MAX((T_PlannedOrders[Part Name]=$A1039)*(T_PlannedOrders[WeekIndex]=76)*(T_PlannedOrders[EffectiveQty]&gt;0)*T_PlannedOrders[Order_Month])),"m月")&amp;"発注)")</f>
        <v/>
      </c>
      <c r="CB1045">
        <f>IF(SUMIFS(T_PlannedOrders[EffectiveQty],T_PlannedOrders[Part Name],$A1039,T_PlannedOrders[WeekIndex],77)=0,"",SUMIFS(T_PlannedOrders[EffectiveQty],T_PlannedOrders[Part Name],$A1039,T_PlannedOrders[WeekIndex],77)&amp;" ("&amp;TEXT(SUMPRODUCT(MAX((T_PlannedOrders[Part Name]=$A1039)*(T_PlannedOrders[WeekIndex]=77)*(T_PlannedOrders[EffectiveQty]&gt;0)*T_PlannedOrders[Order_Month])),"m月")&amp;"発注)")</f>
        <v/>
      </c>
      <c r="CC1045">
        <f>IF(SUMIFS(T_PlannedOrders[EffectiveQty],T_PlannedOrders[Part Name],$A1039,T_PlannedOrders[WeekIndex],78)=0,"",SUMIFS(T_PlannedOrders[EffectiveQty],T_PlannedOrders[Part Name],$A1039,T_PlannedOrders[WeekIndex],78)&amp;" ("&amp;TEXT(SUMPRODUCT(MAX((T_PlannedOrders[Part Name]=$A1039)*(T_PlannedOrders[WeekIndex]=78)*(T_PlannedOrders[EffectiveQty]&gt;0)*T_PlannedOrders[Order_Month])),"m月")&amp;"発注)")</f>
        <v/>
      </c>
      <c r="CD1045">
        <f>IF(SUMIFS(T_PlannedOrders[EffectiveQty],T_PlannedOrders[Part Name],$A1039,T_PlannedOrders[WeekIndex],79)=0,"",SUMIFS(T_PlannedOrders[EffectiveQty],T_PlannedOrders[Part Name],$A1039,T_PlannedOrders[WeekIndex],79)&amp;" ("&amp;TEXT(SUMPRODUCT(MAX((T_PlannedOrders[Part Name]=$A1039)*(T_PlannedOrders[WeekIndex]=79)*(T_PlannedOrders[EffectiveQty]&gt;0)*T_PlannedOrders[Order_Month])),"m月")&amp;"発注)")</f>
        <v/>
      </c>
      <c r="CE1045">
        <f>IF(SUMIFS(T_PlannedOrders[EffectiveQty],T_PlannedOrders[Part Name],$A1039,T_PlannedOrders[WeekIndex],80)=0,"",SUMIFS(T_PlannedOrders[EffectiveQty],T_PlannedOrders[Part Name],$A1039,T_PlannedOrders[WeekIndex],80)&amp;" ("&amp;TEXT(SUMPRODUCT(MAX((T_PlannedOrders[Part Name]=$A1039)*(T_PlannedOrders[WeekIndex]=80)*(T_PlannedOrders[EffectiveQty]&gt;0)*T_PlannedOrders[Order_Month])),"m月")&amp;"発注)")</f>
        <v/>
      </c>
      <c r="CF1045">
        <f>IF(SUMIFS(T_PlannedOrders[EffectiveQty],T_PlannedOrders[Part Name],$A1039,T_PlannedOrders[WeekIndex],81)=0,"",SUMIFS(T_PlannedOrders[EffectiveQty],T_PlannedOrders[Part Name],$A1039,T_PlannedOrders[WeekIndex],81)&amp;" ("&amp;TEXT(SUMPRODUCT(MAX((T_PlannedOrders[Part Name]=$A1039)*(T_PlannedOrders[WeekIndex]=81)*(T_PlannedOrders[EffectiveQty]&gt;0)*T_PlannedOrders[Order_Month])),"m月")&amp;"発注)")</f>
        <v/>
      </c>
      <c r="CG1045">
        <f>IF(SUMIFS(T_PlannedOrders[EffectiveQty],T_PlannedOrders[Part Name],$A1039,T_PlannedOrders[WeekIndex],82)=0,"",SUMIFS(T_PlannedOrders[EffectiveQty],T_PlannedOrders[Part Name],$A1039,T_PlannedOrders[WeekIndex],82)&amp;" ("&amp;TEXT(SUMPRODUCT(MAX((T_PlannedOrders[Part Name]=$A1039)*(T_PlannedOrders[WeekIndex]=82)*(T_PlannedOrders[EffectiveQty]&gt;0)*T_PlannedOrders[Order_Month])),"m月")&amp;"発注)")</f>
        <v/>
      </c>
      <c r="CH1045">
        <f>IF(SUMIFS(T_PlannedOrders[EffectiveQty],T_PlannedOrders[Part Name],$A1039,T_PlannedOrders[WeekIndex],83)=0,"",SUMIFS(T_PlannedOrders[EffectiveQty],T_PlannedOrders[Part Name],$A1039,T_PlannedOrders[WeekIndex],83)&amp;" ("&amp;TEXT(SUMPRODUCT(MAX((T_PlannedOrders[Part Name]=$A1039)*(T_PlannedOrders[WeekIndex]=83)*(T_PlannedOrders[EffectiveQty]&gt;0)*T_PlannedOrders[Order_Month])),"m月")&amp;"発注)")</f>
        <v/>
      </c>
      <c r="CI1045">
        <f>IF(SUMIFS(T_PlannedOrders[EffectiveQty],T_PlannedOrders[Part Name],$A1039,T_PlannedOrders[WeekIndex],84)=0,"",SUMIFS(T_PlannedOrders[EffectiveQty],T_PlannedOrders[Part Name],$A1039,T_PlannedOrders[WeekIndex],84)&amp;" ("&amp;TEXT(SUMPRODUCT(MAX((T_PlannedOrders[Part Name]=$A1039)*(T_PlannedOrders[WeekIndex]=84)*(T_PlannedOrders[EffectiveQty]&gt;0)*T_PlannedOrders[Order_Month])),"m月")&amp;"発注)")</f>
        <v/>
      </c>
      <c r="CJ1045">
        <f>IF(SUMIFS(T_PlannedOrders[EffectiveQty],T_PlannedOrders[Part Name],$A1039,T_PlannedOrders[WeekIndex],85)=0,"",SUMIFS(T_PlannedOrders[EffectiveQty],T_PlannedOrders[Part Name],$A1039,T_PlannedOrders[WeekIndex],85)&amp;" ("&amp;TEXT(SUMPRODUCT(MAX((T_PlannedOrders[Part Name]=$A1039)*(T_PlannedOrders[WeekIndex]=85)*(T_PlannedOrders[EffectiveQty]&gt;0)*T_PlannedOrders[Order_Month])),"m月")&amp;"発注)")</f>
        <v/>
      </c>
      <c r="CK1045">
        <f>IF(SUMIFS(T_PlannedOrders[EffectiveQty],T_PlannedOrders[Part Name],$A1039,T_PlannedOrders[WeekIndex],86)=0,"",SUMIFS(T_PlannedOrders[EffectiveQty],T_PlannedOrders[Part Name],$A1039,T_PlannedOrders[WeekIndex],86)&amp;" ("&amp;TEXT(SUMPRODUCT(MAX((T_PlannedOrders[Part Name]=$A1039)*(T_PlannedOrders[WeekIndex]=86)*(T_PlannedOrders[EffectiveQty]&gt;0)*T_PlannedOrders[Order_Month])),"m月")&amp;"発注)")</f>
        <v/>
      </c>
      <c r="CL1045">
        <f>IF(SUMIFS(T_PlannedOrders[EffectiveQty],T_PlannedOrders[Part Name],$A1039,T_PlannedOrders[WeekIndex],87)=0,"",SUMIFS(T_PlannedOrders[EffectiveQty],T_PlannedOrders[Part Name],$A1039,T_PlannedOrders[WeekIndex],87)&amp;" ("&amp;TEXT(SUMPRODUCT(MAX((T_PlannedOrders[Part Name]=$A1039)*(T_PlannedOrders[WeekIndex]=87)*(T_PlannedOrders[EffectiveQty]&gt;0)*T_PlannedOrders[Order_Month])),"m月")&amp;"発注)")</f>
        <v/>
      </c>
      <c r="CM1045">
        <f>IF(SUMIFS(T_PlannedOrders[EffectiveQty],T_PlannedOrders[Part Name],$A1039,T_PlannedOrders[WeekIndex],88)=0,"",SUMIFS(T_PlannedOrders[EffectiveQty],T_PlannedOrders[Part Name],$A1039,T_PlannedOrders[WeekIndex],88)&amp;" ("&amp;TEXT(SUMPRODUCT(MAX((T_PlannedOrders[Part Name]=$A1039)*(T_PlannedOrders[WeekIndex]=88)*(T_PlannedOrders[EffectiveQty]&gt;0)*T_PlannedOrders[Order_Month])),"m月")&amp;"発注)")</f>
        <v/>
      </c>
      <c r="CN1045">
        <f>IF(SUMIFS(T_PlannedOrders[EffectiveQty],T_PlannedOrders[Part Name],$A1039,T_PlannedOrders[WeekIndex],89)=0,"",SUMIFS(T_PlannedOrders[EffectiveQty],T_PlannedOrders[Part Name],$A1039,T_PlannedOrders[WeekIndex],89)&amp;" ("&amp;TEXT(SUMPRODUCT(MAX((T_PlannedOrders[Part Name]=$A1039)*(T_PlannedOrders[WeekIndex]=89)*(T_PlannedOrders[EffectiveQty]&gt;0)*T_PlannedOrders[Order_Month])),"m月")&amp;"発注)")</f>
        <v/>
      </c>
      <c r="CO1045">
        <f>IF(SUMIFS(T_PlannedOrders[EffectiveQty],T_PlannedOrders[Part Name],$A1039,T_PlannedOrders[WeekIndex],90)=0,"",SUMIFS(T_PlannedOrders[EffectiveQty],T_PlannedOrders[Part Name],$A1039,T_PlannedOrders[WeekIndex],90)&amp;" ("&amp;TEXT(SUMPRODUCT(MAX((T_PlannedOrders[Part Name]=$A1039)*(T_PlannedOrders[WeekIndex]=90)*(T_PlannedOrders[EffectiveQty]&gt;0)*T_PlannedOrders[Order_Month])),"m月")&amp;"発注)")</f>
        <v/>
      </c>
      <c r="CP1045">
        <f>IF(SUMIFS(T_PlannedOrders[EffectiveQty],T_PlannedOrders[Part Name],$A1039,T_PlannedOrders[WeekIndex],91)=0,"",SUMIFS(T_PlannedOrders[EffectiveQty],T_PlannedOrders[Part Name],$A1039,T_PlannedOrders[WeekIndex],91)&amp;" ("&amp;TEXT(SUMPRODUCT(MAX((T_PlannedOrders[Part Name]=$A1039)*(T_PlannedOrders[WeekIndex]=91)*(T_PlannedOrders[EffectiveQty]&gt;0)*T_PlannedOrders[Order_Month])),"m月")&amp;"発注)")</f>
        <v/>
      </c>
      <c r="CQ1045">
        <f>IF(SUMIFS(T_PlannedOrders[EffectiveQty],T_PlannedOrders[Part Name],$A1039,T_PlannedOrders[WeekIndex],92)=0,"",SUMIFS(T_PlannedOrders[EffectiveQty],T_PlannedOrders[Part Name],$A1039,T_PlannedOrders[WeekIndex],92)&amp;" ("&amp;TEXT(SUMPRODUCT(MAX((T_PlannedOrders[Part Name]=$A1039)*(T_PlannedOrders[WeekIndex]=92)*(T_PlannedOrders[EffectiveQty]&gt;0)*T_PlannedOrders[Order_Month])),"m月")&amp;"発注)")</f>
        <v/>
      </c>
      <c r="CR1045">
        <f>IF(SUMIFS(T_PlannedOrders[EffectiveQty],T_PlannedOrders[Part Name],$A1039,T_PlannedOrders[WeekIndex],93)=0,"",SUMIFS(T_PlannedOrders[EffectiveQty],T_PlannedOrders[Part Name],$A1039,T_PlannedOrders[WeekIndex],93)&amp;" ("&amp;TEXT(SUMPRODUCT(MAX((T_PlannedOrders[Part Name]=$A1039)*(T_PlannedOrders[WeekIndex]=93)*(T_PlannedOrders[EffectiveQty]&gt;0)*T_PlannedOrders[Order_Month])),"m月")&amp;"発注)")</f>
        <v/>
      </c>
      <c r="CS1045">
        <f>IF(SUMIFS(T_PlannedOrders[EffectiveQty],T_PlannedOrders[Part Name],$A1039,T_PlannedOrders[WeekIndex],94)=0,"",SUMIFS(T_PlannedOrders[EffectiveQty],T_PlannedOrders[Part Name],$A1039,T_PlannedOrders[WeekIndex],94)&amp;" ("&amp;TEXT(SUMPRODUCT(MAX((T_PlannedOrders[Part Name]=$A1039)*(T_PlannedOrders[WeekIndex]=94)*(T_PlannedOrders[EffectiveQty]&gt;0)*T_PlannedOrders[Order_Month])),"m月")&amp;"発注)")</f>
        <v/>
      </c>
      <c r="CT1045">
        <f>IF(SUMIFS(T_PlannedOrders[EffectiveQty],T_PlannedOrders[Part Name],$A1039,T_PlannedOrders[WeekIndex],95)=0,"",SUMIFS(T_PlannedOrders[EffectiveQty],T_PlannedOrders[Part Name],$A1039,T_PlannedOrders[WeekIndex],95)&amp;" ("&amp;TEXT(SUMPRODUCT(MAX((T_PlannedOrders[Part Name]=$A1039)*(T_PlannedOrders[WeekIndex]=95)*(T_PlannedOrders[EffectiveQty]&gt;0)*T_PlannedOrders[Order_Month])),"m月")&amp;"発注)")</f>
        <v/>
      </c>
      <c r="CU1045">
        <f>IF(SUMIFS(T_PlannedOrders[EffectiveQty],T_PlannedOrders[Part Name],$A1039,T_PlannedOrders[WeekIndex],96)=0,"",SUMIFS(T_PlannedOrders[EffectiveQty],T_PlannedOrders[Part Name],$A1039,T_PlannedOrders[WeekIndex],96)&amp;" ("&amp;TEXT(SUMPRODUCT(MAX((T_PlannedOrders[Part Name]=$A1039)*(T_PlannedOrders[WeekIndex]=96)*(T_PlannedOrders[EffectiveQty]&gt;0)*T_PlannedOrders[Order_Month])),"m月")&amp;"発注)")</f>
        <v/>
      </c>
      <c r="CV1045">
        <f>IF(SUMIFS(T_PlannedOrders[EffectiveQty],T_PlannedOrders[Part Name],$A1039,T_PlannedOrders[WeekIndex],97)=0,"",SUMIFS(T_PlannedOrders[EffectiveQty],T_PlannedOrders[Part Name],$A1039,T_PlannedOrders[WeekIndex],97)&amp;" ("&amp;TEXT(SUMPRODUCT(MAX((T_PlannedOrders[Part Name]=$A1039)*(T_PlannedOrders[WeekIndex]=97)*(T_PlannedOrders[EffectiveQty]&gt;0)*T_PlannedOrders[Order_Month])),"m月")&amp;"発注)")</f>
        <v/>
      </c>
      <c r="CW1045">
        <f>IF(SUMIFS(T_PlannedOrders[EffectiveQty],T_PlannedOrders[Part Name],$A1039,T_PlannedOrders[WeekIndex],98)=0,"",SUMIFS(T_PlannedOrders[EffectiveQty],T_PlannedOrders[Part Name],$A1039,T_PlannedOrders[WeekIndex],98)&amp;" ("&amp;TEXT(SUMPRODUCT(MAX((T_PlannedOrders[Part Name]=$A1039)*(T_PlannedOrders[WeekIndex]=98)*(T_PlannedOrders[EffectiveQty]&gt;0)*T_PlannedOrders[Order_Month])),"m月")&amp;"発注)")</f>
        <v/>
      </c>
      <c r="CX1045">
        <f>IF(SUMIFS(T_PlannedOrders[EffectiveQty],T_PlannedOrders[Part Name],$A1039,T_PlannedOrders[WeekIndex],99)=0,"",SUMIFS(T_PlannedOrders[EffectiveQty],T_PlannedOrders[Part Name],$A1039,T_PlannedOrders[WeekIndex],99)&amp;" ("&amp;TEXT(SUMPRODUCT(MAX((T_PlannedOrders[Part Name]=$A1039)*(T_PlannedOrders[WeekIndex]=99)*(T_PlannedOrders[EffectiveQty]&gt;0)*T_PlannedOrders[Order_Month])),"m月")&amp;"発注)")</f>
        <v/>
      </c>
      <c r="CY1045">
        <f>IF(SUMIFS(T_PlannedOrders[EffectiveQty],T_PlannedOrders[Part Name],$A1039,T_PlannedOrders[WeekIndex],100)=0,"",SUMIFS(T_PlannedOrders[EffectiveQty],T_PlannedOrders[Part Name],$A1039,T_PlannedOrders[WeekIndex],100)&amp;" ("&amp;TEXT(SUMPRODUCT(MAX((T_PlannedOrders[Part Name]=$A1039)*(T_PlannedOrders[WeekIndex]=100)*(T_PlannedOrders[EffectiveQty]&gt;0)*T_PlannedOrders[Order_Month])),"m月")&amp;"発注)")</f>
        <v/>
      </c>
      <c r="CZ1045">
        <f>IF(SUMIFS(T_PlannedOrders[EffectiveQty],T_PlannedOrders[Part Name],$A1039,T_PlannedOrders[WeekIndex],101)=0,"",SUMIFS(T_PlannedOrders[EffectiveQty],T_PlannedOrders[Part Name],$A1039,T_PlannedOrders[WeekIndex],101)&amp;" ("&amp;TEXT(SUMPRODUCT(MAX((T_PlannedOrders[Part Name]=$A1039)*(T_PlannedOrders[WeekIndex]=101)*(T_PlannedOrders[EffectiveQty]&gt;0)*T_PlannedOrders[Order_Month])),"m月")&amp;"発注)")</f>
        <v/>
      </c>
      <c r="DA1045">
        <f>IF(SUMIFS(T_PlannedOrders[EffectiveQty],T_PlannedOrders[Part Name],$A1039,T_PlannedOrders[WeekIndex],102)=0,"",SUMIFS(T_PlannedOrders[EffectiveQty],T_PlannedOrders[Part Name],$A1039,T_PlannedOrders[WeekIndex],102)&amp;" ("&amp;TEXT(SUMPRODUCT(MAX((T_PlannedOrders[Part Name]=$A1039)*(T_PlannedOrders[WeekIndex]=102)*(T_PlannedOrders[EffectiveQty]&gt;0)*T_PlannedOrders[Order_Month])),"m月")&amp;"発注)")</f>
        <v/>
      </c>
      <c r="DB1045">
        <f>IF(SUMIFS(T_PlannedOrders[EffectiveQty],T_PlannedOrders[Part Name],$A1039,T_PlannedOrders[WeekIndex],103)=0,"",SUMIFS(T_PlannedOrders[EffectiveQty],T_PlannedOrders[Part Name],$A1039,T_PlannedOrders[WeekIndex],103)&amp;" ("&amp;TEXT(SUMPRODUCT(MAX((T_PlannedOrders[Part Name]=$A1039)*(T_PlannedOrders[WeekIndex]=103)*(T_PlannedOrders[EffectiveQty]&gt;0)*T_PlannedOrders[Order_Month])),"m月")&amp;"発注)")</f>
        <v/>
      </c>
      <c r="DC1045">
        <f>IF(SUMIFS(T_PlannedOrders[EffectiveQty],T_PlannedOrders[Part Name],$A1039,T_PlannedOrders[WeekIndex],104)=0,"",SUMIFS(T_PlannedOrders[EffectiveQty],T_PlannedOrders[Part Name],$A1039,T_PlannedOrders[WeekIndex],104)&amp;" ("&amp;TEXT(SUMPRODUCT(MAX((T_PlannedOrders[Part Name]=$A1039)*(T_PlannedOrders[WeekIndex]=104)*(T_PlannedOrders[EffectiveQty]&gt;0)*T_PlannedOrders[Order_Month])),"m月")&amp;"発注)")</f>
        <v/>
      </c>
    </row>
    <row r="1046">
      <c r="B1046" s="4" t="inlineStr">
        <is>
          <t>合計在庫(週末時点,kg)</t>
        </is>
      </c>
      <c r="D1046">
        <f>'Grid_Stock'!B30</f>
        <v/>
      </c>
      <c r="E1046">
        <f>'Grid_Stock'!C30</f>
        <v/>
      </c>
      <c r="F1046">
        <f>'Grid_Stock'!D30</f>
        <v/>
      </c>
      <c r="G1046">
        <f>'Grid_Stock'!E30</f>
        <v/>
      </c>
      <c r="H1046">
        <f>'Grid_Stock'!F30</f>
        <v/>
      </c>
      <c r="I1046">
        <f>'Grid_Stock'!G30</f>
        <v/>
      </c>
      <c r="J1046">
        <f>'Grid_Stock'!H30</f>
        <v/>
      </c>
      <c r="K1046">
        <f>'Grid_Stock'!I30</f>
        <v/>
      </c>
      <c r="L1046">
        <f>'Grid_Stock'!J30</f>
        <v/>
      </c>
      <c r="M1046">
        <f>'Grid_Stock'!K30</f>
        <v/>
      </c>
      <c r="N1046">
        <f>'Grid_Stock'!L30</f>
        <v/>
      </c>
      <c r="O1046">
        <f>'Grid_Stock'!M30</f>
        <v/>
      </c>
      <c r="P1046">
        <f>'Grid_Stock'!N30</f>
        <v/>
      </c>
      <c r="Q1046">
        <f>'Grid_Stock'!O30</f>
        <v/>
      </c>
      <c r="R1046">
        <f>'Grid_Stock'!P30</f>
        <v/>
      </c>
      <c r="S1046">
        <f>'Grid_Stock'!Q30</f>
        <v/>
      </c>
      <c r="T1046">
        <f>'Grid_Stock'!R30</f>
        <v/>
      </c>
      <c r="U1046">
        <f>'Grid_Stock'!S30</f>
        <v/>
      </c>
      <c r="V1046">
        <f>'Grid_Stock'!T30</f>
        <v/>
      </c>
      <c r="W1046">
        <f>'Grid_Stock'!U30</f>
        <v/>
      </c>
      <c r="X1046">
        <f>'Grid_Stock'!V30</f>
        <v/>
      </c>
      <c r="Y1046">
        <f>'Grid_Stock'!W30</f>
        <v/>
      </c>
      <c r="Z1046">
        <f>'Grid_Stock'!X30</f>
        <v/>
      </c>
      <c r="AA1046">
        <f>'Grid_Stock'!Y30</f>
        <v/>
      </c>
      <c r="AB1046">
        <f>'Grid_Stock'!Z30</f>
        <v/>
      </c>
      <c r="AC1046">
        <f>'Grid_Stock'!AA30</f>
        <v/>
      </c>
      <c r="AD1046">
        <f>'Grid_Stock'!AB30</f>
        <v/>
      </c>
      <c r="AE1046">
        <f>'Grid_Stock'!AC30</f>
        <v/>
      </c>
      <c r="AF1046">
        <f>'Grid_Stock'!AD30</f>
        <v/>
      </c>
      <c r="AG1046">
        <f>'Grid_Stock'!AE30</f>
        <v/>
      </c>
      <c r="AH1046">
        <f>'Grid_Stock'!AF30</f>
        <v/>
      </c>
      <c r="AI1046">
        <f>'Grid_Stock'!AG30</f>
        <v/>
      </c>
      <c r="AJ1046">
        <f>'Grid_Stock'!AH30</f>
        <v/>
      </c>
      <c r="AK1046">
        <f>'Grid_Stock'!AI30</f>
        <v/>
      </c>
      <c r="AL1046">
        <f>'Grid_Stock'!AJ30</f>
        <v/>
      </c>
      <c r="AM1046">
        <f>'Grid_Stock'!AK30</f>
        <v/>
      </c>
      <c r="AN1046">
        <f>'Grid_Stock'!AL30</f>
        <v/>
      </c>
      <c r="AO1046">
        <f>'Grid_Stock'!AM30</f>
        <v/>
      </c>
      <c r="AP1046">
        <f>'Grid_Stock'!AN30</f>
        <v/>
      </c>
      <c r="AQ1046">
        <f>'Grid_Stock'!AO30</f>
        <v/>
      </c>
      <c r="AR1046">
        <f>'Grid_Stock'!AP30</f>
        <v/>
      </c>
      <c r="AS1046">
        <f>'Grid_Stock'!AQ30</f>
        <v/>
      </c>
      <c r="AT1046">
        <f>'Grid_Stock'!AR30</f>
        <v/>
      </c>
      <c r="AU1046">
        <f>'Grid_Stock'!AS30</f>
        <v/>
      </c>
      <c r="AV1046">
        <f>'Grid_Stock'!AT30</f>
        <v/>
      </c>
      <c r="AW1046">
        <f>'Grid_Stock'!AU30</f>
        <v/>
      </c>
      <c r="AX1046">
        <f>'Grid_Stock'!AV30</f>
        <v/>
      </c>
      <c r="AY1046">
        <f>'Grid_Stock'!AW30</f>
        <v/>
      </c>
      <c r="AZ1046">
        <f>'Grid_Stock'!AX30</f>
        <v/>
      </c>
      <c r="BA1046">
        <f>'Grid_Stock'!AY30</f>
        <v/>
      </c>
      <c r="BB1046">
        <f>'Grid_Stock'!AZ30</f>
        <v/>
      </c>
      <c r="BC1046">
        <f>'Grid_Stock'!BA30</f>
        <v/>
      </c>
      <c r="BD1046">
        <f>'Grid_Stock'!BB30</f>
        <v/>
      </c>
      <c r="BE1046">
        <f>'Grid_Stock'!BC30</f>
        <v/>
      </c>
      <c r="BF1046">
        <f>'Grid_Stock'!BD30</f>
        <v/>
      </c>
      <c r="BG1046">
        <f>'Grid_Stock'!BE30</f>
        <v/>
      </c>
      <c r="BH1046">
        <f>'Grid_Stock'!BF30</f>
        <v/>
      </c>
      <c r="BI1046">
        <f>'Grid_Stock'!BG30</f>
        <v/>
      </c>
      <c r="BJ1046">
        <f>'Grid_Stock'!BH30</f>
        <v/>
      </c>
      <c r="BK1046">
        <f>'Grid_Stock'!BI30</f>
        <v/>
      </c>
      <c r="BL1046">
        <f>'Grid_Stock'!BJ30</f>
        <v/>
      </c>
      <c r="BM1046">
        <f>'Grid_Stock'!BK30</f>
        <v/>
      </c>
      <c r="BN1046">
        <f>'Grid_Stock'!BL30</f>
        <v/>
      </c>
      <c r="BO1046">
        <f>'Grid_Stock'!BM30</f>
        <v/>
      </c>
      <c r="BP1046">
        <f>'Grid_Stock'!BN30</f>
        <v/>
      </c>
      <c r="BQ1046">
        <f>'Grid_Stock'!BO30</f>
        <v/>
      </c>
      <c r="BR1046">
        <f>'Grid_Stock'!BP30</f>
        <v/>
      </c>
      <c r="BS1046">
        <f>'Grid_Stock'!BQ30</f>
        <v/>
      </c>
      <c r="BT1046">
        <f>'Grid_Stock'!BR30</f>
        <v/>
      </c>
      <c r="BU1046">
        <f>'Grid_Stock'!BS30</f>
        <v/>
      </c>
      <c r="BV1046">
        <f>'Grid_Stock'!BT30</f>
        <v/>
      </c>
      <c r="BW1046">
        <f>'Grid_Stock'!BU30</f>
        <v/>
      </c>
      <c r="BX1046">
        <f>'Grid_Stock'!BV30</f>
        <v/>
      </c>
      <c r="BY1046">
        <f>'Grid_Stock'!BW30</f>
        <v/>
      </c>
      <c r="BZ1046">
        <f>'Grid_Stock'!BX30</f>
        <v/>
      </c>
      <c r="CA1046">
        <f>'Grid_Stock'!BY30</f>
        <v/>
      </c>
      <c r="CB1046">
        <f>'Grid_Stock'!BZ30</f>
        <v/>
      </c>
      <c r="CC1046">
        <f>'Grid_Stock'!CA30</f>
        <v/>
      </c>
      <c r="CD1046">
        <f>'Grid_Stock'!CB30</f>
        <v/>
      </c>
      <c r="CE1046">
        <f>'Grid_Stock'!CC30</f>
        <v/>
      </c>
      <c r="CF1046">
        <f>'Grid_Stock'!CD30</f>
        <v/>
      </c>
      <c r="CG1046">
        <f>'Grid_Stock'!CE30</f>
        <v/>
      </c>
      <c r="CH1046">
        <f>'Grid_Stock'!CF30</f>
        <v/>
      </c>
      <c r="CI1046">
        <f>'Grid_Stock'!CG30</f>
        <v/>
      </c>
      <c r="CJ1046">
        <f>'Grid_Stock'!CH30</f>
        <v/>
      </c>
      <c r="CK1046">
        <f>'Grid_Stock'!CI30</f>
        <v/>
      </c>
      <c r="CL1046">
        <f>'Grid_Stock'!CJ30</f>
        <v/>
      </c>
      <c r="CM1046">
        <f>'Grid_Stock'!CK30</f>
        <v/>
      </c>
      <c r="CN1046">
        <f>'Grid_Stock'!CL30</f>
        <v/>
      </c>
      <c r="CO1046">
        <f>'Grid_Stock'!CM30</f>
        <v/>
      </c>
      <c r="CP1046">
        <f>'Grid_Stock'!CN30</f>
        <v/>
      </c>
      <c r="CQ1046">
        <f>'Grid_Stock'!CO30</f>
        <v/>
      </c>
      <c r="CR1046">
        <f>'Grid_Stock'!CP30</f>
        <v/>
      </c>
      <c r="CS1046">
        <f>'Grid_Stock'!CQ30</f>
        <v/>
      </c>
      <c r="CT1046">
        <f>'Grid_Stock'!CR30</f>
        <v/>
      </c>
      <c r="CU1046">
        <f>'Grid_Stock'!CS30</f>
        <v/>
      </c>
      <c r="CV1046">
        <f>'Grid_Stock'!CT30</f>
        <v/>
      </c>
      <c r="CW1046">
        <f>'Grid_Stock'!CU30</f>
        <v/>
      </c>
      <c r="CX1046">
        <f>'Grid_Stock'!CV30</f>
        <v/>
      </c>
      <c r="CY1046">
        <f>'Grid_Stock'!CW30</f>
        <v/>
      </c>
      <c r="CZ1046">
        <f>'Grid_Stock'!CX30</f>
        <v/>
      </c>
      <c r="DA1046">
        <f>'Grid_Stock'!CY30</f>
        <v/>
      </c>
      <c r="DB1046">
        <f>'Grid_Stock'!CZ30</f>
        <v/>
      </c>
      <c r="DC1046">
        <f>'Grid_Stock'!DA30</f>
        <v/>
      </c>
    </row>
    <row r="1047">
      <c r="B1047" s="16" t="inlineStr">
        <is>
          <t>（発注の目安はDashboardの基準在庫[下限/上限]と色分けを参照）</t>
        </is>
      </c>
    </row>
    <row r="1049">
      <c r="A1049" s="14" t="inlineStr">
        <is>
          <t>CHEM-1020</t>
        </is>
      </c>
      <c r="B1049" s="14" t="inlineStr">
        <is>
          <t>Sodium Nitrite</t>
        </is>
      </c>
      <c r="C1049" s="15" t="n"/>
      <c r="D1049" s="14" t="n"/>
      <c r="E1049" s="14" t="n"/>
      <c r="F1049" s="14" t="n"/>
      <c r="G1049" s="14" t="n"/>
      <c r="H1049" s="14" t="n"/>
      <c r="I1049" s="14" t="n"/>
      <c r="J1049" s="14" t="n"/>
      <c r="K1049" s="14" t="n"/>
      <c r="L1049" s="14" t="n"/>
      <c r="M1049" s="14" t="n"/>
      <c r="N1049" s="14" t="n"/>
      <c r="O1049" s="14" t="n"/>
      <c r="P1049" s="14" t="n"/>
      <c r="Q1049" s="14" t="n"/>
      <c r="R1049" s="14" t="n"/>
      <c r="S1049" s="14" t="n"/>
      <c r="T1049" s="14" t="n"/>
      <c r="U1049" s="14" t="n"/>
      <c r="V1049" s="14" t="n"/>
      <c r="W1049" s="14" t="n"/>
      <c r="X1049" s="14" t="n"/>
      <c r="Y1049" s="14" t="n"/>
      <c r="Z1049" s="14" t="n"/>
      <c r="AA1049" s="14" t="n"/>
      <c r="AB1049" s="14" t="n"/>
      <c r="AC1049" s="14" t="n"/>
      <c r="AD1049" s="14" t="n"/>
      <c r="AE1049" s="14" t="n"/>
      <c r="AF1049" s="14" t="n"/>
      <c r="AG1049" s="14" t="n"/>
      <c r="AH1049" s="14" t="n"/>
      <c r="AI1049" s="14" t="n"/>
      <c r="AJ1049" s="14" t="n"/>
      <c r="AK1049" s="14" t="n"/>
      <c r="AL1049" s="14" t="n"/>
      <c r="AM1049" s="14" t="n"/>
      <c r="AN1049" s="14" t="n"/>
      <c r="AO1049" s="14" t="n"/>
      <c r="AP1049" s="14" t="n"/>
      <c r="AQ1049" s="14" t="n"/>
      <c r="AR1049" s="14" t="n"/>
      <c r="AS1049" s="14" t="n"/>
      <c r="AT1049" s="14" t="n"/>
      <c r="AU1049" s="14" t="n"/>
      <c r="AV1049" s="14" t="n"/>
      <c r="AW1049" s="14" t="n"/>
      <c r="AX1049" s="14" t="n"/>
      <c r="AY1049" s="14" t="n"/>
      <c r="AZ1049" s="14" t="n"/>
      <c r="BA1049" s="14" t="n"/>
      <c r="BB1049" s="14" t="n"/>
      <c r="BC1049" s="14" t="n"/>
      <c r="BD1049" s="14" t="n"/>
      <c r="BE1049" s="14" t="n"/>
      <c r="BF1049" s="14" t="n"/>
      <c r="BG1049" s="14" t="n"/>
      <c r="BH1049" s="14" t="n"/>
      <c r="BI1049" s="14" t="n"/>
      <c r="BJ1049" s="14" t="n"/>
      <c r="BK1049" s="14" t="n"/>
      <c r="BL1049" s="14" t="n"/>
      <c r="BM1049" s="14" t="n"/>
      <c r="BN1049" s="14" t="n"/>
      <c r="BO1049" s="14" t="n"/>
      <c r="BP1049" s="14" t="n"/>
      <c r="BQ1049" s="14" t="n"/>
      <c r="BR1049" s="14" t="n"/>
      <c r="BS1049" s="14" t="n"/>
      <c r="BT1049" s="14" t="n"/>
      <c r="BU1049" s="14" t="n"/>
      <c r="BV1049" s="14" t="n"/>
      <c r="BW1049" s="14" t="n"/>
      <c r="BX1049" s="14" t="n"/>
      <c r="BY1049" s="14" t="n"/>
      <c r="BZ1049" s="14" t="n"/>
      <c r="CA1049" s="14" t="n"/>
      <c r="CB1049" s="14" t="n"/>
      <c r="CC1049" s="14" t="n"/>
      <c r="CD1049" s="14" t="n"/>
      <c r="CE1049" s="14" t="n"/>
      <c r="CF1049" s="14" t="n"/>
      <c r="CG1049" s="14" t="n"/>
      <c r="CH1049" s="14" t="n"/>
      <c r="CI1049" s="14" t="n"/>
      <c r="CJ1049" s="14" t="n"/>
      <c r="CK1049" s="14" t="n"/>
      <c r="CL1049" s="14" t="n"/>
      <c r="CM1049" s="14" t="n"/>
      <c r="CN1049" s="14" t="n"/>
      <c r="CO1049" s="14" t="n"/>
      <c r="CP1049" s="14" t="n"/>
      <c r="CQ1049" s="14" t="n"/>
      <c r="CR1049" s="14" t="n"/>
      <c r="CS1049" s="14" t="n"/>
      <c r="CT1049" s="14" t="n"/>
      <c r="CU1049" s="14" t="n"/>
      <c r="CV1049" s="14" t="n"/>
      <c r="CW1049" s="14" t="n"/>
      <c r="CX1049" s="14" t="n"/>
      <c r="CY1049" s="14" t="n"/>
      <c r="CZ1049" s="14" t="n"/>
      <c r="DA1049" s="14" t="n"/>
      <c r="DB1049" s="14" t="n"/>
      <c r="DC1049" s="14" t="n"/>
    </row>
    <row r="1050">
      <c r="B1050" t="inlineStr">
        <is>
          <t>20p</t>
        </is>
      </c>
      <c r="C1050" t="inlineStr">
        <is>
          <t>No. of batches</t>
        </is>
      </c>
      <c r="D1050">
        <f>IFERROR(INDEX(PP_Grid[#Data],$DD1050,2),0)</f>
        <v/>
      </c>
      <c r="E1050">
        <f>IFERROR(INDEX(PP_Grid[#Data],$DD1050,3),0)</f>
        <v/>
      </c>
      <c r="F1050">
        <f>IFERROR(INDEX(PP_Grid[#Data],$DD1050,4),0)</f>
        <v/>
      </c>
      <c r="G1050">
        <f>IFERROR(INDEX(PP_Grid[#Data],$DD1050,5),0)</f>
        <v/>
      </c>
      <c r="H1050">
        <f>IFERROR(INDEX(PP_Grid[#Data],$DD1050,6),0)</f>
        <v/>
      </c>
      <c r="I1050">
        <f>IFERROR(INDEX(PP_Grid[#Data],$DD1050,7),0)</f>
        <v/>
      </c>
      <c r="J1050">
        <f>IFERROR(INDEX(PP_Grid[#Data],$DD1050,8),0)</f>
        <v/>
      </c>
      <c r="K1050">
        <f>IFERROR(INDEX(PP_Grid[#Data],$DD1050,9),0)</f>
        <v/>
      </c>
      <c r="L1050">
        <f>IFERROR(INDEX(PP_Grid[#Data],$DD1050,10),0)</f>
        <v/>
      </c>
      <c r="M1050">
        <f>IFERROR(INDEX(PP_Grid[#Data],$DD1050,11),0)</f>
        <v/>
      </c>
      <c r="N1050">
        <f>IFERROR(INDEX(PP_Grid[#Data],$DD1050,12),0)</f>
        <v/>
      </c>
      <c r="O1050">
        <f>IFERROR(INDEX(PP_Grid[#Data],$DD1050,13),0)</f>
        <v/>
      </c>
      <c r="P1050">
        <f>IFERROR(INDEX(PP_Grid[#Data],$DD1050,14),0)</f>
        <v/>
      </c>
      <c r="Q1050">
        <f>IFERROR(INDEX(PP_Grid[#Data],$DD1050,15),0)</f>
        <v/>
      </c>
      <c r="R1050">
        <f>IFERROR(INDEX(PP_Grid[#Data],$DD1050,16),0)</f>
        <v/>
      </c>
      <c r="S1050">
        <f>IFERROR(INDEX(PP_Grid[#Data],$DD1050,17),0)</f>
        <v/>
      </c>
      <c r="T1050">
        <f>IFERROR(INDEX(PP_Grid[#Data],$DD1050,18),0)</f>
        <v/>
      </c>
      <c r="U1050">
        <f>IFERROR(INDEX(PP_Grid[#Data],$DD1050,19),0)</f>
        <v/>
      </c>
      <c r="V1050">
        <f>IFERROR(INDEX(PP_Grid[#Data],$DD1050,20),0)</f>
        <v/>
      </c>
      <c r="W1050">
        <f>IFERROR(INDEX(PP_Grid[#Data],$DD1050,21),0)</f>
        <v/>
      </c>
      <c r="X1050">
        <f>IFERROR(INDEX(PP_Grid[#Data],$DD1050,22),0)</f>
        <v/>
      </c>
      <c r="Y1050">
        <f>IFERROR(INDEX(PP_Grid[#Data],$DD1050,23),0)</f>
        <v/>
      </c>
      <c r="Z1050">
        <f>IFERROR(INDEX(PP_Grid[#Data],$DD1050,24),0)</f>
        <v/>
      </c>
      <c r="AA1050">
        <f>IFERROR(INDEX(PP_Grid[#Data],$DD1050,25),0)</f>
        <v/>
      </c>
      <c r="AB1050">
        <f>IFERROR(INDEX(PP_Grid[#Data],$DD1050,26),0)</f>
        <v/>
      </c>
      <c r="AC1050">
        <f>IFERROR(INDEX(PP_Grid[#Data],$DD1050,27),0)</f>
        <v/>
      </c>
      <c r="AD1050">
        <f>IFERROR(INDEX(PP_Grid[#Data],$DD1050,28),0)</f>
        <v/>
      </c>
      <c r="AE1050">
        <f>IFERROR(INDEX(PP_Grid[#Data],$DD1050,29),0)</f>
        <v/>
      </c>
      <c r="AF1050">
        <f>IFERROR(INDEX(PP_Grid[#Data],$DD1050,30),0)</f>
        <v/>
      </c>
      <c r="AG1050">
        <f>IFERROR(INDEX(PP_Grid[#Data],$DD1050,31),0)</f>
        <v/>
      </c>
      <c r="AH1050">
        <f>IFERROR(INDEX(PP_Grid[#Data],$DD1050,32),0)</f>
        <v/>
      </c>
      <c r="AI1050">
        <f>IFERROR(INDEX(PP_Grid[#Data],$DD1050,33),0)</f>
        <v/>
      </c>
      <c r="AJ1050">
        <f>IFERROR(INDEX(PP_Grid[#Data],$DD1050,34),0)</f>
        <v/>
      </c>
      <c r="AK1050">
        <f>IFERROR(INDEX(PP_Grid[#Data],$DD1050,35),0)</f>
        <v/>
      </c>
      <c r="AL1050">
        <f>IFERROR(INDEX(PP_Grid[#Data],$DD1050,36),0)</f>
        <v/>
      </c>
      <c r="AM1050">
        <f>IFERROR(INDEX(PP_Grid[#Data],$DD1050,37),0)</f>
        <v/>
      </c>
      <c r="AN1050">
        <f>IFERROR(INDEX(PP_Grid[#Data],$DD1050,38),0)</f>
        <v/>
      </c>
      <c r="AO1050">
        <f>IFERROR(INDEX(PP_Grid[#Data],$DD1050,39),0)</f>
        <v/>
      </c>
      <c r="AP1050">
        <f>IFERROR(INDEX(PP_Grid[#Data],$DD1050,40),0)</f>
        <v/>
      </c>
      <c r="AQ1050">
        <f>IFERROR(INDEX(PP_Grid[#Data],$DD1050,41),0)</f>
        <v/>
      </c>
      <c r="AR1050">
        <f>IFERROR(INDEX(PP_Grid[#Data],$DD1050,42),0)</f>
        <v/>
      </c>
      <c r="AS1050">
        <f>IFERROR(INDEX(PP_Grid[#Data],$DD1050,43),0)</f>
        <v/>
      </c>
      <c r="AT1050">
        <f>IFERROR(INDEX(PP_Grid[#Data],$DD1050,44),0)</f>
        <v/>
      </c>
      <c r="AU1050">
        <f>IFERROR(INDEX(PP_Grid[#Data],$DD1050,45),0)</f>
        <v/>
      </c>
      <c r="AV1050">
        <f>IFERROR(INDEX(PP_Grid[#Data],$DD1050,46),0)</f>
        <v/>
      </c>
      <c r="AW1050">
        <f>IFERROR(INDEX(PP_Grid[#Data],$DD1050,47),0)</f>
        <v/>
      </c>
      <c r="AX1050">
        <f>IFERROR(INDEX(PP_Grid[#Data],$DD1050,48),0)</f>
        <v/>
      </c>
      <c r="AY1050">
        <f>IFERROR(INDEX(PP_Grid[#Data],$DD1050,49),0)</f>
        <v/>
      </c>
      <c r="AZ1050">
        <f>IFERROR(INDEX(PP_Grid[#Data],$DD1050,50),0)</f>
        <v/>
      </c>
      <c r="BA1050">
        <f>IFERROR(INDEX(PP_Grid[#Data],$DD1050,51),0)</f>
        <v/>
      </c>
      <c r="BB1050">
        <f>IFERROR(INDEX(PP_Grid[#Data],$DD1050,52),0)</f>
        <v/>
      </c>
      <c r="BC1050">
        <f>IFERROR(INDEX(PP_Grid[#Data],$DD1050,53),0)</f>
        <v/>
      </c>
      <c r="BD1050">
        <f>IFERROR(INDEX(PP_Grid[#Data],$DD1050,54),0)</f>
        <v/>
      </c>
      <c r="BE1050">
        <f>IFERROR(INDEX(PP_Grid[#Data],$DD1050,55),0)</f>
        <v/>
      </c>
      <c r="BF1050">
        <f>IFERROR(INDEX(PP_Grid[#Data],$DD1050,56),0)</f>
        <v/>
      </c>
      <c r="BG1050">
        <f>IFERROR(INDEX(PP_Grid[#Data],$DD1050,57),0)</f>
        <v/>
      </c>
      <c r="BH1050">
        <f>IFERROR(INDEX(PP_Grid[#Data],$DD1050,58),0)</f>
        <v/>
      </c>
      <c r="BI1050">
        <f>IFERROR(INDEX(PP_Grid[#Data],$DD1050,59),0)</f>
        <v/>
      </c>
      <c r="BJ1050">
        <f>IFERROR(INDEX(PP_Grid[#Data],$DD1050,60),0)</f>
        <v/>
      </c>
      <c r="BK1050">
        <f>IFERROR(INDEX(PP_Grid[#Data],$DD1050,61),0)</f>
        <v/>
      </c>
      <c r="BL1050">
        <f>IFERROR(INDEX(PP_Grid[#Data],$DD1050,62),0)</f>
        <v/>
      </c>
      <c r="BM1050">
        <f>IFERROR(INDEX(PP_Grid[#Data],$DD1050,63),0)</f>
        <v/>
      </c>
      <c r="BN1050">
        <f>IFERROR(INDEX(PP_Grid[#Data],$DD1050,64),0)</f>
        <v/>
      </c>
      <c r="BO1050">
        <f>IFERROR(INDEX(PP_Grid[#Data],$DD1050,65),0)</f>
        <v/>
      </c>
      <c r="BP1050">
        <f>IFERROR(INDEX(PP_Grid[#Data],$DD1050,66),0)</f>
        <v/>
      </c>
      <c r="BQ1050">
        <f>IFERROR(INDEX(PP_Grid[#Data],$DD1050,67),0)</f>
        <v/>
      </c>
      <c r="BR1050">
        <f>IFERROR(INDEX(PP_Grid[#Data],$DD1050,68),0)</f>
        <v/>
      </c>
      <c r="BS1050">
        <f>IFERROR(INDEX(PP_Grid[#Data],$DD1050,69),0)</f>
        <v/>
      </c>
      <c r="BT1050">
        <f>IFERROR(INDEX(PP_Grid[#Data],$DD1050,70),0)</f>
        <v/>
      </c>
      <c r="BU1050">
        <f>IFERROR(INDEX(PP_Grid[#Data],$DD1050,71),0)</f>
        <v/>
      </c>
      <c r="BV1050">
        <f>IFERROR(INDEX(PP_Grid[#Data],$DD1050,72),0)</f>
        <v/>
      </c>
      <c r="BW1050">
        <f>IFERROR(INDEX(PP_Grid[#Data],$DD1050,73),0)</f>
        <v/>
      </c>
      <c r="BX1050">
        <f>IFERROR(INDEX(PP_Grid[#Data],$DD1050,74),0)</f>
        <v/>
      </c>
      <c r="BY1050">
        <f>IFERROR(INDEX(PP_Grid[#Data],$DD1050,75),0)</f>
        <v/>
      </c>
      <c r="BZ1050">
        <f>IFERROR(INDEX(PP_Grid[#Data],$DD1050,76),0)</f>
        <v/>
      </c>
      <c r="CA1050">
        <f>IFERROR(INDEX(PP_Grid[#Data],$DD1050,77),0)</f>
        <v/>
      </c>
      <c r="CB1050">
        <f>IFERROR(INDEX(PP_Grid[#Data],$DD1050,78),0)</f>
        <v/>
      </c>
      <c r="CC1050">
        <f>IFERROR(INDEX(PP_Grid[#Data],$DD1050,79),0)</f>
        <v/>
      </c>
      <c r="CD1050">
        <f>IFERROR(INDEX(PP_Grid[#Data],$DD1050,80),0)</f>
        <v/>
      </c>
      <c r="CE1050">
        <f>IFERROR(INDEX(PP_Grid[#Data],$DD1050,81),0)</f>
        <v/>
      </c>
      <c r="CF1050">
        <f>IFERROR(INDEX(PP_Grid[#Data],$DD1050,82),0)</f>
        <v/>
      </c>
      <c r="CG1050">
        <f>IFERROR(INDEX(PP_Grid[#Data],$DD1050,83),0)</f>
        <v/>
      </c>
      <c r="CH1050">
        <f>IFERROR(INDEX(PP_Grid[#Data],$DD1050,84),0)</f>
        <v/>
      </c>
      <c r="CI1050">
        <f>IFERROR(INDEX(PP_Grid[#Data],$DD1050,85),0)</f>
        <v/>
      </c>
      <c r="CJ1050">
        <f>IFERROR(INDEX(PP_Grid[#Data],$DD1050,86),0)</f>
        <v/>
      </c>
      <c r="CK1050">
        <f>IFERROR(INDEX(PP_Grid[#Data],$DD1050,87),0)</f>
        <v/>
      </c>
      <c r="CL1050">
        <f>IFERROR(INDEX(PP_Grid[#Data],$DD1050,88),0)</f>
        <v/>
      </c>
      <c r="CM1050">
        <f>IFERROR(INDEX(PP_Grid[#Data],$DD1050,89),0)</f>
        <v/>
      </c>
      <c r="CN1050">
        <f>IFERROR(INDEX(PP_Grid[#Data],$DD1050,90),0)</f>
        <v/>
      </c>
      <c r="CO1050">
        <f>IFERROR(INDEX(PP_Grid[#Data],$DD1050,91),0)</f>
        <v/>
      </c>
      <c r="CP1050">
        <f>IFERROR(INDEX(PP_Grid[#Data],$DD1050,92),0)</f>
        <v/>
      </c>
      <c r="CQ1050">
        <f>IFERROR(INDEX(PP_Grid[#Data],$DD1050,93),0)</f>
        <v/>
      </c>
      <c r="CR1050">
        <f>IFERROR(INDEX(PP_Grid[#Data],$DD1050,94),0)</f>
        <v/>
      </c>
      <c r="CS1050">
        <f>IFERROR(INDEX(PP_Grid[#Data],$DD1050,95),0)</f>
        <v/>
      </c>
      <c r="CT1050">
        <f>IFERROR(INDEX(PP_Grid[#Data],$DD1050,96),0)</f>
        <v/>
      </c>
      <c r="CU1050">
        <f>IFERROR(INDEX(PP_Grid[#Data],$DD1050,97),0)</f>
        <v/>
      </c>
      <c r="CV1050">
        <f>IFERROR(INDEX(PP_Grid[#Data],$DD1050,98),0)</f>
        <v/>
      </c>
      <c r="CW1050">
        <f>IFERROR(INDEX(PP_Grid[#Data],$DD1050,99),0)</f>
        <v/>
      </c>
      <c r="CX1050">
        <f>IFERROR(INDEX(PP_Grid[#Data],$DD1050,100),0)</f>
        <v/>
      </c>
      <c r="CY1050">
        <f>IFERROR(INDEX(PP_Grid[#Data],$DD1050,101),0)</f>
        <v/>
      </c>
      <c r="CZ1050">
        <f>IFERROR(INDEX(PP_Grid[#Data],$DD1050,102),0)</f>
        <v/>
      </c>
      <c r="DA1050">
        <f>IFERROR(INDEX(PP_Grid[#Data],$DD1050,103),0)</f>
        <v/>
      </c>
      <c r="DB1050">
        <f>IFERROR(INDEX(PP_Grid[#Data],$DD1050,104),0)</f>
        <v/>
      </c>
      <c r="DC1050">
        <f>IFERROR(INDEX(PP_Grid[#Data],$DD1050,105),0)</f>
        <v/>
      </c>
      <c r="DD1050" s="7">
        <f>IFERROR(MATCH($B1050,PP_Grid[Intermediate],0),99999)</f>
        <v/>
      </c>
    </row>
    <row r="1051">
      <c r="B1051" t="inlineStr">
        <is>
          <t>使用量(kg)</t>
        </is>
      </c>
      <c r="C1051">
        <f>SUMIFS(M_BOM[RM_Qty_Per_Batch],M_BOM[Intermediate],$B1050,M_BOM[Part Name],$A1049)</f>
        <v/>
      </c>
      <c r="D1051">
        <f>$C1051*D1050</f>
        <v/>
      </c>
      <c r="E1051">
        <f>$C1051*E1050</f>
        <v/>
      </c>
      <c r="F1051">
        <f>$C1051*F1050</f>
        <v/>
      </c>
      <c r="G1051">
        <f>$C1051*G1050</f>
        <v/>
      </c>
      <c r="H1051">
        <f>$C1051*H1050</f>
        <v/>
      </c>
      <c r="I1051">
        <f>$C1051*I1050</f>
        <v/>
      </c>
      <c r="J1051">
        <f>$C1051*J1050</f>
        <v/>
      </c>
      <c r="K1051">
        <f>$C1051*K1050</f>
        <v/>
      </c>
      <c r="L1051">
        <f>$C1051*L1050</f>
        <v/>
      </c>
      <c r="M1051">
        <f>$C1051*M1050</f>
        <v/>
      </c>
      <c r="N1051">
        <f>$C1051*N1050</f>
        <v/>
      </c>
      <c r="O1051">
        <f>$C1051*O1050</f>
        <v/>
      </c>
      <c r="P1051">
        <f>$C1051*P1050</f>
        <v/>
      </c>
      <c r="Q1051">
        <f>$C1051*Q1050</f>
        <v/>
      </c>
      <c r="R1051">
        <f>$C1051*R1050</f>
        <v/>
      </c>
      <c r="S1051">
        <f>$C1051*S1050</f>
        <v/>
      </c>
      <c r="T1051">
        <f>$C1051*T1050</f>
        <v/>
      </c>
      <c r="U1051">
        <f>$C1051*U1050</f>
        <v/>
      </c>
      <c r="V1051">
        <f>$C1051*V1050</f>
        <v/>
      </c>
      <c r="W1051">
        <f>$C1051*W1050</f>
        <v/>
      </c>
      <c r="X1051">
        <f>$C1051*X1050</f>
        <v/>
      </c>
      <c r="Y1051">
        <f>$C1051*Y1050</f>
        <v/>
      </c>
      <c r="Z1051">
        <f>$C1051*Z1050</f>
        <v/>
      </c>
      <c r="AA1051">
        <f>$C1051*AA1050</f>
        <v/>
      </c>
      <c r="AB1051">
        <f>$C1051*AB1050</f>
        <v/>
      </c>
      <c r="AC1051">
        <f>$C1051*AC1050</f>
        <v/>
      </c>
      <c r="AD1051">
        <f>$C1051*AD1050</f>
        <v/>
      </c>
      <c r="AE1051">
        <f>$C1051*AE1050</f>
        <v/>
      </c>
      <c r="AF1051">
        <f>$C1051*AF1050</f>
        <v/>
      </c>
      <c r="AG1051">
        <f>$C1051*AG1050</f>
        <v/>
      </c>
      <c r="AH1051">
        <f>$C1051*AH1050</f>
        <v/>
      </c>
      <c r="AI1051">
        <f>$C1051*AI1050</f>
        <v/>
      </c>
      <c r="AJ1051">
        <f>$C1051*AJ1050</f>
        <v/>
      </c>
      <c r="AK1051">
        <f>$C1051*AK1050</f>
        <v/>
      </c>
      <c r="AL1051">
        <f>$C1051*AL1050</f>
        <v/>
      </c>
      <c r="AM1051">
        <f>$C1051*AM1050</f>
        <v/>
      </c>
      <c r="AN1051">
        <f>$C1051*AN1050</f>
        <v/>
      </c>
      <c r="AO1051">
        <f>$C1051*AO1050</f>
        <v/>
      </c>
      <c r="AP1051">
        <f>$C1051*AP1050</f>
        <v/>
      </c>
      <c r="AQ1051">
        <f>$C1051*AQ1050</f>
        <v/>
      </c>
      <c r="AR1051">
        <f>$C1051*AR1050</f>
        <v/>
      </c>
      <c r="AS1051">
        <f>$C1051*AS1050</f>
        <v/>
      </c>
      <c r="AT1051">
        <f>$C1051*AT1050</f>
        <v/>
      </c>
      <c r="AU1051">
        <f>$C1051*AU1050</f>
        <v/>
      </c>
      <c r="AV1051">
        <f>$C1051*AV1050</f>
        <v/>
      </c>
      <c r="AW1051">
        <f>$C1051*AW1050</f>
        <v/>
      </c>
      <c r="AX1051">
        <f>$C1051*AX1050</f>
        <v/>
      </c>
      <c r="AY1051">
        <f>$C1051*AY1050</f>
        <v/>
      </c>
      <c r="AZ1051">
        <f>$C1051*AZ1050</f>
        <v/>
      </c>
      <c r="BA1051">
        <f>$C1051*BA1050</f>
        <v/>
      </c>
      <c r="BB1051">
        <f>$C1051*BB1050</f>
        <v/>
      </c>
      <c r="BC1051">
        <f>$C1051*BC1050</f>
        <v/>
      </c>
      <c r="BD1051">
        <f>$C1051*BD1050</f>
        <v/>
      </c>
      <c r="BE1051">
        <f>$C1051*BE1050</f>
        <v/>
      </c>
      <c r="BF1051">
        <f>$C1051*BF1050</f>
        <v/>
      </c>
      <c r="BG1051">
        <f>$C1051*BG1050</f>
        <v/>
      </c>
      <c r="BH1051">
        <f>$C1051*BH1050</f>
        <v/>
      </c>
      <c r="BI1051">
        <f>$C1051*BI1050</f>
        <v/>
      </c>
      <c r="BJ1051">
        <f>$C1051*BJ1050</f>
        <v/>
      </c>
      <c r="BK1051">
        <f>$C1051*BK1050</f>
        <v/>
      </c>
      <c r="BL1051">
        <f>$C1051*BL1050</f>
        <v/>
      </c>
      <c r="BM1051">
        <f>$C1051*BM1050</f>
        <v/>
      </c>
      <c r="BN1051">
        <f>$C1051*BN1050</f>
        <v/>
      </c>
      <c r="BO1051">
        <f>$C1051*BO1050</f>
        <v/>
      </c>
      <c r="BP1051">
        <f>$C1051*BP1050</f>
        <v/>
      </c>
      <c r="BQ1051">
        <f>$C1051*BQ1050</f>
        <v/>
      </c>
      <c r="BR1051">
        <f>$C1051*BR1050</f>
        <v/>
      </c>
      <c r="BS1051">
        <f>$C1051*BS1050</f>
        <v/>
      </c>
      <c r="BT1051">
        <f>$C1051*BT1050</f>
        <v/>
      </c>
      <c r="BU1051">
        <f>$C1051*BU1050</f>
        <v/>
      </c>
      <c r="BV1051">
        <f>$C1051*BV1050</f>
        <v/>
      </c>
      <c r="BW1051">
        <f>$C1051*BW1050</f>
        <v/>
      </c>
      <c r="BX1051">
        <f>$C1051*BX1050</f>
        <v/>
      </c>
      <c r="BY1051">
        <f>$C1051*BY1050</f>
        <v/>
      </c>
      <c r="BZ1051">
        <f>$C1051*BZ1050</f>
        <v/>
      </c>
      <c r="CA1051">
        <f>$C1051*CA1050</f>
        <v/>
      </c>
      <c r="CB1051">
        <f>$C1051*CB1050</f>
        <v/>
      </c>
      <c r="CC1051">
        <f>$C1051*CC1050</f>
        <v/>
      </c>
      <c r="CD1051">
        <f>$C1051*CD1050</f>
        <v/>
      </c>
      <c r="CE1051">
        <f>$C1051*CE1050</f>
        <v/>
      </c>
      <c r="CF1051">
        <f>$C1051*CF1050</f>
        <v/>
      </c>
      <c r="CG1051">
        <f>$C1051*CG1050</f>
        <v/>
      </c>
      <c r="CH1051">
        <f>$C1051*CH1050</f>
        <v/>
      </c>
      <c r="CI1051">
        <f>$C1051*CI1050</f>
        <v/>
      </c>
      <c r="CJ1051">
        <f>$C1051*CJ1050</f>
        <v/>
      </c>
      <c r="CK1051">
        <f>$C1051*CK1050</f>
        <v/>
      </c>
      <c r="CL1051">
        <f>$C1051*CL1050</f>
        <v/>
      </c>
      <c r="CM1051">
        <f>$C1051*CM1050</f>
        <v/>
      </c>
      <c r="CN1051">
        <f>$C1051*CN1050</f>
        <v/>
      </c>
      <c r="CO1051">
        <f>$C1051*CO1050</f>
        <v/>
      </c>
      <c r="CP1051">
        <f>$C1051*CP1050</f>
        <v/>
      </c>
      <c r="CQ1051">
        <f>$C1051*CQ1050</f>
        <v/>
      </c>
      <c r="CR1051">
        <f>$C1051*CR1050</f>
        <v/>
      </c>
      <c r="CS1051">
        <f>$C1051*CS1050</f>
        <v/>
      </c>
      <c r="CT1051">
        <f>$C1051*CT1050</f>
        <v/>
      </c>
      <c r="CU1051">
        <f>$C1051*CU1050</f>
        <v/>
      </c>
      <c r="CV1051">
        <f>$C1051*CV1050</f>
        <v/>
      </c>
      <c r="CW1051">
        <f>$C1051*CW1050</f>
        <v/>
      </c>
      <c r="CX1051">
        <f>$C1051*CX1050</f>
        <v/>
      </c>
      <c r="CY1051">
        <f>$C1051*CY1050</f>
        <v/>
      </c>
      <c r="CZ1051">
        <f>$C1051*CZ1050</f>
        <v/>
      </c>
      <c r="DA1051">
        <f>$C1051*DA1050</f>
        <v/>
      </c>
      <c r="DB1051">
        <f>$C1051*DB1050</f>
        <v/>
      </c>
      <c r="DC1051">
        <f>$C1051*DC1050</f>
        <v/>
      </c>
    </row>
    <row r="1052">
      <c r="B1052" s="4" t="inlineStr">
        <is>
          <t>合計使用量(kg)/週</t>
        </is>
      </c>
      <c r="D1052">
        <f>'Grid_Requirement'!B37</f>
        <v/>
      </c>
      <c r="E1052">
        <f>'Grid_Requirement'!C37</f>
        <v/>
      </c>
      <c r="F1052">
        <f>'Grid_Requirement'!D37</f>
        <v/>
      </c>
      <c r="G1052">
        <f>'Grid_Requirement'!E37</f>
        <v/>
      </c>
      <c r="H1052">
        <f>'Grid_Requirement'!F37</f>
        <v/>
      </c>
      <c r="I1052">
        <f>'Grid_Requirement'!G37</f>
        <v/>
      </c>
      <c r="J1052">
        <f>'Grid_Requirement'!H37</f>
        <v/>
      </c>
      <c r="K1052">
        <f>'Grid_Requirement'!I37</f>
        <v/>
      </c>
      <c r="L1052">
        <f>'Grid_Requirement'!J37</f>
        <v/>
      </c>
      <c r="M1052">
        <f>'Grid_Requirement'!K37</f>
        <v/>
      </c>
      <c r="N1052">
        <f>'Grid_Requirement'!L37</f>
        <v/>
      </c>
      <c r="O1052">
        <f>'Grid_Requirement'!M37</f>
        <v/>
      </c>
      <c r="P1052">
        <f>'Grid_Requirement'!N37</f>
        <v/>
      </c>
      <c r="Q1052">
        <f>'Grid_Requirement'!O37</f>
        <v/>
      </c>
      <c r="R1052">
        <f>'Grid_Requirement'!P37</f>
        <v/>
      </c>
      <c r="S1052">
        <f>'Grid_Requirement'!Q37</f>
        <v/>
      </c>
      <c r="T1052">
        <f>'Grid_Requirement'!R37</f>
        <v/>
      </c>
      <c r="U1052">
        <f>'Grid_Requirement'!S37</f>
        <v/>
      </c>
      <c r="V1052">
        <f>'Grid_Requirement'!T37</f>
        <v/>
      </c>
      <c r="W1052">
        <f>'Grid_Requirement'!U37</f>
        <v/>
      </c>
      <c r="X1052">
        <f>'Grid_Requirement'!V37</f>
        <v/>
      </c>
      <c r="Y1052">
        <f>'Grid_Requirement'!W37</f>
        <v/>
      </c>
      <c r="Z1052">
        <f>'Grid_Requirement'!X37</f>
        <v/>
      </c>
      <c r="AA1052">
        <f>'Grid_Requirement'!Y37</f>
        <v/>
      </c>
      <c r="AB1052">
        <f>'Grid_Requirement'!Z37</f>
        <v/>
      </c>
      <c r="AC1052">
        <f>'Grid_Requirement'!AA37</f>
        <v/>
      </c>
      <c r="AD1052">
        <f>'Grid_Requirement'!AB37</f>
        <v/>
      </c>
      <c r="AE1052">
        <f>'Grid_Requirement'!AC37</f>
        <v/>
      </c>
      <c r="AF1052">
        <f>'Grid_Requirement'!AD37</f>
        <v/>
      </c>
      <c r="AG1052">
        <f>'Grid_Requirement'!AE37</f>
        <v/>
      </c>
      <c r="AH1052">
        <f>'Grid_Requirement'!AF37</f>
        <v/>
      </c>
      <c r="AI1052">
        <f>'Grid_Requirement'!AG37</f>
        <v/>
      </c>
      <c r="AJ1052">
        <f>'Grid_Requirement'!AH37</f>
        <v/>
      </c>
      <c r="AK1052">
        <f>'Grid_Requirement'!AI37</f>
        <v/>
      </c>
      <c r="AL1052">
        <f>'Grid_Requirement'!AJ37</f>
        <v/>
      </c>
      <c r="AM1052">
        <f>'Grid_Requirement'!AK37</f>
        <v/>
      </c>
      <c r="AN1052">
        <f>'Grid_Requirement'!AL37</f>
        <v/>
      </c>
      <c r="AO1052">
        <f>'Grid_Requirement'!AM37</f>
        <v/>
      </c>
      <c r="AP1052">
        <f>'Grid_Requirement'!AN37</f>
        <v/>
      </c>
      <c r="AQ1052">
        <f>'Grid_Requirement'!AO37</f>
        <v/>
      </c>
      <c r="AR1052">
        <f>'Grid_Requirement'!AP37</f>
        <v/>
      </c>
      <c r="AS1052">
        <f>'Grid_Requirement'!AQ37</f>
        <v/>
      </c>
      <c r="AT1052">
        <f>'Grid_Requirement'!AR37</f>
        <v/>
      </c>
      <c r="AU1052">
        <f>'Grid_Requirement'!AS37</f>
        <v/>
      </c>
      <c r="AV1052">
        <f>'Grid_Requirement'!AT37</f>
        <v/>
      </c>
      <c r="AW1052">
        <f>'Grid_Requirement'!AU37</f>
        <v/>
      </c>
      <c r="AX1052">
        <f>'Grid_Requirement'!AV37</f>
        <v/>
      </c>
      <c r="AY1052">
        <f>'Grid_Requirement'!AW37</f>
        <v/>
      </c>
      <c r="AZ1052">
        <f>'Grid_Requirement'!AX37</f>
        <v/>
      </c>
      <c r="BA1052">
        <f>'Grid_Requirement'!AY37</f>
        <v/>
      </c>
      <c r="BB1052">
        <f>'Grid_Requirement'!AZ37</f>
        <v/>
      </c>
      <c r="BC1052">
        <f>'Grid_Requirement'!BA37</f>
        <v/>
      </c>
      <c r="BD1052">
        <f>'Grid_Requirement'!BB37</f>
        <v/>
      </c>
      <c r="BE1052">
        <f>'Grid_Requirement'!BC37</f>
        <v/>
      </c>
      <c r="BF1052">
        <f>'Grid_Requirement'!BD37</f>
        <v/>
      </c>
      <c r="BG1052">
        <f>'Grid_Requirement'!BE37</f>
        <v/>
      </c>
      <c r="BH1052">
        <f>'Grid_Requirement'!BF37</f>
        <v/>
      </c>
      <c r="BI1052">
        <f>'Grid_Requirement'!BG37</f>
        <v/>
      </c>
      <c r="BJ1052">
        <f>'Grid_Requirement'!BH37</f>
        <v/>
      </c>
      <c r="BK1052">
        <f>'Grid_Requirement'!BI37</f>
        <v/>
      </c>
      <c r="BL1052">
        <f>'Grid_Requirement'!BJ37</f>
        <v/>
      </c>
      <c r="BM1052">
        <f>'Grid_Requirement'!BK37</f>
        <v/>
      </c>
      <c r="BN1052">
        <f>'Grid_Requirement'!BL37</f>
        <v/>
      </c>
      <c r="BO1052">
        <f>'Grid_Requirement'!BM37</f>
        <v/>
      </c>
      <c r="BP1052">
        <f>'Grid_Requirement'!BN37</f>
        <v/>
      </c>
      <c r="BQ1052">
        <f>'Grid_Requirement'!BO37</f>
        <v/>
      </c>
      <c r="BR1052">
        <f>'Grid_Requirement'!BP37</f>
        <v/>
      </c>
      <c r="BS1052">
        <f>'Grid_Requirement'!BQ37</f>
        <v/>
      </c>
      <c r="BT1052">
        <f>'Grid_Requirement'!BR37</f>
        <v/>
      </c>
      <c r="BU1052">
        <f>'Grid_Requirement'!BS37</f>
        <v/>
      </c>
      <c r="BV1052">
        <f>'Grid_Requirement'!BT37</f>
        <v/>
      </c>
      <c r="BW1052">
        <f>'Grid_Requirement'!BU37</f>
        <v/>
      </c>
      <c r="BX1052">
        <f>'Grid_Requirement'!BV37</f>
        <v/>
      </c>
      <c r="BY1052">
        <f>'Grid_Requirement'!BW37</f>
        <v/>
      </c>
      <c r="BZ1052">
        <f>'Grid_Requirement'!BX37</f>
        <v/>
      </c>
      <c r="CA1052">
        <f>'Grid_Requirement'!BY37</f>
        <v/>
      </c>
      <c r="CB1052">
        <f>'Grid_Requirement'!BZ37</f>
        <v/>
      </c>
      <c r="CC1052">
        <f>'Grid_Requirement'!CA37</f>
        <v/>
      </c>
      <c r="CD1052">
        <f>'Grid_Requirement'!CB37</f>
        <v/>
      </c>
      <c r="CE1052">
        <f>'Grid_Requirement'!CC37</f>
        <v/>
      </c>
      <c r="CF1052">
        <f>'Grid_Requirement'!CD37</f>
        <v/>
      </c>
      <c r="CG1052">
        <f>'Grid_Requirement'!CE37</f>
        <v/>
      </c>
      <c r="CH1052">
        <f>'Grid_Requirement'!CF37</f>
        <v/>
      </c>
      <c r="CI1052">
        <f>'Grid_Requirement'!CG37</f>
        <v/>
      </c>
      <c r="CJ1052">
        <f>'Grid_Requirement'!CH37</f>
        <v/>
      </c>
      <c r="CK1052">
        <f>'Grid_Requirement'!CI37</f>
        <v/>
      </c>
      <c r="CL1052">
        <f>'Grid_Requirement'!CJ37</f>
        <v/>
      </c>
      <c r="CM1052">
        <f>'Grid_Requirement'!CK37</f>
        <v/>
      </c>
      <c r="CN1052">
        <f>'Grid_Requirement'!CL37</f>
        <v/>
      </c>
      <c r="CO1052">
        <f>'Grid_Requirement'!CM37</f>
        <v/>
      </c>
      <c r="CP1052">
        <f>'Grid_Requirement'!CN37</f>
        <v/>
      </c>
      <c r="CQ1052">
        <f>'Grid_Requirement'!CO37</f>
        <v/>
      </c>
      <c r="CR1052">
        <f>'Grid_Requirement'!CP37</f>
        <v/>
      </c>
      <c r="CS1052">
        <f>'Grid_Requirement'!CQ37</f>
        <v/>
      </c>
      <c r="CT1052">
        <f>'Grid_Requirement'!CR37</f>
        <v/>
      </c>
      <c r="CU1052">
        <f>'Grid_Requirement'!CS37</f>
        <v/>
      </c>
      <c r="CV1052">
        <f>'Grid_Requirement'!CT37</f>
        <v/>
      </c>
      <c r="CW1052">
        <f>'Grid_Requirement'!CU37</f>
        <v/>
      </c>
      <c r="CX1052">
        <f>'Grid_Requirement'!CV37</f>
        <v/>
      </c>
      <c r="CY1052">
        <f>'Grid_Requirement'!CW37</f>
        <v/>
      </c>
      <c r="CZ1052">
        <f>'Grid_Requirement'!CX37</f>
        <v/>
      </c>
      <c r="DA1052">
        <f>'Grid_Requirement'!CY37</f>
        <v/>
      </c>
      <c r="DB1052">
        <f>'Grid_Requirement'!CZ37</f>
        <v/>
      </c>
      <c r="DC1052">
        <f>'Grid_Requirement'!DA37</f>
        <v/>
      </c>
    </row>
    <row r="1053">
      <c r="B1053" t="inlineStr">
        <is>
          <t>TTAF在庫(実績,kg)</t>
        </is>
      </c>
      <c r="D1053">
        <f>'T_TTAFStock'!B41</f>
        <v/>
      </c>
      <c r="E1053">
        <f>'T_TTAFStock'!C41</f>
        <v/>
      </c>
      <c r="F1053">
        <f>'T_TTAFStock'!D41</f>
        <v/>
      </c>
      <c r="G1053">
        <f>'T_TTAFStock'!E41</f>
        <v/>
      </c>
      <c r="H1053">
        <f>'T_TTAFStock'!F41</f>
        <v/>
      </c>
      <c r="I1053">
        <f>'T_TTAFStock'!G41</f>
        <v/>
      </c>
      <c r="J1053">
        <f>'T_TTAFStock'!H41</f>
        <v/>
      </c>
      <c r="K1053">
        <f>'T_TTAFStock'!I41</f>
        <v/>
      </c>
      <c r="L1053">
        <f>'T_TTAFStock'!J41</f>
        <v/>
      </c>
      <c r="M1053">
        <f>'T_TTAFStock'!K41</f>
        <v/>
      </c>
      <c r="N1053">
        <f>'T_TTAFStock'!L41</f>
        <v/>
      </c>
      <c r="O1053">
        <f>'T_TTAFStock'!M41</f>
        <v/>
      </c>
      <c r="P1053">
        <f>'T_TTAFStock'!N41</f>
        <v/>
      </c>
      <c r="Q1053">
        <f>'T_TTAFStock'!O41</f>
        <v/>
      </c>
      <c r="R1053">
        <f>'T_TTAFStock'!P41</f>
        <v/>
      </c>
      <c r="S1053">
        <f>'T_TTAFStock'!Q41</f>
        <v/>
      </c>
      <c r="T1053">
        <f>'T_TTAFStock'!R41</f>
        <v/>
      </c>
      <c r="U1053">
        <f>'T_TTAFStock'!S41</f>
        <v/>
      </c>
      <c r="V1053">
        <f>'T_TTAFStock'!T41</f>
        <v/>
      </c>
      <c r="W1053">
        <f>'T_TTAFStock'!U41</f>
        <v/>
      </c>
      <c r="X1053">
        <f>'T_TTAFStock'!V41</f>
        <v/>
      </c>
      <c r="Y1053">
        <f>'T_TTAFStock'!W41</f>
        <v/>
      </c>
      <c r="Z1053">
        <f>'T_TTAFStock'!X41</f>
        <v/>
      </c>
      <c r="AA1053">
        <f>'T_TTAFStock'!Y41</f>
        <v/>
      </c>
      <c r="AB1053">
        <f>'T_TTAFStock'!Z41</f>
        <v/>
      </c>
      <c r="AC1053">
        <f>'T_TTAFStock'!AA41</f>
        <v/>
      </c>
      <c r="AD1053">
        <f>'T_TTAFStock'!AB41</f>
        <v/>
      </c>
      <c r="AE1053">
        <f>'T_TTAFStock'!AC41</f>
        <v/>
      </c>
      <c r="AF1053">
        <f>'T_TTAFStock'!AD41</f>
        <v/>
      </c>
      <c r="AG1053">
        <f>'T_TTAFStock'!AE41</f>
        <v/>
      </c>
      <c r="AH1053">
        <f>'T_TTAFStock'!AF41</f>
        <v/>
      </c>
      <c r="AI1053">
        <f>'T_TTAFStock'!AG41</f>
        <v/>
      </c>
      <c r="AJ1053">
        <f>'T_TTAFStock'!AH41</f>
        <v/>
      </c>
      <c r="AK1053">
        <f>'T_TTAFStock'!AI41</f>
        <v/>
      </c>
      <c r="AL1053">
        <f>'T_TTAFStock'!AJ41</f>
        <v/>
      </c>
      <c r="AM1053">
        <f>'T_TTAFStock'!AK41</f>
        <v/>
      </c>
      <c r="AN1053">
        <f>'T_TTAFStock'!AL41</f>
        <v/>
      </c>
      <c r="AO1053">
        <f>'T_TTAFStock'!AM41</f>
        <v/>
      </c>
      <c r="AP1053">
        <f>'T_TTAFStock'!AN41</f>
        <v/>
      </c>
      <c r="AQ1053">
        <f>'T_TTAFStock'!AO41</f>
        <v/>
      </c>
      <c r="AR1053">
        <f>'T_TTAFStock'!AP41</f>
        <v/>
      </c>
      <c r="AS1053">
        <f>'T_TTAFStock'!AQ41</f>
        <v/>
      </c>
      <c r="AT1053">
        <f>'T_TTAFStock'!AR41</f>
        <v/>
      </c>
      <c r="AU1053">
        <f>'T_TTAFStock'!AS41</f>
        <v/>
      </c>
      <c r="AV1053">
        <f>'T_TTAFStock'!AT41</f>
        <v/>
      </c>
      <c r="AW1053">
        <f>'T_TTAFStock'!AU41</f>
        <v/>
      </c>
      <c r="AX1053">
        <f>'T_TTAFStock'!AV41</f>
        <v/>
      </c>
      <c r="AY1053">
        <f>'T_TTAFStock'!AW41</f>
        <v/>
      </c>
      <c r="AZ1053">
        <f>'T_TTAFStock'!AX41</f>
        <v/>
      </c>
      <c r="BA1053">
        <f>'T_TTAFStock'!AY41</f>
        <v/>
      </c>
      <c r="BB1053">
        <f>'T_TTAFStock'!AZ41</f>
        <v/>
      </c>
      <c r="BC1053">
        <f>'T_TTAFStock'!BA41</f>
        <v/>
      </c>
      <c r="BD1053">
        <f>'T_TTAFStock'!BB41</f>
        <v/>
      </c>
      <c r="BE1053">
        <f>'T_TTAFStock'!BC41</f>
        <v/>
      </c>
      <c r="BF1053">
        <f>'T_TTAFStock'!BD41</f>
        <v/>
      </c>
      <c r="BG1053">
        <f>'T_TTAFStock'!BE41</f>
        <v/>
      </c>
      <c r="BH1053">
        <f>'T_TTAFStock'!BF41</f>
        <v/>
      </c>
      <c r="BI1053">
        <f>'T_TTAFStock'!BG41</f>
        <v/>
      </c>
      <c r="BJ1053">
        <f>'T_TTAFStock'!BH41</f>
        <v/>
      </c>
      <c r="BK1053">
        <f>'T_TTAFStock'!BI41</f>
        <v/>
      </c>
      <c r="BL1053">
        <f>'T_TTAFStock'!BJ41</f>
        <v/>
      </c>
      <c r="BM1053">
        <f>'T_TTAFStock'!BK41</f>
        <v/>
      </c>
      <c r="BN1053">
        <f>'T_TTAFStock'!BL41</f>
        <v/>
      </c>
      <c r="BO1053">
        <f>'T_TTAFStock'!BM41</f>
        <v/>
      </c>
      <c r="BP1053">
        <f>'T_TTAFStock'!BN41</f>
        <v/>
      </c>
      <c r="BQ1053">
        <f>'T_TTAFStock'!BO41</f>
        <v/>
      </c>
      <c r="BR1053">
        <f>'T_TTAFStock'!BP41</f>
        <v/>
      </c>
      <c r="BS1053">
        <f>'T_TTAFStock'!BQ41</f>
        <v/>
      </c>
      <c r="BT1053">
        <f>'T_TTAFStock'!BR41</f>
        <v/>
      </c>
      <c r="BU1053">
        <f>'T_TTAFStock'!BS41</f>
        <v/>
      </c>
      <c r="BV1053">
        <f>'T_TTAFStock'!BT41</f>
        <v/>
      </c>
      <c r="BW1053">
        <f>'T_TTAFStock'!BU41</f>
        <v/>
      </c>
      <c r="BX1053">
        <f>'T_TTAFStock'!BV41</f>
        <v/>
      </c>
      <c r="BY1053">
        <f>'T_TTAFStock'!BW41</f>
        <v/>
      </c>
      <c r="BZ1053">
        <f>'T_TTAFStock'!BX41</f>
        <v/>
      </c>
      <c r="CA1053">
        <f>'T_TTAFStock'!BY41</f>
        <v/>
      </c>
      <c r="CB1053">
        <f>'T_TTAFStock'!BZ41</f>
        <v/>
      </c>
      <c r="CC1053">
        <f>'T_TTAFStock'!CA41</f>
        <v/>
      </c>
      <c r="CD1053">
        <f>'T_TTAFStock'!CB41</f>
        <v/>
      </c>
      <c r="CE1053">
        <f>'T_TTAFStock'!CC41</f>
        <v/>
      </c>
      <c r="CF1053">
        <f>'T_TTAFStock'!CD41</f>
        <v/>
      </c>
      <c r="CG1053">
        <f>'T_TTAFStock'!CE41</f>
        <v/>
      </c>
      <c r="CH1053">
        <f>'T_TTAFStock'!CF41</f>
        <v/>
      </c>
      <c r="CI1053">
        <f>'T_TTAFStock'!CG41</f>
        <v/>
      </c>
      <c r="CJ1053">
        <f>'T_TTAFStock'!CH41</f>
        <v/>
      </c>
      <c r="CK1053">
        <f>'T_TTAFStock'!CI41</f>
        <v/>
      </c>
      <c r="CL1053">
        <f>'T_TTAFStock'!CJ41</f>
        <v/>
      </c>
      <c r="CM1053">
        <f>'T_TTAFStock'!CK41</f>
        <v/>
      </c>
      <c r="CN1053">
        <f>'T_TTAFStock'!CL41</f>
        <v/>
      </c>
      <c r="CO1053">
        <f>'T_TTAFStock'!CM41</f>
        <v/>
      </c>
      <c r="CP1053">
        <f>'T_TTAFStock'!CN41</f>
        <v/>
      </c>
      <c r="CQ1053">
        <f>'T_TTAFStock'!CO41</f>
        <v/>
      </c>
      <c r="CR1053">
        <f>'T_TTAFStock'!CP41</f>
        <v/>
      </c>
      <c r="CS1053">
        <f>'T_TTAFStock'!CQ41</f>
        <v/>
      </c>
      <c r="CT1053">
        <f>'T_TTAFStock'!CR41</f>
        <v/>
      </c>
      <c r="CU1053">
        <f>'T_TTAFStock'!CS41</f>
        <v/>
      </c>
      <c r="CV1053">
        <f>'T_TTAFStock'!CT41</f>
        <v/>
      </c>
      <c r="CW1053">
        <f>'T_TTAFStock'!CU41</f>
        <v/>
      </c>
      <c r="CX1053">
        <f>'T_TTAFStock'!CV41</f>
        <v/>
      </c>
      <c r="CY1053">
        <f>'T_TTAFStock'!CW41</f>
        <v/>
      </c>
      <c r="CZ1053">
        <f>'T_TTAFStock'!CX41</f>
        <v/>
      </c>
      <c r="DA1053">
        <f>'T_TTAFStock'!CY41</f>
        <v/>
      </c>
      <c r="DB1053">
        <f>'T_TTAFStock'!CZ41</f>
        <v/>
      </c>
      <c r="DC1053">
        <f>'T_TTAFStock'!DA41</f>
        <v/>
      </c>
    </row>
    <row r="1054">
      <c r="B1054" t="inlineStr">
        <is>
          <t>自社在庫(実績,kg)</t>
        </is>
      </c>
      <c r="D1054">
        <f>'T_SelfStock'!B41</f>
        <v/>
      </c>
      <c r="E1054">
        <f>'T_SelfStock'!C41</f>
        <v/>
      </c>
      <c r="F1054">
        <f>'T_SelfStock'!D41</f>
        <v/>
      </c>
      <c r="G1054">
        <f>'T_SelfStock'!E41</f>
        <v/>
      </c>
      <c r="H1054">
        <f>'T_SelfStock'!F41</f>
        <v/>
      </c>
      <c r="I1054">
        <f>'T_SelfStock'!G41</f>
        <v/>
      </c>
      <c r="J1054">
        <f>'T_SelfStock'!H41</f>
        <v/>
      </c>
      <c r="K1054">
        <f>'T_SelfStock'!I41</f>
        <v/>
      </c>
      <c r="L1054">
        <f>'T_SelfStock'!J41</f>
        <v/>
      </c>
      <c r="M1054">
        <f>'T_SelfStock'!K41</f>
        <v/>
      </c>
      <c r="N1054">
        <f>'T_SelfStock'!L41</f>
        <v/>
      </c>
      <c r="O1054">
        <f>'T_SelfStock'!M41</f>
        <v/>
      </c>
      <c r="P1054">
        <f>'T_SelfStock'!N41</f>
        <v/>
      </c>
      <c r="Q1054">
        <f>'T_SelfStock'!O41</f>
        <v/>
      </c>
      <c r="R1054">
        <f>'T_SelfStock'!P41</f>
        <v/>
      </c>
      <c r="S1054">
        <f>'T_SelfStock'!Q41</f>
        <v/>
      </c>
      <c r="T1054">
        <f>'T_SelfStock'!R41</f>
        <v/>
      </c>
      <c r="U1054">
        <f>'T_SelfStock'!S41</f>
        <v/>
      </c>
      <c r="V1054">
        <f>'T_SelfStock'!T41</f>
        <v/>
      </c>
      <c r="W1054">
        <f>'T_SelfStock'!U41</f>
        <v/>
      </c>
      <c r="X1054">
        <f>'T_SelfStock'!V41</f>
        <v/>
      </c>
      <c r="Y1054">
        <f>'T_SelfStock'!W41</f>
        <v/>
      </c>
      <c r="Z1054">
        <f>'T_SelfStock'!X41</f>
        <v/>
      </c>
      <c r="AA1054">
        <f>'T_SelfStock'!Y41</f>
        <v/>
      </c>
      <c r="AB1054">
        <f>'T_SelfStock'!Z41</f>
        <v/>
      </c>
      <c r="AC1054">
        <f>'T_SelfStock'!AA41</f>
        <v/>
      </c>
      <c r="AD1054">
        <f>'T_SelfStock'!AB41</f>
        <v/>
      </c>
      <c r="AE1054">
        <f>'T_SelfStock'!AC41</f>
        <v/>
      </c>
      <c r="AF1054">
        <f>'T_SelfStock'!AD41</f>
        <v/>
      </c>
      <c r="AG1054">
        <f>'T_SelfStock'!AE41</f>
        <v/>
      </c>
      <c r="AH1054">
        <f>'T_SelfStock'!AF41</f>
        <v/>
      </c>
      <c r="AI1054">
        <f>'T_SelfStock'!AG41</f>
        <v/>
      </c>
      <c r="AJ1054">
        <f>'T_SelfStock'!AH41</f>
        <v/>
      </c>
      <c r="AK1054">
        <f>'T_SelfStock'!AI41</f>
        <v/>
      </c>
      <c r="AL1054">
        <f>'T_SelfStock'!AJ41</f>
        <v/>
      </c>
      <c r="AM1054">
        <f>'T_SelfStock'!AK41</f>
        <v/>
      </c>
      <c r="AN1054">
        <f>'T_SelfStock'!AL41</f>
        <v/>
      </c>
      <c r="AO1054">
        <f>'T_SelfStock'!AM41</f>
        <v/>
      </c>
      <c r="AP1054">
        <f>'T_SelfStock'!AN41</f>
        <v/>
      </c>
      <c r="AQ1054">
        <f>'T_SelfStock'!AO41</f>
        <v/>
      </c>
      <c r="AR1054">
        <f>'T_SelfStock'!AP41</f>
        <v/>
      </c>
      <c r="AS1054">
        <f>'T_SelfStock'!AQ41</f>
        <v/>
      </c>
      <c r="AT1054">
        <f>'T_SelfStock'!AR41</f>
        <v/>
      </c>
      <c r="AU1054">
        <f>'T_SelfStock'!AS41</f>
        <v/>
      </c>
      <c r="AV1054">
        <f>'T_SelfStock'!AT41</f>
        <v/>
      </c>
      <c r="AW1054">
        <f>'T_SelfStock'!AU41</f>
        <v/>
      </c>
      <c r="AX1054">
        <f>'T_SelfStock'!AV41</f>
        <v/>
      </c>
      <c r="AY1054">
        <f>'T_SelfStock'!AW41</f>
        <v/>
      </c>
      <c r="AZ1054">
        <f>'T_SelfStock'!AX41</f>
        <v/>
      </c>
      <c r="BA1054">
        <f>'T_SelfStock'!AY41</f>
        <v/>
      </c>
      <c r="BB1054">
        <f>'T_SelfStock'!AZ41</f>
        <v/>
      </c>
      <c r="BC1054">
        <f>'T_SelfStock'!BA41</f>
        <v/>
      </c>
      <c r="BD1054">
        <f>'T_SelfStock'!BB41</f>
        <v/>
      </c>
      <c r="BE1054">
        <f>'T_SelfStock'!BC41</f>
        <v/>
      </c>
      <c r="BF1054">
        <f>'T_SelfStock'!BD41</f>
        <v/>
      </c>
      <c r="BG1054">
        <f>'T_SelfStock'!BE41</f>
        <v/>
      </c>
      <c r="BH1054">
        <f>'T_SelfStock'!BF41</f>
        <v/>
      </c>
      <c r="BI1054">
        <f>'T_SelfStock'!BG41</f>
        <v/>
      </c>
      <c r="BJ1054">
        <f>'T_SelfStock'!BH41</f>
        <v/>
      </c>
      <c r="BK1054">
        <f>'T_SelfStock'!BI41</f>
        <v/>
      </c>
      <c r="BL1054">
        <f>'T_SelfStock'!BJ41</f>
        <v/>
      </c>
      <c r="BM1054">
        <f>'T_SelfStock'!BK41</f>
        <v/>
      </c>
      <c r="BN1054">
        <f>'T_SelfStock'!BL41</f>
        <v/>
      </c>
      <c r="BO1054">
        <f>'T_SelfStock'!BM41</f>
        <v/>
      </c>
      <c r="BP1054">
        <f>'T_SelfStock'!BN41</f>
        <v/>
      </c>
      <c r="BQ1054">
        <f>'T_SelfStock'!BO41</f>
        <v/>
      </c>
      <c r="BR1054">
        <f>'T_SelfStock'!BP41</f>
        <v/>
      </c>
      <c r="BS1054">
        <f>'T_SelfStock'!BQ41</f>
        <v/>
      </c>
      <c r="BT1054">
        <f>'T_SelfStock'!BR41</f>
        <v/>
      </c>
      <c r="BU1054">
        <f>'T_SelfStock'!BS41</f>
        <v/>
      </c>
      <c r="BV1054">
        <f>'T_SelfStock'!BT41</f>
        <v/>
      </c>
      <c r="BW1054">
        <f>'T_SelfStock'!BU41</f>
        <v/>
      </c>
      <c r="BX1054">
        <f>'T_SelfStock'!BV41</f>
        <v/>
      </c>
      <c r="BY1054">
        <f>'T_SelfStock'!BW41</f>
        <v/>
      </c>
      <c r="BZ1054">
        <f>'T_SelfStock'!BX41</f>
        <v/>
      </c>
      <c r="CA1054">
        <f>'T_SelfStock'!BY41</f>
        <v/>
      </c>
      <c r="CB1054">
        <f>'T_SelfStock'!BZ41</f>
        <v/>
      </c>
      <c r="CC1054">
        <f>'T_SelfStock'!CA41</f>
        <v/>
      </c>
      <c r="CD1054">
        <f>'T_SelfStock'!CB41</f>
        <v/>
      </c>
      <c r="CE1054">
        <f>'T_SelfStock'!CC41</f>
        <v/>
      </c>
      <c r="CF1054">
        <f>'T_SelfStock'!CD41</f>
        <v/>
      </c>
      <c r="CG1054">
        <f>'T_SelfStock'!CE41</f>
        <v/>
      </c>
      <c r="CH1054">
        <f>'T_SelfStock'!CF41</f>
        <v/>
      </c>
      <c r="CI1054">
        <f>'T_SelfStock'!CG41</f>
        <v/>
      </c>
      <c r="CJ1054">
        <f>'T_SelfStock'!CH41</f>
        <v/>
      </c>
      <c r="CK1054">
        <f>'T_SelfStock'!CI41</f>
        <v/>
      </c>
      <c r="CL1054">
        <f>'T_SelfStock'!CJ41</f>
        <v/>
      </c>
      <c r="CM1054">
        <f>'T_SelfStock'!CK41</f>
        <v/>
      </c>
      <c r="CN1054">
        <f>'T_SelfStock'!CL41</f>
        <v/>
      </c>
      <c r="CO1054">
        <f>'T_SelfStock'!CM41</f>
        <v/>
      </c>
      <c r="CP1054">
        <f>'T_SelfStock'!CN41</f>
        <v/>
      </c>
      <c r="CQ1054">
        <f>'T_SelfStock'!CO41</f>
        <v/>
      </c>
      <c r="CR1054">
        <f>'T_SelfStock'!CP41</f>
        <v/>
      </c>
      <c r="CS1054">
        <f>'T_SelfStock'!CQ41</f>
        <v/>
      </c>
      <c r="CT1054">
        <f>'T_SelfStock'!CR41</f>
        <v/>
      </c>
      <c r="CU1054">
        <f>'T_SelfStock'!CS41</f>
        <v/>
      </c>
      <c r="CV1054">
        <f>'T_SelfStock'!CT41</f>
        <v/>
      </c>
      <c r="CW1054">
        <f>'T_SelfStock'!CU41</f>
        <v/>
      </c>
      <c r="CX1054">
        <f>'T_SelfStock'!CV41</f>
        <v/>
      </c>
      <c r="CY1054">
        <f>'T_SelfStock'!CW41</f>
        <v/>
      </c>
      <c r="CZ1054">
        <f>'T_SelfStock'!CX41</f>
        <v/>
      </c>
      <c r="DA1054">
        <f>'T_SelfStock'!CY41</f>
        <v/>
      </c>
      <c r="DB1054">
        <f>'T_SelfStock'!CZ41</f>
        <v/>
      </c>
      <c r="DC1054">
        <f>'T_SelfStock'!DA41</f>
        <v/>
      </c>
    </row>
    <row r="1055">
      <c r="B1055" t="inlineStr">
        <is>
          <t>Order(発注予定,kg)</t>
        </is>
      </c>
      <c r="D1055">
        <f>IF(SUMIFS(T_PlannedOrders[EffectiveQty],T_PlannedOrders[Part Name],$A1049,T_PlannedOrders[WeekIndex],1)=0,"",SUMIFS(T_PlannedOrders[EffectiveQty],T_PlannedOrders[Part Name],$A1049,T_PlannedOrders[WeekIndex],1)&amp;" ("&amp;TEXT(SUMPRODUCT(MAX((T_PlannedOrders[Part Name]=$A1049)*(T_PlannedOrders[WeekIndex]=1)*(T_PlannedOrders[EffectiveQty]&gt;0)*T_PlannedOrders[Order_Month])),"m月")&amp;"発注)")</f>
        <v/>
      </c>
      <c r="E1055">
        <f>IF(SUMIFS(T_PlannedOrders[EffectiveQty],T_PlannedOrders[Part Name],$A1049,T_PlannedOrders[WeekIndex],2)=0,"",SUMIFS(T_PlannedOrders[EffectiveQty],T_PlannedOrders[Part Name],$A1049,T_PlannedOrders[WeekIndex],2)&amp;" ("&amp;TEXT(SUMPRODUCT(MAX((T_PlannedOrders[Part Name]=$A1049)*(T_PlannedOrders[WeekIndex]=2)*(T_PlannedOrders[EffectiveQty]&gt;0)*T_PlannedOrders[Order_Month])),"m月")&amp;"発注)")</f>
        <v/>
      </c>
      <c r="F1055">
        <f>IF(SUMIFS(T_PlannedOrders[EffectiveQty],T_PlannedOrders[Part Name],$A1049,T_PlannedOrders[WeekIndex],3)=0,"",SUMIFS(T_PlannedOrders[EffectiveQty],T_PlannedOrders[Part Name],$A1049,T_PlannedOrders[WeekIndex],3)&amp;" ("&amp;TEXT(SUMPRODUCT(MAX((T_PlannedOrders[Part Name]=$A1049)*(T_PlannedOrders[WeekIndex]=3)*(T_PlannedOrders[EffectiveQty]&gt;0)*T_PlannedOrders[Order_Month])),"m月")&amp;"発注)")</f>
        <v/>
      </c>
      <c r="G1055">
        <f>IF(SUMIFS(T_PlannedOrders[EffectiveQty],T_PlannedOrders[Part Name],$A1049,T_PlannedOrders[WeekIndex],4)=0,"",SUMIFS(T_PlannedOrders[EffectiveQty],T_PlannedOrders[Part Name],$A1049,T_PlannedOrders[WeekIndex],4)&amp;" ("&amp;TEXT(SUMPRODUCT(MAX((T_PlannedOrders[Part Name]=$A1049)*(T_PlannedOrders[WeekIndex]=4)*(T_PlannedOrders[EffectiveQty]&gt;0)*T_PlannedOrders[Order_Month])),"m月")&amp;"発注)")</f>
        <v/>
      </c>
      <c r="H1055">
        <f>IF(SUMIFS(T_PlannedOrders[EffectiveQty],T_PlannedOrders[Part Name],$A1049,T_PlannedOrders[WeekIndex],5)=0,"",SUMIFS(T_PlannedOrders[EffectiveQty],T_PlannedOrders[Part Name],$A1049,T_PlannedOrders[WeekIndex],5)&amp;" ("&amp;TEXT(SUMPRODUCT(MAX((T_PlannedOrders[Part Name]=$A1049)*(T_PlannedOrders[WeekIndex]=5)*(T_PlannedOrders[EffectiveQty]&gt;0)*T_PlannedOrders[Order_Month])),"m月")&amp;"発注)")</f>
        <v/>
      </c>
      <c r="I1055">
        <f>IF(SUMIFS(T_PlannedOrders[EffectiveQty],T_PlannedOrders[Part Name],$A1049,T_PlannedOrders[WeekIndex],6)=0,"",SUMIFS(T_PlannedOrders[EffectiveQty],T_PlannedOrders[Part Name],$A1049,T_PlannedOrders[WeekIndex],6)&amp;" ("&amp;TEXT(SUMPRODUCT(MAX((T_PlannedOrders[Part Name]=$A1049)*(T_PlannedOrders[WeekIndex]=6)*(T_PlannedOrders[EffectiveQty]&gt;0)*T_PlannedOrders[Order_Month])),"m月")&amp;"発注)")</f>
        <v/>
      </c>
      <c r="J1055">
        <f>IF(SUMIFS(T_PlannedOrders[EffectiveQty],T_PlannedOrders[Part Name],$A1049,T_PlannedOrders[WeekIndex],7)=0,"",SUMIFS(T_PlannedOrders[EffectiveQty],T_PlannedOrders[Part Name],$A1049,T_PlannedOrders[WeekIndex],7)&amp;" ("&amp;TEXT(SUMPRODUCT(MAX((T_PlannedOrders[Part Name]=$A1049)*(T_PlannedOrders[WeekIndex]=7)*(T_PlannedOrders[EffectiveQty]&gt;0)*T_PlannedOrders[Order_Month])),"m月")&amp;"発注)")</f>
        <v/>
      </c>
      <c r="K1055">
        <f>IF(SUMIFS(T_PlannedOrders[EffectiveQty],T_PlannedOrders[Part Name],$A1049,T_PlannedOrders[WeekIndex],8)=0,"",SUMIFS(T_PlannedOrders[EffectiveQty],T_PlannedOrders[Part Name],$A1049,T_PlannedOrders[WeekIndex],8)&amp;" ("&amp;TEXT(SUMPRODUCT(MAX((T_PlannedOrders[Part Name]=$A1049)*(T_PlannedOrders[WeekIndex]=8)*(T_PlannedOrders[EffectiveQty]&gt;0)*T_PlannedOrders[Order_Month])),"m月")&amp;"発注)")</f>
        <v/>
      </c>
      <c r="L1055">
        <f>IF(SUMIFS(T_PlannedOrders[EffectiveQty],T_PlannedOrders[Part Name],$A1049,T_PlannedOrders[WeekIndex],9)=0,"",SUMIFS(T_PlannedOrders[EffectiveQty],T_PlannedOrders[Part Name],$A1049,T_PlannedOrders[WeekIndex],9)&amp;" ("&amp;TEXT(SUMPRODUCT(MAX((T_PlannedOrders[Part Name]=$A1049)*(T_PlannedOrders[WeekIndex]=9)*(T_PlannedOrders[EffectiveQty]&gt;0)*T_PlannedOrders[Order_Month])),"m月")&amp;"発注)")</f>
        <v/>
      </c>
      <c r="M1055">
        <f>IF(SUMIFS(T_PlannedOrders[EffectiveQty],T_PlannedOrders[Part Name],$A1049,T_PlannedOrders[WeekIndex],10)=0,"",SUMIFS(T_PlannedOrders[EffectiveQty],T_PlannedOrders[Part Name],$A1049,T_PlannedOrders[WeekIndex],10)&amp;" ("&amp;TEXT(SUMPRODUCT(MAX((T_PlannedOrders[Part Name]=$A1049)*(T_PlannedOrders[WeekIndex]=10)*(T_PlannedOrders[EffectiveQty]&gt;0)*T_PlannedOrders[Order_Month])),"m月")&amp;"発注)")</f>
        <v/>
      </c>
      <c r="N1055">
        <f>IF(SUMIFS(T_PlannedOrders[EffectiveQty],T_PlannedOrders[Part Name],$A1049,T_PlannedOrders[WeekIndex],11)=0,"",SUMIFS(T_PlannedOrders[EffectiveQty],T_PlannedOrders[Part Name],$A1049,T_PlannedOrders[WeekIndex],11)&amp;" ("&amp;TEXT(SUMPRODUCT(MAX((T_PlannedOrders[Part Name]=$A1049)*(T_PlannedOrders[WeekIndex]=11)*(T_PlannedOrders[EffectiveQty]&gt;0)*T_PlannedOrders[Order_Month])),"m月")&amp;"発注)")</f>
        <v/>
      </c>
      <c r="O1055">
        <f>IF(SUMIFS(T_PlannedOrders[EffectiveQty],T_PlannedOrders[Part Name],$A1049,T_PlannedOrders[WeekIndex],12)=0,"",SUMIFS(T_PlannedOrders[EffectiveQty],T_PlannedOrders[Part Name],$A1049,T_PlannedOrders[WeekIndex],12)&amp;" ("&amp;TEXT(SUMPRODUCT(MAX((T_PlannedOrders[Part Name]=$A1049)*(T_PlannedOrders[WeekIndex]=12)*(T_PlannedOrders[EffectiveQty]&gt;0)*T_PlannedOrders[Order_Month])),"m月")&amp;"発注)")</f>
        <v/>
      </c>
      <c r="P1055">
        <f>IF(SUMIFS(T_PlannedOrders[EffectiveQty],T_PlannedOrders[Part Name],$A1049,T_PlannedOrders[WeekIndex],13)=0,"",SUMIFS(T_PlannedOrders[EffectiveQty],T_PlannedOrders[Part Name],$A1049,T_PlannedOrders[WeekIndex],13)&amp;" ("&amp;TEXT(SUMPRODUCT(MAX((T_PlannedOrders[Part Name]=$A1049)*(T_PlannedOrders[WeekIndex]=13)*(T_PlannedOrders[EffectiveQty]&gt;0)*T_PlannedOrders[Order_Month])),"m月")&amp;"発注)")</f>
        <v/>
      </c>
      <c r="Q1055">
        <f>IF(SUMIFS(T_PlannedOrders[EffectiveQty],T_PlannedOrders[Part Name],$A1049,T_PlannedOrders[WeekIndex],14)=0,"",SUMIFS(T_PlannedOrders[EffectiveQty],T_PlannedOrders[Part Name],$A1049,T_PlannedOrders[WeekIndex],14)&amp;" ("&amp;TEXT(SUMPRODUCT(MAX((T_PlannedOrders[Part Name]=$A1049)*(T_PlannedOrders[WeekIndex]=14)*(T_PlannedOrders[EffectiveQty]&gt;0)*T_PlannedOrders[Order_Month])),"m月")&amp;"発注)")</f>
        <v/>
      </c>
      <c r="R1055">
        <f>IF(SUMIFS(T_PlannedOrders[EffectiveQty],T_PlannedOrders[Part Name],$A1049,T_PlannedOrders[WeekIndex],15)=0,"",SUMIFS(T_PlannedOrders[EffectiveQty],T_PlannedOrders[Part Name],$A1049,T_PlannedOrders[WeekIndex],15)&amp;" ("&amp;TEXT(SUMPRODUCT(MAX((T_PlannedOrders[Part Name]=$A1049)*(T_PlannedOrders[WeekIndex]=15)*(T_PlannedOrders[EffectiveQty]&gt;0)*T_PlannedOrders[Order_Month])),"m月")&amp;"発注)")</f>
        <v/>
      </c>
      <c r="S1055">
        <f>IF(SUMIFS(T_PlannedOrders[EffectiveQty],T_PlannedOrders[Part Name],$A1049,T_PlannedOrders[WeekIndex],16)=0,"",SUMIFS(T_PlannedOrders[EffectiveQty],T_PlannedOrders[Part Name],$A1049,T_PlannedOrders[WeekIndex],16)&amp;" ("&amp;TEXT(SUMPRODUCT(MAX((T_PlannedOrders[Part Name]=$A1049)*(T_PlannedOrders[WeekIndex]=16)*(T_PlannedOrders[EffectiveQty]&gt;0)*T_PlannedOrders[Order_Month])),"m月")&amp;"発注)")</f>
        <v/>
      </c>
      <c r="T1055">
        <f>IF(SUMIFS(T_PlannedOrders[EffectiveQty],T_PlannedOrders[Part Name],$A1049,T_PlannedOrders[WeekIndex],17)=0,"",SUMIFS(T_PlannedOrders[EffectiveQty],T_PlannedOrders[Part Name],$A1049,T_PlannedOrders[WeekIndex],17)&amp;" ("&amp;TEXT(SUMPRODUCT(MAX((T_PlannedOrders[Part Name]=$A1049)*(T_PlannedOrders[WeekIndex]=17)*(T_PlannedOrders[EffectiveQty]&gt;0)*T_PlannedOrders[Order_Month])),"m月")&amp;"発注)")</f>
        <v/>
      </c>
      <c r="U1055">
        <f>IF(SUMIFS(T_PlannedOrders[EffectiveQty],T_PlannedOrders[Part Name],$A1049,T_PlannedOrders[WeekIndex],18)=0,"",SUMIFS(T_PlannedOrders[EffectiveQty],T_PlannedOrders[Part Name],$A1049,T_PlannedOrders[WeekIndex],18)&amp;" ("&amp;TEXT(SUMPRODUCT(MAX((T_PlannedOrders[Part Name]=$A1049)*(T_PlannedOrders[WeekIndex]=18)*(T_PlannedOrders[EffectiveQty]&gt;0)*T_PlannedOrders[Order_Month])),"m月")&amp;"発注)")</f>
        <v/>
      </c>
      <c r="V1055">
        <f>IF(SUMIFS(T_PlannedOrders[EffectiveQty],T_PlannedOrders[Part Name],$A1049,T_PlannedOrders[WeekIndex],19)=0,"",SUMIFS(T_PlannedOrders[EffectiveQty],T_PlannedOrders[Part Name],$A1049,T_PlannedOrders[WeekIndex],19)&amp;" ("&amp;TEXT(SUMPRODUCT(MAX((T_PlannedOrders[Part Name]=$A1049)*(T_PlannedOrders[WeekIndex]=19)*(T_PlannedOrders[EffectiveQty]&gt;0)*T_PlannedOrders[Order_Month])),"m月")&amp;"発注)")</f>
        <v/>
      </c>
      <c r="W1055">
        <f>IF(SUMIFS(T_PlannedOrders[EffectiveQty],T_PlannedOrders[Part Name],$A1049,T_PlannedOrders[WeekIndex],20)=0,"",SUMIFS(T_PlannedOrders[EffectiveQty],T_PlannedOrders[Part Name],$A1049,T_PlannedOrders[WeekIndex],20)&amp;" ("&amp;TEXT(SUMPRODUCT(MAX((T_PlannedOrders[Part Name]=$A1049)*(T_PlannedOrders[WeekIndex]=20)*(T_PlannedOrders[EffectiveQty]&gt;0)*T_PlannedOrders[Order_Month])),"m月")&amp;"発注)")</f>
        <v/>
      </c>
      <c r="X1055">
        <f>IF(SUMIFS(T_PlannedOrders[EffectiveQty],T_PlannedOrders[Part Name],$A1049,T_PlannedOrders[WeekIndex],21)=0,"",SUMIFS(T_PlannedOrders[EffectiveQty],T_PlannedOrders[Part Name],$A1049,T_PlannedOrders[WeekIndex],21)&amp;" ("&amp;TEXT(SUMPRODUCT(MAX((T_PlannedOrders[Part Name]=$A1049)*(T_PlannedOrders[WeekIndex]=21)*(T_PlannedOrders[EffectiveQty]&gt;0)*T_PlannedOrders[Order_Month])),"m月")&amp;"発注)")</f>
        <v/>
      </c>
      <c r="Y1055">
        <f>IF(SUMIFS(T_PlannedOrders[EffectiveQty],T_PlannedOrders[Part Name],$A1049,T_PlannedOrders[WeekIndex],22)=0,"",SUMIFS(T_PlannedOrders[EffectiveQty],T_PlannedOrders[Part Name],$A1049,T_PlannedOrders[WeekIndex],22)&amp;" ("&amp;TEXT(SUMPRODUCT(MAX((T_PlannedOrders[Part Name]=$A1049)*(T_PlannedOrders[WeekIndex]=22)*(T_PlannedOrders[EffectiveQty]&gt;0)*T_PlannedOrders[Order_Month])),"m月")&amp;"発注)")</f>
        <v/>
      </c>
      <c r="Z1055">
        <f>IF(SUMIFS(T_PlannedOrders[EffectiveQty],T_PlannedOrders[Part Name],$A1049,T_PlannedOrders[WeekIndex],23)=0,"",SUMIFS(T_PlannedOrders[EffectiveQty],T_PlannedOrders[Part Name],$A1049,T_PlannedOrders[WeekIndex],23)&amp;" ("&amp;TEXT(SUMPRODUCT(MAX((T_PlannedOrders[Part Name]=$A1049)*(T_PlannedOrders[WeekIndex]=23)*(T_PlannedOrders[EffectiveQty]&gt;0)*T_PlannedOrders[Order_Month])),"m月")&amp;"発注)")</f>
        <v/>
      </c>
      <c r="AA1055">
        <f>IF(SUMIFS(T_PlannedOrders[EffectiveQty],T_PlannedOrders[Part Name],$A1049,T_PlannedOrders[WeekIndex],24)=0,"",SUMIFS(T_PlannedOrders[EffectiveQty],T_PlannedOrders[Part Name],$A1049,T_PlannedOrders[WeekIndex],24)&amp;" ("&amp;TEXT(SUMPRODUCT(MAX((T_PlannedOrders[Part Name]=$A1049)*(T_PlannedOrders[WeekIndex]=24)*(T_PlannedOrders[EffectiveQty]&gt;0)*T_PlannedOrders[Order_Month])),"m月")&amp;"発注)")</f>
        <v/>
      </c>
      <c r="AB1055">
        <f>IF(SUMIFS(T_PlannedOrders[EffectiveQty],T_PlannedOrders[Part Name],$A1049,T_PlannedOrders[WeekIndex],25)=0,"",SUMIFS(T_PlannedOrders[EffectiveQty],T_PlannedOrders[Part Name],$A1049,T_PlannedOrders[WeekIndex],25)&amp;" ("&amp;TEXT(SUMPRODUCT(MAX((T_PlannedOrders[Part Name]=$A1049)*(T_PlannedOrders[WeekIndex]=25)*(T_PlannedOrders[EffectiveQty]&gt;0)*T_PlannedOrders[Order_Month])),"m月")&amp;"発注)")</f>
        <v/>
      </c>
      <c r="AC1055">
        <f>IF(SUMIFS(T_PlannedOrders[EffectiveQty],T_PlannedOrders[Part Name],$A1049,T_PlannedOrders[WeekIndex],26)=0,"",SUMIFS(T_PlannedOrders[EffectiveQty],T_PlannedOrders[Part Name],$A1049,T_PlannedOrders[WeekIndex],26)&amp;" ("&amp;TEXT(SUMPRODUCT(MAX((T_PlannedOrders[Part Name]=$A1049)*(T_PlannedOrders[WeekIndex]=26)*(T_PlannedOrders[EffectiveQty]&gt;0)*T_PlannedOrders[Order_Month])),"m月")&amp;"発注)")</f>
        <v/>
      </c>
      <c r="AD1055">
        <f>IF(SUMIFS(T_PlannedOrders[EffectiveQty],T_PlannedOrders[Part Name],$A1049,T_PlannedOrders[WeekIndex],27)=0,"",SUMIFS(T_PlannedOrders[EffectiveQty],T_PlannedOrders[Part Name],$A1049,T_PlannedOrders[WeekIndex],27)&amp;" ("&amp;TEXT(SUMPRODUCT(MAX((T_PlannedOrders[Part Name]=$A1049)*(T_PlannedOrders[WeekIndex]=27)*(T_PlannedOrders[EffectiveQty]&gt;0)*T_PlannedOrders[Order_Month])),"m月")&amp;"発注)")</f>
        <v/>
      </c>
      <c r="AE1055">
        <f>IF(SUMIFS(T_PlannedOrders[EffectiveQty],T_PlannedOrders[Part Name],$A1049,T_PlannedOrders[WeekIndex],28)=0,"",SUMIFS(T_PlannedOrders[EffectiveQty],T_PlannedOrders[Part Name],$A1049,T_PlannedOrders[WeekIndex],28)&amp;" ("&amp;TEXT(SUMPRODUCT(MAX((T_PlannedOrders[Part Name]=$A1049)*(T_PlannedOrders[WeekIndex]=28)*(T_PlannedOrders[EffectiveQty]&gt;0)*T_PlannedOrders[Order_Month])),"m月")&amp;"発注)")</f>
        <v/>
      </c>
      <c r="AF1055">
        <f>IF(SUMIFS(T_PlannedOrders[EffectiveQty],T_PlannedOrders[Part Name],$A1049,T_PlannedOrders[WeekIndex],29)=0,"",SUMIFS(T_PlannedOrders[EffectiveQty],T_PlannedOrders[Part Name],$A1049,T_PlannedOrders[WeekIndex],29)&amp;" ("&amp;TEXT(SUMPRODUCT(MAX((T_PlannedOrders[Part Name]=$A1049)*(T_PlannedOrders[WeekIndex]=29)*(T_PlannedOrders[EffectiveQty]&gt;0)*T_PlannedOrders[Order_Month])),"m月")&amp;"発注)")</f>
        <v/>
      </c>
      <c r="AG1055">
        <f>IF(SUMIFS(T_PlannedOrders[EffectiveQty],T_PlannedOrders[Part Name],$A1049,T_PlannedOrders[WeekIndex],30)=0,"",SUMIFS(T_PlannedOrders[EffectiveQty],T_PlannedOrders[Part Name],$A1049,T_PlannedOrders[WeekIndex],30)&amp;" ("&amp;TEXT(SUMPRODUCT(MAX((T_PlannedOrders[Part Name]=$A1049)*(T_PlannedOrders[WeekIndex]=30)*(T_PlannedOrders[EffectiveQty]&gt;0)*T_PlannedOrders[Order_Month])),"m月")&amp;"発注)")</f>
        <v/>
      </c>
      <c r="AH1055">
        <f>IF(SUMIFS(T_PlannedOrders[EffectiveQty],T_PlannedOrders[Part Name],$A1049,T_PlannedOrders[WeekIndex],31)=0,"",SUMIFS(T_PlannedOrders[EffectiveQty],T_PlannedOrders[Part Name],$A1049,T_PlannedOrders[WeekIndex],31)&amp;" ("&amp;TEXT(SUMPRODUCT(MAX((T_PlannedOrders[Part Name]=$A1049)*(T_PlannedOrders[WeekIndex]=31)*(T_PlannedOrders[EffectiveQty]&gt;0)*T_PlannedOrders[Order_Month])),"m月")&amp;"発注)")</f>
        <v/>
      </c>
      <c r="AI1055">
        <f>IF(SUMIFS(T_PlannedOrders[EffectiveQty],T_PlannedOrders[Part Name],$A1049,T_PlannedOrders[WeekIndex],32)=0,"",SUMIFS(T_PlannedOrders[EffectiveQty],T_PlannedOrders[Part Name],$A1049,T_PlannedOrders[WeekIndex],32)&amp;" ("&amp;TEXT(SUMPRODUCT(MAX((T_PlannedOrders[Part Name]=$A1049)*(T_PlannedOrders[WeekIndex]=32)*(T_PlannedOrders[EffectiveQty]&gt;0)*T_PlannedOrders[Order_Month])),"m月")&amp;"発注)")</f>
        <v/>
      </c>
      <c r="AJ1055">
        <f>IF(SUMIFS(T_PlannedOrders[EffectiveQty],T_PlannedOrders[Part Name],$A1049,T_PlannedOrders[WeekIndex],33)=0,"",SUMIFS(T_PlannedOrders[EffectiveQty],T_PlannedOrders[Part Name],$A1049,T_PlannedOrders[WeekIndex],33)&amp;" ("&amp;TEXT(SUMPRODUCT(MAX((T_PlannedOrders[Part Name]=$A1049)*(T_PlannedOrders[WeekIndex]=33)*(T_PlannedOrders[EffectiveQty]&gt;0)*T_PlannedOrders[Order_Month])),"m月")&amp;"発注)")</f>
        <v/>
      </c>
      <c r="AK1055">
        <f>IF(SUMIFS(T_PlannedOrders[EffectiveQty],T_PlannedOrders[Part Name],$A1049,T_PlannedOrders[WeekIndex],34)=0,"",SUMIFS(T_PlannedOrders[EffectiveQty],T_PlannedOrders[Part Name],$A1049,T_PlannedOrders[WeekIndex],34)&amp;" ("&amp;TEXT(SUMPRODUCT(MAX((T_PlannedOrders[Part Name]=$A1049)*(T_PlannedOrders[WeekIndex]=34)*(T_PlannedOrders[EffectiveQty]&gt;0)*T_PlannedOrders[Order_Month])),"m月")&amp;"発注)")</f>
        <v/>
      </c>
      <c r="AL1055">
        <f>IF(SUMIFS(T_PlannedOrders[EffectiveQty],T_PlannedOrders[Part Name],$A1049,T_PlannedOrders[WeekIndex],35)=0,"",SUMIFS(T_PlannedOrders[EffectiveQty],T_PlannedOrders[Part Name],$A1049,T_PlannedOrders[WeekIndex],35)&amp;" ("&amp;TEXT(SUMPRODUCT(MAX((T_PlannedOrders[Part Name]=$A1049)*(T_PlannedOrders[WeekIndex]=35)*(T_PlannedOrders[EffectiveQty]&gt;0)*T_PlannedOrders[Order_Month])),"m月")&amp;"発注)")</f>
        <v/>
      </c>
      <c r="AM1055">
        <f>IF(SUMIFS(T_PlannedOrders[EffectiveQty],T_PlannedOrders[Part Name],$A1049,T_PlannedOrders[WeekIndex],36)=0,"",SUMIFS(T_PlannedOrders[EffectiveQty],T_PlannedOrders[Part Name],$A1049,T_PlannedOrders[WeekIndex],36)&amp;" ("&amp;TEXT(SUMPRODUCT(MAX((T_PlannedOrders[Part Name]=$A1049)*(T_PlannedOrders[WeekIndex]=36)*(T_PlannedOrders[EffectiveQty]&gt;0)*T_PlannedOrders[Order_Month])),"m月")&amp;"発注)")</f>
        <v/>
      </c>
      <c r="AN1055">
        <f>IF(SUMIFS(T_PlannedOrders[EffectiveQty],T_PlannedOrders[Part Name],$A1049,T_PlannedOrders[WeekIndex],37)=0,"",SUMIFS(T_PlannedOrders[EffectiveQty],T_PlannedOrders[Part Name],$A1049,T_PlannedOrders[WeekIndex],37)&amp;" ("&amp;TEXT(SUMPRODUCT(MAX((T_PlannedOrders[Part Name]=$A1049)*(T_PlannedOrders[WeekIndex]=37)*(T_PlannedOrders[EffectiveQty]&gt;0)*T_PlannedOrders[Order_Month])),"m月")&amp;"発注)")</f>
        <v/>
      </c>
      <c r="AO1055">
        <f>IF(SUMIFS(T_PlannedOrders[EffectiveQty],T_PlannedOrders[Part Name],$A1049,T_PlannedOrders[WeekIndex],38)=0,"",SUMIFS(T_PlannedOrders[EffectiveQty],T_PlannedOrders[Part Name],$A1049,T_PlannedOrders[WeekIndex],38)&amp;" ("&amp;TEXT(SUMPRODUCT(MAX((T_PlannedOrders[Part Name]=$A1049)*(T_PlannedOrders[WeekIndex]=38)*(T_PlannedOrders[EffectiveQty]&gt;0)*T_PlannedOrders[Order_Month])),"m月")&amp;"発注)")</f>
        <v/>
      </c>
      <c r="AP1055">
        <f>IF(SUMIFS(T_PlannedOrders[EffectiveQty],T_PlannedOrders[Part Name],$A1049,T_PlannedOrders[WeekIndex],39)=0,"",SUMIFS(T_PlannedOrders[EffectiveQty],T_PlannedOrders[Part Name],$A1049,T_PlannedOrders[WeekIndex],39)&amp;" ("&amp;TEXT(SUMPRODUCT(MAX((T_PlannedOrders[Part Name]=$A1049)*(T_PlannedOrders[WeekIndex]=39)*(T_PlannedOrders[EffectiveQty]&gt;0)*T_PlannedOrders[Order_Month])),"m月")&amp;"発注)")</f>
        <v/>
      </c>
      <c r="AQ1055">
        <f>IF(SUMIFS(T_PlannedOrders[EffectiveQty],T_PlannedOrders[Part Name],$A1049,T_PlannedOrders[WeekIndex],40)=0,"",SUMIFS(T_PlannedOrders[EffectiveQty],T_PlannedOrders[Part Name],$A1049,T_PlannedOrders[WeekIndex],40)&amp;" ("&amp;TEXT(SUMPRODUCT(MAX((T_PlannedOrders[Part Name]=$A1049)*(T_PlannedOrders[WeekIndex]=40)*(T_PlannedOrders[EffectiveQty]&gt;0)*T_PlannedOrders[Order_Month])),"m月")&amp;"発注)")</f>
        <v/>
      </c>
      <c r="AR1055">
        <f>IF(SUMIFS(T_PlannedOrders[EffectiveQty],T_PlannedOrders[Part Name],$A1049,T_PlannedOrders[WeekIndex],41)=0,"",SUMIFS(T_PlannedOrders[EffectiveQty],T_PlannedOrders[Part Name],$A1049,T_PlannedOrders[WeekIndex],41)&amp;" ("&amp;TEXT(SUMPRODUCT(MAX((T_PlannedOrders[Part Name]=$A1049)*(T_PlannedOrders[WeekIndex]=41)*(T_PlannedOrders[EffectiveQty]&gt;0)*T_PlannedOrders[Order_Month])),"m月")&amp;"発注)")</f>
        <v/>
      </c>
      <c r="AS1055">
        <f>IF(SUMIFS(T_PlannedOrders[EffectiveQty],T_PlannedOrders[Part Name],$A1049,T_PlannedOrders[WeekIndex],42)=0,"",SUMIFS(T_PlannedOrders[EffectiveQty],T_PlannedOrders[Part Name],$A1049,T_PlannedOrders[WeekIndex],42)&amp;" ("&amp;TEXT(SUMPRODUCT(MAX((T_PlannedOrders[Part Name]=$A1049)*(T_PlannedOrders[WeekIndex]=42)*(T_PlannedOrders[EffectiveQty]&gt;0)*T_PlannedOrders[Order_Month])),"m月")&amp;"発注)")</f>
        <v/>
      </c>
      <c r="AT1055">
        <f>IF(SUMIFS(T_PlannedOrders[EffectiveQty],T_PlannedOrders[Part Name],$A1049,T_PlannedOrders[WeekIndex],43)=0,"",SUMIFS(T_PlannedOrders[EffectiveQty],T_PlannedOrders[Part Name],$A1049,T_PlannedOrders[WeekIndex],43)&amp;" ("&amp;TEXT(SUMPRODUCT(MAX((T_PlannedOrders[Part Name]=$A1049)*(T_PlannedOrders[WeekIndex]=43)*(T_PlannedOrders[EffectiveQty]&gt;0)*T_PlannedOrders[Order_Month])),"m月")&amp;"発注)")</f>
        <v/>
      </c>
      <c r="AU1055">
        <f>IF(SUMIFS(T_PlannedOrders[EffectiveQty],T_PlannedOrders[Part Name],$A1049,T_PlannedOrders[WeekIndex],44)=0,"",SUMIFS(T_PlannedOrders[EffectiveQty],T_PlannedOrders[Part Name],$A1049,T_PlannedOrders[WeekIndex],44)&amp;" ("&amp;TEXT(SUMPRODUCT(MAX((T_PlannedOrders[Part Name]=$A1049)*(T_PlannedOrders[WeekIndex]=44)*(T_PlannedOrders[EffectiveQty]&gt;0)*T_PlannedOrders[Order_Month])),"m月")&amp;"発注)")</f>
        <v/>
      </c>
      <c r="AV1055">
        <f>IF(SUMIFS(T_PlannedOrders[EffectiveQty],T_PlannedOrders[Part Name],$A1049,T_PlannedOrders[WeekIndex],45)=0,"",SUMIFS(T_PlannedOrders[EffectiveQty],T_PlannedOrders[Part Name],$A1049,T_PlannedOrders[WeekIndex],45)&amp;" ("&amp;TEXT(SUMPRODUCT(MAX((T_PlannedOrders[Part Name]=$A1049)*(T_PlannedOrders[WeekIndex]=45)*(T_PlannedOrders[EffectiveQty]&gt;0)*T_PlannedOrders[Order_Month])),"m月")&amp;"発注)")</f>
        <v/>
      </c>
      <c r="AW1055">
        <f>IF(SUMIFS(T_PlannedOrders[EffectiveQty],T_PlannedOrders[Part Name],$A1049,T_PlannedOrders[WeekIndex],46)=0,"",SUMIFS(T_PlannedOrders[EffectiveQty],T_PlannedOrders[Part Name],$A1049,T_PlannedOrders[WeekIndex],46)&amp;" ("&amp;TEXT(SUMPRODUCT(MAX((T_PlannedOrders[Part Name]=$A1049)*(T_PlannedOrders[WeekIndex]=46)*(T_PlannedOrders[EffectiveQty]&gt;0)*T_PlannedOrders[Order_Month])),"m月")&amp;"発注)")</f>
        <v/>
      </c>
      <c r="AX1055">
        <f>IF(SUMIFS(T_PlannedOrders[EffectiveQty],T_PlannedOrders[Part Name],$A1049,T_PlannedOrders[WeekIndex],47)=0,"",SUMIFS(T_PlannedOrders[EffectiveQty],T_PlannedOrders[Part Name],$A1049,T_PlannedOrders[WeekIndex],47)&amp;" ("&amp;TEXT(SUMPRODUCT(MAX((T_PlannedOrders[Part Name]=$A1049)*(T_PlannedOrders[WeekIndex]=47)*(T_PlannedOrders[EffectiveQty]&gt;0)*T_PlannedOrders[Order_Month])),"m月")&amp;"発注)")</f>
        <v/>
      </c>
      <c r="AY1055">
        <f>IF(SUMIFS(T_PlannedOrders[EffectiveQty],T_PlannedOrders[Part Name],$A1049,T_PlannedOrders[WeekIndex],48)=0,"",SUMIFS(T_PlannedOrders[EffectiveQty],T_PlannedOrders[Part Name],$A1049,T_PlannedOrders[WeekIndex],48)&amp;" ("&amp;TEXT(SUMPRODUCT(MAX((T_PlannedOrders[Part Name]=$A1049)*(T_PlannedOrders[WeekIndex]=48)*(T_PlannedOrders[EffectiveQty]&gt;0)*T_PlannedOrders[Order_Month])),"m月")&amp;"発注)")</f>
        <v/>
      </c>
      <c r="AZ1055">
        <f>IF(SUMIFS(T_PlannedOrders[EffectiveQty],T_PlannedOrders[Part Name],$A1049,T_PlannedOrders[WeekIndex],49)=0,"",SUMIFS(T_PlannedOrders[EffectiveQty],T_PlannedOrders[Part Name],$A1049,T_PlannedOrders[WeekIndex],49)&amp;" ("&amp;TEXT(SUMPRODUCT(MAX((T_PlannedOrders[Part Name]=$A1049)*(T_PlannedOrders[WeekIndex]=49)*(T_PlannedOrders[EffectiveQty]&gt;0)*T_PlannedOrders[Order_Month])),"m月")&amp;"発注)")</f>
        <v/>
      </c>
      <c r="BA1055">
        <f>IF(SUMIFS(T_PlannedOrders[EffectiveQty],T_PlannedOrders[Part Name],$A1049,T_PlannedOrders[WeekIndex],50)=0,"",SUMIFS(T_PlannedOrders[EffectiveQty],T_PlannedOrders[Part Name],$A1049,T_PlannedOrders[WeekIndex],50)&amp;" ("&amp;TEXT(SUMPRODUCT(MAX((T_PlannedOrders[Part Name]=$A1049)*(T_PlannedOrders[WeekIndex]=50)*(T_PlannedOrders[EffectiveQty]&gt;0)*T_PlannedOrders[Order_Month])),"m月")&amp;"発注)")</f>
        <v/>
      </c>
      <c r="BB1055">
        <f>IF(SUMIFS(T_PlannedOrders[EffectiveQty],T_PlannedOrders[Part Name],$A1049,T_PlannedOrders[WeekIndex],51)=0,"",SUMIFS(T_PlannedOrders[EffectiveQty],T_PlannedOrders[Part Name],$A1049,T_PlannedOrders[WeekIndex],51)&amp;" ("&amp;TEXT(SUMPRODUCT(MAX((T_PlannedOrders[Part Name]=$A1049)*(T_PlannedOrders[WeekIndex]=51)*(T_PlannedOrders[EffectiveQty]&gt;0)*T_PlannedOrders[Order_Month])),"m月")&amp;"発注)")</f>
        <v/>
      </c>
      <c r="BC1055">
        <f>IF(SUMIFS(T_PlannedOrders[EffectiveQty],T_PlannedOrders[Part Name],$A1049,T_PlannedOrders[WeekIndex],52)=0,"",SUMIFS(T_PlannedOrders[EffectiveQty],T_PlannedOrders[Part Name],$A1049,T_PlannedOrders[WeekIndex],52)&amp;" ("&amp;TEXT(SUMPRODUCT(MAX((T_PlannedOrders[Part Name]=$A1049)*(T_PlannedOrders[WeekIndex]=52)*(T_PlannedOrders[EffectiveQty]&gt;0)*T_PlannedOrders[Order_Month])),"m月")&amp;"発注)")</f>
        <v/>
      </c>
      <c r="BD1055">
        <f>IF(SUMIFS(T_PlannedOrders[EffectiveQty],T_PlannedOrders[Part Name],$A1049,T_PlannedOrders[WeekIndex],53)=0,"",SUMIFS(T_PlannedOrders[EffectiveQty],T_PlannedOrders[Part Name],$A1049,T_PlannedOrders[WeekIndex],53)&amp;" ("&amp;TEXT(SUMPRODUCT(MAX((T_PlannedOrders[Part Name]=$A1049)*(T_PlannedOrders[WeekIndex]=53)*(T_PlannedOrders[EffectiveQty]&gt;0)*T_PlannedOrders[Order_Month])),"m月")&amp;"発注)")</f>
        <v/>
      </c>
      <c r="BE1055">
        <f>IF(SUMIFS(T_PlannedOrders[EffectiveQty],T_PlannedOrders[Part Name],$A1049,T_PlannedOrders[WeekIndex],54)=0,"",SUMIFS(T_PlannedOrders[EffectiveQty],T_PlannedOrders[Part Name],$A1049,T_PlannedOrders[WeekIndex],54)&amp;" ("&amp;TEXT(SUMPRODUCT(MAX((T_PlannedOrders[Part Name]=$A1049)*(T_PlannedOrders[WeekIndex]=54)*(T_PlannedOrders[EffectiveQty]&gt;0)*T_PlannedOrders[Order_Month])),"m月")&amp;"発注)")</f>
        <v/>
      </c>
      <c r="BF1055">
        <f>IF(SUMIFS(T_PlannedOrders[EffectiveQty],T_PlannedOrders[Part Name],$A1049,T_PlannedOrders[WeekIndex],55)=0,"",SUMIFS(T_PlannedOrders[EffectiveQty],T_PlannedOrders[Part Name],$A1049,T_PlannedOrders[WeekIndex],55)&amp;" ("&amp;TEXT(SUMPRODUCT(MAX((T_PlannedOrders[Part Name]=$A1049)*(T_PlannedOrders[WeekIndex]=55)*(T_PlannedOrders[EffectiveQty]&gt;0)*T_PlannedOrders[Order_Month])),"m月")&amp;"発注)")</f>
        <v/>
      </c>
      <c r="BG1055">
        <f>IF(SUMIFS(T_PlannedOrders[EffectiveQty],T_PlannedOrders[Part Name],$A1049,T_PlannedOrders[WeekIndex],56)=0,"",SUMIFS(T_PlannedOrders[EffectiveQty],T_PlannedOrders[Part Name],$A1049,T_PlannedOrders[WeekIndex],56)&amp;" ("&amp;TEXT(SUMPRODUCT(MAX((T_PlannedOrders[Part Name]=$A1049)*(T_PlannedOrders[WeekIndex]=56)*(T_PlannedOrders[EffectiveQty]&gt;0)*T_PlannedOrders[Order_Month])),"m月")&amp;"発注)")</f>
        <v/>
      </c>
      <c r="BH1055">
        <f>IF(SUMIFS(T_PlannedOrders[EffectiveQty],T_PlannedOrders[Part Name],$A1049,T_PlannedOrders[WeekIndex],57)=0,"",SUMIFS(T_PlannedOrders[EffectiveQty],T_PlannedOrders[Part Name],$A1049,T_PlannedOrders[WeekIndex],57)&amp;" ("&amp;TEXT(SUMPRODUCT(MAX((T_PlannedOrders[Part Name]=$A1049)*(T_PlannedOrders[WeekIndex]=57)*(T_PlannedOrders[EffectiveQty]&gt;0)*T_PlannedOrders[Order_Month])),"m月")&amp;"発注)")</f>
        <v/>
      </c>
      <c r="BI1055">
        <f>IF(SUMIFS(T_PlannedOrders[EffectiveQty],T_PlannedOrders[Part Name],$A1049,T_PlannedOrders[WeekIndex],58)=0,"",SUMIFS(T_PlannedOrders[EffectiveQty],T_PlannedOrders[Part Name],$A1049,T_PlannedOrders[WeekIndex],58)&amp;" ("&amp;TEXT(SUMPRODUCT(MAX((T_PlannedOrders[Part Name]=$A1049)*(T_PlannedOrders[WeekIndex]=58)*(T_PlannedOrders[EffectiveQty]&gt;0)*T_PlannedOrders[Order_Month])),"m月")&amp;"発注)")</f>
        <v/>
      </c>
      <c r="BJ1055">
        <f>IF(SUMIFS(T_PlannedOrders[EffectiveQty],T_PlannedOrders[Part Name],$A1049,T_PlannedOrders[WeekIndex],59)=0,"",SUMIFS(T_PlannedOrders[EffectiveQty],T_PlannedOrders[Part Name],$A1049,T_PlannedOrders[WeekIndex],59)&amp;" ("&amp;TEXT(SUMPRODUCT(MAX((T_PlannedOrders[Part Name]=$A1049)*(T_PlannedOrders[WeekIndex]=59)*(T_PlannedOrders[EffectiveQty]&gt;0)*T_PlannedOrders[Order_Month])),"m月")&amp;"発注)")</f>
        <v/>
      </c>
      <c r="BK1055">
        <f>IF(SUMIFS(T_PlannedOrders[EffectiveQty],T_PlannedOrders[Part Name],$A1049,T_PlannedOrders[WeekIndex],60)=0,"",SUMIFS(T_PlannedOrders[EffectiveQty],T_PlannedOrders[Part Name],$A1049,T_PlannedOrders[WeekIndex],60)&amp;" ("&amp;TEXT(SUMPRODUCT(MAX((T_PlannedOrders[Part Name]=$A1049)*(T_PlannedOrders[WeekIndex]=60)*(T_PlannedOrders[EffectiveQty]&gt;0)*T_PlannedOrders[Order_Month])),"m月")&amp;"発注)")</f>
        <v/>
      </c>
      <c r="BL1055">
        <f>IF(SUMIFS(T_PlannedOrders[EffectiveQty],T_PlannedOrders[Part Name],$A1049,T_PlannedOrders[WeekIndex],61)=0,"",SUMIFS(T_PlannedOrders[EffectiveQty],T_PlannedOrders[Part Name],$A1049,T_PlannedOrders[WeekIndex],61)&amp;" ("&amp;TEXT(SUMPRODUCT(MAX((T_PlannedOrders[Part Name]=$A1049)*(T_PlannedOrders[WeekIndex]=61)*(T_PlannedOrders[EffectiveQty]&gt;0)*T_PlannedOrders[Order_Month])),"m月")&amp;"発注)")</f>
        <v/>
      </c>
      <c r="BM1055">
        <f>IF(SUMIFS(T_PlannedOrders[EffectiveQty],T_PlannedOrders[Part Name],$A1049,T_PlannedOrders[WeekIndex],62)=0,"",SUMIFS(T_PlannedOrders[EffectiveQty],T_PlannedOrders[Part Name],$A1049,T_PlannedOrders[WeekIndex],62)&amp;" ("&amp;TEXT(SUMPRODUCT(MAX((T_PlannedOrders[Part Name]=$A1049)*(T_PlannedOrders[WeekIndex]=62)*(T_PlannedOrders[EffectiveQty]&gt;0)*T_PlannedOrders[Order_Month])),"m月")&amp;"発注)")</f>
        <v/>
      </c>
      <c r="BN1055">
        <f>IF(SUMIFS(T_PlannedOrders[EffectiveQty],T_PlannedOrders[Part Name],$A1049,T_PlannedOrders[WeekIndex],63)=0,"",SUMIFS(T_PlannedOrders[EffectiveQty],T_PlannedOrders[Part Name],$A1049,T_PlannedOrders[WeekIndex],63)&amp;" ("&amp;TEXT(SUMPRODUCT(MAX((T_PlannedOrders[Part Name]=$A1049)*(T_PlannedOrders[WeekIndex]=63)*(T_PlannedOrders[EffectiveQty]&gt;0)*T_PlannedOrders[Order_Month])),"m月")&amp;"発注)")</f>
        <v/>
      </c>
      <c r="BO1055">
        <f>IF(SUMIFS(T_PlannedOrders[EffectiveQty],T_PlannedOrders[Part Name],$A1049,T_PlannedOrders[WeekIndex],64)=0,"",SUMIFS(T_PlannedOrders[EffectiveQty],T_PlannedOrders[Part Name],$A1049,T_PlannedOrders[WeekIndex],64)&amp;" ("&amp;TEXT(SUMPRODUCT(MAX((T_PlannedOrders[Part Name]=$A1049)*(T_PlannedOrders[WeekIndex]=64)*(T_PlannedOrders[EffectiveQty]&gt;0)*T_PlannedOrders[Order_Month])),"m月")&amp;"発注)")</f>
        <v/>
      </c>
      <c r="BP1055">
        <f>IF(SUMIFS(T_PlannedOrders[EffectiveQty],T_PlannedOrders[Part Name],$A1049,T_PlannedOrders[WeekIndex],65)=0,"",SUMIFS(T_PlannedOrders[EffectiveQty],T_PlannedOrders[Part Name],$A1049,T_PlannedOrders[WeekIndex],65)&amp;" ("&amp;TEXT(SUMPRODUCT(MAX((T_PlannedOrders[Part Name]=$A1049)*(T_PlannedOrders[WeekIndex]=65)*(T_PlannedOrders[EffectiveQty]&gt;0)*T_PlannedOrders[Order_Month])),"m月")&amp;"発注)")</f>
        <v/>
      </c>
      <c r="BQ1055">
        <f>IF(SUMIFS(T_PlannedOrders[EffectiveQty],T_PlannedOrders[Part Name],$A1049,T_PlannedOrders[WeekIndex],66)=0,"",SUMIFS(T_PlannedOrders[EffectiveQty],T_PlannedOrders[Part Name],$A1049,T_PlannedOrders[WeekIndex],66)&amp;" ("&amp;TEXT(SUMPRODUCT(MAX((T_PlannedOrders[Part Name]=$A1049)*(T_PlannedOrders[WeekIndex]=66)*(T_PlannedOrders[EffectiveQty]&gt;0)*T_PlannedOrders[Order_Month])),"m月")&amp;"発注)")</f>
        <v/>
      </c>
      <c r="BR1055">
        <f>IF(SUMIFS(T_PlannedOrders[EffectiveQty],T_PlannedOrders[Part Name],$A1049,T_PlannedOrders[WeekIndex],67)=0,"",SUMIFS(T_PlannedOrders[EffectiveQty],T_PlannedOrders[Part Name],$A1049,T_PlannedOrders[WeekIndex],67)&amp;" ("&amp;TEXT(SUMPRODUCT(MAX((T_PlannedOrders[Part Name]=$A1049)*(T_PlannedOrders[WeekIndex]=67)*(T_PlannedOrders[EffectiveQty]&gt;0)*T_PlannedOrders[Order_Month])),"m月")&amp;"発注)")</f>
        <v/>
      </c>
      <c r="BS1055">
        <f>IF(SUMIFS(T_PlannedOrders[EffectiveQty],T_PlannedOrders[Part Name],$A1049,T_PlannedOrders[WeekIndex],68)=0,"",SUMIFS(T_PlannedOrders[EffectiveQty],T_PlannedOrders[Part Name],$A1049,T_PlannedOrders[WeekIndex],68)&amp;" ("&amp;TEXT(SUMPRODUCT(MAX((T_PlannedOrders[Part Name]=$A1049)*(T_PlannedOrders[WeekIndex]=68)*(T_PlannedOrders[EffectiveQty]&gt;0)*T_PlannedOrders[Order_Month])),"m月")&amp;"発注)")</f>
        <v/>
      </c>
      <c r="BT1055">
        <f>IF(SUMIFS(T_PlannedOrders[EffectiveQty],T_PlannedOrders[Part Name],$A1049,T_PlannedOrders[WeekIndex],69)=0,"",SUMIFS(T_PlannedOrders[EffectiveQty],T_PlannedOrders[Part Name],$A1049,T_PlannedOrders[WeekIndex],69)&amp;" ("&amp;TEXT(SUMPRODUCT(MAX((T_PlannedOrders[Part Name]=$A1049)*(T_PlannedOrders[WeekIndex]=69)*(T_PlannedOrders[EffectiveQty]&gt;0)*T_PlannedOrders[Order_Month])),"m月")&amp;"発注)")</f>
        <v/>
      </c>
      <c r="BU1055">
        <f>IF(SUMIFS(T_PlannedOrders[EffectiveQty],T_PlannedOrders[Part Name],$A1049,T_PlannedOrders[WeekIndex],70)=0,"",SUMIFS(T_PlannedOrders[EffectiveQty],T_PlannedOrders[Part Name],$A1049,T_PlannedOrders[WeekIndex],70)&amp;" ("&amp;TEXT(SUMPRODUCT(MAX((T_PlannedOrders[Part Name]=$A1049)*(T_PlannedOrders[WeekIndex]=70)*(T_PlannedOrders[EffectiveQty]&gt;0)*T_PlannedOrders[Order_Month])),"m月")&amp;"発注)")</f>
        <v/>
      </c>
      <c r="BV1055">
        <f>IF(SUMIFS(T_PlannedOrders[EffectiveQty],T_PlannedOrders[Part Name],$A1049,T_PlannedOrders[WeekIndex],71)=0,"",SUMIFS(T_PlannedOrders[EffectiveQty],T_PlannedOrders[Part Name],$A1049,T_PlannedOrders[WeekIndex],71)&amp;" ("&amp;TEXT(SUMPRODUCT(MAX((T_PlannedOrders[Part Name]=$A1049)*(T_PlannedOrders[WeekIndex]=71)*(T_PlannedOrders[EffectiveQty]&gt;0)*T_PlannedOrders[Order_Month])),"m月")&amp;"発注)")</f>
        <v/>
      </c>
      <c r="BW1055">
        <f>IF(SUMIFS(T_PlannedOrders[EffectiveQty],T_PlannedOrders[Part Name],$A1049,T_PlannedOrders[WeekIndex],72)=0,"",SUMIFS(T_PlannedOrders[EffectiveQty],T_PlannedOrders[Part Name],$A1049,T_PlannedOrders[WeekIndex],72)&amp;" ("&amp;TEXT(SUMPRODUCT(MAX((T_PlannedOrders[Part Name]=$A1049)*(T_PlannedOrders[WeekIndex]=72)*(T_PlannedOrders[EffectiveQty]&gt;0)*T_PlannedOrders[Order_Month])),"m月")&amp;"発注)")</f>
        <v/>
      </c>
      <c r="BX1055">
        <f>IF(SUMIFS(T_PlannedOrders[EffectiveQty],T_PlannedOrders[Part Name],$A1049,T_PlannedOrders[WeekIndex],73)=0,"",SUMIFS(T_PlannedOrders[EffectiveQty],T_PlannedOrders[Part Name],$A1049,T_PlannedOrders[WeekIndex],73)&amp;" ("&amp;TEXT(SUMPRODUCT(MAX((T_PlannedOrders[Part Name]=$A1049)*(T_PlannedOrders[WeekIndex]=73)*(T_PlannedOrders[EffectiveQty]&gt;0)*T_PlannedOrders[Order_Month])),"m月")&amp;"発注)")</f>
        <v/>
      </c>
      <c r="BY1055">
        <f>IF(SUMIFS(T_PlannedOrders[EffectiveQty],T_PlannedOrders[Part Name],$A1049,T_PlannedOrders[WeekIndex],74)=0,"",SUMIFS(T_PlannedOrders[EffectiveQty],T_PlannedOrders[Part Name],$A1049,T_PlannedOrders[WeekIndex],74)&amp;" ("&amp;TEXT(SUMPRODUCT(MAX((T_PlannedOrders[Part Name]=$A1049)*(T_PlannedOrders[WeekIndex]=74)*(T_PlannedOrders[EffectiveQty]&gt;0)*T_PlannedOrders[Order_Month])),"m月")&amp;"発注)")</f>
        <v/>
      </c>
      <c r="BZ1055">
        <f>IF(SUMIFS(T_PlannedOrders[EffectiveQty],T_PlannedOrders[Part Name],$A1049,T_PlannedOrders[WeekIndex],75)=0,"",SUMIFS(T_PlannedOrders[EffectiveQty],T_PlannedOrders[Part Name],$A1049,T_PlannedOrders[WeekIndex],75)&amp;" ("&amp;TEXT(SUMPRODUCT(MAX((T_PlannedOrders[Part Name]=$A1049)*(T_PlannedOrders[WeekIndex]=75)*(T_PlannedOrders[EffectiveQty]&gt;0)*T_PlannedOrders[Order_Month])),"m月")&amp;"発注)")</f>
        <v/>
      </c>
      <c r="CA1055">
        <f>IF(SUMIFS(T_PlannedOrders[EffectiveQty],T_PlannedOrders[Part Name],$A1049,T_PlannedOrders[WeekIndex],76)=0,"",SUMIFS(T_PlannedOrders[EffectiveQty],T_PlannedOrders[Part Name],$A1049,T_PlannedOrders[WeekIndex],76)&amp;" ("&amp;TEXT(SUMPRODUCT(MAX((T_PlannedOrders[Part Name]=$A1049)*(T_PlannedOrders[WeekIndex]=76)*(T_PlannedOrders[EffectiveQty]&gt;0)*T_PlannedOrders[Order_Month])),"m月")&amp;"発注)")</f>
        <v/>
      </c>
      <c r="CB1055">
        <f>IF(SUMIFS(T_PlannedOrders[EffectiveQty],T_PlannedOrders[Part Name],$A1049,T_PlannedOrders[WeekIndex],77)=0,"",SUMIFS(T_PlannedOrders[EffectiveQty],T_PlannedOrders[Part Name],$A1049,T_PlannedOrders[WeekIndex],77)&amp;" ("&amp;TEXT(SUMPRODUCT(MAX((T_PlannedOrders[Part Name]=$A1049)*(T_PlannedOrders[WeekIndex]=77)*(T_PlannedOrders[EffectiveQty]&gt;0)*T_PlannedOrders[Order_Month])),"m月")&amp;"発注)")</f>
        <v/>
      </c>
      <c r="CC1055">
        <f>IF(SUMIFS(T_PlannedOrders[EffectiveQty],T_PlannedOrders[Part Name],$A1049,T_PlannedOrders[WeekIndex],78)=0,"",SUMIFS(T_PlannedOrders[EffectiveQty],T_PlannedOrders[Part Name],$A1049,T_PlannedOrders[WeekIndex],78)&amp;" ("&amp;TEXT(SUMPRODUCT(MAX((T_PlannedOrders[Part Name]=$A1049)*(T_PlannedOrders[WeekIndex]=78)*(T_PlannedOrders[EffectiveQty]&gt;0)*T_PlannedOrders[Order_Month])),"m月")&amp;"発注)")</f>
        <v/>
      </c>
      <c r="CD1055">
        <f>IF(SUMIFS(T_PlannedOrders[EffectiveQty],T_PlannedOrders[Part Name],$A1049,T_PlannedOrders[WeekIndex],79)=0,"",SUMIFS(T_PlannedOrders[EffectiveQty],T_PlannedOrders[Part Name],$A1049,T_PlannedOrders[WeekIndex],79)&amp;" ("&amp;TEXT(SUMPRODUCT(MAX((T_PlannedOrders[Part Name]=$A1049)*(T_PlannedOrders[WeekIndex]=79)*(T_PlannedOrders[EffectiveQty]&gt;0)*T_PlannedOrders[Order_Month])),"m月")&amp;"発注)")</f>
        <v/>
      </c>
      <c r="CE1055">
        <f>IF(SUMIFS(T_PlannedOrders[EffectiveQty],T_PlannedOrders[Part Name],$A1049,T_PlannedOrders[WeekIndex],80)=0,"",SUMIFS(T_PlannedOrders[EffectiveQty],T_PlannedOrders[Part Name],$A1049,T_PlannedOrders[WeekIndex],80)&amp;" ("&amp;TEXT(SUMPRODUCT(MAX((T_PlannedOrders[Part Name]=$A1049)*(T_PlannedOrders[WeekIndex]=80)*(T_PlannedOrders[EffectiveQty]&gt;0)*T_PlannedOrders[Order_Month])),"m月")&amp;"発注)")</f>
        <v/>
      </c>
      <c r="CF1055">
        <f>IF(SUMIFS(T_PlannedOrders[EffectiveQty],T_PlannedOrders[Part Name],$A1049,T_PlannedOrders[WeekIndex],81)=0,"",SUMIFS(T_PlannedOrders[EffectiveQty],T_PlannedOrders[Part Name],$A1049,T_PlannedOrders[WeekIndex],81)&amp;" ("&amp;TEXT(SUMPRODUCT(MAX((T_PlannedOrders[Part Name]=$A1049)*(T_PlannedOrders[WeekIndex]=81)*(T_PlannedOrders[EffectiveQty]&gt;0)*T_PlannedOrders[Order_Month])),"m月")&amp;"発注)")</f>
        <v/>
      </c>
      <c r="CG1055">
        <f>IF(SUMIFS(T_PlannedOrders[EffectiveQty],T_PlannedOrders[Part Name],$A1049,T_PlannedOrders[WeekIndex],82)=0,"",SUMIFS(T_PlannedOrders[EffectiveQty],T_PlannedOrders[Part Name],$A1049,T_PlannedOrders[WeekIndex],82)&amp;" ("&amp;TEXT(SUMPRODUCT(MAX((T_PlannedOrders[Part Name]=$A1049)*(T_PlannedOrders[WeekIndex]=82)*(T_PlannedOrders[EffectiveQty]&gt;0)*T_PlannedOrders[Order_Month])),"m月")&amp;"発注)")</f>
        <v/>
      </c>
      <c r="CH1055">
        <f>IF(SUMIFS(T_PlannedOrders[EffectiveQty],T_PlannedOrders[Part Name],$A1049,T_PlannedOrders[WeekIndex],83)=0,"",SUMIFS(T_PlannedOrders[EffectiveQty],T_PlannedOrders[Part Name],$A1049,T_PlannedOrders[WeekIndex],83)&amp;" ("&amp;TEXT(SUMPRODUCT(MAX((T_PlannedOrders[Part Name]=$A1049)*(T_PlannedOrders[WeekIndex]=83)*(T_PlannedOrders[EffectiveQty]&gt;0)*T_PlannedOrders[Order_Month])),"m月")&amp;"発注)")</f>
        <v/>
      </c>
      <c r="CI1055">
        <f>IF(SUMIFS(T_PlannedOrders[EffectiveQty],T_PlannedOrders[Part Name],$A1049,T_PlannedOrders[WeekIndex],84)=0,"",SUMIFS(T_PlannedOrders[EffectiveQty],T_PlannedOrders[Part Name],$A1049,T_PlannedOrders[WeekIndex],84)&amp;" ("&amp;TEXT(SUMPRODUCT(MAX((T_PlannedOrders[Part Name]=$A1049)*(T_PlannedOrders[WeekIndex]=84)*(T_PlannedOrders[EffectiveQty]&gt;0)*T_PlannedOrders[Order_Month])),"m月")&amp;"発注)")</f>
        <v/>
      </c>
      <c r="CJ1055">
        <f>IF(SUMIFS(T_PlannedOrders[EffectiveQty],T_PlannedOrders[Part Name],$A1049,T_PlannedOrders[WeekIndex],85)=0,"",SUMIFS(T_PlannedOrders[EffectiveQty],T_PlannedOrders[Part Name],$A1049,T_PlannedOrders[WeekIndex],85)&amp;" ("&amp;TEXT(SUMPRODUCT(MAX((T_PlannedOrders[Part Name]=$A1049)*(T_PlannedOrders[WeekIndex]=85)*(T_PlannedOrders[EffectiveQty]&gt;0)*T_PlannedOrders[Order_Month])),"m月")&amp;"発注)")</f>
        <v/>
      </c>
      <c r="CK1055">
        <f>IF(SUMIFS(T_PlannedOrders[EffectiveQty],T_PlannedOrders[Part Name],$A1049,T_PlannedOrders[WeekIndex],86)=0,"",SUMIFS(T_PlannedOrders[EffectiveQty],T_PlannedOrders[Part Name],$A1049,T_PlannedOrders[WeekIndex],86)&amp;" ("&amp;TEXT(SUMPRODUCT(MAX((T_PlannedOrders[Part Name]=$A1049)*(T_PlannedOrders[WeekIndex]=86)*(T_PlannedOrders[EffectiveQty]&gt;0)*T_PlannedOrders[Order_Month])),"m月")&amp;"発注)")</f>
        <v/>
      </c>
      <c r="CL1055">
        <f>IF(SUMIFS(T_PlannedOrders[EffectiveQty],T_PlannedOrders[Part Name],$A1049,T_PlannedOrders[WeekIndex],87)=0,"",SUMIFS(T_PlannedOrders[EffectiveQty],T_PlannedOrders[Part Name],$A1049,T_PlannedOrders[WeekIndex],87)&amp;" ("&amp;TEXT(SUMPRODUCT(MAX((T_PlannedOrders[Part Name]=$A1049)*(T_PlannedOrders[WeekIndex]=87)*(T_PlannedOrders[EffectiveQty]&gt;0)*T_PlannedOrders[Order_Month])),"m月")&amp;"発注)")</f>
        <v/>
      </c>
      <c r="CM1055">
        <f>IF(SUMIFS(T_PlannedOrders[EffectiveQty],T_PlannedOrders[Part Name],$A1049,T_PlannedOrders[WeekIndex],88)=0,"",SUMIFS(T_PlannedOrders[EffectiveQty],T_PlannedOrders[Part Name],$A1049,T_PlannedOrders[WeekIndex],88)&amp;" ("&amp;TEXT(SUMPRODUCT(MAX((T_PlannedOrders[Part Name]=$A1049)*(T_PlannedOrders[WeekIndex]=88)*(T_PlannedOrders[EffectiveQty]&gt;0)*T_PlannedOrders[Order_Month])),"m月")&amp;"発注)")</f>
        <v/>
      </c>
      <c r="CN1055">
        <f>IF(SUMIFS(T_PlannedOrders[EffectiveQty],T_PlannedOrders[Part Name],$A1049,T_PlannedOrders[WeekIndex],89)=0,"",SUMIFS(T_PlannedOrders[EffectiveQty],T_PlannedOrders[Part Name],$A1049,T_PlannedOrders[WeekIndex],89)&amp;" ("&amp;TEXT(SUMPRODUCT(MAX((T_PlannedOrders[Part Name]=$A1049)*(T_PlannedOrders[WeekIndex]=89)*(T_PlannedOrders[EffectiveQty]&gt;0)*T_PlannedOrders[Order_Month])),"m月")&amp;"発注)")</f>
        <v/>
      </c>
      <c r="CO1055">
        <f>IF(SUMIFS(T_PlannedOrders[EffectiveQty],T_PlannedOrders[Part Name],$A1049,T_PlannedOrders[WeekIndex],90)=0,"",SUMIFS(T_PlannedOrders[EffectiveQty],T_PlannedOrders[Part Name],$A1049,T_PlannedOrders[WeekIndex],90)&amp;" ("&amp;TEXT(SUMPRODUCT(MAX((T_PlannedOrders[Part Name]=$A1049)*(T_PlannedOrders[WeekIndex]=90)*(T_PlannedOrders[EffectiveQty]&gt;0)*T_PlannedOrders[Order_Month])),"m月")&amp;"発注)")</f>
        <v/>
      </c>
      <c r="CP1055">
        <f>IF(SUMIFS(T_PlannedOrders[EffectiveQty],T_PlannedOrders[Part Name],$A1049,T_PlannedOrders[WeekIndex],91)=0,"",SUMIFS(T_PlannedOrders[EffectiveQty],T_PlannedOrders[Part Name],$A1049,T_PlannedOrders[WeekIndex],91)&amp;" ("&amp;TEXT(SUMPRODUCT(MAX((T_PlannedOrders[Part Name]=$A1049)*(T_PlannedOrders[WeekIndex]=91)*(T_PlannedOrders[EffectiveQty]&gt;0)*T_PlannedOrders[Order_Month])),"m月")&amp;"発注)")</f>
        <v/>
      </c>
      <c r="CQ1055">
        <f>IF(SUMIFS(T_PlannedOrders[EffectiveQty],T_PlannedOrders[Part Name],$A1049,T_PlannedOrders[WeekIndex],92)=0,"",SUMIFS(T_PlannedOrders[EffectiveQty],T_PlannedOrders[Part Name],$A1049,T_PlannedOrders[WeekIndex],92)&amp;" ("&amp;TEXT(SUMPRODUCT(MAX((T_PlannedOrders[Part Name]=$A1049)*(T_PlannedOrders[WeekIndex]=92)*(T_PlannedOrders[EffectiveQty]&gt;0)*T_PlannedOrders[Order_Month])),"m月")&amp;"発注)")</f>
        <v/>
      </c>
      <c r="CR1055">
        <f>IF(SUMIFS(T_PlannedOrders[EffectiveQty],T_PlannedOrders[Part Name],$A1049,T_PlannedOrders[WeekIndex],93)=0,"",SUMIFS(T_PlannedOrders[EffectiveQty],T_PlannedOrders[Part Name],$A1049,T_PlannedOrders[WeekIndex],93)&amp;" ("&amp;TEXT(SUMPRODUCT(MAX((T_PlannedOrders[Part Name]=$A1049)*(T_PlannedOrders[WeekIndex]=93)*(T_PlannedOrders[EffectiveQty]&gt;0)*T_PlannedOrders[Order_Month])),"m月")&amp;"発注)")</f>
        <v/>
      </c>
      <c r="CS1055">
        <f>IF(SUMIFS(T_PlannedOrders[EffectiveQty],T_PlannedOrders[Part Name],$A1049,T_PlannedOrders[WeekIndex],94)=0,"",SUMIFS(T_PlannedOrders[EffectiveQty],T_PlannedOrders[Part Name],$A1049,T_PlannedOrders[WeekIndex],94)&amp;" ("&amp;TEXT(SUMPRODUCT(MAX((T_PlannedOrders[Part Name]=$A1049)*(T_PlannedOrders[WeekIndex]=94)*(T_PlannedOrders[EffectiveQty]&gt;0)*T_PlannedOrders[Order_Month])),"m月")&amp;"発注)")</f>
        <v/>
      </c>
      <c r="CT1055">
        <f>IF(SUMIFS(T_PlannedOrders[EffectiveQty],T_PlannedOrders[Part Name],$A1049,T_PlannedOrders[WeekIndex],95)=0,"",SUMIFS(T_PlannedOrders[EffectiveQty],T_PlannedOrders[Part Name],$A1049,T_PlannedOrders[WeekIndex],95)&amp;" ("&amp;TEXT(SUMPRODUCT(MAX((T_PlannedOrders[Part Name]=$A1049)*(T_PlannedOrders[WeekIndex]=95)*(T_PlannedOrders[EffectiveQty]&gt;0)*T_PlannedOrders[Order_Month])),"m月")&amp;"発注)")</f>
        <v/>
      </c>
      <c r="CU1055">
        <f>IF(SUMIFS(T_PlannedOrders[EffectiveQty],T_PlannedOrders[Part Name],$A1049,T_PlannedOrders[WeekIndex],96)=0,"",SUMIFS(T_PlannedOrders[EffectiveQty],T_PlannedOrders[Part Name],$A1049,T_PlannedOrders[WeekIndex],96)&amp;" ("&amp;TEXT(SUMPRODUCT(MAX((T_PlannedOrders[Part Name]=$A1049)*(T_PlannedOrders[WeekIndex]=96)*(T_PlannedOrders[EffectiveQty]&gt;0)*T_PlannedOrders[Order_Month])),"m月")&amp;"発注)")</f>
        <v/>
      </c>
      <c r="CV1055">
        <f>IF(SUMIFS(T_PlannedOrders[EffectiveQty],T_PlannedOrders[Part Name],$A1049,T_PlannedOrders[WeekIndex],97)=0,"",SUMIFS(T_PlannedOrders[EffectiveQty],T_PlannedOrders[Part Name],$A1049,T_PlannedOrders[WeekIndex],97)&amp;" ("&amp;TEXT(SUMPRODUCT(MAX((T_PlannedOrders[Part Name]=$A1049)*(T_PlannedOrders[WeekIndex]=97)*(T_PlannedOrders[EffectiveQty]&gt;0)*T_PlannedOrders[Order_Month])),"m月")&amp;"発注)")</f>
        <v/>
      </c>
      <c r="CW1055">
        <f>IF(SUMIFS(T_PlannedOrders[EffectiveQty],T_PlannedOrders[Part Name],$A1049,T_PlannedOrders[WeekIndex],98)=0,"",SUMIFS(T_PlannedOrders[EffectiveQty],T_PlannedOrders[Part Name],$A1049,T_PlannedOrders[WeekIndex],98)&amp;" ("&amp;TEXT(SUMPRODUCT(MAX((T_PlannedOrders[Part Name]=$A1049)*(T_PlannedOrders[WeekIndex]=98)*(T_PlannedOrders[EffectiveQty]&gt;0)*T_PlannedOrders[Order_Month])),"m月")&amp;"発注)")</f>
        <v/>
      </c>
      <c r="CX1055">
        <f>IF(SUMIFS(T_PlannedOrders[EffectiveQty],T_PlannedOrders[Part Name],$A1049,T_PlannedOrders[WeekIndex],99)=0,"",SUMIFS(T_PlannedOrders[EffectiveQty],T_PlannedOrders[Part Name],$A1049,T_PlannedOrders[WeekIndex],99)&amp;" ("&amp;TEXT(SUMPRODUCT(MAX((T_PlannedOrders[Part Name]=$A1049)*(T_PlannedOrders[WeekIndex]=99)*(T_PlannedOrders[EffectiveQty]&gt;0)*T_PlannedOrders[Order_Month])),"m月")&amp;"発注)")</f>
        <v/>
      </c>
      <c r="CY1055">
        <f>IF(SUMIFS(T_PlannedOrders[EffectiveQty],T_PlannedOrders[Part Name],$A1049,T_PlannedOrders[WeekIndex],100)=0,"",SUMIFS(T_PlannedOrders[EffectiveQty],T_PlannedOrders[Part Name],$A1049,T_PlannedOrders[WeekIndex],100)&amp;" ("&amp;TEXT(SUMPRODUCT(MAX((T_PlannedOrders[Part Name]=$A1049)*(T_PlannedOrders[WeekIndex]=100)*(T_PlannedOrders[EffectiveQty]&gt;0)*T_PlannedOrders[Order_Month])),"m月")&amp;"発注)")</f>
        <v/>
      </c>
      <c r="CZ1055">
        <f>IF(SUMIFS(T_PlannedOrders[EffectiveQty],T_PlannedOrders[Part Name],$A1049,T_PlannedOrders[WeekIndex],101)=0,"",SUMIFS(T_PlannedOrders[EffectiveQty],T_PlannedOrders[Part Name],$A1049,T_PlannedOrders[WeekIndex],101)&amp;" ("&amp;TEXT(SUMPRODUCT(MAX((T_PlannedOrders[Part Name]=$A1049)*(T_PlannedOrders[WeekIndex]=101)*(T_PlannedOrders[EffectiveQty]&gt;0)*T_PlannedOrders[Order_Month])),"m月")&amp;"発注)")</f>
        <v/>
      </c>
      <c r="DA1055">
        <f>IF(SUMIFS(T_PlannedOrders[EffectiveQty],T_PlannedOrders[Part Name],$A1049,T_PlannedOrders[WeekIndex],102)=0,"",SUMIFS(T_PlannedOrders[EffectiveQty],T_PlannedOrders[Part Name],$A1049,T_PlannedOrders[WeekIndex],102)&amp;" ("&amp;TEXT(SUMPRODUCT(MAX((T_PlannedOrders[Part Name]=$A1049)*(T_PlannedOrders[WeekIndex]=102)*(T_PlannedOrders[EffectiveQty]&gt;0)*T_PlannedOrders[Order_Month])),"m月")&amp;"発注)")</f>
        <v/>
      </c>
      <c r="DB1055">
        <f>IF(SUMIFS(T_PlannedOrders[EffectiveQty],T_PlannedOrders[Part Name],$A1049,T_PlannedOrders[WeekIndex],103)=0,"",SUMIFS(T_PlannedOrders[EffectiveQty],T_PlannedOrders[Part Name],$A1049,T_PlannedOrders[WeekIndex],103)&amp;" ("&amp;TEXT(SUMPRODUCT(MAX((T_PlannedOrders[Part Name]=$A1049)*(T_PlannedOrders[WeekIndex]=103)*(T_PlannedOrders[EffectiveQty]&gt;0)*T_PlannedOrders[Order_Month])),"m月")&amp;"発注)")</f>
        <v/>
      </c>
      <c r="DC1055">
        <f>IF(SUMIFS(T_PlannedOrders[EffectiveQty],T_PlannedOrders[Part Name],$A1049,T_PlannedOrders[WeekIndex],104)=0,"",SUMIFS(T_PlannedOrders[EffectiveQty],T_PlannedOrders[Part Name],$A1049,T_PlannedOrders[WeekIndex],104)&amp;" ("&amp;TEXT(SUMPRODUCT(MAX((T_PlannedOrders[Part Name]=$A1049)*(T_PlannedOrders[WeekIndex]=104)*(T_PlannedOrders[EffectiveQty]&gt;0)*T_PlannedOrders[Order_Month])),"m月")&amp;"発注)")</f>
        <v/>
      </c>
    </row>
    <row r="1056">
      <c r="B1056" s="4" t="inlineStr">
        <is>
          <t>合計在庫(週末時点,kg)</t>
        </is>
      </c>
      <c r="D1056">
        <f>'Grid_Stock'!B37</f>
        <v/>
      </c>
      <c r="E1056">
        <f>'Grid_Stock'!C37</f>
        <v/>
      </c>
      <c r="F1056">
        <f>'Grid_Stock'!D37</f>
        <v/>
      </c>
      <c r="G1056">
        <f>'Grid_Stock'!E37</f>
        <v/>
      </c>
      <c r="H1056">
        <f>'Grid_Stock'!F37</f>
        <v/>
      </c>
      <c r="I1056">
        <f>'Grid_Stock'!G37</f>
        <v/>
      </c>
      <c r="J1056">
        <f>'Grid_Stock'!H37</f>
        <v/>
      </c>
      <c r="K1056">
        <f>'Grid_Stock'!I37</f>
        <v/>
      </c>
      <c r="L1056">
        <f>'Grid_Stock'!J37</f>
        <v/>
      </c>
      <c r="M1056">
        <f>'Grid_Stock'!K37</f>
        <v/>
      </c>
      <c r="N1056">
        <f>'Grid_Stock'!L37</f>
        <v/>
      </c>
      <c r="O1056">
        <f>'Grid_Stock'!M37</f>
        <v/>
      </c>
      <c r="P1056">
        <f>'Grid_Stock'!N37</f>
        <v/>
      </c>
      <c r="Q1056">
        <f>'Grid_Stock'!O37</f>
        <v/>
      </c>
      <c r="R1056">
        <f>'Grid_Stock'!P37</f>
        <v/>
      </c>
      <c r="S1056">
        <f>'Grid_Stock'!Q37</f>
        <v/>
      </c>
      <c r="T1056">
        <f>'Grid_Stock'!R37</f>
        <v/>
      </c>
      <c r="U1056">
        <f>'Grid_Stock'!S37</f>
        <v/>
      </c>
      <c r="V1056">
        <f>'Grid_Stock'!T37</f>
        <v/>
      </c>
      <c r="W1056">
        <f>'Grid_Stock'!U37</f>
        <v/>
      </c>
      <c r="X1056">
        <f>'Grid_Stock'!V37</f>
        <v/>
      </c>
      <c r="Y1056">
        <f>'Grid_Stock'!W37</f>
        <v/>
      </c>
      <c r="Z1056">
        <f>'Grid_Stock'!X37</f>
        <v/>
      </c>
      <c r="AA1056">
        <f>'Grid_Stock'!Y37</f>
        <v/>
      </c>
      <c r="AB1056">
        <f>'Grid_Stock'!Z37</f>
        <v/>
      </c>
      <c r="AC1056">
        <f>'Grid_Stock'!AA37</f>
        <v/>
      </c>
      <c r="AD1056">
        <f>'Grid_Stock'!AB37</f>
        <v/>
      </c>
      <c r="AE1056">
        <f>'Grid_Stock'!AC37</f>
        <v/>
      </c>
      <c r="AF1056">
        <f>'Grid_Stock'!AD37</f>
        <v/>
      </c>
      <c r="AG1056">
        <f>'Grid_Stock'!AE37</f>
        <v/>
      </c>
      <c r="AH1056">
        <f>'Grid_Stock'!AF37</f>
        <v/>
      </c>
      <c r="AI1056">
        <f>'Grid_Stock'!AG37</f>
        <v/>
      </c>
      <c r="AJ1056">
        <f>'Grid_Stock'!AH37</f>
        <v/>
      </c>
      <c r="AK1056">
        <f>'Grid_Stock'!AI37</f>
        <v/>
      </c>
      <c r="AL1056">
        <f>'Grid_Stock'!AJ37</f>
        <v/>
      </c>
      <c r="AM1056">
        <f>'Grid_Stock'!AK37</f>
        <v/>
      </c>
      <c r="AN1056">
        <f>'Grid_Stock'!AL37</f>
        <v/>
      </c>
      <c r="AO1056">
        <f>'Grid_Stock'!AM37</f>
        <v/>
      </c>
      <c r="AP1056">
        <f>'Grid_Stock'!AN37</f>
        <v/>
      </c>
      <c r="AQ1056">
        <f>'Grid_Stock'!AO37</f>
        <v/>
      </c>
      <c r="AR1056">
        <f>'Grid_Stock'!AP37</f>
        <v/>
      </c>
      <c r="AS1056">
        <f>'Grid_Stock'!AQ37</f>
        <v/>
      </c>
      <c r="AT1056">
        <f>'Grid_Stock'!AR37</f>
        <v/>
      </c>
      <c r="AU1056">
        <f>'Grid_Stock'!AS37</f>
        <v/>
      </c>
      <c r="AV1056">
        <f>'Grid_Stock'!AT37</f>
        <v/>
      </c>
      <c r="AW1056">
        <f>'Grid_Stock'!AU37</f>
        <v/>
      </c>
      <c r="AX1056">
        <f>'Grid_Stock'!AV37</f>
        <v/>
      </c>
      <c r="AY1056">
        <f>'Grid_Stock'!AW37</f>
        <v/>
      </c>
      <c r="AZ1056">
        <f>'Grid_Stock'!AX37</f>
        <v/>
      </c>
      <c r="BA1056">
        <f>'Grid_Stock'!AY37</f>
        <v/>
      </c>
      <c r="BB1056">
        <f>'Grid_Stock'!AZ37</f>
        <v/>
      </c>
      <c r="BC1056">
        <f>'Grid_Stock'!BA37</f>
        <v/>
      </c>
      <c r="BD1056">
        <f>'Grid_Stock'!BB37</f>
        <v/>
      </c>
      <c r="BE1056">
        <f>'Grid_Stock'!BC37</f>
        <v/>
      </c>
      <c r="BF1056">
        <f>'Grid_Stock'!BD37</f>
        <v/>
      </c>
      <c r="BG1056">
        <f>'Grid_Stock'!BE37</f>
        <v/>
      </c>
      <c r="BH1056">
        <f>'Grid_Stock'!BF37</f>
        <v/>
      </c>
      <c r="BI1056">
        <f>'Grid_Stock'!BG37</f>
        <v/>
      </c>
      <c r="BJ1056">
        <f>'Grid_Stock'!BH37</f>
        <v/>
      </c>
      <c r="BK1056">
        <f>'Grid_Stock'!BI37</f>
        <v/>
      </c>
      <c r="BL1056">
        <f>'Grid_Stock'!BJ37</f>
        <v/>
      </c>
      <c r="BM1056">
        <f>'Grid_Stock'!BK37</f>
        <v/>
      </c>
      <c r="BN1056">
        <f>'Grid_Stock'!BL37</f>
        <v/>
      </c>
      <c r="BO1056">
        <f>'Grid_Stock'!BM37</f>
        <v/>
      </c>
      <c r="BP1056">
        <f>'Grid_Stock'!BN37</f>
        <v/>
      </c>
      <c r="BQ1056">
        <f>'Grid_Stock'!BO37</f>
        <v/>
      </c>
      <c r="BR1056">
        <f>'Grid_Stock'!BP37</f>
        <v/>
      </c>
      <c r="BS1056">
        <f>'Grid_Stock'!BQ37</f>
        <v/>
      </c>
      <c r="BT1056">
        <f>'Grid_Stock'!BR37</f>
        <v/>
      </c>
      <c r="BU1056">
        <f>'Grid_Stock'!BS37</f>
        <v/>
      </c>
      <c r="BV1056">
        <f>'Grid_Stock'!BT37</f>
        <v/>
      </c>
      <c r="BW1056">
        <f>'Grid_Stock'!BU37</f>
        <v/>
      </c>
      <c r="BX1056">
        <f>'Grid_Stock'!BV37</f>
        <v/>
      </c>
      <c r="BY1056">
        <f>'Grid_Stock'!BW37</f>
        <v/>
      </c>
      <c r="BZ1056">
        <f>'Grid_Stock'!BX37</f>
        <v/>
      </c>
      <c r="CA1056">
        <f>'Grid_Stock'!BY37</f>
        <v/>
      </c>
      <c r="CB1056">
        <f>'Grid_Stock'!BZ37</f>
        <v/>
      </c>
      <c r="CC1056">
        <f>'Grid_Stock'!CA37</f>
        <v/>
      </c>
      <c r="CD1056">
        <f>'Grid_Stock'!CB37</f>
        <v/>
      </c>
      <c r="CE1056">
        <f>'Grid_Stock'!CC37</f>
        <v/>
      </c>
      <c r="CF1056">
        <f>'Grid_Stock'!CD37</f>
        <v/>
      </c>
      <c r="CG1056">
        <f>'Grid_Stock'!CE37</f>
        <v/>
      </c>
      <c r="CH1056">
        <f>'Grid_Stock'!CF37</f>
        <v/>
      </c>
      <c r="CI1056">
        <f>'Grid_Stock'!CG37</f>
        <v/>
      </c>
      <c r="CJ1056">
        <f>'Grid_Stock'!CH37</f>
        <v/>
      </c>
      <c r="CK1056">
        <f>'Grid_Stock'!CI37</f>
        <v/>
      </c>
      <c r="CL1056">
        <f>'Grid_Stock'!CJ37</f>
        <v/>
      </c>
      <c r="CM1056">
        <f>'Grid_Stock'!CK37</f>
        <v/>
      </c>
      <c r="CN1056">
        <f>'Grid_Stock'!CL37</f>
        <v/>
      </c>
      <c r="CO1056">
        <f>'Grid_Stock'!CM37</f>
        <v/>
      </c>
      <c r="CP1056">
        <f>'Grid_Stock'!CN37</f>
        <v/>
      </c>
      <c r="CQ1056">
        <f>'Grid_Stock'!CO37</f>
        <v/>
      </c>
      <c r="CR1056">
        <f>'Grid_Stock'!CP37</f>
        <v/>
      </c>
      <c r="CS1056">
        <f>'Grid_Stock'!CQ37</f>
        <v/>
      </c>
      <c r="CT1056">
        <f>'Grid_Stock'!CR37</f>
        <v/>
      </c>
      <c r="CU1056">
        <f>'Grid_Stock'!CS37</f>
        <v/>
      </c>
      <c r="CV1056">
        <f>'Grid_Stock'!CT37</f>
        <v/>
      </c>
      <c r="CW1056">
        <f>'Grid_Stock'!CU37</f>
        <v/>
      </c>
      <c r="CX1056">
        <f>'Grid_Stock'!CV37</f>
        <v/>
      </c>
      <c r="CY1056">
        <f>'Grid_Stock'!CW37</f>
        <v/>
      </c>
      <c r="CZ1056">
        <f>'Grid_Stock'!CX37</f>
        <v/>
      </c>
      <c r="DA1056">
        <f>'Grid_Stock'!CY37</f>
        <v/>
      </c>
      <c r="DB1056">
        <f>'Grid_Stock'!CZ37</f>
        <v/>
      </c>
      <c r="DC1056">
        <f>'Grid_Stock'!DA37</f>
        <v/>
      </c>
    </row>
    <row r="1057">
      <c r="B1057" s="16" t="inlineStr">
        <is>
          <t>（発注の目安はDashboardの基準在庫[下限/上限]と色分けを参照）</t>
        </is>
      </c>
    </row>
    <row r="1059">
      <c r="A1059" s="14" t="inlineStr">
        <is>
          <t>Ester Film</t>
        </is>
      </c>
      <c r="B1059" s="14" t="inlineStr">
        <is>
          <t>Ester Film</t>
        </is>
      </c>
      <c r="C1059" s="15" t="n"/>
      <c r="D1059" s="14" t="n"/>
      <c r="E1059" s="14" t="n"/>
      <c r="F1059" s="14" t="n"/>
      <c r="G1059" s="14" t="n"/>
      <c r="H1059" s="14" t="n"/>
      <c r="I1059" s="14" t="n"/>
      <c r="J1059" s="14" t="n"/>
      <c r="K1059" s="14" t="n"/>
      <c r="L1059" s="14" t="n"/>
      <c r="M1059" s="14" t="n"/>
      <c r="N1059" s="14" t="n"/>
      <c r="O1059" s="14" t="n"/>
      <c r="P1059" s="14" t="n"/>
      <c r="Q1059" s="14" t="n"/>
      <c r="R1059" s="14" t="n"/>
      <c r="S1059" s="14" t="n"/>
      <c r="T1059" s="14" t="n"/>
      <c r="U1059" s="14" t="n"/>
      <c r="V1059" s="14" t="n"/>
      <c r="W1059" s="14" t="n"/>
      <c r="X1059" s="14" t="n"/>
      <c r="Y1059" s="14" t="n"/>
      <c r="Z1059" s="14" t="n"/>
      <c r="AA1059" s="14" t="n"/>
      <c r="AB1059" s="14" t="n"/>
      <c r="AC1059" s="14" t="n"/>
      <c r="AD1059" s="14" t="n"/>
      <c r="AE1059" s="14" t="n"/>
      <c r="AF1059" s="14" t="n"/>
      <c r="AG1059" s="14" t="n"/>
      <c r="AH1059" s="14" t="n"/>
      <c r="AI1059" s="14" t="n"/>
      <c r="AJ1059" s="14" t="n"/>
      <c r="AK1059" s="14" t="n"/>
      <c r="AL1059" s="14" t="n"/>
      <c r="AM1059" s="14" t="n"/>
      <c r="AN1059" s="14" t="n"/>
      <c r="AO1059" s="14" t="n"/>
      <c r="AP1059" s="14" t="n"/>
      <c r="AQ1059" s="14" t="n"/>
      <c r="AR1059" s="14" t="n"/>
      <c r="AS1059" s="14" t="n"/>
      <c r="AT1059" s="14" t="n"/>
      <c r="AU1059" s="14" t="n"/>
      <c r="AV1059" s="14" t="n"/>
      <c r="AW1059" s="14" t="n"/>
      <c r="AX1059" s="14" t="n"/>
      <c r="AY1059" s="14" t="n"/>
      <c r="AZ1059" s="14" t="n"/>
      <c r="BA1059" s="14" t="n"/>
      <c r="BB1059" s="14" t="n"/>
      <c r="BC1059" s="14" t="n"/>
      <c r="BD1059" s="14" t="n"/>
      <c r="BE1059" s="14" t="n"/>
      <c r="BF1059" s="14" t="n"/>
      <c r="BG1059" s="14" t="n"/>
      <c r="BH1059" s="14" t="n"/>
      <c r="BI1059" s="14" t="n"/>
      <c r="BJ1059" s="14" t="n"/>
      <c r="BK1059" s="14" t="n"/>
      <c r="BL1059" s="14" t="n"/>
      <c r="BM1059" s="14" t="n"/>
      <c r="BN1059" s="14" t="n"/>
      <c r="BO1059" s="14" t="n"/>
      <c r="BP1059" s="14" t="n"/>
      <c r="BQ1059" s="14" t="n"/>
      <c r="BR1059" s="14" t="n"/>
      <c r="BS1059" s="14" t="n"/>
      <c r="BT1059" s="14" t="n"/>
      <c r="BU1059" s="14" t="n"/>
      <c r="BV1059" s="14" t="n"/>
      <c r="BW1059" s="14" t="n"/>
      <c r="BX1059" s="14" t="n"/>
      <c r="BY1059" s="14" t="n"/>
      <c r="BZ1059" s="14" t="n"/>
      <c r="CA1059" s="14" t="n"/>
      <c r="CB1059" s="14" t="n"/>
      <c r="CC1059" s="14" t="n"/>
      <c r="CD1059" s="14" t="n"/>
      <c r="CE1059" s="14" t="n"/>
      <c r="CF1059" s="14" t="n"/>
      <c r="CG1059" s="14" t="n"/>
      <c r="CH1059" s="14" t="n"/>
      <c r="CI1059" s="14" t="n"/>
      <c r="CJ1059" s="14" t="n"/>
      <c r="CK1059" s="14" t="n"/>
      <c r="CL1059" s="14" t="n"/>
      <c r="CM1059" s="14" t="n"/>
      <c r="CN1059" s="14" t="n"/>
      <c r="CO1059" s="14" t="n"/>
      <c r="CP1059" s="14" t="n"/>
      <c r="CQ1059" s="14" t="n"/>
      <c r="CR1059" s="14" t="n"/>
      <c r="CS1059" s="14" t="n"/>
      <c r="CT1059" s="14" t="n"/>
      <c r="CU1059" s="14" t="n"/>
      <c r="CV1059" s="14" t="n"/>
      <c r="CW1059" s="14" t="n"/>
      <c r="CX1059" s="14" t="n"/>
      <c r="CY1059" s="14" t="n"/>
      <c r="CZ1059" s="14" t="n"/>
      <c r="DA1059" s="14" t="n"/>
      <c r="DB1059" s="14" t="n"/>
      <c r="DC1059" s="14" t="n"/>
    </row>
    <row r="1060">
      <c r="B1060" t="inlineStr">
        <is>
          <t>Ester Film</t>
        </is>
      </c>
      <c r="C1060" t="inlineStr">
        <is>
          <t>No. of batches</t>
        </is>
      </c>
      <c r="D1060">
        <f>IFERROR(INDEX(PP_Grid[#Data],$DD1060,2),0)</f>
        <v/>
      </c>
      <c r="E1060">
        <f>IFERROR(INDEX(PP_Grid[#Data],$DD1060,3),0)</f>
        <v/>
      </c>
      <c r="F1060">
        <f>IFERROR(INDEX(PP_Grid[#Data],$DD1060,4),0)</f>
        <v/>
      </c>
      <c r="G1060">
        <f>IFERROR(INDEX(PP_Grid[#Data],$DD1060,5),0)</f>
        <v/>
      </c>
      <c r="H1060">
        <f>IFERROR(INDEX(PP_Grid[#Data],$DD1060,6),0)</f>
        <v/>
      </c>
      <c r="I1060">
        <f>IFERROR(INDEX(PP_Grid[#Data],$DD1060,7),0)</f>
        <v/>
      </c>
      <c r="J1060">
        <f>IFERROR(INDEX(PP_Grid[#Data],$DD1060,8),0)</f>
        <v/>
      </c>
      <c r="K1060">
        <f>IFERROR(INDEX(PP_Grid[#Data],$DD1060,9),0)</f>
        <v/>
      </c>
      <c r="L1060">
        <f>IFERROR(INDEX(PP_Grid[#Data],$DD1060,10),0)</f>
        <v/>
      </c>
      <c r="M1060">
        <f>IFERROR(INDEX(PP_Grid[#Data],$DD1060,11),0)</f>
        <v/>
      </c>
      <c r="N1060">
        <f>IFERROR(INDEX(PP_Grid[#Data],$DD1060,12),0)</f>
        <v/>
      </c>
      <c r="O1060">
        <f>IFERROR(INDEX(PP_Grid[#Data],$DD1060,13),0)</f>
        <v/>
      </c>
      <c r="P1060">
        <f>IFERROR(INDEX(PP_Grid[#Data],$DD1060,14),0)</f>
        <v/>
      </c>
      <c r="Q1060">
        <f>IFERROR(INDEX(PP_Grid[#Data],$DD1060,15),0)</f>
        <v/>
      </c>
      <c r="R1060">
        <f>IFERROR(INDEX(PP_Grid[#Data],$DD1060,16),0)</f>
        <v/>
      </c>
      <c r="S1060">
        <f>IFERROR(INDEX(PP_Grid[#Data],$DD1060,17),0)</f>
        <v/>
      </c>
      <c r="T1060">
        <f>IFERROR(INDEX(PP_Grid[#Data],$DD1060,18),0)</f>
        <v/>
      </c>
      <c r="U1060">
        <f>IFERROR(INDEX(PP_Grid[#Data],$DD1060,19),0)</f>
        <v/>
      </c>
      <c r="V1060">
        <f>IFERROR(INDEX(PP_Grid[#Data],$DD1060,20),0)</f>
        <v/>
      </c>
      <c r="W1060">
        <f>IFERROR(INDEX(PP_Grid[#Data],$DD1060,21),0)</f>
        <v/>
      </c>
      <c r="X1060">
        <f>IFERROR(INDEX(PP_Grid[#Data],$DD1060,22),0)</f>
        <v/>
      </c>
      <c r="Y1060">
        <f>IFERROR(INDEX(PP_Grid[#Data],$DD1060,23),0)</f>
        <v/>
      </c>
      <c r="Z1060">
        <f>IFERROR(INDEX(PP_Grid[#Data],$DD1060,24),0)</f>
        <v/>
      </c>
      <c r="AA1060">
        <f>IFERROR(INDEX(PP_Grid[#Data],$DD1060,25),0)</f>
        <v/>
      </c>
      <c r="AB1060">
        <f>IFERROR(INDEX(PP_Grid[#Data],$DD1060,26),0)</f>
        <v/>
      </c>
      <c r="AC1060">
        <f>IFERROR(INDEX(PP_Grid[#Data],$DD1060,27),0)</f>
        <v/>
      </c>
      <c r="AD1060">
        <f>IFERROR(INDEX(PP_Grid[#Data],$DD1060,28),0)</f>
        <v/>
      </c>
      <c r="AE1060">
        <f>IFERROR(INDEX(PP_Grid[#Data],$DD1060,29),0)</f>
        <v/>
      </c>
      <c r="AF1060">
        <f>IFERROR(INDEX(PP_Grid[#Data],$DD1060,30),0)</f>
        <v/>
      </c>
      <c r="AG1060">
        <f>IFERROR(INDEX(PP_Grid[#Data],$DD1060,31),0)</f>
        <v/>
      </c>
      <c r="AH1060">
        <f>IFERROR(INDEX(PP_Grid[#Data],$DD1060,32),0)</f>
        <v/>
      </c>
      <c r="AI1060">
        <f>IFERROR(INDEX(PP_Grid[#Data],$DD1060,33),0)</f>
        <v/>
      </c>
      <c r="AJ1060">
        <f>IFERROR(INDEX(PP_Grid[#Data],$DD1060,34),0)</f>
        <v/>
      </c>
      <c r="AK1060">
        <f>IFERROR(INDEX(PP_Grid[#Data],$DD1060,35),0)</f>
        <v/>
      </c>
      <c r="AL1060">
        <f>IFERROR(INDEX(PP_Grid[#Data],$DD1060,36),0)</f>
        <v/>
      </c>
      <c r="AM1060">
        <f>IFERROR(INDEX(PP_Grid[#Data],$DD1060,37),0)</f>
        <v/>
      </c>
      <c r="AN1060">
        <f>IFERROR(INDEX(PP_Grid[#Data],$DD1060,38),0)</f>
        <v/>
      </c>
      <c r="AO1060">
        <f>IFERROR(INDEX(PP_Grid[#Data],$DD1060,39),0)</f>
        <v/>
      </c>
      <c r="AP1060">
        <f>IFERROR(INDEX(PP_Grid[#Data],$DD1060,40),0)</f>
        <v/>
      </c>
      <c r="AQ1060">
        <f>IFERROR(INDEX(PP_Grid[#Data],$DD1060,41),0)</f>
        <v/>
      </c>
      <c r="AR1060">
        <f>IFERROR(INDEX(PP_Grid[#Data],$DD1060,42),0)</f>
        <v/>
      </c>
      <c r="AS1060">
        <f>IFERROR(INDEX(PP_Grid[#Data],$DD1060,43),0)</f>
        <v/>
      </c>
      <c r="AT1060">
        <f>IFERROR(INDEX(PP_Grid[#Data],$DD1060,44),0)</f>
        <v/>
      </c>
      <c r="AU1060">
        <f>IFERROR(INDEX(PP_Grid[#Data],$DD1060,45),0)</f>
        <v/>
      </c>
      <c r="AV1060">
        <f>IFERROR(INDEX(PP_Grid[#Data],$DD1060,46),0)</f>
        <v/>
      </c>
      <c r="AW1060">
        <f>IFERROR(INDEX(PP_Grid[#Data],$DD1060,47),0)</f>
        <v/>
      </c>
      <c r="AX1060">
        <f>IFERROR(INDEX(PP_Grid[#Data],$DD1060,48),0)</f>
        <v/>
      </c>
      <c r="AY1060">
        <f>IFERROR(INDEX(PP_Grid[#Data],$DD1060,49),0)</f>
        <v/>
      </c>
      <c r="AZ1060">
        <f>IFERROR(INDEX(PP_Grid[#Data],$DD1060,50),0)</f>
        <v/>
      </c>
      <c r="BA1060">
        <f>IFERROR(INDEX(PP_Grid[#Data],$DD1060,51),0)</f>
        <v/>
      </c>
      <c r="BB1060">
        <f>IFERROR(INDEX(PP_Grid[#Data],$DD1060,52),0)</f>
        <v/>
      </c>
      <c r="BC1060">
        <f>IFERROR(INDEX(PP_Grid[#Data],$DD1060,53),0)</f>
        <v/>
      </c>
      <c r="BD1060">
        <f>IFERROR(INDEX(PP_Grid[#Data],$DD1060,54),0)</f>
        <v/>
      </c>
      <c r="BE1060">
        <f>IFERROR(INDEX(PP_Grid[#Data],$DD1060,55),0)</f>
        <v/>
      </c>
      <c r="BF1060">
        <f>IFERROR(INDEX(PP_Grid[#Data],$DD1060,56),0)</f>
        <v/>
      </c>
      <c r="BG1060">
        <f>IFERROR(INDEX(PP_Grid[#Data],$DD1060,57),0)</f>
        <v/>
      </c>
      <c r="BH1060">
        <f>IFERROR(INDEX(PP_Grid[#Data],$DD1060,58),0)</f>
        <v/>
      </c>
      <c r="BI1060">
        <f>IFERROR(INDEX(PP_Grid[#Data],$DD1060,59),0)</f>
        <v/>
      </c>
      <c r="BJ1060">
        <f>IFERROR(INDEX(PP_Grid[#Data],$DD1060,60),0)</f>
        <v/>
      </c>
      <c r="BK1060">
        <f>IFERROR(INDEX(PP_Grid[#Data],$DD1060,61),0)</f>
        <v/>
      </c>
      <c r="BL1060">
        <f>IFERROR(INDEX(PP_Grid[#Data],$DD1060,62),0)</f>
        <v/>
      </c>
      <c r="BM1060">
        <f>IFERROR(INDEX(PP_Grid[#Data],$DD1060,63),0)</f>
        <v/>
      </c>
      <c r="BN1060">
        <f>IFERROR(INDEX(PP_Grid[#Data],$DD1060,64),0)</f>
        <v/>
      </c>
      <c r="BO1060">
        <f>IFERROR(INDEX(PP_Grid[#Data],$DD1060,65),0)</f>
        <v/>
      </c>
      <c r="BP1060">
        <f>IFERROR(INDEX(PP_Grid[#Data],$DD1060,66),0)</f>
        <v/>
      </c>
      <c r="BQ1060">
        <f>IFERROR(INDEX(PP_Grid[#Data],$DD1060,67),0)</f>
        <v/>
      </c>
      <c r="BR1060">
        <f>IFERROR(INDEX(PP_Grid[#Data],$DD1060,68),0)</f>
        <v/>
      </c>
      <c r="BS1060">
        <f>IFERROR(INDEX(PP_Grid[#Data],$DD1060,69),0)</f>
        <v/>
      </c>
      <c r="BT1060">
        <f>IFERROR(INDEX(PP_Grid[#Data],$DD1060,70),0)</f>
        <v/>
      </c>
      <c r="BU1060">
        <f>IFERROR(INDEX(PP_Grid[#Data],$DD1060,71),0)</f>
        <v/>
      </c>
      <c r="BV1060">
        <f>IFERROR(INDEX(PP_Grid[#Data],$DD1060,72),0)</f>
        <v/>
      </c>
      <c r="BW1060">
        <f>IFERROR(INDEX(PP_Grid[#Data],$DD1060,73),0)</f>
        <v/>
      </c>
      <c r="BX1060">
        <f>IFERROR(INDEX(PP_Grid[#Data],$DD1060,74),0)</f>
        <v/>
      </c>
      <c r="BY1060">
        <f>IFERROR(INDEX(PP_Grid[#Data],$DD1060,75),0)</f>
        <v/>
      </c>
      <c r="BZ1060">
        <f>IFERROR(INDEX(PP_Grid[#Data],$DD1060,76),0)</f>
        <v/>
      </c>
      <c r="CA1060">
        <f>IFERROR(INDEX(PP_Grid[#Data],$DD1060,77),0)</f>
        <v/>
      </c>
      <c r="CB1060">
        <f>IFERROR(INDEX(PP_Grid[#Data],$DD1060,78),0)</f>
        <v/>
      </c>
      <c r="CC1060">
        <f>IFERROR(INDEX(PP_Grid[#Data],$DD1060,79),0)</f>
        <v/>
      </c>
      <c r="CD1060">
        <f>IFERROR(INDEX(PP_Grid[#Data],$DD1060,80),0)</f>
        <v/>
      </c>
      <c r="CE1060">
        <f>IFERROR(INDEX(PP_Grid[#Data],$DD1060,81),0)</f>
        <v/>
      </c>
      <c r="CF1060">
        <f>IFERROR(INDEX(PP_Grid[#Data],$DD1060,82),0)</f>
        <v/>
      </c>
      <c r="CG1060">
        <f>IFERROR(INDEX(PP_Grid[#Data],$DD1060,83),0)</f>
        <v/>
      </c>
      <c r="CH1060">
        <f>IFERROR(INDEX(PP_Grid[#Data],$DD1060,84),0)</f>
        <v/>
      </c>
      <c r="CI1060">
        <f>IFERROR(INDEX(PP_Grid[#Data],$DD1060,85),0)</f>
        <v/>
      </c>
      <c r="CJ1060">
        <f>IFERROR(INDEX(PP_Grid[#Data],$DD1060,86),0)</f>
        <v/>
      </c>
      <c r="CK1060">
        <f>IFERROR(INDEX(PP_Grid[#Data],$DD1060,87),0)</f>
        <v/>
      </c>
      <c r="CL1060">
        <f>IFERROR(INDEX(PP_Grid[#Data],$DD1060,88),0)</f>
        <v/>
      </c>
      <c r="CM1060">
        <f>IFERROR(INDEX(PP_Grid[#Data],$DD1060,89),0)</f>
        <v/>
      </c>
      <c r="CN1060">
        <f>IFERROR(INDEX(PP_Grid[#Data],$DD1060,90),0)</f>
        <v/>
      </c>
      <c r="CO1060">
        <f>IFERROR(INDEX(PP_Grid[#Data],$DD1060,91),0)</f>
        <v/>
      </c>
      <c r="CP1060">
        <f>IFERROR(INDEX(PP_Grid[#Data],$DD1060,92),0)</f>
        <v/>
      </c>
      <c r="CQ1060">
        <f>IFERROR(INDEX(PP_Grid[#Data],$DD1060,93),0)</f>
        <v/>
      </c>
      <c r="CR1060">
        <f>IFERROR(INDEX(PP_Grid[#Data],$DD1060,94),0)</f>
        <v/>
      </c>
      <c r="CS1060">
        <f>IFERROR(INDEX(PP_Grid[#Data],$DD1060,95),0)</f>
        <v/>
      </c>
      <c r="CT1060">
        <f>IFERROR(INDEX(PP_Grid[#Data],$DD1060,96),0)</f>
        <v/>
      </c>
      <c r="CU1060">
        <f>IFERROR(INDEX(PP_Grid[#Data],$DD1060,97),0)</f>
        <v/>
      </c>
      <c r="CV1060">
        <f>IFERROR(INDEX(PP_Grid[#Data],$DD1060,98),0)</f>
        <v/>
      </c>
      <c r="CW1060">
        <f>IFERROR(INDEX(PP_Grid[#Data],$DD1060,99),0)</f>
        <v/>
      </c>
      <c r="CX1060">
        <f>IFERROR(INDEX(PP_Grid[#Data],$DD1060,100),0)</f>
        <v/>
      </c>
      <c r="CY1060">
        <f>IFERROR(INDEX(PP_Grid[#Data],$DD1060,101),0)</f>
        <v/>
      </c>
      <c r="CZ1060">
        <f>IFERROR(INDEX(PP_Grid[#Data],$DD1060,102),0)</f>
        <v/>
      </c>
      <c r="DA1060">
        <f>IFERROR(INDEX(PP_Grid[#Data],$DD1060,103),0)</f>
        <v/>
      </c>
      <c r="DB1060">
        <f>IFERROR(INDEX(PP_Grid[#Data],$DD1060,104),0)</f>
        <v/>
      </c>
      <c r="DC1060">
        <f>IFERROR(INDEX(PP_Grid[#Data],$DD1060,105),0)</f>
        <v/>
      </c>
      <c r="DD1060" s="7">
        <f>IFERROR(MATCH($B1060,PP_Grid[Intermediate],0),99999)</f>
        <v/>
      </c>
    </row>
    <row r="1061">
      <c r="B1061" t="inlineStr">
        <is>
          <t>使用量(kg)</t>
        </is>
      </c>
      <c r="C1061">
        <f>SUMIFS(M_BOM[RM_Qty_Per_Batch],M_BOM[Intermediate],$B1060,M_BOM[Part Name],$A1059)</f>
        <v/>
      </c>
      <c r="D1061">
        <f>$C1061*D1060</f>
        <v/>
      </c>
      <c r="E1061">
        <f>$C1061*E1060</f>
        <v/>
      </c>
      <c r="F1061">
        <f>$C1061*F1060</f>
        <v/>
      </c>
      <c r="G1061">
        <f>$C1061*G1060</f>
        <v/>
      </c>
      <c r="H1061">
        <f>$C1061*H1060</f>
        <v/>
      </c>
      <c r="I1061">
        <f>$C1061*I1060</f>
        <v/>
      </c>
      <c r="J1061">
        <f>$C1061*J1060</f>
        <v/>
      </c>
      <c r="K1061">
        <f>$C1061*K1060</f>
        <v/>
      </c>
      <c r="L1061">
        <f>$C1061*L1060</f>
        <v/>
      </c>
      <c r="M1061">
        <f>$C1061*M1060</f>
        <v/>
      </c>
      <c r="N1061">
        <f>$C1061*N1060</f>
        <v/>
      </c>
      <c r="O1061">
        <f>$C1061*O1060</f>
        <v/>
      </c>
      <c r="P1061">
        <f>$C1061*P1060</f>
        <v/>
      </c>
      <c r="Q1061">
        <f>$C1061*Q1060</f>
        <v/>
      </c>
      <c r="R1061">
        <f>$C1061*R1060</f>
        <v/>
      </c>
      <c r="S1061">
        <f>$C1061*S1060</f>
        <v/>
      </c>
      <c r="T1061">
        <f>$C1061*T1060</f>
        <v/>
      </c>
      <c r="U1061">
        <f>$C1061*U1060</f>
        <v/>
      </c>
      <c r="V1061">
        <f>$C1061*V1060</f>
        <v/>
      </c>
      <c r="W1061">
        <f>$C1061*W1060</f>
        <v/>
      </c>
      <c r="X1061">
        <f>$C1061*X1060</f>
        <v/>
      </c>
      <c r="Y1061">
        <f>$C1061*Y1060</f>
        <v/>
      </c>
      <c r="Z1061">
        <f>$C1061*Z1060</f>
        <v/>
      </c>
      <c r="AA1061">
        <f>$C1061*AA1060</f>
        <v/>
      </c>
      <c r="AB1061">
        <f>$C1061*AB1060</f>
        <v/>
      </c>
      <c r="AC1061">
        <f>$C1061*AC1060</f>
        <v/>
      </c>
      <c r="AD1061">
        <f>$C1061*AD1060</f>
        <v/>
      </c>
      <c r="AE1061">
        <f>$C1061*AE1060</f>
        <v/>
      </c>
      <c r="AF1061">
        <f>$C1061*AF1060</f>
        <v/>
      </c>
      <c r="AG1061">
        <f>$C1061*AG1060</f>
        <v/>
      </c>
      <c r="AH1061">
        <f>$C1061*AH1060</f>
        <v/>
      </c>
      <c r="AI1061">
        <f>$C1061*AI1060</f>
        <v/>
      </c>
      <c r="AJ1061">
        <f>$C1061*AJ1060</f>
        <v/>
      </c>
      <c r="AK1061">
        <f>$C1061*AK1060</f>
        <v/>
      </c>
      <c r="AL1061">
        <f>$C1061*AL1060</f>
        <v/>
      </c>
      <c r="AM1061">
        <f>$C1061*AM1060</f>
        <v/>
      </c>
      <c r="AN1061">
        <f>$C1061*AN1060</f>
        <v/>
      </c>
      <c r="AO1061">
        <f>$C1061*AO1060</f>
        <v/>
      </c>
      <c r="AP1061">
        <f>$C1061*AP1060</f>
        <v/>
      </c>
      <c r="AQ1061">
        <f>$C1061*AQ1060</f>
        <v/>
      </c>
      <c r="AR1061">
        <f>$C1061*AR1060</f>
        <v/>
      </c>
      <c r="AS1061">
        <f>$C1061*AS1060</f>
        <v/>
      </c>
      <c r="AT1061">
        <f>$C1061*AT1060</f>
        <v/>
      </c>
      <c r="AU1061">
        <f>$C1061*AU1060</f>
        <v/>
      </c>
      <c r="AV1061">
        <f>$C1061*AV1060</f>
        <v/>
      </c>
      <c r="AW1061">
        <f>$C1061*AW1060</f>
        <v/>
      </c>
      <c r="AX1061">
        <f>$C1061*AX1060</f>
        <v/>
      </c>
      <c r="AY1061">
        <f>$C1061*AY1060</f>
        <v/>
      </c>
      <c r="AZ1061">
        <f>$C1061*AZ1060</f>
        <v/>
      </c>
      <c r="BA1061">
        <f>$C1061*BA1060</f>
        <v/>
      </c>
      <c r="BB1061">
        <f>$C1061*BB1060</f>
        <v/>
      </c>
      <c r="BC1061">
        <f>$C1061*BC1060</f>
        <v/>
      </c>
      <c r="BD1061">
        <f>$C1061*BD1060</f>
        <v/>
      </c>
      <c r="BE1061">
        <f>$C1061*BE1060</f>
        <v/>
      </c>
      <c r="BF1061">
        <f>$C1061*BF1060</f>
        <v/>
      </c>
      <c r="BG1061">
        <f>$C1061*BG1060</f>
        <v/>
      </c>
      <c r="BH1061">
        <f>$C1061*BH1060</f>
        <v/>
      </c>
      <c r="BI1061">
        <f>$C1061*BI1060</f>
        <v/>
      </c>
      <c r="BJ1061">
        <f>$C1061*BJ1060</f>
        <v/>
      </c>
      <c r="BK1061">
        <f>$C1061*BK1060</f>
        <v/>
      </c>
      <c r="BL1061">
        <f>$C1061*BL1060</f>
        <v/>
      </c>
      <c r="BM1061">
        <f>$C1061*BM1060</f>
        <v/>
      </c>
      <c r="BN1061">
        <f>$C1061*BN1060</f>
        <v/>
      </c>
      <c r="BO1061">
        <f>$C1061*BO1060</f>
        <v/>
      </c>
      <c r="BP1061">
        <f>$C1061*BP1060</f>
        <v/>
      </c>
      <c r="BQ1061">
        <f>$C1061*BQ1060</f>
        <v/>
      </c>
      <c r="BR1061">
        <f>$C1061*BR1060</f>
        <v/>
      </c>
      <c r="BS1061">
        <f>$C1061*BS1060</f>
        <v/>
      </c>
      <c r="BT1061">
        <f>$C1061*BT1060</f>
        <v/>
      </c>
      <c r="BU1061">
        <f>$C1061*BU1060</f>
        <v/>
      </c>
      <c r="BV1061">
        <f>$C1061*BV1060</f>
        <v/>
      </c>
      <c r="BW1061">
        <f>$C1061*BW1060</f>
        <v/>
      </c>
      <c r="BX1061">
        <f>$C1061*BX1060</f>
        <v/>
      </c>
      <c r="BY1061">
        <f>$C1061*BY1060</f>
        <v/>
      </c>
      <c r="BZ1061">
        <f>$C1061*BZ1060</f>
        <v/>
      </c>
      <c r="CA1061">
        <f>$C1061*CA1060</f>
        <v/>
      </c>
      <c r="CB1061">
        <f>$C1061*CB1060</f>
        <v/>
      </c>
      <c r="CC1061">
        <f>$C1061*CC1060</f>
        <v/>
      </c>
      <c r="CD1061">
        <f>$C1061*CD1060</f>
        <v/>
      </c>
      <c r="CE1061">
        <f>$C1061*CE1060</f>
        <v/>
      </c>
      <c r="CF1061">
        <f>$C1061*CF1060</f>
        <v/>
      </c>
      <c r="CG1061">
        <f>$C1061*CG1060</f>
        <v/>
      </c>
      <c r="CH1061">
        <f>$C1061*CH1060</f>
        <v/>
      </c>
      <c r="CI1061">
        <f>$C1061*CI1060</f>
        <v/>
      </c>
      <c r="CJ1061">
        <f>$C1061*CJ1060</f>
        <v/>
      </c>
      <c r="CK1061">
        <f>$C1061*CK1060</f>
        <v/>
      </c>
      <c r="CL1061">
        <f>$C1061*CL1060</f>
        <v/>
      </c>
      <c r="CM1061">
        <f>$C1061*CM1060</f>
        <v/>
      </c>
      <c r="CN1061">
        <f>$C1061*CN1060</f>
        <v/>
      </c>
      <c r="CO1061">
        <f>$C1061*CO1060</f>
        <v/>
      </c>
      <c r="CP1061">
        <f>$C1061*CP1060</f>
        <v/>
      </c>
      <c r="CQ1061">
        <f>$C1061*CQ1060</f>
        <v/>
      </c>
      <c r="CR1061">
        <f>$C1061*CR1060</f>
        <v/>
      </c>
      <c r="CS1061">
        <f>$C1061*CS1060</f>
        <v/>
      </c>
      <c r="CT1061">
        <f>$C1061*CT1060</f>
        <v/>
      </c>
      <c r="CU1061">
        <f>$C1061*CU1060</f>
        <v/>
      </c>
      <c r="CV1061">
        <f>$C1061*CV1060</f>
        <v/>
      </c>
      <c r="CW1061">
        <f>$C1061*CW1060</f>
        <v/>
      </c>
      <c r="CX1061">
        <f>$C1061*CX1060</f>
        <v/>
      </c>
      <c r="CY1061">
        <f>$C1061*CY1060</f>
        <v/>
      </c>
      <c r="CZ1061">
        <f>$C1061*CZ1060</f>
        <v/>
      </c>
      <c r="DA1061">
        <f>$C1061*DA1060</f>
        <v/>
      </c>
      <c r="DB1061">
        <f>$C1061*DB1060</f>
        <v/>
      </c>
      <c r="DC1061">
        <f>$C1061*DC1060</f>
        <v/>
      </c>
    </row>
    <row r="1062">
      <c r="B1062" s="4" t="inlineStr">
        <is>
          <t>合計使用量(kg)/週</t>
        </is>
      </c>
      <c r="D1062">
        <f>'Grid_Requirement'!B38</f>
        <v/>
      </c>
      <c r="E1062">
        <f>'Grid_Requirement'!C38</f>
        <v/>
      </c>
      <c r="F1062">
        <f>'Grid_Requirement'!D38</f>
        <v/>
      </c>
      <c r="G1062">
        <f>'Grid_Requirement'!E38</f>
        <v/>
      </c>
      <c r="H1062">
        <f>'Grid_Requirement'!F38</f>
        <v/>
      </c>
      <c r="I1062">
        <f>'Grid_Requirement'!G38</f>
        <v/>
      </c>
      <c r="J1062">
        <f>'Grid_Requirement'!H38</f>
        <v/>
      </c>
      <c r="K1062">
        <f>'Grid_Requirement'!I38</f>
        <v/>
      </c>
      <c r="L1062">
        <f>'Grid_Requirement'!J38</f>
        <v/>
      </c>
      <c r="M1062">
        <f>'Grid_Requirement'!K38</f>
        <v/>
      </c>
      <c r="N1062">
        <f>'Grid_Requirement'!L38</f>
        <v/>
      </c>
      <c r="O1062">
        <f>'Grid_Requirement'!M38</f>
        <v/>
      </c>
      <c r="P1062">
        <f>'Grid_Requirement'!N38</f>
        <v/>
      </c>
      <c r="Q1062">
        <f>'Grid_Requirement'!O38</f>
        <v/>
      </c>
      <c r="R1062">
        <f>'Grid_Requirement'!P38</f>
        <v/>
      </c>
      <c r="S1062">
        <f>'Grid_Requirement'!Q38</f>
        <v/>
      </c>
      <c r="T1062">
        <f>'Grid_Requirement'!R38</f>
        <v/>
      </c>
      <c r="U1062">
        <f>'Grid_Requirement'!S38</f>
        <v/>
      </c>
      <c r="V1062">
        <f>'Grid_Requirement'!T38</f>
        <v/>
      </c>
      <c r="W1062">
        <f>'Grid_Requirement'!U38</f>
        <v/>
      </c>
      <c r="X1062">
        <f>'Grid_Requirement'!V38</f>
        <v/>
      </c>
      <c r="Y1062">
        <f>'Grid_Requirement'!W38</f>
        <v/>
      </c>
      <c r="Z1062">
        <f>'Grid_Requirement'!X38</f>
        <v/>
      </c>
      <c r="AA1062">
        <f>'Grid_Requirement'!Y38</f>
        <v/>
      </c>
      <c r="AB1062">
        <f>'Grid_Requirement'!Z38</f>
        <v/>
      </c>
      <c r="AC1062">
        <f>'Grid_Requirement'!AA38</f>
        <v/>
      </c>
      <c r="AD1062">
        <f>'Grid_Requirement'!AB38</f>
        <v/>
      </c>
      <c r="AE1062">
        <f>'Grid_Requirement'!AC38</f>
        <v/>
      </c>
      <c r="AF1062">
        <f>'Grid_Requirement'!AD38</f>
        <v/>
      </c>
      <c r="AG1062">
        <f>'Grid_Requirement'!AE38</f>
        <v/>
      </c>
      <c r="AH1062">
        <f>'Grid_Requirement'!AF38</f>
        <v/>
      </c>
      <c r="AI1062">
        <f>'Grid_Requirement'!AG38</f>
        <v/>
      </c>
      <c r="AJ1062">
        <f>'Grid_Requirement'!AH38</f>
        <v/>
      </c>
      <c r="AK1062">
        <f>'Grid_Requirement'!AI38</f>
        <v/>
      </c>
      <c r="AL1062">
        <f>'Grid_Requirement'!AJ38</f>
        <v/>
      </c>
      <c r="AM1062">
        <f>'Grid_Requirement'!AK38</f>
        <v/>
      </c>
      <c r="AN1062">
        <f>'Grid_Requirement'!AL38</f>
        <v/>
      </c>
      <c r="AO1062">
        <f>'Grid_Requirement'!AM38</f>
        <v/>
      </c>
      <c r="AP1062">
        <f>'Grid_Requirement'!AN38</f>
        <v/>
      </c>
      <c r="AQ1062">
        <f>'Grid_Requirement'!AO38</f>
        <v/>
      </c>
      <c r="AR1062">
        <f>'Grid_Requirement'!AP38</f>
        <v/>
      </c>
      <c r="AS1062">
        <f>'Grid_Requirement'!AQ38</f>
        <v/>
      </c>
      <c r="AT1062">
        <f>'Grid_Requirement'!AR38</f>
        <v/>
      </c>
      <c r="AU1062">
        <f>'Grid_Requirement'!AS38</f>
        <v/>
      </c>
      <c r="AV1062">
        <f>'Grid_Requirement'!AT38</f>
        <v/>
      </c>
      <c r="AW1062">
        <f>'Grid_Requirement'!AU38</f>
        <v/>
      </c>
      <c r="AX1062">
        <f>'Grid_Requirement'!AV38</f>
        <v/>
      </c>
      <c r="AY1062">
        <f>'Grid_Requirement'!AW38</f>
        <v/>
      </c>
      <c r="AZ1062">
        <f>'Grid_Requirement'!AX38</f>
        <v/>
      </c>
      <c r="BA1062">
        <f>'Grid_Requirement'!AY38</f>
        <v/>
      </c>
      <c r="BB1062">
        <f>'Grid_Requirement'!AZ38</f>
        <v/>
      </c>
      <c r="BC1062">
        <f>'Grid_Requirement'!BA38</f>
        <v/>
      </c>
      <c r="BD1062">
        <f>'Grid_Requirement'!BB38</f>
        <v/>
      </c>
      <c r="BE1062">
        <f>'Grid_Requirement'!BC38</f>
        <v/>
      </c>
      <c r="BF1062">
        <f>'Grid_Requirement'!BD38</f>
        <v/>
      </c>
      <c r="BG1062">
        <f>'Grid_Requirement'!BE38</f>
        <v/>
      </c>
      <c r="BH1062">
        <f>'Grid_Requirement'!BF38</f>
        <v/>
      </c>
      <c r="BI1062">
        <f>'Grid_Requirement'!BG38</f>
        <v/>
      </c>
      <c r="BJ1062">
        <f>'Grid_Requirement'!BH38</f>
        <v/>
      </c>
      <c r="BK1062">
        <f>'Grid_Requirement'!BI38</f>
        <v/>
      </c>
      <c r="BL1062">
        <f>'Grid_Requirement'!BJ38</f>
        <v/>
      </c>
      <c r="BM1062">
        <f>'Grid_Requirement'!BK38</f>
        <v/>
      </c>
      <c r="BN1062">
        <f>'Grid_Requirement'!BL38</f>
        <v/>
      </c>
      <c r="BO1062">
        <f>'Grid_Requirement'!BM38</f>
        <v/>
      </c>
      <c r="BP1062">
        <f>'Grid_Requirement'!BN38</f>
        <v/>
      </c>
      <c r="BQ1062">
        <f>'Grid_Requirement'!BO38</f>
        <v/>
      </c>
      <c r="BR1062">
        <f>'Grid_Requirement'!BP38</f>
        <v/>
      </c>
      <c r="BS1062">
        <f>'Grid_Requirement'!BQ38</f>
        <v/>
      </c>
      <c r="BT1062">
        <f>'Grid_Requirement'!BR38</f>
        <v/>
      </c>
      <c r="BU1062">
        <f>'Grid_Requirement'!BS38</f>
        <v/>
      </c>
      <c r="BV1062">
        <f>'Grid_Requirement'!BT38</f>
        <v/>
      </c>
      <c r="BW1062">
        <f>'Grid_Requirement'!BU38</f>
        <v/>
      </c>
      <c r="BX1062">
        <f>'Grid_Requirement'!BV38</f>
        <v/>
      </c>
      <c r="BY1062">
        <f>'Grid_Requirement'!BW38</f>
        <v/>
      </c>
      <c r="BZ1062">
        <f>'Grid_Requirement'!BX38</f>
        <v/>
      </c>
      <c r="CA1062">
        <f>'Grid_Requirement'!BY38</f>
        <v/>
      </c>
      <c r="CB1062">
        <f>'Grid_Requirement'!BZ38</f>
        <v/>
      </c>
      <c r="CC1062">
        <f>'Grid_Requirement'!CA38</f>
        <v/>
      </c>
      <c r="CD1062">
        <f>'Grid_Requirement'!CB38</f>
        <v/>
      </c>
      <c r="CE1062">
        <f>'Grid_Requirement'!CC38</f>
        <v/>
      </c>
      <c r="CF1062">
        <f>'Grid_Requirement'!CD38</f>
        <v/>
      </c>
      <c r="CG1062">
        <f>'Grid_Requirement'!CE38</f>
        <v/>
      </c>
      <c r="CH1062">
        <f>'Grid_Requirement'!CF38</f>
        <v/>
      </c>
      <c r="CI1062">
        <f>'Grid_Requirement'!CG38</f>
        <v/>
      </c>
      <c r="CJ1062">
        <f>'Grid_Requirement'!CH38</f>
        <v/>
      </c>
      <c r="CK1062">
        <f>'Grid_Requirement'!CI38</f>
        <v/>
      </c>
      <c r="CL1062">
        <f>'Grid_Requirement'!CJ38</f>
        <v/>
      </c>
      <c r="CM1062">
        <f>'Grid_Requirement'!CK38</f>
        <v/>
      </c>
      <c r="CN1062">
        <f>'Grid_Requirement'!CL38</f>
        <v/>
      </c>
      <c r="CO1062">
        <f>'Grid_Requirement'!CM38</f>
        <v/>
      </c>
      <c r="CP1062">
        <f>'Grid_Requirement'!CN38</f>
        <v/>
      </c>
      <c r="CQ1062">
        <f>'Grid_Requirement'!CO38</f>
        <v/>
      </c>
      <c r="CR1062">
        <f>'Grid_Requirement'!CP38</f>
        <v/>
      </c>
      <c r="CS1062">
        <f>'Grid_Requirement'!CQ38</f>
        <v/>
      </c>
      <c r="CT1062">
        <f>'Grid_Requirement'!CR38</f>
        <v/>
      </c>
      <c r="CU1062">
        <f>'Grid_Requirement'!CS38</f>
        <v/>
      </c>
      <c r="CV1062">
        <f>'Grid_Requirement'!CT38</f>
        <v/>
      </c>
      <c r="CW1062">
        <f>'Grid_Requirement'!CU38</f>
        <v/>
      </c>
      <c r="CX1062">
        <f>'Grid_Requirement'!CV38</f>
        <v/>
      </c>
      <c r="CY1062">
        <f>'Grid_Requirement'!CW38</f>
        <v/>
      </c>
      <c r="CZ1062">
        <f>'Grid_Requirement'!CX38</f>
        <v/>
      </c>
      <c r="DA1062">
        <f>'Grid_Requirement'!CY38</f>
        <v/>
      </c>
      <c r="DB1062">
        <f>'Grid_Requirement'!CZ38</f>
        <v/>
      </c>
      <c r="DC1062">
        <f>'Grid_Requirement'!DA38</f>
        <v/>
      </c>
    </row>
    <row r="1063">
      <c r="B1063" t="inlineStr">
        <is>
          <t>TTAF在庫(実績,kg)</t>
        </is>
      </c>
      <c r="D1063">
        <f>'T_TTAFStock'!B42</f>
        <v/>
      </c>
      <c r="E1063">
        <f>'T_TTAFStock'!C42</f>
        <v/>
      </c>
      <c r="F1063">
        <f>'T_TTAFStock'!D42</f>
        <v/>
      </c>
      <c r="G1063">
        <f>'T_TTAFStock'!E42</f>
        <v/>
      </c>
      <c r="H1063">
        <f>'T_TTAFStock'!F42</f>
        <v/>
      </c>
      <c r="I1063">
        <f>'T_TTAFStock'!G42</f>
        <v/>
      </c>
      <c r="J1063">
        <f>'T_TTAFStock'!H42</f>
        <v/>
      </c>
      <c r="K1063">
        <f>'T_TTAFStock'!I42</f>
        <v/>
      </c>
      <c r="L1063">
        <f>'T_TTAFStock'!J42</f>
        <v/>
      </c>
      <c r="M1063">
        <f>'T_TTAFStock'!K42</f>
        <v/>
      </c>
      <c r="N1063">
        <f>'T_TTAFStock'!L42</f>
        <v/>
      </c>
      <c r="O1063">
        <f>'T_TTAFStock'!M42</f>
        <v/>
      </c>
      <c r="P1063">
        <f>'T_TTAFStock'!N42</f>
        <v/>
      </c>
      <c r="Q1063">
        <f>'T_TTAFStock'!O42</f>
        <v/>
      </c>
      <c r="R1063">
        <f>'T_TTAFStock'!P42</f>
        <v/>
      </c>
      <c r="S1063">
        <f>'T_TTAFStock'!Q42</f>
        <v/>
      </c>
      <c r="T1063">
        <f>'T_TTAFStock'!R42</f>
        <v/>
      </c>
      <c r="U1063">
        <f>'T_TTAFStock'!S42</f>
        <v/>
      </c>
      <c r="V1063">
        <f>'T_TTAFStock'!T42</f>
        <v/>
      </c>
      <c r="W1063">
        <f>'T_TTAFStock'!U42</f>
        <v/>
      </c>
      <c r="X1063">
        <f>'T_TTAFStock'!V42</f>
        <v/>
      </c>
      <c r="Y1063">
        <f>'T_TTAFStock'!W42</f>
        <v/>
      </c>
      <c r="Z1063">
        <f>'T_TTAFStock'!X42</f>
        <v/>
      </c>
      <c r="AA1063">
        <f>'T_TTAFStock'!Y42</f>
        <v/>
      </c>
      <c r="AB1063">
        <f>'T_TTAFStock'!Z42</f>
        <v/>
      </c>
      <c r="AC1063">
        <f>'T_TTAFStock'!AA42</f>
        <v/>
      </c>
      <c r="AD1063">
        <f>'T_TTAFStock'!AB42</f>
        <v/>
      </c>
      <c r="AE1063">
        <f>'T_TTAFStock'!AC42</f>
        <v/>
      </c>
      <c r="AF1063">
        <f>'T_TTAFStock'!AD42</f>
        <v/>
      </c>
      <c r="AG1063">
        <f>'T_TTAFStock'!AE42</f>
        <v/>
      </c>
      <c r="AH1063">
        <f>'T_TTAFStock'!AF42</f>
        <v/>
      </c>
      <c r="AI1063">
        <f>'T_TTAFStock'!AG42</f>
        <v/>
      </c>
      <c r="AJ1063">
        <f>'T_TTAFStock'!AH42</f>
        <v/>
      </c>
      <c r="AK1063">
        <f>'T_TTAFStock'!AI42</f>
        <v/>
      </c>
      <c r="AL1063">
        <f>'T_TTAFStock'!AJ42</f>
        <v/>
      </c>
      <c r="AM1063">
        <f>'T_TTAFStock'!AK42</f>
        <v/>
      </c>
      <c r="AN1063">
        <f>'T_TTAFStock'!AL42</f>
        <v/>
      </c>
      <c r="AO1063">
        <f>'T_TTAFStock'!AM42</f>
        <v/>
      </c>
      <c r="AP1063">
        <f>'T_TTAFStock'!AN42</f>
        <v/>
      </c>
      <c r="AQ1063">
        <f>'T_TTAFStock'!AO42</f>
        <v/>
      </c>
      <c r="AR1063">
        <f>'T_TTAFStock'!AP42</f>
        <v/>
      </c>
      <c r="AS1063">
        <f>'T_TTAFStock'!AQ42</f>
        <v/>
      </c>
      <c r="AT1063">
        <f>'T_TTAFStock'!AR42</f>
        <v/>
      </c>
      <c r="AU1063">
        <f>'T_TTAFStock'!AS42</f>
        <v/>
      </c>
      <c r="AV1063">
        <f>'T_TTAFStock'!AT42</f>
        <v/>
      </c>
      <c r="AW1063">
        <f>'T_TTAFStock'!AU42</f>
        <v/>
      </c>
      <c r="AX1063">
        <f>'T_TTAFStock'!AV42</f>
        <v/>
      </c>
      <c r="AY1063">
        <f>'T_TTAFStock'!AW42</f>
        <v/>
      </c>
      <c r="AZ1063">
        <f>'T_TTAFStock'!AX42</f>
        <v/>
      </c>
      <c r="BA1063">
        <f>'T_TTAFStock'!AY42</f>
        <v/>
      </c>
      <c r="BB1063">
        <f>'T_TTAFStock'!AZ42</f>
        <v/>
      </c>
      <c r="BC1063">
        <f>'T_TTAFStock'!BA42</f>
        <v/>
      </c>
      <c r="BD1063">
        <f>'T_TTAFStock'!BB42</f>
        <v/>
      </c>
      <c r="BE1063">
        <f>'T_TTAFStock'!BC42</f>
        <v/>
      </c>
      <c r="BF1063">
        <f>'T_TTAFStock'!BD42</f>
        <v/>
      </c>
      <c r="BG1063">
        <f>'T_TTAFStock'!BE42</f>
        <v/>
      </c>
      <c r="BH1063">
        <f>'T_TTAFStock'!BF42</f>
        <v/>
      </c>
      <c r="BI1063">
        <f>'T_TTAFStock'!BG42</f>
        <v/>
      </c>
      <c r="BJ1063">
        <f>'T_TTAFStock'!BH42</f>
        <v/>
      </c>
      <c r="BK1063">
        <f>'T_TTAFStock'!BI42</f>
        <v/>
      </c>
      <c r="BL1063">
        <f>'T_TTAFStock'!BJ42</f>
        <v/>
      </c>
      <c r="BM1063">
        <f>'T_TTAFStock'!BK42</f>
        <v/>
      </c>
      <c r="BN1063">
        <f>'T_TTAFStock'!BL42</f>
        <v/>
      </c>
      <c r="BO1063">
        <f>'T_TTAFStock'!BM42</f>
        <v/>
      </c>
      <c r="BP1063">
        <f>'T_TTAFStock'!BN42</f>
        <v/>
      </c>
      <c r="BQ1063">
        <f>'T_TTAFStock'!BO42</f>
        <v/>
      </c>
      <c r="BR1063">
        <f>'T_TTAFStock'!BP42</f>
        <v/>
      </c>
      <c r="BS1063">
        <f>'T_TTAFStock'!BQ42</f>
        <v/>
      </c>
      <c r="BT1063">
        <f>'T_TTAFStock'!BR42</f>
        <v/>
      </c>
      <c r="BU1063">
        <f>'T_TTAFStock'!BS42</f>
        <v/>
      </c>
      <c r="BV1063">
        <f>'T_TTAFStock'!BT42</f>
        <v/>
      </c>
      <c r="BW1063">
        <f>'T_TTAFStock'!BU42</f>
        <v/>
      </c>
      <c r="BX1063">
        <f>'T_TTAFStock'!BV42</f>
        <v/>
      </c>
      <c r="BY1063">
        <f>'T_TTAFStock'!BW42</f>
        <v/>
      </c>
      <c r="BZ1063">
        <f>'T_TTAFStock'!BX42</f>
        <v/>
      </c>
      <c r="CA1063">
        <f>'T_TTAFStock'!BY42</f>
        <v/>
      </c>
      <c r="CB1063">
        <f>'T_TTAFStock'!BZ42</f>
        <v/>
      </c>
      <c r="CC1063">
        <f>'T_TTAFStock'!CA42</f>
        <v/>
      </c>
      <c r="CD1063">
        <f>'T_TTAFStock'!CB42</f>
        <v/>
      </c>
      <c r="CE1063">
        <f>'T_TTAFStock'!CC42</f>
        <v/>
      </c>
      <c r="CF1063">
        <f>'T_TTAFStock'!CD42</f>
        <v/>
      </c>
      <c r="CG1063">
        <f>'T_TTAFStock'!CE42</f>
        <v/>
      </c>
      <c r="CH1063">
        <f>'T_TTAFStock'!CF42</f>
        <v/>
      </c>
      <c r="CI1063">
        <f>'T_TTAFStock'!CG42</f>
        <v/>
      </c>
      <c r="CJ1063">
        <f>'T_TTAFStock'!CH42</f>
        <v/>
      </c>
      <c r="CK1063">
        <f>'T_TTAFStock'!CI42</f>
        <v/>
      </c>
      <c r="CL1063">
        <f>'T_TTAFStock'!CJ42</f>
        <v/>
      </c>
      <c r="CM1063">
        <f>'T_TTAFStock'!CK42</f>
        <v/>
      </c>
      <c r="CN1063">
        <f>'T_TTAFStock'!CL42</f>
        <v/>
      </c>
      <c r="CO1063">
        <f>'T_TTAFStock'!CM42</f>
        <v/>
      </c>
      <c r="CP1063">
        <f>'T_TTAFStock'!CN42</f>
        <v/>
      </c>
      <c r="CQ1063">
        <f>'T_TTAFStock'!CO42</f>
        <v/>
      </c>
      <c r="CR1063">
        <f>'T_TTAFStock'!CP42</f>
        <v/>
      </c>
      <c r="CS1063">
        <f>'T_TTAFStock'!CQ42</f>
        <v/>
      </c>
      <c r="CT1063">
        <f>'T_TTAFStock'!CR42</f>
        <v/>
      </c>
      <c r="CU1063">
        <f>'T_TTAFStock'!CS42</f>
        <v/>
      </c>
      <c r="CV1063">
        <f>'T_TTAFStock'!CT42</f>
        <v/>
      </c>
      <c r="CW1063">
        <f>'T_TTAFStock'!CU42</f>
        <v/>
      </c>
      <c r="CX1063">
        <f>'T_TTAFStock'!CV42</f>
        <v/>
      </c>
      <c r="CY1063">
        <f>'T_TTAFStock'!CW42</f>
        <v/>
      </c>
      <c r="CZ1063">
        <f>'T_TTAFStock'!CX42</f>
        <v/>
      </c>
      <c r="DA1063">
        <f>'T_TTAFStock'!CY42</f>
        <v/>
      </c>
      <c r="DB1063">
        <f>'T_TTAFStock'!CZ42</f>
        <v/>
      </c>
      <c r="DC1063">
        <f>'T_TTAFStock'!DA42</f>
        <v/>
      </c>
    </row>
    <row r="1064">
      <c r="B1064" t="inlineStr">
        <is>
          <t>自社在庫(実績,kg)</t>
        </is>
      </c>
      <c r="D1064">
        <f>'T_SelfStock'!B42</f>
        <v/>
      </c>
      <c r="E1064">
        <f>'T_SelfStock'!C42</f>
        <v/>
      </c>
      <c r="F1064">
        <f>'T_SelfStock'!D42</f>
        <v/>
      </c>
      <c r="G1064">
        <f>'T_SelfStock'!E42</f>
        <v/>
      </c>
      <c r="H1064">
        <f>'T_SelfStock'!F42</f>
        <v/>
      </c>
      <c r="I1064">
        <f>'T_SelfStock'!G42</f>
        <v/>
      </c>
      <c r="J1064">
        <f>'T_SelfStock'!H42</f>
        <v/>
      </c>
      <c r="K1064">
        <f>'T_SelfStock'!I42</f>
        <v/>
      </c>
      <c r="L1064">
        <f>'T_SelfStock'!J42</f>
        <v/>
      </c>
      <c r="M1064">
        <f>'T_SelfStock'!K42</f>
        <v/>
      </c>
      <c r="N1064">
        <f>'T_SelfStock'!L42</f>
        <v/>
      </c>
      <c r="O1064">
        <f>'T_SelfStock'!M42</f>
        <v/>
      </c>
      <c r="P1064">
        <f>'T_SelfStock'!N42</f>
        <v/>
      </c>
      <c r="Q1064">
        <f>'T_SelfStock'!O42</f>
        <v/>
      </c>
      <c r="R1064">
        <f>'T_SelfStock'!P42</f>
        <v/>
      </c>
      <c r="S1064">
        <f>'T_SelfStock'!Q42</f>
        <v/>
      </c>
      <c r="T1064">
        <f>'T_SelfStock'!R42</f>
        <v/>
      </c>
      <c r="U1064">
        <f>'T_SelfStock'!S42</f>
        <v/>
      </c>
      <c r="V1064">
        <f>'T_SelfStock'!T42</f>
        <v/>
      </c>
      <c r="W1064">
        <f>'T_SelfStock'!U42</f>
        <v/>
      </c>
      <c r="X1064">
        <f>'T_SelfStock'!V42</f>
        <v/>
      </c>
      <c r="Y1064">
        <f>'T_SelfStock'!W42</f>
        <v/>
      </c>
      <c r="Z1064">
        <f>'T_SelfStock'!X42</f>
        <v/>
      </c>
      <c r="AA1064">
        <f>'T_SelfStock'!Y42</f>
        <v/>
      </c>
      <c r="AB1064">
        <f>'T_SelfStock'!Z42</f>
        <v/>
      </c>
      <c r="AC1064">
        <f>'T_SelfStock'!AA42</f>
        <v/>
      </c>
      <c r="AD1064">
        <f>'T_SelfStock'!AB42</f>
        <v/>
      </c>
      <c r="AE1064">
        <f>'T_SelfStock'!AC42</f>
        <v/>
      </c>
      <c r="AF1064">
        <f>'T_SelfStock'!AD42</f>
        <v/>
      </c>
      <c r="AG1064">
        <f>'T_SelfStock'!AE42</f>
        <v/>
      </c>
      <c r="AH1064">
        <f>'T_SelfStock'!AF42</f>
        <v/>
      </c>
      <c r="AI1064">
        <f>'T_SelfStock'!AG42</f>
        <v/>
      </c>
      <c r="AJ1064">
        <f>'T_SelfStock'!AH42</f>
        <v/>
      </c>
      <c r="AK1064">
        <f>'T_SelfStock'!AI42</f>
        <v/>
      </c>
      <c r="AL1064">
        <f>'T_SelfStock'!AJ42</f>
        <v/>
      </c>
      <c r="AM1064">
        <f>'T_SelfStock'!AK42</f>
        <v/>
      </c>
      <c r="AN1064">
        <f>'T_SelfStock'!AL42</f>
        <v/>
      </c>
      <c r="AO1064">
        <f>'T_SelfStock'!AM42</f>
        <v/>
      </c>
      <c r="AP1064">
        <f>'T_SelfStock'!AN42</f>
        <v/>
      </c>
      <c r="AQ1064">
        <f>'T_SelfStock'!AO42</f>
        <v/>
      </c>
      <c r="AR1064">
        <f>'T_SelfStock'!AP42</f>
        <v/>
      </c>
      <c r="AS1064">
        <f>'T_SelfStock'!AQ42</f>
        <v/>
      </c>
      <c r="AT1064">
        <f>'T_SelfStock'!AR42</f>
        <v/>
      </c>
      <c r="AU1064">
        <f>'T_SelfStock'!AS42</f>
        <v/>
      </c>
      <c r="AV1064">
        <f>'T_SelfStock'!AT42</f>
        <v/>
      </c>
      <c r="AW1064">
        <f>'T_SelfStock'!AU42</f>
        <v/>
      </c>
      <c r="AX1064">
        <f>'T_SelfStock'!AV42</f>
        <v/>
      </c>
      <c r="AY1064">
        <f>'T_SelfStock'!AW42</f>
        <v/>
      </c>
      <c r="AZ1064">
        <f>'T_SelfStock'!AX42</f>
        <v/>
      </c>
      <c r="BA1064">
        <f>'T_SelfStock'!AY42</f>
        <v/>
      </c>
      <c r="BB1064">
        <f>'T_SelfStock'!AZ42</f>
        <v/>
      </c>
      <c r="BC1064">
        <f>'T_SelfStock'!BA42</f>
        <v/>
      </c>
      <c r="BD1064">
        <f>'T_SelfStock'!BB42</f>
        <v/>
      </c>
      <c r="BE1064">
        <f>'T_SelfStock'!BC42</f>
        <v/>
      </c>
      <c r="BF1064">
        <f>'T_SelfStock'!BD42</f>
        <v/>
      </c>
      <c r="BG1064">
        <f>'T_SelfStock'!BE42</f>
        <v/>
      </c>
      <c r="BH1064">
        <f>'T_SelfStock'!BF42</f>
        <v/>
      </c>
      <c r="BI1064">
        <f>'T_SelfStock'!BG42</f>
        <v/>
      </c>
      <c r="BJ1064">
        <f>'T_SelfStock'!BH42</f>
        <v/>
      </c>
      <c r="BK1064">
        <f>'T_SelfStock'!BI42</f>
        <v/>
      </c>
      <c r="BL1064">
        <f>'T_SelfStock'!BJ42</f>
        <v/>
      </c>
      <c r="BM1064">
        <f>'T_SelfStock'!BK42</f>
        <v/>
      </c>
      <c r="BN1064">
        <f>'T_SelfStock'!BL42</f>
        <v/>
      </c>
      <c r="BO1064">
        <f>'T_SelfStock'!BM42</f>
        <v/>
      </c>
      <c r="BP1064">
        <f>'T_SelfStock'!BN42</f>
        <v/>
      </c>
      <c r="BQ1064">
        <f>'T_SelfStock'!BO42</f>
        <v/>
      </c>
      <c r="BR1064">
        <f>'T_SelfStock'!BP42</f>
        <v/>
      </c>
      <c r="BS1064">
        <f>'T_SelfStock'!BQ42</f>
        <v/>
      </c>
      <c r="BT1064">
        <f>'T_SelfStock'!BR42</f>
        <v/>
      </c>
      <c r="BU1064">
        <f>'T_SelfStock'!BS42</f>
        <v/>
      </c>
      <c r="BV1064">
        <f>'T_SelfStock'!BT42</f>
        <v/>
      </c>
      <c r="BW1064">
        <f>'T_SelfStock'!BU42</f>
        <v/>
      </c>
      <c r="BX1064">
        <f>'T_SelfStock'!BV42</f>
        <v/>
      </c>
      <c r="BY1064">
        <f>'T_SelfStock'!BW42</f>
        <v/>
      </c>
      <c r="BZ1064">
        <f>'T_SelfStock'!BX42</f>
        <v/>
      </c>
      <c r="CA1064">
        <f>'T_SelfStock'!BY42</f>
        <v/>
      </c>
      <c r="CB1064">
        <f>'T_SelfStock'!BZ42</f>
        <v/>
      </c>
      <c r="CC1064">
        <f>'T_SelfStock'!CA42</f>
        <v/>
      </c>
      <c r="CD1064">
        <f>'T_SelfStock'!CB42</f>
        <v/>
      </c>
      <c r="CE1064">
        <f>'T_SelfStock'!CC42</f>
        <v/>
      </c>
      <c r="CF1064">
        <f>'T_SelfStock'!CD42</f>
        <v/>
      </c>
      <c r="CG1064">
        <f>'T_SelfStock'!CE42</f>
        <v/>
      </c>
      <c r="CH1064">
        <f>'T_SelfStock'!CF42</f>
        <v/>
      </c>
      <c r="CI1064">
        <f>'T_SelfStock'!CG42</f>
        <v/>
      </c>
      <c r="CJ1064">
        <f>'T_SelfStock'!CH42</f>
        <v/>
      </c>
      <c r="CK1064">
        <f>'T_SelfStock'!CI42</f>
        <v/>
      </c>
      <c r="CL1064">
        <f>'T_SelfStock'!CJ42</f>
        <v/>
      </c>
      <c r="CM1064">
        <f>'T_SelfStock'!CK42</f>
        <v/>
      </c>
      <c r="CN1064">
        <f>'T_SelfStock'!CL42</f>
        <v/>
      </c>
      <c r="CO1064">
        <f>'T_SelfStock'!CM42</f>
        <v/>
      </c>
      <c r="CP1064">
        <f>'T_SelfStock'!CN42</f>
        <v/>
      </c>
      <c r="CQ1064">
        <f>'T_SelfStock'!CO42</f>
        <v/>
      </c>
      <c r="CR1064">
        <f>'T_SelfStock'!CP42</f>
        <v/>
      </c>
      <c r="CS1064">
        <f>'T_SelfStock'!CQ42</f>
        <v/>
      </c>
      <c r="CT1064">
        <f>'T_SelfStock'!CR42</f>
        <v/>
      </c>
      <c r="CU1064">
        <f>'T_SelfStock'!CS42</f>
        <v/>
      </c>
      <c r="CV1064">
        <f>'T_SelfStock'!CT42</f>
        <v/>
      </c>
      <c r="CW1064">
        <f>'T_SelfStock'!CU42</f>
        <v/>
      </c>
      <c r="CX1064">
        <f>'T_SelfStock'!CV42</f>
        <v/>
      </c>
      <c r="CY1064">
        <f>'T_SelfStock'!CW42</f>
        <v/>
      </c>
      <c r="CZ1064">
        <f>'T_SelfStock'!CX42</f>
        <v/>
      </c>
      <c r="DA1064">
        <f>'T_SelfStock'!CY42</f>
        <v/>
      </c>
      <c r="DB1064">
        <f>'T_SelfStock'!CZ42</f>
        <v/>
      </c>
      <c r="DC1064">
        <f>'T_SelfStock'!DA42</f>
        <v/>
      </c>
    </row>
    <row r="1065">
      <c r="B1065" t="inlineStr">
        <is>
          <t>Order(発注予定,kg)</t>
        </is>
      </c>
      <c r="D1065">
        <f>IF(SUMIFS(T_PlannedOrders[EffectiveQty],T_PlannedOrders[Part Name],$A1059,T_PlannedOrders[WeekIndex],1)=0,"",SUMIFS(T_PlannedOrders[EffectiveQty],T_PlannedOrders[Part Name],$A1059,T_PlannedOrders[WeekIndex],1)&amp;" ("&amp;TEXT(SUMPRODUCT(MAX((T_PlannedOrders[Part Name]=$A1059)*(T_PlannedOrders[WeekIndex]=1)*(T_PlannedOrders[EffectiveQty]&gt;0)*T_PlannedOrders[Order_Month])),"m月")&amp;"発注)")</f>
        <v/>
      </c>
      <c r="E1065">
        <f>IF(SUMIFS(T_PlannedOrders[EffectiveQty],T_PlannedOrders[Part Name],$A1059,T_PlannedOrders[WeekIndex],2)=0,"",SUMIFS(T_PlannedOrders[EffectiveQty],T_PlannedOrders[Part Name],$A1059,T_PlannedOrders[WeekIndex],2)&amp;" ("&amp;TEXT(SUMPRODUCT(MAX((T_PlannedOrders[Part Name]=$A1059)*(T_PlannedOrders[WeekIndex]=2)*(T_PlannedOrders[EffectiveQty]&gt;0)*T_PlannedOrders[Order_Month])),"m月")&amp;"発注)")</f>
        <v/>
      </c>
      <c r="F1065">
        <f>IF(SUMIFS(T_PlannedOrders[EffectiveQty],T_PlannedOrders[Part Name],$A1059,T_PlannedOrders[WeekIndex],3)=0,"",SUMIFS(T_PlannedOrders[EffectiveQty],T_PlannedOrders[Part Name],$A1059,T_PlannedOrders[WeekIndex],3)&amp;" ("&amp;TEXT(SUMPRODUCT(MAX((T_PlannedOrders[Part Name]=$A1059)*(T_PlannedOrders[WeekIndex]=3)*(T_PlannedOrders[EffectiveQty]&gt;0)*T_PlannedOrders[Order_Month])),"m月")&amp;"発注)")</f>
        <v/>
      </c>
      <c r="G1065">
        <f>IF(SUMIFS(T_PlannedOrders[EffectiveQty],T_PlannedOrders[Part Name],$A1059,T_PlannedOrders[WeekIndex],4)=0,"",SUMIFS(T_PlannedOrders[EffectiveQty],T_PlannedOrders[Part Name],$A1059,T_PlannedOrders[WeekIndex],4)&amp;" ("&amp;TEXT(SUMPRODUCT(MAX((T_PlannedOrders[Part Name]=$A1059)*(T_PlannedOrders[WeekIndex]=4)*(T_PlannedOrders[EffectiveQty]&gt;0)*T_PlannedOrders[Order_Month])),"m月")&amp;"発注)")</f>
        <v/>
      </c>
      <c r="H1065">
        <f>IF(SUMIFS(T_PlannedOrders[EffectiveQty],T_PlannedOrders[Part Name],$A1059,T_PlannedOrders[WeekIndex],5)=0,"",SUMIFS(T_PlannedOrders[EffectiveQty],T_PlannedOrders[Part Name],$A1059,T_PlannedOrders[WeekIndex],5)&amp;" ("&amp;TEXT(SUMPRODUCT(MAX((T_PlannedOrders[Part Name]=$A1059)*(T_PlannedOrders[WeekIndex]=5)*(T_PlannedOrders[EffectiveQty]&gt;0)*T_PlannedOrders[Order_Month])),"m月")&amp;"発注)")</f>
        <v/>
      </c>
      <c r="I1065">
        <f>IF(SUMIFS(T_PlannedOrders[EffectiveQty],T_PlannedOrders[Part Name],$A1059,T_PlannedOrders[WeekIndex],6)=0,"",SUMIFS(T_PlannedOrders[EffectiveQty],T_PlannedOrders[Part Name],$A1059,T_PlannedOrders[WeekIndex],6)&amp;" ("&amp;TEXT(SUMPRODUCT(MAX((T_PlannedOrders[Part Name]=$A1059)*(T_PlannedOrders[WeekIndex]=6)*(T_PlannedOrders[EffectiveQty]&gt;0)*T_PlannedOrders[Order_Month])),"m月")&amp;"発注)")</f>
        <v/>
      </c>
      <c r="J1065">
        <f>IF(SUMIFS(T_PlannedOrders[EffectiveQty],T_PlannedOrders[Part Name],$A1059,T_PlannedOrders[WeekIndex],7)=0,"",SUMIFS(T_PlannedOrders[EffectiveQty],T_PlannedOrders[Part Name],$A1059,T_PlannedOrders[WeekIndex],7)&amp;" ("&amp;TEXT(SUMPRODUCT(MAX((T_PlannedOrders[Part Name]=$A1059)*(T_PlannedOrders[WeekIndex]=7)*(T_PlannedOrders[EffectiveQty]&gt;0)*T_PlannedOrders[Order_Month])),"m月")&amp;"発注)")</f>
        <v/>
      </c>
      <c r="K1065">
        <f>IF(SUMIFS(T_PlannedOrders[EffectiveQty],T_PlannedOrders[Part Name],$A1059,T_PlannedOrders[WeekIndex],8)=0,"",SUMIFS(T_PlannedOrders[EffectiveQty],T_PlannedOrders[Part Name],$A1059,T_PlannedOrders[WeekIndex],8)&amp;" ("&amp;TEXT(SUMPRODUCT(MAX((T_PlannedOrders[Part Name]=$A1059)*(T_PlannedOrders[WeekIndex]=8)*(T_PlannedOrders[EffectiveQty]&gt;0)*T_PlannedOrders[Order_Month])),"m月")&amp;"発注)")</f>
        <v/>
      </c>
      <c r="L1065">
        <f>IF(SUMIFS(T_PlannedOrders[EffectiveQty],T_PlannedOrders[Part Name],$A1059,T_PlannedOrders[WeekIndex],9)=0,"",SUMIFS(T_PlannedOrders[EffectiveQty],T_PlannedOrders[Part Name],$A1059,T_PlannedOrders[WeekIndex],9)&amp;" ("&amp;TEXT(SUMPRODUCT(MAX((T_PlannedOrders[Part Name]=$A1059)*(T_PlannedOrders[WeekIndex]=9)*(T_PlannedOrders[EffectiveQty]&gt;0)*T_PlannedOrders[Order_Month])),"m月")&amp;"発注)")</f>
        <v/>
      </c>
      <c r="M1065">
        <f>IF(SUMIFS(T_PlannedOrders[EffectiveQty],T_PlannedOrders[Part Name],$A1059,T_PlannedOrders[WeekIndex],10)=0,"",SUMIFS(T_PlannedOrders[EffectiveQty],T_PlannedOrders[Part Name],$A1059,T_PlannedOrders[WeekIndex],10)&amp;" ("&amp;TEXT(SUMPRODUCT(MAX((T_PlannedOrders[Part Name]=$A1059)*(T_PlannedOrders[WeekIndex]=10)*(T_PlannedOrders[EffectiveQty]&gt;0)*T_PlannedOrders[Order_Month])),"m月")&amp;"発注)")</f>
        <v/>
      </c>
      <c r="N1065">
        <f>IF(SUMIFS(T_PlannedOrders[EffectiveQty],T_PlannedOrders[Part Name],$A1059,T_PlannedOrders[WeekIndex],11)=0,"",SUMIFS(T_PlannedOrders[EffectiveQty],T_PlannedOrders[Part Name],$A1059,T_PlannedOrders[WeekIndex],11)&amp;" ("&amp;TEXT(SUMPRODUCT(MAX((T_PlannedOrders[Part Name]=$A1059)*(T_PlannedOrders[WeekIndex]=11)*(T_PlannedOrders[EffectiveQty]&gt;0)*T_PlannedOrders[Order_Month])),"m月")&amp;"発注)")</f>
        <v/>
      </c>
      <c r="O1065">
        <f>IF(SUMIFS(T_PlannedOrders[EffectiveQty],T_PlannedOrders[Part Name],$A1059,T_PlannedOrders[WeekIndex],12)=0,"",SUMIFS(T_PlannedOrders[EffectiveQty],T_PlannedOrders[Part Name],$A1059,T_PlannedOrders[WeekIndex],12)&amp;" ("&amp;TEXT(SUMPRODUCT(MAX((T_PlannedOrders[Part Name]=$A1059)*(T_PlannedOrders[WeekIndex]=12)*(T_PlannedOrders[EffectiveQty]&gt;0)*T_PlannedOrders[Order_Month])),"m月")&amp;"発注)")</f>
        <v/>
      </c>
      <c r="P1065">
        <f>IF(SUMIFS(T_PlannedOrders[EffectiveQty],T_PlannedOrders[Part Name],$A1059,T_PlannedOrders[WeekIndex],13)=0,"",SUMIFS(T_PlannedOrders[EffectiveQty],T_PlannedOrders[Part Name],$A1059,T_PlannedOrders[WeekIndex],13)&amp;" ("&amp;TEXT(SUMPRODUCT(MAX((T_PlannedOrders[Part Name]=$A1059)*(T_PlannedOrders[WeekIndex]=13)*(T_PlannedOrders[EffectiveQty]&gt;0)*T_PlannedOrders[Order_Month])),"m月")&amp;"発注)")</f>
        <v/>
      </c>
      <c r="Q1065">
        <f>IF(SUMIFS(T_PlannedOrders[EffectiveQty],T_PlannedOrders[Part Name],$A1059,T_PlannedOrders[WeekIndex],14)=0,"",SUMIFS(T_PlannedOrders[EffectiveQty],T_PlannedOrders[Part Name],$A1059,T_PlannedOrders[WeekIndex],14)&amp;" ("&amp;TEXT(SUMPRODUCT(MAX((T_PlannedOrders[Part Name]=$A1059)*(T_PlannedOrders[WeekIndex]=14)*(T_PlannedOrders[EffectiveQty]&gt;0)*T_PlannedOrders[Order_Month])),"m月")&amp;"発注)")</f>
        <v/>
      </c>
      <c r="R1065">
        <f>IF(SUMIFS(T_PlannedOrders[EffectiveQty],T_PlannedOrders[Part Name],$A1059,T_PlannedOrders[WeekIndex],15)=0,"",SUMIFS(T_PlannedOrders[EffectiveQty],T_PlannedOrders[Part Name],$A1059,T_PlannedOrders[WeekIndex],15)&amp;" ("&amp;TEXT(SUMPRODUCT(MAX((T_PlannedOrders[Part Name]=$A1059)*(T_PlannedOrders[WeekIndex]=15)*(T_PlannedOrders[EffectiveQty]&gt;0)*T_PlannedOrders[Order_Month])),"m月")&amp;"発注)")</f>
        <v/>
      </c>
      <c r="S1065">
        <f>IF(SUMIFS(T_PlannedOrders[EffectiveQty],T_PlannedOrders[Part Name],$A1059,T_PlannedOrders[WeekIndex],16)=0,"",SUMIFS(T_PlannedOrders[EffectiveQty],T_PlannedOrders[Part Name],$A1059,T_PlannedOrders[WeekIndex],16)&amp;" ("&amp;TEXT(SUMPRODUCT(MAX((T_PlannedOrders[Part Name]=$A1059)*(T_PlannedOrders[WeekIndex]=16)*(T_PlannedOrders[EffectiveQty]&gt;0)*T_PlannedOrders[Order_Month])),"m月")&amp;"発注)")</f>
        <v/>
      </c>
      <c r="T1065">
        <f>IF(SUMIFS(T_PlannedOrders[EffectiveQty],T_PlannedOrders[Part Name],$A1059,T_PlannedOrders[WeekIndex],17)=0,"",SUMIFS(T_PlannedOrders[EffectiveQty],T_PlannedOrders[Part Name],$A1059,T_PlannedOrders[WeekIndex],17)&amp;" ("&amp;TEXT(SUMPRODUCT(MAX((T_PlannedOrders[Part Name]=$A1059)*(T_PlannedOrders[WeekIndex]=17)*(T_PlannedOrders[EffectiveQty]&gt;0)*T_PlannedOrders[Order_Month])),"m月")&amp;"発注)")</f>
        <v/>
      </c>
      <c r="U1065">
        <f>IF(SUMIFS(T_PlannedOrders[EffectiveQty],T_PlannedOrders[Part Name],$A1059,T_PlannedOrders[WeekIndex],18)=0,"",SUMIFS(T_PlannedOrders[EffectiveQty],T_PlannedOrders[Part Name],$A1059,T_PlannedOrders[WeekIndex],18)&amp;" ("&amp;TEXT(SUMPRODUCT(MAX((T_PlannedOrders[Part Name]=$A1059)*(T_PlannedOrders[WeekIndex]=18)*(T_PlannedOrders[EffectiveQty]&gt;0)*T_PlannedOrders[Order_Month])),"m月")&amp;"発注)")</f>
        <v/>
      </c>
      <c r="V1065">
        <f>IF(SUMIFS(T_PlannedOrders[EffectiveQty],T_PlannedOrders[Part Name],$A1059,T_PlannedOrders[WeekIndex],19)=0,"",SUMIFS(T_PlannedOrders[EffectiveQty],T_PlannedOrders[Part Name],$A1059,T_PlannedOrders[WeekIndex],19)&amp;" ("&amp;TEXT(SUMPRODUCT(MAX((T_PlannedOrders[Part Name]=$A1059)*(T_PlannedOrders[WeekIndex]=19)*(T_PlannedOrders[EffectiveQty]&gt;0)*T_PlannedOrders[Order_Month])),"m月")&amp;"発注)")</f>
        <v/>
      </c>
      <c r="W1065">
        <f>IF(SUMIFS(T_PlannedOrders[EffectiveQty],T_PlannedOrders[Part Name],$A1059,T_PlannedOrders[WeekIndex],20)=0,"",SUMIFS(T_PlannedOrders[EffectiveQty],T_PlannedOrders[Part Name],$A1059,T_PlannedOrders[WeekIndex],20)&amp;" ("&amp;TEXT(SUMPRODUCT(MAX((T_PlannedOrders[Part Name]=$A1059)*(T_PlannedOrders[WeekIndex]=20)*(T_PlannedOrders[EffectiveQty]&gt;0)*T_PlannedOrders[Order_Month])),"m月")&amp;"発注)")</f>
        <v/>
      </c>
      <c r="X1065">
        <f>IF(SUMIFS(T_PlannedOrders[EffectiveQty],T_PlannedOrders[Part Name],$A1059,T_PlannedOrders[WeekIndex],21)=0,"",SUMIFS(T_PlannedOrders[EffectiveQty],T_PlannedOrders[Part Name],$A1059,T_PlannedOrders[WeekIndex],21)&amp;" ("&amp;TEXT(SUMPRODUCT(MAX((T_PlannedOrders[Part Name]=$A1059)*(T_PlannedOrders[WeekIndex]=21)*(T_PlannedOrders[EffectiveQty]&gt;0)*T_PlannedOrders[Order_Month])),"m月")&amp;"発注)")</f>
        <v/>
      </c>
      <c r="Y1065">
        <f>IF(SUMIFS(T_PlannedOrders[EffectiveQty],T_PlannedOrders[Part Name],$A1059,T_PlannedOrders[WeekIndex],22)=0,"",SUMIFS(T_PlannedOrders[EffectiveQty],T_PlannedOrders[Part Name],$A1059,T_PlannedOrders[WeekIndex],22)&amp;" ("&amp;TEXT(SUMPRODUCT(MAX((T_PlannedOrders[Part Name]=$A1059)*(T_PlannedOrders[WeekIndex]=22)*(T_PlannedOrders[EffectiveQty]&gt;0)*T_PlannedOrders[Order_Month])),"m月")&amp;"発注)")</f>
        <v/>
      </c>
      <c r="Z1065">
        <f>IF(SUMIFS(T_PlannedOrders[EffectiveQty],T_PlannedOrders[Part Name],$A1059,T_PlannedOrders[WeekIndex],23)=0,"",SUMIFS(T_PlannedOrders[EffectiveQty],T_PlannedOrders[Part Name],$A1059,T_PlannedOrders[WeekIndex],23)&amp;" ("&amp;TEXT(SUMPRODUCT(MAX((T_PlannedOrders[Part Name]=$A1059)*(T_PlannedOrders[WeekIndex]=23)*(T_PlannedOrders[EffectiveQty]&gt;0)*T_PlannedOrders[Order_Month])),"m月")&amp;"発注)")</f>
        <v/>
      </c>
      <c r="AA1065">
        <f>IF(SUMIFS(T_PlannedOrders[EffectiveQty],T_PlannedOrders[Part Name],$A1059,T_PlannedOrders[WeekIndex],24)=0,"",SUMIFS(T_PlannedOrders[EffectiveQty],T_PlannedOrders[Part Name],$A1059,T_PlannedOrders[WeekIndex],24)&amp;" ("&amp;TEXT(SUMPRODUCT(MAX((T_PlannedOrders[Part Name]=$A1059)*(T_PlannedOrders[WeekIndex]=24)*(T_PlannedOrders[EffectiveQty]&gt;0)*T_PlannedOrders[Order_Month])),"m月")&amp;"発注)")</f>
        <v/>
      </c>
      <c r="AB1065">
        <f>IF(SUMIFS(T_PlannedOrders[EffectiveQty],T_PlannedOrders[Part Name],$A1059,T_PlannedOrders[WeekIndex],25)=0,"",SUMIFS(T_PlannedOrders[EffectiveQty],T_PlannedOrders[Part Name],$A1059,T_PlannedOrders[WeekIndex],25)&amp;" ("&amp;TEXT(SUMPRODUCT(MAX((T_PlannedOrders[Part Name]=$A1059)*(T_PlannedOrders[WeekIndex]=25)*(T_PlannedOrders[EffectiveQty]&gt;0)*T_PlannedOrders[Order_Month])),"m月")&amp;"発注)")</f>
        <v/>
      </c>
      <c r="AC1065">
        <f>IF(SUMIFS(T_PlannedOrders[EffectiveQty],T_PlannedOrders[Part Name],$A1059,T_PlannedOrders[WeekIndex],26)=0,"",SUMIFS(T_PlannedOrders[EffectiveQty],T_PlannedOrders[Part Name],$A1059,T_PlannedOrders[WeekIndex],26)&amp;" ("&amp;TEXT(SUMPRODUCT(MAX((T_PlannedOrders[Part Name]=$A1059)*(T_PlannedOrders[WeekIndex]=26)*(T_PlannedOrders[EffectiveQty]&gt;0)*T_PlannedOrders[Order_Month])),"m月")&amp;"発注)")</f>
        <v/>
      </c>
      <c r="AD1065">
        <f>IF(SUMIFS(T_PlannedOrders[EffectiveQty],T_PlannedOrders[Part Name],$A1059,T_PlannedOrders[WeekIndex],27)=0,"",SUMIFS(T_PlannedOrders[EffectiveQty],T_PlannedOrders[Part Name],$A1059,T_PlannedOrders[WeekIndex],27)&amp;" ("&amp;TEXT(SUMPRODUCT(MAX((T_PlannedOrders[Part Name]=$A1059)*(T_PlannedOrders[WeekIndex]=27)*(T_PlannedOrders[EffectiveQty]&gt;0)*T_PlannedOrders[Order_Month])),"m月")&amp;"発注)")</f>
        <v/>
      </c>
      <c r="AE1065">
        <f>IF(SUMIFS(T_PlannedOrders[EffectiveQty],T_PlannedOrders[Part Name],$A1059,T_PlannedOrders[WeekIndex],28)=0,"",SUMIFS(T_PlannedOrders[EffectiveQty],T_PlannedOrders[Part Name],$A1059,T_PlannedOrders[WeekIndex],28)&amp;" ("&amp;TEXT(SUMPRODUCT(MAX((T_PlannedOrders[Part Name]=$A1059)*(T_PlannedOrders[WeekIndex]=28)*(T_PlannedOrders[EffectiveQty]&gt;0)*T_PlannedOrders[Order_Month])),"m月")&amp;"発注)")</f>
        <v/>
      </c>
      <c r="AF1065">
        <f>IF(SUMIFS(T_PlannedOrders[EffectiveQty],T_PlannedOrders[Part Name],$A1059,T_PlannedOrders[WeekIndex],29)=0,"",SUMIFS(T_PlannedOrders[EffectiveQty],T_PlannedOrders[Part Name],$A1059,T_PlannedOrders[WeekIndex],29)&amp;" ("&amp;TEXT(SUMPRODUCT(MAX((T_PlannedOrders[Part Name]=$A1059)*(T_PlannedOrders[WeekIndex]=29)*(T_PlannedOrders[EffectiveQty]&gt;0)*T_PlannedOrders[Order_Month])),"m月")&amp;"発注)")</f>
        <v/>
      </c>
      <c r="AG1065">
        <f>IF(SUMIFS(T_PlannedOrders[EffectiveQty],T_PlannedOrders[Part Name],$A1059,T_PlannedOrders[WeekIndex],30)=0,"",SUMIFS(T_PlannedOrders[EffectiveQty],T_PlannedOrders[Part Name],$A1059,T_PlannedOrders[WeekIndex],30)&amp;" ("&amp;TEXT(SUMPRODUCT(MAX((T_PlannedOrders[Part Name]=$A1059)*(T_PlannedOrders[WeekIndex]=30)*(T_PlannedOrders[EffectiveQty]&gt;0)*T_PlannedOrders[Order_Month])),"m月")&amp;"発注)")</f>
        <v/>
      </c>
      <c r="AH1065">
        <f>IF(SUMIFS(T_PlannedOrders[EffectiveQty],T_PlannedOrders[Part Name],$A1059,T_PlannedOrders[WeekIndex],31)=0,"",SUMIFS(T_PlannedOrders[EffectiveQty],T_PlannedOrders[Part Name],$A1059,T_PlannedOrders[WeekIndex],31)&amp;" ("&amp;TEXT(SUMPRODUCT(MAX((T_PlannedOrders[Part Name]=$A1059)*(T_PlannedOrders[WeekIndex]=31)*(T_PlannedOrders[EffectiveQty]&gt;0)*T_PlannedOrders[Order_Month])),"m月")&amp;"発注)")</f>
        <v/>
      </c>
      <c r="AI1065">
        <f>IF(SUMIFS(T_PlannedOrders[EffectiveQty],T_PlannedOrders[Part Name],$A1059,T_PlannedOrders[WeekIndex],32)=0,"",SUMIFS(T_PlannedOrders[EffectiveQty],T_PlannedOrders[Part Name],$A1059,T_PlannedOrders[WeekIndex],32)&amp;" ("&amp;TEXT(SUMPRODUCT(MAX((T_PlannedOrders[Part Name]=$A1059)*(T_PlannedOrders[WeekIndex]=32)*(T_PlannedOrders[EffectiveQty]&gt;0)*T_PlannedOrders[Order_Month])),"m月")&amp;"発注)")</f>
        <v/>
      </c>
      <c r="AJ1065">
        <f>IF(SUMIFS(T_PlannedOrders[EffectiveQty],T_PlannedOrders[Part Name],$A1059,T_PlannedOrders[WeekIndex],33)=0,"",SUMIFS(T_PlannedOrders[EffectiveQty],T_PlannedOrders[Part Name],$A1059,T_PlannedOrders[WeekIndex],33)&amp;" ("&amp;TEXT(SUMPRODUCT(MAX((T_PlannedOrders[Part Name]=$A1059)*(T_PlannedOrders[WeekIndex]=33)*(T_PlannedOrders[EffectiveQty]&gt;0)*T_PlannedOrders[Order_Month])),"m月")&amp;"発注)")</f>
        <v/>
      </c>
      <c r="AK1065">
        <f>IF(SUMIFS(T_PlannedOrders[EffectiveQty],T_PlannedOrders[Part Name],$A1059,T_PlannedOrders[WeekIndex],34)=0,"",SUMIFS(T_PlannedOrders[EffectiveQty],T_PlannedOrders[Part Name],$A1059,T_PlannedOrders[WeekIndex],34)&amp;" ("&amp;TEXT(SUMPRODUCT(MAX((T_PlannedOrders[Part Name]=$A1059)*(T_PlannedOrders[WeekIndex]=34)*(T_PlannedOrders[EffectiveQty]&gt;0)*T_PlannedOrders[Order_Month])),"m月")&amp;"発注)")</f>
        <v/>
      </c>
      <c r="AL1065">
        <f>IF(SUMIFS(T_PlannedOrders[EffectiveQty],T_PlannedOrders[Part Name],$A1059,T_PlannedOrders[WeekIndex],35)=0,"",SUMIFS(T_PlannedOrders[EffectiveQty],T_PlannedOrders[Part Name],$A1059,T_PlannedOrders[WeekIndex],35)&amp;" ("&amp;TEXT(SUMPRODUCT(MAX((T_PlannedOrders[Part Name]=$A1059)*(T_PlannedOrders[WeekIndex]=35)*(T_PlannedOrders[EffectiveQty]&gt;0)*T_PlannedOrders[Order_Month])),"m月")&amp;"発注)")</f>
        <v/>
      </c>
      <c r="AM1065">
        <f>IF(SUMIFS(T_PlannedOrders[EffectiveQty],T_PlannedOrders[Part Name],$A1059,T_PlannedOrders[WeekIndex],36)=0,"",SUMIFS(T_PlannedOrders[EffectiveQty],T_PlannedOrders[Part Name],$A1059,T_PlannedOrders[WeekIndex],36)&amp;" ("&amp;TEXT(SUMPRODUCT(MAX((T_PlannedOrders[Part Name]=$A1059)*(T_PlannedOrders[WeekIndex]=36)*(T_PlannedOrders[EffectiveQty]&gt;0)*T_PlannedOrders[Order_Month])),"m月")&amp;"発注)")</f>
        <v/>
      </c>
      <c r="AN1065">
        <f>IF(SUMIFS(T_PlannedOrders[EffectiveQty],T_PlannedOrders[Part Name],$A1059,T_PlannedOrders[WeekIndex],37)=0,"",SUMIFS(T_PlannedOrders[EffectiveQty],T_PlannedOrders[Part Name],$A1059,T_PlannedOrders[WeekIndex],37)&amp;" ("&amp;TEXT(SUMPRODUCT(MAX((T_PlannedOrders[Part Name]=$A1059)*(T_PlannedOrders[WeekIndex]=37)*(T_PlannedOrders[EffectiveQty]&gt;0)*T_PlannedOrders[Order_Month])),"m月")&amp;"発注)")</f>
        <v/>
      </c>
      <c r="AO1065">
        <f>IF(SUMIFS(T_PlannedOrders[EffectiveQty],T_PlannedOrders[Part Name],$A1059,T_PlannedOrders[WeekIndex],38)=0,"",SUMIFS(T_PlannedOrders[EffectiveQty],T_PlannedOrders[Part Name],$A1059,T_PlannedOrders[WeekIndex],38)&amp;" ("&amp;TEXT(SUMPRODUCT(MAX((T_PlannedOrders[Part Name]=$A1059)*(T_PlannedOrders[WeekIndex]=38)*(T_PlannedOrders[EffectiveQty]&gt;0)*T_PlannedOrders[Order_Month])),"m月")&amp;"発注)")</f>
        <v/>
      </c>
      <c r="AP1065">
        <f>IF(SUMIFS(T_PlannedOrders[EffectiveQty],T_PlannedOrders[Part Name],$A1059,T_PlannedOrders[WeekIndex],39)=0,"",SUMIFS(T_PlannedOrders[EffectiveQty],T_PlannedOrders[Part Name],$A1059,T_PlannedOrders[WeekIndex],39)&amp;" ("&amp;TEXT(SUMPRODUCT(MAX((T_PlannedOrders[Part Name]=$A1059)*(T_PlannedOrders[WeekIndex]=39)*(T_PlannedOrders[EffectiveQty]&gt;0)*T_PlannedOrders[Order_Month])),"m月")&amp;"発注)")</f>
        <v/>
      </c>
      <c r="AQ1065">
        <f>IF(SUMIFS(T_PlannedOrders[EffectiveQty],T_PlannedOrders[Part Name],$A1059,T_PlannedOrders[WeekIndex],40)=0,"",SUMIFS(T_PlannedOrders[EffectiveQty],T_PlannedOrders[Part Name],$A1059,T_PlannedOrders[WeekIndex],40)&amp;" ("&amp;TEXT(SUMPRODUCT(MAX((T_PlannedOrders[Part Name]=$A1059)*(T_PlannedOrders[WeekIndex]=40)*(T_PlannedOrders[EffectiveQty]&gt;0)*T_PlannedOrders[Order_Month])),"m月")&amp;"発注)")</f>
        <v/>
      </c>
      <c r="AR1065">
        <f>IF(SUMIFS(T_PlannedOrders[EffectiveQty],T_PlannedOrders[Part Name],$A1059,T_PlannedOrders[WeekIndex],41)=0,"",SUMIFS(T_PlannedOrders[EffectiveQty],T_PlannedOrders[Part Name],$A1059,T_PlannedOrders[WeekIndex],41)&amp;" ("&amp;TEXT(SUMPRODUCT(MAX((T_PlannedOrders[Part Name]=$A1059)*(T_PlannedOrders[WeekIndex]=41)*(T_PlannedOrders[EffectiveQty]&gt;0)*T_PlannedOrders[Order_Month])),"m月")&amp;"発注)")</f>
        <v/>
      </c>
      <c r="AS1065">
        <f>IF(SUMIFS(T_PlannedOrders[EffectiveQty],T_PlannedOrders[Part Name],$A1059,T_PlannedOrders[WeekIndex],42)=0,"",SUMIFS(T_PlannedOrders[EffectiveQty],T_PlannedOrders[Part Name],$A1059,T_PlannedOrders[WeekIndex],42)&amp;" ("&amp;TEXT(SUMPRODUCT(MAX((T_PlannedOrders[Part Name]=$A1059)*(T_PlannedOrders[WeekIndex]=42)*(T_PlannedOrders[EffectiveQty]&gt;0)*T_PlannedOrders[Order_Month])),"m月")&amp;"発注)")</f>
        <v/>
      </c>
      <c r="AT1065">
        <f>IF(SUMIFS(T_PlannedOrders[EffectiveQty],T_PlannedOrders[Part Name],$A1059,T_PlannedOrders[WeekIndex],43)=0,"",SUMIFS(T_PlannedOrders[EffectiveQty],T_PlannedOrders[Part Name],$A1059,T_PlannedOrders[WeekIndex],43)&amp;" ("&amp;TEXT(SUMPRODUCT(MAX((T_PlannedOrders[Part Name]=$A1059)*(T_PlannedOrders[WeekIndex]=43)*(T_PlannedOrders[EffectiveQty]&gt;0)*T_PlannedOrders[Order_Month])),"m月")&amp;"発注)")</f>
        <v/>
      </c>
      <c r="AU1065">
        <f>IF(SUMIFS(T_PlannedOrders[EffectiveQty],T_PlannedOrders[Part Name],$A1059,T_PlannedOrders[WeekIndex],44)=0,"",SUMIFS(T_PlannedOrders[EffectiveQty],T_PlannedOrders[Part Name],$A1059,T_PlannedOrders[WeekIndex],44)&amp;" ("&amp;TEXT(SUMPRODUCT(MAX((T_PlannedOrders[Part Name]=$A1059)*(T_PlannedOrders[WeekIndex]=44)*(T_PlannedOrders[EffectiveQty]&gt;0)*T_PlannedOrders[Order_Month])),"m月")&amp;"発注)")</f>
        <v/>
      </c>
      <c r="AV1065">
        <f>IF(SUMIFS(T_PlannedOrders[EffectiveQty],T_PlannedOrders[Part Name],$A1059,T_PlannedOrders[WeekIndex],45)=0,"",SUMIFS(T_PlannedOrders[EffectiveQty],T_PlannedOrders[Part Name],$A1059,T_PlannedOrders[WeekIndex],45)&amp;" ("&amp;TEXT(SUMPRODUCT(MAX((T_PlannedOrders[Part Name]=$A1059)*(T_PlannedOrders[WeekIndex]=45)*(T_PlannedOrders[EffectiveQty]&gt;0)*T_PlannedOrders[Order_Month])),"m月")&amp;"発注)")</f>
        <v/>
      </c>
      <c r="AW1065">
        <f>IF(SUMIFS(T_PlannedOrders[EffectiveQty],T_PlannedOrders[Part Name],$A1059,T_PlannedOrders[WeekIndex],46)=0,"",SUMIFS(T_PlannedOrders[EffectiveQty],T_PlannedOrders[Part Name],$A1059,T_PlannedOrders[WeekIndex],46)&amp;" ("&amp;TEXT(SUMPRODUCT(MAX((T_PlannedOrders[Part Name]=$A1059)*(T_PlannedOrders[WeekIndex]=46)*(T_PlannedOrders[EffectiveQty]&gt;0)*T_PlannedOrders[Order_Month])),"m月")&amp;"発注)")</f>
        <v/>
      </c>
      <c r="AX1065">
        <f>IF(SUMIFS(T_PlannedOrders[EffectiveQty],T_PlannedOrders[Part Name],$A1059,T_PlannedOrders[WeekIndex],47)=0,"",SUMIFS(T_PlannedOrders[EffectiveQty],T_PlannedOrders[Part Name],$A1059,T_PlannedOrders[WeekIndex],47)&amp;" ("&amp;TEXT(SUMPRODUCT(MAX((T_PlannedOrders[Part Name]=$A1059)*(T_PlannedOrders[WeekIndex]=47)*(T_PlannedOrders[EffectiveQty]&gt;0)*T_PlannedOrders[Order_Month])),"m月")&amp;"発注)")</f>
        <v/>
      </c>
      <c r="AY1065">
        <f>IF(SUMIFS(T_PlannedOrders[EffectiveQty],T_PlannedOrders[Part Name],$A1059,T_PlannedOrders[WeekIndex],48)=0,"",SUMIFS(T_PlannedOrders[EffectiveQty],T_PlannedOrders[Part Name],$A1059,T_PlannedOrders[WeekIndex],48)&amp;" ("&amp;TEXT(SUMPRODUCT(MAX((T_PlannedOrders[Part Name]=$A1059)*(T_PlannedOrders[WeekIndex]=48)*(T_PlannedOrders[EffectiveQty]&gt;0)*T_PlannedOrders[Order_Month])),"m月")&amp;"発注)")</f>
        <v/>
      </c>
      <c r="AZ1065">
        <f>IF(SUMIFS(T_PlannedOrders[EffectiveQty],T_PlannedOrders[Part Name],$A1059,T_PlannedOrders[WeekIndex],49)=0,"",SUMIFS(T_PlannedOrders[EffectiveQty],T_PlannedOrders[Part Name],$A1059,T_PlannedOrders[WeekIndex],49)&amp;" ("&amp;TEXT(SUMPRODUCT(MAX((T_PlannedOrders[Part Name]=$A1059)*(T_PlannedOrders[WeekIndex]=49)*(T_PlannedOrders[EffectiveQty]&gt;0)*T_PlannedOrders[Order_Month])),"m月")&amp;"発注)")</f>
        <v/>
      </c>
      <c r="BA1065">
        <f>IF(SUMIFS(T_PlannedOrders[EffectiveQty],T_PlannedOrders[Part Name],$A1059,T_PlannedOrders[WeekIndex],50)=0,"",SUMIFS(T_PlannedOrders[EffectiveQty],T_PlannedOrders[Part Name],$A1059,T_PlannedOrders[WeekIndex],50)&amp;" ("&amp;TEXT(SUMPRODUCT(MAX((T_PlannedOrders[Part Name]=$A1059)*(T_PlannedOrders[WeekIndex]=50)*(T_PlannedOrders[EffectiveQty]&gt;0)*T_PlannedOrders[Order_Month])),"m月")&amp;"発注)")</f>
        <v/>
      </c>
      <c r="BB1065">
        <f>IF(SUMIFS(T_PlannedOrders[EffectiveQty],T_PlannedOrders[Part Name],$A1059,T_PlannedOrders[WeekIndex],51)=0,"",SUMIFS(T_PlannedOrders[EffectiveQty],T_PlannedOrders[Part Name],$A1059,T_PlannedOrders[WeekIndex],51)&amp;" ("&amp;TEXT(SUMPRODUCT(MAX((T_PlannedOrders[Part Name]=$A1059)*(T_PlannedOrders[WeekIndex]=51)*(T_PlannedOrders[EffectiveQty]&gt;0)*T_PlannedOrders[Order_Month])),"m月")&amp;"発注)")</f>
        <v/>
      </c>
      <c r="BC1065">
        <f>IF(SUMIFS(T_PlannedOrders[EffectiveQty],T_PlannedOrders[Part Name],$A1059,T_PlannedOrders[WeekIndex],52)=0,"",SUMIFS(T_PlannedOrders[EffectiveQty],T_PlannedOrders[Part Name],$A1059,T_PlannedOrders[WeekIndex],52)&amp;" ("&amp;TEXT(SUMPRODUCT(MAX((T_PlannedOrders[Part Name]=$A1059)*(T_PlannedOrders[WeekIndex]=52)*(T_PlannedOrders[EffectiveQty]&gt;0)*T_PlannedOrders[Order_Month])),"m月")&amp;"発注)")</f>
        <v/>
      </c>
      <c r="BD1065">
        <f>IF(SUMIFS(T_PlannedOrders[EffectiveQty],T_PlannedOrders[Part Name],$A1059,T_PlannedOrders[WeekIndex],53)=0,"",SUMIFS(T_PlannedOrders[EffectiveQty],T_PlannedOrders[Part Name],$A1059,T_PlannedOrders[WeekIndex],53)&amp;" ("&amp;TEXT(SUMPRODUCT(MAX((T_PlannedOrders[Part Name]=$A1059)*(T_PlannedOrders[WeekIndex]=53)*(T_PlannedOrders[EffectiveQty]&gt;0)*T_PlannedOrders[Order_Month])),"m月")&amp;"発注)")</f>
        <v/>
      </c>
      <c r="BE1065">
        <f>IF(SUMIFS(T_PlannedOrders[EffectiveQty],T_PlannedOrders[Part Name],$A1059,T_PlannedOrders[WeekIndex],54)=0,"",SUMIFS(T_PlannedOrders[EffectiveQty],T_PlannedOrders[Part Name],$A1059,T_PlannedOrders[WeekIndex],54)&amp;" ("&amp;TEXT(SUMPRODUCT(MAX((T_PlannedOrders[Part Name]=$A1059)*(T_PlannedOrders[WeekIndex]=54)*(T_PlannedOrders[EffectiveQty]&gt;0)*T_PlannedOrders[Order_Month])),"m月")&amp;"発注)")</f>
        <v/>
      </c>
      <c r="BF1065">
        <f>IF(SUMIFS(T_PlannedOrders[EffectiveQty],T_PlannedOrders[Part Name],$A1059,T_PlannedOrders[WeekIndex],55)=0,"",SUMIFS(T_PlannedOrders[EffectiveQty],T_PlannedOrders[Part Name],$A1059,T_PlannedOrders[WeekIndex],55)&amp;" ("&amp;TEXT(SUMPRODUCT(MAX((T_PlannedOrders[Part Name]=$A1059)*(T_PlannedOrders[WeekIndex]=55)*(T_PlannedOrders[EffectiveQty]&gt;0)*T_PlannedOrders[Order_Month])),"m月")&amp;"発注)")</f>
        <v/>
      </c>
      <c r="BG1065">
        <f>IF(SUMIFS(T_PlannedOrders[EffectiveQty],T_PlannedOrders[Part Name],$A1059,T_PlannedOrders[WeekIndex],56)=0,"",SUMIFS(T_PlannedOrders[EffectiveQty],T_PlannedOrders[Part Name],$A1059,T_PlannedOrders[WeekIndex],56)&amp;" ("&amp;TEXT(SUMPRODUCT(MAX((T_PlannedOrders[Part Name]=$A1059)*(T_PlannedOrders[WeekIndex]=56)*(T_PlannedOrders[EffectiveQty]&gt;0)*T_PlannedOrders[Order_Month])),"m月")&amp;"発注)")</f>
        <v/>
      </c>
      <c r="BH1065">
        <f>IF(SUMIFS(T_PlannedOrders[EffectiveQty],T_PlannedOrders[Part Name],$A1059,T_PlannedOrders[WeekIndex],57)=0,"",SUMIFS(T_PlannedOrders[EffectiveQty],T_PlannedOrders[Part Name],$A1059,T_PlannedOrders[WeekIndex],57)&amp;" ("&amp;TEXT(SUMPRODUCT(MAX((T_PlannedOrders[Part Name]=$A1059)*(T_PlannedOrders[WeekIndex]=57)*(T_PlannedOrders[EffectiveQty]&gt;0)*T_PlannedOrders[Order_Month])),"m月")&amp;"発注)")</f>
        <v/>
      </c>
      <c r="BI1065">
        <f>IF(SUMIFS(T_PlannedOrders[EffectiveQty],T_PlannedOrders[Part Name],$A1059,T_PlannedOrders[WeekIndex],58)=0,"",SUMIFS(T_PlannedOrders[EffectiveQty],T_PlannedOrders[Part Name],$A1059,T_PlannedOrders[WeekIndex],58)&amp;" ("&amp;TEXT(SUMPRODUCT(MAX((T_PlannedOrders[Part Name]=$A1059)*(T_PlannedOrders[WeekIndex]=58)*(T_PlannedOrders[EffectiveQty]&gt;0)*T_PlannedOrders[Order_Month])),"m月")&amp;"発注)")</f>
        <v/>
      </c>
      <c r="BJ1065">
        <f>IF(SUMIFS(T_PlannedOrders[EffectiveQty],T_PlannedOrders[Part Name],$A1059,T_PlannedOrders[WeekIndex],59)=0,"",SUMIFS(T_PlannedOrders[EffectiveQty],T_PlannedOrders[Part Name],$A1059,T_PlannedOrders[WeekIndex],59)&amp;" ("&amp;TEXT(SUMPRODUCT(MAX((T_PlannedOrders[Part Name]=$A1059)*(T_PlannedOrders[WeekIndex]=59)*(T_PlannedOrders[EffectiveQty]&gt;0)*T_PlannedOrders[Order_Month])),"m月")&amp;"発注)")</f>
        <v/>
      </c>
      <c r="BK1065">
        <f>IF(SUMIFS(T_PlannedOrders[EffectiveQty],T_PlannedOrders[Part Name],$A1059,T_PlannedOrders[WeekIndex],60)=0,"",SUMIFS(T_PlannedOrders[EffectiveQty],T_PlannedOrders[Part Name],$A1059,T_PlannedOrders[WeekIndex],60)&amp;" ("&amp;TEXT(SUMPRODUCT(MAX((T_PlannedOrders[Part Name]=$A1059)*(T_PlannedOrders[WeekIndex]=60)*(T_PlannedOrders[EffectiveQty]&gt;0)*T_PlannedOrders[Order_Month])),"m月")&amp;"発注)")</f>
        <v/>
      </c>
      <c r="BL1065">
        <f>IF(SUMIFS(T_PlannedOrders[EffectiveQty],T_PlannedOrders[Part Name],$A1059,T_PlannedOrders[WeekIndex],61)=0,"",SUMIFS(T_PlannedOrders[EffectiveQty],T_PlannedOrders[Part Name],$A1059,T_PlannedOrders[WeekIndex],61)&amp;" ("&amp;TEXT(SUMPRODUCT(MAX((T_PlannedOrders[Part Name]=$A1059)*(T_PlannedOrders[WeekIndex]=61)*(T_PlannedOrders[EffectiveQty]&gt;0)*T_PlannedOrders[Order_Month])),"m月")&amp;"発注)")</f>
        <v/>
      </c>
      <c r="BM1065">
        <f>IF(SUMIFS(T_PlannedOrders[EffectiveQty],T_PlannedOrders[Part Name],$A1059,T_PlannedOrders[WeekIndex],62)=0,"",SUMIFS(T_PlannedOrders[EffectiveQty],T_PlannedOrders[Part Name],$A1059,T_PlannedOrders[WeekIndex],62)&amp;" ("&amp;TEXT(SUMPRODUCT(MAX((T_PlannedOrders[Part Name]=$A1059)*(T_PlannedOrders[WeekIndex]=62)*(T_PlannedOrders[EffectiveQty]&gt;0)*T_PlannedOrders[Order_Month])),"m月")&amp;"発注)")</f>
        <v/>
      </c>
      <c r="BN1065">
        <f>IF(SUMIFS(T_PlannedOrders[EffectiveQty],T_PlannedOrders[Part Name],$A1059,T_PlannedOrders[WeekIndex],63)=0,"",SUMIFS(T_PlannedOrders[EffectiveQty],T_PlannedOrders[Part Name],$A1059,T_PlannedOrders[WeekIndex],63)&amp;" ("&amp;TEXT(SUMPRODUCT(MAX((T_PlannedOrders[Part Name]=$A1059)*(T_PlannedOrders[WeekIndex]=63)*(T_PlannedOrders[EffectiveQty]&gt;0)*T_PlannedOrders[Order_Month])),"m月")&amp;"発注)")</f>
        <v/>
      </c>
      <c r="BO1065">
        <f>IF(SUMIFS(T_PlannedOrders[EffectiveQty],T_PlannedOrders[Part Name],$A1059,T_PlannedOrders[WeekIndex],64)=0,"",SUMIFS(T_PlannedOrders[EffectiveQty],T_PlannedOrders[Part Name],$A1059,T_PlannedOrders[WeekIndex],64)&amp;" ("&amp;TEXT(SUMPRODUCT(MAX((T_PlannedOrders[Part Name]=$A1059)*(T_PlannedOrders[WeekIndex]=64)*(T_PlannedOrders[EffectiveQty]&gt;0)*T_PlannedOrders[Order_Month])),"m月")&amp;"発注)")</f>
        <v/>
      </c>
      <c r="BP1065">
        <f>IF(SUMIFS(T_PlannedOrders[EffectiveQty],T_PlannedOrders[Part Name],$A1059,T_PlannedOrders[WeekIndex],65)=0,"",SUMIFS(T_PlannedOrders[EffectiveQty],T_PlannedOrders[Part Name],$A1059,T_PlannedOrders[WeekIndex],65)&amp;" ("&amp;TEXT(SUMPRODUCT(MAX((T_PlannedOrders[Part Name]=$A1059)*(T_PlannedOrders[WeekIndex]=65)*(T_PlannedOrders[EffectiveQty]&gt;0)*T_PlannedOrders[Order_Month])),"m月")&amp;"発注)")</f>
        <v/>
      </c>
      <c r="BQ1065">
        <f>IF(SUMIFS(T_PlannedOrders[EffectiveQty],T_PlannedOrders[Part Name],$A1059,T_PlannedOrders[WeekIndex],66)=0,"",SUMIFS(T_PlannedOrders[EffectiveQty],T_PlannedOrders[Part Name],$A1059,T_PlannedOrders[WeekIndex],66)&amp;" ("&amp;TEXT(SUMPRODUCT(MAX((T_PlannedOrders[Part Name]=$A1059)*(T_PlannedOrders[WeekIndex]=66)*(T_PlannedOrders[EffectiveQty]&gt;0)*T_PlannedOrders[Order_Month])),"m月")&amp;"発注)")</f>
        <v/>
      </c>
      <c r="BR1065">
        <f>IF(SUMIFS(T_PlannedOrders[EffectiveQty],T_PlannedOrders[Part Name],$A1059,T_PlannedOrders[WeekIndex],67)=0,"",SUMIFS(T_PlannedOrders[EffectiveQty],T_PlannedOrders[Part Name],$A1059,T_PlannedOrders[WeekIndex],67)&amp;" ("&amp;TEXT(SUMPRODUCT(MAX((T_PlannedOrders[Part Name]=$A1059)*(T_PlannedOrders[WeekIndex]=67)*(T_PlannedOrders[EffectiveQty]&gt;0)*T_PlannedOrders[Order_Month])),"m月")&amp;"発注)")</f>
        <v/>
      </c>
      <c r="BS1065">
        <f>IF(SUMIFS(T_PlannedOrders[EffectiveQty],T_PlannedOrders[Part Name],$A1059,T_PlannedOrders[WeekIndex],68)=0,"",SUMIFS(T_PlannedOrders[EffectiveQty],T_PlannedOrders[Part Name],$A1059,T_PlannedOrders[WeekIndex],68)&amp;" ("&amp;TEXT(SUMPRODUCT(MAX((T_PlannedOrders[Part Name]=$A1059)*(T_PlannedOrders[WeekIndex]=68)*(T_PlannedOrders[EffectiveQty]&gt;0)*T_PlannedOrders[Order_Month])),"m月")&amp;"発注)")</f>
        <v/>
      </c>
      <c r="BT1065">
        <f>IF(SUMIFS(T_PlannedOrders[EffectiveQty],T_PlannedOrders[Part Name],$A1059,T_PlannedOrders[WeekIndex],69)=0,"",SUMIFS(T_PlannedOrders[EffectiveQty],T_PlannedOrders[Part Name],$A1059,T_PlannedOrders[WeekIndex],69)&amp;" ("&amp;TEXT(SUMPRODUCT(MAX((T_PlannedOrders[Part Name]=$A1059)*(T_PlannedOrders[WeekIndex]=69)*(T_PlannedOrders[EffectiveQty]&gt;0)*T_PlannedOrders[Order_Month])),"m月")&amp;"発注)")</f>
        <v/>
      </c>
      <c r="BU1065">
        <f>IF(SUMIFS(T_PlannedOrders[EffectiveQty],T_PlannedOrders[Part Name],$A1059,T_PlannedOrders[WeekIndex],70)=0,"",SUMIFS(T_PlannedOrders[EffectiveQty],T_PlannedOrders[Part Name],$A1059,T_PlannedOrders[WeekIndex],70)&amp;" ("&amp;TEXT(SUMPRODUCT(MAX((T_PlannedOrders[Part Name]=$A1059)*(T_PlannedOrders[WeekIndex]=70)*(T_PlannedOrders[EffectiveQty]&gt;0)*T_PlannedOrders[Order_Month])),"m月")&amp;"発注)")</f>
        <v/>
      </c>
      <c r="BV1065">
        <f>IF(SUMIFS(T_PlannedOrders[EffectiveQty],T_PlannedOrders[Part Name],$A1059,T_PlannedOrders[WeekIndex],71)=0,"",SUMIFS(T_PlannedOrders[EffectiveQty],T_PlannedOrders[Part Name],$A1059,T_PlannedOrders[WeekIndex],71)&amp;" ("&amp;TEXT(SUMPRODUCT(MAX((T_PlannedOrders[Part Name]=$A1059)*(T_PlannedOrders[WeekIndex]=71)*(T_PlannedOrders[EffectiveQty]&gt;0)*T_PlannedOrders[Order_Month])),"m月")&amp;"発注)")</f>
        <v/>
      </c>
      <c r="BW1065">
        <f>IF(SUMIFS(T_PlannedOrders[EffectiveQty],T_PlannedOrders[Part Name],$A1059,T_PlannedOrders[WeekIndex],72)=0,"",SUMIFS(T_PlannedOrders[EffectiveQty],T_PlannedOrders[Part Name],$A1059,T_PlannedOrders[WeekIndex],72)&amp;" ("&amp;TEXT(SUMPRODUCT(MAX((T_PlannedOrders[Part Name]=$A1059)*(T_PlannedOrders[WeekIndex]=72)*(T_PlannedOrders[EffectiveQty]&gt;0)*T_PlannedOrders[Order_Month])),"m月")&amp;"発注)")</f>
        <v/>
      </c>
      <c r="BX1065">
        <f>IF(SUMIFS(T_PlannedOrders[EffectiveQty],T_PlannedOrders[Part Name],$A1059,T_PlannedOrders[WeekIndex],73)=0,"",SUMIFS(T_PlannedOrders[EffectiveQty],T_PlannedOrders[Part Name],$A1059,T_PlannedOrders[WeekIndex],73)&amp;" ("&amp;TEXT(SUMPRODUCT(MAX((T_PlannedOrders[Part Name]=$A1059)*(T_PlannedOrders[WeekIndex]=73)*(T_PlannedOrders[EffectiveQty]&gt;0)*T_PlannedOrders[Order_Month])),"m月")&amp;"発注)")</f>
        <v/>
      </c>
      <c r="BY1065">
        <f>IF(SUMIFS(T_PlannedOrders[EffectiveQty],T_PlannedOrders[Part Name],$A1059,T_PlannedOrders[WeekIndex],74)=0,"",SUMIFS(T_PlannedOrders[EffectiveQty],T_PlannedOrders[Part Name],$A1059,T_PlannedOrders[WeekIndex],74)&amp;" ("&amp;TEXT(SUMPRODUCT(MAX((T_PlannedOrders[Part Name]=$A1059)*(T_PlannedOrders[WeekIndex]=74)*(T_PlannedOrders[EffectiveQty]&gt;0)*T_PlannedOrders[Order_Month])),"m月")&amp;"発注)")</f>
        <v/>
      </c>
      <c r="BZ1065">
        <f>IF(SUMIFS(T_PlannedOrders[EffectiveQty],T_PlannedOrders[Part Name],$A1059,T_PlannedOrders[WeekIndex],75)=0,"",SUMIFS(T_PlannedOrders[EffectiveQty],T_PlannedOrders[Part Name],$A1059,T_PlannedOrders[WeekIndex],75)&amp;" ("&amp;TEXT(SUMPRODUCT(MAX((T_PlannedOrders[Part Name]=$A1059)*(T_PlannedOrders[WeekIndex]=75)*(T_PlannedOrders[EffectiveQty]&gt;0)*T_PlannedOrders[Order_Month])),"m月")&amp;"発注)")</f>
        <v/>
      </c>
      <c r="CA1065">
        <f>IF(SUMIFS(T_PlannedOrders[EffectiveQty],T_PlannedOrders[Part Name],$A1059,T_PlannedOrders[WeekIndex],76)=0,"",SUMIFS(T_PlannedOrders[EffectiveQty],T_PlannedOrders[Part Name],$A1059,T_PlannedOrders[WeekIndex],76)&amp;" ("&amp;TEXT(SUMPRODUCT(MAX((T_PlannedOrders[Part Name]=$A1059)*(T_PlannedOrders[WeekIndex]=76)*(T_PlannedOrders[EffectiveQty]&gt;0)*T_PlannedOrders[Order_Month])),"m月")&amp;"発注)")</f>
        <v/>
      </c>
      <c r="CB1065">
        <f>IF(SUMIFS(T_PlannedOrders[EffectiveQty],T_PlannedOrders[Part Name],$A1059,T_PlannedOrders[WeekIndex],77)=0,"",SUMIFS(T_PlannedOrders[EffectiveQty],T_PlannedOrders[Part Name],$A1059,T_PlannedOrders[WeekIndex],77)&amp;" ("&amp;TEXT(SUMPRODUCT(MAX((T_PlannedOrders[Part Name]=$A1059)*(T_PlannedOrders[WeekIndex]=77)*(T_PlannedOrders[EffectiveQty]&gt;0)*T_PlannedOrders[Order_Month])),"m月")&amp;"発注)")</f>
        <v/>
      </c>
      <c r="CC1065">
        <f>IF(SUMIFS(T_PlannedOrders[EffectiveQty],T_PlannedOrders[Part Name],$A1059,T_PlannedOrders[WeekIndex],78)=0,"",SUMIFS(T_PlannedOrders[EffectiveQty],T_PlannedOrders[Part Name],$A1059,T_PlannedOrders[WeekIndex],78)&amp;" ("&amp;TEXT(SUMPRODUCT(MAX((T_PlannedOrders[Part Name]=$A1059)*(T_PlannedOrders[WeekIndex]=78)*(T_PlannedOrders[EffectiveQty]&gt;0)*T_PlannedOrders[Order_Month])),"m月")&amp;"発注)")</f>
        <v/>
      </c>
      <c r="CD1065">
        <f>IF(SUMIFS(T_PlannedOrders[EffectiveQty],T_PlannedOrders[Part Name],$A1059,T_PlannedOrders[WeekIndex],79)=0,"",SUMIFS(T_PlannedOrders[EffectiveQty],T_PlannedOrders[Part Name],$A1059,T_PlannedOrders[WeekIndex],79)&amp;" ("&amp;TEXT(SUMPRODUCT(MAX((T_PlannedOrders[Part Name]=$A1059)*(T_PlannedOrders[WeekIndex]=79)*(T_PlannedOrders[EffectiveQty]&gt;0)*T_PlannedOrders[Order_Month])),"m月")&amp;"発注)")</f>
        <v/>
      </c>
      <c r="CE1065">
        <f>IF(SUMIFS(T_PlannedOrders[EffectiveQty],T_PlannedOrders[Part Name],$A1059,T_PlannedOrders[WeekIndex],80)=0,"",SUMIFS(T_PlannedOrders[EffectiveQty],T_PlannedOrders[Part Name],$A1059,T_PlannedOrders[WeekIndex],80)&amp;" ("&amp;TEXT(SUMPRODUCT(MAX((T_PlannedOrders[Part Name]=$A1059)*(T_PlannedOrders[WeekIndex]=80)*(T_PlannedOrders[EffectiveQty]&gt;0)*T_PlannedOrders[Order_Month])),"m月")&amp;"発注)")</f>
        <v/>
      </c>
      <c r="CF1065">
        <f>IF(SUMIFS(T_PlannedOrders[EffectiveQty],T_PlannedOrders[Part Name],$A1059,T_PlannedOrders[WeekIndex],81)=0,"",SUMIFS(T_PlannedOrders[EffectiveQty],T_PlannedOrders[Part Name],$A1059,T_PlannedOrders[WeekIndex],81)&amp;" ("&amp;TEXT(SUMPRODUCT(MAX((T_PlannedOrders[Part Name]=$A1059)*(T_PlannedOrders[WeekIndex]=81)*(T_PlannedOrders[EffectiveQty]&gt;0)*T_PlannedOrders[Order_Month])),"m月")&amp;"発注)")</f>
        <v/>
      </c>
      <c r="CG1065">
        <f>IF(SUMIFS(T_PlannedOrders[EffectiveQty],T_PlannedOrders[Part Name],$A1059,T_PlannedOrders[WeekIndex],82)=0,"",SUMIFS(T_PlannedOrders[EffectiveQty],T_PlannedOrders[Part Name],$A1059,T_PlannedOrders[WeekIndex],82)&amp;" ("&amp;TEXT(SUMPRODUCT(MAX((T_PlannedOrders[Part Name]=$A1059)*(T_PlannedOrders[WeekIndex]=82)*(T_PlannedOrders[EffectiveQty]&gt;0)*T_PlannedOrders[Order_Month])),"m月")&amp;"発注)")</f>
        <v/>
      </c>
      <c r="CH1065">
        <f>IF(SUMIFS(T_PlannedOrders[EffectiveQty],T_PlannedOrders[Part Name],$A1059,T_PlannedOrders[WeekIndex],83)=0,"",SUMIFS(T_PlannedOrders[EffectiveQty],T_PlannedOrders[Part Name],$A1059,T_PlannedOrders[WeekIndex],83)&amp;" ("&amp;TEXT(SUMPRODUCT(MAX((T_PlannedOrders[Part Name]=$A1059)*(T_PlannedOrders[WeekIndex]=83)*(T_PlannedOrders[EffectiveQty]&gt;0)*T_PlannedOrders[Order_Month])),"m月")&amp;"発注)")</f>
        <v/>
      </c>
      <c r="CI1065">
        <f>IF(SUMIFS(T_PlannedOrders[EffectiveQty],T_PlannedOrders[Part Name],$A1059,T_PlannedOrders[WeekIndex],84)=0,"",SUMIFS(T_PlannedOrders[EffectiveQty],T_PlannedOrders[Part Name],$A1059,T_PlannedOrders[WeekIndex],84)&amp;" ("&amp;TEXT(SUMPRODUCT(MAX((T_PlannedOrders[Part Name]=$A1059)*(T_PlannedOrders[WeekIndex]=84)*(T_PlannedOrders[EffectiveQty]&gt;0)*T_PlannedOrders[Order_Month])),"m月")&amp;"発注)")</f>
        <v/>
      </c>
      <c r="CJ1065">
        <f>IF(SUMIFS(T_PlannedOrders[EffectiveQty],T_PlannedOrders[Part Name],$A1059,T_PlannedOrders[WeekIndex],85)=0,"",SUMIFS(T_PlannedOrders[EffectiveQty],T_PlannedOrders[Part Name],$A1059,T_PlannedOrders[WeekIndex],85)&amp;" ("&amp;TEXT(SUMPRODUCT(MAX((T_PlannedOrders[Part Name]=$A1059)*(T_PlannedOrders[WeekIndex]=85)*(T_PlannedOrders[EffectiveQty]&gt;0)*T_PlannedOrders[Order_Month])),"m月")&amp;"発注)")</f>
        <v/>
      </c>
      <c r="CK1065">
        <f>IF(SUMIFS(T_PlannedOrders[EffectiveQty],T_PlannedOrders[Part Name],$A1059,T_PlannedOrders[WeekIndex],86)=0,"",SUMIFS(T_PlannedOrders[EffectiveQty],T_PlannedOrders[Part Name],$A1059,T_PlannedOrders[WeekIndex],86)&amp;" ("&amp;TEXT(SUMPRODUCT(MAX((T_PlannedOrders[Part Name]=$A1059)*(T_PlannedOrders[WeekIndex]=86)*(T_PlannedOrders[EffectiveQty]&gt;0)*T_PlannedOrders[Order_Month])),"m月")&amp;"発注)")</f>
        <v/>
      </c>
      <c r="CL1065">
        <f>IF(SUMIFS(T_PlannedOrders[EffectiveQty],T_PlannedOrders[Part Name],$A1059,T_PlannedOrders[WeekIndex],87)=0,"",SUMIFS(T_PlannedOrders[EffectiveQty],T_PlannedOrders[Part Name],$A1059,T_PlannedOrders[WeekIndex],87)&amp;" ("&amp;TEXT(SUMPRODUCT(MAX((T_PlannedOrders[Part Name]=$A1059)*(T_PlannedOrders[WeekIndex]=87)*(T_PlannedOrders[EffectiveQty]&gt;0)*T_PlannedOrders[Order_Month])),"m月")&amp;"発注)")</f>
        <v/>
      </c>
      <c r="CM1065">
        <f>IF(SUMIFS(T_PlannedOrders[EffectiveQty],T_PlannedOrders[Part Name],$A1059,T_PlannedOrders[WeekIndex],88)=0,"",SUMIFS(T_PlannedOrders[EffectiveQty],T_PlannedOrders[Part Name],$A1059,T_PlannedOrders[WeekIndex],88)&amp;" ("&amp;TEXT(SUMPRODUCT(MAX((T_PlannedOrders[Part Name]=$A1059)*(T_PlannedOrders[WeekIndex]=88)*(T_PlannedOrders[EffectiveQty]&gt;0)*T_PlannedOrders[Order_Month])),"m月")&amp;"発注)")</f>
        <v/>
      </c>
      <c r="CN1065">
        <f>IF(SUMIFS(T_PlannedOrders[EffectiveQty],T_PlannedOrders[Part Name],$A1059,T_PlannedOrders[WeekIndex],89)=0,"",SUMIFS(T_PlannedOrders[EffectiveQty],T_PlannedOrders[Part Name],$A1059,T_PlannedOrders[WeekIndex],89)&amp;" ("&amp;TEXT(SUMPRODUCT(MAX((T_PlannedOrders[Part Name]=$A1059)*(T_PlannedOrders[WeekIndex]=89)*(T_PlannedOrders[EffectiveQty]&gt;0)*T_PlannedOrders[Order_Month])),"m月")&amp;"発注)")</f>
        <v/>
      </c>
      <c r="CO1065">
        <f>IF(SUMIFS(T_PlannedOrders[EffectiveQty],T_PlannedOrders[Part Name],$A1059,T_PlannedOrders[WeekIndex],90)=0,"",SUMIFS(T_PlannedOrders[EffectiveQty],T_PlannedOrders[Part Name],$A1059,T_PlannedOrders[WeekIndex],90)&amp;" ("&amp;TEXT(SUMPRODUCT(MAX((T_PlannedOrders[Part Name]=$A1059)*(T_PlannedOrders[WeekIndex]=90)*(T_PlannedOrders[EffectiveQty]&gt;0)*T_PlannedOrders[Order_Month])),"m月")&amp;"発注)")</f>
        <v/>
      </c>
      <c r="CP1065">
        <f>IF(SUMIFS(T_PlannedOrders[EffectiveQty],T_PlannedOrders[Part Name],$A1059,T_PlannedOrders[WeekIndex],91)=0,"",SUMIFS(T_PlannedOrders[EffectiveQty],T_PlannedOrders[Part Name],$A1059,T_PlannedOrders[WeekIndex],91)&amp;" ("&amp;TEXT(SUMPRODUCT(MAX((T_PlannedOrders[Part Name]=$A1059)*(T_PlannedOrders[WeekIndex]=91)*(T_PlannedOrders[EffectiveQty]&gt;0)*T_PlannedOrders[Order_Month])),"m月")&amp;"発注)")</f>
        <v/>
      </c>
      <c r="CQ1065">
        <f>IF(SUMIFS(T_PlannedOrders[EffectiveQty],T_PlannedOrders[Part Name],$A1059,T_PlannedOrders[WeekIndex],92)=0,"",SUMIFS(T_PlannedOrders[EffectiveQty],T_PlannedOrders[Part Name],$A1059,T_PlannedOrders[WeekIndex],92)&amp;" ("&amp;TEXT(SUMPRODUCT(MAX((T_PlannedOrders[Part Name]=$A1059)*(T_PlannedOrders[WeekIndex]=92)*(T_PlannedOrders[EffectiveQty]&gt;0)*T_PlannedOrders[Order_Month])),"m月")&amp;"発注)")</f>
        <v/>
      </c>
      <c r="CR1065">
        <f>IF(SUMIFS(T_PlannedOrders[EffectiveQty],T_PlannedOrders[Part Name],$A1059,T_PlannedOrders[WeekIndex],93)=0,"",SUMIFS(T_PlannedOrders[EffectiveQty],T_PlannedOrders[Part Name],$A1059,T_PlannedOrders[WeekIndex],93)&amp;" ("&amp;TEXT(SUMPRODUCT(MAX((T_PlannedOrders[Part Name]=$A1059)*(T_PlannedOrders[WeekIndex]=93)*(T_PlannedOrders[EffectiveQty]&gt;0)*T_PlannedOrders[Order_Month])),"m月")&amp;"発注)")</f>
        <v/>
      </c>
      <c r="CS1065">
        <f>IF(SUMIFS(T_PlannedOrders[EffectiveQty],T_PlannedOrders[Part Name],$A1059,T_PlannedOrders[WeekIndex],94)=0,"",SUMIFS(T_PlannedOrders[EffectiveQty],T_PlannedOrders[Part Name],$A1059,T_PlannedOrders[WeekIndex],94)&amp;" ("&amp;TEXT(SUMPRODUCT(MAX((T_PlannedOrders[Part Name]=$A1059)*(T_PlannedOrders[WeekIndex]=94)*(T_PlannedOrders[EffectiveQty]&gt;0)*T_PlannedOrders[Order_Month])),"m月")&amp;"発注)")</f>
        <v/>
      </c>
      <c r="CT1065">
        <f>IF(SUMIFS(T_PlannedOrders[EffectiveQty],T_PlannedOrders[Part Name],$A1059,T_PlannedOrders[WeekIndex],95)=0,"",SUMIFS(T_PlannedOrders[EffectiveQty],T_PlannedOrders[Part Name],$A1059,T_PlannedOrders[WeekIndex],95)&amp;" ("&amp;TEXT(SUMPRODUCT(MAX((T_PlannedOrders[Part Name]=$A1059)*(T_PlannedOrders[WeekIndex]=95)*(T_PlannedOrders[EffectiveQty]&gt;0)*T_PlannedOrders[Order_Month])),"m月")&amp;"発注)")</f>
        <v/>
      </c>
      <c r="CU1065">
        <f>IF(SUMIFS(T_PlannedOrders[EffectiveQty],T_PlannedOrders[Part Name],$A1059,T_PlannedOrders[WeekIndex],96)=0,"",SUMIFS(T_PlannedOrders[EffectiveQty],T_PlannedOrders[Part Name],$A1059,T_PlannedOrders[WeekIndex],96)&amp;" ("&amp;TEXT(SUMPRODUCT(MAX((T_PlannedOrders[Part Name]=$A1059)*(T_PlannedOrders[WeekIndex]=96)*(T_PlannedOrders[EffectiveQty]&gt;0)*T_PlannedOrders[Order_Month])),"m月")&amp;"発注)")</f>
        <v/>
      </c>
      <c r="CV1065">
        <f>IF(SUMIFS(T_PlannedOrders[EffectiveQty],T_PlannedOrders[Part Name],$A1059,T_PlannedOrders[WeekIndex],97)=0,"",SUMIFS(T_PlannedOrders[EffectiveQty],T_PlannedOrders[Part Name],$A1059,T_PlannedOrders[WeekIndex],97)&amp;" ("&amp;TEXT(SUMPRODUCT(MAX((T_PlannedOrders[Part Name]=$A1059)*(T_PlannedOrders[WeekIndex]=97)*(T_PlannedOrders[EffectiveQty]&gt;0)*T_PlannedOrders[Order_Month])),"m月")&amp;"発注)")</f>
        <v/>
      </c>
      <c r="CW1065">
        <f>IF(SUMIFS(T_PlannedOrders[EffectiveQty],T_PlannedOrders[Part Name],$A1059,T_PlannedOrders[WeekIndex],98)=0,"",SUMIFS(T_PlannedOrders[EffectiveQty],T_PlannedOrders[Part Name],$A1059,T_PlannedOrders[WeekIndex],98)&amp;" ("&amp;TEXT(SUMPRODUCT(MAX((T_PlannedOrders[Part Name]=$A1059)*(T_PlannedOrders[WeekIndex]=98)*(T_PlannedOrders[EffectiveQty]&gt;0)*T_PlannedOrders[Order_Month])),"m月")&amp;"発注)")</f>
        <v/>
      </c>
      <c r="CX1065">
        <f>IF(SUMIFS(T_PlannedOrders[EffectiveQty],T_PlannedOrders[Part Name],$A1059,T_PlannedOrders[WeekIndex],99)=0,"",SUMIFS(T_PlannedOrders[EffectiveQty],T_PlannedOrders[Part Name],$A1059,T_PlannedOrders[WeekIndex],99)&amp;" ("&amp;TEXT(SUMPRODUCT(MAX((T_PlannedOrders[Part Name]=$A1059)*(T_PlannedOrders[WeekIndex]=99)*(T_PlannedOrders[EffectiveQty]&gt;0)*T_PlannedOrders[Order_Month])),"m月")&amp;"発注)")</f>
        <v/>
      </c>
      <c r="CY1065">
        <f>IF(SUMIFS(T_PlannedOrders[EffectiveQty],T_PlannedOrders[Part Name],$A1059,T_PlannedOrders[WeekIndex],100)=0,"",SUMIFS(T_PlannedOrders[EffectiveQty],T_PlannedOrders[Part Name],$A1059,T_PlannedOrders[WeekIndex],100)&amp;" ("&amp;TEXT(SUMPRODUCT(MAX((T_PlannedOrders[Part Name]=$A1059)*(T_PlannedOrders[WeekIndex]=100)*(T_PlannedOrders[EffectiveQty]&gt;0)*T_PlannedOrders[Order_Month])),"m月")&amp;"発注)")</f>
        <v/>
      </c>
      <c r="CZ1065">
        <f>IF(SUMIFS(T_PlannedOrders[EffectiveQty],T_PlannedOrders[Part Name],$A1059,T_PlannedOrders[WeekIndex],101)=0,"",SUMIFS(T_PlannedOrders[EffectiveQty],T_PlannedOrders[Part Name],$A1059,T_PlannedOrders[WeekIndex],101)&amp;" ("&amp;TEXT(SUMPRODUCT(MAX((T_PlannedOrders[Part Name]=$A1059)*(T_PlannedOrders[WeekIndex]=101)*(T_PlannedOrders[EffectiveQty]&gt;0)*T_PlannedOrders[Order_Month])),"m月")&amp;"発注)")</f>
        <v/>
      </c>
      <c r="DA1065">
        <f>IF(SUMIFS(T_PlannedOrders[EffectiveQty],T_PlannedOrders[Part Name],$A1059,T_PlannedOrders[WeekIndex],102)=0,"",SUMIFS(T_PlannedOrders[EffectiveQty],T_PlannedOrders[Part Name],$A1059,T_PlannedOrders[WeekIndex],102)&amp;" ("&amp;TEXT(SUMPRODUCT(MAX((T_PlannedOrders[Part Name]=$A1059)*(T_PlannedOrders[WeekIndex]=102)*(T_PlannedOrders[EffectiveQty]&gt;0)*T_PlannedOrders[Order_Month])),"m月")&amp;"発注)")</f>
        <v/>
      </c>
      <c r="DB1065">
        <f>IF(SUMIFS(T_PlannedOrders[EffectiveQty],T_PlannedOrders[Part Name],$A1059,T_PlannedOrders[WeekIndex],103)=0,"",SUMIFS(T_PlannedOrders[EffectiveQty],T_PlannedOrders[Part Name],$A1059,T_PlannedOrders[WeekIndex],103)&amp;" ("&amp;TEXT(SUMPRODUCT(MAX((T_PlannedOrders[Part Name]=$A1059)*(T_PlannedOrders[WeekIndex]=103)*(T_PlannedOrders[EffectiveQty]&gt;0)*T_PlannedOrders[Order_Month])),"m月")&amp;"発注)")</f>
        <v/>
      </c>
      <c r="DC1065">
        <f>IF(SUMIFS(T_PlannedOrders[EffectiveQty],T_PlannedOrders[Part Name],$A1059,T_PlannedOrders[WeekIndex],104)=0,"",SUMIFS(T_PlannedOrders[EffectiveQty],T_PlannedOrders[Part Name],$A1059,T_PlannedOrders[WeekIndex],104)&amp;" ("&amp;TEXT(SUMPRODUCT(MAX((T_PlannedOrders[Part Name]=$A1059)*(T_PlannedOrders[WeekIndex]=104)*(T_PlannedOrders[EffectiveQty]&gt;0)*T_PlannedOrders[Order_Month])),"m月")&amp;"発注)")</f>
        <v/>
      </c>
    </row>
    <row r="1066">
      <c r="B1066" s="4" t="inlineStr">
        <is>
          <t>合計在庫(週末時点,kg)</t>
        </is>
      </c>
      <c r="D1066">
        <f>'Grid_Stock'!B38</f>
        <v/>
      </c>
      <c r="E1066">
        <f>'Grid_Stock'!C38</f>
        <v/>
      </c>
      <c r="F1066">
        <f>'Grid_Stock'!D38</f>
        <v/>
      </c>
      <c r="G1066">
        <f>'Grid_Stock'!E38</f>
        <v/>
      </c>
      <c r="H1066">
        <f>'Grid_Stock'!F38</f>
        <v/>
      </c>
      <c r="I1066">
        <f>'Grid_Stock'!G38</f>
        <v/>
      </c>
      <c r="J1066">
        <f>'Grid_Stock'!H38</f>
        <v/>
      </c>
      <c r="K1066">
        <f>'Grid_Stock'!I38</f>
        <v/>
      </c>
      <c r="L1066">
        <f>'Grid_Stock'!J38</f>
        <v/>
      </c>
      <c r="M1066">
        <f>'Grid_Stock'!K38</f>
        <v/>
      </c>
      <c r="N1066">
        <f>'Grid_Stock'!L38</f>
        <v/>
      </c>
      <c r="O1066">
        <f>'Grid_Stock'!M38</f>
        <v/>
      </c>
      <c r="P1066">
        <f>'Grid_Stock'!N38</f>
        <v/>
      </c>
      <c r="Q1066">
        <f>'Grid_Stock'!O38</f>
        <v/>
      </c>
      <c r="R1066">
        <f>'Grid_Stock'!P38</f>
        <v/>
      </c>
      <c r="S1066">
        <f>'Grid_Stock'!Q38</f>
        <v/>
      </c>
      <c r="T1066">
        <f>'Grid_Stock'!R38</f>
        <v/>
      </c>
      <c r="U1066">
        <f>'Grid_Stock'!S38</f>
        <v/>
      </c>
      <c r="V1066">
        <f>'Grid_Stock'!T38</f>
        <v/>
      </c>
      <c r="W1066">
        <f>'Grid_Stock'!U38</f>
        <v/>
      </c>
      <c r="X1066">
        <f>'Grid_Stock'!V38</f>
        <v/>
      </c>
      <c r="Y1066">
        <f>'Grid_Stock'!W38</f>
        <v/>
      </c>
      <c r="Z1066">
        <f>'Grid_Stock'!X38</f>
        <v/>
      </c>
      <c r="AA1066">
        <f>'Grid_Stock'!Y38</f>
        <v/>
      </c>
      <c r="AB1066">
        <f>'Grid_Stock'!Z38</f>
        <v/>
      </c>
      <c r="AC1066">
        <f>'Grid_Stock'!AA38</f>
        <v/>
      </c>
      <c r="AD1066">
        <f>'Grid_Stock'!AB38</f>
        <v/>
      </c>
      <c r="AE1066">
        <f>'Grid_Stock'!AC38</f>
        <v/>
      </c>
      <c r="AF1066">
        <f>'Grid_Stock'!AD38</f>
        <v/>
      </c>
      <c r="AG1066">
        <f>'Grid_Stock'!AE38</f>
        <v/>
      </c>
      <c r="AH1066">
        <f>'Grid_Stock'!AF38</f>
        <v/>
      </c>
      <c r="AI1066">
        <f>'Grid_Stock'!AG38</f>
        <v/>
      </c>
      <c r="AJ1066">
        <f>'Grid_Stock'!AH38</f>
        <v/>
      </c>
      <c r="AK1066">
        <f>'Grid_Stock'!AI38</f>
        <v/>
      </c>
      <c r="AL1066">
        <f>'Grid_Stock'!AJ38</f>
        <v/>
      </c>
      <c r="AM1066">
        <f>'Grid_Stock'!AK38</f>
        <v/>
      </c>
      <c r="AN1066">
        <f>'Grid_Stock'!AL38</f>
        <v/>
      </c>
      <c r="AO1066">
        <f>'Grid_Stock'!AM38</f>
        <v/>
      </c>
      <c r="AP1066">
        <f>'Grid_Stock'!AN38</f>
        <v/>
      </c>
      <c r="AQ1066">
        <f>'Grid_Stock'!AO38</f>
        <v/>
      </c>
      <c r="AR1066">
        <f>'Grid_Stock'!AP38</f>
        <v/>
      </c>
      <c r="AS1066">
        <f>'Grid_Stock'!AQ38</f>
        <v/>
      </c>
      <c r="AT1066">
        <f>'Grid_Stock'!AR38</f>
        <v/>
      </c>
      <c r="AU1066">
        <f>'Grid_Stock'!AS38</f>
        <v/>
      </c>
      <c r="AV1066">
        <f>'Grid_Stock'!AT38</f>
        <v/>
      </c>
      <c r="AW1066">
        <f>'Grid_Stock'!AU38</f>
        <v/>
      </c>
      <c r="AX1066">
        <f>'Grid_Stock'!AV38</f>
        <v/>
      </c>
      <c r="AY1066">
        <f>'Grid_Stock'!AW38</f>
        <v/>
      </c>
      <c r="AZ1066">
        <f>'Grid_Stock'!AX38</f>
        <v/>
      </c>
      <c r="BA1066">
        <f>'Grid_Stock'!AY38</f>
        <v/>
      </c>
      <c r="BB1066">
        <f>'Grid_Stock'!AZ38</f>
        <v/>
      </c>
      <c r="BC1066">
        <f>'Grid_Stock'!BA38</f>
        <v/>
      </c>
      <c r="BD1066">
        <f>'Grid_Stock'!BB38</f>
        <v/>
      </c>
      <c r="BE1066">
        <f>'Grid_Stock'!BC38</f>
        <v/>
      </c>
      <c r="BF1066">
        <f>'Grid_Stock'!BD38</f>
        <v/>
      </c>
      <c r="BG1066">
        <f>'Grid_Stock'!BE38</f>
        <v/>
      </c>
      <c r="BH1066">
        <f>'Grid_Stock'!BF38</f>
        <v/>
      </c>
      <c r="BI1066">
        <f>'Grid_Stock'!BG38</f>
        <v/>
      </c>
      <c r="BJ1066">
        <f>'Grid_Stock'!BH38</f>
        <v/>
      </c>
      <c r="BK1066">
        <f>'Grid_Stock'!BI38</f>
        <v/>
      </c>
      <c r="BL1066">
        <f>'Grid_Stock'!BJ38</f>
        <v/>
      </c>
      <c r="BM1066">
        <f>'Grid_Stock'!BK38</f>
        <v/>
      </c>
      <c r="BN1066">
        <f>'Grid_Stock'!BL38</f>
        <v/>
      </c>
      <c r="BO1066">
        <f>'Grid_Stock'!BM38</f>
        <v/>
      </c>
      <c r="BP1066">
        <f>'Grid_Stock'!BN38</f>
        <v/>
      </c>
      <c r="BQ1066">
        <f>'Grid_Stock'!BO38</f>
        <v/>
      </c>
      <c r="BR1066">
        <f>'Grid_Stock'!BP38</f>
        <v/>
      </c>
      <c r="BS1066">
        <f>'Grid_Stock'!BQ38</f>
        <v/>
      </c>
      <c r="BT1066">
        <f>'Grid_Stock'!BR38</f>
        <v/>
      </c>
      <c r="BU1066">
        <f>'Grid_Stock'!BS38</f>
        <v/>
      </c>
      <c r="BV1066">
        <f>'Grid_Stock'!BT38</f>
        <v/>
      </c>
      <c r="BW1066">
        <f>'Grid_Stock'!BU38</f>
        <v/>
      </c>
      <c r="BX1066">
        <f>'Grid_Stock'!BV38</f>
        <v/>
      </c>
      <c r="BY1066">
        <f>'Grid_Stock'!BW38</f>
        <v/>
      </c>
      <c r="BZ1066">
        <f>'Grid_Stock'!BX38</f>
        <v/>
      </c>
      <c r="CA1066">
        <f>'Grid_Stock'!BY38</f>
        <v/>
      </c>
      <c r="CB1066">
        <f>'Grid_Stock'!BZ38</f>
        <v/>
      </c>
      <c r="CC1066">
        <f>'Grid_Stock'!CA38</f>
        <v/>
      </c>
      <c r="CD1066">
        <f>'Grid_Stock'!CB38</f>
        <v/>
      </c>
      <c r="CE1066">
        <f>'Grid_Stock'!CC38</f>
        <v/>
      </c>
      <c r="CF1066">
        <f>'Grid_Stock'!CD38</f>
        <v/>
      </c>
      <c r="CG1066">
        <f>'Grid_Stock'!CE38</f>
        <v/>
      </c>
      <c r="CH1066">
        <f>'Grid_Stock'!CF38</f>
        <v/>
      </c>
      <c r="CI1066">
        <f>'Grid_Stock'!CG38</f>
        <v/>
      </c>
      <c r="CJ1066">
        <f>'Grid_Stock'!CH38</f>
        <v/>
      </c>
      <c r="CK1066">
        <f>'Grid_Stock'!CI38</f>
        <v/>
      </c>
      <c r="CL1066">
        <f>'Grid_Stock'!CJ38</f>
        <v/>
      </c>
      <c r="CM1066">
        <f>'Grid_Stock'!CK38</f>
        <v/>
      </c>
      <c r="CN1066">
        <f>'Grid_Stock'!CL38</f>
        <v/>
      </c>
      <c r="CO1066">
        <f>'Grid_Stock'!CM38</f>
        <v/>
      </c>
      <c r="CP1066">
        <f>'Grid_Stock'!CN38</f>
        <v/>
      </c>
      <c r="CQ1066">
        <f>'Grid_Stock'!CO38</f>
        <v/>
      </c>
      <c r="CR1066">
        <f>'Grid_Stock'!CP38</f>
        <v/>
      </c>
      <c r="CS1066">
        <f>'Grid_Stock'!CQ38</f>
        <v/>
      </c>
      <c r="CT1066">
        <f>'Grid_Stock'!CR38</f>
        <v/>
      </c>
      <c r="CU1066">
        <f>'Grid_Stock'!CS38</f>
        <v/>
      </c>
      <c r="CV1066">
        <f>'Grid_Stock'!CT38</f>
        <v/>
      </c>
      <c r="CW1066">
        <f>'Grid_Stock'!CU38</f>
        <v/>
      </c>
      <c r="CX1066">
        <f>'Grid_Stock'!CV38</f>
        <v/>
      </c>
      <c r="CY1066">
        <f>'Grid_Stock'!CW38</f>
        <v/>
      </c>
      <c r="CZ1066">
        <f>'Grid_Stock'!CX38</f>
        <v/>
      </c>
      <c r="DA1066">
        <f>'Grid_Stock'!CY38</f>
        <v/>
      </c>
      <c r="DB1066">
        <f>'Grid_Stock'!CZ38</f>
        <v/>
      </c>
      <c r="DC1066">
        <f>'Grid_Stock'!DA38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3TP</t>
        </is>
      </c>
      <c r="B1069" s="14" t="inlineStr">
        <is>
          <t>3TP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F2290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s="4" t="inlineStr">
        <is>
          <t>合計使用量(kg)/週</t>
        </is>
      </c>
      <c r="D1072">
        <f>'Grid_Requirement'!B44</f>
        <v/>
      </c>
      <c r="E1072">
        <f>'Grid_Requirement'!C44</f>
        <v/>
      </c>
      <c r="F1072">
        <f>'Grid_Requirement'!D44</f>
        <v/>
      </c>
      <c r="G1072">
        <f>'Grid_Requirement'!E44</f>
        <v/>
      </c>
      <c r="H1072">
        <f>'Grid_Requirement'!F44</f>
        <v/>
      </c>
      <c r="I1072">
        <f>'Grid_Requirement'!G44</f>
        <v/>
      </c>
      <c r="J1072">
        <f>'Grid_Requirement'!H44</f>
        <v/>
      </c>
      <c r="K1072">
        <f>'Grid_Requirement'!I44</f>
        <v/>
      </c>
      <c r="L1072">
        <f>'Grid_Requirement'!J44</f>
        <v/>
      </c>
      <c r="M1072">
        <f>'Grid_Requirement'!K44</f>
        <v/>
      </c>
      <c r="N1072">
        <f>'Grid_Requirement'!L44</f>
        <v/>
      </c>
      <c r="O1072">
        <f>'Grid_Requirement'!M44</f>
        <v/>
      </c>
      <c r="P1072">
        <f>'Grid_Requirement'!N44</f>
        <v/>
      </c>
      <c r="Q1072">
        <f>'Grid_Requirement'!O44</f>
        <v/>
      </c>
      <c r="R1072">
        <f>'Grid_Requirement'!P44</f>
        <v/>
      </c>
      <c r="S1072">
        <f>'Grid_Requirement'!Q44</f>
        <v/>
      </c>
      <c r="T1072">
        <f>'Grid_Requirement'!R44</f>
        <v/>
      </c>
      <c r="U1072">
        <f>'Grid_Requirement'!S44</f>
        <v/>
      </c>
      <c r="V1072">
        <f>'Grid_Requirement'!T44</f>
        <v/>
      </c>
      <c r="W1072">
        <f>'Grid_Requirement'!U44</f>
        <v/>
      </c>
      <c r="X1072">
        <f>'Grid_Requirement'!V44</f>
        <v/>
      </c>
      <c r="Y1072">
        <f>'Grid_Requirement'!W44</f>
        <v/>
      </c>
      <c r="Z1072">
        <f>'Grid_Requirement'!X44</f>
        <v/>
      </c>
      <c r="AA1072">
        <f>'Grid_Requirement'!Y44</f>
        <v/>
      </c>
      <c r="AB1072">
        <f>'Grid_Requirement'!Z44</f>
        <v/>
      </c>
      <c r="AC1072">
        <f>'Grid_Requirement'!AA44</f>
        <v/>
      </c>
      <c r="AD1072">
        <f>'Grid_Requirement'!AB44</f>
        <v/>
      </c>
      <c r="AE1072">
        <f>'Grid_Requirement'!AC44</f>
        <v/>
      </c>
      <c r="AF1072">
        <f>'Grid_Requirement'!AD44</f>
        <v/>
      </c>
      <c r="AG1072">
        <f>'Grid_Requirement'!AE44</f>
        <v/>
      </c>
      <c r="AH1072">
        <f>'Grid_Requirement'!AF44</f>
        <v/>
      </c>
      <c r="AI1072">
        <f>'Grid_Requirement'!AG44</f>
        <v/>
      </c>
      <c r="AJ1072">
        <f>'Grid_Requirement'!AH44</f>
        <v/>
      </c>
      <c r="AK1072">
        <f>'Grid_Requirement'!AI44</f>
        <v/>
      </c>
      <c r="AL1072">
        <f>'Grid_Requirement'!AJ44</f>
        <v/>
      </c>
      <c r="AM1072">
        <f>'Grid_Requirement'!AK44</f>
        <v/>
      </c>
      <c r="AN1072">
        <f>'Grid_Requirement'!AL44</f>
        <v/>
      </c>
      <c r="AO1072">
        <f>'Grid_Requirement'!AM44</f>
        <v/>
      </c>
      <c r="AP1072">
        <f>'Grid_Requirement'!AN44</f>
        <v/>
      </c>
      <c r="AQ1072">
        <f>'Grid_Requirement'!AO44</f>
        <v/>
      </c>
      <c r="AR1072">
        <f>'Grid_Requirement'!AP44</f>
        <v/>
      </c>
      <c r="AS1072">
        <f>'Grid_Requirement'!AQ44</f>
        <v/>
      </c>
      <c r="AT1072">
        <f>'Grid_Requirement'!AR44</f>
        <v/>
      </c>
      <c r="AU1072">
        <f>'Grid_Requirement'!AS44</f>
        <v/>
      </c>
      <c r="AV1072">
        <f>'Grid_Requirement'!AT44</f>
        <v/>
      </c>
      <c r="AW1072">
        <f>'Grid_Requirement'!AU44</f>
        <v/>
      </c>
      <c r="AX1072">
        <f>'Grid_Requirement'!AV44</f>
        <v/>
      </c>
      <c r="AY1072">
        <f>'Grid_Requirement'!AW44</f>
        <v/>
      </c>
      <c r="AZ1072">
        <f>'Grid_Requirement'!AX44</f>
        <v/>
      </c>
      <c r="BA1072">
        <f>'Grid_Requirement'!AY44</f>
        <v/>
      </c>
      <c r="BB1072">
        <f>'Grid_Requirement'!AZ44</f>
        <v/>
      </c>
      <c r="BC1072">
        <f>'Grid_Requirement'!BA44</f>
        <v/>
      </c>
      <c r="BD1072">
        <f>'Grid_Requirement'!BB44</f>
        <v/>
      </c>
      <c r="BE1072">
        <f>'Grid_Requirement'!BC44</f>
        <v/>
      </c>
      <c r="BF1072">
        <f>'Grid_Requirement'!BD44</f>
        <v/>
      </c>
      <c r="BG1072">
        <f>'Grid_Requirement'!BE44</f>
        <v/>
      </c>
      <c r="BH1072">
        <f>'Grid_Requirement'!BF44</f>
        <v/>
      </c>
      <c r="BI1072">
        <f>'Grid_Requirement'!BG44</f>
        <v/>
      </c>
      <c r="BJ1072">
        <f>'Grid_Requirement'!BH44</f>
        <v/>
      </c>
      <c r="BK1072">
        <f>'Grid_Requirement'!BI44</f>
        <v/>
      </c>
      <c r="BL1072">
        <f>'Grid_Requirement'!BJ44</f>
        <v/>
      </c>
      <c r="BM1072">
        <f>'Grid_Requirement'!BK44</f>
        <v/>
      </c>
      <c r="BN1072">
        <f>'Grid_Requirement'!BL44</f>
        <v/>
      </c>
      <c r="BO1072">
        <f>'Grid_Requirement'!BM44</f>
        <v/>
      </c>
      <c r="BP1072">
        <f>'Grid_Requirement'!BN44</f>
        <v/>
      </c>
      <c r="BQ1072">
        <f>'Grid_Requirement'!BO44</f>
        <v/>
      </c>
      <c r="BR1072">
        <f>'Grid_Requirement'!BP44</f>
        <v/>
      </c>
      <c r="BS1072">
        <f>'Grid_Requirement'!BQ44</f>
        <v/>
      </c>
      <c r="BT1072">
        <f>'Grid_Requirement'!BR44</f>
        <v/>
      </c>
      <c r="BU1072">
        <f>'Grid_Requirement'!BS44</f>
        <v/>
      </c>
      <c r="BV1072">
        <f>'Grid_Requirement'!BT44</f>
        <v/>
      </c>
      <c r="BW1072">
        <f>'Grid_Requirement'!BU44</f>
        <v/>
      </c>
      <c r="BX1072">
        <f>'Grid_Requirement'!BV44</f>
        <v/>
      </c>
      <c r="BY1072">
        <f>'Grid_Requirement'!BW44</f>
        <v/>
      </c>
      <c r="BZ1072">
        <f>'Grid_Requirement'!BX44</f>
        <v/>
      </c>
      <c r="CA1072">
        <f>'Grid_Requirement'!BY44</f>
        <v/>
      </c>
      <c r="CB1072">
        <f>'Grid_Requirement'!BZ44</f>
        <v/>
      </c>
      <c r="CC1072">
        <f>'Grid_Requirement'!CA44</f>
        <v/>
      </c>
      <c r="CD1072">
        <f>'Grid_Requirement'!CB44</f>
        <v/>
      </c>
      <c r="CE1072">
        <f>'Grid_Requirement'!CC44</f>
        <v/>
      </c>
      <c r="CF1072">
        <f>'Grid_Requirement'!CD44</f>
        <v/>
      </c>
      <c r="CG1072">
        <f>'Grid_Requirement'!CE44</f>
        <v/>
      </c>
      <c r="CH1072">
        <f>'Grid_Requirement'!CF44</f>
        <v/>
      </c>
      <c r="CI1072">
        <f>'Grid_Requirement'!CG44</f>
        <v/>
      </c>
      <c r="CJ1072">
        <f>'Grid_Requirement'!CH44</f>
        <v/>
      </c>
      <c r="CK1072">
        <f>'Grid_Requirement'!CI44</f>
        <v/>
      </c>
      <c r="CL1072">
        <f>'Grid_Requirement'!CJ44</f>
        <v/>
      </c>
      <c r="CM1072">
        <f>'Grid_Requirement'!CK44</f>
        <v/>
      </c>
      <c r="CN1072">
        <f>'Grid_Requirement'!CL44</f>
        <v/>
      </c>
      <c r="CO1072">
        <f>'Grid_Requirement'!CM44</f>
        <v/>
      </c>
      <c r="CP1072">
        <f>'Grid_Requirement'!CN44</f>
        <v/>
      </c>
      <c r="CQ1072">
        <f>'Grid_Requirement'!CO44</f>
        <v/>
      </c>
      <c r="CR1072">
        <f>'Grid_Requirement'!CP44</f>
        <v/>
      </c>
      <c r="CS1072">
        <f>'Grid_Requirement'!CQ44</f>
        <v/>
      </c>
      <c r="CT1072">
        <f>'Grid_Requirement'!CR44</f>
        <v/>
      </c>
      <c r="CU1072">
        <f>'Grid_Requirement'!CS44</f>
        <v/>
      </c>
      <c r="CV1072">
        <f>'Grid_Requirement'!CT44</f>
        <v/>
      </c>
      <c r="CW1072">
        <f>'Grid_Requirement'!CU44</f>
        <v/>
      </c>
      <c r="CX1072">
        <f>'Grid_Requirement'!CV44</f>
        <v/>
      </c>
      <c r="CY1072">
        <f>'Grid_Requirement'!CW44</f>
        <v/>
      </c>
      <c r="CZ1072">
        <f>'Grid_Requirement'!CX44</f>
        <v/>
      </c>
      <c r="DA1072">
        <f>'Grid_Requirement'!CY44</f>
        <v/>
      </c>
      <c r="DB1072">
        <f>'Grid_Requirement'!CZ44</f>
        <v/>
      </c>
      <c r="DC1072">
        <f>'Grid_Requirement'!DA44</f>
        <v/>
      </c>
    </row>
    <row r="1073">
      <c r="B1073" t="inlineStr">
        <is>
          <t>TTAF在庫(実績,kg)</t>
        </is>
      </c>
      <c r="D1073">
        <f>'T_TTAFStock'!B48</f>
        <v/>
      </c>
      <c r="E1073">
        <f>'T_TTAFStock'!C48</f>
        <v/>
      </c>
      <c r="F1073">
        <f>'T_TTAFStock'!D48</f>
        <v/>
      </c>
      <c r="G1073">
        <f>'T_TTAFStock'!E48</f>
        <v/>
      </c>
      <c r="H1073">
        <f>'T_TTAFStock'!F48</f>
        <v/>
      </c>
      <c r="I1073">
        <f>'T_TTAFStock'!G48</f>
        <v/>
      </c>
      <c r="J1073">
        <f>'T_TTAFStock'!H48</f>
        <v/>
      </c>
      <c r="K1073">
        <f>'T_TTAFStock'!I48</f>
        <v/>
      </c>
      <c r="L1073">
        <f>'T_TTAFStock'!J48</f>
        <v/>
      </c>
      <c r="M1073">
        <f>'T_TTAFStock'!K48</f>
        <v/>
      </c>
      <c r="N1073">
        <f>'T_TTAFStock'!L48</f>
        <v/>
      </c>
      <c r="O1073">
        <f>'T_TTAFStock'!M48</f>
        <v/>
      </c>
      <c r="P1073">
        <f>'T_TTAFStock'!N48</f>
        <v/>
      </c>
      <c r="Q1073">
        <f>'T_TTAFStock'!O48</f>
        <v/>
      </c>
      <c r="R1073">
        <f>'T_TTAFStock'!P48</f>
        <v/>
      </c>
      <c r="S1073">
        <f>'T_TTAFStock'!Q48</f>
        <v/>
      </c>
      <c r="T1073">
        <f>'T_TTAFStock'!R48</f>
        <v/>
      </c>
      <c r="U1073">
        <f>'T_TTAFStock'!S48</f>
        <v/>
      </c>
      <c r="V1073">
        <f>'T_TTAFStock'!T48</f>
        <v/>
      </c>
      <c r="W1073">
        <f>'T_TTAFStock'!U48</f>
        <v/>
      </c>
      <c r="X1073">
        <f>'T_TTAFStock'!V48</f>
        <v/>
      </c>
      <c r="Y1073">
        <f>'T_TTAFStock'!W48</f>
        <v/>
      </c>
      <c r="Z1073">
        <f>'T_TTAFStock'!X48</f>
        <v/>
      </c>
      <c r="AA1073">
        <f>'T_TTAFStock'!Y48</f>
        <v/>
      </c>
      <c r="AB1073">
        <f>'T_TTAFStock'!Z48</f>
        <v/>
      </c>
      <c r="AC1073">
        <f>'T_TTAFStock'!AA48</f>
        <v/>
      </c>
      <c r="AD1073">
        <f>'T_TTAFStock'!AB48</f>
        <v/>
      </c>
      <c r="AE1073">
        <f>'T_TTAFStock'!AC48</f>
        <v/>
      </c>
      <c r="AF1073">
        <f>'T_TTAFStock'!AD48</f>
        <v/>
      </c>
      <c r="AG1073">
        <f>'T_TTAFStock'!AE48</f>
        <v/>
      </c>
      <c r="AH1073">
        <f>'T_TTAFStock'!AF48</f>
        <v/>
      </c>
      <c r="AI1073">
        <f>'T_TTAFStock'!AG48</f>
        <v/>
      </c>
      <c r="AJ1073">
        <f>'T_TTAFStock'!AH48</f>
        <v/>
      </c>
      <c r="AK1073">
        <f>'T_TTAFStock'!AI48</f>
        <v/>
      </c>
      <c r="AL1073">
        <f>'T_TTAFStock'!AJ48</f>
        <v/>
      </c>
      <c r="AM1073">
        <f>'T_TTAFStock'!AK48</f>
        <v/>
      </c>
      <c r="AN1073">
        <f>'T_TTAFStock'!AL48</f>
        <v/>
      </c>
      <c r="AO1073">
        <f>'T_TTAFStock'!AM48</f>
        <v/>
      </c>
      <c r="AP1073">
        <f>'T_TTAFStock'!AN48</f>
        <v/>
      </c>
      <c r="AQ1073">
        <f>'T_TTAFStock'!AO48</f>
        <v/>
      </c>
      <c r="AR1073">
        <f>'T_TTAFStock'!AP48</f>
        <v/>
      </c>
      <c r="AS1073">
        <f>'T_TTAFStock'!AQ48</f>
        <v/>
      </c>
      <c r="AT1073">
        <f>'T_TTAFStock'!AR48</f>
        <v/>
      </c>
      <c r="AU1073">
        <f>'T_TTAFStock'!AS48</f>
        <v/>
      </c>
      <c r="AV1073">
        <f>'T_TTAFStock'!AT48</f>
        <v/>
      </c>
      <c r="AW1073">
        <f>'T_TTAFStock'!AU48</f>
        <v/>
      </c>
      <c r="AX1073">
        <f>'T_TTAFStock'!AV48</f>
        <v/>
      </c>
      <c r="AY1073">
        <f>'T_TTAFStock'!AW48</f>
        <v/>
      </c>
      <c r="AZ1073">
        <f>'T_TTAFStock'!AX48</f>
        <v/>
      </c>
      <c r="BA1073">
        <f>'T_TTAFStock'!AY48</f>
        <v/>
      </c>
      <c r="BB1073">
        <f>'T_TTAFStock'!AZ48</f>
        <v/>
      </c>
      <c r="BC1073">
        <f>'T_TTAFStock'!BA48</f>
        <v/>
      </c>
      <c r="BD1073">
        <f>'T_TTAFStock'!BB48</f>
        <v/>
      </c>
      <c r="BE1073">
        <f>'T_TTAFStock'!BC48</f>
        <v/>
      </c>
      <c r="BF1073">
        <f>'T_TTAFStock'!BD48</f>
        <v/>
      </c>
      <c r="BG1073">
        <f>'T_TTAFStock'!BE48</f>
        <v/>
      </c>
      <c r="BH1073">
        <f>'T_TTAFStock'!BF48</f>
        <v/>
      </c>
      <c r="BI1073">
        <f>'T_TTAFStock'!BG48</f>
        <v/>
      </c>
      <c r="BJ1073">
        <f>'T_TTAFStock'!BH48</f>
        <v/>
      </c>
      <c r="BK1073">
        <f>'T_TTAFStock'!BI48</f>
        <v/>
      </c>
      <c r="BL1073">
        <f>'T_TTAFStock'!BJ48</f>
        <v/>
      </c>
      <c r="BM1073">
        <f>'T_TTAFStock'!BK48</f>
        <v/>
      </c>
      <c r="BN1073">
        <f>'T_TTAFStock'!BL48</f>
        <v/>
      </c>
      <c r="BO1073">
        <f>'T_TTAFStock'!BM48</f>
        <v/>
      </c>
      <c r="BP1073">
        <f>'T_TTAFStock'!BN48</f>
        <v/>
      </c>
      <c r="BQ1073">
        <f>'T_TTAFStock'!BO48</f>
        <v/>
      </c>
      <c r="BR1073">
        <f>'T_TTAFStock'!BP48</f>
        <v/>
      </c>
      <c r="BS1073">
        <f>'T_TTAFStock'!BQ48</f>
        <v/>
      </c>
      <c r="BT1073">
        <f>'T_TTAFStock'!BR48</f>
        <v/>
      </c>
      <c r="BU1073">
        <f>'T_TTAFStock'!BS48</f>
        <v/>
      </c>
      <c r="BV1073">
        <f>'T_TTAFStock'!BT48</f>
        <v/>
      </c>
      <c r="BW1073">
        <f>'T_TTAFStock'!BU48</f>
        <v/>
      </c>
      <c r="BX1073">
        <f>'T_TTAFStock'!BV48</f>
        <v/>
      </c>
      <c r="BY1073">
        <f>'T_TTAFStock'!BW48</f>
        <v/>
      </c>
      <c r="BZ1073">
        <f>'T_TTAFStock'!BX48</f>
        <v/>
      </c>
      <c r="CA1073">
        <f>'T_TTAFStock'!BY48</f>
        <v/>
      </c>
      <c r="CB1073">
        <f>'T_TTAFStock'!BZ48</f>
        <v/>
      </c>
      <c r="CC1073">
        <f>'T_TTAFStock'!CA48</f>
        <v/>
      </c>
      <c r="CD1073">
        <f>'T_TTAFStock'!CB48</f>
        <v/>
      </c>
      <c r="CE1073">
        <f>'T_TTAFStock'!CC48</f>
        <v/>
      </c>
      <c r="CF1073">
        <f>'T_TTAFStock'!CD48</f>
        <v/>
      </c>
      <c r="CG1073">
        <f>'T_TTAFStock'!CE48</f>
        <v/>
      </c>
      <c r="CH1073">
        <f>'T_TTAFStock'!CF48</f>
        <v/>
      </c>
      <c r="CI1073">
        <f>'T_TTAFStock'!CG48</f>
        <v/>
      </c>
      <c r="CJ1073">
        <f>'T_TTAFStock'!CH48</f>
        <v/>
      </c>
      <c r="CK1073">
        <f>'T_TTAFStock'!CI48</f>
        <v/>
      </c>
      <c r="CL1073">
        <f>'T_TTAFStock'!CJ48</f>
        <v/>
      </c>
      <c r="CM1073">
        <f>'T_TTAFStock'!CK48</f>
        <v/>
      </c>
      <c r="CN1073">
        <f>'T_TTAFStock'!CL48</f>
        <v/>
      </c>
      <c r="CO1073">
        <f>'T_TTAFStock'!CM48</f>
        <v/>
      </c>
      <c r="CP1073">
        <f>'T_TTAFStock'!CN48</f>
        <v/>
      </c>
      <c r="CQ1073">
        <f>'T_TTAFStock'!CO48</f>
        <v/>
      </c>
      <c r="CR1073">
        <f>'T_TTAFStock'!CP48</f>
        <v/>
      </c>
      <c r="CS1073">
        <f>'T_TTAFStock'!CQ48</f>
        <v/>
      </c>
      <c r="CT1073">
        <f>'T_TTAFStock'!CR48</f>
        <v/>
      </c>
      <c r="CU1073">
        <f>'T_TTAFStock'!CS48</f>
        <v/>
      </c>
      <c r="CV1073">
        <f>'T_TTAFStock'!CT48</f>
        <v/>
      </c>
      <c r="CW1073">
        <f>'T_TTAFStock'!CU48</f>
        <v/>
      </c>
      <c r="CX1073">
        <f>'T_TTAFStock'!CV48</f>
        <v/>
      </c>
      <c r="CY1073">
        <f>'T_TTAFStock'!CW48</f>
        <v/>
      </c>
      <c r="CZ1073">
        <f>'T_TTAFStock'!CX48</f>
        <v/>
      </c>
      <c r="DA1073">
        <f>'T_TTAFStock'!CY48</f>
        <v/>
      </c>
      <c r="DB1073">
        <f>'T_TTAFStock'!CZ48</f>
        <v/>
      </c>
      <c r="DC1073">
        <f>'T_TTAFStock'!DA48</f>
        <v/>
      </c>
    </row>
    <row r="1074">
      <c r="B1074" t="inlineStr">
        <is>
          <t>自社在庫(実績,kg)</t>
        </is>
      </c>
      <c r="D1074">
        <f>'T_SelfStock'!B48</f>
        <v/>
      </c>
      <c r="E1074">
        <f>'T_SelfStock'!C48</f>
        <v/>
      </c>
      <c r="F1074">
        <f>'T_SelfStock'!D48</f>
        <v/>
      </c>
      <c r="G1074">
        <f>'T_SelfStock'!E48</f>
        <v/>
      </c>
      <c r="H1074">
        <f>'T_SelfStock'!F48</f>
        <v/>
      </c>
      <c r="I1074">
        <f>'T_SelfStock'!G48</f>
        <v/>
      </c>
      <c r="J1074">
        <f>'T_SelfStock'!H48</f>
        <v/>
      </c>
      <c r="K1074">
        <f>'T_SelfStock'!I48</f>
        <v/>
      </c>
      <c r="L1074">
        <f>'T_SelfStock'!J48</f>
        <v/>
      </c>
      <c r="M1074">
        <f>'T_SelfStock'!K48</f>
        <v/>
      </c>
      <c r="N1074">
        <f>'T_SelfStock'!L48</f>
        <v/>
      </c>
      <c r="O1074">
        <f>'T_SelfStock'!M48</f>
        <v/>
      </c>
      <c r="P1074">
        <f>'T_SelfStock'!N48</f>
        <v/>
      </c>
      <c r="Q1074">
        <f>'T_SelfStock'!O48</f>
        <v/>
      </c>
      <c r="R1074">
        <f>'T_SelfStock'!P48</f>
        <v/>
      </c>
      <c r="S1074">
        <f>'T_SelfStock'!Q48</f>
        <v/>
      </c>
      <c r="T1074">
        <f>'T_SelfStock'!R48</f>
        <v/>
      </c>
      <c r="U1074">
        <f>'T_SelfStock'!S48</f>
        <v/>
      </c>
      <c r="V1074">
        <f>'T_SelfStock'!T48</f>
        <v/>
      </c>
      <c r="W1074">
        <f>'T_SelfStock'!U48</f>
        <v/>
      </c>
      <c r="X1074">
        <f>'T_SelfStock'!V48</f>
        <v/>
      </c>
      <c r="Y1074">
        <f>'T_SelfStock'!W48</f>
        <v/>
      </c>
      <c r="Z1074">
        <f>'T_SelfStock'!X48</f>
        <v/>
      </c>
      <c r="AA1074">
        <f>'T_SelfStock'!Y48</f>
        <v/>
      </c>
      <c r="AB1074">
        <f>'T_SelfStock'!Z48</f>
        <v/>
      </c>
      <c r="AC1074">
        <f>'T_SelfStock'!AA48</f>
        <v/>
      </c>
      <c r="AD1074">
        <f>'T_SelfStock'!AB48</f>
        <v/>
      </c>
      <c r="AE1074">
        <f>'T_SelfStock'!AC48</f>
        <v/>
      </c>
      <c r="AF1074">
        <f>'T_SelfStock'!AD48</f>
        <v/>
      </c>
      <c r="AG1074">
        <f>'T_SelfStock'!AE48</f>
        <v/>
      </c>
      <c r="AH1074">
        <f>'T_SelfStock'!AF48</f>
        <v/>
      </c>
      <c r="AI1074">
        <f>'T_SelfStock'!AG48</f>
        <v/>
      </c>
      <c r="AJ1074">
        <f>'T_SelfStock'!AH48</f>
        <v/>
      </c>
      <c r="AK1074">
        <f>'T_SelfStock'!AI48</f>
        <v/>
      </c>
      <c r="AL1074">
        <f>'T_SelfStock'!AJ48</f>
        <v/>
      </c>
      <c r="AM1074">
        <f>'T_SelfStock'!AK48</f>
        <v/>
      </c>
      <c r="AN1074">
        <f>'T_SelfStock'!AL48</f>
        <v/>
      </c>
      <c r="AO1074">
        <f>'T_SelfStock'!AM48</f>
        <v/>
      </c>
      <c r="AP1074">
        <f>'T_SelfStock'!AN48</f>
        <v/>
      </c>
      <c r="AQ1074">
        <f>'T_SelfStock'!AO48</f>
        <v/>
      </c>
      <c r="AR1074">
        <f>'T_SelfStock'!AP48</f>
        <v/>
      </c>
      <c r="AS1074">
        <f>'T_SelfStock'!AQ48</f>
        <v/>
      </c>
      <c r="AT1074">
        <f>'T_SelfStock'!AR48</f>
        <v/>
      </c>
      <c r="AU1074">
        <f>'T_SelfStock'!AS48</f>
        <v/>
      </c>
      <c r="AV1074">
        <f>'T_SelfStock'!AT48</f>
        <v/>
      </c>
      <c r="AW1074">
        <f>'T_SelfStock'!AU48</f>
        <v/>
      </c>
      <c r="AX1074">
        <f>'T_SelfStock'!AV48</f>
        <v/>
      </c>
      <c r="AY1074">
        <f>'T_SelfStock'!AW48</f>
        <v/>
      </c>
      <c r="AZ1074">
        <f>'T_SelfStock'!AX48</f>
        <v/>
      </c>
      <c r="BA1074">
        <f>'T_SelfStock'!AY48</f>
        <v/>
      </c>
      <c r="BB1074">
        <f>'T_SelfStock'!AZ48</f>
        <v/>
      </c>
      <c r="BC1074">
        <f>'T_SelfStock'!BA48</f>
        <v/>
      </c>
      <c r="BD1074">
        <f>'T_SelfStock'!BB48</f>
        <v/>
      </c>
      <c r="BE1074">
        <f>'T_SelfStock'!BC48</f>
        <v/>
      </c>
      <c r="BF1074">
        <f>'T_SelfStock'!BD48</f>
        <v/>
      </c>
      <c r="BG1074">
        <f>'T_SelfStock'!BE48</f>
        <v/>
      </c>
      <c r="BH1074">
        <f>'T_SelfStock'!BF48</f>
        <v/>
      </c>
      <c r="BI1074">
        <f>'T_SelfStock'!BG48</f>
        <v/>
      </c>
      <c r="BJ1074">
        <f>'T_SelfStock'!BH48</f>
        <v/>
      </c>
      <c r="BK1074">
        <f>'T_SelfStock'!BI48</f>
        <v/>
      </c>
      <c r="BL1074">
        <f>'T_SelfStock'!BJ48</f>
        <v/>
      </c>
      <c r="BM1074">
        <f>'T_SelfStock'!BK48</f>
        <v/>
      </c>
      <c r="BN1074">
        <f>'T_SelfStock'!BL48</f>
        <v/>
      </c>
      <c r="BO1074">
        <f>'T_SelfStock'!BM48</f>
        <v/>
      </c>
      <c r="BP1074">
        <f>'T_SelfStock'!BN48</f>
        <v/>
      </c>
      <c r="BQ1074">
        <f>'T_SelfStock'!BO48</f>
        <v/>
      </c>
      <c r="BR1074">
        <f>'T_SelfStock'!BP48</f>
        <v/>
      </c>
      <c r="BS1074">
        <f>'T_SelfStock'!BQ48</f>
        <v/>
      </c>
      <c r="BT1074">
        <f>'T_SelfStock'!BR48</f>
        <v/>
      </c>
      <c r="BU1074">
        <f>'T_SelfStock'!BS48</f>
        <v/>
      </c>
      <c r="BV1074">
        <f>'T_SelfStock'!BT48</f>
        <v/>
      </c>
      <c r="BW1074">
        <f>'T_SelfStock'!BU48</f>
        <v/>
      </c>
      <c r="BX1074">
        <f>'T_SelfStock'!BV48</f>
        <v/>
      </c>
      <c r="BY1074">
        <f>'T_SelfStock'!BW48</f>
        <v/>
      </c>
      <c r="BZ1074">
        <f>'T_SelfStock'!BX48</f>
        <v/>
      </c>
      <c r="CA1074">
        <f>'T_SelfStock'!BY48</f>
        <v/>
      </c>
      <c r="CB1074">
        <f>'T_SelfStock'!BZ48</f>
        <v/>
      </c>
      <c r="CC1074">
        <f>'T_SelfStock'!CA48</f>
        <v/>
      </c>
      <c r="CD1074">
        <f>'T_SelfStock'!CB48</f>
        <v/>
      </c>
      <c r="CE1074">
        <f>'T_SelfStock'!CC48</f>
        <v/>
      </c>
      <c r="CF1074">
        <f>'T_SelfStock'!CD48</f>
        <v/>
      </c>
      <c r="CG1074">
        <f>'T_SelfStock'!CE48</f>
        <v/>
      </c>
      <c r="CH1074">
        <f>'T_SelfStock'!CF48</f>
        <v/>
      </c>
      <c r="CI1074">
        <f>'T_SelfStock'!CG48</f>
        <v/>
      </c>
      <c r="CJ1074">
        <f>'T_SelfStock'!CH48</f>
        <v/>
      </c>
      <c r="CK1074">
        <f>'T_SelfStock'!CI48</f>
        <v/>
      </c>
      <c r="CL1074">
        <f>'T_SelfStock'!CJ48</f>
        <v/>
      </c>
      <c r="CM1074">
        <f>'T_SelfStock'!CK48</f>
        <v/>
      </c>
      <c r="CN1074">
        <f>'T_SelfStock'!CL48</f>
        <v/>
      </c>
      <c r="CO1074">
        <f>'T_SelfStock'!CM48</f>
        <v/>
      </c>
      <c r="CP1074">
        <f>'T_SelfStock'!CN48</f>
        <v/>
      </c>
      <c r="CQ1074">
        <f>'T_SelfStock'!CO48</f>
        <v/>
      </c>
      <c r="CR1074">
        <f>'T_SelfStock'!CP48</f>
        <v/>
      </c>
      <c r="CS1074">
        <f>'T_SelfStock'!CQ48</f>
        <v/>
      </c>
      <c r="CT1074">
        <f>'T_SelfStock'!CR48</f>
        <v/>
      </c>
      <c r="CU1074">
        <f>'T_SelfStock'!CS48</f>
        <v/>
      </c>
      <c r="CV1074">
        <f>'T_SelfStock'!CT48</f>
        <v/>
      </c>
      <c r="CW1074">
        <f>'T_SelfStock'!CU48</f>
        <v/>
      </c>
      <c r="CX1074">
        <f>'T_SelfStock'!CV48</f>
        <v/>
      </c>
      <c r="CY1074">
        <f>'T_SelfStock'!CW48</f>
        <v/>
      </c>
      <c r="CZ1074">
        <f>'T_SelfStock'!CX48</f>
        <v/>
      </c>
      <c r="DA1074">
        <f>'T_SelfStock'!CY48</f>
        <v/>
      </c>
      <c r="DB1074">
        <f>'T_SelfStock'!CZ48</f>
        <v/>
      </c>
      <c r="DC1074">
        <f>'T_SelfStock'!DA48</f>
        <v/>
      </c>
    </row>
    <row r="1075">
      <c r="B1075" t="inlineStr">
        <is>
          <t>Order(発注予定,kg)</t>
        </is>
      </c>
      <c r="D1075">
        <f>IF(SUMIFS(T_PlannedOrders[EffectiveQty],T_PlannedOrders[Part Name],$A1069,T_PlannedOrders[WeekIndex],1)=0,"",SUMIFS(T_PlannedOrders[EffectiveQty],T_PlannedOrders[Part Name],$A1069,T_PlannedOrders[WeekIndex],1)&amp;" ("&amp;TEXT(SUMPRODUCT(MAX((T_PlannedOrders[Part Name]=$A1069)*(T_PlannedOrders[WeekIndex]=1)*(T_PlannedOrders[EffectiveQty]&gt;0)*T_PlannedOrders[Order_Month])),"m月")&amp;"発注)")</f>
        <v/>
      </c>
      <c r="E1075">
        <f>IF(SUMIFS(T_PlannedOrders[EffectiveQty],T_PlannedOrders[Part Name],$A1069,T_PlannedOrders[WeekIndex],2)=0,"",SUMIFS(T_PlannedOrders[EffectiveQty],T_PlannedOrders[Part Name],$A1069,T_PlannedOrders[WeekIndex],2)&amp;" ("&amp;TEXT(SUMPRODUCT(MAX((T_PlannedOrders[Part Name]=$A1069)*(T_PlannedOrders[WeekIndex]=2)*(T_PlannedOrders[EffectiveQty]&gt;0)*T_PlannedOrders[Order_Month])),"m月")&amp;"発注)")</f>
        <v/>
      </c>
      <c r="F1075">
        <f>IF(SUMIFS(T_PlannedOrders[EffectiveQty],T_PlannedOrders[Part Name],$A1069,T_PlannedOrders[WeekIndex],3)=0,"",SUMIFS(T_PlannedOrders[EffectiveQty],T_PlannedOrders[Part Name],$A1069,T_PlannedOrders[WeekIndex],3)&amp;" ("&amp;TEXT(SUMPRODUCT(MAX((T_PlannedOrders[Part Name]=$A1069)*(T_PlannedOrders[WeekIndex]=3)*(T_PlannedOrders[EffectiveQty]&gt;0)*T_PlannedOrders[Order_Month])),"m月")&amp;"発注)")</f>
        <v/>
      </c>
      <c r="G1075">
        <f>IF(SUMIFS(T_PlannedOrders[EffectiveQty],T_PlannedOrders[Part Name],$A1069,T_PlannedOrders[WeekIndex],4)=0,"",SUMIFS(T_PlannedOrders[EffectiveQty],T_PlannedOrders[Part Name],$A1069,T_PlannedOrders[WeekIndex],4)&amp;" ("&amp;TEXT(SUMPRODUCT(MAX((T_PlannedOrders[Part Name]=$A1069)*(T_PlannedOrders[WeekIndex]=4)*(T_PlannedOrders[EffectiveQty]&gt;0)*T_PlannedOrders[Order_Month])),"m月")&amp;"発注)")</f>
        <v/>
      </c>
      <c r="H1075">
        <f>IF(SUMIFS(T_PlannedOrders[EffectiveQty],T_PlannedOrders[Part Name],$A1069,T_PlannedOrders[WeekIndex],5)=0,"",SUMIFS(T_PlannedOrders[EffectiveQty],T_PlannedOrders[Part Name],$A1069,T_PlannedOrders[WeekIndex],5)&amp;" ("&amp;TEXT(SUMPRODUCT(MAX((T_PlannedOrders[Part Name]=$A1069)*(T_PlannedOrders[WeekIndex]=5)*(T_PlannedOrders[EffectiveQty]&gt;0)*T_PlannedOrders[Order_Month])),"m月")&amp;"発注)")</f>
        <v/>
      </c>
      <c r="I1075">
        <f>IF(SUMIFS(T_PlannedOrders[EffectiveQty],T_PlannedOrders[Part Name],$A1069,T_PlannedOrders[WeekIndex],6)=0,"",SUMIFS(T_PlannedOrders[EffectiveQty],T_PlannedOrders[Part Name],$A1069,T_PlannedOrders[WeekIndex],6)&amp;" ("&amp;TEXT(SUMPRODUCT(MAX((T_PlannedOrders[Part Name]=$A1069)*(T_PlannedOrders[WeekIndex]=6)*(T_PlannedOrders[EffectiveQty]&gt;0)*T_PlannedOrders[Order_Month])),"m月")&amp;"発注)")</f>
        <v/>
      </c>
      <c r="J1075">
        <f>IF(SUMIFS(T_PlannedOrders[EffectiveQty],T_PlannedOrders[Part Name],$A1069,T_PlannedOrders[WeekIndex],7)=0,"",SUMIFS(T_PlannedOrders[EffectiveQty],T_PlannedOrders[Part Name],$A1069,T_PlannedOrders[WeekIndex],7)&amp;" ("&amp;TEXT(SUMPRODUCT(MAX((T_PlannedOrders[Part Name]=$A1069)*(T_PlannedOrders[WeekIndex]=7)*(T_PlannedOrders[EffectiveQty]&gt;0)*T_PlannedOrders[Order_Month])),"m月")&amp;"発注)")</f>
        <v/>
      </c>
      <c r="K1075">
        <f>IF(SUMIFS(T_PlannedOrders[EffectiveQty],T_PlannedOrders[Part Name],$A1069,T_PlannedOrders[WeekIndex],8)=0,"",SUMIFS(T_PlannedOrders[EffectiveQty],T_PlannedOrders[Part Name],$A1069,T_PlannedOrders[WeekIndex],8)&amp;" ("&amp;TEXT(SUMPRODUCT(MAX((T_PlannedOrders[Part Name]=$A1069)*(T_PlannedOrders[WeekIndex]=8)*(T_PlannedOrders[EffectiveQty]&gt;0)*T_PlannedOrders[Order_Month])),"m月")&amp;"発注)")</f>
        <v/>
      </c>
      <c r="L1075">
        <f>IF(SUMIFS(T_PlannedOrders[EffectiveQty],T_PlannedOrders[Part Name],$A1069,T_PlannedOrders[WeekIndex],9)=0,"",SUMIFS(T_PlannedOrders[EffectiveQty],T_PlannedOrders[Part Name],$A1069,T_PlannedOrders[WeekIndex],9)&amp;" ("&amp;TEXT(SUMPRODUCT(MAX((T_PlannedOrders[Part Name]=$A1069)*(T_PlannedOrders[WeekIndex]=9)*(T_PlannedOrders[EffectiveQty]&gt;0)*T_PlannedOrders[Order_Month])),"m月")&amp;"発注)")</f>
        <v/>
      </c>
      <c r="M1075">
        <f>IF(SUMIFS(T_PlannedOrders[EffectiveQty],T_PlannedOrders[Part Name],$A1069,T_PlannedOrders[WeekIndex],10)=0,"",SUMIFS(T_PlannedOrders[EffectiveQty],T_PlannedOrders[Part Name],$A1069,T_PlannedOrders[WeekIndex],10)&amp;" ("&amp;TEXT(SUMPRODUCT(MAX((T_PlannedOrders[Part Name]=$A1069)*(T_PlannedOrders[WeekIndex]=10)*(T_PlannedOrders[EffectiveQty]&gt;0)*T_PlannedOrders[Order_Month])),"m月")&amp;"発注)")</f>
        <v/>
      </c>
      <c r="N1075">
        <f>IF(SUMIFS(T_PlannedOrders[EffectiveQty],T_PlannedOrders[Part Name],$A1069,T_PlannedOrders[WeekIndex],11)=0,"",SUMIFS(T_PlannedOrders[EffectiveQty],T_PlannedOrders[Part Name],$A1069,T_PlannedOrders[WeekIndex],11)&amp;" ("&amp;TEXT(SUMPRODUCT(MAX((T_PlannedOrders[Part Name]=$A1069)*(T_PlannedOrders[WeekIndex]=11)*(T_PlannedOrders[EffectiveQty]&gt;0)*T_PlannedOrders[Order_Month])),"m月")&amp;"発注)")</f>
        <v/>
      </c>
      <c r="O1075">
        <f>IF(SUMIFS(T_PlannedOrders[EffectiveQty],T_PlannedOrders[Part Name],$A1069,T_PlannedOrders[WeekIndex],12)=0,"",SUMIFS(T_PlannedOrders[EffectiveQty],T_PlannedOrders[Part Name],$A1069,T_PlannedOrders[WeekIndex],12)&amp;" ("&amp;TEXT(SUMPRODUCT(MAX((T_PlannedOrders[Part Name]=$A1069)*(T_PlannedOrders[WeekIndex]=12)*(T_PlannedOrders[EffectiveQty]&gt;0)*T_PlannedOrders[Order_Month])),"m月")&amp;"発注)")</f>
        <v/>
      </c>
      <c r="P1075">
        <f>IF(SUMIFS(T_PlannedOrders[EffectiveQty],T_PlannedOrders[Part Name],$A1069,T_PlannedOrders[WeekIndex],13)=0,"",SUMIFS(T_PlannedOrders[EffectiveQty],T_PlannedOrders[Part Name],$A1069,T_PlannedOrders[WeekIndex],13)&amp;" ("&amp;TEXT(SUMPRODUCT(MAX((T_PlannedOrders[Part Name]=$A1069)*(T_PlannedOrders[WeekIndex]=13)*(T_PlannedOrders[EffectiveQty]&gt;0)*T_PlannedOrders[Order_Month])),"m月")&amp;"発注)")</f>
        <v/>
      </c>
      <c r="Q1075">
        <f>IF(SUMIFS(T_PlannedOrders[EffectiveQty],T_PlannedOrders[Part Name],$A1069,T_PlannedOrders[WeekIndex],14)=0,"",SUMIFS(T_PlannedOrders[EffectiveQty],T_PlannedOrders[Part Name],$A1069,T_PlannedOrders[WeekIndex],14)&amp;" ("&amp;TEXT(SUMPRODUCT(MAX((T_PlannedOrders[Part Name]=$A1069)*(T_PlannedOrders[WeekIndex]=14)*(T_PlannedOrders[EffectiveQty]&gt;0)*T_PlannedOrders[Order_Month])),"m月")&amp;"発注)")</f>
        <v/>
      </c>
      <c r="R1075">
        <f>IF(SUMIFS(T_PlannedOrders[EffectiveQty],T_PlannedOrders[Part Name],$A1069,T_PlannedOrders[WeekIndex],15)=0,"",SUMIFS(T_PlannedOrders[EffectiveQty],T_PlannedOrders[Part Name],$A1069,T_PlannedOrders[WeekIndex],15)&amp;" ("&amp;TEXT(SUMPRODUCT(MAX((T_PlannedOrders[Part Name]=$A1069)*(T_PlannedOrders[WeekIndex]=15)*(T_PlannedOrders[EffectiveQty]&gt;0)*T_PlannedOrders[Order_Month])),"m月")&amp;"発注)")</f>
        <v/>
      </c>
      <c r="S1075">
        <f>IF(SUMIFS(T_PlannedOrders[EffectiveQty],T_PlannedOrders[Part Name],$A1069,T_PlannedOrders[WeekIndex],16)=0,"",SUMIFS(T_PlannedOrders[EffectiveQty],T_PlannedOrders[Part Name],$A1069,T_PlannedOrders[WeekIndex],16)&amp;" ("&amp;TEXT(SUMPRODUCT(MAX((T_PlannedOrders[Part Name]=$A1069)*(T_PlannedOrders[WeekIndex]=16)*(T_PlannedOrders[EffectiveQty]&gt;0)*T_PlannedOrders[Order_Month])),"m月")&amp;"発注)")</f>
        <v/>
      </c>
      <c r="T1075">
        <f>IF(SUMIFS(T_PlannedOrders[EffectiveQty],T_PlannedOrders[Part Name],$A1069,T_PlannedOrders[WeekIndex],17)=0,"",SUMIFS(T_PlannedOrders[EffectiveQty],T_PlannedOrders[Part Name],$A1069,T_PlannedOrders[WeekIndex],17)&amp;" ("&amp;TEXT(SUMPRODUCT(MAX((T_PlannedOrders[Part Name]=$A1069)*(T_PlannedOrders[WeekIndex]=17)*(T_PlannedOrders[EffectiveQty]&gt;0)*T_PlannedOrders[Order_Month])),"m月")&amp;"発注)")</f>
        <v/>
      </c>
      <c r="U1075">
        <f>IF(SUMIFS(T_PlannedOrders[EffectiveQty],T_PlannedOrders[Part Name],$A1069,T_PlannedOrders[WeekIndex],18)=0,"",SUMIFS(T_PlannedOrders[EffectiveQty],T_PlannedOrders[Part Name],$A1069,T_PlannedOrders[WeekIndex],18)&amp;" ("&amp;TEXT(SUMPRODUCT(MAX((T_PlannedOrders[Part Name]=$A1069)*(T_PlannedOrders[WeekIndex]=18)*(T_PlannedOrders[EffectiveQty]&gt;0)*T_PlannedOrders[Order_Month])),"m月")&amp;"発注)")</f>
        <v/>
      </c>
      <c r="V1075">
        <f>IF(SUMIFS(T_PlannedOrders[EffectiveQty],T_PlannedOrders[Part Name],$A1069,T_PlannedOrders[WeekIndex],19)=0,"",SUMIFS(T_PlannedOrders[EffectiveQty],T_PlannedOrders[Part Name],$A1069,T_PlannedOrders[WeekIndex],19)&amp;" ("&amp;TEXT(SUMPRODUCT(MAX((T_PlannedOrders[Part Name]=$A1069)*(T_PlannedOrders[WeekIndex]=19)*(T_PlannedOrders[EffectiveQty]&gt;0)*T_PlannedOrders[Order_Month])),"m月")&amp;"発注)")</f>
        <v/>
      </c>
      <c r="W1075">
        <f>IF(SUMIFS(T_PlannedOrders[EffectiveQty],T_PlannedOrders[Part Name],$A1069,T_PlannedOrders[WeekIndex],20)=0,"",SUMIFS(T_PlannedOrders[EffectiveQty],T_PlannedOrders[Part Name],$A1069,T_PlannedOrders[WeekIndex],20)&amp;" ("&amp;TEXT(SUMPRODUCT(MAX((T_PlannedOrders[Part Name]=$A1069)*(T_PlannedOrders[WeekIndex]=20)*(T_PlannedOrders[EffectiveQty]&gt;0)*T_PlannedOrders[Order_Month])),"m月")&amp;"発注)")</f>
        <v/>
      </c>
      <c r="X1075">
        <f>IF(SUMIFS(T_PlannedOrders[EffectiveQty],T_PlannedOrders[Part Name],$A1069,T_PlannedOrders[WeekIndex],21)=0,"",SUMIFS(T_PlannedOrders[EffectiveQty],T_PlannedOrders[Part Name],$A1069,T_PlannedOrders[WeekIndex],21)&amp;" ("&amp;TEXT(SUMPRODUCT(MAX((T_PlannedOrders[Part Name]=$A1069)*(T_PlannedOrders[WeekIndex]=21)*(T_PlannedOrders[EffectiveQty]&gt;0)*T_PlannedOrders[Order_Month])),"m月")&amp;"発注)")</f>
        <v/>
      </c>
      <c r="Y1075">
        <f>IF(SUMIFS(T_PlannedOrders[EffectiveQty],T_PlannedOrders[Part Name],$A1069,T_PlannedOrders[WeekIndex],22)=0,"",SUMIFS(T_PlannedOrders[EffectiveQty],T_PlannedOrders[Part Name],$A1069,T_PlannedOrders[WeekIndex],22)&amp;" ("&amp;TEXT(SUMPRODUCT(MAX((T_PlannedOrders[Part Name]=$A1069)*(T_PlannedOrders[WeekIndex]=22)*(T_PlannedOrders[EffectiveQty]&gt;0)*T_PlannedOrders[Order_Month])),"m月")&amp;"発注)")</f>
        <v/>
      </c>
      <c r="Z1075">
        <f>IF(SUMIFS(T_PlannedOrders[EffectiveQty],T_PlannedOrders[Part Name],$A1069,T_PlannedOrders[WeekIndex],23)=0,"",SUMIFS(T_PlannedOrders[EffectiveQty],T_PlannedOrders[Part Name],$A1069,T_PlannedOrders[WeekIndex],23)&amp;" ("&amp;TEXT(SUMPRODUCT(MAX((T_PlannedOrders[Part Name]=$A1069)*(T_PlannedOrders[WeekIndex]=23)*(T_PlannedOrders[EffectiveQty]&gt;0)*T_PlannedOrders[Order_Month])),"m月")&amp;"発注)")</f>
        <v/>
      </c>
      <c r="AA1075">
        <f>IF(SUMIFS(T_PlannedOrders[EffectiveQty],T_PlannedOrders[Part Name],$A1069,T_PlannedOrders[WeekIndex],24)=0,"",SUMIFS(T_PlannedOrders[EffectiveQty],T_PlannedOrders[Part Name],$A1069,T_PlannedOrders[WeekIndex],24)&amp;" ("&amp;TEXT(SUMPRODUCT(MAX((T_PlannedOrders[Part Name]=$A1069)*(T_PlannedOrders[WeekIndex]=24)*(T_PlannedOrders[EffectiveQty]&gt;0)*T_PlannedOrders[Order_Month])),"m月")&amp;"発注)")</f>
        <v/>
      </c>
      <c r="AB1075">
        <f>IF(SUMIFS(T_PlannedOrders[EffectiveQty],T_PlannedOrders[Part Name],$A1069,T_PlannedOrders[WeekIndex],25)=0,"",SUMIFS(T_PlannedOrders[EffectiveQty],T_PlannedOrders[Part Name],$A1069,T_PlannedOrders[WeekIndex],25)&amp;" ("&amp;TEXT(SUMPRODUCT(MAX((T_PlannedOrders[Part Name]=$A1069)*(T_PlannedOrders[WeekIndex]=25)*(T_PlannedOrders[EffectiveQty]&gt;0)*T_PlannedOrders[Order_Month])),"m月")&amp;"発注)")</f>
        <v/>
      </c>
      <c r="AC1075">
        <f>IF(SUMIFS(T_PlannedOrders[EffectiveQty],T_PlannedOrders[Part Name],$A1069,T_PlannedOrders[WeekIndex],26)=0,"",SUMIFS(T_PlannedOrders[EffectiveQty],T_PlannedOrders[Part Name],$A1069,T_PlannedOrders[WeekIndex],26)&amp;" ("&amp;TEXT(SUMPRODUCT(MAX((T_PlannedOrders[Part Name]=$A1069)*(T_PlannedOrders[WeekIndex]=26)*(T_PlannedOrders[EffectiveQty]&gt;0)*T_PlannedOrders[Order_Month])),"m月")&amp;"発注)")</f>
        <v/>
      </c>
      <c r="AD1075">
        <f>IF(SUMIFS(T_PlannedOrders[EffectiveQty],T_PlannedOrders[Part Name],$A1069,T_PlannedOrders[WeekIndex],27)=0,"",SUMIFS(T_PlannedOrders[EffectiveQty],T_PlannedOrders[Part Name],$A1069,T_PlannedOrders[WeekIndex],27)&amp;" ("&amp;TEXT(SUMPRODUCT(MAX((T_PlannedOrders[Part Name]=$A1069)*(T_PlannedOrders[WeekIndex]=27)*(T_PlannedOrders[EffectiveQty]&gt;0)*T_PlannedOrders[Order_Month])),"m月")&amp;"発注)")</f>
        <v/>
      </c>
      <c r="AE1075">
        <f>IF(SUMIFS(T_PlannedOrders[EffectiveQty],T_PlannedOrders[Part Name],$A1069,T_PlannedOrders[WeekIndex],28)=0,"",SUMIFS(T_PlannedOrders[EffectiveQty],T_PlannedOrders[Part Name],$A1069,T_PlannedOrders[WeekIndex],28)&amp;" ("&amp;TEXT(SUMPRODUCT(MAX((T_PlannedOrders[Part Name]=$A1069)*(T_PlannedOrders[WeekIndex]=28)*(T_PlannedOrders[EffectiveQty]&gt;0)*T_PlannedOrders[Order_Month])),"m月")&amp;"発注)")</f>
        <v/>
      </c>
      <c r="AF1075">
        <f>IF(SUMIFS(T_PlannedOrders[EffectiveQty],T_PlannedOrders[Part Name],$A1069,T_PlannedOrders[WeekIndex],29)=0,"",SUMIFS(T_PlannedOrders[EffectiveQty],T_PlannedOrders[Part Name],$A1069,T_PlannedOrders[WeekIndex],29)&amp;" ("&amp;TEXT(SUMPRODUCT(MAX((T_PlannedOrders[Part Name]=$A1069)*(T_PlannedOrders[WeekIndex]=29)*(T_PlannedOrders[EffectiveQty]&gt;0)*T_PlannedOrders[Order_Month])),"m月")&amp;"発注)")</f>
        <v/>
      </c>
      <c r="AG1075">
        <f>IF(SUMIFS(T_PlannedOrders[EffectiveQty],T_PlannedOrders[Part Name],$A1069,T_PlannedOrders[WeekIndex],30)=0,"",SUMIFS(T_PlannedOrders[EffectiveQty],T_PlannedOrders[Part Name],$A1069,T_PlannedOrders[WeekIndex],30)&amp;" ("&amp;TEXT(SUMPRODUCT(MAX((T_PlannedOrders[Part Name]=$A1069)*(T_PlannedOrders[WeekIndex]=30)*(T_PlannedOrders[EffectiveQty]&gt;0)*T_PlannedOrders[Order_Month])),"m月")&amp;"発注)")</f>
        <v/>
      </c>
      <c r="AH1075">
        <f>IF(SUMIFS(T_PlannedOrders[EffectiveQty],T_PlannedOrders[Part Name],$A1069,T_PlannedOrders[WeekIndex],31)=0,"",SUMIFS(T_PlannedOrders[EffectiveQty],T_PlannedOrders[Part Name],$A1069,T_PlannedOrders[WeekIndex],31)&amp;" ("&amp;TEXT(SUMPRODUCT(MAX((T_PlannedOrders[Part Name]=$A1069)*(T_PlannedOrders[WeekIndex]=31)*(T_PlannedOrders[EffectiveQty]&gt;0)*T_PlannedOrders[Order_Month])),"m月")&amp;"発注)")</f>
        <v/>
      </c>
      <c r="AI1075">
        <f>IF(SUMIFS(T_PlannedOrders[EffectiveQty],T_PlannedOrders[Part Name],$A1069,T_PlannedOrders[WeekIndex],32)=0,"",SUMIFS(T_PlannedOrders[EffectiveQty],T_PlannedOrders[Part Name],$A1069,T_PlannedOrders[WeekIndex],32)&amp;" ("&amp;TEXT(SUMPRODUCT(MAX((T_PlannedOrders[Part Name]=$A1069)*(T_PlannedOrders[WeekIndex]=32)*(T_PlannedOrders[EffectiveQty]&gt;0)*T_PlannedOrders[Order_Month])),"m月")&amp;"発注)")</f>
        <v/>
      </c>
      <c r="AJ1075">
        <f>IF(SUMIFS(T_PlannedOrders[EffectiveQty],T_PlannedOrders[Part Name],$A1069,T_PlannedOrders[WeekIndex],33)=0,"",SUMIFS(T_PlannedOrders[EffectiveQty],T_PlannedOrders[Part Name],$A1069,T_PlannedOrders[WeekIndex],33)&amp;" ("&amp;TEXT(SUMPRODUCT(MAX((T_PlannedOrders[Part Name]=$A1069)*(T_PlannedOrders[WeekIndex]=33)*(T_PlannedOrders[EffectiveQty]&gt;0)*T_PlannedOrders[Order_Month])),"m月")&amp;"発注)")</f>
        <v/>
      </c>
      <c r="AK1075">
        <f>IF(SUMIFS(T_PlannedOrders[EffectiveQty],T_PlannedOrders[Part Name],$A1069,T_PlannedOrders[WeekIndex],34)=0,"",SUMIFS(T_PlannedOrders[EffectiveQty],T_PlannedOrders[Part Name],$A1069,T_PlannedOrders[WeekIndex],34)&amp;" ("&amp;TEXT(SUMPRODUCT(MAX((T_PlannedOrders[Part Name]=$A1069)*(T_PlannedOrders[WeekIndex]=34)*(T_PlannedOrders[EffectiveQty]&gt;0)*T_PlannedOrders[Order_Month])),"m月")&amp;"発注)")</f>
        <v/>
      </c>
      <c r="AL1075">
        <f>IF(SUMIFS(T_PlannedOrders[EffectiveQty],T_PlannedOrders[Part Name],$A1069,T_PlannedOrders[WeekIndex],35)=0,"",SUMIFS(T_PlannedOrders[EffectiveQty],T_PlannedOrders[Part Name],$A1069,T_PlannedOrders[WeekIndex],35)&amp;" ("&amp;TEXT(SUMPRODUCT(MAX((T_PlannedOrders[Part Name]=$A1069)*(T_PlannedOrders[WeekIndex]=35)*(T_PlannedOrders[EffectiveQty]&gt;0)*T_PlannedOrders[Order_Month])),"m月")&amp;"発注)")</f>
        <v/>
      </c>
      <c r="AM1075">
        <f>IF(SUMIFS(T_PlannedOrders[EffectiveQty],T_PlannedOrders[Part Name],$A1069,T_PlannedOrders[WeekIndex],36)=0,"",SUMIFS(T_PlannedOrders[EffectiveQty],T_PlannedOrders[Part Name],$A1069,T_PlannedOrders[WeekIndex],36)&amp;" ("&amp;TEXT(SUMPRODUCT(MAX((T_PlannedOrders[Part Name]=$A1069)*(T_PlannedOrders[WeekIndex]=36)*(T_PlannedOrders[EffectiveQty]&gt;0)*T_PlannedOrders[Order_Month])),"m月")&amp;"発注)")</f>
        <v/>
      </c>
      <c r="AN1075">
        <f>IF(SUMIFS(T_PlannedOrders[EffectiveQty],T_PlannedOrders[Part Name],$A1069,T_PlannedOrders[WeekIndex],37)=0,"",SUMIFS(T_PlannedOrders[EffectiveQty],T_PlannedOrders[Part Name],$A1069,T_PlannedOrders[WeekIndex],37)&amp;" ("&amp;TEXT(SUMPRODUCT(MAX((T_PlannedOrders[Part Name]=$A1069)*(T_PlannedOrders[WeekIndex]=37)*(T_PlannedOrders[EffectiveQty]&gt;0)*T_PlannedOrders[Order_Month])),"m月")&amp;"発注)")</f>
        <v/>
      </c>
      <c r="AO1075">
        <f>IF(SUMIFS(T_PlannedOrders[EffectiveQty],T_PlannedOrders[Part Name],$A1069,T_PlannedOrders[WeekIndex],38)=0,"",SUMIFS(T_PlannedOrders[EffectiveQty],T_PlannedOrders[Part Name],$A1069,T_PlannedOrders[WeekIndex],38)&amp;" ("&amp;TEXT(SUMPRODUCT(MAX((T_PlannedOrders[Part Name]=$A1069)*(T_PlannedOrders[WeekIndex]=38)*(T_PlannedOrders[EffectiveQty]&gt;0)*T_PlannedOrders[Order_Month])),"m月")&amp;"発注)")</f>
        <v/>
      </c>
      <c r="AP1075">
        <f>IF(SUMIFS(T_PlannedOrders[EffectiveQty],T_PlannedOrders[Part Name],$A1069,T_PlannedOrders[WeekIndex],39)=0,"",SUMIFS(T_PlannedOrders[EffectiveQty],T_PlannedOrders[Part Name],$A1069,T_PlannedOrders[WeekIndex],39)&amp;" ("&amp;TEXT(SUMPRODUCT(MAX((T_PlannedOrders[Part Name]=$A1069)*(T_PlannedOrders[WeekIndex]=39)*(T_PlannedOrders[EffectiveQty]&gt;0)*T_PlannedOrders[Order_Month])),"m月")&amp;"発注)")</f>
        <v/>
      </c>
      <c r="AQ1075">
        <f>IF(SUMIFS(T_PlannedOrders[EffectiveQty],T_PlannedOrders[Part Name],$A1069,T_PlannedOrders[WeekIndex],40)=0,"",SUMIFS(T_PlannedOrders[EffectiveQty],T_PlannedOrders[Part Name],$A1069,T_PlannedOrders[WeekIndex],40)&amp;" ("&amp;TEXT(SUMPRODUCT(MAX((T_PlannedOrders[Part Name]=$A1069)*(T_PlannedOrders[WeekIndex]=40)*(T_PlannedOrders[EffectiveQty]&gt;0)*T_PlannedOrders[Order_Month])),"m月")&amp;"発注)")</f>
        <v/>
      </c>
      <c r="AR1075">
        <f>IF(SUMIFS(T_PlannedOrders[EffectiveQty],T_PlannedOrders[Part Name],$A1069,T_PlannedOrders[WeekIndex],41)=0,"",SUMIFS(T_PlannedOrders[EffectiveQty],T_PlannedOrders[Part Name],$A1069,T_PlannedOrders[WeekIndex],41)&amp;" ("&amp;TEXT(SUMPRODUCT(MAX((T_PlannedOrders[Part Name]=$A1069)*(T_PlannedOrders[WeekIndex]=41)*(T_PlannedOrders[EffectiveQty]&gt;0)*T_PlannedOrders[Order_Month])),"m月")&amp;"発注)")</f>
        <v/>
      </c>
      <c r="AS1075">
        <f>IF(SUMIFS(T_PlannedOrders[EffectiveQty],T_PlannedOrders[Part Name],$A1069,T_PlannedOrders[WeekIndex],42)=0,"",SUMIFS(T_PlannedOrders[EffectiveQty],T_PlannedOrders[Part Name],$A1069,T_PlannedOrders[WeekIndex],42)&amp;" ("&amp;TEXT(SUMPRODUCT(MAX((T_PlannedOrders[Part Name]=$A1069)*(T_PlannedOrders[WeekIndex]=42)*(T_PlannedOrders[EffectiveQty]&gt;0)*T_PlannedOrders[Order_Month])),"m月")&amp;"発注)")</f>
        <v/>
      </c>
      <c r="AT1075">
        <f>IF(SUMIFS(T_PlannedOrders[EffectiveQty],T_PlannedOrders[Part Name],$A1069,T_PlannedOrders[WeekIndex],43)=0,"",SUMIFS(T_PlannedOrders[EffectiveQty],T_PlannedOrders[Part Name],$A1069,T_PlannedOrders[WeekIndex],43)&amp;" ("&amp;TEXT(SUMPRODUCT(MAX((T_PlannedOrders[Part Name]=$A1069)*(T_PlannedOrders[WeekIndex]=43)*(T_PlannedOrders[EffectiveQty]&gt;0)*T_PlannedOrders[Order_Month])),"m月")&amp;"発注)")</f>
        <v/>
      </c>
      <c r="AU1075">
        <f>IF(SUMIFS(T_PlannedOrders[EffectiveQty],T_PlannedOrders[Part Name],$A1069,T_PlannedOrders[WeekIndex],44)=0,"",SUMIFS(T_PlannedOrders[EffectiveQty],T_PlannedOrders[Part Name],$A1069,T_PlannedOrders[WeekIndex],44)&amp;" ("&amp;TEXT(SUMPRODUCT(MAX((T_PlannedOrders[Part Name]=$A1069)*(T_PlannedOrders[WeekIndex]=44)*(T_PlannedOrders[EffectiveQty]&gt;0)*T_PlannedOrders[Order_Month])),"m月")&amp;"発注)")</f>
        <v/>
      </c>
      <c r="AV1075">
        <f>IF(SUMIFS(T_PlannedOrders[EffectiveQty],T_PlannedOrders[Part Name],$A1069,T_PlannedOrders[WeekIndex],45)=0,"",SUMIFS(T_PlannedOrders[EffectiveQty],T_PlannedOrders[Part Name],$A1069,T_PlannedOrders[WeekIndex],45)&amp;" ("&amp;TEXT(SUMPRODUCT(MAX((T_PlannedOrders[Part Name]=$A1069)*(T_PlannedOrders[WeekIndex]=45)*(T_PlannedOrders[EffectiveQty]&gt;0)*T_PlannedOrders[Order_Month])),"m月")&amp;"発注)")</f>
        <v/>
      </c>
      <c r="AW1075">
        <f>IF(SUMIFS(T_PlannedOrders[EffectiveQty],T_PlannedOrders[Part Name],$A1069,T_PlannedOrders[WeekIndex],46)=0,"",SUMIFS(T_PlannedOrders[EffectiveQty],T_PlannedOrders[Part Name],$A1069,T_PlannedOrders[WeekIndex],46)&amp;" ("&amp;TEXT(SUMPRODUCT(MAX((T_PlannedOrders[Part Name]=$A1069)*(T_PlannedOrders[WeekIndex]=46)*(T_PlannedOrders[EffectiveQty]&gt;0)*T_PlannedOrders[Order_Month])),"m月")&amp;"発注)")</f>
        <v/>
      </c>
      <c r="AX1075">
        <f>IF(SUMIFS(T_PlannedOrders[EffectiveQty],T_PlannedOrders[Part Name],$A1069,T_PlannedOrders[WeekIndex],47)=0,"",SUMIFS(T_PlannedOrders[EffectiveQty],T_PlannedOrders[Part Name],$A1069,T_PlannedOrders[WeekIndex],47)&amp;" ("&amp;TEXT(SUMPRODUCT(MAX((T_PlannedOrders[Part Name]=$A1069)*(T_PlannedOrders[WeekIndex]=47)*(T_PlannedOrders[EffectiveQty]&gt;0)*T_PlannedOrders[Order_Month])),"m月")&amp;"発注)")</f>
        <v/>
      </c>
      <c r="AY1075">
        <f>IF(SUMIFS(T_PlannedOrders[EffectiveQty],T_PlannedOrders[Part Name],$A1069,T_PlannedOrders[WeekIndex],48)=0,"",SUMIFS(T_PlannedOrders[EffectiveQty],T_PlannedOrders[Part Name],$A1069,T_PlannedOrders[WeekIndex],48)&amp;" ("&amp;TEXT(SUMPRODUCT(MAX((T_PlannedOrders[Part Name]=$A1069)*(T_PlannedOrders[WeekIndex]=48)*(T_PlannedOrders[EffectiveQty]&gt;0)*T_PlannedOrders[Order_Month])),"m月")&amp;"発注)")</f>
        <v/>
      </c>
      <c r="AZ1075">
        <f>IF(SUMIFS(T_PlannedOrders[EffectiveQty],T_PlannedOrders[Part Name],$A1069,T_PlannedOrders[WeekIndex],49)=0,"",SUMIFS(T_PlannedOrders[EffectiveQty],T_PlannedOrders[Part Name],$A1069,T_PlannedOrders[WeekIndex],49)&amp;" ("&amp;TEXT(SUMPRODUCT(MAX((T_PlannedOrders[Part Name]=$A1069)*(T_PlannedOrders[WeekIndex]=49)*(T_PlannedOrders[EffectiveQty]&gt;0)*T_PlannedOrders[Order_Month])),"m月")&amp;"発注)")</f>
        <v/>
      </c>
      <c r="BA1075">
        <f>IF(SUMIFS(T_PlannedOrders[EffectiveQty],T_PlannedOrders[Part Name],$A1069,T_PlannedOrders[WeekIndex],50)=0,"",SUMIFS(T_PlannedOrders[EffectiveQty],T_PlannedOrders[Part Name],$A1069,T_PlannedOrders[WeekIndex],50)&amp;" ("&amp;TEXT(SUMPRODUCT(MAX((T_PlannedOrders[Part Name]=$A1069)*(T_PlannedOrders[WeekIndex]=50)*(T_PlannedOrders[EffectiveQty]&gt;0)*T_PlannedOrders[Order_Month])),"m月")&amp;"発注)")</f>
        <v/>
      </c>
      <c r="BB1075">
        <f>IF(SUMIFS(T_PlannedOrders[EffectiveQty],T_PlannedOrders[Part Name],$A1069,T_PlannedOrders[WeekIndex],51)=0,"",SUMIFS(T_PlannedOrders[EffectiveQty],T_PlannedOrders[Part Name],$A1069,T_PlannedOrders[WeekIndex],51)&amp;" ("&amp;TEXT(SUMPRODUCT(MAX((T_PlannedOrders[Part Name]=$A1069)*(T_PlannedOrders[WeekIndex]=51)*(T_PlannedOrders[EffectiveQty]&gt;0)*T_PlannedOrders[Order_Month])),"m月")&amp;"発注)")</f>
        <v/>
      </c>
      <c r="BC1075">
        <f>IF(SUMIFS(T_PlannedOrders[EffectiveQty],T_PlannedOrders[Part Name],$A1069,T_PlannedOrders[WeekIndex],52)=0,"",SUMIFS(T_PlannedOrders[EffectiveQty],T_PlannedOrders[Part Name],$A1069,T_PlannedOrders[WeekIndex],52)&amp;" ("&amp;TEXT(SUMPRODUCT(MAX((T_PlannedOrders[Part Name]=$A1069)*(T_PlannedOrders[WeekIndex]=52)*(T_PlannedOrders[EffectiveQty]&gt;0)*T_PlannedOrders[Order_Month])),"m月")&amp;"発注)")</f>
        <v/>
      </c>
      <c r="BD1075">
        <f>IF(SUMIFS(T_PlannedOrders[EffectiveQty],T_PlannedOrders[Part Name],$A1069,T_PlannedOrders[WeekIndex],53)=0,"",SUMIFS(T_PlannedOrders[EffectiveQty],T_PlannedOrders[Part Name],$A1069,T_PlannedOrders[WeekIndex],53)&amp;" ("&amp;TEXT(SUMPRODUCT(MAX((T_PlannedOrders[Part Name]=$A1069)*(T_PlannedOrders[WeekIndex]=53)*(T_PlannedOrders[EffectiveQty]&gt;0)*T_PlannedOrders[Order_Month])),"m月")&amp;"発注)")</f>
        <v/>
      </c>
      <c r="BE1075">
        <f>IF(SUMIFS(T_PlannedOrders[EffectiveQty],T_PlannedOrders[Part Name],$A1069,T_PlannedOrders[WeekIndex],54)=0,"",SUMIFS(T_PlannedOrders[EffectiveQty],T_PlannedOrders[Part Name],$A1069,T_PlannedOrders[WeekIndex],54)&amp;" ("&amp;TEXT(SUMPRODUCT(MAX((T_PlannedOrders[Part Name]=$A1069)*(T_PlannedOrders[WeekIndex]=54)*(T_PlannedOrders[EffectiveQty]&gt;0)*T_PlannedOrders[Order_Month])),"m月")&amp;"発注)")</f>
        <v/>
      </c>
      <c r="BF1075">
        <f>IF(SUMIFS(T_PlannedOrders[EffectiveQty],T_PlannedOrders[Part Name],$A1069,T_PlannedOrders[WeekIndex],55)=0,"",SUMIFS(T_PlannedOrders[EffectiveQty],T_PlannedOrders[Part Name],$A1069,T_PlannedOrders[WeekIndex],55)&amp;" ("&amp;TEXT(SUMPRODUCT(MAX((T_PlannedOrders[Part Name]=$A1069)*(T_PlannedOrders[WeekIndex]=55)*(T_PlannedOrders[EffectiveQty]&gt;0)*T_PlannedOrders[Order_Month])),"m月")&amp;"発注)")</f>
        <v/>
      </c>
      <c r="BG1075">
        <f>IF(SUMIFS(T_PlannedOrders[EffectiveQty],T_PlannedOrders[Part Name],$A1069,T_PlannedOrders[WeekIndex],56)=0,"",SUMIFS(T_PlannedOrders[EffectiveQty],T_PlannedOrders[Part Name],$A1069,T_PlannedOrders[WeekIndex],56)&amp;" ("&amp;TEXT(SUMPRODUCT(MAX((T_PlannedOrders[Part Name]=$A1069)*(T_PlannedOrders[WeekIndex]=56)*(T_PlannedOrders[EffectiveQty]&gt;0)*T_PlannedOrders[Order_Month])),"m月")&amp;"発注)")</f>
        <v/>
      </c>
      <c r="BH1075">
        <f>IF(SUMIFS(T_PlannedOrders[EffectiveQty],T_PlannedOrders[Part Name],$A1069,T_PlannedOrders[WeekIndex],57)=0,"",SUMIFS(T_PlannedOrders[EffectiveQty],T_PlannedOrders[Part Name],$A1069,T_PlannedOrders[WeekIndex],57)&amp;" ("&amp;TEXT(SUMPRODUCT(MAX((T_PlannedOrders[Part Name]=$A1069)*(T_PlannedOrders[WeekIndex]=57)*(T_PlannedOrders[EffectiveQty]&gt;0)*T_PlannedOrders[Order_Month])),"m月")&amp;"発注)")</f>
        <v/>
      </c>
      <c r="BI1075">
        <f>IF(SUMIFS(T_PlannedOrders[EffectiveQty],T_PlannedOrders[Part Name],$A1069,T_PlannedOrders[WeekIndex],58)=0,"",SUMIFS(T_PlannedOrders[EffectiveQty],T_PlannedOrders[Part Name],$A1069,T_PlannedOrders[WeekIndex],58)&amp;" ("&amp;TEXT(SUMPRODUCT(MAX((T_PlannedOrders[Part Name]=$A1069)*(T_PlannedOrders[WeekIndex]=58)*(T_PlannedOrders[EffectiveQty]&gt;0)*T_PlannedOrders[Order_Month])),"m月")&amp;"発注)")</f>
        <v/>
      </c>
      <c r="BJ1075">
        <f>IF(SUMIFS(T_PlannedOrders[EffectiveQty],T_PlannedOrders[Part Name],$A1069,T_PlannedOrders[WeekIndex],59)=0,"",SUMIFS(T_PlannedOrders[EffectiveQty],T_PlannedOrders[Part Name],$A1069,T_PlannedOrders[WeekIndex],59)&amp;" ("&amp;TEXT(SUMPRODUCT(MAX((T_PlannedOrders[Part Name]=$A1069)*(T_PlannedOrders[WeekIndex]=59)*(T_PlannedOrders[EffectiveQty]&gt;0)*T_PlannedOrders[Order_Month])),"m月")&amp;"発注)")</f>
        <v/>
      </c>
      <c r="BK1075">
        <f>IF(SUMIFS(T_PlannedOrders[EffectiveQty],T_PlannedOrders[Part Name],$A1069,T_PlannedOrders[WeekIndex],60)=0,"",SUMIFS(T_PlannedOrders[EffectiveQty],T_PlannedOrders[Part Name],$A1069,T_PlannedOrders[WeekIndex],60)&amp;" ("&amp;TEXT(SUMPRODUCT(MAX((T_PlannedOrders[Part Name]=$A1069)*(T_PlannedOrders[WeekIndex]=60)*(T_PlannedOrders[EffectiveQty]&gt;0)*T_PlannedOrders[Order_Month])),"m月")&amp;"発注)")</f>
        <v/>
      </c>
      <c r="BL1075">
        <f>IF(SUMIFS(T_PlannedOrders[EffectiveQty],T_PlannedOrders[Part Name],$A1069,T_PlannedOrders[WeekIndex],61)=0,"",SUMIFS(T_PlannedOrders[EffectiveQty],T_PlannedOrders[Part Name],$A1069,T_PlannedOrders[WeekIndex],61)&amp;" ("&amp;TEXT(SUMPRODUCT(MAX((T_PlannedOrders[Part Name]=$A1069)*(T_PlannedOrders[WeekIndex]=61)*(T_PlannedOrders[EffectiveQty]&gt;0)*T_PlannedOrders[Order_Month])),"m月")&amp;"発注)")</f>
        <v/>
      </c>
      <c r="BM1075">
        <f>IF(SUMIFS(T_PlannedOrders[EffectiveQty],T_PlannedOrders[Part Name],$A1069,T_PlannedOrders[WeekIndex],62)=0,"",SUMIFS(T_PlannedOrders[EffectiveQty],T_PlannedOrders[Part Name],$A1069,T_PlannedOrders[WeekIndex],62)&amp;" ("&amp;TEXT(SUMPRODUCT(MAX((T_PlannedOrders[Part Name]=$A1069)*(T_PlannedOrders[WeekIndex]=62)*(T_PlannedOrders[EffectiveQty]&gt;0)*T_PlannedOrders[Order_Month])),"m月")&amp;"発注)")</f>
        <v/>
      </c>
      <c r="BN1075">
        <f>IF(SUMIFS(T_PlannedOrders[EffectiveQty],T_PlannedOrders[Part Name],$A1069,T_PlannedOrders[WeekIndex],63)=0,"",SUMIFS(T_PlannedOrders[EffectiveQty],T_PlannedOrders[Part Name],$A1069,T_PlannedOrders[WeekIndex],63)&amp;" ("&amp;TEXT(SUMPRODUCT(MAX((T_PlannedOrders[Part Name]=$A1069)*(T_PlannedOrders[WeekIndex]=63)*(T_PlannedOrders[EffectiveQty]&gt;0)*T_PlannedOrders[Order_Month])),"m月")&amp;"発注)")</f>
        <v/>
      </c>
      <c r="BO1075">
        <f>IF(SUMIFS(T_PlannedOrders[EffectiveQty],T_PlannedOrders[Part Name],$A1069,T_PlannedOrders[WeekIndex],64)=0,"",SUMIFS(T_PlannedOrders[EffectiveQty],T_PlannedOrders[Part Name],$A1069,T_PlannedOrders[WeekIndex],64)&amp;" ("&amp;TEXT(SUMPRODUCT(MAX((T_PlannedOrders[Part Name]=$A1069)*(T_PlannedOrders[WeekIndex]=64)*(T_PlannedOrders[EffectiveQty]&gt;0)*T_PlannedOrders[Order_Month])),"m月")&amp;"発注)")</f>
        <v/>
      </c>
      <c r="BP1075">
        <f>IF(SUMIFS(T_PlannedOrders[EffectiveQty],T_PlannedOrders[Part Name],$A1069,T_PlannedOrders[WeekIndex],65)=0,"",SUMIFS(T_PlannedOrders[EffectiveQty],T_PlannedOrders[Part Name],$A1069,T_PlannedOrders[WeekIndex],65)&amp;" ("&amp;TEXT(SUMPRODUCT(MAX((T_PlannedOrders[Part Name]=$A1069)*(T_PlannedOrders[WeekIndex]=65)*(T_PlannedOrders[EffectiveQty]&gt;0)*T_PlannedOrders[Order_Month])),"m月")&amp;"発注)")</f>
        <v/>
      </c>
      <c r="BQ1075">
        <f>IF(SUMIFS(T_PlannedOrders[EffectiveQty],T_PlannedOrders[Part Name],$A1069,T_PlannedOrders[WeekIndex],66)=0,"",SUMIFS(T_PlannedOrders[EffectiveQty],T_PlannedOrders[Part Name],$A1069,T_PlannedOrders[WeekIndex],66)&amp;" ("&amp;TEXT(SUMPRODUCT(MAX((T_PlannedOrders[Part Name]=$A1069)*(T_PlannedOrders[WeekIndex]=66)*(T_PlannedOrders[EffectiveQty]&gt;0)*T_PlannedOrders[Order_Month])),"m月")&amp;"発注)")</f>
        <v/>
      </c>
      <c r="BR1075">
        <f>IF(SUMIFS(T_PlannedOrders[EffectiveQty],T_PlannedOrders[Part Name],$A1069,T_PlannedOrders[WeekIndex],67)=0,"",SUMIFS(T_PlannedOrders[EffectiveQty],T_PlannedOrders[Part Name],$A1069,T_PlannedOrders[WeekIndex],67)&amp;" ("&amp;TEXT(SUMPRODUCT(MAX((T_PlannedOrders[Part Name]=$A1069)*(T_PlannedOrders[WeekIndex]=67)*(T_PlannedOrders[EffectiveQty]&gt;0)*T_PlannedOrders[Order_Month])),"m月")&amp;"発注)")</f>
        <v/>
      </c>
      <c r="BS1075">
        <f>IF(SUMIFS(T_PlannedOrders[EffectiveQty],T_PlannedOrders[Part Name],$A1069,T_PlannedOrders[WeekIndex],68)=0,"",SUMIFS(T_PlannedOrders[EffectiveQty],T_PlannedOrders[Part Name],$A1069,T_PlannedOrders[WeekIndex],68)&amp;" ("&amp;TEXT(SUMPRODUCT(MAX((T_PlannedOrders[Part Name]=$A1069)*(T_PlannedOrders[WeekIndex]=68)*(T_PlannedOrders[EffectiveQty]&gt;0)*T_PlannedOrders[Order_Month])),"m月")&amp;"発注)")</f>
        <v/>
      </c>
      <c r="BT1075">
        <f>IF(SUMIFS(T_PlannedOrders[EffectiveQty],T_PlannedOrders[Part Name],$A1069,T_PlannedOrders[WeekIndex],69)=0,"",SUMIFS(T_PlannedOrders[EffectiveQty],T_PlannedOrders[Part Name],$A1069,T_PlannedOrders[WeekIndex],69)&amp;" ("&amp;TEXT(SUMPRODUCT(MAX((T_PlannedOrders[Part Name]=$A1069)*(T_PlannedOrders[WeekIndex]=69)*(T_PlannedOrders[EffectiveQty]&gt;0)*T_PlannedOrders[Order_Month])),"m月")&amp;"発注)")</f>
        <v/>
      </c>
      <c r="BU1075">
        <f>IF(SUMIFS(T_PlannedOrders[EffectiveQty],T_PlannedOrders[Part Name],$A1069,T_PlannedOrders[WeekIndex],70)=0,"",SUMIFS(T_PlannedOrders[EffectiveQty],T_PlannedOrders[Part Name],$A1069,T_PlannedOrders[WeekIndex],70)&amp;" ("&amp;TEXT(SUMPRODUCT(MAX((T_PlannedOrders[Part Name]=$A1069)*(T_PlannedOrders[WeekIndex]=70)*(T_PlannedOrders[EffectiveQty]&gt;0)*T_PlannedOrders[Order_Month])),"m月")&amp;"発注)")</f>
        <v/>
      </c>
      <c r="BV1075">
        <f>IF(SUMIFS(T_PlannedOrders[EffectiveQty],T_PlannedOrders[Part Name],$A1069,T_PlannedOrders[WeekIndex],71)=0,"",SUMIFS(T_PlannedOrders[EffectiveQty],T_PlannedOrders[Part Name],$A1069,T_PlannedOrders[WeekIndex],71)&amp;" ("&amp;TEXT(SUMPRODUCT(MAX((T_PlannedOrders[Part Name]=$A1069)*(T_PlannedOrders[WeekIndex]=71)*(T_PlannedOrders[EffectiveQty]&gt;0)*T_PlannedOrders[Order_Month])),"m月")&amp;"発注)")</f>
        <v/>
      </c>
      <c r="BW1075">
        <f>IF(SUMIFS(T_PlannedOrders[EffectiveQty],T_PlannedOrders[Part Name],$A1069,T_PlannedOrders[WeekIndex],72)=0,"",SUMIFS(T_PlannedOrders[EffectiveQty],T_PlannedOrders[Part Name],$A1069,T_PlannedOrders[WeekIndex],72)&amp;" ("&amp;TEXT(SUMPRODUCT(MAX((T_PlannedOrders[Part Name]=$A1069)*(T_PlannedOrders[WeekIndex]=72)*(T_PlannedOrders[EffectiveQty]&gt;0)*T_PlannedOrders[Order_Month])),"m月")&amp;"発注)")</f>
        <v/>
      </c>
      <c r="BX1075">
        <f>IF(SUMIFS(T_PlannedOrders[EffectiveQty],T_PlannedOrders[Part Name],$A1069,T_PlannedOrders[WeekIndex],73)=0,"",SUMIFS(T_PlannedOrders[EffectiveQty],T_PlannedOrders[Part Name],$A1069,T_PlannedOrders[WeekIndex],73)&amp;" ("&amp;TEXT(SUMPRODUCT(MAX((T_PlannedOrders[Part Name]=$A1069)*(T_PlannedOrders[WeekIndex]=73)*(T_PlannedOrders[EffectiveQty]&gt;0)*T_PlannedOrders[Order_Month])),"m月")&amp;"発注)")</f>
        <v/>
      </c>
      <c r="BY1075">
        <f>IF(SUMIFS(T_PlannedOrders[EffectiveQty],T_PlannedOrders[Part Name],$A1069,T_PlannedOrders[WeekIndex],74)=0,"",SUMIFS(T_PlannedOrders[EffectiveQty],T_PlannedOrders[Part Name],$A1069,T_PlannedOrders[WeekIndex],74)&amp;" ("&amp;TEXT(SUMPRODUCT(MAX((T_PlannedOrders[Part Name]=$A1069)*(T_PlannedOrders[WeekIndex]=74)*(T_PlannedOrders[EffectiveQty]&gt;0)*T_PlannedOrders[Order_Month])),"m月")&amp;"発注)")</f>
        <v/>
      </c>
      <c r="BZ1075">
        <f>IF(SUMIFS(T_PlannedOrders[EffectiveQty],T_PlannedOrders[Part Name],$A1069,T_PlannedOrders[WeekIndex],75)=0,"",SUMIFS(T_PlannedOrders[EffectiveQty],T_PlannedOrders[Part Name],$A1069,T_PlannedOrders[WeekIndex],75)&amp;" ("&amp;TEXT(SUMPRODUCT(MAX((T_PlannedOrders[Part Name]=$A1069)*(T_PlannedOrders[WeekIndex]=75)*(T_PlannedOrders[EffectiveQty]&gt;0)*T_PlannedOrders[Order_Month])),"m月")&amp;"発注)")</f>
        <v/>
      </c>
      <c r="CA1075">
        <f>IF(SUMIFS(T_PlannedOrders[EffectiveQty],T_PlannedOrders[Part Name],$A1069,T_PlannedOrders[WeekIndex],76)=0,"",SUMIFS(T_PlannedOrders[EffectiveQty],T_PlannedOrders[Part Name],$A1069,T_PlannedOrders[WeekIndex],76)&amp;" ("&amp;TEXT(SUMPRODUCT(MAX((T_PlannedOrders[Part Name]=$A1069)*(T_PlannedOrders[WeekIndex]=76)*(T_PlannedOrders[EffectiveQty]&gt;0)*T_PlannedOrders[Order_Month])),"m月")&amp;"発注)")</f>
        <v/>
      </c>
      <c r="CB1075">
        <f>IF(SUMIFS(T_PlannedOrders[EffectiveQty],T_PlannedOrders[Part Name],$A1069,T_PlannedOrders[WeekIndex],77)=0,"",SUMIFS(T_PlannedOrders[EffectiveQty],T_PlannedOrders[Part Name],$A1069,T_PlannedOrders[WeekIndex],77)&amp;" ("&amp;TEXT(SUMPRODUCT(MAX((T_PlannedOrders[Part Name]=$A1069)*(T_PlannedOrders[WeekIndex]=77)*(T_PlannedOrders[EffectiveQty]&gt;0)*T_PlannedOrders[Order_Month])),"m月")&amp;"発注)")</f>
        <v/>
      </c>
      <c r="CC1075">
        <f>IF(SUMIFS(T_PlannedOrders[EffectiveQty],T_PlannedOrders[Part Name],$A1069,T_PlannedOrders[WeekIndex],78)=0,"",SUMIFS(T_PlannedOrders[EffectiveQty],T_PlannedOrders[Part Name],$A1069,T_PlannedOrders[WeekIndex],78)&amp;" ("&amp;TEXT(SUMPRODUCT(MAX((T_PlannedOrders[Part Name]=$A1069)*(T_PlannedOrders[WeekIndex]=78)*(T_PlannedOrders[EffectiveQty]&gt;0)*T_PlannedOrders[Order_Month])),"m月")&amp;"発注)")</f>
        <v/>
      </c>
      <c r="CD1075">
        <f>IF(SUMIFS(T_PlannedOrders[EffectiveQty],T_PlannedOrders[Part Name],$A1069,T_PlannedOrders[WeekIndex],79)=0,"",SUMIFS(T_PlannedOrders[EffectiveQty],T_PlannedOrders[Part Name],$A1069,T_PlannedOrders[WeekIndex],79)&amp;" ("&amp;TEXT(SUMPRODUCT(MAX((T_PlannedOrders[Part Name]=$A1069)*(T_PlannedOrders[WeekIndex]=79)*(T_PlannedOrders[EffectiveQty]&gt;0)*T_PlannedOrders[Order_Month])),"m月")&amp;"発注)")</f>
        <v/>
      </c>
      <c r="CE1075">
        <f>IF(SUMIFS(T_PlannedOrders[EffectiveQty],T_PlannedOrders[Part Name],$A1069,T_PlannedOrders[WeekIndex],80)=0,"",SUMIFS(T_PlannedOrders[EffectiveQty],T_PlannedOrders[Part Name],$A1069,T_PlannedOrders[WeekIndex],80)&amp;" ("&amp;TEXT(SUMPRODUCT(MAX((T_PlannedOrders[Part Name]=$A1069)*(T_PlannedOrders[WeekIndex]=80)*(T_PlannedOrders[EffectiveQty]&gt;0)*T_PlannedOrders[Order_Month])),"m月")&amp;"発注)")</f>
        <v/>
      </c>
      <c r="CF1075">
        <f>IF(SUMIFS(T_PlannedOrders[EffectiveQty],T_PlannedOrders[Part Name],$A1069,T_PlannedOrders[WeekIndex],81)=0,"",SUMIFS(T_PlannedOrders[EffectiveQty],T_PlannedOrders[Part Name],$A1069,T_PlannedOrders[WeekIndex],81)&amp;" ("&amp;TEXT(SUMPRODUCT(MAX((T_PlannedOrders[Part Name]=$A1069)*(T_PlannedOrders[WeekIndex]=81)*(T_PlannedOrders[EffectiveQty]&gt;0)*T_PlannedOrders[Order_Month])),"m月")&amp;"発注)")</f>
        <v/>
      </c>
      <c r="CG1075">
        <f>IF(SUMIFS(T_PlannedOrders[EffectiveQty],T_PlannedOrders[Part Name],$A1069,T_PlannedOrders[WeekIndex],82)=0,"",SUMIFS(T_PlannedOrders[EffectiveQty],T_PlannedOrders[Part Name],$A1069,T_PlannedOrders[WeekIndex],82)&amp;" ("&amp;TEXT(SUMPRODUCT(MAX((T_PlannedOrders[Part Name]=$A1069)*(T_PlannedOrders[WeekIndex]=82)*(T_PlannedOrders[EffectiveQty]&gt;0)*T_PlannedOrders[Order_Month])),"m月")&amp;"発注)")</f>
        <v/>
      </c>
      <c r="CH1075">
        <f>IF(SUMIFS(T_PlannedOrders[EffectiveQty],T_PlannedOrders[Part Name],$A1069,T_PlannedOrders[WeekIndex],83)=0,"",SUMIFS(T_PlannedOrders[EffectiveQty],T_PlannedOrders[Part Name],$A1069,T_PlannedOrders[WeekIndex],83)&amp;" ("&amp;TEXT(SUMPRODUCT(MAX((T_PlannedOrders[Part Name]=$A1069)*(T_PlannedOrders[WeekIndex]=83)*(T_PlannedOrders[EffectiveQty]&gt;0)*T_PlannedOrders[Order_Month])),"m月")&amp;"発注)")</f>
        <v/>
      </c>
      <c r="CI1075">
        <f>IF(SUMIFS(T_PlannedOrders[EffectiveQty],T_PlannedOrders[Part Name],$A1069,T_PlannedOrders[WeekIndex],84)=0,"",SUMIFS(T_PlannedOrders[EffectiveQty],T_PlannedOrders[Part Name],$A1069,T_PlannedOrders[WeekIndex],84)&amp;" ("&amp;TEXT(SUMPRODUCT(MAX((T_PlannedOrders[Part Name]=$A1069)*(T_PlannedOrders[WeekIndex]=84)*(T_PlannedOrders[EffectiveQty]&gt;0)*T_PlannedOrders[Order_Month])),"m月")&amp;"発注)")</f>
        <v/>
      </c>
      <c r="CJ1075">
        <f>IF(SUMIFS(T_PlannedOrders[EffectiveQty],T_PlannedOrders[Part Name],$A1069,T_PlannedOrders[WeekIndex],85)=0,"",SUMIFS(T_PlannedOrders[EffectiveQty],T_PlannedOrders[Part Name],$A1069,T_PlannedOrders[WeekIndex],85)&amp;" ("&amp;TEXT(SUMPRODUCT(MAX((T_PlannedOrders[Part Name]=$A1069)*(T_PlannedOrders[WeekIndex]=85)*(T_PlannedOrders[EffectiveQty]&gt;0)*T_PlannedOrders[Order_Month])),"m月")&amp;"発注)")</f>
        <v/>
      </c>
      <c r="CK1075">
        <f>IF(SUMIFS(T_PlannedOrders[EffectiveQty],T_PlannedOrders[Part Name],$A1069,T_PlannedOrders[WeekIndex],86)=0,"",SUMIFS(T_PlannedOrders[EffectiveQty],T_PlannedOrders[Part Name],$A1069,T_PlannedOrders[WeekIndex],86)&amp;" ("&amp;TEXT(SUMPRODUCT(MAX((T_PlannedOrders[Part Name]=$A1069)*(T_PlannedOrders[WeekIndex]=86)*(T_PlannedOrders[EffectiveQty]&gt;0)*T_PlannedOrders[Order_Month])),"m月")&amp;"発注)")</f>
        <v/>
      </c>
      <c r="CL1075">
        <f>IF(SUMIFS(T_PlannedOrders[EffectiveQty],T_PlannedOrders[Part Name],$A1069,T_PlannedOrders[WeekIndex],87)=0,"",SUMIFS(T_PlannedOrders[EffectiveQty],T_PlannedOrders[Part Name],$A1069,T_PlannedOrders[WeekIndex],87)&amp;" ("&amp;TEXT(SUMPRODUCT(MAX((T_PlannedOrders[Part Name]=$A1069)*(T_PlannedOrders[WeekIndex]=87)*(T_PlannedOrders[EffectiveQty]&gt;0)*T_PlannedOrders[Order_Month])),"m月")&amp;"発注)")</f>
        <v/>
      </c>
      <c r="CM1075">
        <f>IF(SUMIFS(T_PlannedOrders[EffectiveQty],T_PlannedOrders[Part Name],$A1069,T_PlannedOrders[WeekIndex],88)=0,"",SUMIFS(T_PlannedOrders[EffectiveQty],T_PlannedOrders[Part Name],$A1069,T_PlannedOrders[WeekIndex],88)&amp;" ("&amp;TEXT(SUMPRODUCT(MAX((T_PlannedOrders[Part Name]=$A1069)*(T_PlannedOrders[WeekIndex]=88)*(T_PlannedOrders[EffectiveQty]&gt;0)*T_PlannedOrders[Order_Month])),"m月")&amp;"発注)")</f>
        <v/>
      </c>
      <c r="CN1075">
        <f>IF(SUMIFS(T_PlannedOrders[EffectiveQty],T_PlannedOrders[Part Name],$A1069,T_PlannedOrders[WeekIndex],89)=0,"",SUMIFS(T_PlannedOrders[EffectiveQty],T_PlannedOrders[Part Name],$A1069,T_PlannedOrders[WeekIndex],89)&amp;" ("&amp;TEXT(SUMPRODUCT(MAX((T_PlannedOrders[Part Name]=$A1069)*(T_PlannedOrders[WeekIndex]=89)*(T_PlannedOrders[EffectiveQty]&gt;0)*T_PlannedOrders[Order_Month])),"m月")&amp;"発注)")</f>
        <v/>
      </c>
      <c r="CO1075">
        <f>IF(SUMIFS(T_PlannedOrders[EffectiveQty],T_PlannedOrders[Part Name],$A1069,T_PlannedOrders[WeekIndex],90)=0,"",SUMIFS(T_PlannedOrders[EffectiveQty],T_PlannedOrders[Part Name],$A1069,T_PlannedOrders[WeekIndex],90)&amp;" ("&amp;TEXT(SUMPRODUCT(MAX((T_PlannedOrders[Part Name]=$A1069)*(T_PlannedOrders[WeekIndex]=90)*(T_PlannedOrders[EffectiveQty]&gt;0)*T_PlannedOrders[Order_Month])),"m月")&amp;"発注)")</f>
        <v/>
      </c>
      <c r="CP1075">
        <f>IF(SUMIFS(T_PlannedOrders[EffectiveQty],T_PlannedOrders[Part Name],$A1069,T_PlannedOrders[WeekIndex],91)=0,"",SUMIFS(T_PlannedOrders[EffectiveQty],T_PlannedOrders[Part Name],$A1069,T_PlannedOrders[WeekIndex],91)&amp;" ("&amp;TEXT(SUMPRODUCT(MAX((T_PlannedOrders[Part Name]=$A1069)*(T_PlannedOrders[WeekIndex]=91)*(T_PlannedOrders[EffectiveQty]&gt;0)*T_PlannedOrders[Order_Month])),"m月")&amp;"発注)")</f>
        <v/>
      </c>
      <c r="CQ1075">
        <f>IF(SUMIFS(T_PlannedOrders[EffectiveQty],T_PlannedOrders[Part Name],$A1069,T_PlannedOrders[WeekIndex],92)=0,"",SUMIFS(T_PlannedOrders[EffectiveQty],T_PlannedOrders[Part Name],$A1069,T_PlannedOrders[WeekIndex],92)&amp;" ("&amp;TEXT(SUMPRODUCT(MAX((T_PlannedOrders[Part Name]=$A1069)*(T_PlannedOrders[WeekIndex]=92)*(T_PlannedOrders[EffectiveQty]&gt;0)*T_PlannedOrders[Order_Month])),"m月")&amp;"発注)")</f>
        <v/>
      </c>
      <c r="CR1075">
        <f>IF(SUMIFS(T_PlannedOrders[EffectiveQty],T_PlannedOrders[Part Name],$A1069,T_PlannedOrders[WeekIndex],93)=0,"",SUMIFS(T_PlannedOrders[EffectiveQty],T_PlannedOrders[Part Name],$A1069,T_PlannedOrders[WeekIndex],93)&amp;" ("&amp;TEXT(SUMPRODUCT(MAX((T_PlannedOrders[Part Name]=$A1069)*(T_PlannedOrders[WeekIndex]=93)*(T_PlannedOrders[EffectiveQty]&gt;0)*T_PlannedOrders[Order_Month])),"m月")&amp;"発注)")</f>
        <v/>
      </c>
      <c r="CS1075">
        <f>IF(SUMIFS(T_PlannedOrders[EffectiveQty],T_PlannedOrders[Part Name],$A1069,T_PlannedOrders[WeekIndex],94)=0,"",SUMIFS(T_PlannedOrders[EffectiveQty],T_PlannedOrders[Part Name],$A1069,T_PlannedOrders[WeekIndex],94)&amp;" ("&amp;TEXT(SUMPRODUCT(MAX((T_PlannedOrders[Part Name]=$A1069)*(T_PlannedOrders[WeekIndex]=94)*(T_PlannedOrders[EffectiveQty]&gt;0)*T_PlannedOrders[Order_Month])),"m月")&amp;"発注)")</f>
        <v/>
      </c>
      <c r="CT1075">
        <f>IF(SUMIFS(T_PlannedOrders[EffectiveQty],T_PlannedOrders[Part Name],$A1069,T_PlannedOrders[WeekIndex],95)=0,"",SUMIFS(T_PlannedOrders[EffectiveQty],T_PlannedOrders[Part Name],$A1069,T_PlannedOrders[WeekIndex],95)&amp;" ("&amp;TEXT(SUMPRODUCT(MAX((T_PlannedOrders[Part Name]=$A1069)*(T_PlannedOrders[WeekIndex]=95)*(T_PlannedOrders[EffectiveQty]&gt;0)*T_PlannedOrders[Order_Month])),"m月")&amp;"発注)")</f>
        <v/>
      </c>
      <c r="CU1075">
        <f>IF(SUMIFS(T_PlannedOrders[EffectiveQty],T_PlannedOrders[Part Name],$A1069,T_PlannedOrders[WeekIndex],96)=0,"",SUMIFS(T_PlannedOrders[EffectiveQty],T_PlannedOrders[Part Name],$A1069,T_PlannedOrders[WeekIndex],96)&amp;" ("&amp;TEXT(SUMPRODUCT(MAX((T_PlannedOrders[Part Name]=$A1069)*(T_PlannedOrders[WeekIndex]=96)*(T_PlannedOrders[EffectiveQty]&gt;0)*T_PlannedOrders[Order_Month])),"m月")&amp;"発注)")</f>
        <v/>
      </c>
      <c r="CV1075">
        <f>IF(SUMIFS(T_PlannedOrders[EffectiveQty],T_PlannedOrders[Part Name],$A1069,T_PlannedOrders[WeekIndex],97)=0,"",SUMIFS(T_PlannedOrders[EffectiveQty],T_PlannedOrders[Part Name],$A1069,T_PlannedOrders[WeekIndex],97)&amp;" ("&amp;TEXT(SUMPRODUCT(MAX((T_PlannedOrders[Part Name]=$A1069)*(T_PlannedOrders[WeekIndex]=97)*(T_PlannedOrders[EffectiveQty]&gt;0)*T_PlannedOrders[Order_Month])),"m月")&amp;"発注)")</f>
        <v/>
      </c>
      <c r="CW1075">
        <f>IF(SUMIFS(T_PlannedOrders[EffectiveQty],T_PlannedOrders[Part Name],$A1069,T_PlannedOrders[WeekIndex],98)=0,"",SUMIFS(T_PlannedOrders[EffectiveQty],T_PlannedOrders[Part Name],$A1069,T_PlannedOrders[WeekIndex],98)&amp;" ("&amp;TEXT(SUMPRODUCT(MAX((T_PlannedOrders[Part Name]=$A1069)*(T_PlannedOrders[WeekIndex]=98)*(T_PlannedOrders[EffectiveQty]&gt;0)*T_PlannedOrders[Order_Month])),"m月")&amp;"発注)")</f>
        <v/>
      </c>
      <c r="CX1075">
        <f>IF(SUMIFS(T_PlannedOrders[EffectiveQty],T_PlannedOrders[Part Name],$A1069,T_PlannedOrders[WeekIndex],99)=0,"",SUMIFS(T_PlannedOrders[EffectiveQty],T_PlannedOrders[Part Name],$A1069,T_PlannedOrders[WeekIndex],99)&amp;" ("&amp;TEXT(SUMPRODUCT(MAX((T_PlannedOrders[Part Name]=$A1069)*(T_PlannedOrders[WeekIndex]=99)*(T_PlannedOrders[EffectiveQty]&gt;0)*T_PlannedOrders[Order_Month])),"m月")&amp;"発注)")</f>
        <v/>
      </c>
      <c r="CY1075">
        <f>IF(SUMIFS(T_PlannedOrders[EffectiveQty],T_PlannedOrders[Part Name],$A1069,T_PlannedOrders[WeekIndex],100)=0,"",SUMIFS(T_PlannedOrders[EffectiveQty],T_PlannedOrders[Part Name],$A1069,T_PlannedOrders[WeekIndex],100)&amp;" ("&amp;TEXT(SUMPRODUCT(MAX((T_PlannedOrders[Part Name]=$A1069)*(T_PlannedOrders[WeekIndex]=100)*(T_PlannedOrders[EffectiveQty]&gt;0)*T_PlannedOrders[Order_Month])),"m月")&amp;"発注)")</f>
        <v/>
      </c>
      <c r="CZ1075">
        <f>IF(SUMIFS(T_PlannedOrders[EffectiveQty],T_PlannedOrders[Part Name],$A1069,T_PlannedOrders[WeekIndex],101)=0,"",SUMIFS(T_PlannedOrders[EffectiveQty],T_PlannedOrders[Part Name],$A1069,T_PlannedOrders[WeekIndex],101)&amp;" ("&amp;TEXT(SUMPRODUCT(MAX((T_PlannedOrders[Part Name]=$A1069)*(T_PlannedOrders[WeekIndex]=101)*(T_PlannedOrders[EffectiveQty]&gt;0)*T_PlannedOrders[Order_Month])),"m月")&amp;"発注)")</f>
        <v/>
      </c>
      <c r="DA1075">
        <f>IF(SUMIFS(T_PlannedOrders[EffectiveQty],T_PlannedOrders[Part Name],$A1069,T_PlannedOrders[WeekIndex],102)=0,"",SUMIFS(T_PlannedOrders[EffectiveQty],T_PlannedOrders[Part Name],$A1069,T_PlannedOrders[WeekIndex],102)&amp;" ("&amp;TEXT(SUMPRODUCT(MAX((T_PlannedOrders[Part Name]=$A1069)*(T_PlannedOrders[WeekIndex]=102)*(T_PlannedOrders[EffectiveQty]&gt;0)*T_PlannedOrders[Order_Month])),"m月")&amp;"発注)")</f>
        <v/>
      </c>
      <c r="DB1075">
        <f>IF(SUMIFS(T_PlannedOrders[EffectiveQty],T_PlannedOrders[Part Name],$A1069,T_PlannedOrders[WeekIndex],103)=0,"",SUMIFS(T_PlannedOrders[EffectiveQty],T_PlannedOrders[Part Name],$A1069,T_PlannedOrders[WeekIndex],103)&amp;" ("&amp;TEXT(SUMPRODUCT(MAX((T_PlannedOrders[Part Name]=$A1069)*(T_PlannedOrders[WeekIndex]=103)*(T_PlannedOrders[EffectiveQty]&gt;0)*T_PlannedOrders[Order_Month])),"m月")&amp;"発注)")</f>
        <v/>
      </c>
      <c r="DC1075">
        <f>IF(SUMIFS(T_PlannedOrders[EffectiveQty],T_PlannedOrders[Part Name],$A1069,T_PlannedOrders[WeekIndex],104)=0,"",SUMIFS(T_PlannedOrders[EffectiveQty],T_PlannedOrders[Part Name],$A1069,T_PlannedOrders[WeekIndex],104)&amp;" ("&amp;TEXT(SUMPRODUCT(MAX((T_PlannedOrders[Part Name]=$A1069)*(T_PlannedOrders[WeekIndex]=104)*(T_PlannedOrders[EffectiveQty]&gt;0)*T_PlannedOrders[Order_Month])),"m月")&amp;"発注)")</f>
        <v/>
      </c>
    </row>
    <row r="1076">
      <c r="B1076" s="4" t="inlineStr">
        <is>
          <t>合計在庫(週末時点,kg)</t>
        </is>
      </c>
      <c r="D1076">
        <f>'Grid_Stock'!B44</f>
        <v/>
      </c>
      <c r="E1076">
        <f>'Grid_Stock'!C44</f>
        <v/>
      </c>
      <c r="F1076">
        <f>'Grid_Stock'!D44</f>
        <v/>
      </c>
      <c r="G1076">
        <f>'Grid_Stock'!E44</f>
        <v/>
      </c>
      <c r="H1076">
        <f>'Grid_Stock'!F44</f>
        <v/>
      </c>
      <c r="I1076">
        <f>'Grid_Stock'!G44</f>
        <v/>
      </c>
      <c r="J1076">
        <f>'Grid_Stock'!H44</f>
        <v/>
      </c>
      <c r="K1076">
        <f>'Grid_Stock'!I44</f>
        <v/>
      </c>
      <c r="L1076">
        <f>'Grid_Stock'!J44</f>
        <v/>
      </c>
      <c r="M1076">
        <f>'Grid_Stock'!K44</f>
        <v/>
      </c>
      <c r="N1076">
        <f>'Grid_Stock'!L44</f>
        <v/>
      </c>
      <c r="O1076">
        <f>'Grid_Stock'!M44</f>
        <v/>
      </c>
      <c r="P1076">
        <f>'Grid_Stock'!N44</f>
        <v/>
      </c>
      <c r="Q1076">
        <f>'Grid_Stock'!O44</f>
        <v/>
      </c>
      <c r="R1076">
        <f>'Grid_Stock'!P44</f>
        <v/>
      </c>
      <c r="S1076">
        <f>'Grid_Stock'!Q44</f>
        <v/>
      </c>
      <c r="T1076">
        <f>'Grid_Stock'!R44</f>
        <v/>
      </c>
      <c r="U1076">
        <f>'Grid_Stock'!S44</f>
        <v/>
      </c>
      <c r="V1076">
        <f>'Grid_Stock'!T44</f>
        <v/>
      </c>
      <c r="W1076">
        <f>'Grid_Stock'!U44</f>
        <v/>
      </c>
      <c r="X1076">
        <f>'Grid_Stock'!V44</f>
        <v/>
      </c>
      <c r="Y1076">
        <f>'Grid_Stock'!W44</f>
        <v/>
      </c>
      <c r="Z1076">
        <f>'Grid_Stock'!X44</f>
        <v/>
      </c>
      <c r="AA1076">
        <f>'Grid_Stock'!Y44</f>
        <v/>
      </c>
      <c r="AB1076">
        <f>'Grid_Stock'!Z44</f>
        <v/>
      </c>
      <c r="AC1076">
        <f>'Grid_Stock'!AA44</f>
        <v/>
      </c>
      <c r="AD1076">
        <f>'Grid_Stock'!AB44</f>
        <v/>
      </c>
      <c r="AE1076">
        <f>'Grid_Stock'!AC44</f>
        <v/>
      </c>
      <c r="AF1076">
        <f>'Grid_Stock'!AD44</f>
        <v/>
      </c>
      <c r="AG1076">
        <f>'Grid_Stock'!AE44</f>
        <v/>
      </c>
      <c r="AH1076">
        <f>'Grid_Stock'!AF44</f>
        <v/>
      </c>
      <c r="AI1076">
        <f>'Grid_Stock'!AG44</f>
        <v/>
      </c>
      <c r="AJ1076">
        <f>'Grid_Stock'!AH44</f>
        <v/>
      </c>
      <c r="AK1076">
        <f>'Grid_Stock'!AI44</f>
        <v/>
      </c>
      <c r="AL1076">
        <f>'Grid_Stock'!AJ44</f>
        <v/>
      </c>
      <c r="AM1076">
        <f>'Grid_Stock'!AK44</f>
        <v/>
      </c>
      <c r="AN1076">
        <f>'Grid_Stock'!AL44</f>
        <v/>
      </c>
      <c r="AO1076">
        <f>'Grid_Stock'!AM44</f>
        <v/>
      </c>
      <c r="AP1076">
        <f>'Grid_Stock'!AN44</f>
        <v/>
      </c>
      <c r="AQ1076">
        <f>'Grid_Stock'!AO44</f>
        <v/>
      </c>
      <c r="AR1076">
        <f>'Grid_Stock'!AP44</f>
        <v/>
      </c>
      <c r="AS1076">
        <f>'Grid_Stock'!AQ44</f>
        <v/>
      </c>
      <c r="AT1076">
        <f>'Grid_Stock'!AR44</f>
        <v/>
      </c>
      <c r="AU1076">
        <f>'Grid_Stock'!AS44</f>
        <v/>
      </c>
      <c r="AV1076">
        <f>'Grid_Stock'!AT44</f>
        <v/>
      </c>
      <c r="AW1076">
        <f>'Grid_Stock'!AU44</f>
        <v/>
      </c>
      <c r="AX1076">
        <f>'Grid_Stock'!AV44</f>
        <v/>
      </c>
      <c r="AY1076">
        <f>'Grid_Stock'!AW44</f>
        <v/>
      </c>
      <c r="AZ1076">
        <f>'Grid_Stock'!AX44</f>
        <v/>
      </c>
      <c r="BA1076">
        <f>'Grid_Stock'!AY44</f>
        <v/>
      </c>
      <c r="BB1076">
        <f>'Grid_Stock'!AZ44</f>
        <v/>
      </c>
      <c r="BC1076">
        <f>'Grid_Stock'!BA44</f>
        <v/>
      </c>
      <c r="BD1076">
        <f>'Grid_Stock'!BB44</f>
        <v/>
      </c>
      <c r="BE1076">
        <f>'Grid_Stock'!BC44</f>
        <v/>
      </c>
      <c r="BF1076">
        <f>'Grid_Stock'!BD44</f>
        <v/>
      </c>
      <c r="BG1076">
        <f>'Grid_Stock'!BE44</f>
        <v/>
      </c>
      <c r="BH1076">
        <f>'Grid_Stock'!BF44</f>
        <v/>
      </c>
      <c r="BI1076">
        <f>'Grid_Stock'!BG44</f>
        <v/>
      </c>
      <c r="BJ1076">
        <f>'Grid_Stock'!BH44</f>
        <v/>
      </c>
      <c r="BK1076">
        <f>'Grid_Stock'!BI44</f>
        <v/>
      </c>
      <c r="BL1076">
        <f>'Grid_Stock'!BJ44</f>
        <v/>
      </c>
      <c r="BM1076">
        <f>'Grid_Stock'!BK44</f>
        <v/>
      </c>
      <c r="BN1076">
        <f>'Grid_Stock'!BL44</f>
        <v/>
      </c>
      <c r="BO1076">
        <f>'Grid_Stock'!BM44</f>
        <v/>
      </c>
      <c r="BP1076">
        <f>'Grid_Stock'!BN44</f>
        <v/>
      </c>
      <c r="BQ1076">
        <f>'Grid_Stock'!BO44</f>
        <v/>
      </c>
      <c r="BR1076">
        <f>'Grid_Stock'!BP44</f>
        <v/>
      </c>
      <c r="BS1076">
        <f>'Grid_Stock'!BQ44</f>
        <v/>
      </c>
      <c r="BT1076">
        <f>'Grid_Stock'!BR44</f>
        <v/>
      </c>
      <c r="BU1076">
        <f>'Grid_Stock'!BS44</f>
        <v/>
      </c>
      <c r="BV1076">
        <f>'Grid_Stock'!BT44</f>
        <v/>
      </c>
      <c r="BW1076">
        <f>'Grid_Stock'!BU44</f>
        <v/>
      </c>
      <c r="BX1076">
        <f>'Grid_Stock'!BV44</f>
        <v/>
      </c>
      <c r="BY1076">
        <f>'Grid_Stock'!BW44</f>
        <v/>
      </c>
      <c r="BZ1076">
        <f>'Grid_Stock'!BX44</f>
        <v/>
      </c>
      <c r="CA1076">
        <f>'Grid_Stock'!BY44</f>
        <v/>
      </c>
      <c r="CB1076">
        <f>'Grid_Stock'!BZ44</f>
        <v/>
      </c>
      <c r="CC1076">
        <f>'Grid_Stock'!CA44</f>
        <v/>
      </c>
      <c r="CD1076">
        <f>'Grid_Stock'!CB44</f>
        <v/>
      </c>
      <c r="CE1076">
        <f>'Grid_Stock'!CC44</f>
        <v/>
      </c>
      <c r="CF1076">
        <f>'Grid_Stock'!CD44</f>
        <v/>
      </c>
      <c r="CG1076">
        <f>'Grid_Stock'!CE44</f>
        <v/>
      </c>
      <c r="CH1076">
        <f>'Grid_Stock'!CF44</f>
        <v/>
      </c>
      <c r="CI1076">
        <f>'Grid_Stock'!CG44</f>
        <v/>
      </c>
      <c r="CJ1076">
        <f>'Grid_Stock'!CH44</f>
        <v/>
      </c>
      <c r="CK1076">
        <f>'Grid_Stock'!CI44</f>
        <v/>
      </c>
      <c r="CL1076">
        <f>'Grid_Stock'!CJ44</f>
        <v/>
      </c>
      <c r="CM1076">
        <f>'Grid_Stock'!CK44</f>
        <v/>
      </c>
      <c r="CN1076">
        <f>'Grid_Stock'!CL44</f>
        <v/>
      </c>
      <c r="CO1076">
        <f>'Grid_Stock'!CM44</f>
        <v/>
      </c>
      <c r="CP1076">
        <f>'Grid_Stock'!CN44</f>
        <v/>
      </c>
      <c r="CQ1076">
        <f>'Grid_Stock'!CO44</f>
        <v/>
      </c>
      <c r="CR1076">
        <f>'Grid_Stock'!CP44</f>
        <v/>
      </c>
      <c r="CS1076">
        <f>'Grid_Stock'!CQ44</f>
        <v/>
      </c>
      <c r="CT1076">
        <f>'Grid_Stock'!CR44</f>
        <v/>
      </c>
      <c r="CU1076">
        <f>'Grid_Stock'!CS44</f>
        <v/>
      </c>
      <c r="CV1076">
        <f>'Grid_Stock'!CT44</f>
        <v/>
      </c>
      <c r="CW1076">
        <f>'Grid_Stock'!CU44</f>
        <v/>
      </c>
      <c r="CX1076">
        <f>'Grid_Stock'!CV44</f>
        <v/>
      </c>
      <c r="CY1076">
        <f>'Grid_Stock'!CW44</f>
        <v/>
      </c>
      <c r="CZ1076">
        <f>'Grid_Stock'!CX44</f>
        <v/>
      </c>
      <c r="DA1076">
        <f>'Grid_Stock'!CY44</f>
        <v/>
      </c>
      <c r="DB1076">
        <f>'Grid_Stock'!CZ44</f>
        <v/>
      </c>
      <c r="DC1076">
        <f>'Grid_Stock'!DA44</f>
        <v/>
      </c>
    </row>
    <row r="1077">
      <c r="B1077" s="16" t="inlineStr">
        <is>
          <t>（発注の目安はDashboardの基準在庫[下限/上限]と色分けを参照）</t>
        </is>
      </c>
    </row>
    <row r="1079">
      <c r="A1079" s="14" t="inlineStr">
        <is>
          <t>9RN</t>
        </is>
      </c>
      <c r="B1079" s="14" t="inlineStr">
        <is>
          <t>N30S89R11WF7  4FK13117080</t>
        </is>
      </c>
      <c r="C1079" s="15" t="n"/>
      <c r="D1079" s="14" t="n"/>
      <c r="E1079" s="14" t="n"/>
      <c r="F1079" s="14" t="n"/>
      <c r="G1079" s="14" t="n"/>
      <c r="H1079" s="14" t="n"/>
      <c r="I1079" s="14" t="n"/>
      <c r="J1079" s="14" t="n"/>
      <c r="K1079" s="14" t="n"/>
      <c r="L1079" s="14" t="n"/>
      <c r="M1079" s="14" t="n"/>
      <c r="N1079" s="14" t="n"/>
      <c r="O1079" s="14" t="n"/>
      <c r="P1079" s="14" t="n"/>
      <c r="Q1079" s="14" t="n"/>
      <c r="R1079" s="14" t="n"/>
      <c r="S1079" s="14" t="n"/>
      <c r="T1079" s="14" t="n"/>
      <c r="U1079" s="14" t="n"/>
      <c r="V1079" s="14" t="n"/>
      <c r="W1079" s="14" t="n"/>
      <c r="X1079" s="14" t="n"/>
      <c r="Y1079" s="14" t="n"/>
      <c r="Z1079" s="14" t="n"/>
      <c r="AA1079" s="14" t="n"/>
      <c r="AB1079" s="14" t="n"/>
      <c r="AC1079" s="14" t="n"/>
      <c r="AD1079" s="14" t="n"/>
      <c r="AE1079" s="14" t="n"/>
      <c r="AF1079" s="14" t="n"/>
      <c r="AG1079" s="14" t="n"/>
      <c r="AH1079" s="14" t="n"/>
      <c r="AI1079" s="14" t="n"/>
      <c r="AJ1079" s="14" t="n"/>
      <c r="AK1079" s="14" t="n"/>
      <c r="AL1079" s="14" t="n"/>
      <c r="AM1079" s="14" t="n"/>
      <c r="AN1079" s="14" t="n"/>
      <c r="AO1079" s="14" t="n"/>
      <c r="AP1079" s="14" t="n"/>
      <c r="AQ1079" s="14" t="n"/>
      <c r="AR1079" s="14" t="n"/>
      <c r="AS1079" s="14" t="n"/>
      <c r="AT1079" s="14" t="n"/>
      <c r="AU1079" s="14" t="n"/>
      <c r="AV1079" s="14" t="n"/>
      <c r="AW1079" s="14" t="n"/>
      <c r="AX1079" s="14" t="n"/>
      <c r="AY1079" s="14" t="n"/>
      <c r="AZ1079" s="14" t="n"/>
      <c r="BA1079" s="14" t="n"/>
      <c r="BB1079" s="14" t="n"/>
      <c r="BC1079" s="14" t="n"/>
      <c r="BD1079" s="14" t="n"/>
      <c r="BE1079" s="14" t="n"/>
      <c r="BF1079" s="14" t="n"/>
      <c r="BG1079" s="14" t="n"/>
      <c r="BH1079" s="14" t="n"/>
      <c r="BI1079" s="14" t="n"/>
      <c r="BJ1079" s="14" t="n"/>
      <c r="BK1079" s="14" t="n"/>
      <c r="BL1079" s="14" t="n"/>
      <c r="BM1079" s="14" t="n"/>
      <c r="BN1079" s="14" t="n"/>
      <c r="BO1079" s="14" t="n"/>
      <c r="BP1079" s="14" t="n"/>
      <c r="BQ1079" s="14" t="n"/>
      <c r="BR1079" s="14" t="n"/>
      <c r="BS1079" s="14" t="n"/>
      <c r="BT1079" s="14" t="n"/>
      <c r="BU1079" s="14" t="n"/>
      <c r="BV1079" s="14" t="n"/>
      <c r="BW1079" s="14" t="n"/>
      <c r="BX1079" s="14" t="n"/>
      <c r="BY1079" s="14" t="n"/>
      <c r="BZ1079" s="14" t="n"/>
      <c r="CA1079" s="14" t="n"/>
      <c r="CB1079" s="14" t="n"/>
      <c r="CC1079" s="14" t="n"/>
      <c r="CD1079" s="14" t="n"/>
      <c r="CE1079" s="14" t="n"/>
      <c r="CF1079" s="14" t="n"/>
      <c r="CG1079" s="14" t="n"/>
      <c r="CH1079" s="14" t="n"/>
      <c r="CI1079" s="14" t="n"/>
      <c r="CJ1079" s="14" t="n"/>
      <c r="CK1079" s="14" t="n"/>
      <c r="CL1079" s="14" t="n"/>
      <c r="CM1079" s="14" t="n"/>
      <c r="CN1079" s="14" t="n"/>
      <c r="CO1079" s="14" t="n"/>
      <c r="CP1079" s="14" t="n"/>
      <c r="CQ1079" s="14" t="n"/>
      <c r="CR1079" s="14" t="n"/>
      <c r="CS1079" s="14" t="n"/>
      <c r="CT1079" s="14" t="n"/>
      <c r="CU1079" s="14" t="n"/>
      <c r="CV1079" s="14" t="n"/>
      <c r="CW1079" s="14" t="n"/>
      <c r="CX1079" s="14" t="n"/>
      <c r="CY1079" s="14" t="n"/>
      <c r="CZ1079" s="14" t="n"/>
      <c r="DA1079" s="14" t="n"/>
      <c r="DB1079" s="14" t="n"/>
      <c r="DC1079" s="14" t="n"/>
    </row>
    <row r="1080">
      <c r="B1080" t="inlineStr">
        <is>
          <t>K0050</t>
        </is>
      </c>
      <c r="C1080" t="inlineStr">
        <is>
          <t>No. of batches</t>
        </is>
      </c>
      <c r="D1080">
        <f>IFERROR(INDEX(PP_Grid[#Data],$DD1080,2),0)</f>
        <v/>
      </c>
      <c r="E1080">
        <f>IFERROR(INDEX(PP_Grid[#Data],$DD1080,3),0)</f>
        <v/>
      </c>
      <c r="F1080">
        <f>IFERROR(INDEX(PP_Grid[#Data],$DD1080,4),0)</f>
        <v/>
      </c>
      <c r="G1080">
        <f>IFERROR(INDEX(PP_Grid[#Data],$DD1080,5),0)</f>
        <v/>
      </c>
      <c r="H1080">
        <f>IFERROR(INDEX(PP_Grid[#Data],$DD1080,6),0)</f>
        <v/>
      </c>
      <c r="I1080">
        <f>IFERROR(INDEX(PP_Grid[#Data],$DD1080,7),0)</f>
        <v/>
      </c>
      <c r="J1080">
        <f>IFERROR(INDEX(PP_Grid[#Data],$DD1080,8),0)</f>
        <v/>
      </c>
      <c r="K1080">
        <f>IFERROR(INDEX(PP_Grid[#Data],$DD1080,9),0)</f>
        <v/>
      </c>
      <c r="L1080">
        <f>IFERROR(INDEX(PP_Grid[#Data],$DD1080,10),0)</f>
        <v/>
      </c>
      <c r="M1080">
        <f>IFERROR(INDEX(PP_Grid[#Data],$DD1080,11),0)</f>
        <v/>
      </c>
      <c r="N1080">
        <f>IFERROR(INDEX(PP_Grid[#Data],$DD1080,12),0)</f>
        <v/>
      </c>
      <c r="O1080">
        <f>IFERROR(INDEX(PP_Grid[#Data],$DD1080,13),0)</f>
        <v/>
      </c>
      <c r="P1080">
        <f>IFERROR(INDEX(PP_Grid[#Data],$DD1080,14),0)</f>
        <v/>
      </c>
      <c r="Q1080">
        <f>IFERROR(INDEX(PP_Grid[#Data],$DD1080,15),0)</f>
        <v/>
      </c>
      <c r="R1080">
        <f>IFERROR(INDEX(PP_Grid[#Data],$DD1080,16),0)</f>
        <v/>
      </c>
      <c r="S1080">
        <f>IFERROR(INDEX(PP_Grid[#Data],$DD1080,17),0)</f>
        <v/>
      </c>
      <c r="T1080">
        <f>IFERROR(INDEX(PP_Grid[#Data],$DD1080,18),0)</f>
        <v/>
      </c>
      <c r="U1080">
        <f>IFERROR(INDEX(PP_Grid[#Data],$DD1080,19),0)</f>
        <v/>
      </c>
      <c r="V1080">
        <f>IFERROR(INDEX(PP_Grid[#Data],$DD1080,20),0)</f>
        <v/>
      </c>
      <c r="W1080">
        <f>IFERROR(INDEX(PP_Grid[#Data],$DD1080,21),0)</f>
        <v/>
      </c>
      <c r="X1080">
        <f>IFERROR(INDEX(PP_Grid[#Data],$DD1080,22),0)</f>
        <v/>
      </c>
      <c r="Y1080">
        <f>IFERROR(INDEX(PP_Grid[#Data],$DD1080,23),0)</f>
        <v/>
      </c>
      <c r="Z1080">
        <f>IFERROR(INDEX(PP_Grid[#Data],$DD1080,24),0)</f>
        <v/>
      </c>
      <c r="AA1080">
        <f>IFERROR(INDEX(PP_Grid[#Data],$DD1080,25),0)</f>
        <v/>
      </c>
      <c r="AB1080">
        <f>IFERROR(INDEX(PP_Grid[#Data],$DD1080,26),0)</f>
        <v/>
      </c>
      <c r="AC1080">
        <f>IFERROR(INDEX(PP_Grid[#Data],$DD1080,27),0)</f>
        <v/>
      </c>
      <c r="AD1080">
        <f>IFERROR(INDEX(PP_Grid[#Data],$DD1080,28),0)</f>
        <v/>
      </c>
      <c r="AE1080">
        <f>IFERROR(INDEX(PP_Grid[#Data],$DD1080,29),0)</f>
        <v/>
      </c>
      <c r="AF1080">
        <f>IFERROR(INDEX(PP_Grid[#Data],$DD1080,30),0)</f>
        <v/>
      </c>
      <c r="AG1080">
        <f>IFERROR(INDEX(PP_Grid[#Data],$DD1080,31),0)</f>
        <v/>
      </c>
      <c r="AH1080">
        <f>IFERROR(INDEX(PP_Grid[#Data],$DD1080,32),0)</f>
        <v/>
      </c>
      <c r="AI1080">
        <f>IFERROR(INDEX(PP_Grid[#Data],$DD1080,33),0)</f>
        <v/>
      </c>
      <c r="AJ1080">
        <f>IFERROR(INDEX(PP_Grid[#Data],$DD1080,34),0)</f>
        <v/>
      </c>
      <c r="AK1080">
        <f>IFERROR(INDEX(PP_Grid[#Data],$DD1080,35),0)</f>
        <v/>
      </c>
      <c r="AL1080">
        <f>IFERROR(INDEX(PP_Grid[#Data],$DD1080,36),0)</f>
        <v/>
      </c>
      <c r="AM1080">
        <f>IFERROR(INDEX(PP_Grid[#Data],$DD1080,37),0)</f>
        <v/>
      </c>
      <c r="AN1080">
        <f>IFERROR(INDEX(PP_Grid[#Data],$DD1080,38),0)</f>
        <v/>
      </c>
      <c r="AO1080">
        <f>IFERROR(INDEX(PP_Grid[#Data],$DD1080,39),0)</f>
        <v/>
      </c>
      <c r="AP1080">
        <f>IFERROR(INDEX(PP_Grid[#Data],$DD1080,40),0)</f>
        <v/>
      </c>
      <c r="AQ1080">
        <f>IFERROR(INDEX(PP_Grid[#Data],$DD1080,41),0)</f>
        <v/>
      </c>
      <c r="AR1080">
        <f>IFERROR(INDEX(PP_Grid[#Data],$DD1080,42),0)</f>
        <v/>
      </c>
      <c r="AS1080">
        <f>IFERROR(INDEX(PP_Grid[#Data],$DD1080,43),0)</f>
        <v/>
      </c>
      <c r="AT1080">
        <f>IFERROR(INDEX(PP_Grid[#Data],$DD1080,44),0)</f>
        <v/>
      </c>
      <c r="AU1080">
        <f>IFERROR(INDEX(PP_Grid[#Data],$DD1080,45),0)</f>
        <v/>
      </c>
      <c r="AV1080">
        <f>IFERROR(INDEX(PP_Grid[#Data],$DD1080,46),0)</f>
        <v/>
      </c>
      <c r="AW1080">
        <f>IFERROR(INDEX(PP_Grid[#Data],$DD1080,47),0)</f>
        <v/>
      </c>
      <c r="AX1080">
        <f>IFERROR(INDEX(PP_Grid[#Data],$DD1080,48),0)</f>
        <v/>
      </c>
      <c r="AY1080">
        <f>IFERROR(INDEX(PP_Grid[#Data],$DD1080,49),0)</f>
        <v/>
      </c>
      <c r="AZ1080">
        <f>IFERROR(INDEX(PP_Grid[#Data],$DD1080,50),0)</f>
        <v/>
      </c>
      <c r="BA1080">
        <f>IFERROR(INDEX(PP_Grid[#Data],$DD1080,51),0)</f>
        <v/>
      </c>
      <c r="BB1080">
        <f>IFERROR(INDEX(PP_Grid[#Data],$DD1080,52),0)</f>
        <v/>
      </c>
      <c r="BC1080">
        <f>IFERROR(INDEX(PP_Grid[#Data],$DD1080,53),0)</f>
        <v/>
      </c>
      <c r="BD1080">
        <f>IFERROR(INDEX(PP_Grid[#Data],$DD1080,54),0)</f>
        <v/>
      </c>
      <c r="BE1080">
        <f>IFERROR(INDEX(PP_Grid[#Data],$DD1080,55),0)</f>
        <v/>
      </c>
      <c r="BF1080">
        <f>IFERROR(INDEX(PP_Grid[#Data],$DD1080,56),0)</f>
        <v/>
      </c>
      <c r="BG1080">
        <f>IFERROR(INDEX(PP_Grid[#Data],$DD1080,57),0)</f>
        <v/>
      </c>
      <c r="BH1080">
        <f>IFERROR(INDEX(PP_Grid[#Data],$DD1080,58),0)</f>
        <v/>
      </c>
      <c r="BI1080">
        <f>IFERROR(INDEX(PP_Grid[#Data],$DD1080,59),0)</f>
        <v/>
      </c>
      <c r="BJ1080">
        <f>IFERROR(INDEX(PP_Grid[#Data],$DD1080,60),0)</f>
        <v/>
      </c>
      <c r="BK1080">
        <f>IFERROR(INDEX(PP_Grid[#Data],$DD1080,61),0)</f>
        <v/>
      </c>
      <c r="BL1080">
        <f>IFERROR(INDEX(PP_Grid[#Data],$DD1080,62),0)</f>
        <v/>
      </c>
      <c r="BM1080">
        <f>IFERROR(INDEX(PP_Grid[#Data],$DD1080,63),0)</f>
        <v/>
      </c>
      <c r="BN1080">
        <f>IFERROR(INDEX(PP_Grid[#Data],$DD1080,64),0)</f>
        <v/>
      </c>
      <c r="BO1080">
        <f>IFERROR(INDEX(PP_Grid[#Data],$DD1080,65),0)</f>
        <v/>
      </c>
      <c r="BP1080">
        <f>IFERROR(INDEX(PP_Grid[#Data],$DD1080,66),0)</f>
        <v/>
      </c>
      <c r="BQ1080">
        <f>IFERROR(INDEX(PP_Grid[#Data],$DD1080,67),0)</f>
        <v/>
      </c>
      <c r="BR1080">
        <f>IFERROR(INDEX(PP_Grid[#Data],$DD1080,68),0)</f>
        <v/>
      </c>
      <c r="BS1080">
        <f>IFERROR(INDEX(PP_Grid[#Data],$DD1080,69),0)</f>
        <v/>
      </c>
      <c r="BT1080">
        <f>IFERROR(INDEX(PP_Grid[#Data],$DD1080,70),0)</f>
        <v/>
      </c>
      <c r="BU1080">
        <f>IFERROR(INDEX(PP_Grid[#Data],$DD1080,71),0)</f>
        <v/>
      </c>
      <c r="BV1080">
        <f>IFERROR(INDEX(PP_Grid[#Data],$DD1080,72),0)</f>
        <v/>
      </c>
      <c r="BW1080">
        <f>IFERROR(INDEX(PP_Grid[#Data],$DD1080,73),0)</f>
        <v/>
      </c>
      <c r="BX1080">
        <f>IFERROR(INDEX(PP_Grid[#Data],$DD1080,74),0)</f>
        <v/>
      </c>
      <c r="BY1080">
        <f>IFERROR(INDEX(PP_Grid[#Data],$DD1080,75),0)</f>
        <v/>
      </c>
      <c r="BZ1080">
        <f>IFERROR(INDEX(PP_Grid[#Data],$DD1080,76),0)</f>
        <v/>
      </c>
      <c r="CA1080">
        <f>IFERROR(INDEX(PP_Grid[#Data],$DD1080,77),0)</f>
        <v/>
      </c>
      <c r="CB1080">
        <f>IFERROR(INDEX(PP_Grid[#Data],$DD1080,78),0)</f>
        <v/>
      </c>
      <c r="CC1080">
        <f>IFERROR(INDEX(PP_Grid[#Data],$DD1080,79),0)</f>
        <v/>
      </c>
      <c r="CD1080">
        <f>IFERROR(INDEX(PP_Grid[#Data],$DD1080,80),0)</f>
        <v/>
      </c>
      <c r="CE1080">
        <f>IFERROR(INDEX(PP_Grid[#Data],$DD1080,81),0)</f>
        <v/>
      </c>
      <c r="CF1080">
        <f>IFERROR(INDEX(PP_Grid[#Data],$DD1080,82),0)</f>
        <v/>
      </c>
      <c r="CG1080">
        <f>IFERROR(INDEX(PP_Grid[#Data],$DD1080,83),0)</f>
        <v/>
      </c>
      <c r="CH1080">
        <f>IFERROR(INDEX(PP_Grid[#Data],$DD1080,84),0)</f>
        <v/>
      </c>
      <c r="CI1080">
        <f>IFERROR(INDEX(PP_Grid[#Data],$DD1080,85),0)</f>
        <v/>
      </c>
      <c r="CJ1080">
        <f>IFERROR(INDEX(PP_Grid[#Data],$DD1080,86),0)</f>
        <v/>
      </c>
      <c r="CK1080">
        <f>IFERROR(INDEX(PP_Grid[#Data],$DD1080,87),0)</f>
        <v/>
      </c>
      <c r="CL1080">
        <f>IFERROR(INDEX(PP_Grid[#Data],$DD1080,88),0)</f>
        <v/>
      </c>
      <c r="CM1080">
        <f>IFERROR(INDEX(PP_Grid[#Data],$DD1080,89),0)</f>
        <v/>
      </c>
      <c r="CN1080">
        <f>IFERROR(INDEX(PP_Grid[#Data],$DD1080,90),0)</f>
        <v/>
      </c>
      <c r="CO1080">
        <f>IFERROR(INDEX(PP_Grid[#Data],$DD1080,91),0)</f>
        <v/>
      </c>
      <c r="CP1080">
        <f>IFERROR(INDEX(PP_Grid[#Data],$DD1080,92),0)</f>
        <v/>
      </c>
      <c r="CQ1080">
        <f>IFERROR(INDEX(PP_Grid[#Data],$DD1080,93),0)</f>
        <v/>
      </c>
      <c r="CR1080">
        <f>IFERROR(INDEX(PP_Grid[#Data],$DD1080,94),0)</f>
        <v/>
      </c>
      <c r="CS1080">
        <f>IFERROR(INDEX(PP_Grid[#Data],$DD1080,95),0)</f>
        <v/>
      </c>
      <c r="CT1080">
        <f>IFERROR(INDEX(PP_Grid[#Data],$DD1080,96),0)</f>
        <v/>
      </c>
      <c r="CU1080">
        <f>IFERROR(INDEX(PP_Grid[#Data],$DD1080,97),0)</f>
        <v/>
      </c>
      <c r="CV1080">
        <f>IFERROR(INDEX(PP_Grid[#Data],$DD1080,98),0)</f>
        <v/>
      </c>
      <c r="CW1080">
        <f>IFERROR(INDEX(PP_Grid[#Data],$DD1080,99),0)</f>
        <v/>
      </c>
      <c r="CX1080">
        <f>IFERROR(INDEX(PP_Grid[#Data],$DD1080,100),0)</f>
        <v/>
      </c>
      <c r="CY1080">
        <f>IFERROR(INDEX(PP_Grid[#Data],$DD1080,101),0)</f>
        <v/>
      </c>
      <c r="CZ1080">
        <f>IFERROR(INDEX(PP_Grid[#Data],$DD1080,102),0)</f>
        <v/>
      </c>
      <c r="DA1080">
        <f>IFERROR(INDEX(PP_Grid[#Data],$DD1080,103),0)</f>
        <v/>
      </c>
      <c r="DB1080">
        <f>IFERROR(INDEX(PP_Grid[#Data],$DD1080,104),0)</f>
        <v/>
      </c>
      <c r="DC1080">
        <f>IFERROR(INDEX(PP_Grid[#Data],$DD1080,105),0)</f>
        <v/>
      </c>
      <c r="DD1080" s="7">
        <f>IFERROR(MATCH($B1080,PP_Grid[Intermediate],0),99999)</f>
        <v/>
      </c>
    </row>
    <row r="1081">
      <c r="B1081" t="inlineStr">
        <is>
          <t>使用量(kg)</t>
        </is>
      </c>
      <c r="C1081">
        <f>SUMIFS(M_BOM[RM_Qty_Per_Batch],M_BOM[Intermediate],$B1080,M_BOM[Part Name],$A1079)</f>
        <v/>
      </c>
      <c r="D1081">
        <f>$C1081*D1080</f>
        <v/>
      </c>
      <c r="E1081">
        <f>$C1081*E1080</f>
        <v/>
      </c>
      <c r="F1081">
        <f>$C1081*F1080</f>
        <v/>
      </c>
      <c r="G1081">
        <f>$C1081*G1080</f>
        <v/>
      </c>
      <c r="H1081">
        <f>$C1081*H1080</f>
        <v/>
      </c>
      <c r="I1081">
        <f>$C1081*I1080</f>
        <v/>
      </c>
      <c r="J1081">
        <f>$C1081*J1080</f>
        <v/>
      </c>
      <c r="K1081">
        <f>$C1081*K1080</f>
        <v/>
      </c>
      <c r="L1081">
        <f>$C1081*L1080</f>
        <v/>
      </c>
      <c r="M1081">
        <f>$C1081*M1080</f>
        <v/>
      </c>
      <c r="N1081">
        <f>$C1081*N1080</f>
        <v/>
      </c>
      <c r="O1081">
        <f>$C1081*O1080</f>
        <v/>
      </c>
      <c r="P1081">
        <f>$C1081*P1080</f>
        <v/>
      </c>
      <c r="Q1081">
        <f>$C1081*Q1080</f>
        <v/>
      </c>
      <c r="R1081">
        <f>$C1081*R1080</f>
        <v/>
      </c>
      <c r="S1081">
        <f>$C1081*S1080</f>
        <v/>
      </c>
      <c r="T1081">
        <f>$C1081*T1080</f>
        <v/>
      </c>
      <c r="U1081">
        <f>$C1081*U1080</f>
        <v/>
      </c>
      <c r="V1081">
        <f>$C1081*V1080</f>
        <v/>
      </c>
      <c r="W1081">
        <f>$C1081*W1080</f>
        <v/>
      </c>
      <c r="X1081">
        <f>$C1081*X1080</f>
        <v/>
      </c>
      <c r="Y1081">
        <f>$C1081*Y1080</f>
        <v/>
      </c>
      <c r="Z1081">
        <f>$C1081*Z1080</f>
        <v/>
      </c>
      <c r="AA1081">
        <f>$C1081*AA1080</f>
        <v/>
      </c>
      <c r="AB1081">
        <f>$C1081*AB1080</f>
        <v/>
      </c>
      <c r="AC1081">
        <f>$C1081*AC1080</f>
        <v/>
      </c>
      <c r="AD1081">
        <f>$C1081*AD1080</f>
        <v/>
      </c>
      <c r="AE1081">
        <f>$C1081*AE1080</f>
        <v/>
      </c>
      <c r="AF1081">
        <f>$C1081*AF1080</f>
        <v/>
      </c>
      <c r="AG1081">
        <f>$C1081*AG1080</f>
        <v/>
      </c>
      <c r="AH1081">
        <f>$C1081*AH1080</f>
        <v/>
      </c>
      <c r="AI1081">
        <f>$C1081*AI1080</f>
        <v/>
      </c>
      <c r="AJ1081">
        <f>$C1081*AJ1080</f>
        <v/>
      </c>
      <c r="AK1081">
        <f>$C1081*AK1080</f>
        <v/>
      </c>
      <c r="AL1081">
        <f>$C1081*AL1080</f>
        <v/>
      </c>
      <c r="AM1081">
        <f>$C1081*AM1080</f>
        <v/>
      </c>
      <c r="AN1081">
        <f>$C1081*AN1080</f>
        <v/>
      </c>
      <c r="AO1081">
        <f>$C1081*AO1080</f>
        <v/>
      </c>
      <c r="AP1081">
        <f>$C1081*AP1080</f>
        <v/>
      </c>
      <c r="AQ1081">
        <f>$C1081*AQ1080</f>
        <v/>
      </c>
      <c r="AR1081">
        <f>$C1081*AR1080</f>
        <v/>
      </c>
      <c r="AS1081">
        <f>$C1081*AS1080</f>
        <v/>
      </c>
      <c r="AT1081">
        <f>$C1081*AT1080</f>
        <v/>
      </c>
      <c r="AU1081">
        <f>$C1081*AU1080</f>
        <v/>
      </c>
      <c r="AV1081">
        <f>$C1081*AV1080</f>
        <v/>
      </c>
      <c r="AW1081">
        <f>$C1081*AW1080</f>
        <v/>
      </c>
      <c r="AX1081">
        <f>$C1081*AX1080</f>
        <v/>
      </c>
      <c r="AY1081">
        <f>$C1081*AY1080</f>
        <v/>
      </c>
      <c r="AZ1081">
        <f>$C1081*AZ1080</f>
        <v/>
      </c>
      <c r="BA1081">
        <f>$C1081*BA1080</f>
        <v/>
      </c>
      <c r="BB1081">
        <f>$C1081*BB1080</f>
        <v/>
      </c>
      <c r="BC1081">
        <f>$C1081*BC1080</f>
        <v/>
      </c>
      <c r="BD1081">
        <f>$C1081*BD1080</f>
        <v/>
      </c>
      <c r="BE1081">
        <f>$C1081*BE1080</f>
        <v/>
      </c>
      <c r="BF1081">
        <f>$C1081*BF1080</f>
        <v/>
      </c>
      <c r="BG1081">
        <f>$C1081*BG1080</f>
        <v/>
      </c>
      <c r="BH1081">
        <f>$C1081*BH1080</f>
        <v/>
      </c>
      <c r="BI1081">
        <f>$C1081*BI1080</f>
        <v/>
      </c>
      <c r="BJ1081">
        <f>$C1081*BJ1080</f>
        <v/>
      </c>
      <c r="BK1081">
        <f>$C1081*BK1080</f>
        <v/>
      </c>
      <c r="BL1081">
        <f>$C1081*BL1080</f>
        <v/>
      </c>
      <c r="BM1081">
        <f>$C1081*BM1080</f>
        <v/>
      </c>
      <c r="BN1081">
        <f>$C1081*BN1080</f>
        <v/>
      </c>
      <c r="BO1081">
        <f>$C1081*BO1080</f>
        <v/>
      </c>
      <c r="BP1081">
        <f>$C1081*BP1080</f>
        <v/>
      </c>
      <c r="BQ1081">
        <f>$C1081*BQ1080</f>
        <v/>
      </c>
      <c r="BR1081">
        <f>$C1081*BR1080</f>
        <v/>
      </c>
      <c r="BS1081">
        <f>$C1081*BS1080</f>
        <v/>
      </c>
      <c r="BT1081">
        <f>$C1081*BT1080</f>
        <v/>
      </c>
      <c r="BU1081">
        <f>$C1081*BU1080</f>
        <v/>
      </c>
      <c r="BV1081">
        <f>$C1081*BV1080</f>
        <v/>
      </c>
      <c r="BW1081">
        <f>$C1081*BW1080</f>
        <v/>
      </c>
      <c r="BX1081">
        <f>$C1081*BX1080</f>
        <v/>
      </c>
      <c r="BY1081">
        <f>$C1081*BY1080</f>
        <v/>
      </c>
      <c r="BZ1081">
        <f>$C1081*BZ1080</f>
        <v/>
      </c>
      <c r="CA1081">
        <f>$C1081*CA1080</f>
        <v/>
      </c>
      <c r="CB1081">
        <f>$C1081*CB1080</f>
        <v/>
      </c>
      <c r="CC1081">
        <f>$C1081*CC1080</f>
        <v/>
      </c>
      <c r="CD1081">
        <f>$C1081*CD1080</f>
        <v/>
      </c>
      <c r="CE1081">
        <f>$C1081*CE1080</f>
        <v/>
      </c>
      <c r="CF1081">
        <f>$C1081*CF1080</f>
        <v/>
      </c>
      <c r="CG1081">
        <f>$C1081*CG1080</f>
        <v/>
      </c>
      <c r="CH1081">
        <f>$C1081*CH1080</f>
        <v/>
      </c>
      <c r="CI1081">
        <f>$C1081*CI1080</f>
        <v/>
      </c>
      <c r="CJ1081">
        <f>$C1081*CJ1080</f>
        <v/>
      </c>
      <c r="CK1081">
        <f>$C1081*CK1080</f>
        <v/>
      </c>
      <c r="CL1081">
        <f>$C1081*CL1080</f>
        <v/>
      </c>
      <c r="CM1081">
        <f>$C1081*CM1080</f>
        <v/>
      </c>
      <c r="CN1081">
        <f>$C1081*CN1080</f>
        <v/>
      </c>
      <c r="CO1081">
        <f>$C1081*CO1080</f>
        <v/>
      </c>
      <c r="CP1081">
        <f>$C1081*CP1080</f>
        <v/>
      </c>
      <c r="CQ1081">
        <f>$C1081*CQ1080</f>
        <v/>
      </c>
      <c r="CR1081">
        <f>$C1081*CR1080</f>
        <v/>
      </c>
      <c r="CS1081">
        <f>$C1081*CS1080</f>
        <v/>
      </c>
      <c r="CT1081">
        <f>$C1081*CT1080</f>
        <v/>
      </c>
      <c r="CU1081">
        <f>$C1081*CU1080</f>
        <v/>
      </c>
      <c r="CV1081">
        <f>$C1081*CV1080</f>
        <v/>
      </c>
      <c r="CW1081">
        <f>$C1081*CW1080</f>
        <v/>
      </c>
      <c r="CX1081">
        <f>$C1081*CX1080</f>
        <v/>
      </c>
      <c r="CY1081">
        <f>$C1081*CY1080</f>
        <v/>
      </c>
      <c r="CZ1081">
        <f>$C1081*CZ1080</f>
        <v/>
      </c>
      <c r="DA1081">
        <f>$C1081*DA1080</f>
        <v/>
      </c>
      <c r="DB1081">
        <f>$C1081*DB1080</f>
        <v/>
      </c>
      <c r="DC1081">
        <f>$C1081*DC1080</f>
        <v/>
      </c>
    </row>
    <row r="1082">
      <c r="B1082" s="4" t="inlineStr">
        <is>
          <t>合計使用量(kg)/週</t>
        </is>
      </c>
      <c r="D1082">
        <f>'Grid_Requirement'!B14</f>
        <v/>
      </c>
      <c r="E1082">
        <f>'Grid_Requirement'!C14</f>
        <v/>
      </c>
      <c r="F1082">
        <f>'Grid_Requirement'!D14</f>
        <v/>
      </c>
      <c r="G1082">
        <f>'Grid_Requirement'!E14</f>
        <v/>
      </c>
      <c r="H1082">
        <f>'Grid_Requirement'!F14</f>
        <v/>
      </c>
      <c r="I1082">
        <f>'Grid_Requirement'!G14</f>
        <v/>
      </c>
      <c r="J1082">
        <f>'Grid_Requirement'!H14</f>
        <v/>
      </c>
      <c r="K1082">
        <f>'Grid_Requirement'!I14</f>
        <v/>
      </c>
      <c r="L1082">
        <f>'Grid_Requirement'!J14</f>
        <v/>
      </c>
      <c r="M1082">
        <f>'Grid_Requirement'!K14</f>
        <v/>
      </c>
      <c r="N1082">
        <f>'Grid_Requirement'!L14</f>
        <v/>
      </c>
      <c r="O1082">
        <f>'Grid_Requirement'!M14</f>
        <v/>
      </c>
      <c r="P1082">
        <f>'Grid_Requirement'!N14</f>
        <v/>
      </c>
      <c r="Q1082">
        <f>'Grid_Requirement'!O14</f>
        <v/>
      </c>
      <c r="R1082">
        <f>'Grid_Requirement'!P14</f>
        <v/>
      </c>
      <c r="S1082">
        <f>'Grid_Requirement'!Q14</f>
        <v/>
      </c>
      <c r="T1082">
        <f>'Grid_Requirement'!R14</f>
        <v/>
      </c>
      <c r="U1082">
        <f>'Grid_Requirement'!S14</f>
        <v/>
      </c>
      <c r="V1082">
        <f>'Grid_Requirement'!T14</f>
        <v/>
      </c>
      <c r="W1082">
        <f>'Grid_Requirement'!U14</f>
        <v/>
      </c>
      <c r="X1082">
        <f>'Grid_Requirement'!V14</f>
        <v/>
      </c>
      <c r="Y1082">
        <f>'Grid_Requirement'!W14</f>
        <v/>
      </c>
      <c r="Z1082">
        <f>'Grid_Requirement'!X14</f>
        <v/>
      </c>
      <c r="AA1082">
        <f>'Grid_Requirement'!Y14</f>
        <v/>
      </c>
      <c r="AB1082">
        <f>'Grid_Requirement'!Z14</f>
        <v/>
      </c>
      <c r="AC1082">
        <f>'Grid_Requirement'!AA14</f>
        <v/>
      </c>
      <c r="AD1082">
        <f>'Grid_Requirement'!AB14</f>
        <v/>
      </c>
      <c r="AE1082">
        <f>'Grid_Requirement'!AC14</f>
        <v/>
      </c>
      <c r="AF1082">
        <f>'Grid_Requirement'!AD14</f>
        <v/>
      </c>
      <c r="AG1082">
        <f>'Grid_Requirement'!AE14</f>
        <v/>
      </c>
      <c r="AH1082">
        <f>'Grid_Requirement'!AF14</f>
        <v/>
      </c>
      <c r="AI1082">
        <f>'Grid_Requirement'!AG14</f>
        <v/>
      </c>
      <c r="AJ1082">
        <f>'Grid_Requirement'!AH14</f>
        <v/>
      </c>
      <c r="AK1082">
        <f>'Grid_Requirement'!AI14</f>
        <v/>
      </c>
      <c r="AL1082">
        <f>'Grid_Requirement'!AJ14</f>
        <v/>
      </c>
      <c r="AM1082">
        <f>'Grid_Requirement'!AK14</f>
        <v/>
      </c>
      <c r="AN1082">
        <f>'Grid_Requirement'!AL14</f>
        <v/>
      </c>
      <c r="AO1082">
        <f>'Grid_Requirement'!AM14</f>
        <v/>
      </c>
      <c r="AP1082">
        <f>'Grid_Requirement'!AN14</f>
        <v/>
      </c>
      <c r="AQ1082">
        <f>'Grid_Requirement'!AO14</f>
        <v/>
      </c>
      <c r="AR1082">
        <f>'Grid_Requirement'!AP14</f>
        <v/>
      </c>
      <c r="AS1082">
        <f>'Grid_Requirement'!AQ14</f>
        <v/>
      </c>
      <c r="AT1082">
        <f>'Grid_Requirement'!AR14</f>
        <v/>
      </c>
      <c r="AU1082">
        <f>'Grid_Requirement'!AS14</f>
        <v/>
      </c>
      <c r="AV1082">
        <f>'Grid_Requirement'!AT14</f>
        <v/>
      </c>
      <c r="AW1082">
        <f>'Grid_Requirement'!AU14</f>
        <v/>
      </c>
      <c r="AX1082">
        <f>'Grid_Requirement'!AV14</f>
        <v/>
      </c>
      <c r="AY1082">
        <f>'Grid_Requirement'!AW14</f>
        <v/>
      </c>
      <c r="AZ1082">
        <f>'Grid_Requirement'!AX14</f>
        <v/>
      </c>
      <c r="BA1082">
        <f>'Grid_Requirement'!AY14</f>
        <v/>
      </c>
      <c r="BB1082">
        <f>'Grid_Requirement'!AZ14</f>
        <v/>
      </c>
      <c r="BC1082">
        <f>'Grid_Requirement'!BA14</f>
        <v/>
      </c>
      <c r="BD1082">
        <f>'Grid_Requirement'!BB14</f>
        <v/>
      </c>
      <c r="BE1082">
        <f>'Grid_Requirement'!BC14</f>
        <v/>
      </c>
      <c r="BF1082">
        <f>'Grid_Requirement'!BD14</f>
        <v/>
      </c>
      <c r="BG1082">
        <f>'Grid_Requirement'!BE14</f>
        <v/>
      </c>
      <c r="BH1082">
        <f>'Grid_Requirement'!BF14</f>
        <v/>
      </c>
      <c r="BI1082">
        <f>'Grid_Requirement'!BG14</f>
        <v/>
      </c>
      <c r="BJ1082">
        <f>'Grid_Requirement'!BH14</f>
        <v/>
      </c>
      <c r="BK1082">
        <f>'Grid_Requirement'!BI14</f>
        <v/>
      </c>
      <c r="BL1082">
        <f>'Grid_Requirement'!BJ14</f>
        <v/>
      </c>
      <c r="BM1082">
        <f>'Grid_Requirement'!BK14</f>
        <v/>
      </c>
      <c r="BN1082">
        <f>'Grid_Requirement'!BL14</f>
        <v/>
      </c>
      <c r="BO1082">
        <f>'Grid_Requirement'!BM14</f>
        <v/>
      </c>
      <c r="BP1082">
        <f>'Grid_Requirement'!BN14</f>
        <v/>
      </c>
      <c r="BQ1082">
        <f>'Grid_Requirement'!BO14</f>
        <v/>
      </c>
      <c r="BR1082">
        <f>'Grid_Requirement'!BP14</f>
        <v/>
      </c>
      <c r="BS1082">
        <f>'Grid_Requirement'!BQ14</f>
        <v/>
      </c>
      <c r="BT1082">
        <f>'Grid_Requirement'!BR14</f>
        <v/>
      </c>
      <c r="BU1082">
        <f>'Grid_Requirement'!BS14</f>
        <v/>
      </c>
      <c r="BV1082">
        <f>'Grid_Requirement'!BT14</f>
        <v/>
      </c>
      <c r="BW1082">
        <f>'Grid_Requirement'!BU14</f>
        <v/>
      </c>
      <c r="BX1082">
        <f>'Grid_Requirement'!BV14</f>
        <v/>
      </c>
      <c r="BY1082">
        <f>'Grid_Requirement'!BW14</f>
        <v/>
      </c>
      <c r="BZ1082">
        <f>'Grid_Requirement'!BX14</f>
        <v/>
      </c>
      <c r="CA1082">
        <f>'Grid_Requirement'!BY14</f>
        <v/>
      </c>
      <c r="CB1082">
        <f>'Grid_Requirement'!BZ14</f>
        <v/>
      </c>
      <c r="CC1082">
        <f>'Grid_Requirement'!CA14</f>
        <v/>
      </c>
      <c r="CD1082">
        <f>'Grid_Requirement'!CB14</f>
        <v/>
      </c>
      <c r="CE1082">
        <f>'Grid_Requirement'!CC14</f>
        <v/>
      </c>
      <c r="CF1082">
        <f>'Grid_Requirement'!CD14</f>
        <v/>
      </c>
      <c r="CG1082">
        <f>'Grid_Requirement'!CE14</f>
        <v/>
      </c>
      <c r="CH1082">
        <f>'Grid_Requirement'!CF14</f>
        <v/>
      </c>
      <c r="CI1082">
        <f>'Grid_Requirement'!CG14</f>
        <v/>
      </c>
      <c r="CJ1082">
        <f>'Grid_Requirement'!CH14</f>
        <v/>
      </c>
      <c r="CK1082">
        <f>'Grid_Requirement'!CI14</f>
        <v/>
      </c>
      <c r="CL1082">
        <f>'Grid_Requirement'!CJ14</f>
        <v/>
      </c>
      <c r="CM1082">
        <f>'Grid_Requirement'!CK14</f>
        <v/>
      </c>
      <c r="CN1082">
        <f>'Grid_Requirement'!CL14</f>
        <v/>
      </c>
      <c r="CO1082">
        <f>'Grid_Requirement'!CM14</f>
        <v/>
      </c>
      <c r="CP1082">
        <f>'Grid_Requirement'!CN14</f>
        <v/>
      </c>
      <c r="CQ1082">
        <f>'Grid_Requirement'!CO14</f>
        <v/>
      </c>
      <c r="CR1082">
        <f>'Grid_Requirement'!CP14</f>
        <v/>
      </c>
      <c r="CS1082">
        <f>'Grid_Requirement'!CQ14</f>
        <v/>
      </c>
      <c r="CT1082">
        <f>'Grid_Requirement'!CR14</f>
        <v/>
      </c>
      <c r="CU1082">
        <f>'Grid_Requirement'!CS14</f>
        <v/>
      </c>
      <c r="CV1082">
        <f>'Grid_Requirement'!CT14</f>
        <v/>
      </c>
      <c r="CW1082">
        <f>'Grid_Requirement'!CU14</f>
        <v/>
      </c>
      <c r="CX1082">
        <f>'Grid_Requirement'!CV14</f>
        <v/>
      </c>
      <c r="CY1082">
        <f>'Grid_Requirement'!CW14</f>
        <v/>
      </c>
      <c r="CZ1082">
        <f>'Grid_Requirement'!CX14</f>
        <v/>
      </c>
      <c r="DA1082">
        <f>'Grid_Requirement'!CY14</f>
        <v/>
      </c>
      <c r="DB1082">
        <f>'Grid_Requirement'!CZ14</f>
        <v/>
      </c>
      <c r="DC1082">
        <f>'Grid_Requirement'!DA14</f>
        <v/>
      </c>
    </row>
    <row r="1083">
      <c r="B1083" t="inlineStr">
        <is>
          <t>TTAF在庫(実績,kg)</t>
        </is>
      </c>
      <c r="D1083">
        <f>'T_TTAFStock'!B18</f>
        <v/>
      </c>
      <c r="E1083">
        <f>'T_TTAFStock'!C18</f>
        <v/>
      </c>
      <c r="F1083">
        <f>'T_TTAFStock'!D18</f>
        <v/>
      </c>
      <c r="G1083">
        <f>'T_TTAFStock'!E18</f>
        <v/>
      </c>
      <c r="H1083">
        <f>'T_TTAFStock'!F18</f>
        <v/>
      </c>
      <c r="I1083">
        <f>'T_TTAFStock'!G18</f>
        <v/>
      </c>
      <c r="J1083">
        <f>'T_TTAFStock'!H18</f>
        <v/>
      </c>
      <c r="K1083">
        <f>'T_TTAFStock'!I18</f>
        <v/>
      </c>
      <c r="L1083">
        <f>'T_TTAFStock'!J18</f>
        <v/>
      </c>
      <c r="M1083">
        <f>'T_TTAFStock'!K18</f>
        <v/>
      </c>
      <c r="N1083">
        <f>'T_TTAFStock'!L18</f>
        <v/>
      </c>
      <c r="O1083">
        <f>'T_TTAFStock'!M18</f>
        <v/>
      </c>
      <c r="P1083">
        <f>'T_TTAFStock'!N18</f>
        <v/>
      </c>
      <c r="Q1083">
        <f>'T_TTAFStock'!O18</f>
        <v/>
      </c>
      <c r="R1083">
        <f>'T_TTAFStock'!P18</f>
        <v/>
      </c>
      <c r="S1083">
        <f>'T_TTAFStock'!Q18</f>
        <v/>
      </c>
      <c r="T1083">
        <f>'T_TTAFStock'!R18</f>
        <v/>
      </c>
      <c r="U1083">
        <f>'T_TTAFStock'!S18</f>
        <v/>
      </c>
      <c r="V1083">
        <f>'T_TTAFStock'!T18</f>
        <v/>
      </c>
      <c r="W1083">
        <f>'T_TTAFStock'!U18</f>
        <v/>
      </c>
      <c r="X1083">
        <f>'T_TTAFStock'!V18</f>
        <v/>
      </c>
      <c r="Y1083">
        <f>'T_TTAFStock'!W18</f>
        <v/>
      </c>
      <c r="Z1083">
        <f>'T_TTAFStock'!X18</f>
        <v/>
      </c>
      <c r="AA1083">
        <f>'T_TTAFStock'!Y18</f>
        <v/>
      </c>
      <c r="AB1083">
        <f>'T_TTAFStock'!Z18</f>
        <v/>
      </c>
      <c r="AC1083">
        <f>'T_TTAFStock'!AA18</f>
        <v/>
      </c>
      <c r="AD1083">
        <f>'T_TTAFStock'!AB18</f>
        <v/>
      </c>
      <c r="AE1083">
        <f>'T_TTAFStock'!AC18</f>
        <v/>
      </c>
      <c r="AF1083">
        <f>'T_TTAFStock'!AD18</f>
        <v/>
      </c>
      <c r="AG1083">
        <f>'T_TTAFStock'!AE18</f>
        <v/>
      </c>
      <c r="AH1083">
        <f>'T_TTAFStock'!AF18</f>
        <v/>
      </c>
      <c r="AI1083">
        <f>'T_TTAFStock'!AG18</f>
        <v/>
      </c>
      <c r="AJ1083">
        <f>'T_TTAFStock'!AH18</f>
        <v/>
      </c>
      <c r="AK1083">
        <f>'T_TTAFStock'!AI18</f>
        <v/>
      </c>
      <c r="AL1083">
        <f>'T_TTAFStock'!AJ18</f>
        <v/>
      </c>
      <c r="AM1083">
        <f>'T_TTAFStock'!AK18</f>
        <v/>
      </c>
      <c r="AN1083">
        <f>'T_TTAFStock'!AL18</f>
        <v/>
      </c>
      <c r="AO1083">
        <f>'T_TTAFStock'!AM18</f>
        <v/>
      </c>
      <c r="AP1083">
        <f>'T_TTAFStock'!AN18</f>
        <v/>
      </c>
      <c r="AQ1083">
        <f>'T_TTAFStock'!AO18</f>
        <v/>
      </c>
      <c r="AR1083">
        <f>'T_TTAFStock'!AP18</f>
        <v/>
      </c>
      <c r="AS1083">
        <f>'T_TTAFStock'!AQ18</f>
        <v/>
      </c>
      <c r="AT1083">
        <f>'T_TTAFStock'!AR18</f>
        <v/>
      </c>
      <c r="AU1083">
        <f>'T_TTAFStock'!AS18</f>
        <v/>
      </c>
      <c r="AV1083">
        <f>'T_TTAFStock'!AT18</f>
        <v/>
      </c>
      <c r="AW1083">
        <f>'T_TTAFStock'!AU18</f>
        <v/>
      </c>
      <c r="AX1083">
        <f>'T_TTAFStock'!AV18</f>
        <v/>
      </c>
      <c r="AY1083">
        <f>'T_TTAFStock'!AW18</f>
        <v/>
      </c>
      <c r="AZ1083">
        <f>'T_TTAFStock'!AX18</f>
        <v/>
      </c>
      <c r="BA1083">
        <f>'T_TTAFStock'!AY18</f>
        <v/>
      </c>
      <c r="BB1083">
        <f>'T_TTAFStock'!AZ18</f>
        <v/>
      </c>
      <c r="BC1083">
        <f>'T_TTAFStock'!BA18</f>
        <v/>
      </c>
      <c r="BD1083">
        <f>'T_TTAFStock'!BB18</f>
        <v/>
      </c>
      <c r="BE1083">
        <f>'T_TTAFStock'!BC18</f>
        <v/>
      </c>
      <c r="BF1083">
        <f>'T_TTAFStock'!BD18</f>
        <v/>
      </c>
      <c r="BG1083">
        <f>'T_TTAFStock'!BE18</f>
        <v/>
      </c>
      <c r="BH1083">
        <f>'T_TTAFStock'!BF18</f>
        <v/>
      </c>
      <c r="BI1083">
        <f>'T_TTAFStock'!BG18</f>
        <v/>
      </c>
      <c r="BJ1083">
        <f>'T_TTAFStock'!BH18</f>
        <v/>
      </c>
      <c r="BK1083">
        <f>'T_TTAFStock'!BI18</f>
        <v/>
      </c>
      <c r="BL1083">
        <f>'T_TTAFStock'!BJ18</f>
        <v/>
      </c>
      <c r="BM1083">
        <f>'T_TTAFStock'!BK18</f>
        <v/>
      </c>
      <c r="BN1083">
        <f>'T_TTAFStock'!BL18</f>
        <v/>
      </c>
      <c r="BO1083">
        <f>'T_TTAFStock'!BM18</f>
        <v/>
      </c>
      <c r="BP1083">
        <f>'T_TTAFStock'!BN18</f>
        <v/>
      </c>
      <c r="BQ1083">
        <f>'T_TTAFStock'!BO18</f>
        <v/>
      </c>
      <c r="BR1083">
        <f>'T_TTAFStock'!BP18</f>
        <v/>
      </c>
      <c r="BS1083">
        <f>'T_TTAFStock'!BQ18</f>
        <v/>
      </c>
      <c r="BT1083">
        <f>'T_TTAFStock'!BR18</f>
        <v/>
      </c>
      <c r="BU1083">
        <f>'T_TTAFStock'!BS18</f>
        <v/>
      </c>
      <c r="BV1083">
        <f>'T_TTAFStock'!BT18</f>
        <v/>
      </c>
      <c r="BW1083">
        <f>'T_TTAFStock'!BU18</f>
        <v/>
      </c>
      <c r="BX1083">
        <f>'T_TTAFStock'!BV18</f>
        <v/>
      </c>
      <c r="BY1083">
        <f>'T_TTAFStock'!BW18</f>
        <v/>
      </c>
      <c r="BZ1083">
        <f>'T_TTAFStock'!BX18</f>
        <v/>
      </c>
      <c r="CA1083">
        <f>'T_TTAFStock'!BY18</f>
        <v/>
      </c>
      <c r="CB1083">
        <f>'T_TTAFStock'!BZ18</f>
        <v/>
      </c>
      <c r="CC1083">
        <f>'T_TTAFStock'!CA18</f>
        <v/>
      </c>
      <c r="CD1083">
        <f>'T_TTAFStock'!CB18</f>
        <v/>
      </c>
      <c r="CE1083">
        <f>'T_TTAFStock'!CC18</f>
        <v/>
      </c>
      <c r="CF1083">
        <f>'T_TTAFStock'!CD18</f>
        <v/>
      </c>
      <c r="CG1083">
        <f>'T_TTAFStock'!CE18</f>
        <v/>
      </c>
      <c r="CH1083">
        <f>'T_TTAFStock'!CF18</f>
        <v/>
      </c>
      <c r="CI1083">
        <f>'T_TTAFStock'!CG18</f>
        <v/>
      </c>
      <c r="CJ1083">
        <f>'T_TTAFStock'!CH18</f>
        <v/>
      </c>
      <c r="CK1083">
        <f>'T_TTAFStock'!CI18</f>
        <v/>
      </c>
      <c r="CL1083">
        <f>'T_TTAFStock'!CJ18</f>
        <v/>
      </c>
      <c r="CM1083">
        <f>'T_TTAFStock'!CK18</f>
        <v/>
      </c>
      <c r="CN1083">
        <f>'T_TTAFStock'!CL18</f>
        <v/>
      </c>
      <c r="CO1083">
        <f>'T_TTAFStock'!CM18</f>
        <v/>
      </c>
      <c r="CP1083">
        <f>'T_TTAFStock'!CN18</f>
        <v/>
      </c>
      <c r="CQ1083">
        <f>'T_TTAFStock'!CO18</f>
        <v/>
      </c>
      <c r="CR1083">
        <f>'T_TTAFStock'!CP18</f>
        <v/>
      </c>
      <c r="CS1083">
        <f>'T_TTAFStock'!CQ18</f>
        <v/>
      </c>
      <c r="CT1083">
        <f>'T_TTAFStock'!CR18</f>
        <v/>
      </c>
      <c r="CU1083">
        <f>'T_TTAFStock'!CS18</f>
        <v/>
      </c>
      <c r="CV1083">
        <f>'T_TTAFStock'!CT18</f>
        <v/>
      </c>
      <c r="CW1083">
        <f>'T_TTAFStock'!CU18</f>
        <v/>
      </c>
      <c r="CX1083">
        <f>'T_TTAFStock'!CV18</f>
        <v/>
      </c>
      <c r="CY1083">
        <f>'T_TTAFStock'!CW18</f>
        <v/>
      </c>
      <c r="CZ1083">
        <f>'T_TTAFStock'!CX18</f>
        <v/>
      </c>
      <c r="DA1083">
        <f>'T_TTAFStock'!CY18</f>
        <v/>
      </c>
      <c r="DB1083">
        <f>'T_TTAFStock'!CZ18</f>
        <v/>
      </c>
      <c r="DC1083">
        <f>'T_TTAFStock'!DA18</f>
        <v/>
      </c>
    </row>
    <row r="1084">
      <c r="B1084" t="inlineStr">
        <is>
          <t>自社在庫(実績,kg)</t>
        </is>
      </c>
      <c r="D1084">
        <f>'T_SelfStock'!B18</f>
        <v/>
      </c>
      <c r="E1084">
        <f>'T_SelfStock'!C18</f>
        <v/>
      </c>
      <c r="F1084">
        <f>'T_SelfStock'!D18</f>
        <v/>
      </c>
      <c r="G1084">
        <f>'T_SelfStock'!E18</f>
        <v/>
      </c>
      <c r="H1084">
        <f>'T_SelfStock'!F18</f>
        <v/>
      </c>
      <c r="I1084">
        <f>'T_SelfStock'!G18</f>
        <v/>
      </c>
      <c r="J1084">
        <f>'T_SelfStock'!H18</f>
        <v/>
      </c>
      <c r="K1084">
        <f>'T_SelfStock'!I18</f>
        <v/>
      </c>
      <c r="L1084">
        <f>'T_SelfStock'!J18</f>
        <v/>
      </c>
      <c r="M1084">
        <f>'T_SelfStock'!K18</f>
        <v/>
      </c>
      <c r="N1084">
        <f>'T_SelfStock'!L18</f>
        <v/>
      </c>
      <c r="O1084">
        <f>'T_SelfStock'!M18</f>
        <v/>
      </c>
      <c r="P1084">
        <f>'T_SelfStock'!N18</f>
        <v/>
      </c>
      <c r="Q1084">
        <f>'T_SelfStock'!O18</f>
        <v/>
      </c>
      <c r="R1084">
        <f>'T_SelfStock'!P18</f>
        <v/>
      </c>
      <c r="S1084">
        <f>'T_SelfStock'!Q18</f>
        <v/>
      </c>
      <c r="T1084">
        <f>'T_SelfStock'!R18</f>
        <v/>
      </c>
      <c r="U1084">
        <f>'T_SelfStock'!S18</f>
        <v/>
      </c>
      <c r="V1084">
        <f>'T_SelfStock'!T18</f>
        <v/>
      </c>
      <c r="W1084">
        <f>'T_SelfStock'!U18</f>
        <v/>
      </c>
      <c r="X1084">
        <f>'T_SelfStock'!V18</f>
        <v/>
      </c>
      <c r="Y1084">
        <f>'T_SelfStock'!W18</f>
        <v/>
      </c>
      <c r="Z1084">
        <f>'T_SelfStock'!X18</f>
        <v/>
      </c>
      <c r="AA1084">
        <f>'T_SelfStock'!Y18</f>
        <v/>
      </c>
      <c r="AB1084">
        <f>'T_SelfStock'!Z18</f>
        <v/>
      </c>
      <c r="AC1084">
        <f>'T_SelfStock'!AA18</f>
        <v/>
      </c>
      <c r="AD1084">
        <f>'T_SelfStock'!AB18</f>
        <v/>
      </c>
      <c r="AE1084">
        <f>'T_SelfStock'!AC18</f>
        <v/>
      </c>
      <c r="AF1084">
        <f>'T_SelfStock'!AD18</f>
        <v/>
      </c>
      <c r="AG1084">
        <f>'T_SelfStock'!AE18</f>
        <v/>
      </c>
      <c r="AH1084">
        <f>'T_SelfStock'!AF18</f>
        <v/>
      </c>
      <c r="AI1084">
        <f>'T_SelfStock'!AG18</f>
        <v/>
      </c>
      <c r="AJ1084">
        <f>'T_SelfStock'!AH18</f>
        <v/>
      </c>
      <c r="AK1084">
        <f>'T_SelfStock'!AI18</f>
        <v/>
      </c>
      <c r="AL1084">
        <f>'T_SelfStock'!AJ18</f>
        <v/>
      </c>
      <c r="AM1084">
        <f>'T_SelfStock'!AK18</f>
        <v/>
      </c>
      <c r="AN1084">
        <f>'T_SelfStock'!AL18</f>
        <v/>
      </c>
      <c r="AO1084">
        <f>'T_SelfStock'!AM18</f>
        <v/>
      </c>
      <c r="AP1084">
        <f>'T_SelfStock'!AN18</f>
        <v/>
      </c>
      <c r="AQ1084">
        <f>'T_SelfStock'!AO18</f>
        <v/>
      </c>
      <c r="AR1084">
        <f>'T_SelfStock'!AP18</f>
        <v/>
      </c>
      <c r="AS1084">
        <f>'T_SelfStock'!AQ18</f>
        <v/>
      </c>
      <c r="AT1084">
        <f>'T_SelfStock'!AR18</f>
        <v/>
      </c>
      <c r="AU1084">
        <f>'T_SelfStock'!AS18</f>
        <v/>
      </c>
      <c r="AV1084">
        <f>'T_SelfStock'!AT18</f>
        <v/>
      </c>
      <c r="AW1084">
        <f>'T_SelfStock'!AU18</f>
        <v/>
      </c>
      <c r="AX1084">
        <f>'T_SelfStock'!AV18</f>
        <v/>
      </c>
      <c r="AY1084">
        <f>'T_SelfStock'!AW18</f>
        <v/>
      </c>
      <c r="AZ1084">
        <f>'T_SelfStock'!AX18</f>
        <v/>
      </c>
      <c r="BA1084">
        <f>'T_SelfStock'!AY18</f>
        <v/>
      </c>
      <c r="BB1084">
        <f>'T_SelfStock'!AZ18</f>
        <v/>
      </c>
      <c r="BC1084">
        <f>'T_SelfStock'!BA18</f>
        <v/>
      </c>
      <c r="BD1084">
        <f>'T_SelfStock'!BB18</f>
        <v/>
      </c>
      <c r="BE1084">
        <f>'T_SelfStock'!BC18</f>
        <v/>
      </c>
      <c r="BF1084">
        <f>'T_SelfStock'!BD18</f>
        <v/>
      </c>
      <c r="BG1084">
        <f>'T_SelfStock'!BE18</f>
        <v/>
      </c>
      <c r="BH1084">
        <f>'T_SelfStock'!BF18</f>
        <v/>
      </c>
      <c r="BI1084">
        <f>'T_SelfStock'!BG18</f>
        <v/>
      </c>
      <c r="BJ1084">
        <f>'T_SelfStock'!BH18</f>
        <v/>
      </c>
      <c r="BK1084">
        <f>'T_SelfStock'!BI18</f>
        <v/>
      </c>
      <c r="BL1084">
        <f>'T_SelfStock'!BJ18</f>
        <v/>
      </c>
      <c r="BM1084">
        <f>'T_SelfStock'!BK18</f>
        <v/>
      </c>
      <c r="BN1084">
        <f>'T_SelfStock'!BL18</f>
        <v/>
      </c>
      <c r="BO1084">
        <f>'T_SelfStock'!BM18</f>
        <v/>
      </c>
      <c r="BP1084">
        <f>'T_SelfStock'!BN18</f>
        <v/>
      </c>
      <c r="BQ1084">
        <f>'T_SelfStock'!BO18</f>
        <v/>
      </c>
      <c r="BR1084">
        <f>'T_SelfStock'!BP18</f>
        <v/>
      </c>
      <c r="BS1084">
        <f>'T_SelfStock'!BQ18</f>
        <v/>
      </c>
      <c r="BT1084">
        <f>'T_SelfStock'!BR18</f>
        <v/>
      </c>
      <c r="BU1084">
        <f>'T_SelfStock'!BS18</f>
        <v/>
      </c>
      <c r="BV1084">
        <f>'T_SelfStock'!BT18</f>
        <v/>
      </c>
      <c r="BW1084">
        <f>'T_SelfStock'!BU18</f>
        <v/>
      </c>
      <c r="BX1084">
        <f>'T_SelfStock'!BV18</f>
        <v/>
      </c>
      <c r="BY1084">
        <f>'T_SelfStock'!BW18</f>
        <v/>
      </c>
      <c r="BZ1084">
        <f>'T_SelfStock'!BX18</f>
        <v/>
      </c>
      <c r="CA1084">
        <f>'T_SelfStock'!BY18</f>
        <v/>
      </c>
      <c r="CB1084">
        <f>'T_SelfStock'!BZ18</f>
        <v/>
      </c>
      <c r="CC1084">
        <f>'T_SelfStock'!CA18</f>
        <v/>
      </c>
      <c r="CD1084">
        <f>'T_SelfStock'!CB18</f>
        <v/>
      </c>
      <c r="CE1084">
        <f>'T_SelfStock'!CC18</f>
        <v/>
      </c>
      <c r="CF1084">
        <f>'T_SelfStock'!CD18</f>
        <v/>
      </c>
      <c r="CG1084">
        <f>'T_SelfStock'!CE18</f>
        <v/>
      </c>
      <c r="CH1084">
        <f>'T_SelfStock'!CF18</f>
        <v/>
      </c>
      <c r="CI1084">
        <f>'T_SelfStock'!CG18</f>
        <v/>
      </c>
      <c r="CJ1084">
        <f>'T_SelfStock'!CH18</f>
        <v/>
      </c>
      <c r="CK1084">
        <f>'T_SelfStock'!CI18</f>
        <v/>
      </c>
      <c r="CL1084">
        <f>'T_SelfStock'!CJ18</f>
        <v/>
      </c>
      <c r="CM1084">
        <f>'T_SelfStock'!CK18</f>
        <v/>
      </c>
      <c r="CN1084">
        <f>'T_SelfStock'!CL18</f>
        <v/>
      </c>
      <c r="CO1084">
        <f>'T_SelfStock'!CM18</f>
        <v/>
      </c>
      <c r="CP1084">
        <f>'T_SelfStock'!CN18</f>
        <v/>
      </c>
      <c r="CQ1084">
        <f>'T_SelfStock'!CO18</f>
        <v/>
      </c>
      <c r="CR1084">
        <f>'T_SelfStock'!CP18</f>
        <v/>
      </c>
      <c r="CS1084">
        <f>'T_SelfStock'!CQ18</f>
        <v/>
      </c>
      <c r="CT1084">
        <f>'T_SelfStock'!CR18</f>
        <v/>
      </c>
      <c r="CU1084">
        <f>'T_SelfStock'!CS18</f>
        <v/>
      </c>
      <c r="CV1084">
        <f>'T_SelfStock'!CT18</f>
        <v/>
      </c>
      <c r="CW1084">
        <f>'T_SelfStock'!CU18</f>
        <v/>
      </c>
      <c r="CX1084">
        <f>'T_SelfStock'!CV18</f>
        <v/>
      </c>
      <c r="CY1084">
        <f>'T_SelfStock'!CW18</f>
        <v/>
      </c>
      <c r="CZ1084">
        <f>'T_SelfStock'!CX18</f>
        <v/>
      </c>
      <c r="DA1084">
        <f>'T_SelfStock'!CY18</f>
        <v/>
      </c>
      <c r="DB1084">
        <f>'T_SelfStock'!CZ18</f>
        <v/>
      </c>
      <c r="DC1084">
        <f>'T_SelfStock'!DA18</f>
        <v/>
      </c>
    </row>
    <row r="1085">
      <c r="B1085" t="inlineStr">
        <is>
          <t>Order(発注予定,kg)</t>
        </is>
      </c>
      <c r="D1085">
        <f>IF(SUMIFS(T_PlannedOrders[EffectiveQty],T_PlannedOrders[Part Name],$A1079,T_PlannedOrders[WeekIndex],1)=0,"",SUMIFS(T_PlannedOrders[EffectiveQty],T_PlannedOrders[Part Name],$A1079,T_PlannedOrders[WeekIndex],1)&amp;" ("&amp;TEXT(SUMPRODUCT(MAX((T_PlannedOrders[Part Name]=$A1079)*(T_PlannedOrders[WeekIndex]=1)*(T_PlannedOrders[EffectiveQty]&gt;0)*T_PlannedOrders[Order_Month])),"m月")&amp;"発注)")</f>
        <v/>
      </c>
      <c r="E1085">
        <f>IF(SUMIFS(T_PlannedOrders[EffectiveQty],T_PlannedOrders[Part Name],$A1079,T_PlannedOrders[WeekIndex],2)=0,"",SUMIFS(T_PlannedOrders[EffectiveQty],T_PlannedOrders[Part Name],$A1079,T_PlannedOrders[WeekIndex],2)&amp;" ("&amp;TEXT(SUMPRODUCT(MAX((T_PlannedOrders[Part Name]=$A1079)*(T_PlannedOrders[WeekIndex]=2)*(T_PlannedOrders[EffectiveQty]&gt;0)*T_PlannedOrders[Order_Month])),"m月")&amp;"発注)")</f>
        <v/>
      </c>
      <c r="F1085">
        <f>IF(SUMIFS(T_PlannedOrders[EffectiveQty],T_PlannedOrders[Part Name],$A1079,T_PlannedOrders[WeekIndex],3)=0,"",SUMIFS(T_PlannedOrders[EffectiveQty],T_PlannedOrders[Part Name],$A1079,T_PlannedOrders[WeekIndex],3)&amp;" ("&amp;TEXT(SUMPRODUCT(MAX((T_PlannedOrders[Part Name]=$A1079)*(T_PlannedOrders[WeekIndex]=3)*(T_PlannedOrders[EffectiveQty]&gt;0)*T_PlannedOrders[Order_Month])),"m月")&amp;"発注)")</f>
        <v/>
      </c>
      <c r="G1085">
        <f>IF(SUMIFS(T_PlannedOrders[EffectiveQty],T_PlannedOrders[Part Name],$A1079,T_PlannedOrders[WeekIndex],4)=0,"",SUMIFS(T_PlannedOrders[EffectiveQty],T_PlannedOrders[Part Name],$A1079,T_PlannedOrders[WeekIndex],4)&amp;" ("&amp;TEXT(SUMPRODUCT(MAX((T_PlannedOrders[Part Name]=$A1079)*(T_PlannedOrders[WeekIndex]=4)*(T_PlannedOrders[EffectiveQty]&gt;0)*T_PlannedOrders[Order_Month])),"m月")&amp;"発注)")</f>
        <v/>
      </c>
      <c r="H1085">
        <f>IF(SUMIFS(T_PlannedOrders[EffectiveQty],T_PlannedOrders[Part Name],$A1079,T_PlannedOrders[WeekIndex],5)=0,"",SUMIFS(T_PlannedOrders[EffectiveQty],T_PlannedOrders[Part Name],$A1079,T_PlannedOrders[WeekIndex],5)&amp;" ("&amp;TEXT(SUMPRODUCT(MAX((T_PlannedOrders[Part Name]=$A1079)*(T_PlannedOrders[WeekIndex]=5)*(T_PlannedOrders[EffectiveQty]&gt;0)*T_PlannedOrders[Order_Month])),"m月")&amp;"発注)")</f>
        <v/>
      </c>
      <c r="I1085">
        <f>IF(SUMIFS(T_PlannedOrders[EffectiveQty],T_PlannedOrders[Part Name],$A1079,T_PlannedOrders[WeekIndex],6)=0,"",SUMIFS(T_PlannedOrders[EffectiveQty],T_PlannedOrders[Part Name],$A1079,T_PlannedOrders[WeekIndex],6)&amp;" ("&amp;TEXT(SUMPRODUCT(MAX((T_PlannedOrders[Part Name]=$A1079)*(T_PlannedOrders[WeekIndex]=6)*(T_PlannedOrders[EffectiveQty]&gt;0)*T_PlannedOrders[Order_Month])),"m月")&amp;"発注)")</f>
        <v/>
      </c>
      <c r="J1085">
        <f>IF(SUMIFS(T_PlannedOrders[EffectiveQty],T_PlannedOrders[Part Name],$A1079,T_PlannedOrders[WeekIndex],7)=0,"",SUMIFS(T_PlannedOrders[EffectiveQty],T_PlannedOrders[Part Name],$A1079,T_PlannedOrders[WeekIndex],7)&amp;" ("&amp;TEXT(SUMPRODUCT(MAX((T_PlannedOrders[Part Name]=$A1079)*(T_PlannedOrders[WeekIndex]=7)*(T_PlannedOrders[EffectiveQty]&gt;0)*T_PlannedOrders[Order_Month])),"m月")&amp;"発注)")</f>
        <v/>
      </c>
      <c r="K1085">
        <f>IF(SUMIFS(T_PlannedOrders[EffectiveQty],T_PlannedOrders[Part Name],$A1079,T_PlannedOrders[WeekIndex],8)=0,"",SUMIFS(T_PlannedOrders[EffectiveQty],T_PlannedOrders[Part Name],$A1079,T_PlannedOrders[WeekIndex],8)&amp;" ("&amp;TEXT(SUMPRODUCT(MAX((T_PlannedOrders[Part Name]=$A1079)*(T_PlannedOrders[WeekIndex]=8)*(T_PlannedOrders[EffectiveQty]&gt;0)*T_PlannedOrders[Order_Month])),"m月")&amp;"発注)")</f>
        <v/>
      </c>
      <c r="L1085">
        <f>IF(SUMIFS(T_PlannedOrders[EffectiveQty],T_PlannedOrders[Part Name],$A1079,T_PlannedOrders[WeekIndex],9)=0,"",SUMIFS(T_PlannedOrders[EffectiveQty],T_PlannedOrders[Part Name],$A1079,T_PlannedOrders[WeekIndex],9)&amp;" ("&amp;TEXT(SUMPRODUCT(MAX((T_PlannedOrders[Part Name]=$A1079)*(T_PlannedOrders[WeekIndex]=9)*(T_PlannedOrders[EffectiveQty]&gt;0)*T_PlannedOrders[Order_Month])),"m月")&amp;"発注)")</f>
        <v/>
      </c>
      <c r="M1085">
        <f>IF(SUMIFS(T_PlannedOrders[EffectiveQty],T_PlannedOrders[Part Name],$A1079,T_PlannedOrders[WeekIndex],10)=0,"",SUMIFS(T_PlannedOrders[EffectiveQty],T_PlannedOrders[Part Name],$A1079,T_PlannedOrders[WeekIndex],10)&amp;" ("&amp;TEXT(SUMPRODUCT(MAX((T_PlannedOrders[Part Name]=$A1079)*(T_PlannedOrders[WeekIndex]=10)*(T_PlannedOrders[EffectiveQty]&gt;0)*T_PlannedOrders[Order_Month])),"m月")&amp;"発注)")</f>
        <v/>
      </c>
      <c r="N1085">
        <f>IF(SUMIFS(T_PlannedOrders[EffectiveQty],T_PlannedOrders[Part Name],$A1079,T_PlannedOrders[WeekIndex],11)=0,"",SUMIFS(T_PlannedOrders[EffectiveQty],T_PlannedOrders[Part Name],$A1079,T_PlannedOrders[WeekIndex],11)&amp;" ("&amp;TEXT(SUMPRODUCT(MAX((T_PlannedOrders[Part Name]=$A1079)*(T_PlannedOrders[WeekIndex]=11)*(T_PlannedOrders[EffectiveQty]&gt;0)*T_PlannedOrders[Order_Month])),"m月")&amp;"発注)")</f>
        <v/>
      </c>
      <c r="O1085">
        <f>IF(SUMIFS(T_PlannedOrders[EffectiveQty],T_PlannedOrders[Part Name],$A1079,T_PlannedOrders[WeekIndex],12)=0,"",SUMIFS(T_PlannedOrders[EffectiveQty],T_PlannedOrders[Part Name],$A1079,T_PlannedOrders[WeekIndex],12)&amp;" ("&amp;TEXT(SUMPRODUCT(MAX((T_PlannedOrders[Part Name]=$A1079)*(T_PlannedOrders[WeekIndex]=12)*(T_PlannedOrders[EffectiveQty]&gt;0)*T_PlannedOrders[Order_Month])),"m月")&amp;"発注)")</f>
        <v/>
      </c>
      <c r="P1085">
        <f>IF(SUMIFS(T_PlannedOrders[EffectiveQty],T_PlannedOrders[Part Name],$A1079,T_PlannedOrders[WeekIndex],13)=0,"",SUMIFS(T_PlannedOrders[EffectiveQty],T_PlannedOrders[Part Name],$A1079,T_PlannedOrders[WeekIndex],13)&amp;" ("&amp;TEXT(SUMPRODUCT(MAX((T_PlannedOrders[Part Name]=$A1079)*(T_PlannedOrders[WeekIndex]=13)*(T_PlannedOrders[EffectiveQty]&gt;0)*T_PlannedOrders[Order_Month])),"m月")&amp;"発注)")</f>
        <v/>
      </c>
      <c r="Q1085">
        <f>IF(SUMIFS(T_PlannedOrders[EffectiveQty],T_PlannedOrders[Part Name],$A1079,T_PlannedOrders[WeekIndex],14)=0,"",SUMIFS(T_PlannedOrders[EffectiveQty],T_PlannedOrders[Part Name],$A1079,T_PlannedOrders[WeekIndex],14)&amp;" ("&amp;TEXT(SUMPRODUCT(MAX((T_PlannedOrders[Part Name]=$A1079)*(T_PlannedOrders[WeekIndex]=14)*(T_PlannedOrders[EffectiveQty]&gt;0)*T_PlannedOrders[Order_Month])),"m月")&amp;"発注)")</f>
        <v/>
      </c>
      <c r="R1085">
        <f>IF(SUMIFS(T_PlannedOrders[EffectiveQty],T_PlannedOrders[Part Name],$A1079,T_PlannedOrders[WeekIndex],15)=0,"",SUMIFS(T_PlannedOrders[EffectiveQty],T_PlannedOrders[Part Name],$A1079,T_PlannedOrders[WeekIndex],15)&amp;" ("&amp;TEXT(SUMPRODUCT(MAX((T_PlannedOrders[Part Name]=$A1079)*(T_PlannedOrders[WeekIndex]=15)*(T_PlannedOrders[EffectiveQty]&gt;0)*T_PlannedOrders[Order_Month])),"m月")&amp;"発注)")</f>
        <v/>
      </c>
      <c r="S1085">
        <f>IF(SUMIFS(T_PlannedOrders[EffectiveQty],T_PlannedOrders[Part Name],$A1079,T_PlannedOrders[WeekIndex],16)=0,"",SUMIFS(T_PlannedOrders[EffectiveQty],T_PlannedOrders[Part Name],$A1079,T_PlannedOrders[WeekIndex],16)&amp;" ("&amp;TEXT(SUMPRODUCT(MAX((T_PlannedOrders[Part Name]=$A1079)*(T_PlannedOrders[WeekIndex]=16)*(T_PlannedOrders[EffectiveQty]&gt;0)*T_PlannedOrders[Order_Month])),"m月")&amp;"発注)")</f>
        <v/>
      </c>
      <c r="T1085">
        <f>IF(SUMIFS(T_PlannedOrders[EffectiveQty],T_PlannedOrders[Part Name],$A1079,T_PlannedOrders[WeekIndex],17)=0,"",SUMIFS(T_PlannedOrders[EffectiveQty],T_PlannedOrders[Part Name],$A1079,T_PlannedOrders[WeekIndex],17)&amp;" ("&amp;TEXT(SUMPRODUCT(MAX((T_PlannedOrders[Part Name]=$A1079)*(T_PlannedOrders[WeekIndex]=17)*(T_PlannedOrders[EffectiveQty]&gt;0)*T_PlannedOrders[Order_Month])),"m月")&amp;"発注)")</f>
        <v/>
      </c>
      <c r="U1085">
        <f>IF(SUMIFS(T_PlannedOrders[EffectiveQty],T_PlannedOrders[Part Name],$A1079,T_PlannedOrders[WeekIndex],18)=0,"",SUMIFS(T_PlannedOrders[EffectiveQty],T_PlannedOrders[Part Name],$A1079,T_PlannedOrders[WeekIndex],18)&amp;" ("&amp;TEXT(SUMPRODUCT(MAX((T_PlannedOrders[Part Name]=$A1079)*(T_PlannedOrders[WeekIndex]=18)*(T_PlannedOrders[EffectiveQty]&gt;0)*T_PlannedOrders[Order_Month])),"m月")&amp;"発注)")</f>
        <v/>
      </c>
      <c r="V1085">
        <f>IF(SUMIFS(T_PlannedOrders[EffectiveQty],T_PlannedOrders[Part Name],$A1079,T_PlannedOrders[WeekIndex],19)=0,"",SUMIFS(T_PlannedOrders[EffectiveQty],T_PlannedOrders[Part Name],$A1079,T_PlannedOrders[WeekIndex],19)&amp;" ("&amp;TEXT(SUMPRODUCT(MAX((T_PlannedOrders[Part Name]=$A1079)*(T_PlannedOrders[WeekIndex]=19)*(T_PlannedOrders[EffectiveQty]&gt;0)*T_PlannedOrders[Order_Month])),"m月")&amp;"発注)")</f>
        <v/>
      </c>
      <c r="W1085">
        <f>IF(SUMIFS(T_PlannedOrders[EffectiveQty],T_PlannedOrders[Part Name],$A1079,T_PlannedOrders[WeekIndex],20)=0,"",SUMIFS(T_PlannedOrders[EffectiveQty],T_PlannedOrders[Part Name],$A1079,T_PlannedOrders[WeekIndex],20)&amp;" ("&amp;TEXT(SUMPRODUCT(MAX((T_PlannedOrders[Part Name]=$A1079)*(T_PlannedOrders[WeekIndex]=20)*(T_PlannedOrders[EffectiveQty]&gt;0)*T_PlannedOrders[Order_Month])),"m月")&amp;"発注)")</f>
        <v/>
      </c>
      <c r="X1085">
        <f>IF(SUMIFS(T_PlannedOrders[EffectiveQty],T_PlannedOrders[Part Name],$A1079,T_PlannedOrders[WeekIndex],21)=0,"",SUMIFS(T_PlannedOrders[EffectiveQty],T_PlannedOrders[Part Name],$A1079,T_PlannedOrders[WeekIndex],21)&amp;" ("&amp;TEXT(SUMPRODUCT(MAX((T_PlannedOrders[Part Name]=$A1079)*(T_PlannedOrders[WeekIndex]=21)*(T_PlannedOrders[EffectiveQty]&gt;0)*T_PlannedOrders[Order_Month])),"m月")&amp;"発注)")</f>
        <v/>
      </c>
      <c r="Y1085">
        <f>IF(SUMIFS(T_PlannedOrders[EffectiveQty],T_PlannedOrders[Part Name],$A1079,T_PlannedOrders[WeekIndex],22)=0,"",SUMIFS(T_PlannedOrders[EffectiveQty],T_PlannedOrders[Part Name],$A1079,T_PlannedOrders[WeekIndex],22)&amp;" ("&amp;TEXT(SUMPRODUCT(MAX((T_PlannedOrders[Part Name]=$A1079)*(T_PlannedOrders[WeekIndex]=22)*(T_PlannedOrders[EffectiveQty]&gt;0)*T_PlannedOrders[Order_Month])),"m月")&amp;"発注)")</f>
        <v/>
      </c>
      <c r="Z1085">
        <f>IF(SUMIFS(T_PlannedOrders[EffectiveQty],T_PlannedOrders[Part Name],$A1079,T_PlannedOrders[WeekIndex],23)=0,"",SUMIFS(T_PlannedOrders[EffectiveQty],T_PlannedOrders[Part Name],$A1079,T_PlannedOrders[WeekIndex],23)&amp;" ("&amp;TEXT(SUMPRODUCT(MAX((T_PlannedOrders[Part Name]=$A1079)*(T_PlannedOrders[WeekIndex]=23)*(T_PlannedOrders[EffectiveQty]&gt;0)*T_PlannedOrders[Order_Month])),"m月")&amp;"発注)")</f>
        <v/>
      </c>
      <c r="AA1085">
        <f>IF(SUMIFS(T_PlannedOrders[EffectiveQty],T_PlannedOrders[Part Name],$A1079,T_PlannedOrders[WeekIndex],24)=0,"",SUMIFS(T_PlannedOrders[EffectiveQty],T_PlannedOrders[Part Name],$A1079,T_PlannedOrders[WeekIndex],24)&amp;" ("&amp;TEXT(SUMPRODUCT(MAX((T_PlannedOrders[Part Name]=$A1079)*(T_PlannedOrders[WeekIndex]=24)*(T_PlannedOrders[EffectiveQty]&gt;0)*T_PlannedOrders[Order_Month])),"m月")&amp;"発注)")</f>
        <v/>
      </c>
      <c r="AB1085">
        <f>IF(SUMIFS(T_PlannedOrders[EffectiveQty],T_PlannedOrders[Part Name],$A1079,T_PlannedOrders[WeekIndex],25)=0,"",SUMIFS(T_PlannedOrders[EffectiveQty],T_PlannedOrders[Part Name],$A1079,T_PlannedOrders[WeekIndex],25)&amp;" ("&amp;TEXT(SUMPRODUCT(MAX((T_PlannedOrders[Part Name]=$A1079)*(T_PlannedOrders[WeekIndex]=25)*(T_PlannedOrders[EffectiveQty]&gt;0)*T_PlannedOrders[Order_Month])),"m月")&amp;"発注)")</f>
        <v/>
      </c>
      <c r="AC1085">
        <f>IF(SUMIFS(T_PlannedOrders[EffectiveQty],T_PlannedOrders[Part Name],$A1079,T_PlannedOrders[WeekIndex],26)=0,"",SUMIFS(T_PlannedOrders[EffectiveQty],T_PlannedOrders[Part Name],$A1079,T_PlannedOrders[WeekIndex],26)&amp;" ("&amp;TEXT(SUMPRODUCT(MAX((T_PlannedOrders[Part Name]=$A1079)*(T_PlannedOrders[WeekIndex]=26)*(T_PlannedOrders[EffectiveQty]&gt;0)*T_PlannedOrders[Order_Month])),"m月")&amp;"発注)")</f>
        <v/>
      </c>
      <c r="AD1085">
        <f>IF(SUMIFS(T_PlannedOrders[EffectiveQty],T_PlannedOrders[Part Name],$A1079,T_PlannedOrders[WeekIndex],27)=0,"",SUMIFS(T_PlannedOrders[EffectiveQty],T_PlannedOrders[Part Name],$A1079,T_PlannedOrders[WeekIndex],27)&amp;" ("&amp;TEXT(SUMPRODUCT(MAX((T_PlannedOrders[Part Name]=$A1079)*(T_PlannedOrders[WeekIndex]=27)*(T_PlannedOrders[EffectiveQty]&gt;0)*T_PlannedOrders[Order_Month])),"m月")&amp;"発注)")</f>
        <v/>
      </c>
      <c r="AE1085">
        <f>IF(SUMIFS(T_PlannedOrders[EffectiveQty],T_PlannedOrders[Part Name],$A1079,T_PlannedOrders[WeekIndex],28)=0,"",SUMIFS(T_PlannedOrders[EffectiveQty],T_PlannedOrders[Part Name],$A1079,T_PlannedOrders[WeekIndex],28)&amp;" ("&amp;TEXT(SUMPRODUCT(MAX((T_PlannedOrders[Part Name]=$A1079)*(T_PlannedOrders[WeekIndex]=28)*(T_PlannedOrders[EffectiveQty]&gt;0)*T_PlannedOrders[Order_Month])),"m月")&amp;"発注)")</f>
        <v/>
      </c>
      <c r="AF1085">
        <f>IF(SUMIFS(T_PlannedOrders[EffectiveQty],T_PlannedOrders[Part Name],$A1079,T_PlannedOrders[WeekIndex],29)=0,"",SUMIFS(T_PlannedOrders[EffectiveQty],T_PlannedOrders[Part Name],$A1079,T_PlannedOrders[WeekIndex],29)&amp;" ("&amp;TEXT(SUMPRODUCT(MAX((T_PlannedOrders[Part Name]=$A1079)*(T_PlannedOrders[WeekIndex]=29)*(T_PlannedOrders[EffectiveQty]&gt;0)*T_PlannedOrders[Order_Month])),"m月")&amp;"発注)")</f>
        <v/>
      </c>
      <c r="AG1085">
        <f>IF(SUMIFS(T_PlannedOrders[EffectiveQty],T_PlannedOrders[Part Name],$A1079,T_PlannedOrders[WeekIndex],30)=0,"",SUMIFS(T_PlannedOrders[EffectiveQty],T_PlannedOrders[Part Name],$A1079,T_PlannedOrders[WeekIndex],30)&amp;" ("&amp;TEXT(SUMPRODUCT(MAX((T_PlannedOrders[Part Name]=$A1079)*(T_PlannedOrders[WeekIndex]=30)*(T_PlannedOrders[EffectiveQty]&gt;0)*T_PlannedOrders[Order_Month])),"m月")&amp;"発注)")</f>
        <v/>
      </c>
      <c r="AH1085">
        <f>IF(SUMIFS(T_PlannedOrders[EffectiveQty],T_PlannedOrders[Part Name],$A1079,T_PlannedOrders[WeekIndex],31)=0,"",SUMIFS(T_PlannedOrders[EffectiveQty],T_PlannedOrders[Part Name],$A1079,T_PlannedOrders[WeekIndex],31)&amp;" ("&amp;TEXT(SUMPRODUCT(MAX((T_PlannedOrders[Part Name]=$A1079)*(T_PlannedOrders[WeekIndex]=31)*(T_PlannedOrders[EffectiveQty]&gt;0)*T_PlannedOrders[Order_Month])),"m月")&amp;"発注)")</f>
        <v/>
      </c>
      <c r="AI1085">
        <f>IF(SUMIFS(T_PlannedOrders[EffectiveQty],T_PlannedOrders[Part Name],$A1079,T_PlannedOrders[WeekIndex],32)=0,"",SUMIFS(T_PlannedOrders[EffectiveQty],T_PlannedOrders[Part Name],$A1079,T_PlannedOrders[WeekIndex],32)&amp;" ("&amp;TEXT(SUMPRODUCT(MAX((T_PlannedOrders[Part Name]=$A1079)*(T_PlannedOrders[WeekIndex]=32)*(T_PlannedOrders[EffectiveQty]&gt;0)*T_PlannedOrders[Order_Month])),"m月")&amp;"発注)")</f>
        <v/>
      </c>
      <c r="AJ1085">
        <f>IF(SUMIFS(T_PlannedOrders[EffectiveQty],T_PlannedOrders[Part Name],$A1079,T_PlannedOrders[WeekIndex],33)=0,"",SUMIFS(T_PlannedOrders[EffectiveQty],T_PlannedOrders[Part Name],$A1079,T_PlannedOrders[WeekIndex],33)&amp;" ("&amp;TEXT(SUMPRODUCT(MAX((T_PlannedOrders[Part Name]=$A1079)*(T_PlannedOrders[WeekIndex]=33)*(T_PlannedOrders[EffectiveQty]&gt;0)*T_PlannedOrders[Order_Month])),"m月")&amp;"発注)")</f>
        <v/>
      </c>
      <c r="AK1085">
        <f>IF(SUMIFS(T_PlannedOrders[EffectiveQty],T_PlannedOrders[Part Name],$A1079,T_PlannedOrders[WeekIndex],34)=0,"",SUMIFS(T_PlannedOrders[EffectiveQty],T_PlannedOrders[Part Name],$A1079,T_PlannedOrders[WeekIndex],34)&amp;" ("&amp;TEXT(SUMPRODUCT(MAX((T_PlannedOrders[Part Name]=$A1079)*(T_PlannedOrders[WeekIndex]=34)*(T_PlannedOrders[EffectiveQty]&gt;0)*T_PlannedOrders[Order_Month])),"m月")&amp;"発注)")</f>
        <v/>
      </c>
      <c r="AL1085">
        <f>IF(SUMIFS(T_PlannedOrders[EffectiveQty],T_PlannedOrders[Part Name],$A1079,T_PlannedOrders[WeekIndex],35)=0,"",SUMIFS(T_PlannedOrders[EffectiveQty],T_PlannedOrders[Part Name],$A1079,T_PlannedOrders[WeekIndex],35)&amp;" ("&amp;TEXT(SUMPRODUCT(MAX((T_PlannedOrders[Part Name]=$A1079)*(T_PlannedOrders[WeekIndex]=35)*(T_PlannedOrders[EffectiveQty]&gt;0)*T_PlannedOrders[Order_Month])),"m月")&amp;"発注)")</f>
        <v/>
      </c>
      <c r="AM1085">
        <f>IF(SUMIFS(T_PlannedOrders[EffectiveQty],T_PlannedOrders[Part Name],$A1079,T_PlannedOrders[WeekIndex],36)=0,"",SUMIFS(T_PlannedOrders[EffectiveQty],T_PlannedOrders[Part Name],$A1079,T_PlannedOrders[WeekIndex],36)&amp;" ("&amp;TEXT(SUMPRODUCT(MAX((T_PlannedOrders[Part Name]=$A1079)*(T_PlannedOrders[WeekIndex]=36)*(T_PlannedOrders[EffectiveQty]&gt;0)*T_PlannedOrders[Order_Month])),"m月")&amp;"発注)")</f>
        <v/>
      </c>
      <c r="AN1085">
        <f>IF(SUMIFS(T_PlannedOrders[EffectiveQty],T_PlannedOrders[Part Name],$A1079,T_PlannedOrders[WeekIndex],37)=0,"",SUMIFS(T_PlannedOrders[EffectiveQty],T_PlannedOrders[Part Name],$A1079,T_PlannedOrders[WeekIndex],37)&amp;" ("&amp;TEXT(SUMPRODUCT(MAX((T_PlannedOrders[Part Name]=$A1079)*(T_PlannedOrders[WeekIndex]=37)*(T_PlannedOrders[EffectiveQty]&gt;0)*T_PlannedOrders[Order_Month])),"m月")&amp;"発注)")</f>
        <v/>
      </c>
      <c r="AO1085">
        <f>IF(SUMIFS(T_PlannedOrders[EffectiveQty],T_PlannedOrders[Part Name],$A1079,T_PlannedOrders[WeekIndex],38)=0,"",SUMIFS(T_PlannedOrders[EffectiveQty],T_PlannedOrders[Part Name],$A1079,T_PlannedOrders[WeekIndex],38)&amp;" ("&amp;TEXT(SUMPRODUCT(MAX((T_PlannedOrders[Part Name]=$A1079)*(T_PlannedOrders[WeekIndex]=38)*(T_PlannedOrders[EffectiveQty]&gt;0)*T_PlannedOrders[Order_Month])),"m月")&amp;"発注)")</f>
        <v/>
      </c>
      <c r="AP1085">
        <f>IF(SUMIFS(T_PlannedOrders[EffectiveQty],T_PlannedOrders[Part Name],$A1079,T_PlannedOrders[WeekIndex],39)=0,"",SUMIFS(T_PlannedOrders[EffectiveQty],T_PlannedOrders[Part Name],$A1079,T_PlannedOrders[WeekIndex],39)&amp;" ("&amp;TEXT(SUMPRODUCT(MAX((T_PlannedOrders[Part Name]=$A1079)*(T_PlannedOrders[WeekIndex]=39)*(T_PlannedOrders[EffectiveQty]&gt;0)*T_PlannedOrders[Order_Month])),"m月")&amp;"発注)")</f>
        <v/>
      </c>
      <c r="AQ1085">
        <f>IF(SUMIFS(T_PlannedOrders[EffectiveQty],T_PlannedOrders[Part Name],$A1079,T_PlannedOrders[WeekIndex],40)=0,"",SUMIFS(T_PlannedOrders[EffectiveQty],T_PlannedOrders[Part Name],$A1079,T_PlannedOrders[WeekIndex],40)&amp;" ("&amp;TEXT(SUMPRODUCT(MAX((T_PlannedOrders[Part Name]=$A1079)*(T_PlannedOrders[WeekIndex]=40)*(T_PlannedOrders[EffectiveQty]&gt;0)*T_PlannedOrders[Order_Month])),"m月")&amp;"発注)")</f>
        <v/>
      </c>
      <c r="AR1085">
        <f>IF(SUMIFS(T_PlannedOrders[EffectiveQty],T_PlannedOrders[Part Name],$A1079,T_PlannedOrders[WeekIndex],41)=0,"",SUMIFS(T_PlannedOrders[EffectiveQty],T_PlannedOrders[Part Name],$A1079,T_PlannedOrders[WeekIndex],41)&amp;" ("&amp;TEXT(SUMPRODUCT(MAX((T_PlannedOrders[Part Name]=$A1079)*(T_PlannedOrders[WeekIndex]=41)*(T_PlannedOrders[EffectiveQty]&gt;0)*T_PlannedOrders[Order_Month])),"m月")&amp;"発注)")</f>
        <v/>
      </c>
      <c r="AS1085">
        <f>IF(SUMIFS(T_PlannedOrders[EffectiveQty],T_PlannedOrders[Part Name],$A1079,T_PlannedOrders[WeekIndex],42)=0,"",SUMIFS(T_PlannedOrders[EffectiveQty],T_PlannedOrders[Part Name],$A1079,T_PlannedOrders[WeekIndex],42)&amp;" ("&amp;TEXT(SUMPRODUCT(MAX((T_PlannedOrders[Part Name]=$A1079)*(T_PlannedOrders[WeekIndex]=42)*(T_PlannedOrders[EffectiveQty]&gt;0)*T_PlannedOrders[Order_Month])),"m月")&amp;"発注)")</f>
        <v/>
      </c>
      <c r="AT1085">
        <f>IF(SUMIFS(T_PlannedOrders[EffectiveQty],T_PlannedOrders[Part Name],$A1079,T_PlannedOrders[WeekIndex],43)=0,"",SUMIFS(T_PlannedOrders[EffectiveQty],T_PlannedOrders[Part Name],$A1079,T_PlannedOrders[WeekIndex],43)&amp;" ("&amp;TEXT(SUMPRODUCT(MAX((T_PlannedOrders[Part Name]=$A1079)*(T_PlannedOrders[WeekIndex]=43)*(T_PlannedOrders[EffectiveQty]&gt;0)*T_PlannedOrders[Order_Month])),"m月")&amp;"発注)")</f>
        <v/>
      </c>
      <c r="AU1085">
        <f>IF(SUMIFS(T_PlannedOrders[EffectiveQty],T_PlannedOrders[Part Name],$A1079,T_PlannedOrders[WeekIndex],44)=0,"",SUMIFS(T_PlannedOrders[EffectiveQty],T_PlannedOrders[Part Name],$A1079,T_PlannedOrders[WeekIndex],44)&amp;" ("&amp;TEXT(SUMPRODUCT(MAX((T_PlannedOrders[Part Name]=$A1079)*(T_PlannedOrders[WeekIndex]=44)*(T_PlannedOrders[EffectiveQty]&gt;0)*T_PlannedOrders[Order_Month])),"m月")&amp;"発注)")</f>
        <v/>
      </c>
      <c r="AV1085">
        <f>IF(SUMIFS(T_PlannedOrders[EffectiveQty],T_PlannedOrders[Part Name],$A1079,T_PlannedOrders[WeekIndex],45)=0,"",SUMIFS(T_PlannedOrders[EffectiveQty],T_PlannedOrders[Part Name],$A1079,T_PlannedOrders[WeekIndex],45)&amp;" ("&amp;TEXT(SUMPRODUCT(MAX((T_PlannedOrders[Part Name]=$A1079)*(T_PlannedOrders[WeekIndex]=45)*(T_PlannedOrders[EffectiveQty]&gt;0)*T_PlannedOrders[Order_Month])),"m月")&amp;"発注)")</f>
        <v/>
      </c>
      <c r="AW1085">
        <f>IF(SUMIFS(T_PlannedOrders[EffectiveQty],T_PlannedOrders[Part Name],$A1079,T_PlannedOrders[WeekIndex],46)=0,"",SUMIFS(T_PlannedOrders[EffectiveQty],T_PlannedOrders[Part Name],$A1079,T_PlannedOrders[WeekIndex],46)&amp;" ("&amp;TEXT(SUMPRODUCT(MAX((T_PlannedOrders[Part Name]=$A1079)*(T_PlannedOrders[WeekIndex]=46)*(T_PlannedOrders[EffectiveQty]&gt;0)*T_PlannedOrders[Order_Month])),"m月")&amp;"発注)")</f>
        <v/>
      </c>
      <c r="AX1085">
        <f>IF(SUMIFS(T_PlannedOrders[EffectiveQty],T_PlannedOrders[Part Name],$A1079,T_PlannedOrders[WeekIndex],47)=0,"",SUMIFS(T_PlannedOrders[EffectiveQty],T_PlannedOrders[Part Name],$A1079,T_PlannedOrders[WeekIndex],47)&amp;" ("&amp;TEXT(SUMPRODUCT(MAX((T_PlannedOrders[Part Name]=$A1079)*(T_PlannedOrders[WeekIndex]=47)*(T_PlannedOrders[EffectiveQty]&gt;0)*T_PlannedOrders[Order_Month])),"m月")&amp;"発注)")</f>
        <v/>
      </c>
      <c r="AY1085">
        <f>IF(SUMIFS(T_PlannedOrders[EffectiveQty],T_PlannedOrders[Part Name],$A1079,T_PlannedOrders[WeekIndex],48)=0,"",SUMIFS(T_PlannedOrders[EffectiveQty],T_PlannedOrders[Part Name],$A1079,T_PlannedOrders[WeekIndex],48)&amp;" ("&amp;TEXT(SUMPRODUCT(MAX((T_PlannedOrders[Part Name]=$A1079)*(T_PlannedOrders[WeekIndex]=48)*(T_PlannedOrders[EffectiveQty]&gt;0)*T_PlannedOrders[Order_Month])),"m月")&amp;"発注)")</f>
        <v/>
      </c>
      <c r="AZ1085">
        <f>IF(SUMIFS(T_PlannedOrders[EffectiveQty],T_PlannedOrders[Part Name],$A1079,T_PlannedOrders[WeekIndex],49)=0,"",SUMIFS(T_PlannedOrders[EffectiveQty],T_PlannedOrders[Part Name],$A1079,T_PlannedOrders[WeekIndex],49)&amp;" ("&amp;TEXT(SUMPRODUCT(MAX((T_PlannedOrders[Part Name]=$A1079)*(T_PlannedOrders[WeekIndex]=49)*(T_PlannedOrders[EffectiveQty]&gt;0)*T_PlannedOrders[Order_Month])),"m月")&amp;"発注)")</f>
        <v/>
      </c>
      <c r="BA1085">
        <f>IF(SUMIFS(T_PlannedOrders[EffectiveQty],T_PlannedOrders[Part Name],$A1079,T_PlannedOrders[WeekIndex],50)=0,"",SUMIFS(T_PlannedOrders[EffectiveQty],T_PlannedOrders[Part Name],$A1079,T_PlannedOrders[WeekIndex],50)&amp;" ("&amp;TEXT(SUMPRODUCT(MAX((T_PlannedOrders[Part Name]=$A1079)*(T_PlannedOrders[WeekIndex]=50)*(T_PlannedOrders[EffectiveQty]&gt;0)*T_PlannedOrders[Order_Month])),"m月")&amp;"発注)")</f>
        <v/>
      </c>
      <c r="BB1085">
        <f>IF(SUMIFS(T_PlannedOrders[EffectiveQty],T_PlannedOrders[Part Name],$A1079,T_PlannedOrders[WeekIndex],51)=0,"",SUMIFS(T_PlannedOrders[EffectiveQty],T_PlannedOrders[Part Name],$A1079,T_PlannedOrders[WeekIndex],51)&amp;" ("&amp;TEXT(SUMPRODUCT(MAX((T_PlannedOrders[Part Name]=$A1079)*(T_PlannedOrders[WeekIndex]=51)*(T_PlannedOrders[EffectiveQty]&gt;0)*T_PlannedOrders[Order_Month])),"m月")&amp;"発注)")</f>
        <v/>
      </c>
      <c r="BC1085">
        <f>IF(SUMIFS(T_PlannedOrders[EffectiveQty],T_PlannedOrders[Part Name],$A1079,T_PlannedOrders[WeekIndex],52)=0,"",SUMIFS(T_PlannedOrders[EffectiveQty],T_PlannedOrders[Part Name],$A1079,T_PlannedOrders[WeekIndex],52)&amp;" ("&amp;TEXT(SUMPRODUCT(MAX((T_PlannedOrders[Part Name]=$A1079)*(T_PlannedOrders[WeekIndex]=52)*(T_PlannedOrders[EffectiveQty]&gt;0)*T_PlannedOrders[Order_Month])),"m月")&amp;"発注)")</f>
        <v/>
      </c>
      <c r="BD1085">
        <f>IF(SUMIFS(T_PlannedOrders[EffectiveQty],T_PlannedOrders[Part Name],$A1079,T_PlannedOrders[WeekIndex],53)=0,"",SUMIFS(T_PlannedOrders[EffectiveQty],T_PlannedOrders[Part Name],$A1079,T_PlannedOrders[WeekIndex],53)&amp;" ("&amp;TEXT(SUMPRODUCT(MAX((T_PlannedOrders[Part Name]=$A1079)*(T_PlannedOrders[WeekIndex]=53)*(T_PlannedOrders[EffectiveQty]&gt;0)*T_PlannedOrders[Order_Month])),"m月")&amp;"発注)")</f>
        <v/>
      </c>
      <c r="BE1085">
        <f>IF(SUMIFS(T_PlannedOrders[EffectiveQty],T_PlannedOrders[Part Name],$A1079,T_PlannedOrders[WeekIndex],54)=0,"",SUMIFS(T_PlannedOrders[EffectiveQty],T_PlannedOrders[Part Name],$A1079,T_PlannedOrders[WeekIndex],54)&amp;" ("&amp;TEXT(SUMPRODUCT(MAX((T_PlannedOrders[Part Name]=$A1079)*(T_PlannedOrders[WeekIndex]=54)*(T_PlannedOrders[EffectiveQty]&gt;0)*T_PlannedOrders[Order_Month])),"m月")&amp;"発注)")</f>
        <v/>
      </c>
      <c r="BF1085">
        <f>IF(SUMIFS(T_PlannedOrders[EffectiveQty],T_PlannedOrders[Part Name],$A1079,T_PlannedOrders[WeekIndex],55)=0,"",SUMIFS(T_PlannedOrders[EffectiveQty],T_PlannedOrders[Part Name],$A1079,T_PlannedOrders[WeekIndex],55)&amp;" ("&amp;TEXT(SUMPRODUCT(MAX((T_PlannedOrders[Part Name]=$A1079)*(T_PlannedOrders[WeekIndex]=55)*(T_PlannedOrders[EffectiveQty]&gt;0)*T_PlannedOrders[Order_Month])),"m月")&amp;"発注)")</f>
        <v/>
      </c>
      <c r="BG1085">
        <f>IF(SUMIFS(T_PlannedOrders[EffectiveQty],T_PlannedOrders[Part Name],$A1079,T_PlannedOrders[WeekIndex],56)=0,"",SUMIFS(T_PlannedOrders[EffectiveQty],T_PlannedOrders[Part Name],$A1079,T_PlannedOrders[WeekIndex],56)&amp;" ("&amp;TEXT(SUMPRODUCT(MAX((T_PlannedOrders[Part Name]=$A1079)*(T_PlannedOrders[WeekIndex]=56)*(T_PlannedOrders[EffectiveQty]&gt;0)*T_PlannedOrders[Order_Month])),"m月")&amp;"発注)")</f>
        <v/>
      </c>
      <c r="BH1085">
        <f>IF(SUMIFS(T_PlannedOrders[EffectiveQty],T_PlannedOrders[Part Name],$A1079,T_PlannedOrders[WeekIndex],57)=0,"",SUMIFS(T_PlannedOrders[EffectiveQty],T_PlannedOrders[Part Name],$A1079,T_PlannedOrders[WeekIndex],57)&amp;" ("&amp;TEXT(SUMPRODUCT(MAX((T_PlannedOrders[Part Name]=$A1079)*(T_PlannedOrders[WeekIndex]=57)*(T_PlannedOrders[EffectiveQty]&gt;0)*T_PlannedOrders[Order_Month])),"m月")&amp;"発注)")</f>
        <v/>
      </c>
      <c r="BI1085">
        <f>IF(SUMIFS(T_PlannedOrders[EffectiveQty],T_PlannedOrders[Part Name],$A1079,T_PlannedOrders[WeekIndex],58)=0,"",SUMIFS(T_PlannedOrders[EffectiveQty],T_PlannedOrders[Part Name],$A1079,T_PlannedOrders[WeekIndex],58)&amp;" ("&amp;TEXT(SUMPRODUCT(MAX((T_PlannedOrders[Part Name]=$A1079)*(T_PlannedOrders[WeekIndex]=58)*(T_PlannedOrders[EffectiveQty]&gt;0)*T_PlannedOrders[Order_Month])),"m月")&amp;"発注)")</f>
        <v/>
      </c>
      <c r="BJ1085">
        <f>IF(SUMIFS(T_PlannedOrders[EffectiveQty],T_PlannedOrders[Part Name],$A1079,T_PlannedOrders[WeekIndex],59)=0,"",SUMIFS(T_PlannedOrders[EffectiveQty],T_PlannedOrders[Part Name],$A1079,T_PlannedOrders[WeekIndex],59)&amp;" ("&amp;TEXT(SUMPRODUCT(MAX((T_PlannedOrders[Part Name]=$A1079)*(T_PlannedOrders[WeekIndex]=59)*(T_PlannedOrders[EffectiveQty]&gt;0)*T_PlannedOrders[Order_Month])),"m月")&amp;"発注)")</f>
        <v/>
      </c>
      <c r="BK1085">
        <f>IF(SUMIFS(T_PlannedOrders[EffectiveQty],T_PlannedOrders[Part Name],$A1079,T_PlannedOrders[WeekIndex],60)=0,"",SUMIFS(T_PlannedOrders[EffectiveQty],T_PlannedOrders[Part Name],$A1079,T_PlannedOrders[WeekIndex],60)&amp;" ("&amp;TEXT(SUMPRODUCT(MAX((T_PlannedOrders[Part Name]=$A1079)*(T_PlannedOrders[WeekIndex]=60)*(T_PlannedOrders[EffectiveQty]&gt;0)*T_PlannedOrders[Order_Month])),"m月")&amp;"発注)")</f>
        <v/>
      </c>
      <c r="BL1085">
        <f>IF(SUMIFS(T_PlannedOrders[EffectiveQty],T_PlannedOrders[Part Name],$A1079,T_PlannedOrders[WeekIndex],61)=0,"",SUMIFS(T_PlannedOrders[EffectiveQty],T_PlannedOrders[Part Name],$A1079,T_PlannedOrders[WeekIndex],61)&amp;" ("&amp;TEXT(SUMPRODUCT(MAX((T_PlannedOrders[Part Name]=$A1079)*(T_PlannedOrders[WeekIndex]=61)*(T_PlannedOrders[EffectiveQty]&gt;0)*T_PlannedOrders[Order_Month])),"m月")&amp;"発注)")</f>
        <v/>
      </c>
      <c r="BM1085">
        <f>IF(SUMIFS(T_PlannedOrders[EffectiveQty],T_PlannedOrders[Part Name],$A1079,T_PlannedOrders[WeekIndex],62)=0,"",SUMIFS(T_PlannedOrders[EffectiveQty],T_PlannedOrders[Part Name],$A1079,T_PlannedOrders[WeekIndex],62)&amp;" ("&amp;TEXT(SUMPRODUCT(MAX((T_PlannedOrders[Part Name]=$A1079)*(T_PlannedOrders[WeekIndex]=62)*(T_PlannedOrders[EffectiveQty]&gt;0)*T_PlannedOrders[Order_Month])),"m月")&amp;"発注)")</f>
        <v/>
      </c>
      <c r="BN1085">
        <f>IF(SUMIFS(T_PlannedOrders[EffectiveQty],T_PlannedOrders[Part Name],$A1079,T_PlannedOrders[WeekIndex],63)=0,"",SUMIFS(T_PlannedOrders[EffectiveQty],T_PlannedOrders[Part Name],$A1079,T_PlannedOrders[WeekIndex],63)&amp;" ("&amp;TEXT(SUMPRODUCT(MAX((T_PlannedOrders[Part Name]=$A1079)*(T_PlannedOrders[WeekIndex]=63)*(T_PlannedOrders[EffectiveQty]&gt;0)*T_PlannedOrders[Order_Month])),"m月")&amp;"発注)")</f>
        <v/>
      </c>
      <c r="BO1085">
        <f>IF(SUMIFS(T_PlannedOrders[EffectiveQty],T_PlannedOrders[Part Name],$A1079,T_PlannedOrders[WeekIndex],64)=0,"",SUMIFS(T_PlannedOrders[EffectiveQty],T_PlannedOrders[Part Name],$A1079,T_PlannedOrders[WeekIndex],64)&amp;" ("&amp;TEXT(SUMPRODUCT(MAX((T_PlannedOrders[Part Name]=$A1079)*(T_PlannedOrders[WeekIndex]=64)*(T_PlannedOrders[EffectiveQty]&gt;0)*T_PlannedOrders[Order_Month])),"m月")&amp;"発注)")</f>
        <v/>
      </c>
      <c r="BP1085">
        <f>IF(SUMIFS(T_PlannedOrders[EffectiveQty],T_PlannedOrders[Part Name],$A1079,T_PlannedOrders[WeekIndex],65)=0,"",SUMIFS(T_PlannedOrders[EffectiveQty],T_PlannedOrders[Part Name],$A1079,T_PlannedOrders[WeekIndex],65)&amp;" ("&amp;TEXT(SUMPRODUCT(MAX((T_PlannedOrders[Part Name]=$A1079)*(T_PlannedOrders[WeekIndex]=65)*(T_PlannedOrders[EffectiveQty]&gt;0)*T_PlannedOrders[Order_Month])),"m月")&amp;"発注)")</f>
        <v/>
      </c>
      <c r="BQ1085">
        <f>IF(SUMIFS(T_PlannedOrders[EffectiveQty],T_PlannedOrders[Part Name],$A1079,T_PlannedOrders[WeekIndex],66)=0,"",SUMIFS(T_PlannedOrders[EffectiveQty],T_PlannedOrders[Part Name],$A1079,T_PlannedOrders[WeekIndex],66)&amp;" ("&amp;TEXT(SUMPRODUCT(MAX((T_PlannedOrders[Part Name]=$A1079)*(T_PlannedOrders[WeekIndex]=66)*(T_PlannedOrders[EffectiveQty]&gt;0)*T_PlannedOrders[Order_Month])),"m月")&amp;"発注)")</f>
        <v/>
      </c>
      <c r="BR1085">
        <f>IF(SUMIFS(T_PlannedOrders[EffectiveQty],T_PlannedOrders[Part Name],$A1079,T_PlannedOrders[WeekIndex],67)=0,"",SUMIFS(T_PlannedOrders[EffectiveQty],T_PlannedOrders[Part Name],$A1079,T_PlannedOrders[WeekIndex],67)&amp;" ("&amp;TEXT(SUMPRODUCT(MAX((T_PlannedOrders[Part Name]=$A1079)*(T_PlannedOrders[WeekIndex]=67)*(T_PlannedOrders[EffectiveQty]&gt;0)*T_PlannedOrders[Order_Month])),"m月")&amp;"発注)")</f>
        <v/>
      </c>
      <c r="BS1085">
        <f>IF(SUMIFS(T_PlannedOrders[EffectiveQty],T_PlannedOrders[Part Name],$A1079,T_PlannedOrders[WeekIndex],68)=0,"",SUMIFS(T_PlannedOrders[EffectiveQty],T_PlannedOrders[Part Name],$A1079,T_PlannedOrders[WeekIndex],68)&amp;" ("&amp;TEXT(SUMPRODUCT(MAX((T_PlannedOrders[Part Name]=$A1079)*(T_PlannedOrders[WeekIndex]=68)*(T_PlannedOrders[EffectiveQty]&gt;0)*T_PlannedOrders[Order_Month])),"m月")&amp;"発注)")</f>
        <v/>
      </c>
      <c r="BT1085">
        <f>IF(SUMIFS(T_PlannedOrders[EffectiveQty],T_PlannedOrders[Part Name],$A1079,T_PlannedOrders[WeekIndex],69)=0,"",SUMIFS(T_PlannedOrders[EffectiveQty],T_PlannedOrders[Part Name],$A1079,T_PlannedOrders[WeekIndex],69)&amp;" ("&amp;TEXT(SUMPRODUCT(MAX((T_PlannedOrders[Part Name]=$A1079)*(T_PlannedOrders[WeekIndex]=69)*(T_PlannedOrders[EffectiveQty]&gt;0)*T_PlannedOrders[Order_Month])),"m月")&amp;"発注)")</f>
        <v/>
      </c>
      <c r="BU1085">
        <f>IF(SUMIFS(T_PlannedOrders[EffectiveQty],T_PlannedOrders[Part Name],$A1079,T_PlannedOrders[WeekIndex],70)=0,"",SUMIFS(T_PlannedOrders[EffectiveQty],T_PlannedOrders[Part Name],$A1079,T_PlannedOrders[WeekIndex],70)&amp;" ("&amp;TEXT(SUMPRODUCT(MAX((T_PlannedOrders[Part Name]=$A1079)*(T_PlannedOrders[WeekIndex]=70)*(T_PlannedOrders[EffectiveQty]&gt;0)*T_PlannedOrders[Order_Month])),"m月")&amp;"発注)")</f>
        <v/>
      </c>
      <c r="BV1085">
        <f>IF(SUMIFS(T_PlannedOrders[EffectiveQty],T_PlannedOrders[Part Name],$A1079,T_PlannedOrders[WeekIndex],71)=0,"",SUMIFS(T_PlannedOrders[EffectiveQty],T_PlannedOrders[Part Name],$A1079,T_PlannedOrders[WeekIndex],71)&amp;" ("&amp;TEXT(SUMPRODUCT(MAX((T_PlannedOrders[Part Name]=$A1079)*(T_PlannedOrders[WeekIndex]=71)*(T_PlannedOrders[EffectiveQty]&gt;0)*T_PlannedOrders[Order_Month])),"m月")&amp;"発注)")</f>
        <v/>
      </c>
      <c r="BW1085">
        <f>IF(SUMIFS(T_PlannedOrders[EffectiveQty],T_PlannedOrders[Part Name],$A1079,T_PlannedOrders[WeekIndex],72)=0,"",SUMIFS(T_PlannedOrders[EffectiveQty],T_PlannedOrders[Part Name],$A1079,T_PlannedOrders[WeekIndex],72)&amp;" ("&amp;TEXT(SUMPRODUCT(MAX((T_PlannedOrders[Part Name]=$A1079)*(T_PlannedOrders[WeekIndex]=72)*(T_PlannedOrders[EffectiveQty]&gt;0)*T_PlannedOrders[Order_Month])),"m月")&amp;"発注)")</f>
        <v/>
      </c>
      <c r="BX1085">
        <f>IF(SUMIFS(T_PlannedOrders[EffectiveQty],T_PlannedOrders[Part Name],$A1079,T_PlannedOrders[WeekIndex],73)=0,"",SUMIFS(T_PlannedOrders[EffectiveQty],T_PlannedOrders[Part Name],$A1079,T_PlannedOrders[WeekIndex],73)&amp;" ("&amp;TEXT(SUMPRODUCT(MAX((T_PlannedOrders[Part Name]=$A1079)*(T_PlannedOrders[WeekIndex]=73)*(T_PlannedOrders[EffectiveQty]&gt;0)*T_PlannedOrders[Order_Month])),"m月")&amp;"発注)")</f>
        <v/>
      </c>
      <c r="BY1085">
        <f>IF(SUMIFS(T_PlannedOrders[EffectiveQty],T_PlannedOrders[Part Name],$A1079,T_PlannedOrders[WeekIndex],74)=0,"",SUMIFS(T_PlannedOrders[EffectiveQty],T_PlannedOrders[Part Name],$A1079,T_PlannedOrders[WeekIndex],74)&amp;" ("&amp;TEXT(SUMPRODUCT(MAX((T_PlannedOrders[Part Name]=$A1079)*(T_PlannedOrders[WeekIndex]=74)*(T_PlannedOrders[EffectiveQty]&gt;0)*T_PlannedOrders[Order_Month])),"m月")&amp;"発注)")</f>
        <v/>
      </c>
      <c r="BZ1085">
        <f>IF(SUMIFS(T_PlannedOrders[EffectiveQty],T_PlannedOrders[Part Name],$A1079,T_PlannedOrders[WeekIndex],75)=0,"",SUMIFS(T_PlannedOrders[EffectiveQty],T_PlannedOrders[Part Name],$A1079,T_PlannedOrders[WeekIndex],75)&amp;" ("&amp;TEXT(SUMPRODUCT(MAX((T_PlannedOrders[Part Name]=$A1079)*(T_PlannedOrders[WeekIndex]=75)*(T_PlannedOrders[EffectiveQty]&gt;0)*T_PlannedOrders[Order_Month])),"m月")&amp;"発注)")</f>
        <v/>
      </c>
      <c r="CA1085">
        <f>IF(SUMIFS(T_PlannedOrders[EffectiveQty],T_PlannedOrders[Part Name],$A1079,T_PlannedOrders[WeekIndex],76)=0,"",SUMIFS(T_PlannedOrders[EffectiveQty],T_PlannedOrders[Part Name],$A1079,T_PlannedOrders[WeekIndex],76)&amp;" ("&amp;TEXT(SUMPRODUCT(MAX((T_PlannedOrders[Part Name]=$A1079)*(T_PlannedOrders[WeekIndex]=76)*(T_PlannedOrders[EffectiveQty]&gt;0)*T_PlannedOrders[Order_Month])),"m月")&amp;"発注)")</f>
        <v/>
      </c>
      <c r="CB1085">
        <f>IF(SUMIFS(T_PlannedOrders[EffectiveQty],T_PlannedOrders[Part Name],$A1079,T_PlannedOrders[WeekIndex],77)=0,"",SUMIFS(T_PlannedOrders[EffectiveQty],T_PlannedOrders[Part Name],$A1079,T_PlannedOrders[WeekIndex],77)&amp;" ("&amp;TEXT(SUMPRODUCT(MAX((T_PlannedOrders[Part Name]=$A1079)*(T_PlannedOrders[WeekIndex]=77)*(T_PlannedOrders[EffectiveQty]&gt;0)*T_PlannedOrders[Order_Month])),"m月")&amp;"発注)")</f>
        <v/>
      </c>
      <c r="CC1085">
        <f>IF(SUMIFS(T_PlannedOrders[EffectiveQty],T_PlannedOrders[Part Name],$A1079,T_PlannedOrders[WeekIndex],78)=0,"",SUMIFS(T_PlannedOrders[EffectiveQty],T_PlannedOrders[Part Name],$A1079,T_PlannedOrders[WeekIndex],78)&amp;" ("&amp;TEXT(SUMPRODUCT(MAX((T_PlannedOrders[Part Name]=$A1079)*(T_PlannedOrders[WeekIndex]=78)*(T_PlannedOrders[EffectiveQty]&gt;0)*T_PlannedOrders[Order_Month])),"m月")&amp;"発注)")</f>
        <v/>
      </c>
      <c r="CD1085">
        <f>IF(SUMIFS(T_PlannedOrders[EffectiveQty],T_PlannedOrders[Part Name],$A1079,T_PlannedOrders[WeekIndex],79)=0,"",SUMIFS(T_PlannedOrders[EffectiveQty],T_PlannedOrders[Part Name],$A1079,T_PlannedOrders[WeekIndex],79)&amp;" ("&amp;TEXT(SUMPRODUCT(MAX((T_PlannedOrders[Part Name]=$A1079)*(T_PlannedOrders[WeekIndex]=79)*(T_PlannedOrders[EffectiveQty]&gt;0)*T_PlannedOrders[Order_Month])),"m月")&amp;"発注)")</f>
        <v/>
      </c>
      <c r="CE1085">
        <f>IF(SUMIFS(T_PlannedOrders[EffectiveQty],T_PlannedOrders[Part Name],$A1079,T_PlannedOrders[WeekIndex],80)=0,"",SUMIFS(T_PlannedOrders[EffectiveQty],T_PlannedOrders[Part Name],$A1079,T_PlannedOrders[WeekIndex],80)&amp;" ("&amp;TEXT(SUMPRODUCT(MAX((T_PlannedOrders[Part Name]=$A1079)*(T_PlannedOrders[WeekIndex]=80)*(T_PlannedOrders[EffectiveQty]&gt;0)*T_PlannedOrders[Order_Month])),"m月")&amp;"発注)")</f>
        <v/>
      </c>
      <c r="CF1085">
        <f>IF(SUMIFS(T_PlannedOrders[EffectiveQty],T_PlannedOrders[Part Name],$A1079,T_PlannedOrders[WeekIndex],81)=0,"",SUMIFS(T_PlannedOrders[EffectiveQty],T_PlannedOrders[Part Name],$A1079,T_PlannedOrders[WeekIndex],81)&amp;" ("&amp;TEXT(SUMPRODUCT(MAX((T_PlannedOrders[Part Name]=$A1079)*(T_PlannedOrders[WeekIndex]=81)*(T_PlannedOrders[EffectiveQty]&gt;0)*T_PlannedOrders[Order_Month])),"m月")&amp;"発注)")</f>
        <v/>
      </c>
      <c r="CG1085">
        <f>IF(SUMIFS(T_PlannedOrders[EffectiveQty],T_PlannedOrders[Part Name],$A1079,T_PlannedOrders[WeekIndex],82)=0,"",SUMIFS(T_PlannedOrders[EffectiveQty],T_PlannedOrders[Part Name],$A1079,T_PlannedOrders[WeekIndex],82)&amp;" ("&amp;TEXT(SUMPRODUCT(MAX((T_PlannedOrders[Part Name]=$A1079)*(T_PlannedOrders[WeekIndex]=82)*(T_PlannedOrders[EffectiveQty]&gt;0)*T_PlannedOrders[Order_Month])),"m月")&amp;"発注)")</f>
        <v/>
      </c>
      <c r="CH1085">
        <f>IF(SUMIFS(T_PlannedOrders[EffectiveQty],T_PlannedOrders[Part Name],$A1079,T_PlannedOrders[WeekIndex],83)=0,"",SUMIFS(T_PlannedOrders[EffectiveQty],T_PlannedOrders[Part Name],$A1079,T_PlannedOrders[WeekIndex],83)&amp;" ("&amp;TEXT(SUMPRODUCT(MAX((T_PlannedOrders[Part Name]=$A1079)*(T_PlannedOrders[WeekIndex]=83)*(T_PlannedOrders[EffectiveQty]&gt;0)*T_PlannedOrders[Order_Month])),"m月")&amp;"発注)")</f>
        <v/>
      </c>
      <c r="CI1085">
        <f>IF(SUMIFS(T_PlannedOrders[EffectiveQty],T_PlannedOrders[Part Name],$A1079,T_PlannedOrders[WeekIndex],84)=0,"",SUMIFS(T_PlannedOrders[EffectiveQty],T_PlannedOrders[Part Name],$A1079,T_PlannedOrders[WeekIndex],84)&amp;" ("&amp;TEXT(SUMPRODUCT(MAX((T_PlannedOrders[Part Name]=$A1079)*(T_PlannedOrders[WeekIndex]=84)*(T_PlannedOrders[EffectiveQty]&gt;0)*T_PlannedOrders[Order_Month])),"m月")&amp;"発注)")</f>
        <v/>
      </c>
      <c r="CJ1085">
        <f>IF(SUMIFS(T_PlannedOrders[EffectiveQty],T_PlannedOrders[Part Name],$A1079,T_PlannedOrders[WeekIndex],85)=0,"",SUMIFS(T_PlannedOrders[EffectiveQty],T_PlannedOrders[Part Name],$A1079,T_PlannedOrders[WeekIndex],85)&amp;" ("&amp;TEXT(SUMPRODUCT(MAX((T_PlannedOrders[Part Name]=$A1079)*(T_PlannedOrders[WeekIndex]=85)*(T_PlannedOrders[EffectiveQty]&gt;0)*T_PlannedOrders[Order_Month])),"m月")&amp;"発注)")</f>
        <v/>
      </c>
      <c r="CK1085">
        <f>IF(SUMIFS(T_PlannedOrders[EffectiveQty],T_PlannedOrders[Part Name],$A1079,T_PlannedOrders[WeekIndex],86)=0,"",SUMIFS(T_PlannedOrders[EffectiveQty],T_PlannedOrders[Part Name],$A1079,T_PlannedOrders[WeekIndex],86)&amp;" ("&amp;TEXT(SUMPRODUCT(MAX((T_PlannedOrders[Part Name]=$A1079)*(T_PlannedOrders[WeekIndex]=86)*(T_PlannedOrders[EffectiveQty]&gt;0)*T_PlannedOrders[Order_Month])),"m月")&amp;"発注)")</f>
        <v/>
      </c>
      <c r="CL1085">
        <f>IF(SUMIFS(T_PlannedOrders[EffectiveQty],T_PlannedOrders[Part Name],$A1079,T_PlannedOrders[WeekIndex],87)=0,"",SUMIFS(T_PlannedOrders[EffectiveQty],T_PlannedOrders[Part Name],$A1079,T_PlannedOrders[WeekIndex],87)&amp;" ("&amp;TEXT(SUMPRODUCT(MAX((T_PlannedOrders[Part Name]=$A1079)*(T_PlannedOrders[WeekIndex]=87)*(T_PlannedOrders[EffectiveQty]&gt;0)*T_PlannedOrders[Order_Month])),"m月")&amp;"発注)")</f>
        <v/>
      </c>
      <c r="CM1085">
        <f>IF(SUMIFS(T_PlannedOrders[EffectiveQty],T_PlannedOrders[Part Name],$A1079,T_PlannedOrders[WeekIndex],88)=0,"",SUMIFS(T_PlannedOrders[EffectiveQty],T_PlannedOrders[Part Name],$A1079,T_PlannedOrders[WeekIndex],88)&amp;" ("&amp;TEXT(SUMPRODUCT(MAX((T_PlannedOrders[Part Name]=$A1079)*(T_PlannedOrders[WeekIndex]=88)*(T_PlannedOrders[EffectiveQty]&gt;0)*T_PlannedOrders[Order_Month])),"m月")&amp;"発注)")</f>
        <v/>
      </c>
      <c r="CN1085">
        <f>IF(SUMIFS(T_PlannedOrders[EffectiveQty],T_PlannedOrders[Part Name],$A1079,T_PlannedOrders[WeekIndex],89)=0,"",SUMIFS(T_PlannedOrders[EffectiveQty],T_PlannedOrders[Part Name],$A1079,T_PlannedOrders[WeekIndex],89)&amp;" ("&amp;TEXT(SUMPRODUCT(MAX((T_PlannedOrders[Part Name]=$A1079)*(T_PlannedOrders[WeekIndex]=89)*(T_PlannedOrders[EffectiveQty]&gt;0)*T_PlannedOrders[Order_Month])),"m月")&amp;"発注)")</f>
        <v/>
      </c>
      <c r="CO1085">
        <f>IF(SUMIFS(T_PlannedOrders[EffectiveQty],T_PlannedOrders[Part Name],$A1079,T_PlannedOrders[WeekIndex],90)=0,"",SUMIFS(T_PlannedOrders[EffectiveQty],T_PlannedOrders[Part Name],$A1079,T_PlannedOrders[WeekIndex],90)&amp;" ("&amp;TEXT(SUMPRODUCT(MAX((T_PlannedOrders[Part Name]=$A1079)*(T_PlannedOrders[WeekIndex]=90)*(T_PlannedOrders[EffectiveQty]&gt;0)*T_PlannedOrders[Order_Month])),"m月")&amp;"発注)")</f>
        <v/>
      </c>
      <c r="CP1085">
        <f>IF(SUMIFS(T_PlannedOrders[EffectiveQty],T_PlannedOrders[Part Name],$A1079,T_PlannedOrders[WeekIndex],91)=0,"",SUMIFS(T_PlannedOrders[EffectiveQty],T_PlannedOrders[Part Name],$A1079,T_PlannedOrders[WeekIndex],91)&amp;" ("&amp;TEXT(SUMPRODUCT(MAX((T_PlannedOrders[Part Name]=$A1079)*(T_PlannedOrders[WeekIndex]=91)*(T_PlannedOrders[EffectiveQty]&gt;0)*T_PlannedOrders[Order_Month])),"m月")&amp;"発注)")</f>
        <v/>
      </c>
      <c r="CQ1085">
        <f>IF(SUMIFS(T_PlannedOrders[EffectiveQty],T_PlannedOrders[Part Name],$A1079,T_PlannedOrders[WeekIndex],92)=0,"",SUMIFS(T_PlannedOrders[EffectiveQty],T_PlannedOrders[Part Name],$A1079,T_PlannedOrders[WeekIndex],92)&amp;" ("&amp;TEXT(SUMPRODUCT(MAX((T_PlannedOrders[Part Name]=$A1079)*(T_PlannedOrders[WeekIndex]=92)*(T_PlannedOrders[EffectiveQty]&gt;0)*T_PlannedOrders[Order_Month])),"m月")&amp;"発注)")</f>
        <v/>
      </c>
      <c r="CR1085">
        <f>IF(SUMIFS(T_PlannedOrders[EffectiveQty],T_PlannedOrders[Part Name],$A1079,T_PlannedOrders[WeekIndex],93)=0,"",SUMIFS(T_PlannedOrders[EffectiveQty],T_PlannedOrders[Part Name],$A1079,T_PlannedOrders[WeekIndex],93)&amp;" ("&amp;TEXT(SUMPRODUCT(MAX((T_PlannedOrders[Part Name]=$A1079)*(T_PlannedOrders[WeekIndex]=93)*(T_PlannedOrders[EffectiveQty]&gt;0)*T_PlannedOrders[Order_Month])),"m月")&amp;"発注)")</f>
        <v/>
      </c>
      <c r="CS1085">
        <f>IF(SUMIFS(T_PlannedOrders[EffectiveQty],T_PlannedOrders[Part Name],$A1079,T_PlannedOrders[WeekIndex],94)=0,"",SUMIFS(T_PlannedOrders[EffectiveQty],T_PlannedOrders[Part Name],$A1079,T_PlannedOrders[WeekIndex],94)&amp;" ("&amp;TEXT(SUMPRODUCT(MAX((T_PlannedOrders[Part Name]=$A1079)*(T_PlannedOrders[WeekIndex]=94)*(T_PlannedOrders[EffectiveQty]&gt;0)*T_PlannedOrders[Order_Month])),"m月")&amp;"発注)")</f>
        <v/>
      </c>
      <c r="CT1085">
        <f>IF(SUMIFS(T_PlannedOrders[EffectiveQty],T_PlannedOrders[Part Name],$A1079,T_PlannedOrders[WeekIndex],95)=0,"",SUMIFS(T_PlannedOrders[EffectiveQty],T_PlannedOrders[Part Name],$A1079,T_PlannedOrders[WeekIndex],95)&amp;" ("&amp;TEXT(SUMPRODUCT(MAX((T_PlannedOrders[Part Name]=$A1079)*(T_PlannedOrders[WeekIndex]=95)*(T_PlannedOrders[EffectiveQty]&gt;0)*T_PlannedOrders[Order_Month])),"m月")&amp;"発注)")</f>
        <v/>
      </c>
      <c r="CU1085">
        <f>IF(SUMIFS(T_PlannedOrders[EffectiveQty],T_PlannedOrders[Part Name],$A1079,T_PlannedOrders[WeekIndex],96)=0,"",SUMIFS(T_PlannedOrders[EffectiveQty],T_PlannedOrders[Part Name],$A1079,T_PlannedOrders[WeekIndex],96)&amp;" ("&amp;TEXT(SUMPRODUCT(MAX((T_PlannedOrders[Part Name]=$A1079)*(T_PlannedOrders[WeekIndex]=96)*(T_PlannedOrders[EffectiveQty]&gt;0)*T_PlannedOrders[Order_Month])),"m月")&amp;"発注)")</f>
        <v/>
      </c>
      <c r="CV1085">
        <f>IF(SUMIFS(T_PlannedOrders[EffectiveQty],T_PlannedOrders[Part Name],$A1079,T_PlannedOrders[WeekIndex],97)=0,"",SUMIFS(T_PlannedOrders[EffectiveQty],T_PlannedOrders[Part Name],$A1079,T_PlannedOrders[WeekIndex],97)&amp;" ("&amp;TEXT(SUMPRODUCT(MAX((T_PlannedOrders[Part Name]=$A1079)*(T_PlannedOrders[WeekIndex]=97)*(T_PlannedOrders[EffectiveQty]&gt;0)*T_PlannedOrders[Order_Month])),"m月")&amp;"発注)")</f>
        <v/>
      </c>
      <c r="CW1085">
        <f>IF(SUMIFS(T_PlannedOrders[EffectiveQty],T_PlannedOrders[Part Name],$A1079,T_PlannedOrders[WeekIndex],98)=0,"",SUMIFS(T_PlannedOrders[EffectiveQty],T_PlannedOrders[Part Name],$A1079,T_PlannedOrders[WeekIndex],98)&amp;" ("&amp;TEXT(SUMPRODUCT(MAX((T_PlannedOrders[Part Name]=$A1079)*(T_PlannedOrders[WeekIndex]=98)*(T_PlannedOrders[EffectiveQty]&gt;0)*T_PlannedOrders[Order_Month])),"m月")&amp;"発注)")</f>
        <v/>
      </c>
      <c r="CX1085">
        <f>IF(SUMIFS(T_PlannedOrders[EffectiveQty],T_PlannedOrders[Part Name],$A1079,T_PlannedOrders[WeekIndex],99)=0,"",SUMIFS(T_PlannedOrders[EffectiveQty],T_PlannedOrders[Part Name],$A1079,T_PlannedOrders[WeekIndex],99)&amp;" ("&amp;TEXT(SUMPRODUCT(MAX((T_PlannedOrders[Part Name]=$A1079)*(T_PlannedOrders[WeekIndex]=99)*(T_PlannedOrders[EffectiveQty]&gt;0)*T_PlannedOrders[Order_Month])),"m月")&amp;"発注)")</f>
        <v/>
      </c>
      <c r="CY1085">
        <f>IF(SUMIFS(T_PlannedOrders[EffectiveQty],T_PlannedOrders[Part Name],$A1079,T_PlannedOrders[WeekIndex],100)=0,"",SUMIFS(T_PlannedOrders[EffectiveQty],T_PlannedOrders[Part Name],$A1079,T_PlannedOrders[WeekIndex],100)&amp;" ("&amp;TEXT(SUMPRODUCT(MAX((T_PlannedOrders[Part Name]=$A1079)*(T_PlannedOrders[WeekIndex]=100)*(T_PlannedOrders[EffectiveQty]&gt;0)*T_PlannedOrders[Order_Month])),"m月")&amp;"発注)")</f>
        <v/>
      </c>
      <c r="CZ1085">
        <f>IF(SUMIFS(T_PlannedOrders[EffectiveQty],T_PlannedOrders[Part Name],$A1079,T_PlannedOrders[WeekIndex],101)=0,"",SUMIFS(T_PlannedOrders[EffectiveQty],T_PlannedOrders[Part Name],$A1079,T_PlannedOrders[WeekIndex],101)&amp;" ("&amp;TEXT(SUMPRODUCT(MAX((T_PlannedOrders[Part Name]=$A1079)*(T_PlannedOrders[WeekIndex]=101)*(T_PlannedOrders[EffectiveQty]&gt;0)*T_PlannedOrders[Order_Month])),"m月")&amp;"発注)")</f>
        <v/>
      </c>
      <c r="DA1085">
        <f>IF(SUMIFS(T_PlannedOrders[EffectiveQty],T_PlannedOrders[Part Name],$A1079,T_PlannedOrders[WeekIndex],102)=0,"",SUMIFS(T_PlannedOrders[EffectiveQty],T_PlannedOrders[Part Name],$A1079,T_PlannedOrders[WeekIndex],102)&amp;" ("&amp;TEXT(SUMPRODUCT(MAX((T_PlannedOrders[Part Name]=$A1079)*(T_PlannedOrders[WeekIndex]=102)*(T_PlannedOrders[EffectiveQty]&gt;0)*T_PlannedOrders[Order_Month])),"m月")&amp;"発注)")</f>
        <v/>
      </c>
      <c r="DB1085">
        <f>IF(SUMIFS(T_PlannedOrders[EffectiveQty],T_PlannedOrders[Part Name],$A1079,T_PlannedOrders[WeekIndex],103)=0,"",SUMIFS(T_PlannedOrders[EffectiveQty],T_PlannedOrders[Part Name],$A1079,T_PlannedOrders[WeekIndex],103)&amp;" ("&amp;TEXT(SUMPRODUCT(MAX((T_PlannedOrders[Part Name]=$A1079)*(T_PlannedOrders[WeekIndex]=103)*(T_PlannedOrders[EffectiveQty]&gt;0)*T_PlannedOrders[Order_Month])),"m月")&amp;"発注)")</f>
        <v/>
      </c>
      <c r="DC1085">
        <f>IF(SUMIFS(T_PlannedOrders[EffectiveQty],T_PlannedOrders[Part Name],$A1079,T_PlannedOrders[WeekIndex],104)=0,"",SUMIFS(T_PlannedOrders[EffectiveQty],T_PlannedOrders[Part Name],$A1079,T_PlannedOrders[WeekIndex],104)&amp;" ("&amp;TEXT(SUMPRODUCT(MAX((T_PlannedOrders[Part Name]=$A1079)*(T_PlannedOrders[WeekIndex]=104)*(T_PlannedOrders[EffectiveQty]&gt;0)*T_PlannedOrders[Order_Month])),"m月")&amp;"発注)")</f>
        <v/>
      </c>
    </row>
    <row r="1086">
      <c r="B1086" s="4" t="inlineStr">
        <is>
          <t>合計在庫(週末時点,kg)</t>
        </is>
      </c>
      <c r="D1086">
        <f>'Grid_Stock'!B14</f>
        <v/>
      </c>
      <c r="E1086">
        <f>'Grid_Stock'!C14</f>
        <v/>
      </c>
      <c r="F1086">
        <f>'Grid_Stock'!D14</f>
        <v/>
      </c>
      <c r="G1086">
        <f>'Grid_Stock'!E14</f>
        <v/>
      </c>
      <c r="H1086">
        <f>'Grid_Stock'!F14</f>
        <v/>
      </c>
      <c r="I1086">
        <f>'Grid_Stock'!G14</f>
        <v/>
      </c>
      <c r="J1086">
        <f>'Grid_Stock'!H14</f>
        <v/>
      </c>
      <c r="K1086">
        <f>'Grid_Stock'!I14</f>
        <v/>
      </c>
      <c r="L1086">
        <f>'Grid_Stock'!J14</f>
        <v/>
      </c>
      <c r="M1086">
        <f>'Grid_Stock'!K14</f>
        <v/>
      </c>
      <c r="N1086">
        <f>'Grid_Stock'!L14</f>
        <v/>
      </c>
      <c r="O1086">
        <f>'Grid_Stock'!M14</f>
        <v/>
      </c>
      <c r="P1086">
        <f>'Grid_Stock'!N14</f>
        <v/>
      </c>
      <c r="Q1086">
        <f>'Grid_Stock'!O14</f>
        <v/>
      </c>
      <c r="R1086">
        <f>'Grid_Stock'!P14</f>
        <v/>
      </c>
      <c r="S1086">
        <f>'Grid_Stock'!Q14</f>
        <v/>
      </c>
      <c r="T1086">
        <f>'Grid_Stock'!R14</f>
        <v/>
      </c>
      <c r="U1086">
        <f>'Grid_Stock'!S14</f>
        <v/>
      </c>
      <c r="V1086">
        <f>'Grid_Stock'!T14</f>
        <v/>
      </c>
      <c r="W1086">
        <f>'Grid_Stock'!U14</f>
        <v/>
      </c>
      <c r="X1086">
        <f>'Grid_Stock'!V14</f>
        <v/>
      </c>
      <c r="Y1086">
        <f>'Grid_Stock'!W14</f>
        <v/>
      </c>
      <c r="Z1086">
        <f>'Grid_Stock'!X14</f>
        <v/>
      </c>
      <c r="AA1086">
        <f>'Grid_Stock'!Y14</f>
        <v/>
      </c>
      <c r="AB1086">
        <f>'Grid_Stock'!Z14</f>
        <v/>
      </c>
      <c r="AC1086">
        <f>'Grid_Stock'!AA14</f>
        <v/>
      </c>
      <c r="AD1086">
        <f>'Grid_Stock'!AB14</f>
        <v/>
      </c>
      <c r="AE1086">
        <f>'Grid_Stock'!AC14</f>
        <v/>
      </c>
      <c r="AF1086">
        <f>'Grid_Stock'!AD14</f>
        <v/>
      </c>
      <c r="AG1086">
        <f>'Grid_Stock'!AE14</f>
        <v/>
      </c>
      <c r="AH1086">
        <f>'Grid_Stock'!AF14</f>
        <v/>
      </c>
      <c r="AI1086">
        <f>'Grid_Stock'!AG14</f>
        <v/>
      </c>
      <c r="AJ1086">
        <f>'Grid_Stock'!AH14</f>
        <v/>
      </c>
      <c r="AK1086">
        <f>'Grid_Stock'!AI14</f>
        <v/>
      </c>
      <c r="AL1086">
        <f>'Grid_Stock'!AJ14</f>
        <v/>
      </c>
      <c r="AM1086">
        <f>'Grid_Stock'!AK14</f>
        <v/>
      </c>
      <c r="AN1086">
        <f>'Grid_Stock'!AL14</f>
        <v/>
      </c>
      <c r="AO1086">
        <f>'Grid_Stock'!AM14</f>
        <v/>
      </c>
      <c r="AP1086">
        <f>'Grid_Stock'!AN14</f>
        <v/>
      </c>
      <c r="AQ1086">
        <f>'Grid_Stock'!AO14</f>
        <v/>
      </c>
      <c r="AR1086">
        <f>'Grid_Stock'!AP14</f>
        <v/>
      </c>
      <c r="AS1086">
        <f>'Grid_Stock'!AQ14</f>
        <v/>
      </c>
      <c r="AT1086">
        <f>'Grid_Stock'!AR14</f>
        <v/>
      </c>
      <c r="AU1086">
        <f>'Grid_Stock'!AS14</f>
        <v/>
      </c>
      <c r="AV1086">
        <f>'Grid_Stock'!AT14</f>
        <v/>
      </c>
      <c r="AW1086">
        <f>'Grid_Stock'!AU14</f>
        <v/>
      </c>
      <c r="AX1086">
        <f>'Grid_Stock'!AV14</f>
        <v/>
      </c>
      <c r="AY1086">
        <f>'Grid_Stock'!AW14</f>
        <v/>
      </c>
      <c r="AZ1086">
        <f>'Grid_Stock'!AX14</f>
        <v/>
      </c>
      <c r="BA1086">
        <f>'Grid_Stock'!AY14</f>
        <v/>
      </c>
      <c r="BB1086">
        <f>'Grid_Stock'!AZ14</f>
        <v/>
      </c>
      <c r="BC1086">
        <f>'Grid_Stock'!BA14</f>
        <v/>
      </c>
      <c r="BD1086">
        <f>'Grid_Stock'!BB14</f>
        <v/>
      </c>
      <c r="BE1086">
        <f>'Grid_Stock'!BC14</f>
        <v/>
      </c>
      <c r="BF1086">
        <f>'Grid_Stock'!BD14</f>
        <v/>
      </c>
      <c r="BG1086">
        <f>'Grid_Stock'!BE14</f>
        <v/>
      </c>
      <c r="BH1086">
        <f>'Grid_Stock'!BF14</f>
        <v/>
      </c>
      <c r="BI1086">
        <f>'Grid_Stock'!BG14</f>
        <v/>
      </c>
      <c r="BJ1086">
        <f>'Grid_Stock'!BH14</f>
        <v/>
      </c>
      <c r="BK1086">
        <f>'Grid_Stock'!BI14</f>
        <v/>
      </c>
      <c r="BL1086">
        <f>'Grid_Stock'!BJ14</f>
        <v/>
      </c>
      <c r="BM1086">
        <f>'Grid_Stock'!BK14</f>
        <v/>
      </c>
      <c r="BN1086">
        <f>'Grid_Stock'!BL14</f>
        <v/>
      </c>
      <c r="BO1086">
        <f>'Grid_Stock'!BM14</f>
        <v/>
      </c>
      <c r="BP1086">
        <f>'Grid_Stock'!BN14</f>
        <v/>
      </c>
      <c r="BQ1086">
        <f>'Grid_Stock'!BO14</f>
        <v/>
      </c>
      <c r="BR1086">
        <f>'Grid_Stock'!BP14</f>
        <v/>
      </c>
      <c r="BS1086">
        <f>'Grid_Stock'!BQ14</f>
        <v/>
      </c>
      <c r="BT1086">
        <f>'Grid_Stock'!BR14</f>
        <v/>
      </c>
      <c r="BU1086">
        <f>'Grid_Stock'!BS14</f>
        <v/>
      </c>
      <c r="BV1086">
        <f>'Grid_Stock'!BT14</f>
        <v/>
      </c>
      <c r="BW1086">
        <f>'Grid_Stock'!BU14</f>
        <v/>
      </c>
      <c r="BX1086">
        <f>'Grid_Stock'!BV14</f>
        <v/>
      </c>
      <c r="BY1086">
        <f>'Grid_Stock'!BW14</f>
        <v/>
      </c>
      <c r="BZ1086">
        <f>'Grid_Stock'!BX14</f>
        <v/>
      </c>
      <c r="CA1086">
        <f>'Grid_Stock'!BY14</f>
        <v/>
      </c>
      <c r="CB1086">
        <f>'Grid_Stock'!BZ14</f>
        <v/>
      </c>
      <c r="CC1086">
        <f>'Grid_Stock'!CA14</f>
        <v/>
      </c>
      <c r="CD1086">
        <f>'Grid_Stock'!CB14</f>
        <v/>
      </c>
      <c r="CE1086">
        <f>'Grid_Stock'!CC14</f>
        <v/>
      </c>
      <c r="CF1086">
        <f>'Grid_Stock'!CD14</f>
        <v/>
      </c>
      <c r="CG1086">
        <f>'Grid_Stock'!CE14</f>
        <v/>
      </c>
      <c r="CH1086">
        <f>'Grid_Stock'!CF14</f>
        <v/>
      </c>
      <c r="CI1086">
        <f>'Grid_Stock'!CG14</f>
        <v/>
      </c>
      <c r="CJ1086">
        <f>'Grid_Stock'!CH14</f>
        <v/>
      </c>
      <c r="CK1086">
        <f>'Grid_Stock'!CI14</f>
        <v/>
      </c>
      <c r="CL1086">
        <f>'Grid_Stock'!CJ14</f>
        <v/>
      </c>
      <c r="CM1086">
        <f>'Grid_Stock'!CK14</f>
        <v/>
      </c>
      <c r="CN1086">
        <f>'Grid_Stock'!CL14</f>
        <v/>
      </c>
      <c r="CO1086">
        <f>'Grid_Stock'!CM14</f>
        <v/>
      </c>
      <c r="CP1086">
        <f>'Grid_Stock'!CN14</f>
        <v/>
      </c>
      <c r="CQ1086">
        <f>'Grid_Stock'!CO14</f>
        <v/>
      </c>
      <c r="CR1086">
        <f>'Grid_Stock'!CP14</f>
        <v/>
      </c>
      <c r="CS1086">
        <f>'Grid_Stock'!CQ14</f>
        <v/>
      </c>
      <c r="CT1086">
        <f>'Grid_Stock'!CR14</f>
        <v/>
      </c>
      <c r="CU1086">
        <f>'Grid_Stock'!CS14</f>
        <v/>
      </c>
      <c r="CV1086">
        <f>'Grid_Stock'!CT14</f>
        <v/>
      </c>
      <c r="CW1086">
        <f>'Grid_Stock'!CU14</f>
        <v/>
      </c>
      <c r="CX1086">
        <f>'Grid_Stock'!CV14</f>
        <v/>
      </c>
      <c r="CY1086">
        <f>'Grid_Stock'!CW14</f>
        <v/>
      </c>
      <c r="CZ1086">
        <f>'Grid_Stock'!CX14</f>
        <v/>
      </c>
      <c r="DA1086">
        <f>'Grid_Stock'!CY14</f>
        <v/>
      </c>
      <c r="DB1086">
        <f>'Grid_Stock'!CZ14</f>
        <v/>
      </c>
      <c r="DC1086">
        <f>'Grid_Stock'!DA14</f>
        <v/>
      </c>
    </row>
    <row r="1087">
      <c r="B1087" s="16" t="inlineStr">
        <is>
          <t>（発注の目安はDashboardの基準在庫[下限/上限]と色分けを参照）</t>
        </is>
      </c>
    </row>
    <row r="1089">
      <c r="A1089" s="14" t="inlineStr">
        <is>
          <t>PP Film</t>
        </is>
      </c>
      <c r="B1089" s="14" t="inlineStr">
        <is>
          <t>PP Film</t>
        </is>
      </c>
      <c r="C1089" s="15" t="n"/>
      <c r="D1089" s="14" t="n"/>
      <c r="E1089" s="14" t="n"/>
      <c r="F1089" s="14" t="n"/>
      <c r="G1089" s="14" t="n"/>
      <c r="H1089" s="14" t="n"/>
      <c r="I1089" s="14" t="n"/>
      <c r="J1089" s="14" t="n"/>
      <c r="K1089" s="14" t="n"/>
      <c r="L1089" s="14" t="n"/>
      <c r="M1089" s="14" t="n"/>
      <c r="N1089" s="14" t="n"/>
      <c r="O1089" s="14" t="n"/>
      <c r="P1089" s="14" t="n"/>
      <c r="Q1089" s="14" t="n"/>
      <c r="R1089" s="14" t="n"/>
      <c r="S1089" s="14" t="n"/>
      <c r="T1089" s="14" t="n"/>
      <c r="U1089" s="14" t="n"/>
      <c r="V1089" s="14" t="n"/>
      <c r="W1089" s="14" t="n"/>
      <c r="X1089" s="14" t="n"/>
      <c r="Y1089" s="14" t="n"/>
      <c r="Z1089" s="14" t="n"/>
      <c r="AA1089" s="14" t="n"/>
      <c r="AB1089" s="14" t="n"/>
      <c r="AC1089" s="14" t="n"/>
      <c r="AD1089" s="14" t="n"/>
      <c r="AE1089" s="14" t="n"/>
      <c r="AF1089" s="14" t="n"/>
      <c r="AG1089" s="14" t="n"/>
      <c r="AH1089" s="14" t="n"/>
      <c r="AI1089" s="14" t="n"/>
      <c r="AJ1089" s="14" t="n"/>
      <c r="AK1089" s="14" t="n"/>
      <c r="AL1089" s="14" t="n"/>
      <c r="AM1089" s="14" t="n"/>
      <c r="AN1089" s="14" t="n"/>
      <c r="AO1089" s="14" t="n"/>
      <c r="AP1089" s="14" t="n"/>
      <c r="AQ1089" s="14" t="n"/>
      <c r="AR1089" s="14" t="n"/>
      <c r="AS1089" s="14" t="n"/>
      <c r="AT1089" s="14" t="n"/>
      <c r="AU1089" s="14" t="n"/>
      <c r="AV1089" s="14" t="n"/>
      <c r="AW1089" s="14" t="n"/>
      <c r="AX1089" s="14" t="n"/>
      <c r="AY1089" s="14" t="n"/>
      <c r="AZ1089" s="14" t="n"/>
      <c r="BA1089" s="14" t="n"/>
      <c r="BB1089" s="14" t="n"/>
      <c r="BC1089" s="14" t="n"/>
      <c r="BD1089" s="14" t="n"/>
      <c r="BE1089" s="14" t="n"/>
      <c r="BF1089" s="14" t="n"/>
      <c r="BG1089" s="14" t="n"/>
      <c r="BH1089" s="14" t="n"/>
      <c r="BI1089" s="14" t="n"/>
      <c r="BJ1089" s="14" t="n"/>
      <c r="BK1089" s="14" t="n"/>
      <c r="BL1089" s="14" t="n"/>
      <c r="BM1089" s="14" t="n"/>
      <c r="BN1089" s="14" t="n"/>
      <c r="BO1089" s="14" t="n"/>
      <c r="BP1089" s="14" t="n"/>
      <c r="BQ1089" s="14" t="n"/>
      <c r="BR1089" s="14" t="n"/>
      <c r="BS1089" s="14" t="n"/>
      <c r="BT1089" s="14" t="n"/>
      <c r="BU1089" s="14" t="n"/>
      <c r="BV1089" s="14" t="n"/>
      <c r="BW1089" s="14" t="n"/>
      <c r="BX1089" s="14" t="n"/>
      <c r="BY1089" s="14" t="n"/>
      <c r="BZ1089" s="14" t="n"/>
      <c r="CA1089" s="14" t="n"/>
      <c r="CB1089" s="14" t="n"/>
      <c r="CC1089" s="14" t="n"/>
      <c r="CD1089" s="14" t="n"/>
      <c r="CE1089" s="14" t="n"/>
      <c r="CF1089" s="14" t="n"/>
      <c r="CG1089" s="14" t="n"/>
      <c r="CH1089" s="14" t="n"/>
      <c r="CI1089" s="14" t="n"/>
      <c r="CJ1089" s="14" t="n"/>
      <c r="CK1089" s="14" t="n"/>
      <c r="CL1089" s="14" t="n"/>
      <c r="CM1089" s="14" t="n"/>
      <c r="CN1089" s="14" t="n"/>
      <c r="CO1089" s="14" t="n"/>
      <c r="CP1089" s="14" t="n"/>
      <c r="CQ1089" s="14" t="n"/>
      <c r="CR1089" s="14" t="n"/>
      <c r="CS1089" s="14" t="n"/>
      <c r="CT1089" s="14" t="n"/>
      <c r="CU1089" s="14" t="n"/>
      <c r="CV1089" s="14" t="n"/>
      <c r="CW1089" s="14" t="n"/>
      <c r="CX1089" s="14" t="n"/>
      <c r="CY1089" s="14" t="n"/>
      <c r="CZ1089" s="14" t="n"/>
      <c r="DA1089" s="14" t="n"/>
      <c r="DB1089" s="14" t="n"/>
      <c r="DC1089" s="14" t="n"/>
    </row>
    <row r="1090">
      <c r="B1090" t="inlineStr">
        <is>
          <t>PP Film</t>
        </is>
      </c>
      <c r="C1090" t="inlineStr">
        <is>
          <t>No. of batches</t>
        </is>
      </c>
      <c r="D1090">
        <f>IFERROR(INDEX(PP_Grid[#Data],$DD1090,2),0)</f>
        <v/>
      </c>
      <c r="E1090">
        <f>IFERROR(INDEX(PP_Grid[#Data],$DD1090,3),0)</f>
        <v/>
      </c>
      <c r="F1090">
        <f>IFERROR(INDEX(PP_Grid[#Data],$DD1090,4),0)</f>
        <v/>
      </c>
      <c r="G1090">
        <f>IFERROR(INDEX(PP_Grid[#Data],$DD1090,5),0)</f>
        <v/>
      </c>
      <c r="H1090">
        <f>IFERROR(INDEX(PP_Grid[#Data],$DD1090,6),0)</f>
        <v/>
      </c>
      <c r="I1090">
        <f>IFERROR(INDEX(PP_Grid[#Data],$DD1090,7),0)</f>
        <v/>
      </c>
      <c r="J1090">
        <f>IFERROR(INDEX(PP_Grid[#Data],$DD1090,8),0)</f>
        <v/>
      </c>
      <c r="K1090">
        <f>IFERROR(INDEX(PP_Grid[#Data],$DD1090,9),0)</f>
        <v/>
      </c>
      <c r="L1090">
        <f>IFERROR(INDEX(PP_Grid[#Data],$DD1090,10),0)</f>
        <v/>
      </c>
      <c r="M1090">
        <f>IFERROR(INDEX(PP_Grid[#Data],$DD1090,11),0)</f>
        <v/>
      </c>
      <c r="N1090">
        <f>IFERROR(INDEX(PP_Grid[#Data],$DD1090,12),0)</f>
        <v/>
      </c>
      <c r="O1090">
        <f>IFERROR(INDEX(PP_Grid[#Data],$DD1090,13),0)</f>
        <v/>
      </c>
      <c r="P1090">
        <f>IFERROR(INDEX(PP_Grid[#Data],$DD1090,14),0)</f>
        <v/>
      </c>
      <c r="Q1090">
        <f>IFERROR(INDEX(PP_Grid[#Data],$DD1090,15),0)</f>
        <v/>
      </c>
      <c r="R1090">
        <f>IFERROR(INDEX(PP_Grid[#Data],$DD1090,16),0)</f>
        <v/>
      </c>
      <c r="S1090">
        <f>IFERROR(INDEX(PP_Grid[#Data],$DD1090,17),0)</f>
        <v/>
      </c>
      <c r="T1090">
        <f>IFERROR(INDEX(PP_Grid[#Data],$DD1090,18),0)</f>
        <v/>
      </c>
      <c r="U1090">
        <f>IFERROR(INDEX(PP_Grid[#Data],$DD1090,19),0)</f>
        <v/>
      </c>
      <c r="V1090">
        <f>IFERROR(INDEX(PP_Grid[#Data],$DD1090,20),0)</f>
        <v/>
      </c>
      <c r="W1090">
        <f>IFERROR(INDEX(PP_Grid[#Data],$DD1090,21),0)</f>
        <v/>
      </c>
      <c r="X1090">
        <f>IFERROR(INDEX(PP_Grid[#Data],$DD1090,22),0)</f>
        <v/>
      </c>
      <c r="Y1090">
        <f>IFERROR(INDEX(PP_Grid[#Data],$DD1090,23),0)</f>
        <v/>
      </c>
      <c r="Z1090">
        <f>IFERROR(INDEX(PP_Grid[#Data],$DD1090,24),0)</f>
        <v/>
      </c>
      <c r="AA1090">
        <f>IFERROR(INDEX(PP_Grid[#Data],$DD1090,25),0)</f>
        <v/>
      </c>
      <c r="AB1090">
        <f>IFERROR(INDEX(PP_Grid[#Data],$DD1090,26),0)</f>
        <v/>
      </c>
      <c r="AC1090">
        <f>IFERROR(INDEX(PP_Grid[#Data],$DD1090,27),0)</f>
        <v/>
      </c>
      <c r="AD1090">
        <f>IFERROR(INDEX(PP_Grid[#Data],$DD1090,28),0)</f>
        <v/>
      </c>
      <c r="AE1090">
        <f>IFERROR(INDEX(PP_Grid[#Data],$DD1090,29),0)</f>
        <v/>
      </c>
      <c r="AF1090">
        <f>IFERROR(INDEX(PP_Grid[#Data],$DD1090,30),0)</f>
        <v/>
      </c>
      <c r="AG1090">
        <f>IFERROR(INDEX(PP_Grid[#Data],$DD1090,31),0)</f>
        <v/>
      </c>
      <c r="AH1090">
        <f>IFERROR(INDEX(PP_Grid[#Data],$DD1090,32),0)</f>
        <v/>
      </c>
      <c r="AI1090">
        <f>IFERROR(INDEX(PP_Grid[#Data],$DD1090,33),0)</f>
        <v/>
      </c>
      <c r="AJ1090">
        <f>IFERROR(INDEX(PP_Grid[#Data],$DD1090,34),0)</f>
        <v/>
      </c>
      <c r="AK1090">
        <f>IFERROR(INDEX(PP_Grid[#Data],$DD1090,35),0)</f>
        <v/>
      </c>
      <c r="AL1090">
        <f>IFERROR(INDEX(PP_Grid[#Data],$DD1090,36),0)</f>
        <v/>
      </c>
      <c r="AM1090">
        <f>IFERROR(INDEX(PP_Grid[#Data],$DD1090,37),0)</f>
        <v/>
      </c>
      <c r="AN1090">
        <f>IFERROR(INDEX(PP_Grid[#Data],$DD1090,38),0)</f>
        <v/>
      </c>
      <c r="AO1090">
        <f>IFERROR(INDEX(PP_Grid[#Data],$DD1090,39),0)</f>
        <v/>
      </c>
      <c r="AP1090">
        <f>IFERROR(INDEX(PP_Grid[#Data],$DD1090,40),0)</f>
        <v/>
      </c>
      <c r="AQ1090">
        <f>IFERROR(INDEX(PP_Grid[#Data],$DD1090,41),0)</f>
        <v/>
      </c>
      <c r="AR1090">
        <f>IFERROR(INDEX(PP_Grid[#Data],$DD1090,42),0)</f>
        <v/>
      </c>
      <c r="AS1090">
        <f>IFERROR(INDEX(PP_Grid[#Data],$DD1090,43),0)</f>
        <v/>
      </c>
      <c r="AT1090">
        <f>IFERROR(INDEX(PP_Grid[#Data],$DD1090,44),0)</f>
        <v/>
      </c>
      <c r="AU1090">
        <f>IFERROR(INDEX(PP_Grid[#Data],$DD1090,45),0)</f>
        <v/>
      </c>
      <c r="AV1090">
        <f>IFERROR(INDEX(PP_Grid[#Data],$DD1090,46),0)</f>
        <v/>
      </c>
      <c r="AW1090">
        <f>IFERROR(INDEX(PP_Grid[#Data],$DD1090,47),0)</f>
        <v/>
      </c>
      <c r="AX1090">
        <f>IFERROR(INDEX(PP_Grid[#Data],$DD1090,48),0)</f>
        <v/>
      </c>
      <c r="AY1090">
        <f>IFERROR(INDEX(PP_Grid[#Data],$DD1090,49),0)</f>
        <v/>
      </c>
      <c r="AZ1090">
        <f>IFERROR(INDEX(PP_Grid[#Data],$DD1090,50),0)</f>
        <v/>
      </c>
      <c r="BA1090">
        <f>IFERROR(INDEX(PP_Grid[#Data],$DD1090,51),0)</f>
        <v/>
      </c>
      <c r="BB1090">
        <f>IFERROR(INDEX(PP_Grid[#Data],$DD1090,52),0)</f>
        <v/>
      </c>
      <c r="BC1090">
        <f>IFERROR(INDEX(PP_Grid[#Data],$DD1090,53),0)</f>
        <v/>
      </c>
      <c r="BD1090">
        <f>IFERROR(INDEX(PP_Grid[#Data],$DD1090,54),0)</f>
        <v/>
      </c>
      <c r="BE1090">
        <f>IFERROR(INDEX(PP_Grid[#Data],$DD1090,55),0)</f>
        <v/>
      </c>
      <c r="BF1090">
        <f>IFERROR(INDEX(PP_Grid[#Data],$DD1090,56),0)</f>
        <v/>
      </c>
      <c r="BG1090">
        <f>IFERROR(INDEX(PP_Grid[#Data],$DD1090,57),0)</f>
        <v/>
      </c>
      <c r="BH1090">
        <f>IFERROR(INDEX(PP_Grid[#Data],$DD1090,58),0)</f>
        <v/>
      </c>
      <c r="BI1090">
        <f>IFERROR(INDEX(PP_Grid[#Data],$DD1090,59),0)</f>
        <v/>
      </c>
      <c r="BJ1090">
        <f>IFERROR(INDEX(PP_Grid[#Data],$DD1090,60),0)</f>
        <v/>
      </c>
      <c r="BK1090">
        <f>IFERROR(INDEX(PP_Grid[#Data],$DD1090,61),0)</f>
        <v/>
      </c>
      <c r="BL1090">
        <f>IFERROR(INDEX(PP_Grid[#Data],$DD1090,62),0)</f>
        <v/>
      </c>
      <c r="BM1090">
        <f>IFERROR(INDEX(PP_Grid[#Data],$DD1090,63),0)</f>
        <v/>
      </c>
      <c r="BN1090">
        <f>IFERROR(INDEX(PP_Grid[#Data],$DD1090,64),0)</f>
        <v/>
      </c>
      <c r="BO1090">
        <f>IFERROR(INDEX(PP_Grid[#Data],$DD1090,65),0)</f>
        <v/>
      </c>
      <c r="BP1090">
        <f>IFERROR(INDEX(PP_Grid[#Data],$DD1090,66),0)</f>
        <v/>
      </c>
      <c r="BQ1090">
        <f>IFERROR(INDEX(PP_Grid[#Data],$DD1090,67),0)</f>
        <v/>
      </c>
      <c r="BR1090">
        <f>IFERROR(INDEX(PP_Grid[#Data],$DD1090,68),0)</f>
        <v/>
      </c>
      <c r="BS1090">
        <f>IFERROR(INDEX(PP_Grid[#Data],$DD1090,69),0)</f>
        <v/>
      </c>
      <c r="BT1090">
        <f>IFERROR(INDEX(PP_Grid[#Data],$DD1090,70),0)</f>
        <v/>
      </c>
      <c r="BU1090">
        <f>IFERROR(INDEX(PP_Grid[#Data],$DD1090,71),0)</f>
        <v/>
      </c>
      <c r="BV1090">
        <f>IFERROR(INDEX(PP_Grid[#Data],$DD1090,72),0)</f>
        <v/>
      </c>
      <c r="BW1090">
        <f>IFERROR(INDEX(PP_Grid[#Data],$DD1090,73),0)</f>
        <v/>
      </c>
      <c r="BX1090">
        <f>IFERROR(INDEX(PP_Grid[#Data],$DD1090,74),0)</f>
        <v/>
      </c>
      <c r="BY1090">
        <f>IFERROR(INDEX(PP_Grid[#Data],$DD1090,75),0)</f>
        <v/>
      </c>
      <c r="BZ1090">
        <f>IFERROR(INDEX(PP_Grid[#Data],$DD1090,76),0)</f>
        <v/>
      </c>
      <c r="CA1090">
        <f>IFERROR(INDEX(PP_Grid[#Data],$DD1090,77),0)</f>
        <v/>
      </c>
      <c r="CB1090">
        <f>IFERROR(INDEX(PP_Grid[#Data],$DD1090,78),0)</f>
        <v/>
      </c>
      <c r="CC1090">
        <f>IFERROR(INDEX(PP_Grid[#Data],$DD1090,79),0)</f>
        <v/>
      </c>
      <c r="CD1090">
        <f>IFERROR(INDEX(PP_Grid[#Data],$DD1090,80),0)</f>
        <v/>
      </c>
      <c r="CE1090">
        <f>IFERROR(INDEX(PP_Grid[#Data],$DD1090,81),0)</f>
        <v/>
      </c>
      <c r="CF1090">
        <f>IFERROR(INDEX(PP_Grid[#Data],$DD1090,82),0)</f>
        <v/>
      </c>
      <c r="CG1090">
        <f>IFERROR(INDEX(PP_Grid[#Data],$DD1090,83),0)</f>
        <v/>
      </c>
      <c r="CH1090">
        <f>IFERROR(INDEX(PP_Grid[#Data],$DD1090,84),0)</f>
        <v/>
      </c>
      <c r="CI1090">
        <f>IFERROR(INDEX(PP_Grid[#Data],$DD1090,85),0)</f>
        <v/>
      </c>
      <c r="CJ1090">
        <f>IFERROR(INDEX(PP_Grid[#Data],$DD1090,86),0)</f>
        <v/>
      </c>
      <c r="CK1090">
        <f>IFERROR(INDEX(PP_Grid[#Data],$DD1090,87),0)</f>
        <v/>
      </c>
      <c r="CL1090">
        <f>IFERROR(INDEX(PP_Grid[#Data],$DD1090,88),0)</f>
        <v/>
      </c>
      <c r="CM1090">
        <f>IFERROR(INDEX(PP_Grid[#Data],$DD1090,89),0)</f>
        <v/>
      </c>
      <c r="CN1090">
        <f>IFERROR(INDEX(PP_Grid[#Data],$DD1090,90),0)</f>
        <v/>
      </c>
      <c r="CO1090">
        <f>IFERROR(INDEX(PP_Grid[#Data],$DD1090,91),0)</f>
        <v/>
      </c>
      <c r="CP1090">
        <f>IFERROR(INDEX(PP_Grid[#Data],$DD1090,92),0)</f>
        <v/>
      </c>
      <c r="CQ1090">
        <f>IFERROR(INDEX(PP_Grid[#Data],$DD1090,93),0)</f>
        <v/>
      </c>
      <c r="CR1090">
        <f>IFERROR(INDEX(PP_Grid[#Data],$DD1090,94),0)</f>
        <v/>
      </c>
      <c r="CS1090">
        <f>IFERROR(INDEX(PP_Grid[#Data],$DD1090,95),0)</f>
        <v/>
      </c>
      <c r="CT1090">
        <f>IFERROR(INDEX(PP_Grid[#Data],$DD1090,96),0)</f>
        <v/>
      </c>
      <c r="CU1090">
        <f>IFERROR(INDEX(PP_Grid[#Data],$DD1090,97),0)</f>
        <v/>
      </c>
      <c r="CV1090">
        <f>IFERROR(INDEX(PP_Grid[#Data],$DD1090,98),0)</f>
        <v/>
      </c>
      <c r="CW1090">
        <f>IFERROR(INDEX(PP_Grid[#Data],$DD1090,99),0)</f>
        <v/>
      </c>
      <c r="CX1090">
        <f>IFERROR(INDEX(PP_Grid[#Data],$DD1090,100),0)</f>
        <v/>
      </c>
      <c r="CY1090">
        <f>IFERROR(INDEX(PP_Grid[#Data],$DD1090,101),0)</f>
        <v/>
      </c>
      <c r="CZ1090">
        <f>IFERROR(INDEX(PP_Grid[#Data],$DD1090,102),0)</f>
        <v/>
      </c>
      <c r="DA1090">
        <f>IFERROR(INDEX(PP_Grid[#Data],$DD1090,103),0)</f>
        <v/>
      </c>
      <c r="DB1090">
        <f>IFERROR(INDEX(PP_Grid[#Data],$DD1090,104),0)</f>
        <v/>
      </c>
      <c r="DC1090">
        <f>IFERROR(INDEX(PP_Grid[#Data],$DD1090,105),0)</f>
        <v/>
      </c>
      <c r="DD1090" s="7">
        <f>IFERROR(MATCH($B1090,PP_Grid[Intermediate],0),99999)</f>
        <v/>
      </c>
    </row>
    <row r="1091">
      <c r="B1091" t="inlineStr">
        <is>
          <t>使用量(kg)</t>
        </is>
      </c>
      <c r="C1091">
        <f>SUMIFS(M_BOM[RM_Qty_Per_Batch],M_BOM[Intermediate],$B1090,M_BOM[Part Name],$A1089)</f>
        <v/>
      </c>
      <c r="D1091">
        <f>$C1091*D1090</f>
        <v/>
      </c>
      <c r="E1091">
        <f>$C1091*E1090</f>
        <v/>
      </c>
      <c r="F1091">
        <f>$C1091*F1090</f>
        <v/>
      </c>
      <c r="G1091">
        <f>$C1091*G1090</f>
        <v/>
      </c>
      <c r="H1091">
        <f>$C1091*H1090</f>
        <v/>
      </c>
      <c r="I1091">
        <f>$C1091*I1090</f>
        <v/>
      </c>
      <c r="J1091">
        <f>$C1091*J1090</f>
        <v/>
      </c>
      <c r="K1091">
        <f>$C1091*K1090</f>
        <v/>
      </c>
      <c r="L1091">
        <f>$C1091*L1090</f>
        <v/>
      </c>
      <c r="M1091">
        <f>$C1091*M1090</f>
        <v/>
      </c>
      <c r="N1091">
        <f>$C1091*N1090</f>
        <v/>
      </c>
      <c r="O1091">
        <f>$C1091*O1090</f>
        <v/>
      </c>
      <c r="P1091">
        <f>$C1091*P1090</f>
        <v/>
      </c>
      <c r="Q1091">
        <f>$C1091*Q1090</f>
        <v/>
      </c>
      <c r="R1091">
        <f>$C1091*R1090</f>
        <v/>
      </c>
      <c r="S1091">
        <f>$C1091*S1090</f>
        <v/>
      </c>
      <c r="T1091">
        <f>$C1091*T1090</f>
        <v/>
      </c>
      <c r="U1091">
        <f>$C1091*U1090</f>
        <v/>
      </c>
      <c r="V1091">
        <f>$C1091*V1090</f>
        <v/>
      </c>
      <c r="W1091">
        <f>$C1091*W1090</f>
        <v/>
      </c>
      <c r="X1091">
        <f>$C1091*X1090</f>
        <v/>
      </c>
      <c r="Y1091">
        <f>$C1091*Y1090</f>
        <v/>
      </c>
      <c r="Z1091">
        <f>$C1091*Z1090</f>
        <v/>
      </c>
      <c r="AA1091">
        <f>$C1091*AA1090</f>
        <v/>
      </c>
      <c r="AB1091">
        <f>$C1091*AB1090</f>
        <v/>
      </c>
      <c r="AC1091">
        <f>$C1091*AC1090</f>
        <v/>
      </c>
      <c r="AD1091">
        <f>$C1091*AD1090</f>
        <v/>
      </c>
      <c r="AE1091">
        <f>$C1091*AE1090</f>
        <v/>
      </c>
      <c r="AF1091">
        <f>$C1091*AF1090</f>
        <v/>
      </c>
      <c r="AG1091">
        <f>$C1091*AG1090</f>
        <v/>
      </c>
      <c r="AH1091">
        <f>$C1091*AH1090</f>
        <v/>
      </c>
      <c r="AI1091">
        <f>$C1091*AI1090</f>
        <v/>
      </c>
      <c r="AJ1091">
        <f>$C1091*AJ1090</f>
        <v/>
      </c>
      <c r="AK1091">
        <f>$C1091*AK1090</f>
        <v/>
      </c>
      <c r="AL1091">
        <f>$C1091*AL1090</f>
        <v/>
      </c>
      <c r="AM1091">
        <f>$C1091*AM1090</f>
        <v/>
      </c>
      <c r="AN1091">
        <f>$C1091*AN1090</f>
        <v/>
      </c>
      <c r="AO1091">
        <f>$C1091*AO1090</f>
        <v/>
      </c>
      <c r="AP1091">
        <f>$C1091*AP1090</f>
        <v/>
      </c>
      <c r="AQ1091">
        <f>$C1091*AQ1090</f>
        <v/>
      </c>
      <c r="AR1091">
        <f>$C1091*AR1090</f>
        <v/>
      </c>
      <c r="AS1091">
        <f>$C1091*AS1090</f>
        <v/>
      </c>
      <c r="AT1091">
        <f>$C1091*AT1090</f>
        <v/>
      </c>
      <c r="AU1091">
        <f>$C1091*AU1090</f>
        <v/>
      </c>
      <c r="AV1091">
        <f>$C1091*AV1090</f>
        <v/>
      </c>
      <c r="AW1091">
        <f>$C1091*AW1090</f>
        <v/>
      </c>
      <c r="AX1091">
        <f>$C1091*AX1090</f>
        <v/>
      </c>
      <c r="AY1091">
        <f>$C1091*AY1090</f>
        <v/>
      </c>
      <c r="AZ1091">
        <f>$C1091*AZ1090</f>
        <v/>
      </c>
      <c r="BA1091">
        <f>$C1091*BA1090</f>
        <v/>
      </c>
      <c r="BB1091">
        <f>$C1091*BB1090</f>
        <v/>
      </c>
      <c r="BC1091">
        <f>$C1091*BC1090</f>
        <v/>
      </c>
      <c r="BD1091">
        <f>$C1091*BD1090</f>
        <v/>
      </c>
      <c r="BE1091">
        <f>$C1091*BE1090</f>
        <v/>
      </c>
      <c r="BF1091">
        <f>$C1091*BF1090</f>
        <v/>
      </c>
      <c r="BG1091">
        <f>$C1091*BG1090</f>
        <v/>
      </c>
      <c r="BH1091">
        <f>$C1091*BH1090</f>
        <v/>
      </c>
      <c r="BI1091">
        <f>$C1091*BI1090</f>
        <v/>
      </c>
      <c r="BJ1091">
        <f>$C1091*BJ1090</f>
        <v/>
      </c>
      <c r="BK1091">
        <f>$C1091*BK1090</f>
        <v/>
      </c>
      <c r="BL1091">
        <f>$C1091*BL1090</f>
        <v/>
      </c>
      <c r="BM1091">
        <f>$C1091*BM1090</f>
        <v/>
      </c>
      <c r="BN1091">
        <f>$C1091*BN1090</f>
        <v/>
      </c>
      <c r="BO1091">
        <f>$C1091*BO1090</f>
        <v/>
      </c>
      <c r="BP1091">
        <f>$C1091*BP1090</f>
        <v/>
      </c>
      <c r="BQ1091">
        <f>$C1091*BQ1090</f>
        <v/>
      </c>
      <c r="BR1091">
        <f>$C1091*BR1090</f>
        <v/>
      </c>
      <c r="BS1091">
        <f>$C1091*BS1090</f>
        <v/>
      </c>
      <c r="BT1091">
        <f>$C1091*BT1090</f>
        <v/>
      </c>
      <c r="BU1091">
        <f>$C1091*BU1090</f>
        <v/>
      </c>
      <c r="BV1091">
        <f>$C1091*BV1090</f>
        <v/>
      </c>
      <c r="BW1091">
        <f>$C1091*BW1090</f>
        <v/>
      </c>
      <c r="BX1091">
        <f>$C1091*BX1090</f>
        <v/>
      </c>
      <c r="BY1091">
        <f>$C1091*BY1090</f>
        <v/>
      </c>
      <c r="BZ1091">
        <f>$C1091*BZ1090</f>
        <v/>
      </c>
      <c r="CA1091">
        <f>$C1091*CA1090</f>
        <v/>
      </c>
      <c r="CB1091">
        <f>$C1091*CB1090</f>
        <v/>
      </c>
      <c r="CC1091">
        <f>$C1091*CC1090</f>
        <v/>
      </c>
      <c r="CD1091">
        <f>$C1091*CD1090</f>
        <v/>
      </c>
      <c r="CE1091">
        <f>$C1091*CE1090</f>
        <v/>
      </c>
      <c r="CF1091">
        <f>$C1091*CF1090</f>
        <v/>
      </c>
      <c r="CG1091">
        <f>$C1091*CG1090</f>
        <v/>
      </c>
      <c r="CH1091">
        <f>$C1091*CH1090</f>
        <v/>
      </c>
      <c r="CI1091">
        <f>$C1091*CI1090</f>
        <v/>
      </c>
      <c r="CJ1091">
        <f>$C1091*CJ1090</f>
        <v/>
      </c>
      <c r="CK1091">
        <f>$C1091*CK1090</f>
        <v/>
      </c>
      <c r="CL1091">
        <f>$C1091*CL1090</f>
        <v/>
      </c>
      <c r="CM1091">
        <f>$C1091*CM1090</f>
        <v/>
      </c>
      <c r="CN1091">
        <f>$C1091*CN1090</f>
        <v/>
      </c>
      <c r="CO1091">
        <f>$C1091*CO1090</f>
        <v/>
      </c>
      <c r="CP1091">
        <f>$C1091*CP1090</f>
        <v/>
      </c>
      <c r="CQ1091">
        <f>$C1091*CQ1090</f>
        <v/>
      </c>
      <c r="CR1091">
        <f>$C1091*CR1090</f>
        <v/>
      </c>
      <c r="CS1091">
        <f>$C1091*CS1090</f>
        <v/>
      </c>
      <c r="CT1091">
        <f>$C1091*CT1090</f>
        <v/>
      </c>
      <c r="CU1091">
        <f>$C1091*CU1090</f>
        <v/>
      </c>
      <c r="CV1091">
        <f>$C1091*CV1090</f>
        <v/>
      </c>
      <c r="CW1091">
        <f>$C1091*CW1090</f>
        <v/>
      </c>
      <c r="CX1091">
        <f>$C1091*CX1090</f>
        <v/>
      </c>
      <c r="CY1091">
        <f>$C1091*CY1090</f>
        <v/>
      </c>
      <c r="CZ1091">
        <f>$C1091*CZ1090</f>
        <v/>
      </c>
      <c r="DA1091">
        <f>$C1091*DA1090</f>
        <v/>
      </c>
      <c r="DB1091">
        <f>$C1091*DB1090</f>
        <v/>
      </c>
      <c r="DC1091">
        <f>$C1091*DC1090</f>
        <v/>
      </c>
    </row>
    <row r="1092">
      <c r="B1092" s="4" t="inlineStr">
        <is>
          <t>合計使用量(kg)/週</t>
        </is>
      </c>
      <c r="D1092">
        <f>'Grid_Requirement'!B39</f>
        <v/>
      </c>
      <c r="E1092">
        <f>'Grid_Requirement'!C39</f>
        <v/>
      </c>
      <c r="F1092">
        <f>'Grid_Requirement'!D39</f>
        <v/>
      </c>
      <c r="G1092">
        <f>'Grid_Requirement'!E39</f>
        <v/>
      </c>
      <c r="H1092">
        <f>'Grid_Requirement'!F39</f>
        <v/>
      </c>
      <c r="I1092">
        <f>'Grid_Requirement'!G39</f>
        <v/>
      </c>
      <c r="J1092">
        <f>'Grid_Requirement'!H39</f>
        <v/>
      </c>
      <c r="K1092">
        <f>'Grid_Requirement'!I39</f>
        <v/>
      </c>
      <c r="L1092">
        <f>'Grid_Requirement'!J39</f>
        <v/>
      </c>
      <c r="M1092">
        <f>'Grid_Requirement'!K39</f>
        <v/>
      </c>
      <c r="N1092">
        <f>'Grid_Requirement'!L39</f>
        <v/>
      </c>
      <c r="O1092">
        <f>'Grid_Requirement'!M39</f>
        <v/>
      </c>
      <c r="P1092">
        <f>'Grid_Requirement'!N39</f>
        <v/>
      </c>
      <c r="Q1092">
        <f>'Grid_Requirement'!O39</f>
        <v/>
      </c>
      <c r="R1092">
        <f>'Grid_Requirement'!P39</f>
        <v/>
      </c>
      <c r="S1092">
        <f>'Grid_Requirement'!Q39</f>
        <v/>
      </c>
      <c r="T1092">
        <f>'Grid_Requirement'!R39</f>
        <v/>
      </c>
      <c r="U1092">
        <f>'Grid_Requirement'!S39</f>
        <v/>
      </c>
      <c r="V1092">
        <f>'Grid_Requirement'!T39</f>
        <v/>
      </c>
      <c r="W1092">
        <f>'Grid_Requirement'!U39</f>
        <v/>
      </c>
      <c r="X1092">
        <f>'Grid_Requirement'!V39</f>
        <v/>
      </c>
      <c r="Y1092">
        <f>'Grid_Requirement'!W39</f>
        <v/>
      </c>
      <c r="Z1092">
        <f>'Grid_Requirement'!X39</f>
        <v/>
      </c>
      <c r="AA1092">
        <f>'Grid_Requirement'!Y39</f>
        <v/>
      </c>
      <c r="AB1092">
        <f>'Grid_Requirement'!Z39</f>
        <v/>
      </c>
      <c r="AC1092">
        <f>'Grid_Requirement'!AA39</f>
        <v/>
      </c>
      <c r="AD1092">
        <f>'Grid_Requirement'!AB39</f>
        <v/>
      </c>
      <c r="AE1092">
        <f>'Grid_Requirement'!AC39</f>
        <v/>
      </c>
      <c r="AF1092">
        <f>'Grid_Requirement'!AD39</f>
        <v/>
      </c>
      <c r="AG1092">
        <f>'Grid_Requirement'!AE39</f>
        <v/>
      </c>
      <c r="AH1092">
        <f>'Grid_Requirement'!AF39</f>
        <v/>
      </c>
      <c r="AI1092">
        <f>'Grid_Requirement'!AG39</f>
        <v/>
      </c>
      <c r="AJ1092">
        <f>'Grid_Requirement'!AH39</f>
        <v/>
      </c>
      <c r="AK1092">
        <f>'Grid_Requirement'!AI39</f>
        <v/>
      </c>
      <c r="AL1092">
        <f>'Grid_Requirement'!AJ39</f>
        <v/>
      </c>
      <c r="AM1092">
        <f>'Grid_Requirement'!AK39</f>
        <v/>
      </c>
      <c r="AN1092">
        <f>'Grid_Requirement'!AL39</f>
        <v/>
      </c>
      <c r="AO1092">
        <f>'Grid_Requirement'!AM39</f>
        <v/>
      </c>
      <c r="AP1092">
        <f>'Grid_Requirement'!AN39</f>
        <v/>
      </c>
      <c r="AQ1092">
        <f>'Grid_Requirement'!AO39</f>
        <v/>
      </c>
      <c r="AR1092">
        <f>'Grid_Requirement'!AP39</f>
        <v/>
      </c>
      <c r="AS1092">
        <f>'Grid_Requirement'!AQ39</f>
        <v/>
      </c>
      <c r="AT1092">
        <f>'Grid_Requirement'!AR39</f>
        <v/>
      </c>
      <c r="AU1092">
        <f>'Grid_Requirement'!AS39</f>
        <v/>
      </c>
      <c r="AV1092">
        <f>'Grid_Requirement'!AT39</f>
        <v/>
      </c>
      <c r="AW1092">
        <f>'Grid_Requirement'!AU39</f>
        <v/>
      </c>
      <c r="AX1092">
        <f>'Grid_Requirement'!AV39</f>
        <v/>
      </c>
      <c r="AY1092">
        <f>'Grid_Requirement'!AW39</f>
        <v/>
      </c>
      <c r="AZ1092">
        <f>'Grid_Requirement'!AX39</f>
        <v/>
      </c>
      <c r="BA1092">
        <f>'Grid_Requirement'!AY39</f>
        <v/>
      </c>
      <c r="BB1092">
        <f>'Grid_Requirement'!AZ39</f>
        <v/>
      </c>
      <c r="BC1092">
        <f>'Grid_Requirement'!BA39</f>
        <v/>
      </c>
      <c r="BD1092">
        <f>'Grid_Requirement'!BB39</f>
        <v/>
      </c>
      <c r="BE1092">
        <f>'Grid_Requirement'!BC39</f>
        <v/>
      </c>
      <c r="BF1092">
        <f>'Grid_Requirement'!BD39</f>
        <v/>
      </c>
      <c r="BG1092">
        <f>'Grid_Requirement'!BE39</f>
        <v/>
      </c>
      <c r="BH1092">
        <f>'Grid_Requirement'!BF39</f>
        <v/>
      </c>
      <c r="BI1092">
        <f>'Grid_Requirement'!BG39</f>
        <v/>
      </c>
      <c r="BJ1092">
        <f>'Grid_Requirement'!BH39</f>
        <v/>
      </c>
      <c r="BK1092">
        <f>'Grid_Requirement'!BI39</f>
        <v/>
      </c>
      <c r="BL1092">
        <f>'Grid_Requirement'!BJ39</f>
        <v/>
      </c>
      <c r="BM1092">
        <f>'Grid_Requirement'!BK39</f>
        <v/>
      </c>
      <c r="BN1092">
        <f>'Grid_Requirement'!BL39</f>
        <v/>
      </c>
      <c r="BO1092">
        <f>'Grid_Requirement'!BM39</f>
        <v/>
      </c>
      <c r="BP1092">
        <f>'Grid_Requirement'!BN39</f>
        <v/>
      </c>
      <c r="BQ1092">
        <f>'Grid_Requirement'!BO39</f>
        <v/>
      </c>
      <c r="BR1092">
        <f>'Grid_Requirement'!BP39</f>
        <v/>
      </c>
      <c r="BS1092">
        <f>'Grid_Requirement'!BQ39</f>
        <v/>
      </c>
      <c r="BT1092">
        <f>'Grid_Requirement'!BR39</f>
        <v/>
      </c>
      <c r="BU1092">
        <f>'Grid_Requirement'!BS39</f>
        <v/>
      </c>
      <c r="BV1092">
        <f>'Grid_Requirement'!BT39</f>
        <v/>
      </c>
      <c r="BW1092">
        <f>'Grid_Requirement'!BU39</f>
        <v/>
      </c>
      <c r="BX1092">
        <f>'Grid_Requirement'!BV39</f>
        <v/>
      </c>
      <c r="BY1092">
        <f>'Grid_Requirement'!BW39</f>
        <v/>
      </c>
      <c r="BZ1092">
        <f>'Grid_Requirement'!BX39</f>
        <v/>
      </c>
      <c r="CA1092">
        <f>'Grid_Requirement'!BY39</f>
        <v/>
      </c>
      <c r="CB1092">
        <f>'Grid_Requirement'!BZ39</f>
        <v/>
      </c>
      <c r="CC1092">
        <f>'Grid_Requirement'!CA39</f>
        <v/>
      </c>
      <c r="CD1092">
        <f>'Grid_Requirement'!CB39</f>
        <v/>
      </c>
      <c r="CE1092">
        <f>'Grid_Requirement'!CC39</f>
        <v/>
      </c>
      <c r="CF1092">
        <f>'Grid_Requirement'!CD39</f>
        <v/>
      </c>
      <c r="CG1092">
        <f>'Grid_Requirement'!CE39</f>
        <v/>
      </c>
      <c r="CH1092">
        <f>'Grid_Requirement'!CF39</f>
        <v/>
      </c>
      <c r="CI1092">
        <f>'Grid_Requirement'!CG39</f>
        <v/>
      </c>
      <c r="CJ1092">
        <f>'Grid_Requirement'!CH39</f>
        <v/>
      </c>
      <c r="CK1092">
        <f>'Grid_Requirement'!CI39</f>
        <v/>
      </c>
      <c r="CL1092">
        <f>'Grid_Requirement'!CJ39</f>
        <v/>
      </c>
      <c r="CM1092">
        <f>'Grid_Requirement'!CK39</f>
        <v/>
      </c>
      <c r="CN1092">
        <f>'Grid_Requirement'!CL39</f>
        <v/>
      </c>
      <c r="CO1092">
        <f>'Grid_Requirement'!CM39</f>
        <v/>
      </c>
      <c r="CP1092">
        <f>'Grid_Requirement'!CN39</f>
        <v/>
      </c>
      <c r="CQ1092">
        <f>'Grid_Requirement'!CO39</f>
        <v/>
      </c>
      <c r="CR1092">
        <f>'Grid_Requirement'!CP39</f>
        <v/>
      </c>
      <c r="CS1092">
        <f>'Grid_Requirement'!CQ39</f>
        <v/>
      </c>
      <c r="CT1092">
        <f>'Grid_Requirement'!CR39</f>
        <v/>
      </c>
      <c r="CU1092">
        <f>'Grid_Requirement'!CS39</f>
        <v/>
      </c>
      <c r="CV1092">
        <f>'Grid_Requirement'!CT39</f>
        <v/>
      </c>
      <c r="CW1092">
        <f>'Grid_Requirement'!CU39</f>
        <v/>
      </c>
      <c r="CX1092">
        <f>'Grid_Requirement'!CV39</f>
        <v/>
      </c>
      <c r="CY1092">
        <f>'Grid_Requirement'!CW39</f>
        <v/>
      </c>
      <c r="CZ1092">
        <f>'Grid_Requirement'!CX39</f>
        <v/>
      </c>
      <c r="DA1092">
        <f>'Grid_Requirement'!CY39</f>
        <v/>
      </c>
      <c r="DB1092">
        <f>'Grid_Requirement'!CZ39</f>
        <v/>
      </c>
      <c r="DC1092">
        <f>'Grid_Requirement'!DA39</f>
        <v/>
      </c>
    </row>
    <row r="1093">
      <c r="B1093" t="inlineStr">
        <is>
          <t>TTAF在庫(実績,kg)</t>
        </is>
      </c>
      <c r="D1093">
        <f>'T_TTAFStock'!B43</f>
        <v/>
      </c>
      <c r="E1093">
        <f>'T_TTAFStock'!C43</f>
        <v/>
      </c>
      <c r="F1093">
        <f>'T_TTAFStock'!D43</f>
        <v/>
      </c>
      <c r="G1093">
        <f>'T_TTAFStock'!E43</f>
        <v/>
      </c>
      <c r="H1093">
        <f>'T_TTAFStock'!F43</f>
        <v/>
      </c>
      <c r="I1093">
        <f>'T_TTAFStock'!G43</f>
        <v/>
      </c>
      <c r="J1093">
        <f>'T_TTAFStock'!H43</f>
        <v/>
      </c>
      <c r="K1093">
        <f>'T_TTAFStock'!I43</f>
        <v/>
      </c>
      <c r="L1093">
        <f>'T_TTAFStock'!J43</f>
        <v/>
      </c>
      <c r="M1093">
        <f>'T_TTAFStock'!K43</f>
        <v/>
      </c>
      <c r="N1093">
        <f>'T_TTAFStock'!L43</f>
        <v/>
      </c>
      <c r="O1093">
        <f>'T_TTAFStock'!M43</f>
        <v/>
      </c>
      <c r="P1093">
        <f>'T_TTAFStock'!N43</f>
        <v/>
      </c>
      <c r="Q1093">
        <f>'T_TTAFStock'!O43</f>
        <v/>
      </c>
      <c r="R1093">
        <f>'T_TTAFStock'!P43</f>
        <v/>
      </c>
      <c r="S1093">
        <f>'T_TTAFStock'!Q43</f>
        <v/>
      </c>
      <c r="T1093">
        <f>'T_TTAFStock'!R43</f>
        <v/>
      </c>
      <c r="U1093">
        <f>'T_TTAFStock'!S43</f>
        <v/>
      </c>
      <c r="V1093">
        <f>'T_TTAFStock'!T43</f>
        <v/>
      </c>
      <c r="W1093">
        <f>'T_TTAFStock'!U43</f>
        <v/>
      </c>
      <c r="X1093">
        <f>'T_TTAFStock'!V43</f>
        <v/>
      </c>
      <c r="Y1093">
        <f>'T_TTAFStock'!W43</f>
        <v/>
      </c>
      <c r="Z1093">
        <f>'T_TTAFStock'!X43</f>
        <v/>
      </c>
      <c r="AA1093">
        <f>'T_TTAFStock'!Y43</f>
        <v/>
      </c>
      <c r="AB1093">
        <f>'T_TTAFStock'!Z43</f>
        <v/>
      </c>
      <c r="AC1093">
        <f>'T_TTAFStock'!AA43</f>
        <v/>
      </c>
      <c r="AD1093">
        <f>'T_TTAFStock'!AB43</f>
        <v/>
      </c>
      <c r="AE1093">
        <f>'T_TTAFStock'!AC43</f>
        <v/>
      </c>
      <c r="AF1093">
        <f>'T_TTAFStock'!AD43</f>
        <v/>
      </c>
      <c r="AG1093">
        <f>'T_TTAFStock'!AE43</f>
        <v/>
      </c>
      <c r="AH1093">
        <f>'T_TTAFStock'!AF43</f>
        <v/>
      </c>
      <c r="AI1093">
        <f>'T_TTAFStock'!AG43</f>
        <v/>
      </c>
      <c r="AJ1093">
        <f>'T_TTAFStock'!AH43</f>
        <v/>
      </c>
      <c r="AK1093">
        <f>'T_TTAFStock'!AI43</f>
        <v/>
      </c>
      <c r="AL1093">
        <f>'T_TTAFStock'!AJ43</f>
        <v/>
      </c>
      <c r="AM1093">
        <f>'T_TTAFStock'!AK43</f>
        <v/>
      </c>
      <c r="AN1093">
        <f>'T_TTAFStock'!AL43</f>
        <v/>
      </c>
      <c r="AO1093">
        <f>'T_TTAFStock'!AM43</f>
        <v/>
      </c>
      <c r="AP1093">
        <f>'T_TTAFStock'!AN43</f>
        <v/>
      </c>
      <c r="AQ1093">
        <f>'T_TTAFStock'!AO43</f>
        <v/>
      </c>
      <c r="AR1093">
        <f>'T_TTAFStock'!AP43</f>
        <v/>
      </c>
      <c r="AS1093">
        <f>'T_TTAFStock'!AQ43</f>
        <v/>
      </c>
      <c r="AT1093">
        <f>'T_TTAFStock'!AR43</f>
        <v/>
      </c>
      <c r="AU1093">
        <f>'T_TTAFStock'!AS43</f>
        <v/>
      </c>
      <c r="AV1093">
        <f>'T_TTAFStock'!AT43</f>
        <v/>
      </c>
      <c r="AW1093">
        <f>'T_TTAFStock'!AU43</f>
        <v/>
      </c>
      <c r="AX1093">
        <f>'T_TTAFStock'!AV43</f>
        <v/>
      </c>
      <c r="AY1093">
        <f>'T_TTAFStock'!AW43</f>
        <v/>
      </c>
      <c r="AZ1093">
        <f>'T_TTAFStock'!AX43</f>
        <v/>
      </c>
      <c r="BA1093">
        <f>'T_TTAFStock'!AY43</f>
        <v/>
      </c>
      <c r="BB1093">
        <f>'T_TTAFStock'!AZ43</f>
        <v/>
      </c>
      <c r="BC1093">
        <f>'T_TTAFStock'!BA43</f>
        <v/>
      </c>
      <c r="BD1093">
        <f>'T_TTAFStock'!BB43</f>
        <v/>
      </c>
      <c r="BE1093">
        <f>'T_TTAFStock'!BC43</f>
        <v/>
      </c>
      <c r="BF1093">
        <f>'T_TTAFStock'!BD43</f>
        <v/>
      </c>
      <c r="BG1093">
        <f>'T_TTAFStock'!BE43</f>
        <v/>
      </c>
      <c r="BH1093">
        <f>'T_TTAFStock'!BF43</f>
        <v/>
      </c>
      <c r="BI1093">
        <f>'T_TTAFStock'!BG43</f>
        <v/>
      </c>
      <c r="BJ1093">
        <f>'T_TTAFStock'!BH43</f>
        <v/>
      </c>
      <c r="BK1093">
        <f>'T_TTAFStock'!BI43</f>
        <v/>
      </c>
      <c r="BL1093">
        <f>'T_TTAFStock'!BJ43</f>
        <v/>
      </c>
      <c r="BM1093">
        <f>'T_TTAFStock'!BK43</f>
        <v/>
      </c>
      <c r="BN1093">
        <f>'T_TTAFStock'!BL43</f>
        <v/>
      </c>
      <c r="BO1093">
        <f>'T_TTAFStock'!BM43</f>
        <v/>
      </c>
      <c r="BP1093">
        <f>'T_TTAFStock'!BN43</f>
        <v/>
      </c>
      <c r="BQ1093">
        <f>'T_TTAFStock'!BO43</f>
        <v/>
      </c>
      <c r="BR1093">
        <f>'T_TTAFStock'!BP43</f>
        <v/>
      </c>
      <c r="BS1093">
        <f>'T_TTAFStock'!BQ43</f>
        <v/>
      </c>
      <c r="BT1093">
        <f>'T_TTAFStock'!BR43</f>
        <v/>
      </c>
      <c r="BU1093">
        <f>'T_TTAFStock'!BS43</f>
        <v/>
      </c>
      <c r="BV1093">
        <f>'T_TTAFStock'!BT43</f>
        <v/>
      </c>
      <c r="BW1093">
        <f>'T_TTAFStock'!BU43</f>
        <v/>
      </c>
      <c r="BX1093">
        <f>'T_TTAFStock'!BV43</f>
        <v/>
      </c>
      <c r="BY1093">
        <f>'T_TTAFStock'!BW43</f>
        <v/>
      </c>
      <c r="BZ1093">
        <f>'T_TTAFStock'!BX43</f>
        <v/>
      </c>
      <c r="CA1093">
        <f>'T_TTAFStock'!BY43</f>
        <v/>
      </c>
      <c r="CB1093">
        <f>'T_TTAFStock'!BZ43</f>
        <v/>
      </c>
      <c r="CC1093">
        <f>'T_TTAFStock'!CA43</f>
        <v/>
      </c>
      <c r="CD1093">
        <f>'T_TTAFStock'!CB43</f>
        <v/>
      </c>
      <c r="CE1093">
        <f>'T_TTAFStock'!CC43</f>
        <v/>
      </c>
      <c r="CF1093">
        <f>'T_TTAFStock'!CD43</f>
        <v/>
      </c>
      <c r="CG1093">
        <f>'T_TTAFStock'!CE43</f>
        <v/>
      </c>
      <c r="CH1093">
        <f>'T_TTAFStock'!CF43</f>
        <v/>
      </c>
      <c r="CI1093">
        <f>'T_TTAFStock'!CG43</f>
        <v/>
      </c>
      <c r="CJ1093">
        <f>'T_TTAFStock'!CH43</f>
        <v/>
      </c>
      <c r="CK1093">
        <f>'T_TTAFStock'!CI43</f>
        <v/>
      </c>
      <c r="CL1093">
        <f>'T_TTAFStock'!CJ43</f>
        <v/>
      </c>
      <c r="CM1093">
        <f>'T_TTAFStock'!CK43</f>
        <v/>
      </c>
      <c r="CN1093">
        <f>'T_TTAFStock'!CL43</f>
        <v/>
      </c>
      <c r="CO1093">
        <f>'T_TTAFStock'!CM43</f>
        <v/>
      </c>
      <c r="CP1093">
        <f>'T_TTAFStock'!CN43</f>
        <v/>
      </c>
      <c r="CQ1093">
        <f>'T_TTAFStock'!CO43</f>
        <v/>
      </c>
      <c r="CR1093">
        <f>'T_TTAFStock'!CP43</f>
        <v/>
      </c>
      <c r="CS1093">
        <f>'T_TTAFStock'!CQ43</f>
        <v/>
      </c>
      <c r="CT1093">
        <f>'T_TTAFStock'!CR43</f>
        <v/>
      </c>
      <c r="CU1093">
        <f>'T_TTAFStock'!CS43</f>
        <v/>
      </c>
      <c r="CV1093">
        <f>'T_TTAFStock'!CT43</f>
        <v/>
      </c>
      <c r="CW1093">
        <f>'T_TTAFStock'!CU43</f>
        <v/>
      </c>
      <c r="CX1093">
        <f>'T_TTAFStock'!CV43</f>
        <v/>
      </c>
      <c r="CY1093">
        <f>'T_TTAFStock'!CW43</f>
        <v/>
      </c>
      <c r="CZ1093">
        <f>'T_TTAFStock'!CX43</f>
        <v/>
      </c>
      <c r="DA1093">
        <f>'T_TTAFStock'!CY43</f>
        <v/>
      </c>
      <c r="DB1093">
        <f>'T_TTAFStock'!CZ43</f>
        <v/>
      </c>
      <c r="DC1093">
        <f>'T_TTAFStock'!DA43</f>
        <v/>
      </c>
    </row>
    <row r="1094">
      <c r="B1094" t="inlineStr">
        <is>
          <t>自社在庫(実績,kg)</t>
        </is>
      </c>
      <c r="D1094">
        <f>'T_SelfStock'!B43</f>
        <v/>
      </c>
      <c r="E1094">
        <f>'T_SelfStock'!C43</f>
        <v/>
      </c>
      <c r="F1094">
        <f>'T_SelfStock'!D43</f>
        <v/>
      </c>
      <c r="G1094">
        <f>'T_SelfStock'!E43</f>
        <v/>
      </c>
      <c r="H1094">
        <f>'T_SelfStock'!F43</f>
        <v/>
      </c>
      <c r="I1094">
        <f>'T_SelfStock'!G43</f>
        <v/>
      </c>
      <c r="J1094">
        <f>'T_SelfStock'!H43</f>
        <v/>
      </c>
      <c r="K1094">
        <f>'T_SelfStock'!I43</f>
        <v/>
      </c>
      <c r="L1094">
        <f>'T_SelfStock'!J43</f>
        <v/>
      </c>
      <c r="M1094">
        <f>'T_SelfStock'!K43</f>
        <v/>
      </c>
      <c r="N1094">
        <f>'T_SelfStock'!L43</f>
        <v/>
      </c>
      <c r="O1094">
        <f>'T_SelfStock'!M43</f>
        <v/>
      </c>
      <c r="P1094">
        <f>'T_SelfStock'!N43</f>
        <v/>
      </c>
      <c r="Q1094">
        <f>'T_SelfStock'!O43</f>
        <v/>
      </c>
      <c r="R1094">
        <f>'T_SelfStock'!P43</f>
        <v/>
      </c>
      <c r="S1094">
        <f>'T_SelfStock'!Q43</f>
        <v/>
      </c>
      <c r="T1094">
        <f>'T_SelfStock'!R43</f>
        <v/>
      </c>
      <c r="U1094">
        <f>'T_SelfStock'!S43</f>
        <v/>
      </c>
      <c r="V1094">
        <f>'T_SelfStock'!T43</f>
        <v/>
      </c>
      <c r="W1094">
        <f>'T_SelfStock'!U43</f>
        <v/>
      </c>
      <c r="X1094">
        <f>'T_SelfStock'!V43</f>
        <v/>
      </c>
      <c r="Y1094">
        <f>'T_SelfStock'!W43</f>
        <v/>
      </c>
      <c r="Z1094">
        <f>'T_SelfStock'!X43</f>
        <v/>
      </c>
      <c r="AA1094">
        <f>'T_SelfStock'!Y43</f>
        <v/>
      </c>
      <c r="AB1094">
        <f>'T_SelfStock'!Z43</f>
        <v/>
      </c>
      <c r="AC1094">
        <f>'T_SelfStock'!AA43</f>
        <v/>
      </c>
      <c r="AD1094">
        <f>'T_SelfStock'!AB43</f>
        <v/>
      </c>
      <c r="AE1094">
        <f>'T_SelfStock'!AC43</f>
        <v/>
      </c>
      <c r="AF1094">
        <f>'T_SelfStock'!AD43</f>
        <v/>
      </c>
      <c r="AG1094">
        <f>'T_SelfStock'!AE43</f>
        <v/>
      </c>
      <c r="AH1094">
        <f>'T_SelfStock'!AF43</f>
        <v/>
      </c>
      <c r="AI1094">
        <f>'T_SelfStock'!AG43</f>
        <v/>
      </c>
      <c r="AJ1094">
        <f>'T_SelfStock'!AH43</f>
        <v/>
      </c>
      <c r="AK1094">
        <f>'T_SelfStock'!AI43</f>
        <v/>
      </c>
      <c r="AL1094">
        <f>'T_SelfStock'!AJ43</f>
        <v/>
      </c>
      <c r="AM1094">
        <f>'T_SelfStock'!AK43</f>
        <v/>
      </c>
      <c r="AN1094">
        <f>'T_SelfStock'!AL43</f>
        <v/>
      </c>
      <c r="AO1094">
        <f>'T_SelfStock'!AM43</f>
        <v/>
      </c>
      <c r="AP1094">
        <f>'T_SelfStock'!AN43</f>
        <v/>
      </c>
      <c r="AQ1094">
        <f>'T_SelfStock'!AO43</f>
        <v/>
      </c>
      <c r="AR1094">
        <f>'T_SelfStock'!AP43</f>
        <v/>
      </c>
      <c r="AS1094">
        <f>'T_SelfStock'!AQ43</f>
        <v/>
      </c>
      <c r="AT1094">
        <f>'T_SelfStock'!AR43</f>
        <v/>
      </c>
      <c r="AU1094">
        <f>'T_SelfStock'!AS43</f>
        <v/>
      </c>
      <c r="AV1094">
        <f>'T_SelfStock'!AT43</f>
        <v/>
      </c>
      <c r="AW1094">
        <f>'T_SelfStock'!AU43</f>
        <v/>
      </c>
      <c r="AX1094">
        <f>'T_SelfStock'!AV43</f>
        <v/>
      </c>
      <c r="AY1094">
        <f>'T_SelfStock'!AW43</f>
        <v/>
      </c>
      <c r="AZ1094">
        <f>'T_SelfStock'!AX43</f>
        <v/>
      </c>
      <c r="BA1094">
        <f>'T_SelfStock'!AY43</f>
        <v/>
      </c>
      <c r="BB1094">
        <f>'T_SelfStock'!AZ43</f>
        <v/>
      </c>
      <c r="BC1094">
        <f>'T_SelfStock'!BA43</f>
        <v/>
      </c>
      <c r="BD1094">
        <f>'T_SelfStock'!BB43</f>
        <v/>
      </c>
      <c r="BE1094">
        <f>'T_SelfStock'!BC43</f>
        <v/>
      </c>
      <c r="BF1094">
        <f>'T_SelfStock'!BD43</f>
        <v/>
      </c>
      <c r="BG1094">
        <f>'T_SelfStock'!BE43</f>
        <v/>
      </c>
      <c r="BH1094">
        <f>'T_SelfStock'!BF43</f>
        <v/>
      </c>
      <c r="BI1094">
        <f>'T_SelfStock'!BG43</f>
        <v/>
      </c>
      <c r="BJ1094">
        <f>'T_SelfStock'!BH43</f>
        <v/>
      </c>
      <c r="BK1094">
        <f>'T_SelfStock'!BI43</f>
        <v/>
      </c>
      <c r="BL1094">
        <f>'T_SelfStock'!BJ43</f>
        <v/>
      </c>
      <c r="BM1094">
        <f>'T_SelfStock'!BK43</f>
        <v/>
      </c>
      <c r="BN1094">
        <f>'T_SelfStock'!BL43</f>
        <v/>
      </c>
      <c r="BO1094">
        <f>'T_SelfStock'!BM43</f>
        <v/>
      </c>
      <c r="BP1094">
        <f>'T_SelfStock'!BN43</f>
        <v/>
      </c>
      <c r="BQ1094">
        <f>'T_SelfStock'!BO43</f>
        <v/>
      </c>
      <c r="BR1094">
        <f>'T_SelfStock'!BP43</f>
        <v/>
      </c>
      <c r="BS1094">
        <f>'T_SelfStock'!BQ43</f>
        <v/>
      </c>
      <c r="BT1094">
        <f>'T_SelfStock'!BR43</f>
        <v/>
      </c>
      <c r="BU1094">
        <f>'T_SelfStock'!BS43</f>
        <v/>
      </c>
      <c r="BV1094">
        <f>'T_SelfStock'!BT43</f>
        <v/>
      </c>
      <c r="BW1094">
        <f>'T_SelfStock'!BU43</f>
        <v/>
      </c>
      <c r="BX1094">
        <f>'T_SelfStock'!BV43</f>
        <v/>
      </c>
      <c r="BY1094">
        <f>'T_SelfStock'!BW43</f>
        <v/>
      </c>
      <c r="BZ1094">
        <f>'T_SelfStock'!BX43</f>
        <v/>
      </c>
      <c r="CA1094">
        <f>'T_SelfStock'!BY43</f>
        <v/>
      </c>
      <c r="CB1094">
        <f>'T_SelfStock'!BZ43</f>
        <v/>
      </c>
      <c r="CC1094">
        <f>'T_SelfStock'!CA43</f>
        <v/>
      </c>
      <c r="CD1094">
        <f>'T_SelfStock'!CB43</f>
        <v/>
      </c>
      <c r="CE1094">
        <f>'T_SelfStock'!CC43</f>
        <v/>
      </c>
      <c r="CF1094">
        <f>'T_SelfStock'!CD43</f>
        <v/>
      </c>
      <c r="CG1094">
        <f>'T_SelfStock'!CE43</f>
        <v/>
      </c>
      <c r="CH1094">
        <f>'T_SelfStock'!CF43</f>
        <v/>
      </c>
      <c r="CI1094">
        <f>'T_SelfStock'!CG43</f>
        <v/>
      </c>
      <c r="CJ1094">
        <f>'T_SelfStock'!CH43</f>
        <v/>
      </c>
      <c r="CK1094">
        <f>'T_SelfStock'!CI43</f>
        <v/>
      </c>
      <c r="CL1094">
        <f>'T_SelfStock'!CJ43</f>
        <v/>
      </c>
      <c r="CM1094">
        <f>'T_SelfStock'!CK43</f>
        <v/>
      </c>
      <c r="CN1094">
        <f>'T_SelfStock'!CL43</f>
        <v/>
      </c>
      <c r="CO1094">
        <f>'T_SelfStock'!CM43</f>
        <v/>
      </c>
      <c r="CP1094">
        <f>'T_SelfStock'!CN43</f>
        <v/>
      </c>
      <c r="CQ1094">
        <f>'T_SelfStock'!CO43</f>
        <v/>
      </c>
      <c r="CR1094">
        <f>'T_SelfStock'!CP43</f>
        <v/>
      </c>
      <c r="CS1094">
        <f>'T_SelfStock'!CQ43</f>
        <v/>
      </c>
      <c r="CT1094">
        <f>'T_SelfStock'!CR43</f>
        <v/>
      </c>
      <c r="CU1094">
        <f>'T_SelfStock'!CS43</f>
        <v/>
      </c>
      <c r="CV1094">
        <f>'T_SelfStock'!CT43</f>
        <v/>
      </c>
      <c r="CW1094">
        <f>'T_SelfStock'!CU43</f>
        <v/>
      </c>
      <c r="CX1094">
        <f>'T_SelfStock'!CV43</f>
        <v/>
      </c>
      <c r="CY1094">
        <f>'T_SelfStock'!CW43</f>
        <v/>
      </c>
      <c r="CZ1094">
        <f>'T_SelfStock'!CX43</f>
        <v/>
      </c>
      <c r="DA1094">
        <f>'T_SelfStock'!CY43</f>
        <v/>
      </c>
      <c r="DB1094">
        <f>'T_SelfStock'!CZ43</f>
        <v/>
      </c>
      <c r="DC1094">
        <f>'T_SelfStock'!DA43</f>
        <v/>
      </c>
    </row>
    <row r="1095">
      <c r="B1095" t="inlineStr">
        <is>
          <t>Order(発注予定,kg)</t>
        </is>
      </c>
      <c r="D1095">
        <f>IF(SUMIFS(T_PlannedOrders[EffectiveQty],T_PlannedOrders[Part Name],$A1089,T_PlannedOrders[WeekIndex],1)=0,"",SUMIFS(T_PlannedOrders[EffectiveQty],T_PlannedOrders[Part Name],$A1089,T_PlannedOrders[WeekIndex],1)&amp;" ("&amp;TEXT(SUMPRODUCT(MAX((T_PlannedOrders[Part Name]=$A1089)*(T_PlannedOrders[WeekIndex]=1)*(T_PlannedOrders[EffectiveQty]&gt;0)*T_PlannedOrders[Order_Month])),"m月")&amp;"発注)")</f>
        <v/>
      </c>
      <c r="E1095">
        <f>IF(SUMIFS(T_PlannedOrders[EffectiveQty],T_PlannedOrders[Part Name],$A1089,T_PlannedOrders[WeekIndex],2)=0,"",SUMIFS(T_PlannedOrders[EffectiveQty],T_PlannedOrders[Part Name],$A1089,T_PlannedOrders[WeekIndex],2)&amp;" ("&amp;TEXT(SUMPRODUCT(MAX((T_PlannedOrders[Part Name]=$A1089)*(T_PlannedOrders[WeekIndex]=2)*(T_PlannedOrders[EffectiveQty]&gt;0)*T_PlannedOrders[Order_Month])),"m月")&amp;"発注)")</f>
        <v/>
      </c>
      <c r="F1095">
        <f>IF(SUMIFS(T_PlannedOrders[EffectiveQty],T_PlannedOrders[Part Name],$A1089,T_PlannedOrders[WeekIndex],3)=0,"",SUMIFS(T_PlannedOrders[EffectiveQty],T_PlannedOrders[Part Name],$A1089,T_PlannedOrders[WeekIndex],3)&amp;" ("&amp;TEXT(SUMPRODUCT(MAX((T_PlannedOrders[Part Name]=$A1089)*(T_PlannedOrders[WeekIndex]=3)*(T_PlannedOrders[EffectiveQty]&gt;0)*T_PlannedOrders[Order_Month])),"m月")&amp;"発注)")</f>
        <v/>
      </c>
      <c r="G1095">
        <f>IF(SUMIFS(T_PlannedOrders[EffectiveQty],T_PlannedOrders[Part Name],$A1089,T_PlannedOrders[WeekIndex],4)=0,"",SUMIFS(T_PlannedOrders[EffectiveQty],T_PlannedOrders[Part Name],$A1089,T_PlannedOrders[WeekIndex],4)&amp;" ("&amp;TEXT(SUMPRODUCT(MAX((T_PlannedOrders[Part Name]=$A1089)*(T_PlannedOrders[WeekIndex]=4)*(T_PlannedOrders[EffectiveQty]&gt;0)*T_PlannedOrders[Order_Month])),"m月")&amp;"発注)")</f>
        <v/>
      </c>
      <c r="H1095">
        <f>IF(SUMIFS(T_PlannedOrders[EffectiveQty],T_PlannedOrders[Part Name],$A1089,T_PlannedOrders[WeekIndex],5)=0,"",SUMIFS(T_PlannedOrders[EffectiveQty],T_PlannedOrders[Part Name],$A1089,T_PlannedOrders[WeekIndex],5)&amp;" ("&amp;TEXT(SUMPRODUCT(MAX((T_PlannedOrders[Part Name]=$A1089)*(T_PlannedOrders[WeekIndex]=5)*(T_PlannedOrders[EffectiveQty]&gt;0)*T_PlannedOrders[Order_Month])),"m月")&amp;"発注)")</f>
        <v/>
      </c>
      <c r="I1095">
        <f>IF(SUMIFS(T_PlannedOrders[EffectiveQty],T_PlannedOrders[Part Name],$A1089,T_PlannedOrders[WeekIndex],6)=0,"",SUMIFS(T_PlannedOrders[EffectiveQty],T_PlannedOrders[Part Name],$A1089,T_PlannedOrders[WeekIndex],6)&amp;" ("&amp;TEXT(SUMPRODUCT(MAX((T_PlannedOrders[Part Name]=$A1089)*(T_PlannedOrders[WeekIndex]=6)*(T_PlannedOrders[EffectiveQty]&gt;0)*T_PlannedOrders[Order_Month])),"m月")&amp;"発注)")</f>
        <v/>
      </c>
      <c r="J1095">
        <f>IF(SUMIFS(T_PlannedOrders[EffectiveQty],T_PlannedOrders[Part Name],$A1089,T_PlannedOrders[WeekIndex],7)=0,"",SUMIFS(T_PlannedOrders[EffectiveQty],T_PlannedOrders[Part Name],$A1089,T_PlannedOrders[WeekIndex],7)&amp;" ("&amp;TEXT(SUMPRODUCT(MAX((T_PlannedOrders[Part Name]=$A1089)*(T_PlannedOrders[WeekIndex]=7)*(T_PlannedOrders[EffectiveQty]&gt;0)*T_PlannedOrders[Order_Month])),"m月")&amp;"発注)")</f>
        <v/>
      </c>
      <c r="K1095">
        <f>IF(SUMIFS(T_PlannedOrders[EffectiveQty],T_PlannedOrders[Part Name],$A1089,T_PlannedOrders[WeekIndex],8)=0,"",SUMIFS(T_PlannedOrders[EffectiveQty],T_PlannedOrders[Part Name],$A1089,T_PlannedOrders[WeekIndex],8)&amp;" ("&amp;TEXT(SUMPRODUCT(MAX((T_PlannedOrders[Part Name]=$A1089)*(T_PlannedOrders[WeekIndex]=8)*(T_PlannedOrders[EffectiveQty]&gt;0)*T_PlannedOrders[Order_Month])),"m月")&amp;"発注)")</f>
        <v/>
      </c>
      <c r="L1095">
        <f>IF(SUMIFS(T_PlannedOrders[EffectiveQty],T_PlannedOrders[Part Name],$A1089,T_PlannedOrders[WeekIndex],9)=0,"",SUMIFS(T_PlannedOrders[EffectiveQty],T_PlannedOrders[Part Name],$A1089,T_PlannedOrders[WeekIndex],9)&amp;" ("&amp;TEXT(SUMPRODUCT(MAX((T_PlannedOrders[Part Name]=$A1089)*(T_PlannedOrders[WeekIndex]=9)*(T_PlannedOrders[EffectiveQty]&gt;0)*T_PlannedOrders[Order_Month])),"m月")&amp;"発注)")</f>
        <v/>
      </c>
      <c r="M1095">
        <f>IF(SUMIFS(T_PlannedOrders[EffectiveQty],T_PlannedOrders[Part Name],$A1089,T_PlannedOrders[WeekIndex],10)=0,"",SUMIFS(T_PlannedOrders[EffectiveQty],T_PlannedOrders[Part Name],$A1089,T_PlannedOrders[WeekIndex],10)&amp;" ("&amp;TEXT(SUMPRODUCT(MAX((T_PlannedOrders[Part Name]=$A1089)*(T_PlannedOrders[WeekIndex]=10)*(T_PlannedOrders[EffectiveQty]&gt;0)*T_PlannedOrders[Order_Month])),"m月")&amp;"発注)")</f>
        <v/>
      </c>
      <c r="N1095">
        <f>IF(SUMIFS(T_PlannedOrders[EffectiveQty],T_PlannedOrders[Part Name],$A1089,T_PlannedOrders[WeekIndex],11)=0,"",SUMIFS(T_PlannedOrders[EffectiveQty],T_PlannedOrders[Part Name],$A1089,T_PlannedOrders[WeekIndex],11)&amp;" ("&amp;TEXT(SUMPRODUCT(MAX((T_PlannedOrders[Part Name]=$A1089)*(T_PlannedOrders[WeekIndex]=11)*(T_PlannedOrders[EffectiveQty]&gt;0)*T_PlannedOrders[Order_Month])),"m月")&amp;"発注)")</f>
        <v/>
      </c>
      <c r="O1095">
        <f>IF(SUMIFS(T_PlannedOrders[EffectiveQty],T_PlannedOrders[Part Name],$A1089,T_PlannedOrders[WeekIndex],12)=0,"",SUMIFS(T_PlannedOrders[EffectiveQty],T_PlannedOrders[Part Name],$A1089,T_PlannedOrders[WeekIndex],12)&amp;" ("&amp;TEXT(SUMPRODUCT(MAX((T_PlannedOrders[Part Name]=$A1089)*(T_PlannedOrders[WeekIndex]=12)*(T_PlannedOrders[EffectiveQty]&gt;0)*T_PlannedOrders[Order_Month])),"m月")&amp;"発注)")</f>
        <v/>
      </c>
      <c r="P1095">
        <f>IF(SUMIFS(T_PlannedOrders[EffectiveQty],T_PlannedOrders[Part Name],$A1089,T_PlannedOrders[WeekIndex],13)=0,"",SUMIFS(T_PlannedOrders[EffectiveQty],T_PlannedOrders[Part Name],$A1089,T_PlannedOrders[WeekIndex],13)&amp;" ("&amp;TEXT(SUMPRODUCT(MAX((T_PlannedOrders[Part Name]=$A1089)*(T_PlannedOrders[WeekIndex]=13)*(T_PlannedOrders[EffectiveQty]&gt;0)*T_PlannedOrders[Order_Month])),"m月")&amp;"発注)")</f>
        <v/>
      </c>
      <c r="Q1095">
        <f>IF(SUMIFS(T_PlannedOrders[EffectiveQty],T_PlannedOrders[Part Name],$A1089,T_PlannedOrders[WeekIndex],14)=0,"",SUMIFS(T_PlannedOrders[EffectiveQty],T_PlannedOrders[Part Name],$A1089,T_PlannedOrders[WeekIndex],14)&amp;" ("&amp;TEXT(SUMPRODUCT(MAX((T_PlannedOrders[Part Name]=$A1089)*(T_PlannedOrders[WeekIndex]=14)*(T_PlannedOrders[EffectiveQty]&gt;0)*T_PlannedOrders[Order_Month])),"m月")&amp;"発注)")</f>
        <v/>
      </c>
      <c r="R1095">
        <f>IF(SUMIFS(T_PlannedOrders[EffectiveQty],T_PlannedOrders[Part Name],$A1089,T_PlannedOrders[WeekIndex],15)=0,"",SUMIFS(T_PlannedOrders[EffectiveQty],T_PlannedOrders[Part Name],$A1089,T_PlannedOrders[WeekIndex],15)&amp;" ("&amp;TEXT(SUMPRODUCT(MAX((T_PlannedOrders[Part Name]=$A1089)*(T_PlannedOrders[WeekIndex]=15)*(T_PlannedOrders[EffectiveQty]&gt;0)*T_PlannedOrders[Order_Month])),"m月")&amp;"発注)")</f>
        <v/>
      </c>
      <c r="S1095">
        <f>IF(SUMIFS(T_PlannedOrders[EffectiveQty],T_PlannedOrders[Part Name],$A1089,T_PlannedOrders[WeekIndex],16)=0,"",SUMIFS(T_PlannedOrders[EffectiveQty],T_PlannedOrders[Part Name],$A1089,T_PlannedOrders[WeekIndex],16)&amp;" ("&amp;TEXT(SUMPRODUCT(MAX((T_PlannedOrders[Part Name]=$A1089)*(T_PlannedOrders[WeekIndex]=16)*(T_PlannedOrders[EffectiveQty]&gt;0)*T_PlannedOrders[Order_Month])),"m月")&amp;"発注)")</f>
        <v/>
      </c>
      <c r="T1095">
        <f>IF(SUMIFS(T_PlannedOrders[EffectiveQty],T_PlannedOrders[Part Name],$A1089,T_PlannedOrders[WeekIndex],17)=0,"",SUMIFS(T_PlannedOrders[EffectiveQty],T_PlannedOrders[Part Name],$A1089,T_PlannedOrders[WeekIndex],17)&amp;" ("&amp;TEXT(SUMPRODUCT(MAX((T_PlannedOrders[Part Name]=$A1089)*(T_PlannedOrders[WeekIndex]=17)*(T_PlannedOrders[EffectiveQty]&gt;0)*T_PlannedOrders[Order_Month])),"m月")&amp;"発注)")</f>
        <v/>
      </c>
      <c r="U1095">
        <f>IF(SUMIFS(T_PlannedOrders[EffectiveQty],T_PlannedOrders[Part Name],$A1089,T_PlannedOrders[WeekIndex],18)=0,"",SUMIFS(T_PlannedOrders[EffectiveQty],T_PlannedOrders[Part Name],$A1089,T_PlannedOrders[WeekIndex],18)&amp;" ("&amp;TEXT(SUMPRODUCT(MAX((T_PlannedOrders[Part Name]=$A1089)*(T_PlannedOrders[WeekIndex]=18)*(T_PlannedOrders[EffectiveQty]&gt;0)*T_PlannedOrders[Order_Month])),"m月")&amp;"発注)")</f>
        <v/>
      </c>
      <c r="V1095">
        <f>IF(SUMIFS(T_PlannedOrders[EffectiveQty],T_PlannedOrders[Part Name],$A1089,T_PlannedOrders[WeekIndex],19)=0,"",SUMIFS(T_PlannedOrders[EffectiveQty],T_PlannedOrders[Part Name],$A1089,T_PlannedOrders[WeekIndex],19)&amp;" ("&amp;TEXT(SUMPRODUCT(MAX((T_PlannedOrders[Part Name]=$A1089)*(T_PlannedOrders[WeekIndex]=19)*(T_PlannedOrders[EffectiveQty]&gt;0)*T_PlannedOrders[Order_Month])),"m月")&amp;"発注)")</f>
        <v/>
      </c>
      <c r="W1095">
        <f>IF(SUMIFS(T_PlannedOrders[EffectiveQty],T_PlannedOrders[Part Name],$A1089,T_PlannedOrders[WeekIndex],20)=0,"",SUMIFS(T_PlannedOrders[EffectiveQty],T_PlannedOrders[Part Name],$A1089,T_PlannedOrders[WeekIndex],20)&amp;" ("&amp;TEXT(SUMPRODUCT(MAX((T_PlannedOrders[Part Name]=$A1089)*(T_PlannedOrders[WeekIndex]=20)*(T_PlannedOrders[EffectiveQty]&gt;0)*T_PlannedOrders[Order_Month])),"m月")&amp;"発注)")</f>
        <v/>
      </c>
      <c r="X1095">
        <f>IF(SUMIFS(T_PlannedOrders[EffectiveQty],T_PlannedOrders[Part Name],$A1089,T_PlannedOrders[WeekIndex],21)=0,"",SUMIFS(T_PlannedOrders[EffectiveQty],T_PlannedOrders[Part Name],$A1089,T_PlannedOrders[WeekIndex],21)&amp;" ("&amp;TEXT(SUMPRODUCT(MAX((T_PlannedOrders[Part Name]=$A1089)*(T_PlannedOrders[WeekIndex]=21)*(T_PlannedOrders[EffectiveQty]&gt;0)*T_PlannedOrders[Order_Month])),"m月")&amp;"発注)")</f>
        <v/>
      </c>
      <c r="Y1095">
        <f>IF(SUMIFS(T_PlannedOrders[EffectiveQty],T_PlannedOrders[Part Name],$A1089,T_PlannedOrders[WeekIndex],22)=0,"",SUMIFS(T_PlannedOrders[EffectiveQty],T_PlannedOrders[Part Name],$A1089,T_PlannedOrders[WeekIndex],22)&amp;" ("&amp;TEXT(SUMPRODUCT(MAX((T_PlannedOrders[Part Name]=$A1089)*(T_PlannedOrders[WeekIndex]=22)*(T_PlannedOrders[EffectiveQty]&gt;0)*T_PlannedOrders[Order_Month])),"m月")&amp;"発注)")</f>
        <v/>
      </c>
      <c r="Z1095">
        <f>IF(SUMIFS(T_PlannedOrders[EffectiveQty],T_PlannedOrders[Part Name],$A1089,T_PlannedOrders[WeekIndex],23)=0,"",SUMIFS(T_PlannedOrders[EffectiveQty],T_PlannedOrders[Part Name],$A1089,T_PlannedOrders[WeekIndex],23)&amp;" ("&amp;TEXT(SUMPRODUCT(MAX((T_PlannedOrders[Part Name]=$A1089)*(T_PlannedOrders[WeekIndex]=23)*(T_PlannedOrders[EffectiveQty]&gt;0)*T_PlannedOrders[Order_Month])),"m月")&amp;"発注)")</f>
        <v/>
      </c>
      <c r="AA1095">
        <f>IF(SUMIFS(T_PlannedOrders[EffectiveQty],T_PlannedOrders[Part Name],$A1089,T_PlannedOrders[WeekIndex],24)=0,"",SUMIFS(T_PlannedOrders[EffectiveQty],T_PlannedOrders[Part Name],$A1089,T_PlannedOrders[WeekIndex],24)&amp;" ("&amp;TEXT(SUMPRODUCT(MAX((T_PlannedOrders[Part Name]=$A1089)*(T_PlannedOrders[WeekIndex]=24)*(T_PlannedOrders[EffectiveQty]&gt;0)*T_PlannedOrders[Order_Month])),"m月")&amp;"発注)")</f>
        <v/>
      </c>
      <c r="AB1095">
        <f>IF(SUMIFS(T_PlannedOrders[EffectiveQty],T_PlannedOrders[Part Name],$A1089,T_PlannedOrders[WeekIndex],25)=0,"",SUMIFS(T_PlannedOrders[EffectiveQty],T_PlannedOrders[Part Name],$A1089,T_PlannedOrders[WeekIndex],25)&amp;" ("&amp;TEXT(SUMPRODUCT(MAX((T_PlannedOrders[Part Name]=$A1089)*(T_PlannedOrders[WeekIndex]=25)*(T_PlannedOrders[EffectiveQty]&gt;0)*T_PlannedOrders[Order_Month])),"m月")&amp;"発注)")</f>
        <v/>
      </c>
      <c r="AC1095">
        <f>IF(SUMIFS(T_PlannedOrders[EffectiveQty],T_PlannedOrders[Part Name],$A1089,T_PlannedOrders[WeekIndex],26)=0,"",SUMIFS(T_PlannedOrders[EffectiveQty],T_PlannedOrders[Part Name],$A1089,T_PlannedOrders[WeekIndex],26)&amp;" ("&amp;TEXT(SUMPRODUCT(MAX((T_PlannedOrders[Part Name]=$A1089)*(T_PlannedOrders[WeekIndex]=26)*(T_PlannedOrders[EffectiveQty]&gt;0)*T_PlannedOrders[Order_Month])),"m月")&amp;"発注)")</f>
        <v/>
      </c>
      <c r="AD1095">
        <f>IF(SUMIFS(T_PlannedOrders[EffectiveQty],T_PlannedOrders[Part Name],$A1089,T_PlannedOrders[WeekIndex],27)=0,"",SUMIFS(T_PlannedOrders[EffectiveQty],T_PlannedOrders[Part Name],$A1089,T_PlannedOrders[WeekIndex],27)&amp;" ("&amp;TEXT(SUMPRODUCT(MAX((T_PlannedOrders[Part Name]=$A1089)*(T_PlannedOrders[WeekIndex]=27)*(T_PlannedOrders[EffectiveQty]&gt;0)*T_PlannedOrders[Order_Month])),"m月")&amp;"発注)")</f>
        <v/>
      </c>
      <c r="AE1095">
        <f>IF(SUMIFS(T_PlannedOrders[EffectiveQty],T_PlannedOrders[Part Name],$A1089,T_PlannedOrders[WeekIndex],28)=0,"",SUMIFS(T_PlannedOrders[EffectiveQty],T_PlannedOrders[Part Name],$A1089,T_PlannedOrders[WeekIndex],28)&amp;" ("&amp;TEXT(SUMPRODUCT(MAX((T_PlannedOrders[Part Name]=$A1089)*(T_PlannedOrders[WeekIndex]=28)*(T_PlannedOrders[EffectiveQty]&gt;0)*T_PlannedOrders[Order_Month])),"m月")&amp;"発注)")</f>
        <v/>
      </c>
      <c r="AF1095">
        <f>IF(SUMIFS(T_PlannedOrders[EffectiveQty],T_PlannedOrders[Part Name],$A1089,T_PlannedOrders[WeekIndex],29)=0,"",SUMIFS(T_PlannedOrders[EffectiveQty],T_PlannedOrders[Part Name],$A1089,T_PlannedOrders[WeekIndex],29)&amp;" ("&amp;TEXT(SUMPRODUCT(MAX((T_PlannedOrders[Part Name]=$A1089)*(T_PlannedOrders[WeekIndex]=29)*(T_PlannedOrders[EffectiveQty]&gt;0)*T_PlannedOrders[Order_Month])),"m月")&amp;"発注)")</f>
        <v/>
      </c>
      <c r="AG1095">
        <f>IF(SUMIFS(T_PlannedOrders[EffectiveQty],T_PlannedOrders[Part Name],$A1089,T_PlannedOrders[WeekIndex],30)=0,"",SUMIFS(T_PlannedOrders[EffectiveQty],T_PlannedOrders[Part Name],$A1089,T_PlannedOrders[WeekIndex],30)&amp;" ("&amp;TEXT(SUMPRODUCT(MAX((T_PlannedOrders[Part Name]=$A1089)*(T_PlannedOrders[WeekIndex]=30)*(T_PlannedOrders[EffectiveQty]&gt;0)*T_PlannedOrders[Order_Month])),"m月")&amp;"発注)")</f>
        <v/>
      </c>
      <c r="AH1095">
        <f>IF(SUMIFS(T_PlannedOrders[EffectiveQty],T_PlannedOrders[Part Name],$A1089,T_PlannedOrders[WeekIndex],31)=0,"",SUMIFS(T_PlannedOrders[EffectiveQty],T_PlannedOrders[Part Name],$A1089,T_PlannedOrders[WeekIndex],31)&amp;" ("&amp;TEXT(SUMPRODUCT(MAX((T_PlannedOrders[Part Name]=$A1089)*(T_PlannedOrders[WeekIndex]=31)*(T_PlannedOrders[EffectiveQty]&gt;0)*T_PlannedOrders[Order_Month])),"m月")&amp;"発注)")</f>
        <v/>
      </c>
      <c r="AI1095">
        <f>IF(SUMIFS(T_PlannedOrders[EffectiveQty],T_PlannedOrders[Part Name],$A1089,T_PlannedOrders[WeekIndex],32)=0,"",SUMIFS(T_PlannedOrders[EffectiveQty],T_PlannedOrders[Part Name],$A1089,T_PlannedOrders[WeekIndex],32)&amp;" ("&amp;TEXT(SUMPRODUCT(MAX((T_PlannedOrders[Part Name]=$A1089)*(T_PlannedOrders[WeekIndex]=32)*(T_PlannedOrders[EffectiveQty]&gt;0)*T_PlannedOrders[Order_Month])),"m月")&amp;"発注)")</f>
        <v/>
      </c>
      <c r="AJ1095">
        <f>IF(SUMIFS(T_PlannedOrders[EffectiveQty],T_PlannedOrders[Part Name],$A1089,T_PlannedOrders[WeekIndex],33)=0,"",SUMIFS(T_PlannedOrders[EffectiveQty],T_PlannedOrders[Part Name],$A1089,T_PlannedOrders[WeekIndex],33)&amp;" ("&amp;TEXT(SUMPRODUCT(MAX((T_PlannedOrders[Part Name]=$A1089)*(T_PlannedOrders[WeekIndex]=33)*(T_PlannedOrders[EffectiveQty]&gt;0)*T_PlannedOrders[Order_Month])),"m月")&amp;"発注)")</f>
        <v/>
      </c>
      <c r="AK1095">
        <f>IF(SUMIFS(T_PlannedOrders[EffectiveQty],T_PlannedOrders[Part Name],$A1089,T_PlannedOrders[WeekIndex],34)=0,"",SUMIFS(T_PlannedOrders[EffectiveQty],T_PlannedOrders[Part Name],$A1089,T_PlannedOrders[WeekIndex],34)&amp;" ("&amp;TEXT(SUMPRODUCT(MAX((T_PlannedOrders[Part Name]=$A1089)*(T_PlannedOrders[WeekIndex]=34)*(T_PlannedOrders[EffectiveQty]&gt;0)*T_PlannedOrders[Order_Month])),"m月")&amp;"発注)")</f>
        <v/>
      </c>
      <c r="AL1095">
        <f>IF(SUMIFS(T_PlannedOrders[EffectiveQty],T_PlannedOrders[Part Name],$A1089,T_PlannedOrders[WeekIndex],35)=0,"",SUMIFS(T_PlannedOrders[EffectiveQty],T_PlannedOrders[Part Name],$A1089,T_PlannedOrders[WeekIndex],35)&amp;" ("&amp;TEXT(SUMPRODUCT(MAX((T_PlannedOrders[Part Name]=$A1089)*(T_PlannedOrders[WeekIndex]=35)*(T_PlannedOrders[EffectiveQty]&gt;0)*T_PlannedOrders[Order_Month])),"m月")&amp;"発注)")</f>
        <v/>
      </c>
      <c r="AM1095">
        <f>IF(SUMIFS(T_PlannedOrders[EffectiveQty],T_PlannedOrders[Part Name],$A1089,T_PlannedOrders[WeekIndex],36)=0,"",SUMIFS(T_PlannedOrders[EffectiveQty],T_PlannedOrders[Part Name],$A1089,T_PlannedOrders[WeekIndex],36)&amp;" ("&amp;TEXT(SUMPRODUCT(MAX((T_PlannedOrders[Part Name]=$A1089)*(T_PlannedOrders[WeekIndex]=36)*(T_PlannedOrders[EffectiveQty]&gt;0)*T_PlannedOrders[Order_Month])),"m月")&amp;"発注)")</f>
        <v/>
      </c>
      <c r="AN1095">
        <f>IF(SUMIFS(T_PlannedOrders[EffectiveQty],T_PlannedOrders[Part Name],$A1089,T_PlannedOrders[WeekIndex],37)=0,"",SUMIFS(T_PlannedOrders[EffectiveQty],T_PlannedOrders[Part Name],$A1089,T_PlannedOrders[WeekIndex],37)&amp;" ("&amp;TEXT(SUMPRODUCT(MAX((T_PlannedOrders[Part Name]=$A1089)*(T_PlannedOrders[WeekIndex]=37)*(T_PlannedOrders[EffectiveQty]&gt;0)*T_PlannedOrders[Order_Month])),"m月")&amp;"発注)")</f>
        <v/>
      </c>
      <c r="AO1095">
        <f>IF(SUMIFS(T_PlannedOrders[EffectiveQty],T_PlannedOrders[Part Name],$A1089,T_PlannedOrders[WeekIndex],38)=0,"",SUMIFS(T_PlannedOrders[EffectiveQty],T_PlannedOrders[Part Name],$A1089,T_PlannedOrders[WeekIndex],38)&amp;" ("&amp;TEXT(SUMPRODUCT(MAX((T_PlannedOrders[Part Name]=$A1089)*(T_PlannedOrders[WeekIndex]=38)*(T_PlannedOrders[EffectiveQty]&gt;0)*T_PlannedOrders[Order_Month])),"m月")&amp;"発注)")</f>
        <v/>
      </c>
      <c r="AP1095">
        <f>IF(SUMIFS(T_PlannedOrders[EffectiveQty],T_PlannedOrders[Part Name],$A1089,T_PlannedOrders[WeekIndex],39)=0,"",SUMIFS(T_PlannedOrders[EffectiveQty],T_PlannedOrders[Part Name],$A1089,T_PlannedOrders[WeekIndex],39)&amp;" ("&amp;TEXT(SUMPRODUCT(MAX((T_PlannedOrders[Part Name]=$A1089)*(T_PlannedOrders[WeekIndex]=39)*(T_PlannedOrders[EffectiveQty]&gt;0)*T_PlannedOrders[Order_Month])),"m月")&amp;"発注)")</f>
        <v/>
      </c>
      <c r="AQ1095">
        <f>IF(SUMIFS(T_PlannedOrders[EffectiveQty],T_PlannedOrders[Part Name],$A1089,T_PlannedOrders[WeekIndex],40)=0,"",SUMIFS(T_PlannedOrders[EffectiveQty],T_PlannedOrders[Part Name],$A1089,T_PlannedOrders[WeekIndex],40)&amp;" ("&amp;TEXT(SUMPRODUCT(MAX((T_PlannedOrders[Part Name]=$A1089)*(T_PlannedOrders[WeekIndex]=40)*(T_PlannedOrders[EffectiveQty]&gt;0)*T_PlannedOrders[Order_Month])),"m月")&amp;"発注)")</f>
        <v/>
      </c>
      <c r="AR1095">
        <f>IF(SUMIFS(T_PlannedOrders[EffectiveQty],T_PlannedOrders[Part Name],$A1089,T_PlannedOrders[WeekIndex],41)=0,"",SUMIFS(T_PlannedOrders[EffectiveQty],T_PlannedOrders[Part Name],$A1089,T_PlannedOrders[WeekIndex],41)&amp;" ("&amp;TEXT(SUMPRODUCT(MAX((T_PlannedOrders[Part Name]=$A1089)*(T_PlannedOrders[WeekIndex]=41)*(T_PlannedOrders[EffectiveQty]&gt;0)*T_PlannedOrders[Order_Month])),"m月")&amp;"発注)")</f>
        <v/>
      </c>
      <c r="AS1095">
        <f>IF(SUMIFS(T_PlannedOrders[EffectiveQty],T_PlannedOrders[Part Name],$A1089,T_PlannedOrders[WeekIndex],42)=0,"",SUMIFS(T_PlannedOrders[EffectiveQty],T_PlannedOrders[Part Name],$A1089,T_PlannedOrders[WeekIndex],42)&amp;" ("&amp;TEXT(SUMPRODUCT(MAX((T_PlannedOrders[Part Name]=$A1089)*(T_PlannedOrders[WeekIndex]=42)*(T_PlannedOrders[EffectiveQty]&gt;0)*T_PlannedOrders[Order_Month])),"m月")&amp;"発注)")</f>
        <v/>
      </c>
      <c r="AT1095">
        <f>IF(SUMIFS(T_PlannedOrders[EffectiveQty],T_PlannedOrders[Part Name],$A1089,T_PlannedOrders[WeekIndex],43)=0,"",SUMIFS(T_PlannedOrders[EffectiveQty],T_PlannedOrders[Part Name],$A1089,T_PlannedOrders[WeekIndex],43)&amp;" ("&amp;TEXT(SUMPRODUCT(MAX((T_PlannedOrders[Part Name]=$A1089)*(T_PlannedOrders[WeekIndex]=43)*(T_PlannedOrders[EffectiveQty]&gt;0)*T_PlannedOrders[Order_Month])),"m月")&amp;"発注)")</f>
        <v/>
      </c>
      <c r="AU1095">
        <f>IF(SUMIFS(T_PlannedOrders[EffectiveQty],T_PlannedOrders[Part Name],$A1089,T_PlannedOrders[WeekIndex],44)=0,"",SUMIFS(T_PlannedOrders[EffectiveQty],T_PlannedOrders[Part Name],$A1089,T_PlannedOrders[WeekIndex],44)&amp;" ("&amp;TEXT(SUMPRODUCT(MAX((T_PlannedOrders[Part Name]=$A1089)*(T_PlannedOrders[WeekIndex]=44)*(T_PlannedOrders[EffectiveQty]&gt;0)*T_PlannedOrders[Order_Month])),"m月")&amp;"発注)")</f>
        <v/>
      </c>
      <c r="AV1095">
        <f>IF(SUMIFS(T_PlannedOrders[EffectiveQty],T_PlannedOrders[Part Name],$A1089,T_PlannedOrders[WeekIndex],45)=0,"",SUMIFS(T_PlannedOrders[EffectiveQty],T_PlannedOrders[Part Name],$A1089,T_PlannedOrders[WeekIndex],45)&amp;" ("&amp;TEXT(SUMPRODUCT(MAX((T_PlannedOrders[Part Name]=$A1089)*(T_PlannedOrders[WeekIndex]=45)*(T_PlannedOrders[EffectiveQty]&gt;0)*T_PlannedOrders[Order_Month])),"m月")&amp;"発注)")</f>
        <v/>
      </c>
      <c r="AW1095">
        <f>IF(SUMIFS(T_PlannedOrders[EffectiveQty],T_PlannedOrders[Part Name],$A1089,T_PlannedOrders[WeekIndex],46)=0,"",SUMIFS(T_PlannedOrders[EffectiveQty],T_PlannedOrders[Part Name],$A1089,T_PlannedOrders[WeekIndex],46)&amp;" ("&amp;TEXT(SUMPRODUCT(MAX((T_PlannedOrders[Part Name]=$A1089)*(T_PlannedOrders[WeekIndex]=46)*(T_PlannedOrders[EffectiveQty]&gt;0)*T_PlannedOrders[Order_Month])),"m月")&amp;"発注)")</f>
        <v/>
      </c>
      <c r="AX1095">
        <f>IF(SUMIFS(T_PlannedOrders[EffectiveQty],T_PlannedOrders[Part Name],$A1089,T_PlannedOrders[WeekIndex],47)=0,"",SUMIFS(T_PlannedOrders[EffectiveQty],T_PlannedOrders[Part Name],$A1089,T_PlannedOrders[WeekIndex],47)&amp;" ("&amp;TEXT(SUMPRODUCT(MAX((T_PlannedOrders[Part Name]=$A1089)*(T_PlannedOrders[WeekIndex]=47)*(T_PlannedOrders[EffectiveQty]&gt;0)*T_PlannedOrders[Order_Month])),"m月")&amp;"発注)")</f>
        <v/>
      </c>
      <c r="AY1095">
        <f>IF(SUMIFS(T_PlannedOrders[EffectiveQty],T_PlannedOrders[Part Name],$A1089,T_PlannedOrders[WeekIndex],48)=0,"",SUMIFS(T_PlannedOrders[EffectiveQty],T_PlannedOrders[Part Name],$A1089,T_PlannedOrders[WeekIndex],48)&amp;" ("&amp;TEXT(SUMPRODUCT(MAX((T_PlannedOrders[Part Name]=$A1089)*(T_PlannedOrders[WeekIndex]=48)*(T_PlannedOrders[EffectiveQty]&gt;0)*T_PlannedOrders[Order_Month])),"m月")&amp;"発注)")</f>
        <v/>
      </c>
      <c r="AZ1095">
        <f>IF(SUMIFS(T_PlannedOrders[EffectiveQty],T_PlannedOrders[Part Name],$A1089,T_PlannedOrders[WeekIndex],49)=0,"",SUMIFS(T_PlannedOrders[EffectiveQty],T_PlannedOrders[Part Name],$A1089,T_PlannedOrders[WeekIndex],49)&amp;" ("&amp;TEXT(SUMPRODUCT(MAX((T_PlannedOrders[Part Name]=$A1089)*(T_PlannedOrders[WeekIndex]=49)*(T_PlannedOrders[EffectiveQty]&gt;0)*T_PlannedOrders[Order_Month])),"m月")&amp;"発注)")</f>
        <v/>
      </c>
      <c r="BA1095">
        <f>IF(SUMIFS(T_PlannedOrders[EffectiveQty],T_PlannedOrders[Part Name],$A1089,T_PlannedOrders[WeekIndex],50)=0,"",SUMIFS(T_PlannedOrders[EffectiveQty],T_PlannedOrders[Part Name],$A1089,T_PlannedOrders[WeekIndex],50)&amp;" ("&amp;TEXT(SUMPRODUCT(MAX((T_PlannedOrders[Part Name]=$A1089)*(T_PlannedOrders[WeekIndex]=50)*(T_PlannedOrders[EffectiveQty]&gt;0)*T_PlannedOrders[Order_Month])),"m月")&amp;"発注)")</f>
        <v/>
      </c>
      <c r="BB1095">
        <f>IF(SUMIFS(T_PlannedOrders[EffectiveQty],T_PlannedOrders[Part Name],$A1089,T_PlannedOrders[WeekIndex],51)=0,"",SUMIFS(T_PlannedOrders[EffectiveQty],T_PlannedOrders[Part Name],$A1089,T_PlannedOrders[WeekIndex],51)&amp;" ("&amp;TEXT(SUMPRODUCT(MAX((T_PlannedOrders[Part Name]=$A1089)*(T_PlannedOrders[WeekIndex]=51)*(T_PlannedOrders[EffectiveQty]&gt;0)*T_PlannedOrders[Order_Month])),"m月")&amp;"発注)")</f>
        <v/>
      </c>
      <c r="BC1095">
        <f>IF(SUMIFS(T_PlannedOrders[EffectiveQty],T_PlannedOrders[Part Name],$A1089,T_PlannedOrders[WeekIndex],52)=0,"",SUMIFS(T_PlannedOrders[EffectiveQty],T_PlannedOrders[Part Name],$A1089,T_PlannedOrders[WeekIndex],52)&amp;" ("&amp;TEXT(SUMPRODUCT(MAX((T_PlannedOrders[Part Name]=$A1089)*(T_PlannedOrders[WeekIndex]=52)*(T_PlannedOrders[EffectiveQty]&gt;0)*T_PlannedOrders[Order_Month])),"m月")&amp;"発注)")</f>
        <v/>
      </c>
      <c r="BD1095">
        <f>IF(SUMIFS(T_PlannedOrders[EffectiveQty],T_PlannedOrders[Part Name],$A1089,T_PlannedOrders[WeekIndex],53)=0,"",SUMIFS(T_PlannedOrders[EffectiveQty],T_PlannedOrders[Part Name],$A1089,T_PlannedOrders[WeekIndex],53)&amp;" ("&amp;TEXT(SUMPRODUCT(MAX((T_PlannedOrders[Part Name]=$A1089)*(T_PlannedOrders[WeekIndex]=53)*(T_PlannedOrders[EffectiveQty]&gt;0)*T_PlannedOrders[Order_Month])),"m月")&amp;"発注)")</f>
        <v/>
      </c>
      <c r="BE1095">
        <f>IF(SUMIFS(T_PlannedOrders[EffectiveQty],T_PlannedOrders[Part Name],$A1089,T_PlannedOrders[WeekIndex],54)=0,"",SUMIFS(T_PlannedOrders[EffectiveQty],T_PlannedOrders[Part Name],$A1089,T_PlannedOrders[WeekIndex],54)&amp;" ("&amp;TEXT(SUMPRODUCT(MAX((T_PlannedOrders[Part Name]=$A1089)*(T_PlannedOrders[WeekIndex]=54)*(T_PlannedOrders[EffectiveQty]&gt;0)*T_PlannedOrders[Order_Month])),"m月")&amp;"発注)")</f>
        <v/>
      </c>
      <c r="BF1095">
        <f>IF(SUMIFS(T_PlannedOrders[EffectiveQty],T_PlannedOrders[Part Name],$A1089,T_PlannedOrders[WeekIndex],55)=0,"",SUMIFS(T_PlannedOrders[EffectiveQty],T_PlannedOrders[Part Name],$A1089,T_PlannedOrders[WeekIndex],55)&amp;" ("&amp;TEXT(SUMPRODUCT(MAX((T_PlannedOrders[Part Name]=$A1089)*(T_PlannedOrders[WeekIndex]=55)*(T_PlannedOrders[EffectiveQty]&gt;0)*T_PlannedOrders[Order_Month])),"m月")&amp;"発注)")</f>
        <v/>
      </c>
      <c r="BG1095">
        <f>IF(SUMIFS(T_PlannedOrders[EffectiveQty],T_PlannedOrders[Part Name],$A1089,T_PlannedOrders[WeekIndex],56)=0,"",SUMIFS(T_PlannedOrders[EffectiveQty],T_PlannedOrders[Part Name],$A1089,T_PlannedOrders[WeekIndex],56)&amp;" ("&amp;TEXT(SUMPRODUCT(MAX((T_PlannedOrders[Part Name]=$A1089)*(T_PlannedOrders[WeekIndex]=56)*(T_PlannedOrders[EffectiveQty]&gt;0)*T_PlannedOrders[Order_Month])),"m月")&amp;"発注)")</f>
        <v/>
      </c>
      <c r="BH1095">
        <f>IF(SUMIFS(T_PlannedOrders[EffectiveQty],T_PlannedOrders[Part Name],$A1089,T_PlannedOrders[WeekIndex],57)=0,"",SUMIFS(T_PlannedOrders[EffectiveQty],T_PlannedOrders[Part Name],$A1089,T_PlannedOrders[WeekIndex],57)&amp;" ("&amp;TEXT(SUMPRODUCT(MAX((T_PlannedOrders[Part Name]=$A1089)*(T_PlannedOrders[WeekIndex]=57)*(T_PlannedOrders[EffectiveQty]&gt;0)*T_PlannedOrders[Order_Month])),"m月")&amp;"発注)")</f>
        <v/>
      </c>
      <c r="BI1095">
        <f>IF(SUMIFS(T_PlannedOrders[EffectiveQty],T_PlannedOrders[Part Name],$A1089,T_PlannedOrders[WeekIndex],58)=0,"",SUMIFS(T_PlannedOrders[EffectiveQty],T_PlannedOrders[Part Name],$A1089,T_PlannedOrders[WeekIndex],58)&amp;" ("&amp;TEXT(SUMPRODUCT(MAX((T_PlannedOrders[Part Name]=$A1089)*(T_PlannedOrders[WeekIndex]=58)*(T_PlannedOrders[EffectiveQty]&gt;0)*T_PlannedOrders[Order_Month])),"m月")&amp;"発注)")</f>
        <v/>
      </c>
      <c r="BJ1095">
        <f>IF(SUMIFS(T_PlannedOrders[EffectiveQty],T_PlannedOrders[Part Name],$A1089,T_PlannedOrders[WeekIndex],59)=0,"",SUMIFS(T_PlannedOrders[EffectiveQty],T_PlannedOrders[Part Name],$A1089,T_PlannedOrders[WeekIndex],59)&amp;" ("&amp;TEXT(SUMPRODUCT(MAX((T_PlannedOrders[Part Name]=$A1089)*(T_PlannedOrders[WeekIndex]=59)*(T_PlannedOrders[EffectiveQty]&gt;0)*T_PlannedOrders[Order_Month])),"m月")&amp;"発注)")</f>
        <v/>
      </c>
      <c r="BK1095">
        <f>IF(SUMIFS(T_PlannedOrders[EffectiveQty],T_PlannedOrders[Part Name],$A1089,T_PlannedOrders[WeekIndex],60)=0,"",SUMIFS(T_PlannedOrders[EffectiveQty],T_PlannedOrders[Part Name],$A1089,T_PlannedOrders[WeekIndex],60)&amp;" ("&amp;TEXT(SUMPRODUCT(MAX((T_PlannedOrders[Part Name]=$A1089)*(T_PlannedOrders[WeekIndex]=60)*(T_PlannedOrders[EffectiveQty]&gt;0)*T_PlannedOrders[Order_Month])),"m月")&amp;"発注)")</f>
        <v/>
      </c>
      <c r="BL1095">
        <f>IF(SUMIFS(T_PlannedOrders[EffectiveQty],T_PlannedOrders[Part Name],$A1089,T_PlannedOrders[WeekIndex],61)=0,"",SUMIFS(T_PlannedOrders[EffectiveQty],T_PlannedOrders[Part Name],$A1089,T_PlannedOrders[WeekIndex],61)&amp;" ("&amp;TEXT(SUMPRODUCT(MAX((T_PlannedOrders[Part Name]=$A1089)*(T_PlannedOrders[WeekIndex]=61)*(T_PlannedOrders[EffectiveQty]&gt;0)*T_PlannedOrders[Order_Month])),"m月")&amp;"発注)")</f>
        <v/>
      </c>
      <c r="BM1095">
        <f>IF(SUMIFS(T_PlannedOrders[EffectiveQty],T_PlannedOrders[Part Name],$A1089,T_PlannedOrders[WeekIndex],62)=0,"",SUMIFS(T_PlannedOrders[EffectiveQty],T_PlannedOrders[Part Name],$A1089,T_PlannedOrders[WeekIndex],62)&amp;" ("&amp;TEXT(SUMPRODUCT(MAX((T_PlannedOrders[Part Name]=$A1089)*(T_PlannedOrders[WeekIndex]=62)*(T_PlannedOrders[EffectiveQty]&gt;0)*T_PlannedOrders[Order_Month])),"m月")&amp;"発注)")</f>
        <v/>
      </c>
      <c r="BN1095">
        <f>IF(SUMIFS(T_PlannedOrders[EffectiveQty],T_PlannedOrders[Part Name],$A1089,T_PlannedOrders[WeekIndex],63)=0,"",SUMIFS(T_PlannedOrders[EffectiveQty],T_PlannedOrders[Part Name],$A1089,T_PlannedOrders[WeekIndex],63)&amp;" ("&amp;TEXT(SUMPRODUCT(MAX((T_PlannedOrders[Part Name]=$A1089)*(T_PlannedOrders[WeekIndex]=63)*(T_PlannedOrders[EffectiveQty]&gt;0)*T_PlannedOrders[Order_Month])),"m月")&amp;"発注)")</f>
        <v/>
      </c>
      <c r="BO1095">
        <f>IF(SUMIFS(T_PlannedOrders[EffectiveQty],T_PlannedOrders[Part Name],$A1089,T_PlannedOrders[WeekIndex],64)=0,"",SUMIFS(T_PlannedOrders[EffectiveQty],T_PlannedOrders[Part Name],$A1089,T_PlannedOrders[WeekIndex],64)&amp;" ("&amp;TEXT(SUMPRODUCT(MAX((T_PlannedOrders[Part Name]=$A1089)*(T_PlannedOrders[WeekIndex]=64)*(T_PlannedOrders[EffectiveQty]&gt;0)*T_PlannedOrders[Order_Month])),"m月")&amp;"発注)")</f>
        <v/>
      </c>
      <c r="BP1095">
        <f>IF(SUMIFS(T_PlannedOrders[EffectiveQty],T_PlannedOrders[Part Name],$A1089,T_PlannedOrders[WeekIndex],65)=0,"",SUMIFS(T_PlannedOrders[EffectiveQty],T_PlannedOrders[Part Name],$A1089,T_PlannedOrders[WeekIndex],65)&amp;" ("&amp;TEXT(SUMPRODUCT(MAX((T_PlannedOrders[Part Name]=$A1089)*(T_PlannedOrders[WeekIndex]=65)*(T_PlannedOrders[EffectiveQty]&gt;0)*T_PlannedOrders[Order_Month])),"m月")&amp;"発注)")</f>
        <v/>
      </c>
      <c r="BQ1095">
        <f>IF(SUMIFS(T_PlannedOrders[EffectiveQty],T_PlannedOrders[Part Name],$A1089,T_PlannedOrders[WeekIndex],66)=0,"",SUMIFS(T_PlannedOrders[EffectiveQty],T_PlannedOrders[Part Name],$A1089,T_PlannedOrders[WeekIndex],66)&amp;" ("&amp;TEXT(SUMPRODUCT(MAX((T_PlannedOrders[Part Name]=$A1089)*(T_PlannedOrders[WeekIndex]=66)*(T_PlannedOrders[EffectiveQty]&gt;0)*T_PlannedOrders[Order_Month])),"m月")&amp;"発注)")</f>
        <v/>
      </c>
      <c r="BR1095">
        <f>IF(SUMIFS(T_PlannedOrders[EffectiveQty],T_PlannedOrders[Part Name],$A1089,T_PlannedOrders[WeekIndex],67)=0,"",SUMIFS(T_PlannedOrders[EffectiveQty],T_PlannedOrders[Part Name],$A1089,T_PlannedOrders[WeekIndex],67)&amp;" ("&amp;TEXT(SUMPRODUCT(MAX((T_PlannedOrders[Part Name]=$A1089)*(T_PlannedOrders[WeekIndex]=67)*(T_PlannedOrders[EffectiveQty]&gt;0)*T_PlannedOrders[Order_Month])),"m月")&amp;"発注)")</f>
        <v/>
      </c>
      <c r="BS1095">
        <f>IF(SUMIFS(T_PlannedOrders[EffectiveQty],T_PlannedOrders[Part Name],$A1089,T_PlannedOrders[WeekIndex],68)=0,"",SUMIFS(T_PlannedOrders[EffectiveQty],T_PlannedOrders[Part Name],$A1089,T_PlannedOrders[WeekIndex],68)&amp;" ("&amp;TEXT(SUMPRODUCT(MAX((T_PlannedOrders[Part Name]=$A1089)*(T_PlannedOrders[WeekIndex]=68)*(T_PlannedOrders[EffectiveQty]&gt;0)*T_PlannedOrders[Order_Month])),"m月")&amp;"発注)")</f>
        <v/>
      </c>
      <c r="BT1095">
        <f>IF(SUMIFS(T_PlannedOrders[EffectiveQty],T_PlannedOrders[Part Name],$A1089,T_PlannedOrders[WeekIndex],69)=0,"",SUMIFS(T_PlannedOrders[EffectiveQty],T_PlannedOrders[Part Name],$A1089,T_PlannedOrders[WeekIndex],69)&amp;" ("&amp;TEXT(SUMPRODUCT(MAX((T_PlannedOrders[Part Name]=$A1089)*(T_PlannedOrders[WeekIndex]=69)*(T_PlannedOrders[EffectiveQty]&gt;0)*T_PlannedOrders[Order_Month])),"m月")&amp;"発注)")</f>
        <v/>
      </c>
      <c r="BU1095">
        <f>IF(SUMIFS(T_PlannedOrders[EffectiveQty],T_PlannedOrders[Part Name],$A1089,T_PlannedOrders[WeekIndex],70)=0,"",SUMIFS(T_PlannedOrders[EffectiveQty],T_PlannedOrders[Part Name],$A1089,T_PlannedOrders[WeekIndex],70)&amp;" ("&amp;TEXT(SUMPRODUCT(MAX((T_PlannedOrders[Part Name]=$A1089)*(T_PlannedOrders[WeekIndex]=70)*(T_PlannedOrders[EffectiveQty]&gt;0)*T_PlannedOrders[Order_Month])),"m月")&amp;"発注)")</f>
        <v/>
      </c>
      <c r="BV1095">
        <f>IF(SUMIFS(T_PlannedOrders[EffectiveQty],T_PlannedOrders[Part Name],$A1089,T_PlannedOrders[WeekIndex],71)=0,"",SUMIFS(T_PlannedOrders[EffectiveQty],T_PlannedOrders[Part Name],$A1089,T_PlannedOrders[WeekIndex],71)&amp;" ("&amp;TEXT(SUMPRODUCT(MAX((T_PlannedOrders[Part Name]=$A1089)*(T_PlannedOrders[WeekIndex]=71)*(T_PlannedOrders[EffectiveQty]&gt;0)*T_PlannedOrders[Order_Month])),"m月")&amp;"発注)")</f>
        <v/>
      </c>
      <c r="BW1095">
        <f>IF(SUMIFS(T_PlannedOrders[EffectiveQty],T_PlannedOrders[Part Name],$A1089,T_PlannedOrders[WeekIndex],72)=0,"",SUMIFS(T_PlannedOrders[EffectiveQty],T_PlannedOrders[Part Name],$A1089,T_PlannedOrders[WeekIndex],72)&amp;" ("&amp;TEXT(SUMPRODUCT(MAX((T_PlannedOrders[Part Name]=$A1089)*(T_PlannedOrders[WeekIndex]=72)*(T_PlannedOrders[EffectiveQty]&gt;0)*T_PlannedOrders[Order_Month])),"m月")&amp;"発注)")</f>
        <v/>
      </c>
      <c r="BX1095">
        <f>IF(SUMIFS(T_PlannedOrders[EffectiveQty],T_PlannedOrders[Part Name],$A1089,T_PlannedOrders[WeekIndex],73)=0,"",SUMIFS(T_PlannedOrders[EffectiveQty],T_PlannedOrders[Part Name],$A1089,T_PlannedOrders[WeekIndex],73)&amp;" ("&amp;TEXT(SUMPRODUCT(MAX((T_PlannedOrders[Part Name]=$A1089)*(T_PlannedOrders[WeekIndex]=73)*(T_PlannedOrders[EffectiveQty]&gt;0)*T_PlannedOrders[Order_Month])),"m月")&amp;"発注)")</f>
        <v/>
      </c>
      <c r="BY1095">
        <f>IF(SUMIFS(T_PlannedOrders[EffectiveQty],T_PlannedOrders[Part Name],$A1089,T_PlannedOrders[WeekIndex],74)=0,"",SUMIFS(T_PlannedOrders[EffectiveQty],T_PlannedOrders[Part Name],$A1089,T_PlannedOrders[WeekIndex],74)&amp;" ("&amp;TEXT(SUMPRODUCT(MAX((T_PlannedOrders[Part Name]=$A1089)*(T_PlannedOrders[WeekIndex]=74)*(T_PlannedOrders[EffectiveQty]&gt;0)*T_PlannedOrders[Order_Month])),"m月")&amp;"発注)")</f>
        <v/>
      </c>
      <c r="BZ1095">
        <f>IF(SUMIFS(T_PlannedOrders[EffectiveQty],T_PlannedOrders[Part Name],$A1089,T_PlannedOrders[WeekIndex],75)=0,"",SUMIFS(T_PlannedOrders[EffectiveQty],T_PlannedOrders[Part Name],$A1089,T_PlannedOrders[WeekIndex],75)&amp;" ("&amp;TEXT(SUMPRODUCT(MAX((T_PlannedOrders[Part Name]=$A1089)*(T_PlannedOrders[WeekIndex]=75)*(T_PlannedOrders[EffectiveQty]&gt;0)*T_PlannedOrders[Order_Month])),"m月")&amp;"発注)")</f>
        <v/>
      </c>
      <c r="CA1095">
        <f>IF(SUMIFS(T_PlannedOrders[EffectiveQty],T_PlannedOrders[Part Name],$A1089,T_PlannedOrders[WeekIndex],76)=0,"",SUMIFS(T_PlannedOrders[EffectiveQty],T_PlannedOrders[Part Name],$A1089,T_PlannedOrders[WeekIndex],76)&amp;" ("&amp;TEXT(SUMPRODUCT(MAX((T_PlannedOrders[Part Name]=$A1089)*(T_PlannedOrders[WeekIndex]=76)*(T_PlannedOrders[EffectiveQty]&gt;0)*T_PlannedOrders[Order_Month])),"m月")&amp;"発注)")</f>
        <v/>
      </c>
      <c r="CB1095">
        <f>IF(SUMIFS(T_PlannedOrders[EffectiveQty],T_PlannedOrders[Part Name],$A1089,T_PlannedOrders[WeekIndex],77)=0,"",SUMIFS(T_PlannedOrders[EffectiveQty],T_PlannedOrders[Part Name],$A1089,T_PlannedOrders[WeekIndex],77)&amp;" ("&amp;TEXT(SUMPRODUCT(MAX((T_PlannedOrders[Part Name]=$A1089)*(T_PlannedOrders[WeekIndex]=77)*(T_PlannedOrders[EffectiveQty]&gt;0)*T_PlannedOrders[Order_Month])),"m月")&amp;"発注)")</f>
        <v/>
      </c>
      <c r="CC1095">
        <f>IF(SUMIFS(T_PlannedOrders[EffectiveQty],T_PlannedOrders[Part Name],$A1089,T_PlannedOrders[WeekIndex],78)=0,"",SUMIFS(T_PlannedOrders[EffectiveQty],T_PlannedOrders[Part Name],$A1089,T_PlannedOrders[WeekIndex],78)&amp;" ("&amp;TEXT(SUMPRODUCT(MAX((T_PlannedOrders[Part Name]=$A1089)*(T_PlannedOrders[WeekIndex]=78)*(T_PlannedOrders[EffectiveQty]&gt;0)*T_PlannedOrders[Order_Month])),"m月")&amp;"発注)")</f>
        <v/>
      </c>
      <c r="CD1095">
        <f>IF(SUMIFS(T_PlannedOrders[EffectiveQty],T_PlannedOrders[Part Name],$A1089,T_PlannedOrders[WeekIndex],79)=0,"",SUMIFS(T_PlannedOrders[EffectiveQty],T_PlannedOrders[Part Name],$A1089,T_PlannedOrders[WeekIndex],79)&amp;" ("&amp;TEXT(SUMPRODUCT(MAX((T_PlannedOrders[Part Name]=$A1089)*(T_PlannedOrders[WeekIndex]=79)*(T_PlannedOrders[EffectiveQty]&gt;0)*T_PlannedOrders[Order_Month])),"m月")&amp;"発注)")</f>
        <v/>
      </c>
      <c r="CE1095">
        <f>IF(SUMIFS(T_PlannedOrders[EffectiveQty],T_PlannedOrders[Part Name],$A1089,T_PlannedOrders[WeekIndex],80)=0,"",SUMIFS(T_PlannedOrders[EffectiveQty],T_PlannedOrders[Part Name],$A1089,T_PlannedOrders[WeekIndex],80)&amp;" ("&amp;TEXT(SUMPRODUCT(MAX((T_PlannedOrders[Part Name]=$A1089)*(T_PlannedOrders[WeekIndex]=80)*(T_PlannedOrders[EffectiveQty]&gt;0)*T_PlannedOrders[Order_Month])),"m月")&amp;"発注)")</f>
        <v/>
      </c>
      <c r="CF1095">
        <f>IF(SUMIFS(T_PlannedOrders[EffectiveQty],T_PlannedOrders[Part Name],$A1089,T_PlannedOrders[WeekIndex],81)=0,"",SUMIFS(T_PlannedOrders[EffectiveQty],T_PlannedOrders[Part Name],$A1089,T_PlannedOrders[WeekIndex],81)&amp;" ("&amp;TEXT(SUMPRODUCT(MAX((T_PlannedOrders[Part Name]=$A1089)*(T_PlannedOrders[WeekIndex]=81)*(T_PlannedOrders[EffectiveQty]&gt;0)*T_PlannedOrders[Order_Month])),"m月")&amp;"発注)")</f>
        <v/>
      </c>
      <c r="CG1095">
        <f>IF(SUMIFS(T_PlannedOrders[EffectiveQty],T_PlannedOrders[Part Name],$A1089,T_PlannedOrders[WeekIndex],82)=0,"",SUMIFS(T_PlannedOrders[EffectiveQty],T_PlannedOrders[Part Name],$A1089,T_PlannedOrders[WeekIndex],82)&amp;" ("&amp;TEXT(SUMPRODUCT(MAX((T_PlannedOrders[Part Name]=$A1089)*(T_PlannedOrders[WeekIndex]=82)*(T_PlannedOrders[EffectiveQty]&gt;0)*T_PlannedOrders[Order_Month])),"m月")&amp;"発注)")</f>
        <v/>
      </c>
      <c r="CH1095">
        <f>IF(SUMIFS(T_PlannedOrders[EffectiveQty],T_PlannedOrders[Part Name],$A1089,T_PlannedOrders[WeekIndex],83)=0,"",SUMIFS(T_PlannedOrders[EffectiveQty],T_PlannedOrders[Part Name],$A1089,T_PlannedOrders[WeekIndex],83)&amp;" ("&amp;TEXT(SUMPRODUCT(MAX((T_PlannedOrders[Part Name]=$A1089)*(T_PlannedOrders[WeekIndex]=83)*(T_PlannedOrders[EffectiveQty]&gt;0)*T_PlannedOrders[Order_Month])),"m月")&amp;"発注)")</f>
        <v/>
      </c>
      <c r="CI1095">
        <f>IF(SUMIFS(T_PlannedOrders[EffectiveQty],T_PlannedOrders[Part Name],$A1089,T_PlannedOrders[WeekIndex],84)=0,"",SUMIFS(T_PlannedOrders[EffectiveQty],T_PlannedOrders[Part Name],$A1089,T_PlannedOrders[WeekIndex],84)&amp;" ("&amp;TEXT(SUMPRODUCT(MAX((T_PlannedOrders[Part Name]=$A1089)*(T_PlannedOrders[WeekIndex]=84)*(T_PlannedOrders[EffectiveQty]&gt;0)*T_PlannedOrders[Order_Month])),"m月")&amp;"発注)")</f>
        <v/>
      </c>
      <c r="CJ1095">
        <f>IF(SUMIFS(T_PlannedOrders[EffectiveQty],T_PlannedOrders[Part Name],$A1089,T_PlannedOrders[WeekIndex],85)=0,"",SUMIFS(T_PlannedOrders[EffectiveQty],T_PlannedOrders[Part Name],$A1089,T_PlannedOrders[WeekIndex],85)&amp;" ("&amp;TEXT(SUMPRODUCT(MAX((T_PlannedOrders[Part Name]=$A1089)*(T_PlannedOrders[WeekIndex]=85)*(T_PlannedOrders[EffectiveQty]&gt;0)*T_PlannedOrders[Order_Month])),"m月")&amp;"発注)")</f>
        <v/>
      </c>
      <c r="CK1095">
        <f>IF(SUMIFS(T_PlannedOrders[EffectiveQty],T_PlannedOrders[Part Name],$A1089,T_PlannedOrders[WeekIndex],86)=0,"",SUMIFS(T_PlannedOrders[EffectiveQty],T_PlannedOrders[Part Name],$A1089,T_PlannedOrders[WeekIndex],86)&amp;" ("&amp;TEXT(SUMPRODUCT(MAX((T_PlannedOrders[Part Name]=$A1089)*(T_PlannedOrders[WeekIndex]=86)*(T_PlannedOrders[EffectiveQty]&gt;0)*T_PlannedOrders[Order_Month])),"m月")&amp;"発注)")</f>
        <v/>
      </c>
      <c r="CL1095">
        <f>IF(SUMIFS(T_PlannedOrders[EffectiveQty],T_PlannedOrders[Part Name],$A1089,T_PlannedOrders[WeekIndex],87)=0,"",SUMIFS(T_PlannedOrders[EffectiveQty],T_PlannedOrders[Part Name],$A1089,T_PlannedOrders[WeekIndex],87)&amp;" ("&amp;TEXT(SUMPRODUCT(MAX((T_PlannedOrders[Part Name]=$A1089)*(T_PlannedOrders[WeekIndex]=87)*(T_PlannedOrders[EffectiveQty]&gt;0)*T_PlannedOrders[Order_Month])),"m月")&amp;"発注)")</f>
        <v/>
      </c>
      <c r="CM1095">
        <f>IF(SUMIFS(T_PlannedOrders[EffectiveQty],T_PlannedOrders[Part Name],$A1089,T_PlannedOrders[WeekIndex],88)=0,"",SUMIFS(T_PlannedOrders[EffectiveQty],T_PlannedOrders[Part Name],$A1089,T_PlannedOrders[WeekIndex],88)&amp;" ("&amp;TEXT(SUMPRODUCT(MAX((T_PlannedOrders[Part Name]=$A1089)*(T_PlannedOrders[WeekIndex]=88)*(T_PlannedOrders[EffectiveQty]&gt;0)*T_PlannedOrders[Order_Month])),"m月")&amp;"発注)")</f>
        <v/>
      </c>
      <c r="CN1095">
        <f>IF(SUMIFS(T_PlannedOrders[EffectiveQty],T_PlannedOrders[Part Name],$A1089,T_PlannedOrders[WeekIndex],89)=0,"",SUMIFS(T_PlannedOrders[EffectiveQty],T_PlannedOrders[Part Name],$A1089,T_PlannedOrders[WeekIndex],89)&amp;" ("&amp;TEXT(SUMPRODUCT(MAX((T_PlannedOrders[Part Name]=$A1089)*(T_PlannedOrders[WeekIndex]=89)*(T_PlannedOrders[EffectiveQty]&gt;0)*T_PlannedOrders[Order_Month])),"m月")&amp;"発注)")</f>
        <v/>
      </c>
      <c r="CO1095">
        <f>IF(SUMIFS(T_PlannedOrders[EffectiveQty],T_PlannedOrders[Part Name],$A1089,T_PlannedOrders[WeekIndex],90)=0,"",SUMIFS(T_PlannedOrders[EffectiveQty],T_PlannedOrders[Part Name],$A1089,T_PlannedOrders[WeekIndex],90)&amp;" ("&amp;TEXT(SUMPRODUCT(MAX((T_PlannedOrders[Part Name]=$A1089)*(T_PlannedOrders[WeekIndex]=90)*(T_PlannedOrders[EffectiveQty]&gt;0)*T_PlannedOrders[Order_Month])),"m月")&amp;"発注)")</f>
        <v/>
      </c>
      <c r="CP1095">
        <f>IF(SUMIFS(T_PlannedOrders[EffectiveQty],T_PlannedOrders[Part Name],$A1089,T_PlannedOrders[WeekIndex],91)=0,"",SUMIFS(T_PlannedOrders[EffectiveQty],T_PlannedOrders[Part Name],$A1089,T_PlannedOrders[WeekIndex],91)&amp;" ("&amp;TEXT(SUMPRODUCT(MAX((T_PlannedOrders[Part Name]=$A1089)*(T_PlannedOrders[WeekIndex]=91)*(T_PlannedOrders[EffectiveQty]&gt;0)*T_PlannedOrders[Order_Month])),"m月")&amp;"発注)")</f>
        <v/>
      </c>
      <c r="CQ1095">
        <f>IF(SUMIFS(T_PlannedOrders[EffectiveQty],T_PlannedOrders[Part Name],$A1089,T_PlannedOrders[WeekIndex],92)=0,"",SUMIFS(T_PlannedOrders[EffectiveQty],T_PlannedOrders[Part Name],$A1089,T_PlannedOrders[WeekIndex],92)&amp;" ("&amp;TEXT(SUMPRODUCT(MAX((T_PlannedOrders[Part Name]=$A1089)*(T_PlannedOrders[WeekIndex]=92)*(T_PlannedOrders[EffectiveQty]&gt;0)*T_PlannedOrders[Order_Month])),"m月")&amp;"発注)")</f>
        <v/>
      </c>
      <c r="CR1095">
        <f>IF(SUMIFS(T_PlannedOrders[EffectiveQty],T_PlannedOrders[Part Name],$A1089,T_PlannedOrders[WeekIndex],93)=0,"",SUMIFS(T_PlannedOrders[EffectiveQty],T_PlannedOrders[Part Name],$A1089,T_PlannedOrders[WeekIndex],93)&amp;" ("&amp;TEXT(SUMPRODUCT(MAX((T_PlannedOrders[Part Name]=$A1089)*(T_PlannedOrders[WeekIndex]=93)*(T_PlannedOrders[EffectiveQty]&gt;0)*T_PlannedOrders[Order_Month])),"m月")&amp;"発注)")</f>
        <v/>
      </c>
      <c r="CS1095">
        <f>IF(SUMIFS(T_PlannedOrders[EffectiveQty],T_PlannedOrders[Part Name],$A1089,T_PlannedOrders[WeekIndex],94)=0,"",SUMIFS(T_PlannedOrders[EffectiveQty],T_PlannedOrders[Part Name],$A1089,T_PlannedOrders[WeekIndex],94)&amp;" ("&amp;TEXT(SUMPRODUCT(MAX((T_PlannedOrders[Part Name]=$A1089)*(T_PlannedOrders[WeekIndex]=94)*(T_PlannedOrders[EffectiveQty]&gt;0)*T_PlannedOrders[Order_Month])),"m月")&amp;"発注)")</f>
        <v/>
      </c>
      <c r="CT1095">
        <f>IF(SUMIFS(T_PlannedOrders[EffectiveQty],T_PlannedOrders[Part Name],$A1089,T_PlannedOrders[WeekIndex],95)=0,"",SUMIFS(T_PlannedOrders[EffectiveQty],T_PlannedOrders[Part Name],$A1089,T_PlannedOrders[WeekIndex],95)&amp;" ("&amp;TEXT(SUMPRODUCT(MAX((T_PlannedOrders[Part Name]=$A1089)*(T_PlannedOrders[WeekIndex]=95)*(T_PlannedOrders[EffectiveQty]&gt;0)*T_PlannedOrders[Order_Month])),"m月")&amp;"発注)")</f>
        <v/>
      </c>
      <c r="CU1095">
        <f>IF(SUMIFS(T_PlannedOrders[EffectiveQty],T_PlannedOrders[Part Name],$A1089,T_PlannedOrders[WeekIndex],96)=0,"",SUMIFS(T_PlannedOrders[EffectiveQty],T_PlannedOrders[Part Name],$A1089,T_PlannedOrders[WeekIndex],96)&amp;" ("&amp;TEXT(SUMPRODUCT(MAX((T_PlannedOrders[Part Name]=$A1089)*(T_PlannedOrders[WeekIndex]=96)*(T_PlannedOrders[EffectiveQty]&gt;0)*T_PlannedOrders[Order_Month])),"m月")&amp;"発注)")</f>
        <v/>
      </c>
      <c r="CV1095">
        <f>IF(SUMIFS(T_PlannedOrders[EffectiveQty],T_PlannedOrders[Part Name],$A1089,T_PlannedOrders[WeekIndex],97)=0,"",SUMIFS(T_PlannedOrders[EffectiveQty],T_PlannedOrders[Part Name],$A1089,T_PlannedOrders[WeekIndex],97)&amp;" ("&amp;TEXT(SUMPRODUCT(MAX((T_PlannedOrders[Part Name]=$A1089)*(T_PlannedOrders[WeekIndex]=97)*(T_PlannedOrders[EffectiveQty]&gt;0)*T_PlannedOrders[Order_Month])),"m月")&amp;"発注)")</f>
        <v/>
      </c>
      <c r="CW1095">
        <f>IF(SUMIFS(T_PlannedOrders[EffectiveQty],T_PlannedOrders[Part Name],$A1089,T_PlannedOrders[WeekIndex],98)=0,"",SUMIFS(T_PlannedOrders[EffectiveQty],T_PlannedOrders[Part Name],$A1089,T_PlannedOrders[WeekIndex],98)&amp;" ("&amp;TEXT(SUMPRODUCT(MAX((T_PlannedOrders[Part Name]=$A1089)*(T_PlannedOrders[WeekIndex]=98)*(T_PlannedOrders[EffectiveQty]&gt;0)*T_PlannedOrders[Order_Month])),"m月")&amp;"発注)")</f>
        <v/>
      </c>
      <c r="CX1095">
        <f>IF(SUMIFS(T_PlannedOrders[EffectiveQty],T_PlannedOrders[Part Name],$A1089,T_PlannedOrders[WeekIndex],99)=0,"",SUMIFS(T_PlannedOrders[EffectiveQty],T_PlannedOrders[Part Name],$A1089,T_PlannedOrders[WeekIndex],99)&amp;" ("&amp;TEXT(SUMPRODUCT(MAX((T_PlannedOrders[Part Name]=$A1089)*(T_PlannedOrders[WeekIndex]=99)*(T_PlannedOrders[EffectiveQty]&gt;0)*T_PlannedOrders[Order_Month])),"m月")&amp;"発注)")</f>
        <v/>
      </c>
      <c r="CY1095">
        <f>IF(SUMIFS(T_PlannedOrders[EffectiveQty],T_PlannedOrders[Part Name],$A1089,T_PlannedOrders[WeekIndex],100)=0,"",SUMIFS(T_PlannedOrders[EffectiveQty],T_PlannedOrders[Part Name],$A1089,T_PlannedOrders[WeekIndex],100)&amp;" ("&amp;TEXT(SUMPRODUCT(MAX((T_PlannedOrders[Part Name]=$A1089)*(T_PlannedOrders[WeekIndex]=100)*(T_PlannedOrders[EffectiveQty]&gt;0)*T_PlannedOrders[Order_Month])),"m月")&amp;"発注)")</f>
        <v/>
      </c>
      <c r="CZ1095">
        <f>IF(SUMIFS(T_PlannedOrders[EffectiveQty],T_PlannedOrders[Part Name],$A1089,T_PlannedOrders[WeekIndex],101)=0,"",SUMIFS(T_PlannedOrders[EffectiveQty],T_PlannedOrders[Part Name],$A1089,T_PlannedOrders[WeekIndex],101)&amp;" ("&amp;TEXT(SUMPRODUCT(MAX((T_PlannedOrders[Part Name]=$A1089)*(T_PlannedOrders[WeekIndex]=101)*(T_PlannedOrders[EffectiveQty]&gt;0)*T_PlannedOrders[Order_Month])),"m月")&amp;"発注)")</f>
        <v/>
      </c>
      <c r="DA1095">
        <f>IF(SUMIFS(T_PlannedOrders[EffectiveQty],T_PlannedOrders[Part Name],$A1089,T_PlannedOrders[WeekIndex],102)=0,"",SUMIFS(T_PlannedOrders[EffectiveQty],T_PlannedOrders[Part Name],$A1089,T_PlannedOrders[WeekIndex],102)&amp;" ("&amp;TEXT(SUMPRODUCT(MAX((T_PlannedOrders[Part Name]=$A1089)*(T_PlannedOrders[WeekIndex]=102)*(T_PlannedOrders[EffectiveQty]&gt;0)*T_PlannedOrders[Order_Month])),"m月")&amp;"発注)")</f>
        <v/>
      </c>
      <c r="DB1095">
        <f>IF(SUMIFS(T_PlannedOrders[EffectiveQty],T_PlannedOrders[Part Name],$A1089,T_PlannedOrders[WeekIndex],103)=0,"",SUMIFS(T_PlannedOrders[EffectiveQty],T_PlannedOrders[Part Name],$A1089,T_PlannedOrders[WeekIndex],103)&amp;" ("&amp;TEXT(SUMPRODUCT(MAX((T_PlannedOrders[Part Name]=$A1089)*(T_PlannedOrders[WeekIndex]=103)*(T_PlannedOrders[EffectiveQty]&gt;0)*T_PlannedOrders[Order_Month])),"m月")&amp;"発注)")</f>
        <v/>
      </c>
      <c r="DC1095">
        <f>IF(SUMIFS(T_PlannedOrders[EffectiveQty],T_PlannedOrders[Part Name],$A1089,T_PlannedOrders[WeekIndex],104)=0,"",SUMIFS(T_PlannedOrders[EffectiveQty],T_PlannedOrders[Part Name],$A1089,T_PlannedOrders[WeekIndex],104)&amp;" ("&amp;TEXT(SUMPRODUCT(MAX((T_PlannedOrders[Part Name]=$A1089)*(T_PlannedOrders[WeekIndex]=104)*(T_PlannedOrders[EffectiveQty]&gt;0)*T_PlannedOrders[Order_Month])),"m月")&amp;"発注)")</f>
        <v/>
      </c>
    </row>
    <row r="1096">
      <c r="B1096" s="4" t="inlineStr">
        <is>
          <t>合計在庫(週末時点,kg)</t>
        </is>
      </c>
      <c r="D1096">
        <f>'Grid_Stock'!B39</f>
        <v/>
      </c>
      <c r="E1096">
        <f>'Grid_Stock'!C39</f>
        <v/>
      </c>
      <c r="F1096">
        <f>'Grid_Stock'!D39</f>
        <v/>
      </c>
      <c r="G1096">
        <f>'Grid_Stock'!E39</f>
        <v/>
      </c>
      <c r="H1096">
        <f>'Grid_Stock'!F39</f>
        <v/>
      </c>
      <c r="I1096">
        <f>'Grid_Stock'!G39</f>
        <v/>
      </c>
      <c r="J1096">
        <f>'Grid_Stock'!H39</f>
        <v/>
      </c>
      <c r="K1096">
        <f>'Grid_Stock'!I39</f>
        <v/>
      </c>
      <c r="L1096">
        <f>'Grid_Stock'!J39</f>
        <v/>
      </c>
      <c r="M1096">
        <f>'Grid_Stock'!K39</f>
        <v/>
      </c>
      <c r="N1096">
        <f>'Grid_Stock'!L39</f>
        <v/>
      </c>
      <c r="O1096">
        <f>'Grid_Stock'!M39</f>
        <v/>
      </c>
      <c r="P1096">
        <f>'Grid_Stock'!N39</f>
        <v/>
      </c>
      <c r="Q1096">
        <f>'Grid_Stock'!O39</f>
        <v/>
      </c>
      <c r="R1096">
        <f>'Grid_Stock'!P39</f>
        <v/>
      </c>
      <c r="S1096">
        <f>'Grid_Stock'!Q39</f>
        <v/>
      </c>
      <c r="T1096">
        <f>'Grid_Stock'!R39</f>
        <v/>
      </c>
      <c r="U1096">
        <f>'Grid_Stock'!S39</f>
        <v/>
      </c>
      <c r="V1096">
        <f>'Grid_Stock'!T39</f>
        <v/>
      </c>
      <c r="W1096">
        <f>'Grid_Stock'!U39</f>
        <v/>
      </c>
      <c r="X1096">
        <f>'Grid_Stock'!V39</f>
        <v/>
      </c>
      <c r="Y1096">
        <f>'Grid_Stock'!W39</f>
        <v/>
      </c>
      <c r="Z1096">
        <f>'Grid_Stock'!X39</f>
        <v/>
      </c>
      <c r="AA1096">
        <f>'Grid_Stock'!Y39</f>
        <v/>
      </c>
      <c r="AB1096">
        <f>'Grid_Stock'!Z39</f>
        <v/>
      </c>
      <c r="AC1096">
        <f>'Grid_Stock'!AA39</f>
        <v/>
      </c>
      <c r="AD1096">
        <f>'Grid_Stock'!AB39</f>
        <v/>
      </c>
      <c r="AE1096">
        <f>'Grid_Stock'!AC39</f>
        <v/>
      </c>
      <c r="AF1096">
        <f>'Grid_Stock'!AD39</f>
        <v/>
      </c>
      <c r="AG1096">
        <f>'Grid_Stock'!AE39</f>
        <v/>
      </c>
      <c r="AH1096">
        <f>'Grid_Stock'!AF39</f>
        <v/>
      </c>
      <c r="AI1096">
        <f>'Grid_Stock'!AG39</f>
        <v/>
      </c>
      <c r="AJ1096">
        <f>'Grid_Stock'!AH39</f>
        <v/>
      </c>
      <c r="AK1096">
        <f>'Grid_Stock'!AI39</f>
        <v/>
      </c>
      <c r="AL1096">
        <f>'Grid_Stock'!AJ39</f>
        <v/>
      </c>
      <c r="AM1096">
        <f>'Grid_Stock'!AK39</f>
        <v/>
      </c>
      <c r="AN1096">
        <f>'Grid_Stock'!AL39</f>
        <v/>
      </c>
      <c r="AO1096">
        <f>'Grid_Stock'!AM39</f>
        <v/>
      </c>
      <c r="AP1096">
        <f>'Grid_Stock'!AN39</f>
        <v/>
      </c>
      <c r="AQ1096">
        <f>'Grid_Stock'!AO39</f>
        <v/>
      </c>
      <c r="AR1096">
        <f>'Grid_Stock'!AP39</f>
        <v/>
      </c>
      <c r="AS1096">
        <f>'Grid_Stock'!AQ39</f>
        <v/>
      </c>
      <c r="AT1096">
        <f>'Grid_Stock'!AR39</f>
        <v/>
      </c>
      <c r="AU1096">
        <f>'Grid_Stock'!AS39</f>
        <v/>
      </c>
      <c r="AV1096">
        <f>'Grid_Stock'!AT39</f>
        <v/>
      </c>
      <c r="AW1096">
        <f>'Grid_Stock'!AU39</f>
        <v/>
      </c>
      <c r="AX1096">
        <f>'Grid_Stock'!AV39</f>
        <v/>
      </c>
      <c r="AY1096">
        <f>'Grid_Stock'!AW39</f>
        <v/>
      </c>
      <c r="AZ1096">
        <f>'Grid_Stock'!AX39</f>
        <v/>
      </c>
      <c r="BA1096">
        <f>'Grid_Stock'!AY39</f>
        <v/>
      </c>
      <c r="BB1096">
        <f>'Grid_Stock'!AZ39</f>
        <v/>
      </c>
      <c r="BC1096">
        <f>'Grid_Stock'!BA39</f>
        <v/>
      </c>
      <c r="BD1096">
        <f>'Grid_Stock'!BB39</f>
        <v/>
      </c>
      <c r="BE1096">
        <f>'Grid_Stock'!BC39</f>
        <v/>
      </c>
      <c r="BF1096">
        <f>'Grid_Stock'!BD39</f>
        <v/>
      </c>
      <c r="BG1096">
        <f>'Grid_Stock'!BE39</f>
        <v/>
      </c>
      <c r="BH1096">
        <f>'Grid_Stock'!BF39</f>
        <v/>
      </c>
      <c r="BI1096">
        <f>'Grid_Stock'!BG39</f>
        <v/>
      </c>
      <c r="BJ1096">
        <f>'Grid_Stock'!BH39</f>
        <v/>
      </c>
      <c r="BK1096">
        <f>'Grid_Stock'!BI39</f>
        <v/>
      </c>
      <c r="BL1096">
        <f>'Grid_Stock'!BJ39</f>
        <v/>
      </c>
      <c r="BM1096">
        <f>'Grid_Stock'!BK39</f>
        <v/>
      </c>
      <c r="BN1096">
        <f>'Grid_Stock'!BL39</f>
        <v/>
      </c>
      <c r="BO1096">
        <f>'Grid_Stock'!BM39</f>
        <v/>
      </c>
      <c r="BP1096">
        <f>'Grid_Stock'!BN39</f>
        <v/>
      </c>
      <c r="BQ1096">
        <f>'Grid_Stock'!BO39</f>
        <v/>
      </c>
      <c r="BR1096">
        <f>'Grid_Stock'!BP39</f>
        <v/>
      </c>
      <c r="BS1096">
        <f>'Grid_Stock'!BQ39</f>
        <v/>
      </c>
      <c r="BT1096">
        <f>'Grid_Stock'!BR39</f>
        <v/>
      </c>
      <c r="BU1096">
        <f>'Grid_Stock'!BS39</f>
        <v/>
      </c>
      <c r="BV1096">
        <f>'Grid_Stock'!BT39</f>
        <v/>
      </c>
      <c r="BW1096">
        <f>'Grid_Stock'!BU39</f>
        <v/>
      </c>
      <c r="BX1096">
        <f>'Grid_Stock'!BV39</f>
        <v/>
      </c>
      <c r="BY1096">
        <f>'Grid_Stock'!BW39</f>
        <v/>
      </c>
      <c r="BZ1096">
        <f>'Grid_Stock'!BX39</f>
        <v/>
      </c>
      <c r="CA1096">
        <f>'Grid_Stock'!BY39</f>
        <v/>
      </c>
      <c r="CB1096">
        <f>'Grid_Stock'!BZ39</f>
        <v/>
      </c>
      <c r="CC1096">
        <f>'Grid_Stock'!CA39</f>
        <v/>
      </c>
      <c r="CD1096">
        <f>'Grid_Stock'!CB39</f>
        <v/>
      </c>
      <c r="CE1096">
        <f>'Grid_Stock'!CC39</f>
        <v/>
      </c>
      <c r="CF1096">
        <f>'Grid_Stock'!CD39</f>
        <v/>
      </c>
      <c r="CG1096">
        <f>'Grid_Stock'!CE39</f>
        <v/>
      </c>
      <c r="CH1096">
        <f>'Grid_Stock'!CF39</f>
        <v/>
      </c>
      <c r="CI1096">
        <f>'Grid_Stock'!CG39</f>
        <v/>
      </c>
      <c r="CJ1096">
        <f>'Grid_Stock'!CH39</f>
        <v/>
      </c>
      <c r="CK1096">
        <f>'Grid_Stock'!CI39</f>
        <v/>
      </c>
      <c r="CL1096">
        <f>'Grid_Stock'!CJ39</f>
        <v/>
      </c>
      <c r="CM1096">
        <f>'Grid_Stock'!CK39</f>
        <v/>
      </c>
      <c r="CN1096">
        <f>'Grid_Stock'!CL39</f>
        <v/>
      </c>
      <c r="CO1096">
        <f>'Grid_Stock'!CM39</f>
        <v/>
      </c>
      <c r="CP1096">
        <f>'Grid_Stock'!CN39</f>
        <v/>
      </c>
      <c r="CQ1096">
        <f>'Grid_Stock'!CO39</f>
        <v/>
      </c>
      <c r="CR1096">
        <f>'Grid_Stock'!CP39</f>
        <v/>
      </c>
      <c r="CS1096">
        <f>'Grid_Stock'!CQ39</f>
        <v/>
      </c>
      <c r="CT1096">
        <f>'Grid_Stock'!CR39</f>
        <v/>
      </c>
      <c r="CU1096">
        <f>'Grid_Stock'!CS39</f>
        <v/>
      </c>
      <c r="CV1096">
        <f>'Grid_Stock'!CT39</f>
        <v/>
      </c>
      <c r="CW1096">
        <f>'Grid_Stock'!CU39</f>
        <v/>
      </c>
      <c r="CX1096">
        <f>'Grid_Stock'!CV39</f>
        <v/>
      </c>
      <c r="CY1096">
        <f>'Grid_Stock'!CW39</f>
        <v/>
      </c>
      <c r="CZ1096">
        <f>'Grid_Stock'!CX39</f>
        <v/>
      </c>
      <c r="DA1096">
        <f>'Grid_Stock'!CY39</f>
        <v/>
      </c>
      <c r="DB1096">
        <f>'Grid_Stock'!CZ39</f>
        <v/>
      </c>
      <c r="DC1096">
        <f>'Grid_Stock'!DA39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CHEM-1820</t>
        </is>
      </c>
      <c r="B1099" s="14" t="inlineStr">
        <is>
          <t>JCK-472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TPP-1459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TPP-1466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TSP-219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s="4" t="inlineStr">
        <is>
          <t>合計使用量(kg)/週</t>
        </is>
      </c>
      <c r="D1106">
        <f>'Grid_Requirement'!B28</f>
        <v/>
      </c>
      <c r="E1106">
        <f>'Grid_Requirement'!C28</f>
        <v/>
      </c>
      <c r="F1106">
        <f>'Grid_Requirement'!D28</f>
        <v/>
      </c>
      <c r="G1106">
        <f>'Grid_Requirement'!E28</f>
        <v/>
      </c>
      <c r="H1106">
        <f>'Grid_Requirement'!F28</f>
        <v/>
      </c>
      <c r="I1106">
        <f>'Grid_Requirement'!G28</f>
        <v/>
      </c>
      <c r="J1106">
        <f>'Grid_Requirement'!H28</f>
        <v/>
      </c>
      <c r="K1106">
        <f>'Grid_Requirement'!I28</f>
        <v/>
      </c>
      <c r="L1106">
        <f>'Grid_Requirement'!J28</f>
        <v/>
      </c>
      <c r="M1106">
        <f>'Grid_Requirement'!K28</f>
        <v/>
      </c>
      <c r="N1106">
        <f>'Grid_Requirement'!L28</f>
        <v/>
      </c>
      <c r="O1106">
        <f>'Grid_Requirement'!M28</f>
        <v/>
      </c>
      <c r="P1106">
        <f>'Grid_Requirement'!N28</f>
        <v/>
      </c>
      <c r="Q1106">
        <f>'Grid_Requirement'!O28</f>
        <v/>
      </c>
      <c r="R1106">
        <f>'Grid_Requirement'!P28</f>
        <v/>
      </c>
      <c r="S1106">
        <f>'Grid_Requirement'!Q28</f>
        <v/>
      </c>
      <c r="T1106">
        <f>'Grid_Requirement'!R28</f>
        <v/>
      </c>
      <c r="U1106">
        <f>'Grid_Requirement'!S28</f>
        <v/>
      </c>
      <c r="V1106">
        <f>'Grid_Requirement'!T28</f>
        <v/>
      </c>
      <c r="W1106">
        <f>'Grid_Requirement'!U28</f>
        <v/>
      </c>
      <c r="X1106">
        <f>'Grid_Requirement'!V28</f>
        <v/>
      </c>
      <c r="Y1106">
        <f>'Grid_Requirement'!W28</f>
        <v/>
      </c>
      <c r="Z1106">
        <f>'Grid_Requirement'!X28</f>
        <v/>
      </c>
      <c r="AA1106">
        <f>'Grid_Requirement'!Y28</f>
        <v/>
      </c>
      <c r="AB1106">
        <f>'Grid_Requirement'!Z28</f>
        <v/>
      </c>
      <c r="AC1106">
        <f>'Grid_Requirement'!AA28</f>
        <v/>
      </c>
      <c r="AD1106">
        <f>'Grid_Requirement'!AB28</f>
        <v/>
      </c>
      <c r="AE1106">
        <f>'Grid_Requirement'!AC28</f>
        <v/>
      </c>
      <c r="AF1106">
        <f>'Grid_Requirement'!AD28</f>
        <v/>
      </c>
      <c r="AG1106">
        <f>'Grid_Requirement'!AE28</f>
        <v/>
      </c>
      <c r="AH1106">
        <f>'Grid_Requirement'!AF28</f>
        <v/>
      </c>
      <c r="AI1106">
        <f>'Grid_Requirement'!AG28</f>
        <v/>
      </c>
      <c r="AJ1106">
        <f>'Grid_Requirement'!AH28</f>
        <v/>
      </c>
      <c r="AK1106">
        <f>'Grid_Requirement'!AI28</f>
        <v/>
      </c>
      <c r="AL1106">
        <f>'Grid_Requirement'!AJ28</f>
        <v/>
      </c>
      <c r="AM1106">
        <f>'Grid_Requirement'!AK28</f>
        <v/>
      </c>
      <c r="AN1106">
        <f>'Grid_Requirement'!AL28</f>
        <v/>
      </c>
      <c r="AO1106">
        <f>'Grid_Requirement'!AM28</f>
        <v/>
      </c>
      <c r="AP1106">
        <f>'Grid_Requirement'!AN28</f>
        <v/>
      </c>
      <c r="AQ1106">
        <f>'Grid_Requirement'!AO28</f>
        <v/>
      </c>
      <c r="AR1106">
        <f>'Grid_Requirement'!AP28</f>
        <v/>
      </c>
      <c r="AS1106">
        <f>'Grid_Requirement'!AQ28</f>
        <v/>
      </c>
      <c r="AT1106">
        <f>'Grid_Requirement'!AR28</f>
        <v/>
      </c>
      <c r="AU1106">
        <f>'Grid_Requirement'!AS28</f>
        <v/>
      </c>
      <c r="AV1106">
        <f>'Grid_Requirement'!AT28</f>
        <v/>
      </c>
      <c r="AW1106">
        <f>'Grid_Requirement'!AU28</f>
        <v/>
      </c>
      <c r="AX1106">
        <f>'Grid_Requirement'!AV28</f>
        <v/>
      </c>
      <c r="AY1106">
        <f>'Grid_Requirement'!AW28</f>
        <v/>
      </c>
      <c r="AZ1106">
        <f>'Grid_Requirement'!AX28</f>
        <v/>
      </c>
      <c r="BA1106">
        <f>'Grid_Requirement'!AY28</f>
        <v/>
      </c>
      <c r="BB1106">
        <f>'Grid_Requirement'!AZ28</f>
        <v/>
      </c>
      <c r="BC1106">
        <f>'Grid_Requirement'!BA28</f>
        <v/>
      </c>
      <c r="BD1106">
        <f>'Grid_Requirement'!BB28</f>
        <v/>
      </c>
      <c r="BE1106">
        <f>'Grid_Requirement'!BC28</f>
        <v/>
      </c>
      <c r="BF1106">
        <f>'Grid_Requirement'!BD28</f>
        <v/>
      </c>
      <c r="BG1106">
        <f>'Grid_Requirement'!BE28</f>
        <v/>
      </c>
      <c r="BH1106">
        <f>'Grid_Requirement'!BF28</f>
        <v/>
      </c>
      <c r="BI1106">
        <f>'Grid_Requirement'!BG28</f>
        <v/>
      </c>
      <c r="BJ1106">
        <f>'Grid_Requirement'!BH28</f>
        <v/>
      </c>
      <c r="BK1106">
        <f>'Grid_Requirement'!BI28</f>
        <v/>
      </c>
      <c r="BL1106">
        <f>'Grid_Requirement'!BJ28</f>
        <v/>
      </c>
      <c r="BM1106">
        <f>'Grid_Requirement'!BK28</f>
        <v/>
      </c>
      <c r="BN1106">
        <f>'Grid_Requirement'!BL28</f>
        <v/>
      </c>
      <c r="BO1106">
        <f>'Grid_Requirement'!BM28</f>
        <v/>
      </c>
      <c r="BP1106">
        <f>'Grid_Requirement'!BN28</f>
        <v/>
      </c>
      <c r="BQ1106">
        <f>'Grid_Requirement'!BO28</f>
        <v/>
      </c>
      <c r="BR1106">
        <f>'Grid_Requirement'!BP28</f>
        <v/>
      </c>
      <c r="BS1106">
        <f>'Grid_Requirement'!BQ28</f>
        <v/>
      </c>
      <c r="BT1106">
        <f>'Grid_Requirement'!BR28</f>
        <v/>
      </c>
      <c r="BU1106">
        <f>'Grid_Requirement'!BS28</f>
        <v/>
      </c>
      <c r="BV1106">
        <f>'Grid_Requirement'!BT28</f>
        <v/>
      </c>
      <c r="BW1106">
        <f>'Grid_Requirement'!BU28</f>
        <v/>
      </c>
      <c r="BX1106">
        <f>'Grid_Requirement'!BV28</f>
        <v/>
      </c>
      <c r="BY1106">
        <f>'Grid_Requirement'!BW28</f>
        <v/>
      </c>
      <c r="BZ1106">
        <f>'Grid_Requirement'!BX28</f>
        <v/>
      </c>
      <c r="CA1106">
        <f>'Grid_Requirement'!BY28</f>
        <v/>
      </c>
      <c r="CB1106">
        <f>'Grid_Requirement'!BZ28</f>
        <v/>
      </c>
      <c r="CC1106">
        <f>'Grid_Requirement'!CA28</f>
        <v/>
      </c>
      <c r="CD1106">
        <f>'Grid_Requirement'!CB28</f>
        <v/>
      </c>
      <c r="CE1106">
        <f>'Grid_Requirement'!CC28</f>
        <v/>
      </c>
      <c r="CF1106">
        <f>'Grid_Requirement'!CD28</f>
        <v/>
      </c>
      <c r="CG1106">
        <f>'Grid_Requirement'!CE28</f>
        <v/>
      </c>
      <c r="CH1106">
        <f>'Grid_Requirement'!CF28</f>
        <v/>
      </c>
      <c r="CI1106">
        <f>'Grid_Requirement'!CG28</f>
        <v/>
      </c>
      <c r="CJ1106">
        <f>'Grid_Requirement'!CH28</f>
        <v/>
      </c>
      <c r="CK1106">
        <f>'Grid_Requirement'!CI28</f>
        <v/>
      </c>
      <c r="CL1106">
        <f>'Grid_Requirement'!CJ28</f>
        <v/>
      </c>
      <c r="CM1106">
        <f>'Grid_Requirement'!CK28</f>
        <v/>
      </c>
      <c r="CN1106">
        <f>'Grid_Requirement'!CL28</f>
        <v/>
      </c>
      <c r="CO1106">
        <f>'Grid_Requirement'!CM28</f>
        <v/>
      </c>
      <c r="CP1106">
        <f>'Grid_Requirement'!CN28</f>
        <v/>
      </c>
      <c r="CQ1106">
        <f>'Grid_Requirement'!CO28</f>
        <v/>
      </c>
      <c r="CR1106">
        <f>'Grid_Requirement'!CP28</f>
        <v/>
      </c>
      <c r="CS1106">
        <f>'Grid_Requirement'!CQ28</f>
        <v/>
      </c>
      <c r="CT1106">
        <f>'Grid_Requirement'!CR28</f>
        <v/>
      </c>
      <c r="CU1106">
        <f>'Grid_Requirement'!CS28</f>
        <v/>
      </c>
      <c r="CV1106">
        <f>'Grid_Requirement'!CT28</f>
        <v/>
      </c>
      <c r="CW1106">
        <f>'Grid_Requirement'!CU28</f>
        <v/>
      </c>
      <c r="CX1106">
        <f>'Grid_Requirement'!CV28</f>
        <v/>
      </c>
      <c r="CY1106">
        <f>'Grid_Requirement'!CW28</f>
        <v/>
      </c>
      <c r="CZ1106">
        <f>'Grid_Requirement'!CX28</f>
        <v/>
      </c>
      <c r="DA1106">
        <f>'Grid_Requirement'!CY28</f>
        <v/>
      </c>
      <c r="DB1106">
        <f>'Grid_Requirement'!CZ28</f>
        <v/>
      </c>
      <c r="DC1106">
        <f>'Grid_Requirement'!DA28</f>
        <v/>
      </c>
    </row>
    <row r="1107">
      <c r="B1107" t="inlineStr">
        <is>
          <t>TTAF在庫(実績,kg)</t>
        </is>
      </c>
      <c r="D1107">
        <f>'T_TTAFStock'!B32</f>
        <v/>
      </c>
      <c r="E1107">
        <f>'T_TTAFStock'!C32</f>
        <v/>
      </c>
      <c r="F1107">
        <f>'T_TTAFStock'!D32</f>
        <v/>
      </c>
      <c r="G1107">
        <f>'T_TTAFStock'!E32</f>
        <v/>
      </c>
      <c r="H1107">
        <f>'T_TTAFStock'!F32</f>
        <v/>
      </c>
      <c r="I1107">
        <f>'T_TTAFStock'!G32</f>
        <v/>
      </c>
      <c r="J1107">
        <f>'T_TTAFStock'!H32</f>
        <v/>
      </c>
      <c r="K1107">
        <f>'T_TTAFStock'!I32</f>
        <v/>
      </c>
      <c r="L1107">
        <f>'T_TTAFStock'!J32</f>
        <v/>
      </c>
      <c r="M1107">
        <f>'T_TTAFStock'!K32</f>
        <v/>
      </c>
      <c r="N1107">
        <f>'T_TTAFStock'!L32</f>
        <v/>
      </c>
      <c r="O1107">
        <f>'T_TTAFStock'!M32</f>
        <v/>
      </c>
      <c r="P1107">
        <f>'T_TTAFStock'!N32</f>
        <v/>
      </c>
      <c r="Q1107">
        <f>'T_TTAFStock'!O32</f>
        <v/>
      </c>
      <c r="R1107">
        <f>'T_TTAFStock'!P32</f>
        <v/>
      </c>
      <c r="S1107">
        <f>'T_TTAFStock'!Q32</f>
        <v/>
      </c>
      <c r="T1107">
        <f>'T_TTAFStock'!R32</f>
        <v/>
      </c>
      <c r="U1107">
        <f>'T_TTAFStock'!S32</f>
        <v/>
      </c>
      <c r="V1107">
        <f>'T_TTAFStock'!T32</f>
        <v/>
      </c>
      <c r="W1107">
        <f>'T_TTAFStock'!U32</f>
        <v/>
      </c>
      <c r="X1107">
        <f>'T_TTAFStock'!V32</f>
        <v/>
      </c>
      <c r="Y1107">
        <f>'T_TTAFStock'!W32</f>
        <v/>
      </c>
      <c r="Z1107">
        <f>'T_TTAFStock'!X32</f>
        <v/>
      </c>
      <c r="AA1107">
        <f>'T_TTAFStock'!Y32</f>
        <v/>
      </c>
      <c r="AB1107">
        <f>'T_TTAFStock'!Z32</f>
        <v/>
      </c>
      <c r="AC1107">
        <f>'T_TTAFStock'!AA32</f>
        <v/>
      </c>
      <c r="AD1107">
        <f>'T_TTAFStock'!AB32</f>
        <v/>
      </c>
      <c r="AE1107">
        <f>'T_TTAFStock'!AC32</f>
        <v/>
      </c>
      <c r="AF1107">
        <f>'T_TTAFStock'!AD32</f>
        <v/>
      </c>
      <c r="AG1107">
        <f>'T_TTAFStock'!AE32</f>
        <v/>
      </c>
      <c r="AH1107">
        <f>'T_TTAFStock'!AF32</f>
        <v/>
      </c>
      <c r="AI1107">
        <f>'T_TTAFStock'!AG32</f>
        <v/>
      </c>
      <c r="AJ1107">
        <f>'T_TTAFStock'!AH32</f>
        <v/>
      </c>
      <c r="AK1107">
        <f>'T_TTAFStock'!AI32</f>
        <v/>
      </c>
      <c r="AL1107">
        <f>'T_TTAFStock'!AJ32</f>
        <v/>
      </c>
      <c r="AM1107">
        <f>'T_TTAFStock'!AK32</f>
        <v/>
      </c>
      <c r="AN1107">
        <f>'T_TTAFStock'!AL32</f>
        <v/>
      </c>
      <c r="AO1107">
        <f>'T_TTAFStock'!AM32</f>
        <v/>
      </c>
      <c r="AP1107">
        <f>'T_TTAFStock'!AN32</f>
        <v/>
      </c>
      <c r="AQ1107">
        <f>'T_TTAFStock'!AO32</f>
        <v/>
      </c>
      <c r="AR1107">
        <f>'T_TTAFStock'!AP32</f>
        <v/>
      </c>
      <c r="AS1107">
        <f>'T_TTAFStock'!AQ32</f>
        <v/>
      </c>
      <c r="AT1107">
        <f>'T_TTAFStock'!AR32</f>
        <v/>
      </c>
      <c r="AU1107">
        <f>'T_TTAFStock'!AS32</f>
        <v/>
      </c>
      <c r="AV1107">
        <f>'T_TTAFStock'!AT32</f>
        <v/>
      </c>
      <c r="AW1107">
        <f>'T_TTAFStock'!AU32</f>
        <v/>
      </c>
      <c r="AX1107">
        <f>'T_TTAFStock'!AV32</f>
        <v/>
      </c>
      <c r="AY1107">
        <f>'T_TTAFStock'!AW32</f>
        <v/>
      </c>
      <c r="AZ1107">
        <f>'T_TTAFStock'!AX32</f>
        <v/>
      </c>
      <c r="BA1107">
        <f>'T_TTAFStock'!AY32</f>
        <v/>
      </c>
      <c r="BB1107">
        <f>'T_TTAFStock'!AZ32</f>
        <v/>
      </c>
      <c r="BC1107">
        <f>'T_TTAFStock'!BA32</f>
        <v/>
      </c>
      <c r="BD1107">
        <f>'T_TTAFStock'!BB32</f>
        <v/>
      </c>
      <c r="BE1107">
        <f>'T_TTAFStock'!BC32</f>
        <v/>
      </c>
      <c r="BF1107">
        <f>'T_TTAFStock'!BD32</f>
        <v/>
      </c>
      <c r="BG1107">
        <f>'T_TTAFStock'!BE32</f>
        <v/>
      </c>
      <c r="BH1107">
        <f>'T_TTAFStock'!BF32</f>
        <v/>
      </c>
      <c r="BI1107">
        <f>'T_TTAFStock'!BG32</f>
        <v/>
      </c>
      <c r="BJ1107">
        <f>'T_TTAFStock'!BH32</f>
        <v/>
      </c>
      <c r="BK1107">
        <f>'T_TTAFStock'!BI32</f>
        <v/>
      </c>
      <c r="BL1107">
        <f>'T_TTAFStock'!BJ32</f>
        <v/>
      </c>
      <c r="BM1107">
        <f>'T_TTAFStock'!BK32</f>
        <v/>
      </c>
      <c r="BN1107">
        <f>'T_TTAFStock'!BL32</f>
        <v/>
      </c>
      <c r="BO1107">
        <f>'T_TTAFStock'!BM32</f>
        <v/>
      </c>
      <c r="BP1107">
        <f>'T_TTAFStock'!BN32</f>
        <v/>
      </c>
      <c r="BQ1107">
        <f>'T_TTAFStock'!BO32</f>
        <v/>
      </c>
      <c r="BR1107">
        <f>'T_TTAFStock'!BP32</f>
        <v/>
      </c>
      <c r="BS1107">
        <f>'T_TTAFStock'!BQ32</f>
        <v/>
      </c>
      <c r="BT1107">
        <f>'T_TTAFStock'!BR32</f>
        <v/>
      </c>
      <c r="BU1107">
        <f>'T_TTAFStock'!BS32</f>
        <v/>
      </c>
      <c r="BV1107">
        <f>'T_TTAFStock'!BT32</f>
        <v/>
      </c>
      <c r="BW1107">
        <f>'T_TTAFStock'!BU32</f>
        <v/>
      </c>
      <c r="BX1107">
        <f>'T_TTAFStock'!BV32</f>
        <v/>
      </c>
      <c r="BY1107">
        <f>'T_TTAFStock'!BW32</f>
        <v/>
      </c>
      <c r="BZ1107">
        <f>'T_TTAFStock'!BX32</f>
        <v/>
      </c>
      <c r="CA1107">
        <f>'T_TTAFStock'!BY32</f>
        <v/>
      </c>
      <c r="CB1107">
        <f>'T_TTAFStock'!BZ32</f>
        <v/>
      </c>
      <c r="CC1107">
        <f>'T_TTAFStock'!CA32</f>
        <v/>
      </c>
      <c r="CD1107">
        <f>'T_TTAFStock'!CB32</f>
        <v/>
      </c>
      <c r="CE1107">
        <f>'T_TTAFStock'!CC32</f>
        <v/>
      </c>
      <c r="CF1107">
        <f>'T_TTAFStock'!CD32</f>
        <v/>
      </c>
      <c r="CG1107">
        <f>'T_TTAFStock'!CE32</f>
        <v/>
      </c>
      <c r="CH1107">
        <f>'T_TTAFStock'!CF32</f>
        <v/>
      </c>
      <c r="CI1107">
        <f>'T_TTAFStock'!CG32</f>
        <v/>
      </c>
      <c r="CJ1107">
        <f>'T_TTAFStock'!CH32</f>
        <v/>
      </c>
      <c r="CK1107">
        <f>'T_TTAFStock'!CI32</f>
        <v/>
      </c>
      <c r="CL1107">
        <f>'T_TTAFStock'!CJ32</f>
        <v/>
      </c>
      <c r="CM1107">
        <f>'T_TTAFStock'!CK32</f>
        <v/>
      </c>
      <c r="CN1107">
        <f>'T_TTAFStock'!CL32</f>
        <v/>
      </c>
      <c r="CO1107">
        <f>'T_TTAFStock'!CM32</f>
        <v/>
      </c>
      <c r="CP1107">
        <f>'T_TTAFStock'!CN32</f>
        <v/>
      </c>
      <c r="CQ1107">
        <f>'T_TTAFStock'!CO32</f>
        <v/>
      </c>
      <c r="CR1107">
        <f>'T_TTAFStock'!CP32</f>
        <v/>
      </c>
      <c r="CS1107">
        <f>'T_TTAFStock'!CQ32</f>
        <v/>
      </c>
      <c r="CT1107">
        <f>'T_TTAFStock'!CR32</f>
        <v/>
      </c>
      <c r="CU1107">
        <f>'T_TTAFStock'!CS32</f>
        <v/>
      </c>
      <c r="CV1107">
        <f>'T_TTAFStock'!CT32</f>
        <v/>
      </c>
      <c r="CW1107">
        <f>'T_TTAFStock'!CU32</f>
        <v/>
      </c>
      <c r="CX1107">
        <f>'T_TTAFStock'!CV32</f>
        <v/>
      </c>
      <c r="CY1107">
        <f>'T_TTAFStock'!CW32</f>
        <v/>
      </c>
      <c r="CZ1107">
        <f>'T_TTAFStock'!CX32</f>
        <v/>
      </c>
      <c r="DA1107">
        <f>'T_TTAFStock'!CY32</f>
        <v/>
      </c>
      <c r="DB1107">
        <f>'T_TTAFStock'!CZ32</f>
        <v/>
      </c>
      <c r="DC1107">
        <f>'T_TTAFStock'!DA32</f>
        <v/>
      </c>
    </row>
    <row r="1108">
      <c r="B1108" t="inlineStr">
        <is>
          <t>自社在庫(実績,kg)</t>
        </is>
      </c>
      <c r="D1108">
        <f>'T_SelfStock'!B32</f>
        <v/>
      </c>
      <c r="E1108">
        <f>'T_SelfStock'!C32</f>
        <v/>
      </c>
      <c r="F1108">
        <f>'T_SelfStock'!D32</f>
        <v/>
      </c>
      <c r="G1108">
        <f>'T_SelfStock'!E32</f>
        <v/>
      </c>
      <c r="H1108">
        <f>'T_SelfStock'!F32</f>
        <v/>
      </c>
      <c r="I1108">
        <f>'T_SelfStock'!G32</f>
        <v/>
      </c>
      <c r="J1108">
        <f>'T_SelfStock'!H32</f>
        <v/>
      </c>
      <c r="K1108">
        <f>'T_SelfStock'!I32</f>
        <v/>
      </c>
      <c r="L1108">
        <f>'T_SelfStock'!J32</f>
        <v/>
      </c>
      <c r="M1108">
        <f>'T_SelfStock'!K32</f>
        <v/>
      </c>
      <c r="N1108">
        <f>'T_SelfStock'!L32</f>
        <v/>
      </c>
      <c r="O1108">
        <f>'T_SelfStock'!M32</f>
        <v/>
      </c>
      <c r="P1108">
        <f>'T_SelfStock'!N32</f>
        <v/>
      </c>
      <c r="Q1108">
        <f>'T_SelfStock'!O32</f>
        <v/>
      </c>
      <c r="R1108">
        <f>'T_SelfStock'!P32</f>
        <v/>
      </c>
      <c r="S1108">
        <f>'T_SelfStock'!Q32</f>
        <v/>
      </c>
      <c r="T1108">
        <f>'T_SelfStock'!R32</f>
        <v/>
      </c>
      <c r="U1108">
        <f>'T_SelfStock'!S32</f>
        <v/>
      </c>
      <c r="V1108">
        <f>'T_SelfStock'!T32</f>
        <v/>
      </c>
      <c r="W1108">
        <f>'T_SelfStock'!U32</f>
        <v/>
      </c>
      <c r="X1108">
        <f>'T_SelfStock'!V32</f>
        <v/>
      </c>
      <c r="Y1108">
        <f>'T_SelfStock'!W32</f>
        <v/>
      </c>
      <c r="Z1108">
        <f>'T_SelfStock'!X32</f>
        <v/>
      </c>
      <c r="AA1108">
        <f>'T_SelfStock'!Y32</f>
        <v/>
      </c>
      <c r="AB1108">
        <f>'T_SelfStock'!Z32</f>
        <v/>
      </c>
      <c r="AC1108">
        <f>'T_SelfStock'!AA32</f>
        <v/>
      </c>
      <c r="AD1108">
        <f>'T_SelfStock'!AB32</f>
        <v/>
      </c>
      <c r="AE1108">
        <f>'T_SelfStock'!AC32</f>
        <v/>
      </c>
      <c r="AF1108">
        <f>'T_SelfStock'!AD32</f>
        <v/>
      </c>
      <c r="AG1108">
        <f>'T_SelfStock'!AE32</f>
        <v/>
      </c>
      <c r="AH1108">
        <f>'T_SelfStock'!AF32</f>
        <v/>
      </c>
      <c r="AI1108">
        <f>'T_SelfStock'!AG32</f>
        <v/>
      </c>
      <c r="AJ1108">
        <f>'T_SelfStock'!AH32</f>
        <v/>
      </c>
      <c r="AK1108">
        <f>'T_SelfStock'!AI32</f>
        <v/>
      </c>
      <c r="AL1108">
        <f>'T_SelfStock'!AJ32</f>
        <v/>
      </c>
      <c r="AM1108">
        <f>'T_SelfStock'!AK32</f>
        <v/>
      </c>
      <c r="AN1108">
        <f>'T_SelfStock'!AL32</f>
        <v/>
      </c>
      <c r="AO1108">
        <f>'T_SelfStock'!AM32</f>
        <v/>
      </c>
      <c r="AP1108">
        <f>'T_SelfStock'!AN32</f>
        <v/>
      </c>
      <c r="AQ1108">
        <f>'T_SelfStock'!AO32</f>
        <v/>
      </c>
      <c r="AR1108">
        <f>'T_SelfStock'!AP32</f>
        <v/>
      </c>
      <c r="AS1108">
        <f>'T_SelfStock'!AQ32</f>
        <v/>
      </c>
      <c r="AT1108">
        <f>'T_SelfStock'!AR32</f>
        <v/>
      </c>
      <c r="AU1108">
        <f>'T_SelfStock'!AS32</f>
        <v/>
      </c>
      <c r="AV1108">
        <f>'T_SelfStock'!AT32</f>
        <v/>
      </c>
      <c r="AW1108">
        <f>'T_SelfStock'!AU32</f>
        <v/>
      </c>
      <c r="AX1108">
        <f>'T_SelfStock'!AV32</f>
        <v/>
      </c>
      <c r="AY1108">
        <f>'T_SelfStock'!AW32</f>
        <v/>
      </c>
      <c r="AZ1108">
        <f>'T_SelfStock'!AX32</f>
        <v/>
      </c>
      <c r="BA1108">
        <f>'T_SelfStock'!AY32</f>
        <v/>
      </c>
      <c r="BB1108">
        <f>'T_SelfStock'!AZ32</f>
        <v/>
      </c>
      <c r="BC1108">
        <f>'T_SelfStock'!BA32</f>
        <v/>
      </c>
      <c r="BD1108">
        <f>'T_SelfStock'!BB32</f>
        <v/>
      </c>
      <c r="BE1108">
        <f>'T_SelfStock'!BC32</f>
        <v/>
      </c>
      <c r="BF1108">
        <f>'T_SelfStock'!BD32</f>
        <v/>
      </c>
      <c r="BG1108">
        <f>'T_SelfStock'!BE32</f>
        <v/>
      </c>
      <c r="BH1108">
        <f>'T_SelfStock'!BF32</f>
        <v/>
      </c>
      <c r="BI1108">
        <f>'T_SelfStock'!BG32</f>
        <v/>
      </c>
      <c r="BJ1108">
        <f>'T_SelfStock'!BH32</f>
        <v/>
      </c>
      <c r="BK1108">
        <f>'T_SelfStock'!BI32</f>
        <v/>
      </c>
      <c r="BL1108">
        <f>'T_SelfStock'!BJ32</f>
        <v/>
      </c>
      <c r="BM1108">
        <f>'T_SelfStock'!BK32</f>
        <v/>
      </c>
      <c r="BN1108">
        <f>'T_SelfStock'!BL32</f>
        <v/>
      </c>
      <c r="BO1108">
        <f>'T_SelfStock'!BM32</f>
        <v/>
      </c>
      <c r="BP1108">
        <f>'T_SelfStock'!BN32</f>
        <v/>
      </c>
      <c r="BQ1108">
        <f>'T_SelfStock'!BO32</f>
        <v/>
      </c>
      <c r="BR1108">
        <f>'T_SelfStock'!BP32</f>
        <v/>
      </c>
      <c r="BS1108">
        <f>'T_SelfStock'!BQ32</f>
        <v/>
      </c>
      <c r="BT1108">
        <f>'T_SelfStock'!BR32</f>
        <v/>
      </c>
      <c r="BU1108">
        <f>'T_SelfStock'!BS32</f>
        <v/>
      </c>
      <c r="BV1108">
        <f>'T_SelfStock'!BT32</f>
        <v/>
      </c>
      <c r="BW1108">
        <f>'T_SelfStock'!BU32</f>
        <v/>
      </c>
      <c r="BX1108">
        <f>'T_SelfStock'!BV32</f>
        <v/>
      </c>
      <c r="BY1108">
        <f>'T_SelfStock'!BW32</f>
        <v/>
      </c>
      <c r="BZ1108">
        <f>'T_SelfStock'!BX32</f>
        <v/>
      </c>
      <c r="CA1108">
        <f>'T_SelfStock'!BY32</f>
        <v/>
      </c>
      <c r="CB1108">
        <f>'T_SelfStock'!BZ32</f>
        <v/>
      </c>
      <c r="CC1108">
        <f>'T_SelfStock'!CA32</f>
        <v/>
      </c>
      <c r="CD1108">
        <f>'T_SelfStock'!CB32</f>
        <v/>
      </c>
      <c r="CE1108">
        <f>'T_SelfStock'!CC32</f>
        <v/>
      </c>
      <c r="CF1108">
        <f>'T_SelfStock'!CD32</f>
        <v/>
      </c>
      <c r="CG1108">
        <f>'T_SelfStock'!CE32</f>
        <v/>
      </c>
      <c r="CH1108">
        <f>'T_SelfStock'!CF32</f>
        <v/>
      </c>
      <c r="CI1108">
        <f>'T_SelfStock'!CG32</f>
        <v/>
      </c>
      <c r="CJ1108">
        <f>'T_SelfStock'!CH32</f>
        <v/>
      </c>
      <c r="CK1108">
        <f>'T_SelfStock'!CI32</f>
        <v/>
      </c>
      <c r="CL1108">
        <f>'T_SelfStock'!CJ32</f>
        <v/>
      </c>
      <c r="CM1108">
        <f>'T_SelfStock'!CK32</f>
        <v/>
      </c>
      <c r="CN1108">
        <f>'T_SelfStock'!CL32</f>
        <v/>
      </c>
      <c r="CO1108">
        <f>'T_SelfStock'!CM32</f>
        <v/>
      </c>
      <c r="CP1108">
        <f>'T_SelfStock'!CN32</f>
        <v/>
      </c>
      <c r="CQ1108">
        <f>'T_SelfStock'!CO32</f>
        <v/>
      </c>
      <c r="CR1108">
        <f>'T_SelfStock'!CP32</f>
        <v/>
      </c>
      <c r="CS1108">
        <f>'T_SelfStock'!CQ32</f>
        <v/>
      </c>
      <c r="CT1108">
        <f>'T_SelfStock'!CR32</f>
        <v/>
      </c>
      <c r="CU1108">
        <f>'T_SelfStock'!CS32</f>
        <v/>
      </c>
      <c r="CV1108">
        <f>'T_SelfStock'!CT32</f>
        <v/>
      </c>
      <c r="CW1108">
        <f>'T_SelfStock'!CU32</f>
        <v/>
      </c>
      <c r="CX1108">
        <f>'T_SelfStock'!CV32</f>
        <v/>
      </c>
      <c r="CY1108">
        <f>'T_SelfStock'!CW32</f>
        <v/>
      </c>
      <c r="CZ1108">
        <f>'T_SelfStock'!CX32</f>
        <v/>
      </c>
      <c r="DA1108">
        <f>'T_SelfStock'!CY32</f>
        <v/>
      </c>
      <c r="DB1108">
        <f>'T_SelfStock'!CZ32</f>
        <v/>
      </c>
      <c r="DC1108">
        <f>'T_SelfStock'!DA32</f>
        <v/>
      </c>
    </row>
    <row r="1109">
      <c r="B1109" t="inlineStr">
        <is>
          <t>Order(発注予定,kg)</t>
        </is>
      </c>
      <c r="D1109">
        <f>IF(SUMIFS(T_PlannedOrders[EffectiveQty],T_PlannedOrders[Part Name],$A1099,T_PlannedOrders[WeekIndex],1)=0,"",SUMIFS(T_PlannedOrders[EffectiveQty],T_PlannedOrders[Part Name],$A1099,T_PlannedOrders[WeekIndex],1)&amp;" ("&amp;TEXT(SUMPRODUCT(MAX((T_PlannedOrders[Part Name]=$A1099)*(T_PlannedOrders[WeekIndex]=1)*(T_PlannedOrders[EffectiveQty]&gt;0)*T_PlannedOrders[Order_Month])),"m月")&amp;"発注)")</f>
        <v/>
      </c>
      <c r="E1109">
        <f>IF(SUMIFS(T_PlannedOrders[EffectiveQty],T_PlannedOrders[Part Name],$A1099,T_PlannedOrders[WeekIndex],2)=0,"",SUMIFS(T_PlannedOrders[EffectiveQty],T_PlannedOrders[Part Name],$A1099,T_PlannedOrders[WeekIndex],2)&amp;" ("&amp;TEXT(SUMPRODUCT(MAX((T_PlannedOrders[Part Name]=$A1099)*(T_PlannedOrders[WeekIndex]=2)*(T_PlannedOrders[EffectiveQty]&gt;0)*T_PlannedOrders[Order_Month])),"m月")&amp;"発注)")</f>
        <v/>
      </c>
      <c r="F1109">
        <f>IF(SUMIFS(T_PlannedOrders[EffectiveQty],T_PlannedOrders[Part Name],$A1099,T_PlannedOrders[WeekIndex],3)=0,"",SUMIFS(T_PlannedOrders[EffectiveQty],T_PlannedOrders[Part Name],$A1099,T_PlannedOrders[WeekIndex],3)&amp;" ("&amp;TEXT(SUMPRODUCT(MAX((T_PlannedOrders[Part Name]=$A1099)*(T_PlannedOrders[WeekIndex]=3)*(T_PlannedOrders[EffectiveQty]&gt;0)*T_PlannedOrders[Order_Month])),"m月")&amp;"発注)")</f>
        <v/>
      </c>
      <c r="G1109">
        <f>IF(SUMIFS(T_PlannedOrders[EffectiveQty],T_PlannedOrders[Part Name],$A1099,T_PlannedOrders[WeekIndex],4)=0,"",SUMIFS(T_PlannedOrders[EffectiveQty],T_PlannedOrders[Part Name],$A1099,T_PlannedOrders[WeekIndex],4)&amp;" ("&amp;TEXT(SUMPRODUCT(MAX((T_PlannedOrders[Part Name]=$A1099)*(T_PlannedOrders[WeekIndex]=4)*(T_PlannedOrders[EffectiveQty]&gt;0)*T_PlannedOrders[Order_Month])),"m月")&amp;"発注)")</f>
        <v/>
      </c>
      <c r="H1109">
        <f>IF(SUMIFS(T_PlannedOrders[EffectiveQty],T_PlannedOrders[Part Name],$A1099,T_PlannedOrders[WeekIndex],5)=0,"",SUMIFS(T_PlannedOrders[EffectiveQty],T_PlannedOrders[Part Name],$A1099,T_PlannedOrders[WeekIndex],5)&amp;" ("&amp;TEXT(SUMPRODUCT(MAX((T_PlannedOrders[Part Name]=$A1099)*(T_PlannedOrders[WeekIndex]=5)*(T_PlannedOrders[EffectiveQty]&gt;0)*T_PlannedOrders[Order_Month])),"m月")&amp;"発注)")</f>
        <v/>
      </c>
      <c r="I1109">
        <f>IF(SUMIFS(T_PlannedOrders[EffectiveQty],T_PlannedOrders[Part Name],$A1099,T_PlannedOrders[WeekIndex],6)=0,"",SUMIFS(T_PlannedOrders[EffectiveQty],T_PlannedOrders[Part Name],$A1099,T_PlannedOrders[WeekIndex],6)&amp;" ("&amp;TEXT(SUMPRODUCT(MAX((T_PlannedOrders[Part Name]=$A1099)*(T_PlannedOrders[WeekIndex]=6)*(T_PlannedOrders[EffectiveQty]&gt;0)*T_PlannedOrders[Order_Month])),"m月")&amp;"発注)")</f>
        <v/>
      </c>
      <c r="J1109">
        <f>IF(SUMIFS(T_PlannedOrders[EffectiveQty],T_PlannedOrders[Part Name],$A1099,T_PlannedOrders[WeekIndex],7)=0,"",SUMIFS(T_PlannedOrders[EffectiveQty],T_PlannedOrders[Part Name],$A1099,T_PlannedOrders[WeekIndex],7)&amp;" ("&amp;TEXT(SUMPRODUCT(MAX((T_PlannedOrders[Part Name]=$A1099)*(T_PlannedOrders[WeekIndex]=7)*(T_PlannedOrders[EffectiveQty]&gt;0)*T_PlannedOrders[Order_Month])),"m月")&amp;"発注)")</f>
        <v/>
      </c>
      <c r="K1109">
        <f>IF(SUMIFS(T_PlannedOrders[EffectiveQty],T_PlannedOrders[Part Name],$A1099,T_PlannedOrders[WeekIndex],8)=0,"",SUMIFS(T_PlannedOrders[EffectiveQty],T_PlannedOrders[Part Name],$A1099,T_PlannedOrders[WeekIndex],8)&amp;" ("&amp;TEXT(SUMPRODUCT(MAX((T_PlannedOrders[Part Name]=$A1099)*(T_PlannedOrders[WeekIndex]=8)*(T_PlannedOrders[EffectiveQty]&gt;0)*T_PlannedOrders[Order_Month])),"m月")&amp;"発注)")</f>
        <v/>
      </c>
      <c r="L1109">
        <f>IF(SUMIFS(T_PlannedOrders[EffectiveQty],T_PlannedOrders[Part Name],$A1099,T_PlannedOrders[WeekIndex],9)=0,"",SUMIFS(T_PlannedOrders[EffectiveQty],T_PlannedOrders[Part Name],$A1099,T_PlannedOrders[WeekIndex],9)&amp;" ("&amp;TEXT(SUMPRODUCT(MAX((T_PlannedOrders[Part Name]=$A1099)*(T_PlannedOrders[WeekIndex]=9)*(T_PlannedOrders[EffectiveQty]&gt;0)*T_PlannedOrders[Order_Month])),"m月")&amp;"発注)")</f>
        <v/>
      </c>
      <c r="M1109">
        <f>IF(SUMIFS(T_PlannedOrders[EffectiveQty],T_PlannedOrders[Part Name],$A1099,T_PlannedOrders[WeekIndex],10)=0,"",SUMIFS(T_PlannedOrders[EffectiveQty],T_PlannedOrders[Part Name],$A1099,T_PlannedOrders[WeekIndex],10)&amp;" ("&amp;TEXT(SUMPRODUCT(MAX((T_PlannedOrders[Part Name]=$A1099)*(T_PlannedOrders[WeekIndex]=10)*(T_PlannedOrders[EffectiveQty]&gt;0)*T_PlannedOrders[Order_Month])),"m月")&amp;"発注)")</f>
        <v/>
      </c>
      <c r="N1109">
        <f>IF(SUMIFS(T_PlannedOrders[EffectiveQty],T_PlannedOrders[Part Name],$A1099,T_PlannedOrders[WeekIndex],11)=0,"",SUMIFS(T_PlannedOrders[EffectiveQty],T_PlannedOrders[Part Name],$A1099,T_PlannedOrders[WeekIndex],11)&amp;" ("&amp;TEXT(SUMPRODUCT(MAX((T_PlannedOrders[Part Name]=$A1099)*(T_PlannedOrders[WeekIndex]=11)*(T_PlannedOrders[EffectiveQty]&gt;0)*T_PlannedOrders[Order_Month])),"m月")&amp;"発注)")</f>
        <v/>
      </c>
      <c r="O1109">
        <f>IF(SUMIFS(T_PlannedOrders[EffectiveQty],T_PlannedOrders[Part Name],$A1099,T_PlannedOrders[WeekIndex],12)=0,"",SUMIFS(T_PlannedOrders[EffectiveQty],T_PlannedOrders[Part Name],$A1099,T_PlannedOrders[WeekIndex],12)&amp;" ("&amp;TEXT(SUMPRODUCT(MAX((T_PlannedOrders[Part Name]=$A1099)*(T_PlannedOrders[WeekIndex]=12)*(T_PlannedOrders[EffectiveQty]&gt;0)*T_PlannedOrders[Order_Month])),"m月")&amp;"発注)")</f>
        <v/>
      </c>
      <c r="P1109">
        <f>IF(SUMIFS(T_PlannedOrders[EffectiveQty],T_PlannedOrders[Part Name],$A1099,T_PlannedOrders[WeekIndex],13)=0,"",SUMIFS(T_PlannedOrders[EffectiveQty],T_PlannedOrders[Part Name],$A1099,T_PlannedOrders[WeekIndex],13)&amp;" ("&amp;TEXT(SUMPRODUCT(MAX((T_PlannedOrders[Part Name]=$A1099)*(T_PlannedOrders[WeekIndex]=13)*(T_PlannedOrders[EffectiveQty]&gt;0)*T_PlannedOrders[Order_Month])),"m月")&amp;"発注)")</f>
        <v/>
      </c>
      <c r="Q1109">
        <f>IF(SUMIFS(T_PlannedOrders[EffectiveQty],T_PlannedOrders[Part Name],$A1099,T_PlannedOrders[WeekIndex],14)=0,"",SUMIFS(T_PlannedOrders[EffectiveQty],T_PlannedOrders[Part Name],$A1099,T_PlannedOrders[WeekIndex],14)&amp;" ("&amp;TEXT(SUMPRODUCT(MAX((T_PlannedOrders[Part Name]=$A1099)*(T_PlannedOrders[WeekIndex]=14)*(T_PlannedOrders[EffectiveQty]&gt;0)*T_PlannedOrders[Order_Month])),"m月")&amp;"発注)")</f>
        <v/>
      </c>
      <c r="R1109">
        <f>IF(SUMIFS(T_PlannedOrders[EffectiveQty],T_PlannedOrders[Part Name],$A1099,T_PlannedOrders[WeekIndex],15)=0,"",SUMIFS(T_PlannedOrders[EffectiveQty],T_PlannedOrders[Part Name],$A1099,T_PlannedOrders[WeekIndex],15)&amp;" ("&amp;TEXT(SUMPRODUCT(MAX((T_PlannedOrders[Part Name]=$A1099)*(T_PlannedOrders[WeekIndex]=15)*(T_PlannedOrders[EffectiveQty]&gt;0)*T_PlannedOrders[Order_Month])),"m月")&amp;"発注)")</f>
        <v/>
      </c>
      <c r="S1109">
        <f>IF(SUMIFS(T_PlannedOrders[EffectiveQty],T_PlannedOrders[Part Name],$A1099,T_PlannedOrders[WeekIndex],16)=0,"",SUMIFS(T_PlannedOrders[EffectiveQty],T_PlannedOrders[Part Name],$A1099,T_PlannedOrders[WeekIndex],16)&amp;" ("&amp;TEXT(SUMPRODUCT(MAX((T_PlannedOrders[Part Name]=$A1099)*(T_PlannedOrders[WeekIndex]=16)*(T_PlannedOrders[EffectiveQty]&gt;0)*T_PlannedOrders[Order_Month])),"m月")&amp;"発注)")</f>
        <v/>
      </c>
      <c r="T1109">
        <f>IF(SUMIFS(T_PlannedOrders[EffectiveQty],T_PlannedOrders[Part Name],$A1099,T_PlannedOrders[WeekIndex],17)=0,"",SUMIFS(T_PlannedOrders[EffectiveQty],T_PlannedOrders[Part Name],$A1099,T_PlannedOrders[WeekIndex],17)&amp;" ("&amp;TEXT(SUMPRODUCT(MAX((T_PlannedOrders[Part Name]=$A1099)*(T_PlannedOrders[WeekIndex]=17)*(T_PlannedOrders[EffectiveQty]&gt;0)*T_PlannedOrders[Order_Month])),"m月")&amp;"発注)")</f>
        <v/>
      </c>
      <c r="U1109">
        <f>IF(SUMIFS(T_PlannedOrders[EffectiveQty],T_PlannedOrders[Part Name],$A1099,T_PlannedOrders[WeekIndex],18)=0,"",SUMIFS(T_PlannedOrders[EffectiveQty],T_PlannedOrders[Part Name],$A1099,T_PlannedOrders[WeekIndex],18)&amp;" ("&amp;TEXT(SUMPRODUCT(MAX((T_PlannedOrders[Part Name]=$A1099)*(T_PlannedOrders[WeekIndex]=18)*(T_PlannedOrders[EffectiveQty]&gt;0)*T_PlannedOrders[Order_Month])),"m月")&amp;"発注)")</f>
        <v/>
      </c>
      <c r="V1109">
        <f>IF(SUMIFS(T_PlannedOrders[EffectiveQty],T_PlannedOrders[Part Name],$A1099,T_PlannedOrders[WeekIndex],19)=0,"",SUMIFS(T_PlannedOrders[EffectiveQty],T_PlannedOrders[Part Name],$A1099,T_PlannedOrders[WeekIndex],19)&amp;" ("&amp;TEXT(SUMPRODUCT(MAX((T_PlannedOrders[Part Name]=$A1099)*(T_PlannedOrders[WeekIndex]=19)*(T_PlannedOrders[EffectiveQty]&gt;0)*T_PlannedOrders[Order_Month])),"m月")&amp;"発注)")</f>
        <v/>
      </c>
      <c r="W1109">
        <f>IF(SUMIFS(T_PlannedOrders[EffectiveQty],T_PlannedOrders[Part Name],$A1099,T_PlannedOrders[WeekIndex],20)=0,"",SUMIFS(T_PlannedOrders[EffectiveQty],T_PlannedOrders[Part Name],$A1099,T_PlannedOrders[WeekIndex],20)&amp;" ("&amp;TEXT(SUMPRODUCT(MAX((T_PlannedOrders[Part Name]=$A1099)*(T_PlannedOrders[WeekIndex]=20)*(T_PlannedOrders[EffectiveQty]&gt;0)*T_PlannedOrders[Order_Month])),"m月")&amp;"発注)")</f>
        <v/>
      </c>
      <c r="X1109">
        <f>IF(SUMIFS(T_PlannedOrders[EffectiveQty],T_PlannedOrders[Part Name],$A1099,T_PlannedOrders[WeekIndex],21)=0,"",SUMIFS(T_PlannedOrders[EffectiveQty],T_PlannedOrders[Part Name],$A1099,T_PlannedOrders[WeekIndex],21)&amp;" ("&amp;TEXT(SUMPRODUCT(MAX((T_PlannedOrders[Part Name]=$A1099)*(T_PlannedOrders[WeekIndex]=21)*(T_PlannedOrders[EffectiveQty]&gt;0)*T_PlannedOrders[Order_Month])),"m月")&amp;"発注)")</f>
        <v/>
      </c>
      <c r="Y1109">
        <f>IF(SUMIFS(T_PlannedOrders[EffectiveQty],T_PlannedOrders[Part Name],$A1099,T_PlannedOrders[WeekIndex],22)=0,"",SUMIFS(T_PlannedOrders[EffectiveQty],T_PlannedOrders[Part Name],$A1099,T_PlannedOrders[WeekIndex],22)&amp;" ("&amp;TEXT(SUMPRODUCT(MAX((T_PlannedOrders[Part Name]=$A1099)*(T_PlannedOrders[WeekIndex]=22)*(T_PlannedOrders[EffectiveQty]&gt;0)*T_PlannedOrders[Order_Month])),"m月")&amp;"発注)")</f>
        <v/>
      </c>
      <c r="Z1109">
        <f>IF(SUMIFS(T_PlannedOrders[EffectiveQty],T_PlannedOrders[Part Name],$A1099,T_PlannedOrders[WeekIndex],23)=0,"",SUMIFS(T_PlannedOrders[EffectiveQty],T_PlannedOrders[Part Name],$A1099,T_PlannedOrders[WeekIndex],23)&amp;" ("&amp;TEXT(SUMPRODUCT(MAX((T_PlannedOrders[Part Name]=$A1099)*(T_PlannedOrders[WeekIndex]=23)*(T_PlannedOrders[EffectiveQty]&gt;0)*T_PlannedOrders[Order_Month])),"m月")&amp;"発注)")</f>
        <v/>
      </c>
      <c r="AA1109">
        <f>IF(SUMIFS(T_PlannedOrders[EffectiveQty],T_PlannedOrders[Part Name],$A1099,T_PlannedOrders[WeekIndex],24)=0,"",SUMIFS(T_PlannedOrders[EffectiveQty],T_PlannedOrders[Part Name],$A1099,T_PlannedOrders[WeekIndex],24)&amp;" ("&amp;TEXT(SUMPRODUCT(MAX((T_PlannedOrders[Part Name]=$A1099)*(T_PlannedOrders[WeekIndex]=24)*(T_PlannedOrders[EffectiveQty]&gt;0)*T_PlannedOrders[Order_Month])),"m月")&amp;"発注)")</f>
        <v/>
      </c>
      <c r="AB1109">
        <f>IF(SUMIFS(T_PlannedOrders[EffectiveQty],T_PlannedOrders[Part Name],$A1099,T_PlannedOrders[WeekIndex],25)=0,"",SUMIFS(T_PlannedOrders[EffectiveQty],T_PlannedOrders[Part Name],$A1099,T_PlannedOrders[WeekIndex],25)&amp;" ("&amp;TEXT(SUMPRODUCT(MAX((T_PlannedOrders[Part Name]=$A1099)*(T_PlannedOrders[WeekIndex]=25)*(T_PlannedOrders[EffectiveQty]&gt;0)*T_PlannedOrders[Order_Month])),"m月")&amp;"発注)")</f>
        <v/>
      </c>
      <c r="AC1109">
        <f>IF(SUMIFS(T_PlannedOrders[EffectiveQty],T_PlannedOrders[Part Name],$A1099,T_PlannedOrders[WeekIndex],26)=0,"",SUMIFS(T_PlannedOrders[EffectiveQty],T_PlannedOrders[Part Name],$A1099,T_PlannedOrders[WeekIndex],26)&amp;" ("&amp;TEXT(SUMPRODUCT(MAX((T_PlannedOrders[Part Name]=$A1099)*(T_PlannedOrders[WeekIndex]=26)*(T_PlannedOrders[EffectiveQty]&gt;0)*T_PlannedOrders[Order_Month])),"m月")&amp;"発注)")</f>
        <v/>
      </c>
      <c r="AD1109">
        <f>IF(SUMIFS(T_PlannedOrders[EffectiveQty],T_PlannedOrders[Part Name],$A1099,T_PlannedOrders[WeekIndex],27)=0,"",SUMIFS(T_PlannedOrders[EffectiveQty],T_PlannedOrders[Part Name],$A1099,T_PlannedOrders[WeekIndex],27)&amp;" ("&amp;TEXT(SUMPRODUCT(MAX((T_PlannedOrders[Part Name]=$A1099)*(T_PlannedOrders[WeekIndex]=27)*(T_PlannedOrders[EffectiveQty]&gt;0)*T_PlannedOrders[Order_Month])),"m月")&amp;"発注)")</f>
        <v/>
      </c>
      <c r="AE1109">
        <f>IF(SUMIFS(T_PlannedOrders[EffectiveQty],T_PlannedOrders[Part Name],$A1099,T_PlannedOrders[WeekIndex],28)=0,"",SUMIFS(T_PlannedOrders[EffectiveQty],T_PlannedOrders[Part Name],$A1099,T_PlannedOrders[WeekIndex],28)&amp;" ("&amp;TEXT(SUMPRODUCT(MAX((T_PlannedOrders[Part Name]=$A1099)*(T_PlannedOrders[WeekIndex]=28)*(T_PlannedOrders[EffectiveQty]&gt;0)*T_PlannedOrders[Order_Month])),"m月")&amp;"発注)")</f>
        <v/>
      </c>
      <c r="AF1109">
        <f>IF(SUMIFS(T_PlannedOrders[EffectiveQty],T_PlannedOrders[Part Name],$A1099,T_PlannedOrders[WeekIndex],29)=0,"",SUMIFS(T_PlannedOrders[EffectiveQty],T_PlannedOrders[Part Name],$A1099,T_PlannedOrders[WeekIndex],29)&amp;" ("&amp;TEXT(SUMPRODUCT(MAX((T_PlannedOrders[Part Name]=$A1099)*(T_PlannedOrders[WeekIndex]=29)*(T_PlannedOrders[EffectiveQty]&gt;0)*T_PlannedOrders[Order_Month])),"m月")&amp;"発注)")</f>
        <v/>
      </c>
      <c r="AG1109">
        <f>IF(SUMIFS(T_PlannedOrders[EffectiveQty],T_PlannedOrders[Part Name],$A1099,T_PlannedOrders[WeekIndex],30)=0,"",SUMIFS(T_PlannedOrders[EffectiveQty],T_PlannedOrders[Part Name],$A1099,T_PlannedOrders[WeekIndex],30)&amp;" ("&amp;TEXT(SUMPRODUCT(MAX((T_PlannedOrders[Part Name]=$A1099)*(T_PlannedOrders[WeekIndex]=30)*(T_PlannedOrders[EffectiveQty]&gt;0)*T_PlannedOrders[Order_Month])),"m月")&amp;"発注)")</f>
        <v/>
      </c>
      <c r="AH1109">
        <f>IF(SUMIFS(T_PlannedOrders[EffectiveQty],T_PlannedOrders[Part Name],$A1099,T_PlannedOrders[WeekIndex],31)=0,"",SUMIFS(T_PlannedOrders[EffectiveQty],T_PlannedOrders[Part Name],$A1099,T_PlannedOrders[WeekIndex],31)&amp;" ("&amp;TEXT(SUMPRODUCT(MAX((T_PlannedOrders[Part Name]=$A1099)*(T_PlannedOrders[WeekIndex]=31)*(T_PlannedOrders[EffectiveQty]&gt;0)*T_PlannedOrders[Order_Month])),"m月")&amp;"発注)")</f>
        <v/>
      </c>
      <c r="AI1109">
        <f>IF(SUMIFS(T_PlannedOrders[EffectiveQty],T_PlannedOrders[Part Name],$A1099,T_PlannedOrders[WeekIndex],32)=0,"",SUMIFS(T_PlannedOrders[EffectiveQty],T_PlannedOrders[Part Name],$A1099,T_PlannedOrders[WeekIndex],32)&amp;" ("&amp;TEXT(SUMPRODUCT(MAX((T_PlannedOrders[Part Name]=$A1099)*(T_PlannedOrders[WeekIndex]=32)*(T_PlannedOrders[EffectiveQty]&gt;0)*T_PlannedOrders[Order_Month])),"m月")&amp;"発注)")</f>
        <v/>
      </c>
      <c r="AJ1109">
        <f>IF(SUMIFS(T_PlannedOrders[EffectiveQty],T_PlannedOrders[Part Name],$A1099,T_PlannedOrders[WeekIndex],33)=0,"",SUMIFS(T_PlannedOrders[EffectiveQty],T_PlannedOrders[Part Name],$A1099,T_PlannedOrders[WeekIndex],33)&amp;" ("&amp;TEXT(SUMPRODUCT(MAX((T_PlannedOrders[Part Name]=$A1099)*(T_PlannedOrders[WeekIndex]=33)*(T_PlannedOrders[EffectiveQty]&gt;0)*T_PlannedOrders[Order_Month])),"m月")&amp;"発注)")</f>
        <v/>
      </c>
      <c r="AK1109">
        <f>IF(SUMIFS(T_PlannedOrders[EffectiveQty],T_PlannedOrders[Part Name],$A1099,T_PlannedOrders[WeekIndex],34)=0,"",SUMIFS(T_PlannedOrders[EffectiveQty],T_PlannedOrders[Part Name],$A1099,T_PlannedOrders[WeekIndex],34)&amp;" ("&amp;TEXT(SUMPRODUCT(MAX((T_PlannedOrders[Part Name]=$A1099)*(T_PlannedOrders[WeekIndex]=34)*(T_PlannedOrders[EffectiveQty]&gt;0)*T_PlannedOrders[Order_Month])),"m月")&amp;"発注)")</f>
        <v/>
      </c>
      <c r="AL1109">
        <f>IF(SUMIFS(T_PlannedOrders[EffectiveQty],T_PlannedOrders[Part Name],$A1099,T_PlannedOrders[WeekIndex],35)=0,"",SUMIFS(T_PlannedOrders[EffectiveQty],T_PlannedOrders[Part Name],$A1099,T_PlannedOrders[WeekIndex],35)&amp;" ("&amp;TEXT(SUMPRODUCT(MAX((T_PlannedOrders[Part Name]=$A1099)*(T_PlannedOrders[WeekIndex]=35)*(T_PlannedOrders[EffectiveQty]&gt;0)*T_PlannedOrders[Order_Month])),"m月")&amp;"発注)")</f>
        <v/>
      </c>
      <c r="AM1109">
        <f>IF(SUMIFS(T_PlannedOrders[EffectiveQty],T_PlannedOrders[Part Name],$A1099,T_PlannedOrders[WeekIndex],36)=0,"",SUMIFS(T_PlannedOrders[EffectiveQty],T_PlannedOrders[Part Name],$A1099,T_PlannedOrders[WeekIndex],36)&amp;" ("&amp;TEXT(SUMPRODUCT(MAX((T_PlannedOrders[Part Name]=$A1099)*(T_PlannedOrders[WeekIndex]=36)*(T_PlannedOrders[EffectiveQty]&gt;0)*T_PlannedOrders[Order_Month])),"m月")&amp;"発注)")</f>
        <v/>
      </c>
      <c r="AN1109">
        <f>IF(SUMIFS(T_PlannedOrders[EffectiveQty],T_PlannedOrders[Part Name],$A1099,T_PlannedOrders[WeekIndex],37)=0,"",SUMIFS(T_PlannedOrders[EffectiveQty],T_PlannedOrders[Part Name],$A1099,T_PlannedOrders[WeekIndex],37)&amp;" ("&amp;TEXT(SUMPRODUCT(MAX((T_PlannedOrders[Part Name]=$A1099)*(T_PlannedOrders[WeekIndex]=37)*(T_PlannedOrders[EffectiveQty]&gt;0)*T_PlannedOrders[Order_Month])),"m月")&amp;"発注)")</f>
        <v/>
      </c>
      <c r="AO1109">
        <f>IF(SUMIFS(T_PlannedOrders[EffectiveQty],T_PlannedOrders[Part Name],$A1099,T_PlannedOrders[WeekIndex],38)=0,"",SUMIFS(T_PlannedOrders[EffectiveQty],T_PlannedOrders[Part Name],$A1099,T_PlannedOrders[WeekIndex],38)&amp;" ("&amp;TEXT(SUMPRODUCT(MAX((T_PlannedOrders[Part Name]=$A1099)*(T_PlannedOrders[WeekIndex]=38)*(T_PlannedOrders[EffectiveQty]&gt;0)*T_PlannedOrders[Order_Month])),"m月")&amp;"発注)")</f>
        <v/>
      </c>
      <c r="AP1109">
        <f>IF(SUMIFS(T_PlannedOrders[EffectiveQty],T_PlannedOrders[Part Name],$A1099,T_PlannedOrders[WeekIndex],39)=0,"",SUMIFS(T_PlannedOrders[EffectiveQty],T_PlannedOrders[Part Name],$A1099,T_PlannedOrders[WeekIndex],39)&amp;" ("&amp;TEXT(SUMPRODUCT(MAX((T_PlannedOrders[Part Name]=$A1099)*(T_PlannedOrders[WeekIndex]=39)*(T_PlannedOrders[EffectiveQty]&gt;0)*T_PlannedOrders[Order_Month])),"m月")&amp;"発注)")</f>
        <v/>
      </c>
      <c r="AQ1109">
        <f>IF(SUMIFS(T_PlannedOrders[EffectiveQty],T_PlannedOrders[Part Name],$A1099,T_PlannedOrders[WeekIndex],40)=0,"",SUMIFS(T_PlannedOrders[EffectiveQty],T_PlannedOrders[Part Name],$A1099,T_PlannedOrders[WeekIndex],40)&amp;" ("&amp;TEXT(SUMPRODUCT(MAX((T_PlannedOrders[Part Name]=$A1099)*(T_PlannedOrders[WeekIndex]=40)*(T_PlannedOrders[EffectiveQty]&gt;0)*T_PlannedOrders[Order_Month])),"m月")&amp;"発注)")</f>
        <v/>
      </c>
      <c r="AR1109">
        <f>IF(SUMIFS(T_PlannedOrders[EffectiveQty],T_PlannedOrders[Part Name],$A1099,T_PlannedOrders[WeekIndex],41)=0,"",SUMIFS(T_PlannedOrders[EffectiveQty],T_PlannedOrders[Part Name],$A1099,T_PlannedOrders[WeekIndex],41)&amp;" ("&amp;TEXT(SUMPRODUCT(MAX((T_PlannedOrders[Part Name]=$A1099)*(T_PlannedOrders[WeekIndex]=41)*(T_PlannedOrders[EffectiveQty]&gt;0)*T_PlannedOrders[Order_Month])),"m月")&amp;"発注)")</f>
        <v/>
      </c>
      <c r="AS1109">
        <f>IF(SUMIFS(T_PlannedOrders[EffectiveQty],T_PlannedOrders[Part Name],$A1099,T_PlannedOrders[WeekIndex],42)=0,"",SUMIFS(T_PlannedOrders[EffectiveQty],T_PlannedOrders[Part Name],$A1099,T_PlannedOrders[WeekIndex],42)&amp;" ("&amp;TEXT(SUMPRODUCT(MAX((T_PlannedOrders[Part Name]=$A1099)*(T_PlannedOrders[WeekIndex]=42)*(T_PlannedOrders[EffectiveQty]&gt;0)*T_PlannedOrders[Order_Month])),"m月")&amp;"発注)")</f>
        <v/>
      </c>
      <c r="AT1109">
        <f>IF(SUMIFS(T_PlannedOrders[EffectiveQty],T_PlannedOrders[Part Name],$A1099,T_PlannedOrders[WeekIndex],43)=0,"",SUMIFS(T_PlannedOrders[EffectiveQty],T_PlannedOrders[Part Name],$A1099,T_PlannedOrders[WeekIndex],43)&amp;" ("&amp;TEXT(SUMPRODUCT(MAX((T_PlannedOrders[Part Name]=$A1099)*(T_PlannedOrders[WeekIndex]=43)*(T_PlannedOrders[EffectiveQty]&gt;0)*T_PlannedOrders[Order_Month])),"m月")&amp;"発注)")</f>
        <v/>
      </c>
      <c r="AU1109">
        <f>IF(SUMIFS(T_PlannedOrders[EffectiveQty],T_PlannedOrders[Part Name],$A1099,T_PlannedOrders[WeekIndex],44)=0,"",SUMIFS(T_PlannedOrders[EffectiveQty],T_PlannedOrders[Part Name],$A1099,T_PlannedOrders[WeekIndex],44)&amp;" ("&amp;TEXT(SUMPRODUCT(MAX((T_PlannedOrders[Part Name]=$A1099)*(T_PlannedOrders[WeekIndex]=44)*(T_PlannedOrders[EffectiveQty]&gt;0)*T_PlannedOrders[Order_Month])),"m月")&amp;"発注)")</f>
        <v/>
      </c>
      <c r="AV1109">
        <f>IF(SUMIFS(T_PlannedOrders[EffectiveQty],T_PlannedOrders[Part Name],$A1099,T_PlannedOrders[WeekIndex],45)=0,"",SUMIFS(T_PlannedOrders[EffectiveQty],T_PlannedOrders[Part Name],$A1099,T_PlannedOrders[WeekIndex],45)&amp;" ("&amp;TEXT(SUMPRODUCT(MAX((T_PlannedOrders[Part Name]=$A1099)*(T_PlannedOrders[WeekIndex]=45)*(T_PlannedOrders[EffectiveQty]&gt;0)*T_PlannedOrders[Order_Month])),"m月")&amp;"発注)")</f>
        <v/>
      </c>
      <c r="AW1109">
        <f>IF(SUMIFS(T_PlannedOrders[EffectiveQty],T_PlannedOrders[Part Name],$A1099,T_PlannedOrders[WeekIndex],46)=0,"",SUMIFS(T_PlannedOrders[EffectiveQty],T_PlannedOrders[Part Name],$A1099,T_PlannedOrders[WeekIndex],46)&amp;" ("&amp;TEXT(SUMPRODUCT(MAX((T_PlannedOrders[Part Name]=$A1099)*(T_PlannedOrders[WeekIndex]=46)*(T_PlannedOrders[EffectiveQty]&gt;0)*T_PlannedOrders[Order_Month])),"m月")&amp;"発注)")</f>
        <v/>
      </c>
      <c r="AX1109">
        <f>IF(SUMIFS(T_PlannedOrders[EffectiveQty],T_PlannedOrders[Part Name],$A1099,T_PlannedOrders[WeekIndex],47)=0,"",SUMIFS(T_PlannedOrders[EffectiveQty],T_PlannedOrders[Part Name],$A1099,T_PlannedOrders[WeekIndex],47)&amp;" ("&amp;TEXT(SUMPRODUCT(MAX((T_PlannedOrders[Part Name]=$A1099)*(T_PlannedOrders[WeekIndex]=47)*(T_PlannedOrders[EffectiveQty]&gt;0)*T_PlannedOrders[Order_Month])),"m月")&amp;"発注)")</f>
        <v/>
      </c>
      <c r="AY1109">
        <f>IF(SUMIFS(T_PlannedOrders[EffectiveQty],T_PlannedOrders[Part Name],$A1099,T_PlannedOrders[WeekIndex],48)=0,"",SUMIFS(T_PlannedOrders[EffectiveQty],T_PlannedOrders[Part Name],$A1099,T_PlannedOrders[WeekIndex],48)&amp;" ("&amp;TEXT(SUMPRODUCT(MAX((T_PlannedOrders[Part Name]=$A1099)*(T_PlannedOrders[WeekIndex]=48)*(T_PlannedOrders[EffectiveQty]&gt;0)*T_PlannedOrders[Order_Month])),"m月")&amp;"発注)")</f>
        <v/>
      </c>
      <c r="AZ1109">
        <f>IF(SUMIFS(T_PlannedOrders[EffectiveQty],T_PlannedOrders[Part Name],$A1099,T_PlannedOrders[WeekIndex],49)=0,"",SUMIFS(T_PlannedOrders[EffectiveQty],T_PlannedOrders[Part Name],$A1099,T_PlannedOrders[WeekIndex],49)&amp;" ("&amp;TEXT(SUMPRODUCT(MAX((T_PlannedOrders[Part Name]=$A1099)*(T_PlannedOrders[WeekIndex]=49)*(T_PlannedOrders[EffectiveQty]&gt;0)*T_PlannedOrders[Order_Month])),"m月")&amp;"発注)")</f>
        <v/>
      </c>
      <c r="BA1109">
        <f>IF(SUMIFS(T_PlannedOrders[EffectiveQty],T_PlannedOrders[Part Name],$A1099,T_PlannedOrders[WeekIndex],50)=0,"",SUMIFS(T_PlannedOrders[EffectiveQty],T_PlannedOrders[Part Name],$A1099,T_PlannedOrders[WeekIndex],50)&amp;" ("&amp;TEXT(SUMPRODUCT(MAX((T_PlannedOrders[Part Name]=$A1099)*(T_PlannedOrders[WeekIndex]=50)*(T_PlannedOrders[EffectiveQty]&gt;0)*T_PlannedOrders[Order_Month])),"m月")&amp;"発注)")</f>
        <v/>
      </c>
      <c r="BB1109">
        <f>IF(SUMIFS(T_PlannedOrders[EffectiveQty],T_PlannedOrders[Part Name],$A1099,T_PlannedOrders[WeekIndex],51)=0,"",SUMIFS(T_PlannedOrders[EffectiveQty],T_PlannedOrders[Part Name],$A1099,T_PlannedOrders[WeekIndex],51)&amp;" ("&amp;TEXT(SUMPRODUCT(MAX((T_PlannedOrders[Part Name]=$A1099)*(T_PlannedOrders[WeekIndex]=51)*(T_PlannedOrders[EffectiveQty]&gt;0)*T_PlannedOrders[Order_Month])),"m月")&amp;"発注)")</f>
        <v/>
      </c>
      <c r="BC1109">
        <f>IF(SUMIFS(T_PlannedOrders[EffectiveQty],T_PlannedOrders[Part Name],$A1099,T_PlannedOrders[WeekIndex],52)=0,"",SUMIFS(T_PlannedOrders[EffectiveQty],T_PlannedOrders[Part Name],$A1099,T_PlannedOrders[WeekIndex],52)&amp;" ("&amp;TEXT(SUMPRODUCT(MAX((T_PlannedOrders[Part Name]=$A1099)*(T_PlannedOrders[WeekIndex]=52)*(T_PlannedOrders[EffectiveQty]&gt;0)*T_PlannedOrders[Order_Month])),"m月")&amp;"発注)")</f>
        <v/>
      </c>
      <c r="BD1109">
        <f>IF(SUMIFS(T_PlannedOrders[EffectiveQty],T_PlannedOrders[Part Name],$A1099,T_PlannedOrders[WeekIndex],53)=0,"",SUMIFS(T_PlannedOrders[EffectiveQty],T_PlannedOrders[Part Name],$A1099,T_PlannedOrders[WeekIndex],53)&amp;" ("&amp;TEXT(SUMPRODUCT(MAX((T_PlannedOrders[Part Name]=$A1099)*(T_PlannedOrders[WeekIndex]=53)*(T_PlannedOrders[EffectiveQty]&gt;0)*T_PlannedOrders[Order_Month])),"m月")&amp;"発注)")</f>
        <v/>
      </c>
      <c r="BE1109">
        <f>IF(SUMIFS(T_PlannedOrders[EffectiveQty],T_PlannedOrders[Part Name],$A1099,T_PlannedOrders[WeekIndex],54)=0,"",SUMIFS(T_PlannedOrders[EffectiveQty],T_PlannedOrders[Part Name],$A1099,T_PlannedOrders[WeekIndex],54)&amp;" ("&amp;TEXT(SUMPRODUCT(MAX((T_PlannedOrders[Part Name]=$A1099)*(T_PlannedOrders[WeekIndex]=54)*(T_PlannedOrders[EffectiveQty]&gt;0)*T_PlannedOrders[Order_Month])),"m月")&amp;"発注)")</f>
        <v/>
      </c>
      <c r="BF1109">
        <f>IF(SUMIFS(T_PlannedOrders[EffectiveQty],T_PlannedOrders[Part Name],$A1099,T_PlannedOrders[WeekIndex],55)=0,"",SUMIFS(T_PlannedOrders[EffectiveQty],T_PlannedOrders[Part Name],$A1099,T_PlannedOrders[WeekIndex],55)&amp;" ("&amp;TEXT(SUMPRODUCT(MAX((T_PlannedOrders[Part Name]=$A1099)*(T_PlannedOrders[WeekIndex]=55)*(T_PlannedOrders[EffectiveQty]&gt;0)*T_PlannedOrders[Order_Month])),"m月")&amp;"発注)")</f>
        <v/>
      </c>
      <c r="BG1109">
        <f>IF(SUMIFS(T_PlannedOrders[EffectiveQty],T_PlannedOrders[Part Name],$A1099,T_PlannedOrders[WeekIndex],56)=0,"",SUMIFS(T_PlannedOrders[EffectiveQty],T_PlannedOrders[Part Name],$A1099,T_PlannedOrders[WeekIndex],56)&amp;" ("&amp;TEXT(SUMPRODUCT(MAX((T_PlannedOrders[Part Name]=$A1099)*(T_PlannedOrders[WeekIndex]=56)*(T_PlannedOrders[EffectiveQty]&gt;0)*T_PlannedOrders[Order_Month])),"m月")&amp;"発注)")</f>
        <v/>
      </c>
      <c r="BH1109">
        <f>IF(SUMIFS(T_PlannedOrders[EffectiveQty],T_PlannedOrders[Part Name],$A1099,T_PlannedOrders[WeekIndex],57)=0,"",SUMIFS(T_PlannedOrders[EffectiveQty],T_PlannedOrders[Part Name],$A1099,T_PlannedOrders[WeekIndex],57)&amp;" ("&amp;TEXT(SUMPRODUCT(MAX((T_PlannedOrders[Part Name]=$A1099)*(T_PlannedOrders[WeekIndex]=57)*(T_PlannedOrders[EffectiveQty]&gt;0)*T_PlannedOrders[Order_Month])),"m月")&amp;"発注)")</f>
        <v/>
      </c>
      <c r="BI1109">
        <f>IF(SUMIFS(T_PlannedOrders[EffectiveQty],T_PlannedOrders[Part Name],$A1099,T_PlannedOrders[WeekIndex],58)=0,"",SUMIFS(T_PlannedOrders[EffectiveQty],T_PlannedOrders[Part Name],$A1099,T_PlannedOrders[WeekIndex],58)&amp;" ("&amp;TEXT(SUMPRODUCT(MAX((T_PlannedOrders[Part Name]=$A1099)*(T_PlannedOrders[WeekIndex]=58)*(T_PlannedOrders[EffectiveQty]&gt;0)*T_PlannedOrders[Order_Month])),"m月")&amp;"発注)")</f>
        <v/>
      </c>
      <c r="BJ1109">
        <f>IF(SUMIFS(T_PlannedOrders[EffectiveQty],T_PlannedOrders[Part Name],$A1099,T_PlannedOrders[WeekIndex],59)=0,"",SUMIFS(T_PlannedOrders[EffectiveQty],T_PlannedOrders[Part Name],$A1099,T_PlannedOrders[WeekIndex],59)&amp;" ("&amp;TEXT(SUMPRODUCT(MAX((T_PlannedOrders[Part Name]=$A1099)*(T_PlannedOrders[WeekIndex]=59)*(T_PlannedOrders[EffectiveQty]&gt;0)*T_PlannedOrders[Order_Month])),"m月")&amp;"発注)")</f>
        <v/>
      </c>
      <c r="BK1109">
        <f>IF(SUMIFS(T_PlannedOrders[EffectiveQty],T_PlannedOrders[Part Name],$A1099,T_PlannedOrders[WeekIndex],60)=0,"",SUMIFS(T_PlannedOrders[EffectiveQty],T_PlannedOrders[Part Name],$A1099,T_PlannedOrders[WeekIndex],60)&amp;" ("&amp;TEXT(SUMPRODUCT(MAX((T_PlannedOrders[Part Name]=$A1099)*(T_PlannedOrders[WeekIndex]=60)*(T_PlannedOrders[EffectiveQty]&gt;0)*T_PlannedOrders[Order_Month])),"m月")&amp;"発注)")</f>
        <v/>
      </c>
      <c r="BL1109">
        <f>IF(SUMIFS(T_PlannedOrders[EffectiveQty],T_PlannedOrders[Part Name],$A1099,T_PlannedOrders[WeekIndex],61)=0,"",SUMIFS(T_PlannedOrders[EffectiveQty],T_PlannedOrders[Part Name],$A1099,T_PlannedOrders[WeekIndex],61)&amp;" ("&amp;TEXT(SUMPRODUCT(MAX((T_PlannedOrders[Part Name]=$A1099)*(T_PlannedOrders[WeekIndex]=61)*(T_PlannedOrders[EffectiveQty]&gt;0)*T_PlannedOrders[Order_Month])),"m月")&amp;"発注)")</f>
        <v/>
      </c>
      <c r="BM1109">
        <f>IF(SUMIFS(T_PlannedOrders[EffectiveQty],T_PlannedOrders[Part Name],$A1099,T_PlannedOrders[WeekIndex],62)=0,"",SUMIFS(T_PlannedOrders[EffectiveQty],T_PlannedOrders[Part Name],$A1099,T_PlannedOrders[WeekIndex],62)&amp;" ("&amp;TEXT(SUMPRODUCT(MAX((T_PlannedOrders[Part Name]=$A1099)*(T_PlannedOrders[WeekIndex]=62)*(T_PlannedOrders[EffectiveQty]&gt;0)*T_PlannedOrders[Order_Month])),"m月")&amp;"発注)")</f>
        <v/>
      </c>
      <c r="BN1109">
        <f>IF(SUMIFS(T_PlannedOrders[EffectiveQty],T_PlannedOrders[Part Name],$A1099,T_PlannedOrders[WeekIndex],63)=0,"",SUMIFS(T_PlannedOrders[EffectiveQty],T_PlannedOrders[Part Name],$A1099,T_PlannedOrders[WeekIndex],63)&amp;" ("&amp;TEXT(SUMPRODUCT(MAX((T_PlannedOrders[Part Name]=$A1099)*(T_PlannedOrders[WeekIndex]=63)*(T_PlannedOrders[EffectiveQty]&gt;0)*T_PlannedOrders[Order_Month])),"m月")&amp;"発注)")</f>
        <v/>
      </c>
      <c r="BO1109">
        <f>IF(SUMIFS(T_PlannedOrders[EffectiveQty],T_PlannedOrders[Part Name],$A1099,T_PlannedOrders[WeekIndex],64)=0,"",SUMIFS(T_PlannedOrders[EffectiveQty],T_PlannedOrders[Part Name],$A1099,T_PlannedOrders[WeekIndex],64)&amp;" ("&amp;TEXT(SUMPRODUCT(MAX((T_PlannedOrders[Part Name]=$A1099)*(T_PlannedOrders[WeekIndex]=64)*(T_PlannedOrders[EffectiveQty]&gt;0)*T_PlannedOrders[Order_Month])),"m月")&amp;"発注)")</f>
        <v/>
      </c>
      <c r="BP1109">
        <f>IF(SUMIFS(T_PlannedOrders[EffectiveQty],T_PlannedOrders[Part Name],$A1099,T_PlannedOrders[WeekIndex],65)=0,"",SUMIFS(T_PlannedOrders[EffectiveQty],T_PlannedOrders[Part Name],$A1099,T_PlannedOrders[WeekIndex],65)&amp;" ("&amp;TEXT(SUMPRODUCT(MAX((T_PlannedOrders[Part Name]=$A1099)*(T_PlannedOrders[WeekIndex]=65)*(T_PlannedOrders[EffectiveQty]&gt;0)*T_PlannedOrders[Order_Month])),"m月")&amp;"発注)")</f>
        <v/>
      </c>
      <c r="BQ1109">
        <f>IF(SUMIFS(T_PlannedOrders[EffectiveQty],T_PlannedOrders[Part Name],$A1099,T_PlannedOrders[WeekIndex],66)=0,"",SUMIFS(T_PlannedOrders[EffectiveQty],T_PlannedOrders[Part Name],$A1099,T_PlannedOrders[WeekIndex],66)&amp;" ("&amp;TEXT(SUMPRODUCT(MAX((T_PlannedOrders[Part Name]=$A1099)*(T_PlannedOrders[WeekIndex]=66)*(T_PlannedOrders[EffectiveQty]&gt;0)*T_PlannedOrders[Order_Month])),"m月")&amp;"発注)")</f>
        <v/>
      </c>
      <c r="BR1109">
        <f>IF(SUMIFS(T_PlannedOrders[EffectiveQty],T_PlannedOrders[Part Name],$A1099,T_PlannedOrders[WeekIndex],67)=0,"",SUMIFS(T_PlannedOrders[EffectiveQty],T_PlannedOrders[Part Name],$A1099,T_PlannedOrders[WeekIndex],67)&amp;" ("&amp;TEXT(SUMPRODUCT(MAX((T_PlannedOrders[Part Name]=$A1099)*(T_PlannedOrders[WeekIndex]=67)*(T_PlannedOrders[EffectiveQty]&gt;0)*T_PlannedOrders[Order_Month])),"m月")&amp;"発注)")</f>
        <v/>
      </c>
      <c r="BS1109">
        <f>IF(SUMIFS(T_PlannedOrders[EffectiveQty],T_PlannedOrders[Part Name],$A1099,T_PlannedOrders[WeekIndex],68)=0,"",SUMIFS(T_PlannedOrders[EffectiveQty],T_PlannedOrders[Part Name],$A1099,T_PlannedOrders[WeekIndex],68)&amp;" ("&amp;TEXT(SUMPRODUCT(MAX((T_PlannedOrders[Part Name]=$A1099)*(T_PlannedOrders[WeekIndex]=68)*(T_PlannedOrders[EffectiveQty]&gt;0)*T_PlannedOrders[Order_Month])),"m月")&amp;"発注)")</f>
        <v/>
      </c>
      <c r="BT1109">
        <f>IF(SUMIFS(T_PlannedOrders[EffectiveQty],T_PlannedOrders[Part Name],$A1099,T_PlannedOrders[WeekIndex],69)=0,"",SUMIFS(T_PlannedOrders[EffectiveQty],T_PlannedOrders[Part Name],$A1099,T_PlannedOrders[WeekIndex],69)&amp;" ("&amp;TEXT(SUMPRODUCT(MAX((T_PlannedOrders[Part Name]=$A1099)*(T_PlannedOrders[WeekIndex]=69)*(T_PlannedOrders[EffectiveQty]&gt;0)*T_PlannedOrders[Order_Month])),"m月")&amp;"発注)")</f>
        <v/>
      </c>
      <c r="BU1109">
        <f>IF(SUMIFS(T_PlannedOrders[EffectiveQty],T_PlannedOrders[Part Name],$A1099,T_PlannedOrders[WeekIndex],70)=0,"",SUMIFS(T_PlannedOrders[EffectiveQty],T_PlannedOrders[Part Name],$A1099,T_PlannedOrders[WeekIndex],70)&amp;" ("&amp;TEXT(SUMPRODUCT(MAX((T_PlannedOrders[Part Name]=$A1099)*(T_PlannedOrders[WeekIndex]=70)*(T_PlannedOrders[EffectiveQty]&gt;0)*T_PlannedOrders[Order_Month])),"m月")&amp;"発注)")</f>
        <v/>
      </c>
      <c r="BV1109">
        <f>IF(SUMIFS(T_PlannedOrders[EffectiveQty],T_PlannedOrders[Part Name],$A1099,T_PlannedOrders[WeekIndex],71)=0,"",SUMIFS(T_PlannedOrders[EffectiveQty],T_PlannedOrders[Part Name],$A1099,T_PlannedOrders[WeekIndex],71)&amp;" ("&amp;TEXT(SUMPRODUCT(MAX((T_PlannedOrders[Part Name]=$A1099)*(T_PlannedOrders[WeekIndex]=71)*(T_PlannedOrders[EffectiveQty]&gt;0)*T_PlannedOrders[Order_Month])),"m月")&amp;"発注)")</f>
        <v/>
      </c>
      <c r="BW1109">
        <f>IF(SUMIFS(T_PlannedOrders[EffectiveQty],T_PlannedOrders[Part Name],$A1099,T_PlannedOrders[WeekIndex],72)=0,"",SUMIFS(T_PlannedOrders[EffectiveQty],T_PlannedOrders[Part Name],$A1099,T_PlannedOrders[WeekIndex],72)&amp;" ("&amp;TEXT(SUMPRODUCT(MAX((T_PlannedOrders[Part Name]=$A1099)*(T_PlannedOrders[WeekIndex]=72)*(T_PlannedOrders[EffectiveQty]&gt;0)*T_PlannedOrders[Order_Month])),"m月")&amp;"発注)")</f>
        <v/>
      </c>
      <c r="BX1109">
        <f>IF(SUMIFS(T_PlannedOrders[EffectiveQty],T_PlannedOrders[Part Name],$A1099,T_PlannedOrders[WeekIndex],73)=0,"",SUMIFS(T_PlannedOrders[EffectiveQty],T_PlannedOrders[Part Name],$A1099,T_PlannedOrders[WeekIndex],73)&amp;" ("&amp;TEXT(SUMPRODUCT(MAX((T_PlannedOrders[Part Name]=$A1099)*(T_PlannedOrders[WeekIndex]=73)*(T_PlannedOrders[EffectiveQty]&gt;0)*T_PlannedOrders[Order_Month])),"m月")&amp;"発注)")</f>
        <v/>
      </c>
      <c r="BY1109">
        <f>IF(SUMIFS(T_PlannedOrders[EffectiveQty],T_PlannedOrders[Part Name],$A1099,T_PlannedOrders[WeekIndex],74)=0,"",SUMIFS(T_PlannedOrders[EffectiveQty],T_PlannedOrders[Part Name],$A1099,T_PlannedOrders[WeekIndex],74)&amp;" ("&amp;TEXT(SUMPRODUCT(MAX((T_PlannedOrders[Part Name]=$A1099)*(T_PlannedOrders[WeekIndex]=74)*(T_PlannedOrders[EffectiveQty]&gt;0)*T_PlannedOrders[Order_Month])),"m月")&amp;"発注)")</f>
        <v/>
      </c>
      <c r="BZ1109">
        <f>IF(SUMIFS(T_PlannedOrders[EffectiveQty],T_PlannedOrders[Part Name],$A1099,T_PlannedOrders[WeekIndex],75)=0,"",SUMIFS(T_PlannedOrders[EffectiveQty],T_PlannedOrders[Part Name],$A1099,T_PlannedOrders[WeekIndex],75)&amp;" ("&amp;TEXT(SUMPRODUCT(MAX((T_PlannedOrders[Part Name]=$A1099)*(T_PlannedOrders[WeekIndex]=75)*(T_PlannedOrders[EffectiveQty]&gt;0)*T_PlannedOrders[Order_Month])),"m月")&amp;"発注)")</f>
        <v/>
      </c>
      <c r="CA1109">
        <f>IF(SUMIFS(T_PlannedOrders[EffectiveQty],T_PlannedOrders[Part Name],$A1099,T_PlannedOrders[WeekIndex],76)=0,"",SUMIFS(T_PlannedOrders[EffectiveQty],T_PlannedOrders[Part Name],$A1099,T_PlannedOrders[WeekIndex],76)&amp;" ("&amp;TEXT(SUMPRODUCT(MAX((T_PlannedOrders[Part Name]=$A1099)*(T_PlannedOrders[WeekIndex]=76)*(T_PlannedOrders[EffectiveQty]&gt;0)*T_PlannedOrders[Order_Month])),"m月")&amp;"発注)")</f>
        <v/>
      </c>
      <c r="CB1109">
        <f>IF(SUMIFS(T_PlannedOrders[EffectiveQty],T_PlannedOrders[Part Name],$A1099,T_PlannedOrders[WeekIndex],77)=0,"",SUMIFS(T_PlannedOrders[EffectiveQty],T_PlannedOrders[Part Name],$A1099,T_PlannedOrders[WeekIndex],77)&amp;" ("&amp;TEXT(SUMPRODUCT(MAX((T_PlannedOrders[Part Name]=$A1099)*(T_PlannedOrders[WeekIndex]=77)*(T_PlannedOrders[EffectiveQty]&gt;0)*T_PlannedOrders[Order_Month])),"m月")&amp;"発注)")</f>
        <v/>
      </c>
      <c r="CC1109">
        <f>IF(SUMIFS(T_PlannedOrders[EffectiveQty],T_PlannedOrders[Part Name],$A1099,T_PlannedOrders[WeekIndex],78)=0,"",SUMIFS(T_PlannedOrders[EffectiveQty],T_PlannedOrders[Part Name],$A1099,T_PlannedOrders[WeekIndex],78)&amp;" ("&amp;TEXT(SUMPRODUCT(MAX((T_PlannedOrders[Part Name]=$A1099)*(T_PlannedOrders[WeekIndex]=78)*(T_PlannedOrders[EffectiveQty]&gt;0)*T_PlannedOrders[Order_Month])),"m月")&amp;"発注)")</f>
        <v/>
      </c>
      <c r="CD1109">
        <f>IF(SUMIFS(T_PlannedOrders[EffectiveQty],T_PlannedOrders[Part Name],$A1099,T_PlannedOrders[WeekIndex],79)=0,"",SUMIFS(T_PlannedOrders[EffectiveQty],T_PlannedOrders[Part Name],$A1099,T_PlannedOrders[WeekIndex],79)&amp;" ("&amp;TEXT(SUMPRODUCT(MAX((T_PlannedOrders[Part Name]=$A1099)*(T_PlannedOrders[WeekIndex]=79)*(T_PlannedOrders[EffectiveQty]&gt;0)*T_PlannedOrders[Order_Month])),"m月")&amp;"発注)")</f>
        <v/>
      </c>
      <c r="CE1109">
        <f>IF(SUMIFS(T_PlannedOrders[EffectiveQty],T_PlannedOrders[Part Name],$A1099,T_PlannedOrders[WeekIndex],80)=0,"",SUMIFS(T_PlannedOrders[EffectiveQty],T_PlannedOrders[Part Name],$A1099,T_PlannedOrders[WeekIndex],80)&amp;" ("&amp;TEXT(SUMPRODUCT(MAX((T_PlannedOrders[Part Name]=$A1099)*(T_PlannedOrders[WeekIndex]=80)*(T_PlannedOrders[EffectiveQty]&gt;0)*T_PlannedOrders[Order_Month])),"m月")&amp;"発注)")</f>
        <v/>
      </c>
      <c r="CF1109">
        <f>IF(SUMIFS(T_PlannedOrders[EffectiveQty],T_PlannedOrders[Part Name],$A1099,T_PlannedOrders[WeekIndex],81)=0,"",SUMIFS(T_PlannedOrders[EffectiveQty],T_PlannedOrders[Part Name],$A1099,T_PlannedOrders[WeekIndex],81)&amp;" ("&amp;TEXT(SUMPRODUCT(MAX((T_PlannedOrders[Part Name]=$A1099)*(T_PlannedOrders[WeekIndex]=81)*(T_PlannedOrders[EffectiveQty]&gt;0)*T_PlannedOrders[Order_Month])),"m月")&amp;"発注)")</f>
        <v/>
      </c>
      <c r="CG1109">
        <f>IF(SUMIFS(T_PlannedOrders[EffectiveQty],T_PlannedOrders[Part Name],$A1099,T_PlannedOrders[WeekIndex],82)=0,"",SUMIFS(T_PlannedOrders[EffectiveQty],T_PlannedOrders[Part Name],$A1099,T_PlannedOrders[WeekIndex],82)&amp;" ("&amp;TEXT(SUMPRODUCT(MAX((T_PlannedOrders[Part Name]=$A1099)*(T_PlannedOrders[WeekIndex]=82)*(T_PlannedOrders[EffectiveQty]&gt;0)*T_PlannedOrders[Order_Month])),"m月")&amp;"発注)")</f>
        <v/>
      </c>
      <c r="CH1109">
        <f>IF(SUMIFS(T_PlannedOrders[EffectiveQty],T_PlannedOrders[Part Name],$A1099,T_PlannedOrders[WeekIndex],83)=0,"",SUMIFS(T_PlannedOrders[EffectiveQty],T_PlannedOrders[Part Name],$A1099,T_PlannedOrders[WeekIndex],83)&amp;" ("&amp;TEXT(SUMPRODUCT(MAX((T_PlannedOrders[Part Name]=$A1099)*(T_PlannedOrders[WeekIndex]=83)*(T_PlannedOrders[EffectiveQty]&gt;0)*T_PlannedOrders[Order_Month])),"m月")&amp;"発注)")</f>
        <v/>
      </c>
      <c r="CI1109">
        <f>IF(SUMIFS(T_PlannedOrders[EffectiveQty],T_PlannedOrders[Part Name],$A1099,T_PlannedOrders[WeekIndex],84)=0,"",SUMIFS(T_PlannedOrders[EffectiveQty],T_PlannedOrders[Part Name],$A1099,T_PlannedOrders[WeekIndex],84)&amp;" ("&amp;TEXT(SUMPRODUCT(MAX((T_PlannedOrders[Part Name]=$A1099)*(T_PlannedOrders[WeekIndex]=84)*(T_PlannedOrders[EffectiveQty]&gt;0)*T_PlannedOrders[Order_Month])),"m月")&amp;"発注)")</f>
        <v/>
      </c>
      <c r="CJ1109">
        <f>IF(SUMIFS(T_PlannedOrders[EffectiveQty],T_PlannedOrders[Part Name],$A1099,T_PlannedOrders[WeekIndex],85)=0,"",SUMIFS(T_PlannedOrders[EffectiveQty],T_PlannedOrders[Part Name],$A1099,T_PlannedOrders[WeekIndex],85)&amp;" ("&amp;TEXT(SUMPRODUCT(MAX((T_PlannedOrders[Part Name]=$A1099)*(T_PlannedOrders[WeekIndex]=85)*(T_PlannedOrders[EffectiveQty]&gt;0)*T_PlannedOrders[Order_Month])),"m月")&amp;"発注)")</f>
        <v/>
      </c>
      <c r="CK1109">
        <f>IF(SUMIFS(T_PlannedOrders[EffectiveQty],T_PlannedOrders[Part Name],$A1099,T_PlannedOrders[WeekIndex],86)=0,"",SUMIFS(T_PlannedOrders[EffectiveQty],T_PlannedOrders[Part Name],$A1099,T_PlannedOrders[WeekIndex],86)&amp;" ("&amp;TEXT(SUMPRODUCT(MAX((T_PlannedOrders[Part Name]=$A1099)*(T_PlannedOrders[WeekIndex]=86)*(T_PlannedOrders[EffectiveQty]&gt;0)*T_PlannedOrders[Order_Month])),"m月")&amp;"発注)")</f>
        <v/>
      </c>
      <c r="CL1109">
        <f>IF(SUMIFS(T_PlannedOrders[EffectiveQty],T_PlannedOrders[Part Name],$A1099,T_PlannedOrders[WeekIndex],87)=0,"",SUMIFS(T_PlannedOrders[EffectiveQty],T_PlannedOrders[Part Name],$A1099,T_PlannedOrders[WeekIndex],87)&amp;" ("&amp;TEXT(SUMPRODUCT(MAX((T_PlannedOrders[Part Name]=$A1099)*(T_PlannedOrders[WeekIndex]=87)*(T_PlannedOrders[EffectiveQty]&gt;0)*T_PlannedOrders[Order_Month])),"m月")&amp;"発注)")</f>
        <v/>
      </c>
      <c r="CM1109">
        <f>IF(SUMIFS(T_PlannedOrders[EffectiveQty],T_PlannedOrders[Part Name],$A1099,T_PlannedOrders[WeekIndex],88)=0,"",SUMIFS(T_PlannedOrders[EffectiveQty],T_PlannedOrders[Part Name],$A1099,T_PlannedOrders[WeekIndex],88)&amp;" ("&amp;TEXT(SUMPRODUCT(MAX((T_PlannedOrders[Part Name]=$A1099)*(T_PlannedOrders[WeekIndex]=88)*(T_PlannedOrders[EffectiveQty]&gt;0)*T_PlannedOrders[Order_Month])),"m月")&amp;"発注)")</f>
        <v/>
      </c>
      <c r="CN1109">
        <f>IF(SUMIFS(T_PlannedOrders[EffectiveQty],T_PlannedOrders[Part Name],$A1099,T_PlannedOrders[WeekIndex],89)=0,"",SUMIFS(T_PlannedOrders[EffectiveQty],T_PlannedOrders[Part Name],$A1099,T_PlannedOrders[WeekIndex],89)&amp;" ("&amp;TEXT(SUMPRODUCT(MAX((T_PlannedOrders[Part Name]=$A1099)*(T_PlannedOrders[WeekIndex]=89)*(T_PlannedOrders[EffectiveQty]&gt;0)*T_PlannedOrders[Order_Month])),"m月")&amp;"発注)")</f>
        <v/>
      </c>
      <c r="CO1109">
        <f>IF(SUMIFS(T_PlannedOrders[EffectiveQty],T_PlannedOrders[Part Name],$A1099,T_PlannedOrders[WeekIndex],90)=0,"",SUMIFS(T_PlannedOrders[EffectiveQty],T_PlannedOrders[Part Name],$A1099,T_PlannedOrders[WeekIndex],90)&amp;" ("&amp;TEXT(SUMPRODUCT(MAX((T_PlannedOrders[Part Name]=$A1099)*(T_PlannedOrders[WeekIndex]=90)*(T_PlannedOrders[EffectiveQty]&gt;0)*T_PlannedOrders[Order_Month])),"m月")&amp;"発注)")</f>
        <v/>
      </c>
      <c r="CP1109">
        <f>IF(SUMIFS(T_PlannedOrders[EffectiveQty],T_PlannedOrders[Part Name],$A1099,T_PlannedOrders[WeekIndex],91)=0,"",SUMIFS(T_PlannedOrders[EffectiveQty],T_PlannedOrders[Part Name],$A1099,T_PlannedOrders[WeekIndex],91)&amp;" ("&amp;TEXT(SUMPRODUCT(MAX((T_PlannedOrders[Part Name]=$A1099)*(T_PlannedOrders[WeekIndex]=91)*(T_PlannedOrders[EffectiveQty]&gt;0)*T_PlannedOrders[Order_Month])),"m月")&amp;"発注)")</f>
        <v/>
      </c>
      <c r="CQ1109">
        <f>IF(SUMIFS(T_PlannedOrders[EffectiveQty],T_PlannedOrders[Part Name],$A1099,T_PlannedOrders[WeekIndex],92)=0,"",SUMIFS(T_PlannedOrders[EffectiveQty],T_PlannedOrders[Part Name],$A1099,T_PlannedOrders[WeekIndex],92)&amp;" ("&amp;TEXT(SUMPRODUCT(MAX((T_PlannedOrders[Part Name]=$A1099)*(T_PlannedOrders[WeekIndex]=92)*(T_PlannedOrders[EffectiveQty]&gt;0)*T_PlannedOrders[Order_Month])),"m月")&amp;"発注)")</f>
        <v/>
      </c>
      <c r="CR1109">
        <f>IF(SUMIFS(T_PlannedOrders[EffectiveQty],T_PlannedOrders[Part Name],$A1099,T_PlannedOrders[WeekIndex],93)=0,"",SUMIFS(T_PlannedOrders[EffectiveQty],T_PlannedOrders[Part Name],$A1099,T_PlannedOrders[WeekIndex],93)&amp;" ("&amp;TEXT(SUMPRODUCT(MAX((T_PlannedOrders[Part Name]=$A1099)*(T_PlannedOrders[WeekIndex]=93)*(T_PlannedOrders[EffectiveQty]&gt;0)*T_PlannedOrders[Order_Month])),"m月")&amp;"発注)")</f>
        <v/>
      </c>
      <c r="CS1109">
        <f>IF(SUMIFS(T_PlannedOrders[EffectiveQty],T_PlannedOrders[Part Name],$A1099,T_PlannedOrders[WeekIndex],94)=0,"",SUMIFS(T_PlannedOrders[EffectiveQty],T_PlannedOrders[Part Name],$A1099,T_PlannedOrders[WeekIndex],94)&amp;" ("&amp;TEXT(SUMPRODUCT(MAX((T_PlannedOrders[Part Name]=$A1099)*(T_PlannedOrders[WeekIndex]=94)*(T_PlannedOrders[EffectiveQty]&gt;0)*T_PlannedOrders[Order_Month])),"m月")&amp;"発注)")</f>
        <v/>
      </c>
      <c r="CT1109">
        <f>IF(SUMIFS(T_PlannedOrders[EffectiveQty],T_PlannedOrders[Part Name],$A1099,T_PlannedOrders[WeekIndex],95)=0,"",SUMIFS(T_PlannedOrders[EffectiveQty],T_PlannedOrders[Part Name],$A1099,T_PlannedOrders[WeekIndex],95)&amp;" ("&amp;TEXT(SUMPRODUCT(MAX((T_PlannedOrders[Part Name]=$A1099)*(T_PlannedOrders[WeekIndex]=95)*(T_PlannedOrders[EffectiveQty]&gt;0)*T_PlannedOrders[Order_Month])),"m月")&amp;"発注)")</f>
        <v/>
      </c>
      <c r="CU1109">
        <f>IF(SUMIFS(T_PlannedOrders[EffectiveQty],T_PlannedOrders[Part Name],$A1099,T_PlannedOrders[WeekIndex],96)=0,"",SUMIFS(T_PlannedOrders[EffectiveQty],T_PlannedOrders[Part Name],$A1099,T_PlannedOrders[WeekIndex],96)&amp;" ("&amp;TEXT(SUMPRODUCT(MAX((T_PlannedOrders[Part Name]=$A1099)*(T_PlannedOrders[WeekIndex]=96)*(T_PlannedOrders[EffectiveQty]&gt;0)*T_PlannedOrders[Order_Month])),"m月")&amp;"発注)")</f>
        <v/>
      </c>
      <c r="CV1109">
        <f>IF(SUMIFS(T_PlannedOrders[EffectiveQty],T_PlannedOrders[Part Name],$A1099,T_PlannedOrders[WeekIndex],97)=0,"",SUMIFS(T_PlannedOrders[EffectiveQty],T_PlannedOrders[Part Name],$A1099,T_PlannedOrders[WeekIndex],97)&amp;" ("&amp;TEXT(SUMPRODUCT(MAX((T_PlannedOrders[Part Name]=$A1099)*(T_PlannedOrders[WeekIndex]=97)*(T_PlannedOrders[EffectiveQty]&gt;0)*T_PlannedOrders[Order_Month])),"m月")&amp;"発注)")</f>
        <v/>
      </c>
      <c r="CW1109">
        <f>IF(SUMIFS(T_PlannedOrders[EffectiveQty],T_PlannedOrders[Part Name],$A1099,T_PlannedOrders[WeekIndex],98)=0,"",SUMIFS(T_PlannedOrders[EffectiveQty],T_PlannedOrders[Part Name],$A1099,T_PlannedOrders[WeekIndex],98)&amp;" ("&amp;TEXT(SUMPRODUCT(MAX((T_PlannedOrders[Part Name]=$A1099)*(T_PlannedOrders[WeekIndex]=98)*(T_PlannedOrders[EffectiveQty]&gt;0)*T_PlannedOrders[Order_Month])),"m月")&amp;"発注)")</f>
        <v/>
      </c>
      <c r="CX1109">
        <f>IF(SUMIFS(T_PlannedOrders[EffectiveQty],T_PlannedOrders[Part Name],$A1099,T_PlannedOrders[WeekIndex],99)=0,"",SUMIFS(T_PlannedOrders[EffectiveQty],T_PlannedOrders[Part Name],$A1099,T_PlannedOrders[WeekIndex],99)&amp;" ("&amp;TEXT(SUMPRODUCT(MAX((T_PlannedOrders[Part Name]=$A1099)*(T_PlannedOrders[WeekIndex]=99)*(T_PlannedOrders[EffectiveQty]&gt;0)*T_PlannedOrders[Order_Month])),"m月")&amp;"発注)")</f>
        <v/>
      </c>
      <c r="CY1109">
        <f>IF(SUMIFS(T_PlannedOrders[EffectiveQty],T_PlannedOrders[Part Name],$A1099,T_PlannedOrders[WeekIndex],100)=0,"",SUMIFS(T_PlannedOrders[EffectiveQty],T_PlannedOrders[Part Name],$A1099,T_PlannedOrders[WeekIndex],100)&amp;" ("&amp;TEXT(SUMPRODUCT(MAX((T_PlannedOrders[Part Name]=$A1099)*(T_PlannedOrders[WeekIndex]=100)*(T_PlannedOrders[EffectiveQty]&gt;0)*T_PlannedOrders[Order_Month])),"m月")&amp;"発注)")</f>
        <v/>
      </c>
      <c r="CZ1109">
        <f>IF(SUMIFS(T_PlannedOrders[EffectiveQty],T_PlannedOrders[Part Name],$A1099,T_PlannedOrders[WeekIndex],101)=0,"",SUMIFS(T_PlannedOrders[EffectiveQty],T_PlannedOrders[Part Name],$A1099,T_PlannedOrders[WeekIndex],101)&amp;" ("&amp;TEXT(SUMPRODUCT(MAX((T_PlannedOrders[Part Name]=$A1099)*(T_PlannedOrders[WeekIndex]=101)*(T_PlannedOrders[EffectiveQty]&gt;0)*T_PlannedOrders[Order_Month])),"m月")&amp;"発注)")</f>
        <v/>
      </c>
      <c r="DA1109">
        <f>IF(SUMIFS(T_PlannedOrders[EffectiveQty],T_PlannedOrders[Part Name],$A1099,T_PlannedOrders[WeekIndex],102)=0,"",SUMIFS(T_PlannedOrders[EffectiveQty],T_PlannedOrders[Part Name],$A1099,T_PlannedOrders[WeekIndex],102)&amp;" ("&amp;TEXT(SUMPRODUCT(MAX((T_PlannedOrders[Part Name]=$A1099)*(T_PlannedOrders[WeekIndex]=102)*(T_PlannedOrders[EffectiveQty]&gt;0)*T_PlannedOrders[Order_Month])),"m月")&amp;"発注)")</f>
        <v/>
      </c>
      <c r="DB1109">
        <f>IF(SUMIFS(T_PlannedOrders[EffectiveQty],T_PlannedOrders[Part Name],$A1099,T_PlannedOrders[WeekIndex],103)=0,"",SUMIFS(T_PlannedOrders[EffectiveQty],T_PlannedOrders[Part Name],$A1099,T_PlannedOrders[WeekIndex],103)&amp;" ("&amp;TEXT(SUMPRODUCT(MAX((T_PlannedOrders[Part Name]=$A1099)*(T_PlannedOrders[WeekIndex]=103)*(T_PlannedOrders[EffectiveQty]&gt;0)*T_PlannedOrders[Order_Month])),"m月")&amp;"発注)")</f>
        <v/>
      </c>
      <c r="DC1109">
        <f>IF(SUMIFS(T_PlannedOrders[EffectiveQty],T_PlannedOrders[Part Name],$A1099,T_PlannedOrders[WeekIndex],104)=0,"",SUMIFS(T_PlannedOrders[EffectiveQty],T_PlannedOrders[Part Name],$A1099,T_PlannedOrders[WeekIndex],104)&amp;" ("&amp;TEXT(SUMPRODUCT(MAX((T_PlannedOrders[Part Name]=$A1099)*(T_PlannedOrders[WeekIndex]=104)*(T_PlannedOrders[EffectiveQty]&gt;0)*T_PlannedOrders[Order_Month])),"m月")&amp;"発注)")</f>
        <v/>
      </c>
    </row>
    <row r="1110">
      <c r="B1110" s="4" t="inlineStr">
        <is>
          <t>合計在庫(週末時点,kg)</t>
        </is>
      </c>
      <c r="D1110">
        <f>'Grid_Stock'!B28</f>
        <v/>
      </c>
      <c r="E1110">
        <f>'Grid_Stock'!C28</f>
        <v/>
      </c>
      <c r="F1110">
        <f>'Grid_Stock'!D28</f>
        <v/>
      </c>
      <c r="G1110">
        <f>'Grid_Stock'!E28</f>
        <v/>
      </c>
      <c r="H1110">
        <f>'Grid_Stock'!F28</f>
        <v/>
      </c>
      <c r="I1110">
        <f>'Grid_Stock'!G28</f>
        <v/>
      </c>
      <c r="J1110">
        <f>'Grid_Stock'!H28</f>
        <v/>
      </c>
      <c r="K1110">
        <f>'Grid_Stock'!I28</f>
        <v/>
      </c>
      <c r="L1110">
        <f>'Grid_Stock'!J28</f>
        <v/>
      </c>
      <c r="M1110">
        <f>'Grid_Stock'!K28</f>
        <v/>
      </c>
      <c r="N1110">
        <f>'Grid_Stock'!L28</f>
        <v/>
      </c>
      <c r="O1110">
        <f>'Grid_Stock'!M28</f>
        <v/>
      </c>
      <c r="P1110">
        <f>'Grid_Stock'!N28</f>
        <v/>
      </c>
      <c r="Q1110">
        <f>'Grid_Stock'!O28</f>
        <v/>
      </c>
      <c r="R1110">
        <f>'Grid_Stock'!P28</f>
        <v/>
      </c>
      <c r="S1110">
        <f>'Grid_Stock'!Q28</f>
        <v/>
      </c>
      <c r="T1110">
        <f>'Grid_Stock'!R28</f>
        <v/>
      </c>
      <c r="U1110">
        <f>'Grid_Stock'!S28</f>
        <v/>
      </c>
      <c r="V1110">
        <f>'Grid_Stock'!T28</f>
        <v/>
      </c>
      <c r="W1110">
        <f>'Grid_Stock'!U28</f>
        <v/>
      </c>
      <c r="X1110">
        <f>'Grid_Stock'!V28</f>
        <v/>
      </c>
      <c r="Y1110">
        <f>'Grid_Stock'!W28</f>
        <v/>
      </c>
      <c r="Z1110">
        <f>'Grid_Stock'!X28</f>
        <v/>
      </c>
      <c r="AA1110">
        <f>'Grid_Stock'!Y28</f>
        <v/>
      </c>
      <c r="AB1110">
        <f>'Grid_Stock'!Z28</f>
        <v/>
      </c>
      <c r="AC1110">
        <f>'Grid_Stock'!AA28</f>
        <v/>
      </c>
      <c r="AD1110">
        <f>'Grid_Stock'!AB28</f>
        <v/>
      </c>
      <c r="AE1110">
        <f>'Grid_Stock'!AC28</f>
        <v/>
      </c>
      <c r="AF1110">
        <f>'Grid_Stock'!AD28</f>
        <v/>
      </c>
      <c r="AG1110">
        <f>'Grid_Stock'!AE28</f>
        <v/>
      </c>
      <c r="AH1110">
        <f>'Grid_Stock'!AF28</f>
        <v/>
      </c>
      <c r="AI1110">
        <f>'Grid_Stock'!AG28</f>
        <v/>
      </c>
      <c r="AJ1110">
        <f>'Grid_Stock'!AH28</f>
        <v/>
      </c>
      <c r="AK1110">
        <f>'Grid_Stock'!AI28</f>
        <v/>
      </c>
      <c r="AL1110">
        <f>'Grid_Stock'!AJ28</f>
        <v/>
      </c>
      <c r="AM1110">
        <f>'Grid_Stock'!AK28</f>
        <v/>
      </c>
      <c r="AN1110">
        <f>'Grid_Stock'!AL28</f>
        <v/>
      </c>
      <c r="AO1110">
        <f>'Grid_Stock'!AM28</f>
        <v/>
      </c>
      <c r="AP1110">
        <f>'Grid_Stock'!AN28</f>
        <v/>
      </c>
      <c r="AQ1110">
        <f>'Grid_Stock'!AO28</f>
        <v/>
      </c>
      <c r="AR1110">
        <f>'Grid_Stock'!AP28</f>
        <v/>
      </c>
      <c r="AS1110">
        <f>'Grid_Stock'!AQ28</f>
        <v/>
      </c>
      <c r="AT1110">
        <f>'Grid_Stock'!AR28</f>
        <v/>
      </c>
      <c r="AU1110">
        <f>'Grid_Stock'!AS28</f>
        <v/>
      </c>
      <c r="AV1110">
        <f>'Grid_Stock'!AT28</f>
        <v/>
      </c>
      <c r="AW1110">
        <f>'Grid_Stock'!AU28</f>
        <v/>
      </c>
      <c r="AX1110">
        <f>'Grid_Stock'!AV28</f>
        <v/>
      </c>
      <c r="AY1110">
        <f>'Grid_Stock'!AW28</f>
        <v/>
      </c>
      <c r="AZ1110">
        <f>'Grid_Stock'!AX28</f>
        <v/>
      </c>
      <c r="BA1110">
        <f>'Grid_Stock'!AY28</f>
        <v/>
      </c>
      <c r="BB1110">
        <f>'Grid_Stock'!AZ28</f>
        <v/>
      </c>
      <c r="BC1110">
        <f>'Grid_Stock'!BA28</f>
        <v/>
      </c>
      <c r="BD1110">
        <f>'Grid_Stock'!BB28</f>
        <v/>
      </c>
      <c r="BE1110">
        <f>'Grid_Stock'!BC28</f>
        <v/>
      </c>
      <c r="BF1110">
        <f>'Grid_Stock'!BD28</f>
        <v/>
      </c>
      <c r="BG1110">
        <f>'Grid_Stock'!BE28</f>
        <v/>
      </c>
      <c r="BH1110">
        <f>'Grid_Stock'!BF28</f>
        <v/>
      </c>
      <c r="BI1110">
        <f>'Grid_Stock'!BG28</f>
        <v/>
      </c>
      <c r="BJ1110">
        <f>'Grid_Stock'!BH28</f>
        <v/>
      </c>
      <c r="BK1110">
        <f>'Grid_Stock'!BI28</f>
        <v/>
      </c>
      <c r="BL1110">
        <f>'Grid_Stock'!BJ28</f>
        <v/>
      </c>
      <c r="BM1110">
        <f>'Grid_Stock'!BK28</f>
        <v/>
      </c>
      <c r="BN1110">
        <f>'Grid_Stock'!BL28</f>
        <v/>
      </c>
      <c r="BO1110">
        <f>'Grid_Stock'!BM28</f>
        <v/>
      </c>
      <c r="BP1110">
        <f>'Grid_Stock'!BN28</f>
        <v/>
      </c>
      <c r="BQ1110">
        <f>'Grid_Stock'!BO28</f>
        <v/>
      </c>
      <c r="BR1110">
        <f>'Grid_Stock'!BP28</f>
        <v/>
      </c>
      <c r="BS1110">
        <f>'Grid_Stock'!BQ28</f>
        <v/>
      </c>
      <c r="BT1110">
        <f>'Grid_Stock'!BR28</f>
        <v/>
      </c>
      <c r="BU1110">
        <f>'Grid_Stock'!BS28</f>
        <v/>
      </c>
      <c r="BV1110">
        <f>'Grid_Stock'!BT28</f>
        <v/>
      </c>
      <c r="BW1110">
        <f>'Grid_Stock'!BU28</f>
        <v/>
      </c>
      <c r="BX1110">
        <f>'Grid_Stock'!BV28</f>
        <v/>
      </c>
      <c r="BY1110">
        <f>'Grid_Stock'!BW28</f>
        <v/>
      </c>
      <c r="BZ1110">
        <f>'Grid_Stock'!BX28</f>
        <v/>
      </c>
      <c r="CA1110">
        <f>'Grid_Stock'!BY28</f>
        <v/>
      </c>
      <c r="CB1110">
        <f>'Grid_Stock'!BZ28</f>
        <v/>
      </c>
      <c r="CC1110">
        <f>'Grid_Stock'!CA28</f>
        <v/>
      </c>
      <c r="CD1110">
        <f>'Grid_Stock'!CB28</f>
        <v/>
      </c>
      <c r="CE1110">
        <f>'Grid_Stock'!CC28</f>
        <v/>
      </c>
      <c r="CF1110">
        <f>'Grid_Stock'!CD28</f>
        <v/>
      </c>
      <c r="CG1110">
        <f>'Grid_Stock'!CE28</f>
        <v/>
      </c>
      <c r="CH1110">
        <f>'Grid_Stock'!CF28</f>
        <v/>
      </c>
      <c r="CI1110">
        <f>'Grid_Stock'!CG28</f>
        <v/>
      </c>
      <c r="CJ1110">
        <f>'Grid_Stock'!CH28</f>
        <v/>
      </c>
      <c r="CK1110">
        <f>'Grid_Stock'!CI28</f>
        <v/>
      </c>
      <c r="CL1110">
        <f>'Grid_Stock'!CJ28</f>
        <v/>
      </c>
      <c r="CM1110">
        <f>'Grid_Stock'!CK28</f>
        <v/>
      </c>
      <c r="CN1110">
        <f>'Grid_Stock'!CL28</f>
        <v/>
      </c>
      <c r="CO1110">
        <f>'Grid_Stock'!CM28</f>
        <v/>
      </c>
      <c r="CP1110">
        <f>'Grid_Stock'!CN28</f>
        <v/>
      </c>
      <c r="CQ1110">
        <f>'Grid_Stock'!CO28</f>
        <v/>
      </c>
      <c r="CR1110">
        <f>'Grid_Stock'!CP28</f>
        <v/>
      </c>
      <c r="CS1110">
        <f>'Grid_Stock'!CQ28</f>
        <v/>
      </c>
      <c r="CT1110">
        <f>'Grid_Stock'!CR28</f>
        <v/>
      </c>
      <c r="CU1110">
        <f>'Grid_Stock'!CS28</f>
        <v/>
      </c>
      <c r="CV1110">
        <f>'Grid_Stock'!CT28</f>
        <v/>
      </c>
      <c r="CW1110">
        <f>'Grid_Stock'!CU28</f>
        <v/>
      </c>
      <c r="CX1110">
        <f>'Grid_Stock'!CV28</f>
        <v/>
      </c>
      <c r="CY1110">
        <f>'Grid_Stock'!CW28</f>
        <v/>
      </c>
      <c r="CZ1110">
        <f>'Grid_Stock'!CX28</f>
        <v/>
      </c>
      <c r="DA1110">
        <f>'Grid_Stock'!CY28</f>
        <v/>
      </c>
      <c r="DB1110">
        <f>'Grid_Stock'!CZ28</f>
        <v/>
      </c>
      <c r="DC1110">
        <f>'Grid_Stock'!DA28</f>
        <v/>
      </c>
    </row>
    <row r="1111">
      <c r="B1111" s="16" t="inlineStr">
        <is>
          <t>（発注の目安はDashboardの基準在庫[下限/上限]と色分けを参照）</t>
        </is>
      </c>
    </row>
    <row r="1113">
      <c r="A1113" s="14" t="inlineStr">
        <is>
          <t>CHEM-1830</t>
        </is>
      </c>
      <c r="B1113" s="14" t="inlineStr">
        <is>
          <t>RCT-43</t>
        </is>
      </c>
      <c r="C1113" s="15" t="n"/>
      <c r="D1113" s="14" t="n"/>
      <c r="E1113" s="14" t="n"/>
      <c r="F1113" s="14" t="n"/>
      <c r="G1113" s="14" t="n"/>
      <c r="H1113" s="14" t="n"/>
      <c r="I1113" s="14" t="n"/>
      <c r="J1113" s="14" t="n"/>
      <c r="K1113" s="14" t="n"/>
      <c r="L1113" s="14" t="n"/>
      <c r="M1113" s="14" t="n"/>
      <c r="N1113" s="14" t="n"/>
      <c r="O1113" s="14" t="n"/>
      <c r="P1113" s="14" t="n"/>
      <c r="Q1113" s="14" t="n"/>
      <c r="R1113" s="14" t="n"/>
      <c r="S1113" s="14" t="n"/>
      <c r="T1113" s="14" t="n"/>
      <c r="U1113" s="14" t="n"/>
      <c r="V1113" s="14" t="n"/>
      <c r="W1113" s="14" t="n"/>
      <c r="X1113" s="14" t="n"/>
      <c r="Y1113" s="14" t="n"/>
      <c r="Z1113" s="14" t="n"/>
      <c r="AA1113" s="14" t="n"/>
      <c r="AB1113" s="14" t="n"/>
      <c r="AC1113" s="14" t="n"/>
      <c r="AD1113" s="14" t="n"/>
      <c r="AE1113" s="14" t="n"/>
      <c r="AF1113" s="14" t="n"/>
      <c r="AG1113" s="14" t="n"/>
      <c r="AH1113" s="14" t="n"/>
      <c r="AI1113" s="14" t="n"/>
      <c r="AJ1113" s="14" t="n"/>
      <c r="AK1113" s="14" t="n"/>
      <c r="AL1113" s="14" t="n"/>
      <c r="AM1113" s="14" t="n"/>
      <c r="AN1113" s="14" t="n"/>
      <c r="AO1113" s="14" t="n"/>
      <c r="AP1113" s="14" t="n"/>
      <c r="AQ1113" s="14" t="n"/>
      <c r="AR1113" s="14" t="n"/>
      <c r="AS1113" s="14" t="n"/>
      <c r="AT1113" s="14" t="n"/>
      <c r="AU1113" s="14" t="n"/>
      <c r="AV1113" s="14" t="n"/>
      <c r="AW1113" s="14" t="n"/>
      <c r="AX1113" s="14" t="n"/>
      <c r="AY1113" s="14" t="n"/>
      <c r="AZ1113" s="14" t="n"/>
      <c r="BA1113" s="14" t="n"/>
      <c r="BB1113" s="14" t="n"/>
      <c r="BC1113" s="14" t="n"/>
      <c r="BD1113" s="14" t="n"/>
      <c r="BE1113" s="14" t="n"/>
      <c r="BF1113" s="14" t="n"/>
      <c r="BG1113" s="14" t="n"/>
      <c r="BH1113" s="14" t="n"/>
      <c r="BI1113" s="14" t="n"/>
      <c r="BJ1113" s="14" t="n"/>
      <c r="BK1113" s="14" t="n"/>
      <c r="BL1113" s="14" t="n"/>
      <c r="BM1113" s="14" t="n"/>
      <c r="BN1113" s="14" t="n"/>
      <c r="BO1113" s="14" t="n"/>
      <c r="BP1113" s="14" t="n"/>
      <c r="BQ1113" s="14" t="n"/>
      <c r="BR1113" s="14" t="n"/>
      <c r="BS1113" s="14" t="n"/>
      <c r="BT1113" s="14" t="n"/>
      <c r="BU1113" s="14" t="n"/>
      <c r="BV1113" s="14" t="n"/>
      <c r="BW1113" s="14" t="n"/>
      <c r="BX1113" s="14" t="n"/>
      <c r="BY1113" s="14" t="n"/>
      <c r="BZ1113" s="14" t="n"/>
      <c r="CA1113" s="14" t="n"/>
      <c r="CB1113" s="14" t="n"/>
      <c r="CC1113" s="14" t="n"/>
      <c r="CD1113" s="14" t="n"/>
      <c r="CE1113" s="14" t="n"/>
      <c r="CF1113" s="14" t="n"/>
      <c r="CG1113" s="14" t="n"/>
      <c r="CH1113" s="14" t="n"/>
      <c r="CI1113" s="14" t="n"/>
      <c r="CJ1113" s="14" t="n"/>
      <c r="CK1113" s="14" t="n"/>
      <c r="CL1113" s="14" t="n"/>
      <c r="CM1113" s="14" t="n"/>
      <c r="CN1113" s="14" t="n"/>
      <c r="CO1113" s="14" t="n"/>
      <c r="CP1113" s="14" t="n"/>
      <c r="CQ1113" s="14" t="n"/>
      <c r="CR1113" s="14" t="n"/>
      <c r="CS1113" s="14" t="n"/>
      <c r="CT1113" s="14" t="n"/>
      <c r="CU1113" s="14" t="n"/>
      <c r="CV1113" s="14" t="n"/>
      <c r="CW1113" s="14" t="n"/>
      <c r="CX1113" s="14" t="n"/>
      <c r="CY1113" s="14" t="n"/>
      <c r="CZ1113" s="14" t="n"/>
      <c r="DA1113" s="14" t="n"/>
      <c r="DB1113" s="14" t="n"/>
      <c r="DC1113" s="14" t="n"/>
    </row>
    <row r="1114">
      <c r="B1114" t="inlineStr">
        <is>
          <t>TPP-2245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Name],$A1113)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TSP-1558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Name],$A1113)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TSP-1559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Name],$A1113)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TSP-2157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Name],$A1113)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TSP-2168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Name],$A1113)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s="4" t="inlineStr">
        <is>
          <t>合計使用量(kg)/週</t>
        </is>
      </c>
      <c r="D1124">
        <f>'Grid_Requirement'!B26</f>
        <v/>
      </c>
      <c r="E1124">
        <f>'Grid_Requirement'!C26</f>
        <v/>
      </c>
      <c r="F1124">
        <f>'Grid_Requirement'!D26</f>
        <v/>
      </c>
      <c r="G1124">
        <f>'Grid_Requirement'!E26</f>
        <v/>
      </c>
      <c r="H1124">
        <f>'Grid_Requirement'!F26</f>
        <v/>
      </c>
      <c r="I1124">
        <f>'Grid_Requirement'!G26</f>
        <v/>
      </c>
      <c r="J1124">
        <f>'Grid_Requirement'!H26</f>
        <v/>
      </c>
      <c r="K1124">
        <f>'Grid_Requirement'!I26</f>
        <v/>
      </c>
      <c r="L1124">
        <f>'Grid_Requirement'!J26</f>
        <v/>
      </c>
      <c r="M1124">
        <f>'Grid_Requirement'!K26</f>
        <v/>
      </c>
      <c r="N1124">
        <f>'Grid_Requirement'!L26</f>
        <v/>
      </c>
      <c r="O1124">
        <f>'Grid_Requirement'!M26</f>
        <v/>
      </c>
      <c r="P1124">
        <f>'Grid_Requirement'!N26</f>
        <v/>
      </c>
      <c r="Q1124">
        <f>'Grid_Requirement'!O26</f>
        <v/>
      </c>
      <c r="R1124">
        <f>'Grid_Requirement'!P26</f>
        <v/>
      </c>
      <c r="S1124">
        <f>'Grid_Requirement'!Q26</f>
        <v/>
      </c>
      <c r="T1124">
        <f>'Grid_Requirement'!R26</f>
        <v/>
      </c>
      <c r="U1124">
        <f>'Grid_Requirement'!S26</f>
        <v/>
      </c>
      <c r="V1124">
        <f>'Grid_Requirement'!T26</f>
        <v/>
      </c>
      <c r="W1124">
        <f>'Grid_Requirement'!U26</f>
        <v/>
      </c>
      <c r="X1124">
        <f>'Grid_Requirement'!V26</f>
        <v/>
      </c>
      <c r="Y1124">
        <f>'Grid_Requirement'!W26</f>
        <v/>
      </c>
      <c r="Z1124">
        <f>'Grid_Requirement'!X26</f>
        <v/>
      </c>
      <c r="AA1124">
        <f>'Grid_Requirement'!Y26</f>
        <v/>
      </c>
      <c r="AB1124">
        <f>'Grid_Requirement'!Z26</f>
        <v/>
      </c>
      <c r="AC1124">
        <f>'Grid_Requirement'!AA26</f>
        <v/>
      </c>
      <c r="AD1124">
        <f>'Grid_Requirement'!AB26</f>
        <v/>
      </c>
      <c r="AE1124">
        <f>'Grid_Requirement'!AC26</f>
        <v/>
      </c>
      <c r="AF1124">
        <f>'Grid_Requirement'!AD26</f>
        <v/>
      </c>
      <c r="AG1124">
        <f>'Grid_Requirement'!AE26</f>
        <v/>
      </c>
      <c r="AH1124">
        <f>'Grid_Requirement'!AF26</f>
        <v/>
      </c>
      <c r="AI1124">
        <f>'Grid_Requirement'!AG26</f>
        <v/>
      </c>
      <c r="AJ1124">
        <f>'Grid_Requirement'!AH26</f>
        <v/>
      </c>
      <c r="AK1124">
        <f>'Grid_Requirement'!AI26</f>
        <v/>
      </c>
      <c r="AL1124">
        <f>'Grid_Requirement'!AJ26</f>
        <v/>
      </c>
      <c r="AM1124">
        <f>'Grid_Requirement'!AK26</f>
        <v/>
      </c>
      <c r="AN1124">
        <f>'Grid_Requirement'!AL26</f>
        <v/>
      </c>
      <c r="AO1124">
        <f>'Grid_Requirement'!AM26</f>
        <v/>
      </c>
      <c r="AP1124">
        <f>'Grid_Requirement'!AN26</f>
        <v/>
      </c>
      <c r="AQ1124">
        <f>'Grid_Requirement'!AO26</f>
        <v/>
      </c>
      <c r="AR1124">
        <f>'Grid_Requirement'!AP26</f>
        <v/>
      </c>
      <c r="AS1124">
        <f>'Grid_Requirement'!AQ26</f>
        <v/>
      </c>
      <c r="AT1124">
        <f>'Grid_Requirement'!AR26</f>
        <v/>
      </c>
      <c r="AU1124">
        <f>'Grid_Requirement'!AS26</f>
        <v/>
      </c>
      <c r="AV1124">
        <f>'Grid_Requirement'!AT26</f>
        <v/>
      </c>
      <c r="AW1124">
        <f>'Grid_Requirement'!AU26</f>
        <v/>
      </c>
      <c r="AX1124">
        <f>'Grid_Requirement'!AV26</f>
        <v/>
      </c>
      <c r="AY1124">
        <f>'Grid_Requirement'!AW26</f>
        <v/>
      </c>
      <c r="AZ1124">
        <f>'Grid_Requirement'!AX26</f>
        <v/>
      </c>
      <c r="BA1124">
        <f>'Grid_Requirement'!AY26</f>
        <v/>
      </c>
      <c r="BB1124">
        <f>'Grid_Requirement'!AZ26</f>
        <v/>
      </c>
      <c r="BC1124">
        <f>'Grid_Requirement'!BA26</f>
        <v/>
      </c>
      <c r="BD1124">
        <f>'Grid_Requirement'!BB26</f>
        <v/>
      </c>
      <c r="BE1124">
        <f>'Grid_Requirement'!BC26</f>
        <v/>
      </c>
      <c r="BF1124">
        <f>'Grid_Requirement'!BD26</f>
        <v/>
      </c>
      <c r="BG1124">
        <f>'Grid_Requirement'!BE26</f>
        <v/>
      </c>
      <c r="BH1124">
        <f>'Grid_Requirement'!BF26</f>
        <v/>
      </c>
      <c r="BI1124">
        <f>'Grid_Requirement'!BG26</f>
        <v/>
      </c>
      <c r="BJ1124">
        <f>'Grid_Requirement'!BH26</f>
        <v/>
      </c>
      <c r="BK1124">
        <f>'Grid_Requirement'!BI26</f>
        <v/>
      </c>
      <c r="BL1124">
        <f>'Grid_Requirement'!BJ26</f>
        <v/>
      </c>
      <c r="BM1124">
        <f>'Grid_Requirement'!BK26</f>
        <v/>
      </c>
      <c r="BN1124">
        <f>'Grid_Requirement'!BL26</f>
        <v/>
      </c>
      <c r="BO1124">
        <f>'Grid_Requirement'!BM26</f>
        <v/>
      </c>
      <c r="BP1124">
        <f>'Grid_Requirement'!BN26</f>
        <v/>
      </c>
      <c r="BQ1124">
        <f>'Grid_Requirement'!BO26</f>
        <v/>
      </c>
      <c r="BR1124">
        <f>'Grid_Requirement'!BP26</f>
        <v/>
      </c>
      <c r="BS1124">
        <f>'Grid_Requirement'!BQ26</f>
        <v/>
      </c>
      <c r="BT1124">
        <f>'Grid_Requirement'!BR26</f>
        <v/>
      </c>
      <c r="BU1124">
        <f>'Grid_Requirement'!BS26</f>
        <v/>
      </c>
      <c r="BV1124">
        <f>'Grid_Requirement'!BT26</f>
        <v/>
      </c>
      <c r="BW1124">
        <f>'Grid_Requirement'!BU26</f>
        <v/>
      </c>
      <c r="BX1124">
        <f>'Grid_Requirement'!BV26</f>
        <v/>
      </c>
      <c r="BY1124">
        <f>'Grid_Requirement'!BW26</f>
        <v/>
      </c>
      <c r="BZ1124">
        <f>'Grid_Requirement'!BX26</f>
        <v/>
      </c>
      <c r="CA1124">
        <f>'Grid_Requirement'!BY26</f>
        <v/>
      </c>
      <c r="CB1124">
        <f>'Grid_Requirement'!BZ26</f>
        <v/>
      </c>
      <c r="CC1124">
        <f>'Grid_Requirement'!CA26</f>
        <v/>
      </c>
      <c r="CD1124">
        <f>'Grid_Requirement'!CB26</f>
        <v/>
      </c>
      <c r="CE1124">
        <f>'Grid_Requirement'!CC26</f>
        <v/>
      </c>
      <c r="CF1124">
        <f>'Grid_Requirement'!CD26</f>
        <v/>
      </c>
      <c r="CG1124">
        <f>'Grid_Requirement'!CE26</f>
        <v/>
      </c>
      <c r="CH1124">
        <f>'Grid_Requirement'!CF26</f>
        <v/>
      </c>
      <c r="CI1124">
        <f>'Grid_Requirement'!CG26</f>
        <v/>
      </c>
      <c r="CJ1124">
        <f>'Grid_Requirement'!CH26</f>
        <v/>
      </c>
      <c r="CK1124">
        <f>'Grid_Requirement'!CI26</f>
        <v/>
      </c>
      <c r="CL1124">
        <f>'Grid_Requirement'!CJ26</f>
        <v/>
      </c>
      <c r="CM1124">
        <f>'Grid_Requirement'!CK26</f>
        <v/>
      </c>
      <c r="CN1124">
        <f>'Grid_Requirement'!CL26</f>
        <v/>
      </c>
      <c r="CO1124">
        <f>'Grid_Requirement'!CM26</f>
        <v/>
      </c>
      <c r="CP1124">
        <f>'Grid_Requirement'!CN26</f>
        <v/>
      </c>
      <c r="CQ1124">
        <f>'Grid_Requirement'!CO26</f>
        <v/>
      </c>
      <c r="CR1124">
        <f>'Grid_Requirement'!CP26</f>
        <v/>
      </c>
      <c r="CS1124">
        <f>'Grid_Requirement'!CQ26</f>
        <v/>
      </c>
      <c r="CT1124">
        <f>'Grid_Requirement'!CR26</f>
        <v/>
      </c>
      <c r="CU1124">
        <f>'Grid_Requirement'!CS26</f>
        <v/>
      </c>
      <c r="CV1124">
        <f>'Grid_Requirement'!CT26</f>
        <v/>
      </c>
      <c r="CW1124">
        <f>'Grid_Requirement'!CU26</f>
        <v/>
      </c>
      <c r="CX1124">
        <f>'Grid_Requirement'!CV26</f>
        <v/>
      </c>
      <c r="CY1124">
        <f>'Grid_Requirement'!CW26</f>
        <v/>
      </c>
      <c r="CZ1124">
        <f>'Grid_Requirement'!CX26</f>
        <v/>
      </c>
      <c r="DA1124">
        <f>'Grid_Requirement'!CY26</f>
        <v/>
      </c>
      <c r="DB1124">
        <f>'Grid_Requirement'!CZ26</f>
        <v/>
      </c>
      <c r="DC1124">
        <f>'Grid_Requirement'!DA26</f>
        <v/>
      </c>
    </row>
    <row r="1125">
      <c r="B1125" t="inlineStr">
        <is>
          <t>TTAF在庫(実績,kg)</t>
        </is>
      </c>
      <c r="D1125">
        <f>'T_TTAFStock'!B30</f>
        <v/>
      </c>
      <c r="E1125">
        <f>'T_TTAFStock'!C30</f>
        <v/>
      </c>
      <c r="F1125">
        <f>'T_TTAFStock'!D30</f>
        <v/>
      </c>
      <c r="G1125">
        <f>'T_TTAFStock'!E30</f>
        <v/>
      </c>
      <c r="H1125">
        <f>'T_TTAFStock'!F30</f>
        <v/>
      </c>
      <c r="I1125">
        <f>'T_TTAFStock'!G30</f>
        <v/>
      </c>
      <c r="J1125">
        <f>'T_TTAFStock'!H30</f>
        <v/>
      </c>
      <c r="K1125">
        <f>'T_TTAFStock'!I30</f>
        <v/>
      </c>
      <c r="L1125">
        <f>'T_TTAFStock'!J30</f>
        <v/>
      </c>
      <c r="M1125">
        <f>'T_TTAFStock'!K30</f>
        <v/>
      </c>
      <c r="N1125">
        <f>'T_TTAFStock'!L30</f>
        <v/>
      </c>
      <c r="O1125">
        <f>'T_TTAFStock'!M30</f>
        <v/>
      </c>
      <c r="P1125">
        <f>'T_TTAFStock'!N30</f>
        <v/>
      </c>
      <c r="Q1125">
        <f>'T_TTAFStock'!O30</f>
        <v/>
      </c>
      <c r="R1125">
        <f>'T_TTAFStock'!P30</f>
        <v/>
      </c>
      <c r="S1125">
        <f>'T_TTAFStock'!Q30</f>
        <v/>
      </c>
      <c r="T1125">
        <f>'T_TTAFStock'!R30</f>
        <v/>
      </c>
      <c r="U1125">
        <f>'T_TTAFStock'!S30</f>
        <v/>
      </c>
      <c r="V1125">
        <f>'T_TTAFStock'!T30</f>
        <v/>
      </c>
      <c r="W1125">
        <f>'T_TTAFStock'!U30</f>
        <v/>
      </c>
      <c r="X1125">
        <f>'T_TTAFStock'!V30</f>
        <v/>
      </c>
      <c r="Y1125">
        <f>'T_TTAFStock'!W30</f>
        <v/>
      </c>
      <c r="Z1125">
        <f>'T_TTAFStock'!X30</f>
        <v/>
      </c>
      <c r="AA1125">
        <f>'T_TTAFStock'!Y30</f>
        <v/>
      </c>
      <c r="AB1125">
        <f>'T_TTAFStock'!Z30</f>
        <v/>
      </c>
      <c r="AC1125">
        <f>'T_TTAFStock'!AA30</f>
        <v/>
      </c>
      <c r="AD1125">
        <f>'T_TTAFStock'!AB30</f>
        <v/>
      </c>
      <c r="AE1125">
        <f>'T_TTAFStock'!AC30</f>
        <v/>
      </c>
      <c r="AF1125">
        <f>'T_TTAFStock'!AD30</f>
        <v/>
      </c>
      <c r="AG1125">
        <f>'T_TTAFStock'!AE30</f>
        <v/>
      </c>
      <c r="AH1125">
        <f>'T_TTAFStock'!AF30</f>
        <v/>
      </c>
      <c r="AI1125">
        <f>'T_TTAFStock'!AG30</f>
        <v/>
      </c>
      <c r="AJ1125">
        <f>'T_TTAFStock'!AH30</f>
        <v/>
      </c>
      <c r="AK1125">
        <f>'T_TTAFStock'!AI30</f>
        <v/>
      </c>
      <c r="AL1125">
        <f>'T_TTAFStock'!AJ30</f>
        <v/>
      </c>
      <c r="AM1125">
        <f>'T_TTAFStock'!AK30</f>
        <v/>
      </c>
      <c r="AN1125">
        <f>'T_TTAFStock'!AL30</f>
        <v/>
      </c>
      <c r="AO1125">
        <f>'T_TTAFStock'!AM30</f>
        <v/>
      </c>
      <c r="AP1125">
        <f>'T_TTAFStock'!AN30</f>
        <v/>
      </c>
      <c r="AQ1125">
        <f>'T_TTAFStock'!AO30</f>
        <v/>
      </c>
      <c r="AR1125">
        <f>'T_TTAFStock'!AP30</f>
        <v/>
      </c>
      <c r="AS1125">
        <f>'T_TTAFStock'!AQ30</f>
        <v/>
      </c>
      <c r="AT1125">
        <f>'T_TTAFStock'!AR30</f>
        <v/>
      </c>
      <c r="AU1125">
        <f>'T_TTAFStock'!AS30</f>
        <v/>
      </c>
      <c r="AV1125">
        <f>'T_TTAFStock'!AT30</f>
        <v/>
      </c>
      <c r="AW1125">
        <f>'T_TTAFStock'!AU30</f>
        <v/>
      </c>
      <c r="AX1125">
        <f>'T_TTAFStock'!AV30</f>
        <v/>
      </c>
      <c r="AY1125">
        <f>'T_TTAFStock'!AW30</f>
        <v/>
      </c>
      <c r="AZ1125">
        <f>'T_TTAFStock'!AX30</f>
        <v/>
      </c>
      <c r="BA1125">
        <f>'T_TTAFStock'!AY30</f>
        <v/>
      </c>
      <c r="BB1125">
        <f>'T_TTAFStock'!AZ30</f>
        <v/>
      </c>
      <c r="BC1125">
        <f>'T_TTAFStock'!BA30</f>
        <v/>
      </c>
      <c r="BD1125">
        <f>'T_TTAFStock'!BB30</f>
        <v/>
      </c>
      <c r="BE1125">
        <f>'T_TTAFStock'!BC30</f>
        <v/>
      </c>
      <c r="BF1125">
        <f>'T_TTAFStock'!BD30</f>
        <v/>
      </c>
      <c r="BG1125">
        <f>'T_TTAFStock'!BE30</f>
        <v/>
      </c>
      <c r="BH1125">
        <f>'T_TTAFStock'!BF30</f>
        <v/>
      </c>
      <c r="BI1125">
        <f>'T_TTAFStock'!BG30</f>
        <v/>
      </c>
      <c r="BJ1125">
        <f>'T_TTAFStock'!BH30</f>
        <v/>
      </c>
      <c r="BK1125">
        <f>'T_TTAFStock'!BI30</f>
        <v/>
      </c>
      <c r="BL1125">
        <f>'T_TTAFStock'!BJ30</f>
        <v/>
      </c>
      <c r="BM1125">
        <f>'T_TTAFStock'!BK30</f>
        <v/>
      </c>
      <c r="BN1125">
        <f>'T_TTAFStock'!BL30</f>
        <v/>
      </c>
      <c r="BO1125">
        <f>'T_TTAFStock'!BM30</f>
        <v/>
      </c>
      <c r="BP1125">
        <f>'T_TTAFStock'!BN30</f>
        <v/>
      </c>
      <c r="BQ1125">
        <f>'T_TTAFStock'!BO30</f>
        <v/>
      </c>
      <c r="BR1125">
        <f>'T_TTAFStock'!BP30</f>
        <v/>
      </c>
      <c r="BS1125">
        <f>'T_TTAFStock'!BQ30</f>
        <v/>
      </c>
      <c r="BT1125">
        <f>'T_TTAFStock'!BR30</f>
        <v/>
      </c>
      <c r="BU1125">
        <f>'T_TTAFStock'!BS30</f>
        <v/>
      </c>
      <c r="BV1125">
        <f>'T_TTAFStock'!BT30</f>
        <v/>
      </c>
      <c r="BW1125">
        <f>'T_TTAFStock'!BU30</f>
        <v/>
      </c>
      <c r="BX1125">
        <f>'T_TTAFStock'!BV30</f>
        <v/>
      </c>
      <c r="BY1125">
        <f>'T_TTAFStock'!BW30</f>
        <v/>
      </c>
      <c r="BZ1125">
        <f>'T_TTAFStock'!BX30</f>
        <v/>
      </c>
      <c r="CA1125">
        <f>'T_TTAFStock'!BY30</f>
        <v/>
      </c>
      <c r="CB1125">
        <f>'T_TTAFStock'!BZ30</f>
        <v/>
      </c>
      <c r="CC1125">
        <f>'T_TTAFStock'!CA30</f>
        <v/>
      </c>
      <c r="CD1125">
        <f>'T_TTAFStock'!CB30</f>
        <v/>
      </c>
      <c r="CE1125">
        <f>'T_TTAFStock'!CC30</f>
        <v/>
      </c>
      <c r="CF1125">
        <f>'T_TTAFStock'!CD30</f>
        <v/>
      </c>
      <c r="CG1125">
        <f>'T_TTAFStock'!CE30</f>
        <v/>
      </c>
      <c r="CH1125">
        <f>'T_TTAFStock'!CF30</f>
        <v/>
      </c>
      <c r="CI1125">
        <f>'T_TTAFStock'!CG30</f>
        <v/>
      </c>
      <c r="CJ1125">
        <f>'T_TTAFStock'!CH30</f>
        <v/>
      </c>
      <c r="CK1125">
        <f>'T_TTAFStock'!CI30</f>
        <v/>
      </c>
      <c r="CL1125">
        <f>'T_TTAFStock'!CJ30</f>
        <v/>
      </c>
      <c r="CM1125">
        <f>'T_TTAFStock'!CK30</f>
        <v/>
      </c>
      <c r="CN1125">
        <f>'T_TTAFStock'!CL30</f>
        <v/>
      </c>
      <c r="CO1125">
        <f>'T_TTAFStock'!CM30</f>
        <v/>
      </c>
      <c r="CP1125">
        <f>'T_TTAFStock'!CN30</f>
        <v/>
      </c>
      <c r="CQ1125">
        <f>'T_TTAFStock'!CO30</f>
        <v/>
      </c>
      <c r="CR1125">
        <f>'T_TTAFStock'!CP30</f>
        <v/>
      </c>
      <c r="CS1125">
        <f>'T_TTAFStock'!CQ30</f>
        <v/>
      </c>
      <c r="CT1125">
        <f>'T_TTAFStock'!CR30</f>
        <v/>
      </c>
      <c r="CU1125">
        <f>'T_TTAFStock'!CS30</f>
        <v/>
      </c>
      <c r="CV1125">
        <f>'T_TTAFStock'!CT30</f>
        <v/>
      </c>
      <c r="CW1125">
        <f>'T_TTAFStock'!CU30</f>
        <v/>
      </c>
      <c r="CX1125">
        <f>'T_TTAFStock'!CV30</f>
        <v/>
      </c>
      <c r="CY1125">
        <f>'T_TTAFStock'!CW30</f>
        <v/>
      </c>
      <c r="CZ1125">
        <f>'T_TTAFStock'!CX30</f>
        <v/>
      </c>
      <c r="DA1125">
        <f>'T_TTAFStock'!CY30</f>
        <v/>
      </c>
      <c r="DB1125">
        <f>'T_TTAFStock'!CZ30</f>
        <v/>
      </c>
      <c r="DC1125">
        <f>'T_TTAFStock'!DA30</f>
        <v/>
      </c>
    </row>
    <row r="1126">
      <c r="B1126" t="inlineStr">
        <is>
          <t>自社在庫(実績,kg)</t>
        </is>
      </c>
      <c r="D1126">
        <f>'T_SelfStock'!B30</f>
        <v/>
      </c>
      <c r="E1126">
        <f>'T_SelfStock'!C30</f>
        <v/>
      </c>
      <c r="F1126">
        <f>'T_SelfStock'!D30</f>
        <v/>
      </c>
      <c r="G1126">
        <f>'T_SelfStock'!E30</f>
        <v/>
      </c>
      <c r="H1126">
        <f>'T_SelfStock'!F30</f>
        <v/>
      </c>
      <c r="I1126">
        <f>'T_SelfStock'!G30</f>
        <v/>
      </c>
      <c r="J1126">
        <f>'T_SelfStock'!H30</f>
        <v/>
      </c>
      <c r="K1126">
        <f>'T_SelfStock'!I30</f>
        <v/>
      </c>
      <c r="L1126">
        <f>'T_SelfStock'!J30</f>
        <v/>
      </c>
      <c r="M1126">
        <f>'T_SelfStock'!K30</f>
        <v/>
      </c>
      <c r="N1126">
        <f>'T_SelfStock'!L30</f>
        <v/>
      </c>
      <c r="O1126">
        <f>'T_SelfStock'!M30</f>
        <v/>
      </c>
      <c r="P1126">
        <f>'T_SelfStock'!N30</f>
        <v/>
      </c>
      <c r="Q1126">
        <f>'T_SelfStock'!O30</f>
        <v/>
      </c>
      <c r="R1126">
        <f>'T_SelfStock'!P30</f>
        <v/>
      </c>
      <c r="S1126">
        <f>'T_SelfStock'!Q30</f>
        <v/>
      </c>
      <c r="T1126">
        <f>'T_SelfStock'!R30</f>
        <v/>
      </c>
      <c r="U1126">
        <f>'T_SelfStock'!S30</f>
        <v/>
      </c>
      <c r="V1126">
        <f>'T_SelfStock'!T30</f>
        <v/>
      </c>
      <c r="W1126">
        <f>'T_SelfStock'!U30</f>
        <v/>
      </c>
      <c r="X1126">
        <f>'T_SelfStock'!V30</f>
        <v/>
      </c>
      <c r="Y1126">
        <f>'T_SelfStock'!W30</f>
        <v/>
      </c>
      <c r="Z1126">
        <f>'T_SelfStock'!X30</f>
        <v/>
      </c>
      <c r="AA1126">
        <f>'T_SelfStock'!Y30</f>
        <v/>
      </c>
      <c r="AB1126">
        <f>'T_SelfStock'!Z30</f>
        <v/>
      </c>
      <c r="AC1126">
        <f>'T_SelfStock'!AA30</f>
        <v/>
      </c>
      <c r="AD1126">
        <f>'T_SelfStock'!AB30</f>
        <v/>
      </c>
      <c r="AE1126">
        <f>'T_SelfStock'!AC30</f>
        <v/>
      </c>
      <c r="AF1126">
        <f>'T_SelfStock'!AD30</f>
        <v/>
      </c>
      <c r="AG1126">
        <f>'T_SelfStock'!AE30</f>
        <v/>
      </c>
      <c r="AH1126">
        <f>'T_SelfStock'!AF30</f>
        <v/>
      </c>
      <c r="AI1126">
        <f>'T_SelfStock'!AG30</f>
        <v/>
      </c>
      <c r="AJ1126">
        <f>'T_SelfStock'!AH30</f>
        <v/>
      </c>
      <c r="AK1126">
        <f>'T_SelfStock'!AI30</f>
        <v/>
      </c>
      <c r="AL1126">
        <f>'T_SelfStock'!AJ30</f>
        <v/>
      </c>
      <c r="AM1126">
        <f>'T_SelfStock'!AK30</f>
        <v/>
      </c>
      <c r="AN1126">
        <f>'T_SelfStock'!AL30</f>
        <v/>
      </c>
      <c r="AO1126">
        <f>'T_SelfStock'!AM30</f>
        <v/>
      </c>
      <c r="AP1126">
        <f>'T_SelfStock'!AN30</f>
        <v/>
      </c>
      <c r="AQ1126">
        <f>'T_SelfStock'!AO30</f>
        <v/>
      </c>
      <c r="AR1126">
        <f>'T_SelfStock'!AP30</f>
        <v/>
      </c>
      <c r="AS1126">
        <f>'T_SelfStock'!AQ30</f>
        <v/>
      </c>
      <c r="AT1126">
        <f>'T_SelfStock'!AR30</f>
        <v/>
      </c>
      <c r="AU1126">
        <f>'T_SelfStock'!AS30</f>
        <v/>
      </c>
      <c r="AV1126">
        <f>'T_SelfStock'!AT30</f>
        <v/>
      </c>
      <c r="AW1126">
        <f>'T_SelfStock'!AU30</f>
        <v/>
      </c>
      <c r="AX1126">
        <f>'T_SelfStock'!AV30</f>
        <v/>
      </c>
      <c r="AY1126">
        <f>'T_SelfStock'!AW30</f>
        <v/>
      </c>
      <c r="AZ1126">
        <f>'T_SelfStock'!AX30</f>
        <v/>
      </c>
      <c r="BA1126">
        <f>'T_SelfStock'!AY30</f>
        <v/>
      </c>
      <c r="BB1126">
        <f>'T_SelfStock'!AZ30</f>
        <v/>
      </c>
      <c r="BC1126">
        <f>'T_SelfStock'!BA30</f>
        <v/>
      </c>
      <c r="BD1126">
        <f>'T_SelfStock'!BB30</f>
        <v/>
      </c>
      <c r="BE1126">
        <f>'T_SelfStock'!BC30</f>
        <v/>
      </c>
      <c r="BF1126">
        <f>'T_SelfStock'!BD30</f>
        <v/>
      </c>
      <c r="BG1126">
        <f>'T_SelfStock'!BE30</f>
        <v/>
      </c>
      <c r="BH1126">
        <f>'T_SelfStock'!BF30</f>
        <v/>
      </c>
      <c r="BI1126">
        <f>'T_SelfStock'!BG30</f>
        <v/>
      </c>
      <c r="BJ1126">
        <f>'T_SelfStock'!BH30</f>
        <v/>
      </c>
      <c r="BK1126">
        <f>'T_SelfStock'!BI30</f>
        <v/>
      </c>
      <c r="BL1126">
        <f>'T_SelfStock'!BJ30</f>
        <v/>
      </c>
      <c r="BM1126">
        <f>'T_SelfStock'!BK30</f>
        <v/>
      </c>
      <c r="BN1126">
        <f>'T_SelfStock'!BL30</f>
        <v/>
      </c>
      <c r="BO1126">
        <f>'T_SelfStock'!BM30</f>
        <v/>
      </c>
      <c r="BP1126">
        <f>'T_SelfStock'!BN30</f>
        <v/>
      </c>
      <c r="BQ1126">
        <f>'T_SelfStock'!BO30</f>
        <v/>
      </c>
      <c r="BR1126">
        <f>'T_SelfStock'!BP30</f>
        <v/>
      </c>
      <c r="BS1126">
        <f>'T_SelfStock'!BQ30</f>
        <v/>
      </c>
      <c r="BT1126">
        <f>'T_SelfStock'!BR30</f>
        <v/>
      </c>
      <c r="BU1126">
        <f>'T_SelfStock'!BS30</f>
        <v/>
      </c>
      <c r="BV1126">
        <f>'T_SelfStock'!BT30</f>
        <v/>
      </c>
      <c r="BW1126">
        <f>'T_SelfStock'!BU30</f>
        <v/>
      </c>
      <c r="BX1126">
        <f>'T_SelfStock'!BV30</f>
        <v/>
      </c>
      <c r="BY1126">
        <f>'T_SelfStock'!BW30</f>
        <v/>
      </c>
      <c r="BZ1126">
        <f>'T_SelfStock'!BX30</f>
        <v/>
      </c>
      <c r="CA1126">
        <f>'T_SelfStock'!BY30</f>
        <v/>
      </c>
      <c r="CB1126">
        <f>'T_SelfStock'!BZ30</f>
        <v/>
      </c>
      <c r="CC1126">
        <f>'T_SelfStock'!CA30</f>
        <v/>
      </c>
      <c r="CD1126">
        <f>'T_SelfStock'!CB30</f>
        <v/>
      </c>
      <c r="CE1126">
        <f>'T_SelfStock'!CC30</f>
        <v/>
      </c>
      <c r="CF1126">
        <f>'T_SelfStock'!CD30</f>
        <v/>
      </c>
      <c r="CG1126">
        <f>'T_SelfStock'!CE30</f>
        <v/>
      </c>
      <c r="CH1126">
        <f>'T_SelfStock'!CF30</f>
        <v/>
      </c>
      <c r="CI1126">
        <f>'T_SelfStock'!CG30</f>
        <v/>
      </c>
      <c r="CJ1126">
        <f>'T_SelfStock'!CH30</f>
        <v/>
      </c>
      <c r="CK1126">
        <f>'T_SelfStock'!CI30</f>
        <v/>
      </c>
      <c r="CL1126">
        <f>'T_SelfStock'!CJ30</f>
        <v/>
      </c>
      <c r="CM1126">
        <f>'T_SelfStock'!CK30</f>
        <v/>
      </c>
      <c r="CN1126">
        <f>'T_SelfStock'!CL30</f>
        <v/>
      </c>
      <c r="CO1126">
        <f>'T_SelfStock'!CM30</f>
        <v/>
      </c>
      <c r="CP1126">
        <f>'T_SelfStock'!CN30</f>
        <v/>
      </c>
      <c r="CQ1126">
        <f>'T_SelfStock'!CO30</f>
        <v/>
      </c>
      <c r="CR1126">
        <f>'T_SelfStock'!CP30</f>
        <v/>
      </c>
      <c r="CS1126">
        <f>'T_SelfStock'!CQ30</f>
        <v/>
      </c>
      <c r="CT1126">
        <f>'T_SelfStock'!CR30</f>
        <v/>
      </c>
      <c r="CU1126">
        <f>'T_SelfStock'!CS30</f>
        <v/>
      </c>
      <c r="CV1126">
        <f>'T_SelfStock'!CT30</f>
        <v/>
      </c>
      <c r="CW1126">
        <f>'T_SelfStock'!CU30</f>
        <v/>
      </c>
      <c r="CX1126">
        <f>'T_SelfStock'!CV30</f>
        <v/>
      </c>
      <c r="CY1126">
        <f>'T_SelfStock'!CW30</f>
        <v/>
      </c>
      <c r="CZ1126">
        <f>'T_SelfStock'!CX30</f>
        <v/>
      </c>
      <c r="DA1126">
        <f>'T_SelfStock'!CY30</f>
        <v/>
      </c>
      <c r="DB1126">
        <f>'T_SelfStock'!CZ30</f>
        <v/>
      </c>
      <c r="DC1126">
        <f>'T_SelfStock'!DA30</f>
        <v/>
      </c>
    </row>
    <row r="1127">
      <c r="B1127" t="inlineStr">
        <is>
          <t>Order(発注予定,kg)</t>
        </is>
      </c>
      <c r="D1127">
        <f>IF(SUMIFS(T_PlannedOrders[EffectiveQty],T_PlannedOrders[Part Name],$A1113,T_PlannedOrders[WeekIndex],1)=0,"",SUMIFS(T_PlannedOrders[EffectiveQty],T_PlannedOrders[Part Name],$A1113,T_PlannedOrders[WeekIndex],1)&amp;" ("&amp;TEXT(SUMPRODUCT(MAX((T_PlannedOrders[Part Name]=$A1113)*(T_PlannedOrders[WeekIndex]=1)*(T_PlannedOrders[EffectiveQty]&gt;0)*T_PlannedOrders[Order_Month])),"m月")&amp;"発注)")</f>
        <v/>
      </c>
      <c r="E1127">
        <f>IF(SUMIFS(T_PlannedOrders[EffectiveQty],T_PlannedOrders[Part Name],$A1113,T_PlannedOrders[WeekIndex],2)=0,"",SUMIFS(T_PlannedOrders[EffectiveQty],T_PlannedOrders[Part Name],$A1113,T_PlannedOrders[WeekIndex],2)&amp;" ("&amp;TEXT(SUMPRODUCT(MAX((T_PlannedOrders[Part Name]=$A1113)*(T_PlannedOrders[WeekIndex]=2)*(T_PlannedOrders[EffectiveQty]&gt;0)*T_PlannedOrders[Order_Month])),"m月")&amp;"発注)")</f>
        <v/>
      </c>
      <c r="F1127">
        <f>IF(SUMIFS(T_PlannedOrders[EffectiveQty],T_PlannedOrders[Part Name],$A1113,T_PlannedOrders[WeekIndex],3)=0,"",SUMIFS(T_PlannedOrders[EffectiveQty],T_PlannedOrders[Part Name],$A1113,T_PlannedOrders[WeekIndex],3)&amp;" ("&amp;TEXT(SUMPRODUCT(MAX((T_PlannedOrders[Part Name]=$A1113)*(T_PlannedOrders[WeekIndex]=3)*(T_PlannedOrders[EffectiveQty]&gt;0)*T_PlannedOrders[Order_Month])),"m月")&amp;"発注)")</f>
        <v/>
      </c>
      <c r="G1127">
        <f>IF(SUMIFS(T_PlannedOrders[EffectiveQty],T_PlannedOrders[Part Name],$A1113,T_PlannedOrders[WeekIndex],4)=0,"",SUMIFS(T_PlannedOrders[EffectiveQty],T_PlannedOrders[Part Name],$A1113,T_PlannedOrders[WeekIndex],4)&amp;" ("&amp;TEXT(SUMPRODUCT(MAX((T_PlannedOrders[Part Name]=$A1113)*(T_PlannedOrders[WeekIndex]=4)*(T_PlannedOrders[EffectiveQty]&gt;0)*T_PlannedOrders[Order_Month])),"m月")&amp;"発注)")</f>
        <v/>
      </c>
      <c r="H1127">
        <f>IF(SUMIFS(T_PlannedOrders[EffectiveQty],T_PlannedOrders[Part Name],$A1113,T_PlannedOrders[WeekIndex],5)=0,"",SUMIFS(T_PlannedOrders[EffectiveQty],T_PlannedOrders[Part Name],$A1113,T_PlannedOrders[WeekIndex],5)&amp;" ("&amp;TEXT(SUMPRODUCT(MAX((T_PlannedOrders[Part Name]=$A1113)*(T_PlannedOrders[WeekIndex]=5)*(T_PlannedOrders[EffectiveQty]&gt;0)*T_PlannedOrders[Order_Month])),"m月")&amp;"発注)")</f>
        <v/>
      </c>
      <c r="I1127">
        <f>IF(SUMIFS(T_PlannedOrders[EffectiveQty],T_PlannedOrders[Part Name],$A1113,T_PlannedOrders[WeekIndex],6)=0,"",SUMIFS(T_PlannedOrders[EffectiveQty],T_PlannedOrders[Part Name],$A1113,T_PlannedOrders[WeekIndex],6)&amp;" ("&amp;TEXT(SUMPRODUCT(MAX((T_PlannedOrders[Part Name]=$A1113)*(T_PlannedOrders[WeekIndex]=6)*(T_PlannedOrders[EffectiveQty]&gt;0)*T_PlannedOrders[Order_Month])),"m月")&amp;"発注)")</f>
        <v/>
      </c>
      <c r="J1127">
        <f>IF(SUMIFS(T_PlannedOrders[EffectiveQty],T_PlannedOrders[Part Name],$A1113,T_PlannedOrders[WeekIndex],7)=0,"",SUMIFS(T_PlannedOrders[EffectiveQty],T_PlannedOrders[Part Name],$A1113,T_PlannedOrders[WeekIndex],7)&amp;" ("&amp;TEXT(SUMPRODUCT(MAX((T_PlannedOrders[Part Name]=$A1113)*(T_PlannedOrders[WeekIndex]=7)*(T_PlannedOrders[EffectiveQty]&gt;0)*T_PlannedOrders[Order_Month])),"m月")&amp;"発注)")</f>
        <v/>
      </c>
      <c r="K1127">
        <f>IF(SUMIFS(T_PlannedOrders[EffectiveQty],T_PlannedOrders[Part Name],$A1113,T_PlannedOrders[WeekIndex],8)=0,"",SUMIFS(T_PlannedOrders[EffectiveQty],T_PlannedOrders[Part Name],$A1113,T_PlannedOrders[WeekIndex],8)&amp;" ("&amp;TEXT(SUMPRODUCT(MAX((T_PlannedOrders[Part Name]=$A1113)*(T_PlannedOrders[WeekIndex]=8)*(T_PlannedOrders[EffectiveQty]&gt;0)*T_PlannedOrders[Order_Month])),"m月")&amp;"発注)")</f>
        <v/>
      </c>
      <c r="L1127">
        <f>IF(SUMIFS(T_PlannedOrders[EffectiveQty],T_PlannedOrders[Part Name],$A1113,T_PlannedOrders[WeekIndex],9)=0,"",SUMIFS(T_PlannedOrders[EffectiveQty],T_PlannedOrders[Part Name],$A1113,T_PlannedOrders[WeekIndex],9)&amp;" ("&amp;TEXT(SUMPRODUCT(MAX((T_PlannedOrders[Part Name]=$A1113)*(T_PlannedOrders[WeekIndex]=9)*(T_PlannedOrders[EffectiveQty]&gt;0)*T_PlannedOrders[Order_Month])),"m月")&amp;"発注)")</f>
        <v/>
      </c>
      <c r="M1127">
        <f>IF(SUMIFS(T_PlannedOrders[EffectiveQty],T_PlannedOrders[Part Name],$A1113,T_PlannedOrders[WeekIndex],10)=0,"",SUMIFS(T_PlannedOrders[EffectiveQty],T_PlannedOrders[Part Name],$A1113,T_PlannedOrders[WeekIndex],10)&amp;" ("&amp;TEXT(SUMPRODUCT(MAX((T_PlannedOrders[Part Name]=$A1113)*(T_PlannedOrders[WeekIndex]=10)*(T_PlannedOrders[EffectiveQty]&gt;0)*T_PlannedOrders[Order_Month])),"m月")&amp;"発注)")</f>
        <v/>
      </c>
      <c r="N1127">
        <f>IF(SUMIFS(T_PlannedOrders[EffectiveQty],T_PlannedOrders[Part Name],$A1113,T_PlannedOrders[WeekIndex],11)=0,"",SUMIFS(T_PlannedOrders[EffectiveQty],T_PlannedOrders[Part Name],$A1113,T_PlannedOrders[WeekIndex],11)&amp;" ("&amp;TEXT(SUMPRODUCT(MAX((T_PlannedOrders[Part Name]=$A1113)*(T_PlannedOrders[WeekIndex]=11)*(T_PlannedOrders[EffectiveQty]&gt;0)*T_PlannedOrders[Order_Month])),"m月")&amp;"発注)")</f>
        <v/>
      </c>
      <c r="O1127">
        <f>IF(SUMIFS(T_PlannedOrders[EffectiveQty],T_PlannedOrders[Part Name],$A1113,T_PlannedOrders[WeekIndex],12)=0,"",SUMIFS(T_PlannedOrders[EffectiveQty],T_PlannedOrders[Part Name],$A1113,T_PlannedOrders[WeekIndex],12)&amp;" ("&amp;TEXT(SUMPRODUCT(MAX((T_PlannedOrders[Part Name]=$A1113)*(T_PlannedOrders[WeekIndex]=12)*(T_PlannedOrders[EffectiveQty]&gt;0)*T_PlannedOrders[Order_Month])),"m月")&amp;"発注)")</f>
        <v/>
      </c>
      <c r="P1127">
        <f>IF(SUMIFS(T_PlannedOrders[EffectiveQty],T_PlannedOrders[Part Name],$A1113,T_PlannedOrders[WeekIndex],13)=0,"",SUMIFS(T_PlannedOrders[EffectiveQty],T_PlannedOrders[Part Name],$A1113,T_PlannedOrders[WeekIndex],13)&amp;" ("&amp;TEXT(SUMPRODUCT(MAX((T_PlannedOrders[Part Name]=$A1113)*(T_PlannedOrders[WeekIndex]=13)*(T_PlannedOrders[EffectiveQty]&gt;0)*T_PlannedOrders[Order_Month])),"m月")&amp;"発注)")</f>
        <v/>
      </c>
      <c r="Q1127">
        <f>IF(SUMIFS(T_PlannedOrders[EffectiveQty],T_PlannedOrders[Part Name],$A1113,T_PlannedOrders[WeekIndex],14)=0,"",SUMIFS(T_PlannedOrders[EffectiveQty],T_PlannedOrders[Part Name],$A1113,T_PlannedOrders[WeekIndex],14)&amp;" ("&amp;TEXT(SUMPRODUCT(MAX((T_PlannedOrders[Part Name]=$A1113)*(T_PlannedOrders[WeekIndex]=14)*(T_PlannedOrders[EffectiveQty]&gt;0)*T_PlannedOrders[Order_Month])),"m月")&amp;"発注)")</f>
        <v/>
      </c>
      <c r="R1127">
        <f>IF(SUMIFS(T_PlannedOrders[EffectiveQty],T_PlannedOrders[Part Name],$A1113,T_PlannedOrders[WeekIndex],15)=0,"",SUMIFS(T_PlannedOrders[EffectiveQty],T_PlannedOrders[Part Name],$A1113,T_PlannedOrders[WeekIndex],15)&amp;" ("&amp;TEXT(SUMPRODUCT(MAX((T_PlannedOrders[Part Name]=$A1113)*(T_PlannedOrders[WeekIndex]=15)*(T_PlannedOrders[EffectiveQty]&gt;0)*T_PlannedOrders[Order_Month])),"m月")&amp;"発注)")</f>
        <v/>
      </c>
      <c r="S1127">
        <f>IF(SUMIFS(T_PlannedOrders[EffectiveQty],T_PlannedOrders[Part Name],$A1113,T_PlannedOrders[WeekIndex],16)=0,"",SUMIFS(T_PlannedOrders[EffectiveQty],T_PlannedOrders[Part Name],$A1113,T_PlannedOrders[WeekIndex],16)&amp;" ("&amp;TEXT(SUMPRODUCT(MAX((T_PlannedOrders[Part Name]=$A1113)*(T_PlannedOrders[WeekIndex]=16)*(T_PlannedOrders[EffectiveQty]&gt;0)*T_PlannedOrders[Order_Month])),"m月")&amp;"発注)")</f>
        <v/>
      </c>
      <c r="T1127">
        <f>IF(SUMIFS(T_PlannedOrders[EffectiveQty],T_PlannedOrders[Part Name],$A1113,T_PlannedOrders[WeekIndex],17)=0,"",SUMIFS(T_PlannedOrders[EffectiveQty],T_PlannedOrders[Part Name],$A1113,T_PlannedOrders[WeekIndex],17)&amp;" ("&amp;TEXT(SUMPRODUCT(MAX((T_PlannedOrders[Part Name]=$A1113)*(T_PlannedOrders[WeekIndex]=17)*(T_PlannedOrders[EffectiveQty]&gt;0)*T_PlannedOrders[Order_Month])),"m月")&amp;"発注)")</f>
        <v/>
      </c>
      <c r="U1127">
        <f>IF(SUMIFS(T_PlannedOrders[EffectiveQty],T_PlannedOrders[Part Name],$A1113,T_PlannedOrders[WeekIndex],18)=0,"",SUMIFS(T_PlannedOrders[EffectiveQty],T_PlannedOrders[Part Name],$A1113,T_PlannedOrders[WeekIndex],18)&amp;" ("&amp;TEXT(SUMPRODUCT(MAX((T_PlannedOrders[Part Name]=$A1113)*(T_PlannedOrders[WeekIndex]=18)*(T_PlannedOrders[EffectiveQty]&gt;0)*T_PlannedOrders[Order_Month])),"m月")&amp;"発注)")</f>
        <v/>
      </c>
      <c r="V1127">
        <f>IF(SUMIFS(T_PlannedOrders[EffectiveQty],T_PlannedOrders[Part Name],$A1113,T_PlannedOrders[WeekIndex],19)=0,"",SUMIFS(T_PlannedOrders[EffectiveQty],T_PlannedOrders[Part Name],$A1113,T_PlannedOrders[WeekIndex],19)&amp;" ("&amp;TEXT(SUMPRODUCT(MAX((T_PlannedOrders[Part Name]=$A1113)*(T_PlannedOrders[WeekIndex]=19)*(T_PlannedOrders[EffectiveQty]&gt;0)*T_PlannedOrders[Order_Month])),"m月")&amp;"発注)")</f>
        <v/>
      </c>
      <c r="W1127">
        <f>IF(SUMIFS(T_PlannedOrders[EffectiveQty],T_PlannedOrders[Part Name],$A1113,T_PlannedOrders[WeekIndex],20)=0,"",SUMIFS(T_PlannedOrders[EffectiveQty],T_PlannedOrders[Part Name],$A1113,T_PlannedOrders[WeekIndex],20)&amp;" ("&amp;TEXT(SUMPRODUCT(MAX((T_PlannedOrders[Part Name]=$A1113)*(T_PlannedOrders[WeekIndex]=20)*(T_PlannedOrders[EffectiveQty]&gt;0)*T_PlannedOrders[Order_Month])),"m月")&amp;"発注)")</f>
        <v/>
      </c>
      <c r="X1127">
        <f>IF(SUMIFS(T_PlannedOrders[EffectiveQty],T_PlannedOrders[Part Name],$A1113,T_PlannedOrders[WeekIndex],21)=0,"",SUMIFS(T_PlannedOrders[EffectiveQty],T_PlannedOrders[Part Name],$A1113,T_PlannedOrders[WeekIndex],21)&amp;" ("&amp;TEXT(SUMPRODUCT(MAX((T_PlannedOrders[Part Name]=$A1113)*(T_PlannedOrders[WeekIndex]=21)*(T_PlannedOrders[EffectiveQty]&gt;0)*T_PlannedOrders[Order_Month])),"m月")&amp;"発注)")</f>
        <v/>
      </c>
      <c r="Y1127">
        <f>IF(SUMIFS(T_PlannedOrders[EffectiveQty],T_PlannedOrders[Part Name],$A1113,T_PlannedOrders[WeekIndex],22)=0,"",SUMIFS(T_PlannedOrders[EffectiveQty],T_PlannedOrders[Part Name],$A1113,T_PlannedOrders[WeekIndex],22)&amp;" ("&amp;TEXT(SUMPRODUCT(MAX((T_PlannedOrders[Part Name]=$A1113)*(T_PlannedOrders[WeekIndex]=22)*(T_PlannedOrders[EffectiveQty]&gt;0)*T_PlannedOrders[Order_Month])),"m月")&amp;"発注)")</f>
        <v/>
      </c>
      <c r="Z1127">
        <f>IF(SUMIFS(T_PlannedOrders[EffectiveQty],T_PlannedOrders[Part Name],$A1113,T_PlannedOrders[WeekIndex],23)=0,"",SUMIFS(T_PlannedOrders[EffectiveQty],T_PlannedOrders[Part Name],$A1113,T_PlannedOrders[WeekIndex],23)&amp;" ("&amp;TEXT(SUMPRODUCT(MAX((T_PlannedOrders[Part Name]=$A1113)*(T_PlannedOrders[WeekIndex]=23)*(T_PlannedOrders[EffectiveQty]&gt;0)*T_PlannedOrders[Order_Month])),"m月")&amp;"発注)")</f>
        <v/>
      </c>
      <c r="AA1127">
        <f>IF(SUMIFS(T_PlannedOrders[EffectiveQty],T_PlannedOrders[Part Name],$A1113,T_PlannedOrders[WeekIndex],24)=0,"",SUMIFS(T_PlannedOrders[EffectiveQty],T_PlannedOrders[Part Name],$A1113,T_PlannedOrders[WeekIndex],24)&amp;" ("&amp;TEXT(SUMPRODUCT(MAX((T_PlannedOrders[Part Name]=$A1113)*(T_PlannedOrders[WeekIndex]=24)*(T_PlannedOrders[EffectiveQty]&gt;0)*T_PlannedOrders[Order_Month])),"m月")&amp;"発注)")</f>
        <v/>
      </c>
      <c r="AB1127">
        <f>IF(SUMIFS(T_PlannedOrders[EffectiveQty],T_PlannedOrders[Part Name],$A1113,T_PlannedOrders[WeekIndex],25)=0,"",SUMIFS(T_PlannedOrders[EffectiveQty],T_PlannedOrders[Part Name],$A1113,T_PlannedOrders[WeekIndex],25)&amp;" ("&amp;TEXT(SUMPRODUCT(MAX((T_PlannedOrders[Part Name]=$A1113)*(T_PlannedOrders[WeekIndex]=25)*(T_PlannedOrders[EffectiveQty]&gt;0)*T_PlannedOrders[Order_Month])),"m月")&amp;"発注)")</f>
        <v/>
      </c>
      <c r="AC1127">
        <f>IF(SUMIFS(T_PlannedOrders[EffectiveQty],T_PlannedOrders[Part Name],$A1113,T_PlannedOrders[WeekIndex],26)=0,"",SUMIFS(T_PlannedOrders[EffectiveQty],T_PlannedOrders[Part Name],$A1113,T_PlannedOrders[WeekIndex],26)&amp;" ("&amp;TEXT(SUMPRODUCT(MAX((T_PlannedOrders[Part Name]=$A1113)*(T_PlannedOrders[WeekIndex]=26)*(T_PlannedOrders[EffectiveQty]&gt;0)*T_PlannedOrders[Order_Month])),"m月")&amp;"発注)")</f>
        <v/>
      </c>
      <c r="AD1127">
        <f>IF(SUMIFS(T_PlannedOrders[EffectiveQty],T_PlannedOrders[Part Name],$A1113,T_PlannedOrders[WeekIndex],27)=0,"",SUMIFS(T_PlannedOrders[EffectiveQty],T_PlannedOrders[Part Name],$A1113,T_PlannedOrders[WeekIndex],27)&amp;" ("&amp;TEXT(SUMPRODUCT(MAX((T_PlannedOrders[Part Name]=$A1113)*(T_PlannedOrders[WeekIndex]=27)*(T_PlannedOrders[EffectiveQty]&gt;0)*T_PlannedOrders[Order_Month])),"m月")&amp;"発注)")</f>
        <v/>
      </c>
      <c r="AE1127">
        <f>IF(SUMIFS(T_PlannedOrders[EffectiveQty],T_PlannedOrders[Part Name],$A1113,T_PlannedOrders[WeekIndex],28)=0,"",SUMIFS(T_PlannedOrders[EffectiveQty],T_PlannedOrders[Part Name],$A1113,T_PlannedOrders[WeekIndex],28)&amp;" ("&amp;TEXT(SUMPRODUCT(MAX((T_PlannedOrders[Part Name]=$A1113)*(T_PlannedOrders[WeekIndex]=28)*(T_PlannedOrders[EffectiveQty]&gt;0)*T_PlannedOrders[Order_Month])),"m月")&amp;"発注)")</f>
        <v/>
      </c>
      <c r="AF1127">
        <f>IF(SUMIFS(T_PlannedOrders[EffectiveQty],T_PlannedOrders[Part Name],$A1113,T_PlannedOrders[WeekIndex],29)=0,"",SUMIFS(T_PlannedOrders[EffectiveQty],T_PlannedOrders[Part Name],$A1113,T_PlannedOrders[WeekIndex],29)&amp;" ("&amp;TEXT(SUMPRODUCT(MAX((T_PlannedOrders[Part Name]=$A1113)*(T_PlannedOrders[WeekIndex]=29)*(T_PlannedOrders[EffectiveQty]&gt;0)*T_PlannedOrders[Order_Month])),"m月")&amp;"発注)")</f>
        <v/>
      </c>
      <c r="AG1127">
        <f>IF(SUMIFS(T_PlannedOrders[EffectiveQty],T_PlannedOrders[Part Name],$A1113,T_PlannedOrders[WeekIndex],30)=0,"",SUMIFS(T_PlannedOrders[EffectiveQty],T_PlannedOrders[Part Name],$A1113,T_PlannedOrders[WeekIndex],30)&amp;" ("&amp;TEXT(SUMPRODUCT(MAX((T_PlannedOrders[Part Name]=$A1113)*(T_PlannedOrders[WeekIndex]=30)*(T_PlannedOrders[EffectiveQty]&gt;0)*T_PlannedOrders[Order_Month])),"m月")&amp;"発注)")</f>
        <v/>
      </c>
      <c r="AH1127">
        <f>IF(SUMIFS(T_PlannedOrders[EffectiveQty],T_PlannedOrders[Part Name],$A1113,T_PlannedOrders[WeekIndex],31)=0,"",SUMIFS(T_PlannedOrders[EffectiveQty],T_PlannedOrders[Part Name],$A1113,T_PlannedOrders[WeekIndex],31)&amp;" ("&amp;TEXT(SUMPRODUCT(MAX((T_PlannedOrders[Part Name]=$A1113)*(T_PlannedOrders[WeekIndex]=31)*(T_PlannedOrders[EffectiveQty]&gt;0)*T_PlannedOrders[Order_Month])),"m月")&amp;"発注)")</f>
        <v/>
      </c>
      <c r="AI1127">
        <f>IF(SUMIFS(T_PlannedOrders[EffectiveQty],T_PlannedOrders[Part Name],$A1113,T_PlannedOrders[WeekIndex],32)=0,"",SUMIFS(T_PlannedOrders[EffectiveQty],T_PlannedOrders[Part Name],$A1113,T_PlannedOrders[WeekIndex],32)&amp;" ("&amp;TEXT(SUMPRODUCT(MAX((T_PlannedOrders[Part Name]=$A1113)*(T_PlannedOrders[WeekIndex]=32)*(T_PlannedOrders[EffectiveQty]&gt;0)*T_PlannedOrders[Order_Month])),"m月")&amp;"発注)")</f>
        <v/>
      </c>
      <c r="AJ1127">
        <f>IF(SUMIFS(T_PlannedOrders[EffectiveQty],T_PlannedOrders[Part Name],$A1113,T_PlannedOrders[WeekIndex],33)=0,"",SUMIFS(T_PlannedOrders[EffectiveQty],T_PlannedOrders[Part Name],$A1113,T_PlannedOrders[WeekIndex],33)&amp;" ("&amp;TEXT(SUMPRODUCT(MAX((T_PlannedOrders[Part Name]=$A1113)*(T_PlannedOrders[WeekIndex]=33)*(T_PlannedOrders[EffectiveQty]&gt;0)*T_PlannedOrders[Order_Month])),"m月")&amp;"発注)")</f>
        <v/>
      </c>
      <c r="AK1127">
        <f>IF(SUMIFS(T_PlannedOrders[EffectiveQty],T_PlannedOrders[Part Name],$A1113,T_PlannedOrders[WeekIndex],34)=0,"",SUMIFS(T_PlannedOrders[EffectiveQty],T_PlannedOrders[Part Name],$A1113,T_PlannedOrders[WeekIndex],34)&amp;" ("&amp;TEXT(SUMPRODUCT(MAX((T_PlannedOrders[Part Name]=$A1113)*(T_PlannedOrders[WeekIndex]=34)*(T_PlannedOrders[EffectiveQty]&gt;0)*T_PlannedOrders[Order_Month])),"m月")&amp;"発注)")</f>
        <v/>
      </c>
      <c r="AL1127">
        <f>IF(SUMIFS(T_PlannedOrders[EffectiveQty],T_PlannedOrders[Part Name],$A1113,T_PlannedOrders[WeekIndex],35)=0,"",SUMIFS(T_PlannedOrders[EffectiveQty],T_PlannedOrders[Part Name],$A1113,T_PlannedOrders[WeekIndex],35)&amp;" ("&amp;TEXT(SUMPRODUCT(MAX((T_PlannedOrders[Part Name]=$A1113)*(T_PlannedOrders[WeekIndex]=35)*(T_PlannedOrders[EffectiveQty]&gt;0)*T_PlannedOrders[Order_Month])),"m月")&amp;"発注)")</f>
        <v/>
      </c>
      <c r="AM1127">
        <f>IF(SUMIFS(T_PlannedOrders[EffectiveQty],T_PlannedOrders[Part Name],$A1113,T_PlannedOrders[WeekIndex],36)=0,"",SUMIFS(T_PlannedOrders[EffectiveQty],T_PlannedOrders[Part Name],$A1113,T_PlannedOrders[WeekIndex],36)&amp;" ("&amp;TEXT(SUMPRODUCT(MAX((T_PlannedOrders[Part Name]=$A1113)*(T_PlannedOrders[WeekIndex]=36)*(T_PlannedOrders[EffectiveQty]&gt;0)*T_PlannedOrders[Order_Month])),"m月")&amp;"発注)")</f>
        <v/>
      </c>
      <c r="AN1127">
        <f>IF(SUMIFS(T_PlannedOrders[EffectiveQty],T_PlannedOrders[Part Name],$A1113,T_PlannedOrders[WeekIndex],37)=0,"",SUMIFS(T_PlannedOrders[EffectiveQty],T_PlannedOrders[Part Name],$A1113,T_PlannedOrders[WeekIndex],37)&amp;" ("&amp;TEXT(SUMPRODUCT(MAX((T_PlannedOrders[Part Name]=$A1113)*(T_PlannedOrders[WeekIndex]=37)*(T_PlannedOrders[EffectiveQty]&gt;0)*T_PlannedOrders[Order_Month])),"m月")&amp;"発注)")</f>
        <v/>
      </c>
      <c r="AO1127">
        <f>IF(SUMIFS(T_PlannedOrders[EffectiveQty],T_PlannedOrders[Part Name],$A1113,T_PlannedOrders[WeekIndex],38)=0,"",SUMIFS(T_PlannedOrders[EffectiveQty],T_PlannedOrders[Part Name],$A1113,T_PlannedOrders[WeekIndex],38)&amp;" ("&amp;TEXT(SUMPRODUCT(MAX((T_PlannedOrders[Part Name]=$A1113)*(T_PlannedOrders[WeekIndex]=38)*(T_PlannedOrders[EffectiveQty]&gt;0)*T_PlannedOrders[Order_Month])),"m月")&amp;"発注)")</f>
        <v/>
      </c>
      <c r="AP1127">
        <f>IF(SUMIFS(T_PlannedOrders[EffectiveQty],T_PlannedOrders[Part Name],$A1113,T_PlannedOrders[WeekIndex],39)=0,"",SUMIFS(T_PlannedOrders[EffectiveQty],T_PlannedOrders[Part Name],$A1113,T_PlannedOrders[WeekIndex],39)&amp;" ("&amp;TEXT(SUMPRODUCT(MAX((T_PlannedOrders[Part Name]=$A1113)*(T_PlannedOrders[WeekIndex]=39)*(T_PlannedOrders[EffectiveQty]&gt;0)*T_PlannedOrders[Order_Month])),"m月")&amp;"発注)")</f>
        <v/>
      </c>
      <c r="AQ1127">
        <f>IF(SUMIFS(T_PlannedOrders[EffectiveQty],T_PlannedOrders[Part Name],$A1113,T_PlannedOrders[WeekIndex],40)=0,"",SUMIFS(T_PlannedOrders[EffectiveQty],T_PlannedOrders[Part Name],$A1113,T_PlannedOrders[WeekIndex],40)&amp;" ("&amp;TEXT(SUMPRODUCT(MAX((T_PlannedOrders[Part Name]=$A1113)*(T_PlannedOrders[WeekIndex]=40)*(T_PlannedOrders[EffectiveQty]&gt;0)*T_PlannedOrders[Order_Month])),"m月")&amp;"発注)")</f>
        <v/>
      </c>
      <c r="AR1127">
        <f>IF(SUMIFS(T_PlannedOrders[EffectiveQty],T_PlannedOrders[Part Name],$A1113,T_PlannedOrders[WeekIndex],41)=0,"",SUMIFS(T_PlannedOrders[EffectiveQty],T_PlannedOrders[Part Name],$A1113,T_PlannedOrders[WeekIndex],41)&amp;" ("&amp;TEXT(SUMPRODUCT(MAX((T_PlannedOrders[Part Name]=$A1113)*(T_PlannedOrders[WeekIndex]=41)*(T_PlannedOrders[EffectiveQty]&gt;0)*T_PlannedOrders[Order_Month])),"m月")&amp;"発注)")</f>
        <v/>
      </c>
      <c r="AS1127">
        <f>IF(SUMIFS(T_PlannedOrders[EffectiveQty],T_PlannedOrders[Part Name],$A1113,T_PlannedOrders[WeekIndex],42)=0,"",SUMIFS(T_PlannedOrders[EffectiveQty],T_PlannedOrders[Part Name],$A1113,T_PlannedOrders[WeekIndex],42)&amp;" ("&amp;TEXT(SUMPRODUCT(MAX((T_PlannedOrders[Part Name]=$A1113)*(T_PlannedOrders[WeekIndex]=42)*(T_PlannedOrders[EffectiveQty]&gt;0)*T_PlannedOrders[Order_Month])),"m月")&amp;"発注)")</f>
        <v/>
      </c>
      <c r="AT1127">
        <f>IF(SUMIFS(T_PlannedOrders[EffectiveQty],T_PlannedOrders[Part Name],$A1113,T_PlannedOrders[WeekIndex],43)=0,"",SUMIFS(T_PlannedOrders[EffectiveQty],T_PlannedOrders[Part Name],$A1113,T_PlannedOrders[WeekIndex],43)&amp;" ("&amp;TEXT(SUMPRODUCT(MAX((T_PlannedOrders[Part Name]=$A1113)*(T_PlannedOrders[WeekIndex]=43)*(T_PlannedOrders[EffectiveQty]&gt;0)*T_PlannedOrders[Order_Month])),"m月")&amp;"発注)")</f>
        <v/>
      </c>
      <c r="AU1127">
        <f>IF(SUMIFS(T_PlannedOrders[EffectiveQty],T_PlannedOrders[Part Name],$A1113,T_PlannedOrders[WeekIndex],44)=0,"",SUMIFS(T_PlannedOrders[EffectiveQty],T_PlannedOrders[Part Name],$A1113,T_PlannedOrders[WeekIndex],44)&amp;" ("&amp;TEXT(SUMPRODUCT(MAX((T_PlannedOrders[Part Name]=$A1113)*(T_PlannedOrders[WeekIndex]=44)*(T_PlannedOrders[EffectiveQty]&gt;0)*T_PlannedOrders[Order_Month])),"m月")&amp;"発注)")</f>
        <v/>
      </c>
      <c r="AV1127">
        <f>IF(SUMIFS(T_PlannedOrders[EffectiveQty],T_PlannedOrders[Part Name],$A1113,T_PlannedOrders[WeekIndex],45)=0,"",SUMIFS(T_PlannedOrders[EffectiveQty],T_PlannedOrders[Part Name],$A1113,T_PlannedOrders[WeekIndex],45)&amp;" ("&amp;TEXT(SUMPRODUCT(MAX((T_PlannedOrders[Part Name]=$A1113)*(T_PlannedOrders[WeekIndex]=45)*(T_PlannedOrders[EffectiveQty]&gt;0)*T_PlannedOrders[Order_Month])),"m月")&amp;"発注)")</f>
        <v/>
      </c>
      <c r="AW1127">
        <f>IF(SUMIFS(T_PlannedOrders[EffectiveQty],T_PlannedOrders[Part Name],$A1113,T_PlannedOrders[WeekIndex],46)=0,"",SUMIFS(T_PlannedOrders[EffectiveQty],T_PlannedOrders[Part Name],$A1113,T_PlannedOrders[WeekIndex],46)&amp;" ("&amp;TEXT(SUMPRODUCT(MAX((T_PlannedOrders[Part Name]=$A1113)*(T_PlannedOrders[WeekIndex]=46)*(T_PlannedOrders[EffectiveQty]&gt;0)*T_PlannedOrders[Order_Month])),"m月")&amp;"発注)")</f>
        <v/>
      </c>
      <c r="AX1127">
        <f>IF(SUMIFS(T_PlannedOrders[EffectiveQty],T_PlannedOrders[Part Name],$A1113,T_PlannedOrders[WeekIndex],47)=0,"",SUMIFS(T_PlannedOrders[EffectiveQty],T_PlannedOrders[Part Name],$A1113,T_PlannedOrders[WeekIndex],47)&amp;" ("&amp;TEXT(SUMPRODUCT(MAX((T_PlannedOrders[Part Name]=$A1113)*(T_PlannedOrders[WeekIndex]=47)*(T_PlannedOrders[EffectiveQty]&gt;0)*T_PlannedOrders[Order_Month])),"m月")&amp;"発注)")</f>
        <v/>
      </c>
      <c r="AY1127">
        <f>IF(SUMIFS(T_PlannedOrders[EffectiveQty],T_PlannedOrders[Part Name],$A1113,T_PlannedOrders[WeekIndex],48)=0,"",SUMIFS(T_PlannedOrders[EffectiveQty],T_PlannedOrders[Part Name],$A1113,T_PlannedOrders[WeekIndex],48)&amp;" ("&amp;TEXT(SUMPRODUCT(MAX((T_PlannedOrders[Part Name]=$A1113)*(T_PlannedOrders[WeekIndex]=48)*(T_PlannedOrders[EffectiveQty]&gt;0)*T_PlannedOrders[Order_Month])),"m月")&amp;"発注)")</f>
        <v/>
      </c>
      <c r="AZ1127">
        <f>IF(SUMIFS(T_PlannedOrders[EffectiveQty],T_PlannedOrders[Part Name],$A1113,T_PlannedOrders[WeekIndex],49)=0,"",SUMIFS(T_PlannedOrders[EffectiveQty],T_PlannedOrders[Part Name],$A1113,T_PlannedOrders[WeekIndex],49)&amp;" ("&amp;TEXT(SUMPRODUCT(MAX((T_PlannedOrders[Part Name]=$A1113)*(T_PlannedOrders[WeekIndex]=49)*(T_PlannedOrders[EffectiveQty]&gt;0)*T_PlannedOrders[Order_Month])),"m月")&amp;"発注)")</f>
        <v/>
      </c>
      <c r="BA1127">
        <f>IF(SUMIFS(T_PlannedOrders[EffectiveQty],T_PlannedOrders[Part Name],$A1113,T_PlannedOrders[WeekIndex],50)=0,"",SUMIFS(T_PlannedOrders[EffectiveQty],T_PlannedOrders[Part Name],$A1113,T_PlannedOrders[WeekIndex],50)&amp;" ("&amp;TEXT(SUMPRODUCT(MAX((T_PlannedOrders[Part Name]=$A1113)*(T_PlannedOrders[WeekIndex]=50)*(T_PlannedOrders[EffectiveQty]&gt;0)*T_PlannedOrders[Order_Month])),"m月")&amp;"発注)")</f>
        <v/>
      </c>
      <c r="BB1127">
        <f>IF(SUMIFS(T_PlannedOrders[EffectiveQty],T_PlannedOrders[Part Name],$A1113,T_PlannedOrders[WeekIndex],51)=0,"",SUMIFS(T_PlannedOrders[EffectiveQty],T_PlannedOrders[Part Name],$A1113,T_PlannedOrders[WeekIndex],51)&amp;" ("&amp;TEXT(SUMPRODUCT(MAX((T_PlannedOrders[Part Name]=$A1113)*(T_PlannedOrders[WeekIndex]=51)*(T_PlannedOrders[EffectiveQty]&gt;0)*T_PlannedOrders[Order_Month])),"m月")&amp;"発注)")</f>
        <v/>
      </c>
      <c r="BC1127">
        <f>IF(SUMIFS(T_PlannedOrders[EffectiveQty],T_PlannedOrders[Part Name],$A1113,T_PlannedOrders[WeekIndex],52)=0,"",SUMIFS(T_PlannedOrders[EffectiveQty],T_PlannedOrders[Part Name],$A1113,T_PlannedOrders[WeekIndex],52)&amp;" ("&amp;TEXT(SUMPRODUCT(MAX((T_PlannedOrders[Part Name]=$A1113)*(T_PlannedOrders[WeekIndex]=52)*(T_PlannedOrders[EffectiveQty]&gt;0)*T_PlannedOrders[Order_Month])),"m月")&amp;"発注)")</f>
        <v/>
      </c>
      <c r="BD1127">
        <f>IF(SUMIFS(T_PlannedOrders[EffectiveQty],T_PlannedOrders[Part Name],$A1113,T_PlannedOrders[WeekIndex],53)=0,"",SUMIFS(T_PlannedOrders[EffectiveQty],T_PlannedOrders[Part Name],$A1113,T_PlannedOrders[WeekIndex],53)&amp;" ("&amp;TEXT(SUMPRODUCT(MAX((T_PlannedOrders[Part Name]=$A1113)*(T_PlannedOrders[WeekIndex]=53)*(T_PlannedOrders[EffectiveQty]&gt;0)*T_PlannedOrders[Order_Month])),"m月")&amp;"発注)")</f>
        <v/>
      </c>
      <c r="BE1127">
        <f>IF(SUMIFS(T_PlannedOrders[EffectiveQty],T_PlannedOrders[Part Name],$A1113,T_PlannedOrders[WeekIndex],54)=0,"",SUMIFS(T_PlannedOrders[EffectiveQty],T_PlannedOrders[Part Name],$A1113,T_PlannedOrders[WeekIndex],54)&amp;" ("&amp;TEXT(SUMPRODUCT(MAX((T_PlannedOrders[Part Name]=$A1113)*(T_PlannedOrders[WeekIndex]=54)*(T_PlannedOrders[EffectiveQty]&gt;0)*T_PlannedOrders[Order_Month])),"m月")&amp;"発注)")</f>
        <v/>
      </c>
      <c r="BF1127">
        <f>IF(SUMIFS(T_PlannedOrders[EffectiveQty],T_PlannedOrders[Part Name],$A1113,T_PlannedOrders[WeekIndex],55)=0,"",SUMIFS(T_PlannedOrders[EffectiveQty],T_PlannedOrders[Part Name],$A1113,T_PlannedOrders[WeekIndex],55)&amp;" ("&amp;TEXT(SUMPRODUCT(MAX((T_PlannedOrders[Part Name]=$A1113)*(T_PlannedOrders[WeekIndex]=55)*(T_PlannedOrders[EffectiveQty]&gt;0)*T_PlannedOrders[Order_Month])),"m月")&amp;"発注)")</f>
        <v/>
      </c>
      <c r="BG1127">
        <f>IF(SUMIFS(T_PlannedOrders[EffectiveQty],T_PlannedOrders[Part Name],$A1113,T_PlannedOrders[WeekIndex],56)=0,"",SUMIFS(T_PlannedOrders[EffectiveQty],T_PlannedOrders[Part Name],$A1113,T_PlannedOrders[WeekIndex],56)&amp;" ("&amp;TEXT(SUMPRODUCT(MAX((T_PlannedOrders[Part Name]=$A1113)*(T_PlannedOrders[WeekIndex]=56)*(T_PlannedOrders[EffectiveQty]&gt;0)*T_PlannedOrders[Order_Month])),"m月")&amp;"発注)")</f>
        <v/>
      </c>
      <c r="BH1127">
        <f>IF(SUMIFS(T_PlannedOrders[EffectiveQty],T_PlannedOrders[Part Name],$A1113,T_PlannedOrders[WeekIndex],57)=0,"",SUMIFS(T_PlannedOrders[EffectiveQty],T_PlannedOrders[Part Name],$A1113,T_PlannedOrders[WeekIndex],57)&amp;" ("&amp;TEXT(SUMPRODUCT(MAX((T_PlannedOrders[Part Name]=$A1113)*(T_PlannedOrders[WeekIndex]=57)*(T_PlannedOrders[EffectiveQty]&gt;0)*T_PlannedOrders[Order_Month])),"m月")&amp;"発注)")</f>
        <v/>
      </c>
      <c r="BI1127">
        <f>IF(SUMIFS(T_PlannedOrders[EffectiveQty],T_PlannedOrders[Part Name],$A1113,T_PlannedOrders[WeekIndex],58)=0,"",SUMIFS(T_PlannedOrders[EffectiveQty],T_PlannedOrders[Part Name],$A1113,T_PlannedOrders[WeekIndex],58)&amp;" ("&amp;TEXT(SUMPRODUCT(MAX((T_PlannedOrders[Part Name]=$A1113)*(T_PlannedOrders[WeekIndex]=58)*(T_PlannedOrders[EffectiveQty]&gt;0)*T_PlannedOrders[Order_Month])),"m月")&amp;"発注)")</f>
        <v/>
      </c>
      <c r="BJ1127">
        <f>IF(SUMIFS(T_PlannedOrders[EffectiveQty],T_PlannedOrders[Part Name],$A1113,T_PlannedOrders[WeekIndex],59)=0,"",SUMIFS(T_PlannedOrders[EffectiveQty],T_PlannedOrders[Part Name],$A1113,T_PlannedOrders[WeekIndex],59)&amp;" ("&amp;TEXT(SUMPRODUCT(MAX((T_PlannedOrders[Part Name]=$A1113)*(T_PlannedOrders[WeekIndex]=59)*(T_PlannedOrders[EffectiveQty]&gt;0)*T_PlannedOrders[Order_Month])),"m月")&amp;"発注)")</f>
        <v/>
      </c>
      <c r="BK1127">
        <f>IF(SUMIFS(T_PlannedOrders[EffectiveQty],T_PlannedOrders[Part Name],$A1113,T_PlannedOrders[WeekIndex],60)=0,"",SUMIFS(T_PlannedOrders[EffectiveQty],T_PlannedOrders[Part Name],$A1113,T_PlannedOrders[WeekIndex],60)&amp;" ("&amp;TEXT(SUMPRODUCT(MAX((T_PlannedOrders[Part Name]=$A1113)*(T_PlannedOrders[WeekIndex]=60)*(T_PlannedOrders[EffectiveQty]&gt;0)*T_PlannedOrders[Order_Month])),"m月")&amp;"発注)")</f>
        <v/>
      </c>
      <c r="BL1127">
        <f>IF(SUMIFS(T_PlannedOrders[EffectiveQty],T_PlannedOrders[Part Name],$A1113,T_PlannedOrders[WeekIndex],61)=0,"",SUMIFS(T_PlannedOrders[EffectiveQty],T_PlannedOrders[Part Name],$A1113,T_PlannedOrders[WeekIndex],61)&amp;" ("&amp;TEXT(SUMPRODUCT(MAX((T_PlannedOrders[Part Name]=$A1113)*(T_PlannedOrders[WeekIndex]=61)*(T_PlannedOrders[EffectiveQty]&gt;0)*T_PlannedOrders[Order_Month])),"m月")&amp;"発注)")</f>
        <v/>
      </c>
      <c r="BM1127">
        <f>IF(SUMIFS(T_PlannedOrders[EffectiveQty],T_PlannedOrders[Part Name],$A1113,T_PlannedOrders[WeekIndex],62)=0,"",SUMIFS(T_PlannedOrders[EffectiveQty],T_PlannedOrders[Part Name],$A1113,T_PlannedOrders[WeekIndex],62)&amp;" ("&amp;TEXT(SUMPRODUCT(MAX((T_PlannedOrders[Part Name]=$A1113)*(T_PlannedOrders[WeekIndex]=62)*(T_PlannedOrders[EffectiveQty]&gt;0)*T_PlannedOrders[Order_Month])),"m月")&amp;"発注)")</f>
        <v/>
      </c>
      <c r="BN1127">
        <f>IF(SUMIFS(T_PlannedOrders[EffectiveQty],T_PlannedOrders[Part Name],$A1113,T_PlannedOrders[WeekIndex],63)=0,"",SUMIFS(T_PlannedOrders[EffectiveQty],T_PlannedOrders[Part Name],$A1113,T_PlannedOrders[WeekIndex],63)&amp;" ("&amp;TEXT(SUMPRODUCT(MAX((T_PlannedOrders[Part Name]=$A1113)*(T_PlannedOrders[WeekIndex]=63)*(T_PlannedOrders[EffectiveQty]&gt;0)*T_PlannedOrders[Order_Month])),"m月")&amp;"発注)")</f>
        <v/>
      </c>
      <c r="BO1127">
        <f>IF(SUMIFS(T_PlannedOrders[EffectiveQty],T_PlannedOrders[Part Name],$A1113,T_PlannedOrders[WeekIndex],64)=0,"",SUMIFS(T_PlannedOrders[EffectiveQty],T_PlannedOrders[Part Name],$A1113,T_PlannedOrders[WeekIndex],64)&amp;" ("&amp;TEXT(SUMPRODUCT(MAX((T_PlannedOrders[Part Name]=$A1113)*(T_PlannedOrders[WeekIndex]=64)*(T_PlannedOrders[EffectiveQty]&gt;0)*T_PlannedOrders[Order_Month])),"m月")&amp;"発注)")</f>
        <v/>
      </c>
      <c r="BP1127">
        <f>IF(SUMIFS(T_PlannedOrders[EffectiveQty],T_PlannedOrders[Part Name],$A1113,T_PlannedOrders[WeekIndex],65)=0,"",SUMIFS(T_PlannedOrders[EffectiveQty],T_PlannedOrders[Part Name],$A1113,T_PlannedOrders[WeekIndex],65)&amp;" ("&amp;TEXT(SUMPRODUCT(MAX((T_PlannedOrders[Part Name]=$A1113)*(T_PlannedOrders[WeekIndex]=65)*(T_PlannedOrders[EffectiveQty]&gt;0)*T_PlannedOrders[Order_Month])),"m月")&amp;"発注)")</f>
        <v/>
      </c>
      <c r="BQ1127">
        <f>IF(SUMIFS(T_PlannedOrders[EffectiveQty],T_PlannedOrders[Part Name],$A1113,T_PlannedOrders[WeekIndex],66)=0,"",SUMIFS(T_PlannedOrders[EffectiveQty],T_PlannedOrders[Part Name],$A1113,T_PlannedOrders[WeekIndex],66)&amp;" ("&amp;TEXT(SUMPRODUCT(MAX((T_PlannedOrders[Part Name]=$A1113)*(T_PlannedOrders[WeekIndex]=66)*(T_PlannedOrders[EffectiveQty]&gt;0)*T_PlannedOrders[Order_Month])),"m月")&amp;"発注)")</f>
        <v/>
      </c>
      <c r="BR1127">
        <f>IF(SUMIFS(T_PlannedOrders[EffectiveQty],T_PlannedOrders[Part Name],$A1113,T_PlannedOrders[WeekIndex],67)=0,"",SUMIFS(T_PlannedOrders[EffectiveQty],T_PlannedOrders[Part Name],$A1113,T_PlannedOrders[WeekIndex],67)&amp;" ("&amp;TEXT(SUMPRODUCT(MAX((T_PlannedOrders[Part Name]=$A1113)*(T_PlannedOrders[WeekIndex]=67)*(T_PlannedOrders[EffectiveQty]&gt;0)*T_PlannedOrders[Order_Month])),"m月")&amp;"発注)")</f>
        <v/>
      </c>
      <c r="BS1127">
        <f>IF(SUMIFS(T_PlannedOrders[EffectiveQty],T_PlannedOrders[Part Name],$A1113,T_PlannedOrders[WeekIndex],68)=0,"",SUMIFS(T_PlannedOrders[EffectiveQty],T_PlannedOrders[Part Name],$A1113,T_PlannedOrders[WeekIndex],68)&amp;" ("&amp;TEXT(SUMPRODUCT(MAX((T_PlannedOrders[Part Name]=$A1113)*(T_PlannedOrders[WeekIndex]=68)*(T_PlannedOrders[EffectiveQty]&gt;0)*T_PlannedOrders[Order_Month])),"m月")&amp;"発注)")</f>
        <v/>
      </c>
      <c r="BT1127">
        <f>IF(SUMIFS(T_PlannedOrders[EffectiveQty],T_PlannedOrders[Part Name],$A1113,T_PlannedOrders[WeekIndex],69)=0,"",SUMIFS(T_PlannedOrders[EffectiveQty],T_PlannedOrders[Part Name],$A1113,T_PlannedOrders[WeekIndex],69)&amp;" ("&amp;TEXT(SUMPRODUCT(MAX((T_PlannedOrders[Part Name]=$A1113)*(T_PlannedOrders[WeekIndex]=69)*(T_PlannedOrders[EffectiveQty]&gt;0)*T_PlannedOrders[Order_Month])),"m月")&amp;"発注)")</f>
        <v/>
      </c>
      <c r="BU1127">
        <f>IF(SUMIFS(T_PlannedOrders[EffectiveQty],T_PlannedOrders[Part Name],$A1113,T_PlannedOrders[WeekIndex],70)=0,"",SUMIFS(T_PlannedOrders[EffectiveQty],T_PlannedOrders[Part Name],$A1113,T_PlannedOrders[WeekIndex],70)&amp;" ("&amp;TEXT(SUMPRODUCT(MAX((T_PlannedOrders[Part Name]=$A1113)*(T_PlannedOrders[WeekIndex]=70)*(T_PlannedOrders[EffectiveQty]&gt;0)*T_PlannedOrders[Order_Month])),"m月")&amp;"発注)")</f>
        <v/>
      </c>
      <c r="BV1127">
        <f>IF(SUMIFS(T_PlannedOrders[EffectiveQty],T_PlannedOrders[Part Name],$A1113,T_PlannedOrders[WeekIndex],71)=0,"",SUMIFS(T_PlannedOrders[EffectiveQty],T_PlannedOrders[Part Name],$A1113,T_PlannedOrders[WeekIndex],71)&amp;" ("&amp;TEXT(SUMPRODUCT(MAX((T_PlannedOrders[Part Name]=$A1113)*(T_PlannedOrders[WeekIndex]=71)*(T_PlannedOrders[EffectiveQty]&gt;0)*T_PlannedOrders[Order_Month])),"m月")&amp;"発注)")</f>
        <v/>
      </c>
      <c r="BW1127">
        <f>IF(SUMIFS(T_PlannedOrders[EffectiveQty],T_PlannedOrders[Part Name],$A1113,T_PlannedOrders[WeekIndex],72)=0,"",SUMIFS(T_PlannedOrders[EffectiveQty],T_PlannedOrders[Part Name],$A1113,T_PlannedOrders[WeekIndex],72)&amp;" ("&amp;TEXT(SUMPRODUCT(MAX((T_PlannedOrders[Part Name]=$A1113)*(T_PlannedOrders[WeekIndex]=72)*(T_PlannedOrders[EffectiveQty]&gt;0)*T_PlannedOrders[Order_Month])),"m月")&amp;"発注)")</f>
        <v/>
      </c>
      <c r="BX1127">
        <f>IF(SUMIFS(T_PlannedOrders[EffectiveQty],T_PlannedOrders[Part Name],$A1113,T_PlannedOrders[WeekIndex],73)=0,"",SUMIFS(T_PlannedOrders[EffectiveQty],T_PlannedOrders[Part Name],$A1113,T_PlannedOrders[WeekIndex],73)&amp;" ("&amp;TEXT(SUMPRODUCT(MAX((T_PlannedOrders[Part Name]=$A1113)*(T_PlannedOrders[WeekIndex]=73)*(T_PlannedOrders[EffectiveQty]&gt;0)*T_PlannedOrders[Order_Month])),"m月")&amp;"発注)")</f>
        <v/>
      </c>
      <c r="BY1127">
        <f>IF(SUMIFS(T_PlannedOrders[EffectiveQty],T_PlannedOrders[Part Name],$A1113,T_PlannedOrders[WeekIndex],74)=0,"",SUMIFS(T_PlannedOrders[EffectiveQty],T_PlannedOrders[Part Name],$A1113,T_PlannedOrders[WeekIndex],74)&amp;" ("&amp;TEXT(SUMPRODUCT(MAX((T_PlannedOrders[Part Name]=$A1113)*(T_PlannedOrders[WeekIndex]=74)*(T_PlannedOrders[EffectiveQty]&gt;0)*T_PlannedOrders[Order_Month])),"m月")&amp;"発注)")</f>
        <v/>
      </c>
      <c r="BZ1127">
        <f>IF(SUMIFS(T_PlannedOrders[EffectiveQty],T_PlannedOrders[Part Name],$A1113,T_PlannedOrders[WeekIndex],75)=0,"",SUMIFS(T_PlannedOrders[EffectiveQty],T_PlannedOrders[Part Name],$A1113,T_PlannedOrders[WeekIndex],75)&amp;" ("&amp;TEXT(SUMPRODUCT(MAX((T_PlannedOrders[Part Name]=$A1113)*(T_PlannedOrders[WeekIndex]=75)*(T_PlannedOrders[EffectiveQty]&gt;0)*T_PlannedOrders[Order_Month])),"m月")&amp;"発注)")</f>
        <v/>
      </c>
      <c r="CA1127">
        <f>IF(SUMIFS(T_PlannedOrders[EffectiveQty],T_PlannedOrders[Part Name],$A1113,T_PlannedOrders[WeekIndex],76)=0,"",SUMIFS(T_PlannedOrders[EffectiveQty],T_PlannedOrders[Part Name],$A1113,T_PlannedOrders[WeekIndex],76)&amp;" ("&amp;TEXT(SUMPRODUCT(MAX((T_PlannedOrders[Part Name]=$A1113)*(T_PlannedOrders[WeekIndex]=76)*(T_PlannedOrders[EffectiveQty]&gt;0)*T_PlannedOrders[Order_Month])),"m月")&amp;"発注)")</f>
        <v/>
      </c>
      <c r="CB1127">
        <f>IF(SUMIFS(T_PlannedOrders[EffectiveQty],T_PlannedOrders[Part Name],$A1113,T_PlannedOrders[WeekIndex],77)=0,"",SUMIFS(T_PlannedOrders[EffectiveQty],T_PlannedOrders[Part Name],$A1113,T_PlannedOrders[WeekIndex],77)&amp;" ("&amp;TEXT(SUMPRODUCT(MAX((T_PlannedOrders[Part Name]=$A1113)*(T_PlannedOrders[WeekIndex]=77)*(T_PlannedOrders[EffectiveQty]&gt;0)*T_PlannedOrders[Order_Month])),"m月")&amp;"発注)")</f>
        <v/>
      </c>
      <c r="CC1127">
        <f>IF(SUMIFS(T_PlannedOrders[EffectiveQty],T_PlannedOrders[Part Name],$A1113,T_PlannedOrders[WeekIndex],78)=0,"",SUMIFS(T_PlannedOrders[EffectiveQty],T_PlannedOrders[Part Name],$A1113,T_PlannedOrders[WeekIndex],78)&amp;" ("&amp;TEXT(SUMPRODUCT(MAX((T_PlannedOrders[Part Name]=$A1113)*(T_PlannedOrders[WeekIndex]=78)*(T_PlannedOrders[EffectiveQty]&gt;0)*T_PlannedOrders[Order_Month])),"m月")&amp;"発注)")</f>
        <v/>
      </c>
      <c r="CD1127">
        <f>IF(SUMIFS(T_PlannedOrders[EffectiveQty],T_PlannedOrders[Part Name],$A1113,T_PlannedOrders[WeekIndex],79)=0,"",SUMIFS(T_PlannedOrders[EffectiveQty],T_PlannedOrders[Part Name],$A1113,T_PlannedOrders[WeekIndex],79)&amp;" ("&amp;TEXT(SUMPRODUCT(MAX((T_PlannedOrders[Part Name]=$A1113)*(T_PlannedOrders[WeekIndex]=79)*(T_PlannedOrders[EffectiveQty]&gt;0)*T_PlannedOrders[Order_Month])),"m月")&amp;"発注)")</f>
        <v/>
      </c>
      <c r="CE1127">
        <f>IF(SUMIFS(T_PlannedOrders[EffectiveQty],T_PlannedOrders[Part Name],$A1113,T_PlannedOrders[WeekIndex],80)=0,"",SUMIFS(T_PlannedOrders[EffectiveQty],T_PlannedOrders[Part Name],$A1113,T_PlannedOrders[WeekIndex],80)&amp;" ("&amp;TEXT(SUMPRODUCT(MAX((T_PlannedOrders[Part Name]=$A1113)*(T_PlannedOrders[WeekIndex]=80)*(T_PlannedOrders[EffectiveQty]&gt;0)*T_PlannedOrders[Order_Month])),"m月")&amp;"発注)")</f>
        <v/>
      </c>
      <c r="CF1127">
        <f>IF(SUMIFS(T_PlannedOrders[EffectiveQty],T_PlannedOrders[Part Name],$A1113,T_PlannedOrders[WeekIndex],81)=0,"",SUMIFS(T_PlannedOrders[EffectiveQty],T_PlannedOrders[Part Name],$A1113,T_PlannedOrders[WeekIndex],81)&amp;" ("&amp;TEXT(SUMPRODUCT(MAX((T_PlannedOrders[Part Name]=$A1113)*(T_PlannedOrders[WeekIndex]=81)*(T_PlannedOrders[EffectiveQty]&gt;0)*T_PlannedOrders[Order_Month])),"m月")&amp;"発注)")</f>
        <v/>
      </c>
      <c r="CG1127">
        <f>IF(SUMIFS(T_PlannedOrders[EffectiveQty],T_PlannedOrders[Part Name],$A1113,T_PlannedOrders[WeekIndex],82)=0,"",SUMIFS(T_PlannedOrders[EffectiveQty],T_PlannedOrders[Part Name],$A1113,T_PlannedOrders[WeekIndex],82)&amp;" ("&amp;TEXT(SUMPRODUCT(MAX((T_PlannedOrders[Part Name]=$A1113)*(T_PlannedOrders[WeekIndex]=82)*(T_PlannedOrders[EffectiveQty]&gt;0)*T_PlannedOrders[Order_Month])),"m月")&amp;"発注)")</f>
        <v/>
      </c>
      <c r="CH1127">
        <f>IF(SUMIFS(T_PlannedOrders[EffectiveQty],T_PlannedOrders[Part Name],$A1113,T_PlannedOrders[WeekIndex],83)=0,"",SUMIFS(T_PlannedOrders[EffectiveQty],T_PlannedOrders[Part Name],$A1113,T_PlannedOrders[WeekIndex],83)&amp;" ("&amp;TEXT(SUMPRODUCT(MAX((T_PlannedOrders[Part Name]=$A1113)*(T_PlannedOrders[WeekIndex]=83)*(T_PlannedOrders[EffectiveQty]&gt;0)*T_PlannedOrders[Order_Month])),"m月")&amp;"発注)")</f>
        <v/>
      </c>
      <c r="CI1127">
        <f>IF(SUMIFS(T_PlannedOrders[EffectiveQty],T_PlannedOrders[Part Name],$A1113,T_PlannedOrders[WeekIndex],84)=0,"",SUMIFS(T_PlannedOrders[EffectiveQty],T_PlannedOrders[Part Name],$A1113,T_PlannedOrders[WeekIndex],84)&amp;" ("&amp;TEXT(SUMPRODUCT(MAX((T_PlannedOrders[Part Name]=$A1113)*(T_PlannedOrders[WeekIndex]=84)*(T_PlannedOrders[EffectiveQty]&gt;0)*T_PlannedOrders[Order_Month])),"m月")&amp;"発注)")</f>
        <v/>
      </c>
      <c r="CJ1127">
        <f>IF(SUMIFS(T_PlannedOrders[EffectiveQty],T_PlannedOrders[Part Name],$A1113,T_PlannedOrders[WeekIndex],85)=0,"",SUMIFS(T_PlannedOrders[EffectiveQty],T_PlannedOrders[Part Name],$A1113,T_PlannedOrders[WeekIndex],85)&amp;" ("&amp;TEXT(SUMPRODUCT(MAX((T_PlannedOrders[Part Name]=$A1113)*(T_PlannedOrders[WeekIndex]=85)*(T_PlannedOrders[EffectiveQty]&gt;0)*T_PlannedOrders[Order_Month])),"m月")&amp;"発注)")</f>
        <v/>
      </c>
      <c r="CK1127">
        <f>IF(SUMIFS(T_PlannedOrders[EffectiveQty],T_PlannedOrders[Part Name],$A1113,T_PlannedOrders[WeekIndex],86)=0,"",SUMIFS(T_PlannedOrders[EffectiveQty],T_PlannedOrders[Part Name],$A1113,T_PlannedOrders[WeekIndex],86)&amp;" ("&amp;TEXT(SUMPRODUCT(MAX((T_PlannedOrders[Part Name]=$A1113)*(T_PlannedOrders[WeekIndex]=86)*(T_PlannedOrders[EffectiveQty]&gt;0)*T_PlannedOrders[Order_Month])),"m月")&amp;"発注)")</f>
        <v/>
      </c>
      <c r="CL1127">
        <f>IF(SUMIFS(T_PlannedOrders[EffectiveQty],T_PlannedOrders[Part Name],$A1113,T_PlannedOrders[WeekIndex],87)=0,"",SUMIFS(T_PlannedOrders[EffectiveQty],T_PlannedOrders[Part Name],$A1113,T_PlannedOrders[WeekIndex],87)&amp;" ("&amp;TEXT(SUMPRODUCT(MAX((T_PlannedOrders[Part Name]=$A1113)*(T_PlannedOrders[WeekIndex]=87)*(T_PlannedOrders[EffectiveQty]&gt;0)*T_PlannedOrders[Order_Month])),"m月")&amp;"発注)")</f>
        <v/>
      </c>
      <c r="CM1127">
        <f>IF(SUMIFS(T_PlannedOrders[EffectiveQty],T_PlannedOrders[Part Name],$A1113,T_PlannedOrders[WeekIndex],88)=0,"",SUMIFS(T_PlannedOrders[EffectiveQty],T_PlannedOrders[Part Name],$A1113,T_PlannedOrders[WeekIndex],88)&amp;" ("&amp;TEXT(SUMPRODUCT(MAX((T_PlannedOrders[Part Name]=$A1113)*(T_PlannedOrders[WeekIndex]=88)*(T_PlannedOrders[EffectiveQty]&gt;0)*T_PlannedOrders[Order_Month])),"m月")&amp;"発注)")</f>
        <v/>
      </c>
      <c r="CN1127">
        <f>IF(SUMIFS(T_PlannedOrders[EffectiveQty],T_PlannedOrders[Part Name],$A1113,T_PlannedOrders[WeekIndex],89)=0,"",SUMIFS(T_PlannedOrders[EffectiveQty],T_PlannedOrders[Part Name],$A1113,T_PlannedOrders[WeekIndex],89)&amp;" ("&amp;TEXT(SUMPRODUCT(MAX((T_PlannedOrders[Part Name]=$A1113)*(T_PlannedOrders[WeekIndex]=89)*(T_PlannedOrders[EffectiveQty]&gt;0)*T_PlannedOrders[Order_Month])),"m月")&amp;"発注)")</f>
        <v/>
      </c>
      <c r="CO1127">
        <f>IF(SUMIFS(T_PlannedOrders[EffectiveQty],T_PlannedOrders[Part Name],$A1113,T_PlannedOrders[WeekIndex],90)=0,"",SUMIFS(T_PlannedOrders[EffectiveQty],T_PlannedOrders[Part Name],$A1113,T_PlannedOrders[WeekIndex],90)&amp;" ("&amp;TEXT(SUMPRODUCT(MAX((T_PlannedOrders[Part Name]=$A1113)*(T_PlannedOrders[WeekIndex]=90)*(T_PlannedOrders[EffectiveQty]&gt;0)*T_PlannedOrders[Order_Month])),"m月")&amp;"発注)")</f>
        <v/>
      </c>
      <c r="CP1127">
        <f>IF(SUMIFS(T_PlannedOrders[EffectiveQty],T_PlannedOrders[Part Name],$A1113,T_PlannedOrders[WeekIndex],91)=0,"",SUMIFS(T_PlannedOrders[EffectiveQty],T_PlannedOrders[Part Name],$A1113,T_PlannedOrders[WeekIndex],91)&amp;" ("&amp;TEXT(SUMPRODUCT(MAX((T_PlannedOrders[Part Name]=$A1113)*(T_PlannedOrders[WeekIndex]=91)*(T_PlannedOrders[EffectiveQty]&gt;0)*T_PlannedOrders[Order_Month])),"m月")&amp;"発注)")</f>
        <v/>
      </c>
      <c r="CQ1127">
        <f>IF(SUMIFS(T_PlannedOrders[EffectiveQty],T_PlannedOrders[Part Name],$A1113,T_PlannedOrders[WeekIndex],92)=0,"",SUMIFS(T_PlannedOrders[EffectiveQty],T_PlannedOrders[Part Name],$A1113,T_PlannedOrders[WeekIndex],92)&amp;" ("&amp;TEXT(SUMPRODUCT(MAX((T_PlannedOrders[Part Name]=$A1113)*(T_PlannedOrders[WeekIndex]=92)*(T_PlannedOrders[EffectiveQty]&gt;0)*T_PlannedOrders[Order_Month])),"m月")&amp;"発注)")</f>
        <v/>
      </c>
      <c r="CR1127">
        <f>IF(SUMIFS(T_PlannedOrders[EffectiveQty],T_PlannedOrders[Part Name],$A1113,T_PlannedOrders[WeekIndex],93)=0,"",SUMIFS(T_PlannedOrders[EffectiveQty],T_PlannedOrders[Part Name],$A1113,T_PlannedOrders[WeekIndex],93)&amp;" ("&amp;TEXT(SUMPRODUCT(MAX((T_PlannedOrders[Part Name]=$A1113)*(T_PlannedOrders[WeekIndex]=93)*(T_PlannedOrders[EffectiveQty]&gt;0)*T_PlannedOrders[Order_Month])),"m月")&amp;"発注)")</f>
        <v/>
      </c>
      <c r="CS1127">
        <f>IF(SUMIFS(T_PlannedOrders[EffectiveQty],T_PlannedOrders[Part Name],$A1113,T_PlannedOrders[WeekIndex],94)=0,"",SUMIFS(T_PlannedOrders[EffectiveQty],T_PlannedOrders[Part Name],$A1113,T_PlannedOrders[WeekIndex],94)&amp;" ("&amp;TEXT(SUMPRODUCT(MAX((T_PlannedOrders[Part Name]=$A1113)*(T_PlannedOrders[WeekIndex]=94)*(T_PlannedOrders[EffectiveQty]&gt;0)*T_PlannedOrders[Order_Month])),"m月")&amp;"発注)")</f>
        <v/>
      </c>
      <c r="CT1127">
        <f>IF(SUMIFS(T_PlannedOrders[EffectiveQty],T_PlannedOrders[Part Name],$A1113,T_PlannedOrders[WeekIndex],95)=0,"",SUMIFS(T_PlannedOrders[EffectiveQty],T_PlannedOrders[Part Name],$A1113,T_PlannedOrders[WeekIndex],95)&amp;" ("&amp;TEXT(SUMPRODUCT(MAX((T_PlannedOrders[Part Name]=$A1113)*(T_PlannedOrders[WeekIndex]=95)*(T_PlannedOrders[EffectiveQty]&gt;0)*T_PlannedOrders[Order_Month])),"m月")&amp;"発注)")</f>
        <v/>
      </c>
      <c r="CU1127">
        <f>IF(SUMIFS(T_PlannedOrders[EffectiveQty],T_PlannedOrders[Part Name],$A1113,T_PlannedOrders[WeekIndex],96)=0,"",SUMIFS(T_PlannedOrders[EffectiveQty],T_PlannedOrders[Part Name],$A1113,T_PlannedOrders[WeekIndex],96)&amp;" ("&amp;TEXT(SUMPRODUCT(MAX((T_PlannedOrders[Part Name]=$A1113)*(T_PlannedOrders[WeekIndex]=96)*(T_PlannedOrders[EffectiveQty]&gt;0)*T_PlannedOrders[Order_Month])),"m月")&amp;"発注)")</f>
        <v/>
      </c>
      <c r="CV1127">
        <f>IF(SUMIFS(T_PlannedOrders[EffectiveQty],T_PlannedOrders[Part Name],$A1113,T_PlannedOrders[WeekIndex],97)=0,"",SUMIFS(T_PlannedOrders[EffectiveQty],T_PlannedOrders[Part Name],$A1113,T_PlannedOrders[WeekIndex],97)&amp;" ("&amp;TEXT(SUMPRODUCT(MAX((T_PlannedOrders[Part Name]=$A1113)*(T_PlannedOrders[WeekIndex]=97)*(T_PlannedOrders[EffectiveQty]&gt;0)*T_PlannedOrders[Order_Month])),"m月")&amp;"発注)")</f>
        <v/>
      </c>
      <c r="CW1127">
        <f>IF(SUMIFS(T_PlannedOrders[EffectiveQty],T_PlannedOrders[Part Name],$A1113,T_PlannedOrders[WeekIndex],98)=0,"",SUMIFS(T_PlannedOrders[EffectiveQty],T_PlannedOrders[Part Name],$A1113,T_PlannedOrders[WeekIndex],98)&amp;" ("&amp;TEXT(SUMPRODUCT(MAX((T_PlannedOrders[Part Name]=$A1113)*(T_PlannedOrders[WeekIndex]=98)*(T_PlannedOrders[EffectiveQty]&gt;0)*T_PlannedOrders[Order_Month])),"m月")&amp;"発注)")</f>
        <v/>
      </c>
      <c r="CX1127">
        <f>IF(SUMIFS(T_PlannedOrders[EffectiveQty],T_PlannedOrders[Part Name],$A1113,T_PlannedOrders[WeekIndex],99)=0,"",SUMIFS(T_PlannedOrders[EffectiveQty],T_PlannedOrders[Part Name],$A1113,T_PlannedOrders[WeekIndex],99)&amp;" ("&amp;TEXT(SUMPRODUCT(MAX((T_PlannedOrders[Part Name]=$A1113)*(T_PlannedOrders[WeekIndex]=99)*(T_PlannedOrders[EffectiveQty]&gt;0)*T_PlannedOrders[Order_Month])),"m月")&amp;"発注)")</f>
        <v/>
      </c>
      <c r="CY1127">
        <f>IF(SUMIFS(T_PlannedOrders[EffectiveQty],T_PlannedOrders[Part Name],$A1113,T_PlannedOrders[WeekIndex],100)=0,"",SUMIFS(T_PlannedOrders[EffectiveQty],T_PlannedOrders[Part Name],$A1113,T_PlannedOrders[WeekIndex],100)&amp;" ("&amp;TEXT(SUMPRODUCT(MAX((T_PlannedOrders[Part Name]=$A1113)*(T_PlannedOrders[WeekIndex]=100)*(T_PlannedOrders[EffectiveQty]&gt;0)*T_PlannedOrders[Order_Month])),"m月")&amp;"発注)")</f>
        <v/>
      </c>
      <c r="CZ1127">
        <f>IF(SUMIFS(T_PlannedOrders[EffectiveQty],T_PlannedOrders[Part Name],$A1113,T_PlannedOrders[WeekIndex],101)=0,"",SUMIFS(T_PlannedOrders[EffectiveQty],T_PlannedOrders[Part Name],$A1113,T_PlannedOrders[WeekIndex],101)&amp;" ("&amp;TEXT(SUMPRODUCT(MAX((T_PlannedOrders[Part Name]=$A1113)*(T_PlannedOrders[WeekIndex]=101)*(T_PlannedOrders[EffectiveQty]&gt;0)*T_PlannedOrders[Order_Month])),"m月")&amp;"発注)")</f>
        <v/>
      </c>
      <c r="DA1127">
        <f>IF(SUMIFS(T_PlannedOrders[EffectiveQty],T_PlannedOrders[Part Name],$A1113,T_PlannedOrders[WeekIndex],102)=0,"",SUMIFS(T_PlannedOrders[EffectiveQty],T_PlannedOrders[Part Name],$A1113,T_PlannedOrders[WeekIndex],102)&amp;" ("&amp;TEXT(SUMPRODUCT(MAX((T_PlannedOrders[Part Name]=$A1113)*(T_PlannedOrders[WeekIndex]=102)*(T_PlannedOrders[EffectiveQty]&gt;0)*T_PlannedOrders[Order_Month])),"m月")&amp;"発注)")</f>
        <v/>
      </c>
      <c r="DB1127">
        <f>IF(SUMIFS(T_PlannedOrders[EffectiveQty],T_PlannedOrders[Part Name],$A1113,T_PlannedOrders[WeekIndex],103)=0,"",SUMIFS(T_PlannedOrders[EffectiveQty],T_PlannedOrders[Part Name],$A1113,T_PlannedOrders[WeekIndex],103)&amp;" ("&amp;TEXT(SUMPRODUCT(MAX((T_PlannedOrders[Part Name]=$A1113)*(T_PlannedOrders[WeekIndex]=103)*(T_PlannedOrders[EffectiveQty]&gt;0)*T_PlannedOrders[Order_Month])),"m月")&amp;"発注)")</f>
        <v/>
      </c>
      <c r="DC1127">
        <f>IF(SUMIFS(T_PlannedOrders[EffectiveQty],T_PlannedOrders[Part Name],$A1113,T_PlannedOrders[WeekIndex],104)=0,"",SUMIFS(T_PlannedOrders[EffectiveQty],T_PlannedOrders[Part Name],$A1113,T_PlannedOrders[WeekIndex],104)&amp;" ("&amp;TEXT(SUMPRODUCT(MAX((T_PlannedOrders[Part Name]=$A1113)*(T_PlannedOrders[WeekIndex]=104)*(T_PlannedOrders[EffectiveQty]&gt;0)*T_PlannedOrders[Order_Month])),"m月")&amp;"発注)")</f>
        <v/>
      </c>
    </row>
    <row r="1128">
      <c r="B1128" s="4" t="inlineStr">
        <is>
          <t>合計在庫(週末時点,kg)</t>
        </is>
      </c>
      <c r="D1128">
        <f>'Grid_Stock'!B26</f>
        <v/>
      </c>
      <c r="E1128">
        <f>'Grid_Stock'!C26</f>
        <v/>
      </c>
      <c r="F1128">
        <f>'Grid_Stock'!D26</f>
        <v/>
      </c>
      <c r="G1128">
        <f>'Grid_Stock'!E26</f>
        <v/>
      </c>
      <c r="H1128">
        <f>'Grid_Stock'!F26</f>
        <v/>
      </c>
      <c r="I1128">
        <f>'Grid_Stock'!G26</f>
        <v/>
      </c>
      <c r="J1128">
        <f>'Grid_Stock'!H26</f>
        <v/>
      </c>
      <c r="K1128">
        <f>'Grid_Stock'!I26</f>
        <v/>
      </c>
      <c r="L1128">
        <f>'Grid_Stock'!J26</f>
        <v/>
      </c>
      <c r="M1128">
        <f>'Grid_Stock'!K26</f>
        <v/>
      </c>
      <c r="N1128">
        <f>'Grid_Stock'!L26</f>
        <v/>
      </c>
      <c r="O1128">
        <f>'Grid_Stock'!M26</f>
        <v/>
      </c>
      <c r="P1128">
        <f>'Grid_Stock'!N26</f>
        <v/>
      </c>
      <c r="Q1128">
        <f>'Grid_Stock'!O26</f>
        <v/>
      </c>
      <c r="R1128">
        <f>'Grid_Stock'!P26</f>
        <v/>
      </c>
      <c r="S1128">
        <f>'Grid_Stock'!Q26</f>
        <v/>
      </c>
      <c r="T1128">
        <f>'Grid_Stock'!R26</f>
        <v/>
      </c>
      <c r="U1128">
        <f>'Grid_Stock'!S26</f>
        <v/>
      </c>
      <c r="V1128">
        <f>'Grid_Stock'!T26</f>
        <v/>
      </c>
      <c r="W1128">
        <f>'Grid_Stock'!U26</f>
        <v/>
      </c>
      <c r="X1128">
        <f>'Grid_Stock'!V26</f>
        <v/>
      </c>
      <c r="Y1128">
        <f>'Grid_Stock'!W26</f>
        <v/>
      </c>
      <c r="Z1128">
        <f>'Grid_Stock'!X26</f>
        <v/>
      </c>
      <c r="AA1128">
        <f>'Grid_Stock'!Y26</f>
        <v/>
      </c>
      <c r="AB1128">
        <f>'Grid_Stock'!Z26</f>
        <v/>
      </c>
      <c r="AC1128">
        <f>'Grid_Stock'!AA26</f>
        <v/>
      </c>
      <c r="AD1128">
        <f>'Grid_Stock'!AB26</f>
        <v/>
      </c>
      <c r="AE1128">
        <f>'Grid_Stock'!AC26</f>
        <v/>
      </c>
      <c r="AF1128">
        <f>'Grid_Stock'!AD26</f>
        <v/>
      </c>
      <c r="AG1128">
        <f>'Grid_Stock'!AE26</f>
        <v/>
      </c>
      <c r="AH1128">
        <f>'Grid_Stock'!AF26</f>
        <v/>
      </c>
      <c r="AI1128">
        <f>'Grid_Stock'!AG26</f>
        <v/>
      </c>
      <c r="AJ1128">
        <f>'Grid_Stock'!AH26</f>
        <v/>
      </c>
      <c r="AK1128">
        <f>'Grid_Stock'!AI26</f>
        <v/>
      </c>
      <c r="AL1128">
        <f>'Grid_Stock'!AJ26</f>
        <v/>
      </c>
      <c r="AM1128">
        <f>'Grid_Stock'!AK26</f>
        <v/>
      </c>
      <c r="AN1128">
        <f>'Grid_Stock'!AL26</f>
        <v/>
      </c>
      <c r="AO1128">
        <f>'Grid_Stock'!AM26</f>
        <v/>
      </c>
      <c r="AP1128">
        <f>'Grid_Stock'!AN26</f>
        <v/>
      </c>
      <c r="AQ1128">
        <f>'Grid_Stock'!AO26</f>
        <v/>
      </c>
      <c r="AR1128">
        <f>'Grid_Stock'!AP26</f>
        <v/>
      </c>
      <c r="AS1128">
        <f>'Grid_Stock'!AQ26</f>
        <v/>
      </c>
      <c r="AT1128">
        <f>'Grid_Stock'!AR26</f>
        <v/>
      </c>
      <c r="AU1128">
        <f>'Grid_Stock'!AS26</f>
        <v/>
      </c>
      <c r="AV1128">
        <f>'Grid_Stock'!AT26</f>
        <v/>
      </c>
      <c r="AW1128">
        <f>'Grid_Stock'!AU26</f>
        <v/>
      </c>
      <c r="AX1128">
        <f>'Grid_Stock'!AV26</f>
        <v/>
      </c>
      <c r="AY1128">
        <f>'Grid_Stock'!AW26</f>
        <v/>
      </c>
      <c r="AZ1128">
        <f>'Grid_Stock'!AX26</f>
        <v/>
      </c>
      <c r="BA1128">
        <f>'Grid_Stock'!AY26</f>
        <v/>
      </c>
      <c r="BB1128">
        <f>'Grid_Stock'!AZ26</f>
        <v/>
      </c>
      <c r="BC1128">
        <f>'Grid_Stock'!BA26</f>
        <v/>
      </c>
      <c r="BD1128">
        <f>'Grid_Stock'!BB26</f>
        <v/>
      </c>
      <c r="BE1128">
        <f>'Grid_Stock'!BC26</f>
        <v/>
      </c>
      <c r="BF1128">
        <f>'Grid_Stock'!BD26</f>
        <v/>
      </c>
      <c r="BG1128">
        <f>'Grid_Stock'!BE26</f>
        <v/>
      </c>
      <c r="BH1128">
        <f>'Grid_Stock'!BF26</f>
        <v/>
      </c>
      <c r="BI1128">
        <f>'Grid_Stock'!BG26</f>
        <v/>
      </c>
      <c r="BJ1128">
        <f>'Grid_Stock'!BH26</f>
        <v/>
      </c>
      <c r="BK1128">
        <f>'Grid_Stock'!BI26</f>
        <v/>
      </c>
      <c r="BL1128">
        <f>'Grid_Stock'!BJ26</f>
        <v/>
      </c>
      <c r="BM1128">
        <f>'Grid_Stock'!BK26</f>
        <v/>
      </c>
      <c r="BN1128">
        <f>'Grid_Stock'!BL26</f>
        <v/>
      </c>
      <c r="BO1128">
        <f>'Grid_Stock'!BM26</f>
        <v/>
      </c>
      <c r="BP1128">
        <f>'Grid_Stock'!BN26</f>
        <v/>
      </c>
      <c r="BQ1128">
        <f>'Grid_Stock'!BO26</f>
        <v/>
      </c>
      <c r="BR1128">
        <f>'Grid_Stock'!BP26</f>
        <v/>
      </c>
      <c r="BS1128">
        <f>'Grid_Stock'!BQ26</f>
        <v/>
      </c>
      <c r="BT1128">
        <f>'Grid_Stock'!BR26</f>
        <v/>
      </c>
      <c r="BU1128">
        <f>'Grid_Stock'!BS26</f>
        <v/>
      </c>
      <c r="BV1128">
        <f>'Grid_Stock'!BT26</f>
        <v/>
      </c>
      <c r="BW1128">
        <f>'Grid_Stock'!BU26</f>
        <v/>
      </c>
      <c r="BX1128">
        <f>'Grid_Stock'!BV26</f>
        <v/>
      </c>
      <c r="BY1128">
        <f>'Grid_Stock'!BW26</f>
        <v/>
      </c>
      <c r="BZ1128">
        <f>'Grid_Stock'!BX26</f>
        <v/>
      </c>
      <c r="CA1128">
        <f>'Grid_Stock'!BY26</f>
        <v/>
      </c>
      <c r="CB1128">
        <f>'Grid_Stock'!BZ26</f>
        <v/>
      </c>
      <c r="CC1128">
        <f>'Grid_Stock'!CA26</f>
        <v/>
      </c>
      <c r="CD1128">
        <f>'Grid_Stock'!CB26</f>
        <v/>
      </c>
      <c r="CE1128">
        <f>'Grid_Stock'!CC26</f>
        <v/>
      </c>
      <c r="CF1128">
        <f>'Grid_Stock'!CD26</f>
        <v/>
      </c>
      <c r="CG1128">
        <f>'Grid_Stock'!CE26</f>
        <v/>
      </c>
      <c r="CH1128">
        <f>'Grid_Stock'!CF26</f>
        <v/>
      </c>
      <c r="CI1128">
        <f>'Grid_Stock'!CG26</f>
        <v/>
      </c>
      <c r="CJ1128">
        <f>'Grid_Stock'!CH26</f>
        <v/>
      </c>
      <c r="CK1128">
        <f>'Grid_Stock'!CI26</f>
        <v/>
      </c>
      <c r="CL1128">
        <f>'Grid_Stock'!CJ26</f>
        <v/>
      </c>
      <c r="CM1128">
        <f>'Grid_Stock'!CK26</f>
        <v/>
      </c>
      <c r="CN1128">
        <f>'Grid_Stock'!CL26</f>
        <v/>
      </c>
      <c r="CO1128">
        <f>'Grid_Stock'!CM26</f>
        <v/>
      </c>
      <c r="CP1128">
        <f>'Grid_Stock'!CN26</f>
        <v/>
      </c>
      <c r="CQ1128">
        <f>'Grid_Stock'!CO26</f>
        <v/>
      </c>
      <c r="CR1128">
        <f>'Grid_Stock'!CP26</f>
        <v/>
      </c>
      <c r="CS1128">
        <f>'Grid_Stock'!CQ26</f>
        <v/>
      </c>
      <c r="CT1128">
        <f>'Grid_Stock'!CR26</f>
        <v/>
      </c>
      <c r="CU1128">
        <f>'Grid_Stock'!CS26</f>
        <v/>
      </c>
      <c r="CV1128">
        <f>'Grid_Stock'!CT26</f>
        <v/>
      </c>
      <c r="CW1128">
        <f>'Grid_Stock'!CU26</f>
        <v/>
      </c>
      <c r="CX1128">
        <f>'Grid_Stock'!CV26</f>
        <v/>
      </c>
      <c r="CY1128">
        <f>'Grid_Stock'!CW26</f>
        <v/>
      </c>
      <c r="CZ1128">
        <f>'Grid_Stock'!CX26</f>
        <v/>
      </c>
      <c r="DA1128">
        <f>'Grid_Stock'!CY26</f>
        <v/>
      </c>
      <c r="DB1128">
        <f>'Grid_Stock'!CZ26</f>
        <v/>
      </c>
      <c r="DC1128">
        <f>'Grid_Stock'!DA26</f>
        <v/>
      </c>
    </row>
    <row r="1129">
      <c r="B1129" s="16" t="inlineStr">
        <is>
          <t>（発注の目安はDashboardの基準在庫[下限/上限]と色分けを参照）</t>
        </is>
      </c>
    </row>
    <row r="1131">
      <c r="A1131" s="14" t="inlineStr">
        <is>
          <t>CHEM-1570</t>
        </is>
      </c>
      <c r="B1131" s="14" t="inlineStr">
        <is>
          <t>NOPAGOAL A</t>
        </is>
      </c>
      <c r="C1131" s="15" t="n"/>
      <c r="D1131" s="14" t="n"/>
      <c r="E1131" s="14" t="n"/>
      <c r="F1131" s="14" t="n"/>
      <c r="G1131" s="14" t="n"/>
      <c r="H1131" s="14" t="n"/>
      <c r="I1131" s="14" t="n"/>
      <c r="J1131" s="14" t="n"/>
      <c r="K1131" s="14" t="n"/>
      <c r="L1131" s="14" t="n"/>
      <c r="M1131" s="14" t="n"/>
      <c r="N1131" s="14" t="n"/>
      <c r="O1131" s="14" t="n"/>
      <c r="P1131" s="14" t="n"/>
      <c r="Q1131" s="14" t="n"/>
      <c r="R1131" s="14" t="n"/>
      <c r="S1131" s="14" t="n"/>
      <c r="T1131" s="14" t="n"/>
      <c r="U1131" s="14" t="n"/>
      <c r="V1131" s="14" t="n"/>
      <c r="W1131" s="14" t="n"/>
      <c r="X1131" s="14" t="n"/>
      <c r="Y1131" s="14" t="n"/>
      <c r="Z1131" s="14" t="n"/>
      <c r="AA1131" s="14" t="n"/>
      <c r="AB1131" s="14" t="n"/>
      <c r="AC1131" s="14" t="n"/>
      <c r="AD1131" s="14" t="n"/>
      <c r="AE1131" s="14" t="n"/>
      <c r="AF1131" s="14" t="n"/>
      <c r="AG1131" s="14" t="n"/>
      <c r="AH1131" s="14" t="n"/>
      <c r="AI1131" s="14" t="n"/>
      <c r="AJ1131" s="14" t="n"/>
      <c r="AK1131" s="14" t="n"/>
      <c r="AL1131" s="14" t="n"/>
      <c r="AM1131" s="14" t="n"/>
      <c r="AN1131" s="14" t="n"/>
      <c r="AO1131" s="14" t="n"/>
      <c r="AP1131" s="14" t="n"/>
      <c r="AQ1131" s="14" t="n"/>
      <c r="AR1131" s="14" t="n"/>
      <c r="AS1131" s="14" t="n"/>
      <c r="AT1131" s="14" t="n"/>
      <c r="AU1131" s="14" t="n"/>
      <c r="AV1131" s="14" t="n"/>
      <c r="AW1131" s="14" t="n"/>
      <c r="AX1131" s="14" t="n"/>
      <c r="AY1131" s="14" t="n"/>
      <c r="AZ1131" s="14" t="n"/>
      <c r="BA1131" s="14" t="n"/>
      <c r="BB1131" s="14" t="n"/>
      <c r="BC1131" s="14" t="n"/>
      <c r="BD1131" s="14" t="n"/>
      <c r="BE1131" s="14" t="n"/>
      <c r="BF1131" s="14" t="n"/>
      <c r="BG1131" s="14" t="n"/>
      <c r="BH1131" s="14" t="n"/>
      <c r="BI1131" s="14" t="n"/>
      <c r="BJ1131" s="14" t="n"/>
      <c r="BK1131" s="14" t="n"/>
      <c r="BL1131" s="14" t="n"/>
      <c r="BM1131" s="14" t="n"/>
      <c r="BN1131" s="14" t="n"/>
      <c r="BO1131" s="14" t="n"/>
      <c r="BP1131" s="14" t="n"/>
      <c r="BQ1131" s="14" t="n"/>
      <c r="BR1131" s="14" t="n"/>
      <c r="BS1131" s="14" t="n"/>
      <c r="BT1131" s="14" t="n"/>
      <c r="BU1131" s="14" t="n"/>
      <c r="BV1131" s="14" t="n"/>
      <c r="BW1131" s="14" t="n"/>
      <c r="BX1131" s="14" t="n"/>
      <c r="BY1131" s="14" t="n"/>
      <c r="BZ1131" s="14" t="n"/>
      <c r="CA1131" s="14" t="n"/>
      <c r="CB1131" s="14" t="n"/>
      <c r="CC1131" s="14" t="n"/>
      <c r="CD1131" s="14" t="n"/>
      <c r="CE1131" s="14" t="n"/>
      <c r="CF1131" s="14" t="n"/>
      <c r="CG1131" s="14" t="n"/>
      <c r="CH1131" s="14" t="n"/>
      <c r="CI1131" s="14" t="n"/>
      <c r="CJ1131" s="14" t="n"/>
      <c r="CK1131" s="14" t="n"/>
      <c r="CL1131" s="14" t="n"/>
      <c r="CM1131" s="14" t="n"/>
      <c r="CN1131" s="14" t="n"/>
      <c r="CO1131" s="14" t="n"/>
      <c r="CP1131" s="14" t="n"/>
      <c r="CQ1131" s="14" t="n"/>
      <c r="CR1131" s="14" t="n"/>
      <c r="CS1131" s="14" t="n"/>
      <c r="CT1131" s="14" t="n"/>
      <c r="CU1131" s="14" t="n"/>
      <c r="CV1131" s="14" t="n"/>
      <c r="CW1131" s="14" t="n"/>
      <c r="CX1131" s="14" t="n"/>
      <c r="CY1131" s="14" t="n"/>
      <c r="CZ1131" s="14" t="n"/>
      <c r="DA1131" s="14" t="n"/>
      <c r="DB1131" s="14" t="n"/>
      <c r="DC1131" s="14" t="n"/>
    </row>
    <row r="1132">
      <c r="B1132" t="inlineStr">
        <is>
          <t>TSP-1388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Name],$A1131)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TSP-1444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Name],$A1131)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t="inlineStr">
        <is>
          <t>TSP-1445</t>
        </is>
      </c>
      <c r="C1136" t="inlineStr">
        <is>
          <t>No. of batches</t>
        </is>
      </c>
      <c r="D1136">
        <f>IFERROR(INDEX(PP_Grid[#Data],$DD1136,2),0)</f>
        <v/>
      </c>
      <c r="E1136">
        <f>IFERROR(INDEX(PP_Grid[#Data],$DD1136,3),0)</f>
        <v/>
      </c>
      <c r="F1136">
        <f>IFERROR(INDEX(PP_Grid[#Data],$DD1136,4),0)</f>
        <v/>
      </c>
      <c r="G1136">
        <f>IFERROR(INDEX(PP_Grid[#Data],$DD1136,5),0)</f>
        <v/>
      </c>
      <c r="H1136">
        <f>IFERROR(INDEX(PP_Grid[#Data],$DD1136,6),0)</f>
        <v/>
      </c>
      <c r="I1136">
        <f>IFERROR(INDEX(PP_Grid[#Data],$DD1136,7),0)</f>
        <v/>
      </c>
      <c r="J1136">
        <f>IFERROR(INDEX(PP_Grid[#Data],$DD1136,8),0)</f>
        <v/>
      </c>
      <c r="K1136">
        <f>IFERROR(INDEX(PP_Grid[#Data],$DD1136,9),0)</f>
        <v/>
      </c>
      <c r="L1136">
        <f>IFERROR(INDEX(PP_Grid[#Data],$DD1136,10),0)</f>
        <v/>
      </c>
      <c r="M1136">
        <f>IFERROR(INDEX(PP_Grid[#Data],$DD1136,11),0)</f>
        <v/>
      </c>
      <c r="N1136">
        <f>IFERROR(INDEX(PP_Grid[#Data],$DD1136,12),0)</f>
        <v/>
      </c>
      <c r="O1136">
        <f>IFERROR(INDEX(PP_Grid[#Data],$DD1136,13),0)</f>
        <v/>
      </c>
      <c r="P1136">
        <f>IFERROR(INDEX(PP_Grid[#Data],$DD1136,14),0)</f>
        <v/>
      </c>
      <c r="Q1136">
        <f>IFERROR(INDEX(PP_Grid[#Data],$DD1136,15),0)</f>
        <v/>
      </c>
      <c r="R1136">
        <f>IFERROR(INDEX(PP_Grid[#Data],$DD1136,16),0)</f>
        <v/>
      </c>
      <c r="S1136">
        <f>IFERROR(INDEX(PP_Grid[#Data],$DD1136,17),0)</f>
        <v/>
      </c>
      <c r="T1136">
        <f>IFERROR(INDEX(PP_Grid[#Data],$DD1136,18),0)</f>
        <v/>
      </c>
      <c r="U1136">
        <f>IFERROR(INDEX(PP_Grid[#Data],$DD1136,19),0)</f>
        <v/>
      </c>
      <c r="V1136">
        <f>IFERROR(INDEX(PP_Grid[#Data],$DD1136,20),0)</f>
        <v/>
      </c>
      <c r="W1136">
        <f>IFERROR(INDEX(PP_Grid[#Data],$DD1136,21),0)</f>
        <v/>
      </c>
      <c r="X1136">
        <f>IFERROR(INDEX(PP_Grid[#Data],$DD1136,22),0)</f>
        <v/>
      </c>
      <c r="Y1136">
        <f>IFERROR(INDEX(PP_Grid[#Data],$DD1136,23),0)</f>
        <v/>
      </c>
      <c r="Z1136">
        <f>IFERROR(INDEX(PP_Grid[#Data],$DD1136,24),0)</f>
        <v/>
      </c>
      <c r="AA1136">
        <f>IFERROR(INDEX(PP_Grid[#Data],$DD1136,25),0)</f>
        <v/>
      </c>
      <c r="AB1136">
        <f>IFERROR(INDEX(PP_Grid[#Data],$DD1136,26),0)</f>
        <v/>
      </c>
      <c r="AC1136">
        <f>IFERROR(INDEX(PP_Grid[#Data],$DD1136,27),0)</f>
        <v/>
      </c>
      <c r="AD1136">
        <f>IFERROR(INDEX(PP_Grid[#Data],$DD1136,28),0)</f>
        <v/>
      </c>
      <c r="AE1136">
        <f>IFERROR(INDEX(PP_Grid[#Data],$DD1136,29),0)</f>
        <v/>
      </c>
      <c r="AF1136">
        <f>IFERROR(INDEX(PP_Grid[#Data],$DD1136,30),0)</f>
        <v/>
      </c>
      <c r="AG1136">
        <f>IFERROR(INDEX(PP_Grid[#Data],$DD1136,31),0)</f>
        <v/>
      </c>
      <c r="AH1136">
        <f>IFERROR(INDEX(PP_Grid[#Data],$DD1136,32),0)</f>
        <v/>
      </c>
      <c r="AI1136">
        <f>IFERROR(INDEX(PP_Grid[#Data],$DD1136,33),0)</f>
        <v/>
      </c>
      <c r="AJ1136">
        <f>IFERROR(INDEX(PP_Grid[#Data],$DD1136,34),0)</f>
        <v/>
      </c>
      <c r="AK1136">
        <f>IFERROR(INDEX(PP_Grid[#Data],$DD1136,35),0)</f>
        <v/>
      </c>
      <c r="AL1136">
        <f>IFERROR(INDEX(PP_Grid[#Data],$DD1136,36),0)</f>
        <v/>
      </c>
      <c r="AM1136">
        <f>IFERROR(INDEX(PP_Grid[#Data],$DD1136,37),0)</f>
        <v/>
      </c>
      <c r="AN1136">
        <f>IFERROR(INDEX(PP_Grid[#Data],$DD1136,38),0)</f>
        <v/>
      </c>
      <c r="AO1136">
        <f>IFERROR(INDEX(PP_Grid[#Data],$DD1136,39),0)</f>
        <v/>
      </c>
      <c r="AP1136">
        <f>IFERROR(INDEX(PP_Grid[#Data],$DD1136,40),0)</f>
        <v/>
      </c>
      <c r="AQ1136">
        <f>IFERROR(INDEX(PP_Grid[#Data],$DD1136,41),0)</f>
        <v/>
      </c>
      <c r="AR1136">
        <f>IFERROR(INDEX(PP_Grid[#Data],$DD1136,42),0)</f>
        <v/>
      </c>
      <c r="AS1136">
        <f>IFERROR(INDEX(PP_Grid[#Data],$DD1136,43),0)</f>
        <v/>
      </c>
      <c r="AT1136">
        <f>IFERROR(INDEX(PP_Grid[#Data],$DD1136,44),0)</f>
        <v/>
      </c>
      <c r="AU1136">
        <f>IFERROR(INDEX(PP_Grid[#Data],$DD1136,45),0)</f>
        <v/>
      </c>
      <c r="AV1136">
        <f>IFERROR(INDEX(PP_Grid[#Data],$DD1136,46),0)</f>
        <v/>
      </c>
      <c r="AW1136">
        <f>IFERROR(INDEX(PP_Grid[#Data],$DD1136,47),0)</f>
        <v/>
      </c>
      <c r="AX1136">
        <f>IFERROR(INDEX(PP_Grid[#Data],$DD1136,48),0)</f>
        <v/>
      </c>
      <c r="AY1136">
        <f>IFERROR(INDEX(PP_Grid[#Data],$DD1136,49),0)</f>
        <v/>
      </c>
      <c r="AZ1136">
        <f>IFERROR(INDEX(PP_Grid[#Data],$DD1136,50),0)</f>
        <v/>
      </c>
      <c r="BA1136">
        <f>IFERROR(INDEX(PP_Grid[#Data],$DD1136,51),0)</f>
        <v/>
      </c>
      <c r="BB1136">
        <f>IFERROR(INDEX(PP_Grid[#Data],$DD1136,52),0)</f>
        <v/>
      </c>
      <c r="BC1136">
        <f>IFERROR(INDEX(PP_Grid[#Data],$DD1136,53),0)</f>
        <v/>
      </c>
      <c r="BD1136">
        <f>IFERROR(INDEX(PP_Grid[#Data],$DD1136,54),0)</f>
        <v/>
      </c>
      <c r="BE1136">
        <f>IFERROR(INDEX(PP_Grid[#Data],$DD1136,55),0)</f>
        <v/>
      </c>
      <c r="BF1136">
        <f>IFERROR(INDEX(PP_Grid[#Data],$DD1136,56),0)</f>
        <v/>
      </c>
      <c r="BG1136">
        <f>IFERROR(INDEX(PP_Grid[#Data],$DD1136,57),0)</f>
        <v/>
      </c>
      <c r="BH1136">
        <f>IFERROR(INDEX(PP_Grid[#Data],$DD1136,58),0)</f>
        <v/>
      </c>
      <c r="BI1136">
        <f>IFERROR(INDEX(PP_Grid[#Data],$DD1136,59),0)</f>
        <v/>
      </c>
      <c r="BJ1136">
        <f>IFERROR(INDEX(PP_Grid[#Data],$DD1136,60),0)</f>
        <v/>
      </c>
      <c r="BK1136">
        <f>IFERROR(INDEX(PP_Grid[#Data],$DD1136,61),0)</f>
        <v/>
      </c>
      <c r="BL1136">
        <f>IFERROR(INDEX(PP_Grid[#Data],$DD1136,62),0)</f>
        <v/>
      </c>
      <c r="BM1136">
        <f>IFERROR(INDEX(PP_Grid[#Data],$DD1136,63),0)</f>
        <v/>
      </c>
      <c r="BN1136">
        <f>IFERROR(INDEX(PP_Grid[#Data],$DD1136,64),0)</f>
        <v/>
      </c>
      <c r="BO1136">
        <f>IFERROR(INDEX(PP_Grid[#Data],$DD1136,65),0)</f>
        <v/>
      </c>
      <c r="BP1136">
        <f>IFERROR(INDEX(PP_Grid[#Data],$DD1136,66),0)</f>
        <v/>
      </c>
      <c r="BQ1136">
        <f>IFERROR(INDEX(PP_Grid[#Data],$DD1136,67),0)</f>
        <v/>
      </c>
      <c r="BR1136">
        <f>IFERROR(INDEX(PP_Grid[#Data],$DD1136,68),0)</f>
        <v/>
      </c>
      <c r="BS1136">
        <f>IFERROR(INDEX(PP_Grid[#Data],$DD1136,69),0)</f>
        <v/>
      </c>
      <c r="BT1136">
        <f>IFERROR(INDEX(PP_Grid[#Data],$DD1136,70),0)</f>
        <v/>
      </c>
      <c r="BU1136">
        <f>IFERROR(INDEX(PP_Grid[#Data],$DD1136,71),0)</f>
        <v/>
      </c>
      <c r="BV1136">
        <f>IFERROR(INDEX(PP_Grid[#Data],$DD1136,72),0)</f>
        <v/>
      </c>
      <c r="BW1136">
        <f>IFERROR(INDEX(PP_Grid[#Data],$DD1136,73),0)</f>
        <v/>
      </c>
      <c r="BX1136">
        <f>IFERROR(INDEX(PP_Grid[#Data],$DD1136,74),0)</f>
        <v/>
      </c>
      <c r="BY1136">
        <f>IFERROR(INDEX(PP_Grid[#Data],$DD1136,75),0)</f>
        <v/>
      </c>
      <c r="BZ1136">
        <f>IFERROR(INDEX(PP_Grid[#Data],$DD1136,76),0)</f>
        <v/>
      </c>
      <c r="CA1136">
        <f>IFERROR(INDEX(PP_Grid[#Data],$DD1136,77),0)</f>
        <v/>
      </c>
      <c r="CB1136">
        <f>IFERROR(INDEX(PP_Grid[#Data],$DD1136,78),0)</f>
        <v/>
      </c>
      <c r="CC1136">
        <f>IFERROR(INDEX(PP_Grid[#Data],$DD1136,79),0)</f>
        <v/>
      </c>
      <c r="CD1136">
        <f>IFERROR(INDEX(PP_Grid[#Data],$DD1136,80),0)</f>
        <v/>
      </c>
      <c r="CE1136">
        <f>IFERROR(INDEX(PP_Grid[#Data],$DD1136,81),0)</f>
        <v/>
      </c>
      <c r="CF1136">
        <f>IFERROR(INDEX(PP_Grid[#Data],$DD1136,82),0)</f>
        <v/>
      </c>
      <c r="CG1136">
        <f>IFERROR(INDEX(PP_Grid[#Data],$DD1136,83),0)</f>
        <v/>
      </c>
      <c r="CH1136">
        <f>IFERROR(INDEX(PP_Grid[#Data],$DD1136,84),0)</f>
        <v/>
      </c>
      <c r="CI1136">
        <f>IFERROR(INDEX(PP_Grid[#Data],$DD1136,85),0)</f>
        <v/>
      </c>
      <c r="CJ1136">
        <f>IFERROR(INDEX(PP_Grid[#Data],$DD1136,86),0)</f>
        <v/>
      </c>
      <c r="CK1136">
        <f>IFERROR(INDEX(PP_Grid[#Data],$DD1136,87),0)</f>
        <v/>
      </c>
      <c r="CL1136">
        <f>IFERROR(INDEX(PP_Grid[#Data],$DD1136,88),0)</f>
        <v/>
      </c>
      <c r="CM1136">
        <f>IFERROR(INDEX(PP_Grid[#Data],$DD1136,89),0)</f>
        <v/>
      </c>
      <c r="CN1136">
        <f>IFERROR(INDEX(PP_Grid[#Data],$DD1136,90),0)</f>
        <v/>
      </c>
      <c r="CO1136">
        <f>IFERROR(INDEX(PP_Grid[#Data],$DD1136,91),0)</f>
        <v/>
      </c>
      <c r="CP1136">
        <f>IFERROR(INDEX(PP_Grid[#Data],$DD1136,92),0)</f>
        <v/>
      </c>
      <c r="CQ1136">
        <f>IFERROR(INDEX(PP_Grid[#Data],$DD1136,93),0)</f>
        <v/>
      </c>
      <c r="CR1136">
        <f>IFERROR(INDEX(PP_Grid[#Data],$DD1136,94),0)</f>
        <v/>
      </c>
      <c r="CS1136">
        <f>IFERROR(INDEX(PP_Grid[#Data],$DD1136,95),0)</f>
        <v/>
      </c>
      <c r="CT1136">
        <f>IFERROR(INDEX(PP_Grid[#Data],$DD1136,96),0)</f>
        <v/>
      </c>
      <c r="CU1136">
        <f>IFERROR(INDEX(PP_Grid[#Data],$DD1136,97),0)</f>
        <v/>
      </c>
      <c r="CV1136">
        <f>IFERROR(INDEX(PP_Grid[#Data],$DD1136,98),0)</f>
        <v/>
      </c>
      <c r="CW1136">
        <f>IFERROR(INDEX(PP_Grid[#Data],$DD1136,99),0)</f>
        <v/>
      </c>
      <c r="CX1136">
        <f>IFERROR(INDEX(PP_Grid[#Data],$DD1136,100),0)</f>
        <v/>
      </c>
      <c r="CY1136">
        <f>IFERROR(INDEX(PP_Grid[#Data],$DD1136,101),0)</f>
        <v/>
      </c>
      <c r="CZ1136">
        <f>IFERROR(INDEX(PP_Grid[#Data],$DD1136,102),0)</f>
        <v/>
      </c>
      <c r="DA1136">
        <f>IFERROR(INDEX(PP_Grid[#Data],$DD1136,103),0)</f>
        <v/>
      </c>
      <c r="DB1136">
        <f>IFERROR(INDEX(PP_Grid[#Data],$DD1136,104),0)</f>
        <v/>
      </c>
      <c r="DC1136">
        <f>IFERROR(INDEX(PP_Grid[#Data],$DD1136,105),0)</f>
        <v/>
      </c>
      <c r="DD1136" s="7">
        <f>IFERROR(MATCH($B1136,PP_Grid[Intermediate],0),99999)</f>
        <v/>
      </c>
    </row>
    <row r="1137">
      <c r="B1137" t="inlineStr">
        <is>
          <t>使用量(kg)</t>
        </is>
      </c>
      <c r="C1137">
        <f>SUMIFS(M_BOM[RM_Qty_Per_Batch],M_BOM[Intermediate],$B1136,M_BOM[Part Name],$A1131)</f>
        <v/>
      </c>
      <c r="D1137">
        <f>$C1137*D1136</f>
        <v/>
      </c>
      <c r="E1137">
        <f>$C1137*E1136</f>
        <v/>
      </c>
      <c r="F1137">
        <f>$C1137*F1136</f>
        <v/>
      </c>
      <c r="G1137">
        <f>$C1137*G1136</f>
        <v/>
      </c>
      <c r="H1137">
        <f>$C1137*H1136</f>
        <v/>
      </c>
      <c r="I1137">
        <f>$C1137*I1136</f>
        <v/>
      </c>
      <c r="J1137">
        <f>$C1137*J1136</f>
        <v/>
      </c>
      <c r="K1137">
        <f>$C1137*K1136</f>
        <v/>
      </c>
      <c r="L1137">
        <f>$C1137*L1136</f>
        <v/>
      </c>
      <c r="M1137">
        <f>$C1137*M1136</f>
        <v/>
      </c>
      <c r="N1137">
        <f>$C1137*N1136</f>
        <v/>
      </c>
      <c r="O1137">
        <f>$C1137*O1136</f>
        <v/>
      </c>
      <c r="P1137">
        <f>$C1137*P1136</f>
        <v/>
      </c>
      <c r="Q1137">
        <f>$C1137*Q1136</f>
        <v/>
      </c>
      <c r="R1137">
        <f>$C1137*R1136</f>
        <v/>
      </c>
      <c r="S1137">
        <f>$C1137*S1136</f>
        <v/>
      </c>
      <c r="T1137">
        <f>$C1137*T1136</f>
        <v/>
      </c>
      <c r="U1137">
        <f>$C1137*U1136</f>
        <v/>
      </c>
      <c r="V1137">
        <f>$C1137*V1136</f>
        <v/>
      </c>
      <c r="W1137">
        <f>$C1137*W1136</f>
        <v/>
      </c>
      <c r="X1137">
        <f>$C1137*X1136</f>
        <v/>
      </c>
      <c r="Y1137">
        <f>$C1137*Y1136</f>
        <v/>
      </c>
      <c r="Z1137">
        <f>$C1137*Z1136</f>
        <v/>
      </c>
      <c r="AA1137">
        <f>$C1137*AA1136</f>
        <v/>
      </c>
      <c r="AB1137">
        <f>$C1137*AB1136</f>
        <v/>
      </c>
      <c r="AC1137">
        <f>$C1137*AC1136</f>
        <v/>
      </c>
      <c r="AD1137">
        <f>$C1137*AD1136</f>
        <v/>
      </c>
      <c r="AE1137">
        <f>$C1137*AE1136</f>
        <v/>
      </c>
      <c r="AF1137">
        <f>$C1137*AF1136</f>
        <v/>
      </c>
      <c r="AG1137">
        <f>$C1137*AG1136</f>
        <v/>
      </c>
      <c r="AH1137">
        <f>$C1137*AH1136</f>
        <v/>
      </c>
      <c r="AI1137">
        <f>$C1137*AI1136</f>
        <v/>
      </c>
      <c r="AJ1137">
        <f>$C1137*AJ1136</f>
        <v/>
      </c>
      <c r="AK1137">
        <f>$C1137*AK1136</f>
        <v/>
      </c>
      <c r="AL1137">
        <f>$C1137*AL1136</f>
        <v/>
      </c>
      <c r="AM1137">
        <f>$C1137*AM1136</f>
        <v/>
      </c>
      <c r="AN1137">
        <f>$C1137*AN1136</f>
        <v/>
      </c>
      <c r="AO1137">
        <f>$C1137*AO1136</f>
        <v/>
      </c>
      <c r="AP1137">
        <f>$C1137*AP1136</f>
        <v/>
      </c>
      <c r="AQ1137">
        <f>$C1137*AQ1136</f>
        <v/>
      </c>
      <c r="AR1137">
        <f>$C1137*AR1136</f>
        <v/>
      </c>
      <c r="AS1137">
        <f>$C1137*AS1136</f>
        <v/>
      </c>
      <c r="AT1137">
        <f>$C1137*AT1136</f>
        <v/>
      </c>
      <c r="AU1137">
        <f>$C1137*AU1136</f>
        <v/>
      </c>
      <c r="AV1137">
        <f>$C1137*AV1136</f>
        <v/>
      </c>
      <c r="AW1137">
        <f>$C1137*AW1136</f>
        <v/>
      </c>
      <c r="AX1137">
        <f>$C1137*AX1136</f>
        <v/>
      </c>
      <c r="AY1137">
        <f>$C1137*AY1136</f>
        <v/>
      </c>
      <c r="AZ1137">
        <f>$C1137*AZ1136</f>
        <v/>
      </c>
      <c r="BA1137">
        <f>$C1137*BA1136</f>
        <v/>
      </c>
      <c r="BB1137">
        <f>$C1137*BB1136</f>
        <v/>
      </c>
      <c r="BC1137">
        <f>$C1137*BC1136</f>
        <v/>
      </c>
      <c r="BD1137">
        <f>$C1137*BD1136</f>
        <v/>
      </c>
      <c r="BE1137">
        <f>$C1137*BE1136</f>
        <v/>
      </c>
      <c r="BF1137">
        <f>$C1137*BF1136</f>
        <v/>
      </c>
      <c r="BG1137">
        <f>$C1137*BG1136</f>
        <v/>
      </c>
      <c r="BH1137">
        <f>$C1137*BH1136</f>
        <v/>
      </c>
      <c r="BI1137">
        <f>$C1137*BI1136</f>
        <v/>
      </c>
      <c r="BJ1137">
        <f>$C1137*BJ1136</f>
        <v/>
      </c>
      <c r="BK1137">
        <f>$C1137*BK1136</f>
        <v/>
      </c>
      <c r="BL1137">
        <f>$C1137*BL1136</f>
        <v/>
      </c>
      <c r="BM1137">
        <f>$C1137*BM1136</f>
        <v/>
      </c>
      <c r="BN1137">
        <f>$C1137*BN1136</f>
        <v/>
      </c>
      <c r="BO1137">
        <f>$C1137*BO1136</f>
        <v/>
      </c>
      <c r="BP1137">
        <f>$C1137*BP1136</f>
        <v/>
      </c>
      <c r="BQ1137">
        <f>$C1137*BQ1136</f>
        <v/>
      </c>
      <c r="BR1137">
        <f>$C1137*BR1136</f>
        <v/>
      </c>
      <c r="BS1137">
        <f>$C1137*BS1136</f>
        <v/>
      </c>
      <c r="BT1137">
        <f>$C1137*BT1136</f>
        <v/>
      </c>
      <c r="BU1137">
        <f>$C1137*BU1136</f>
        <v/>
      </c>
      <c r="BV1137">
        <f>$C1137*BV1136</f>
        <v/>
      </c>
      <c r="BW1137">
        <f>$C1137*BW1136</f>
        <v/>
      </c>
      <c r="BX1137">
        <f>$C1137*BX1136</f>
        <v/>
      </c>
      <c r="BY1137">
        <f>$C1137*BY1136</f>
        <v/>
      </c>
      <c r="BZ1137">
        <f>$C1137*BZ1136</f>
        <v/>
      </c>
      <c r="CA1137">
        <f>$C1137*CA1136</f>
        <v/>
      </c>
      <c r="CB1137">
        <f>$C1137*CB1136</f>
        <v/>
      </c>
      <c r="CC1137">
        <f>$C1137*CC1136</f>
        <v/>
      </c>
      <c r="CD1137">
        <f>$C1137*CD1136</f>
        <v/>
      </c>
      <c r="CE1137">
        <f>$C1137*CE1136</f>
        <v/>
      </c>
      <c r="CF1137">
        <f>$C1137*CF1136</f>
        <v/>
      </c>
      <c r="CG1137">
        <f>$C1137*CG1136</f>
        <v/>
      </c>
      <c r="CH1137">
        <f>$C1137*CH1136</f>
        <v/>
      </c>
      <c r="CI1137">
        <f>$C1137*CI1136</f>
        <v/>
      </c>
      <c r="CJ1137">
        <f>$C1137*CJ1136</f>
        <v/>
      </c>
      <c r="CK1137">
        <f>$C1137*CK1136</f>
        <v/>
      </c>
      <c r="CL1137">
        <f>$C1137*CL1136</f>
        <v/>
      </c>
      <c r="CM1137">
        <f>$C1137*CM1136</f>
        <v/>
      </c>
      <c r="CN1137">
        <f>$C1137*CN1136</f>
        <v/>
      </c>
      <c r="CO1137">
        <f>$C1137*CO1136</f>
        <v/>
      </c>
      <c r="CP1137">
        <f>$C1137*CP1136</f>
        <v/>
      </c>
      <c r="CQ1137">
        <f>$C1137*CQ1136</f>
        <v/>
      </c>
      <c r="CR1137">
        <f>$C1137*CR1136</f>
        <v/>
      </c>
      <c r="CS1137">
        <f>$C1137*CS1136</f>
        <v/>
      </c>
      <c r="CT1137">
        <f>$C1137*CT1136</f>
        <v/>
      </c>
      <c r="CU1137">
        <f>$C1137*CU1136</f>
        <v/>
      </c>
      <c r="CV1137">
        <f>$C1137*CV1136</f>
        <v/>
      </c>
      <c r="CW1137">
        <f>$C1137*CW1136</f>
        <v/>
      </c>
      <c r="CX1137">
        <f>$C1137*CX1136</f>
        <v/>
      </c>
      <c r="CY1137">
        <f>$C1137*CY1136</f>
        <v/>
      </c>
      <c r="CZ1137">
        <f>$C1137*CZ1136</f>
        <v/>
      </c>
      <c r="DA1137">
        <f>$C1137*DA1136</f>
        <v/>
      </c>
      <c r="DB1137">
        <f>$C1137*DB1136</f>
        <v/>
      </c>
      <c r="DC1137">
        <f>$C1137*DC1136</f>
        <v/>
      </c>
    </row>
    <row r="1138">
      <c r="B1138" t="inlineStr">
        <is>
          <t>TSP-1446</t>
        </is>
      </c>
      <c r="C1138" t="inlineStr">
        <is>
          <t>No. of batches</t>
        </is>
      </c>
      <c r="D1138">
        <f>IFERROR(INDEX(PP_Grid[#Data],$DD1138,2),0)</f>
        <v/>
      </c>
      <c r="E1138">
        <f>IFERROR(INDEX(PP_Grid[#Data],$DD1138,3),0)</f>
        <v/>
      </c>
      <c r="F1138">
        <f>IFERROR(INDEX(PP_Grid[#Data],$DD1138,4),0)</f>
        <v/>
      </c>
      <c r="G1138">
        <f>IFERROR(INDEX(PP_Grid[#Data],$DD1138,5),0)</f>
        <v/>
      </c>
      <c r="H1138">
        <f>IFERROR(INDEX(PP_Grid[#Data],$DD1138,6),0)</f>
        <v/>
      </c>
      <c r="I1138">
        <f>IFERROR(INDEX(PP_Grid[#Data],$DD1138,7),0)</f>
        <v/>
      </c>
      <c r="J1138">
        <f>IFERROR(INDEX(PP_Grid[#Data],$DD1138,8),0)</f>
        <v/>
      </c>
      <c r="K1138">
        <f>IFERROR(INDEX(PP_Grid[#Data],$DD1138,9),0)</f>
        <v/>
      </c>
      <c r="L1138">
        <f>IFERROR(INDEX(PP_Grid[#Data],$DD1138,10),0)</f>
        <v/>
      </c>
      <c r="M1138">
        <f>IFERROR(INDEX(PP_Grid[#Data],$DD1138,11),0)</f>
        <v/>
      </c>
      <c r="N1138">
        <f>IFERROR(INDEX(PP_Grid[#Data],$DD1138,12),0)</f>
        <v/>
      </c>
      <c r="O1138">
        <f>IFERROR(INDEX(PP_Grid[#Data],$DD1138,13),0)</f>
        <v/>
      </c>
      <c r="P1138">
        <f>IFERROR(INDEX(PP_Grid[#Data],$DD1138,14),0)</f>
        <v/>
      </c>
      <c r="Q1138">
        <f>IFERROR(INDEX(PP_Grid[#Data],$DD1138,15),0)</f>
        <v/>
      </c>
      <c r="R1138">
        <f>IFERROR(INDEX(PP_Grid[#Data],$DD1138,16),0)</f>
        <v/>
      </c>
      <c r="S1138">
        <f>IFERROR(INDEX(PP_Grid[#Data],$DD1138,17),0)</f>
        <v/>
      </c>
      <c r="T1138">
        <f>IFERROR(INDEX(PP_Grid[#Data],$DD1138,18),0)</f>
        <v/>
      </c>
      <c r="U1138">
        <f>IFERROR(INDEX(PP_Grid[#Data],$DD1138,19),0)</f>
        <v/>
      </c>
      <c r="V1138">
        <f>IFERROR(INDEX(PP_Grid[#Data],$DD1138,20),0)</f>
        <v/>
      </c>
      <c r="W1138">
        <f>IFERROR(INDEX(PP_Grid[#Data],$DD1138,21),0)</f>
        <v/>
      </c>
      <c r="X1138">
        <f>IFERROR(INDEX(PP_Grid[#Data],$DD1138,22),0)</f>
        <v/>
      </c>
      <c r="Y1138">
        <f>IFERROR(INDEX(PP_Grid[#Data],$DD1138,23),0)</f>
        <v/>
      </c>
      <c r="Z1138">
        <f>IFERROR(INDEX(PP_Grid[#Data],$DD1138,24),0)</f>
        <v/>
      </c>
      <c r="AA1138">
        <f>IFERROR(INDEX(PP_Grid[#Data],$DD1138,25),0)</f>
        <v/>
      </c>
      <c r="AB1138">
        <f>IFERROR(INDEX(PP_Grid[#Data],$DD1138,26),0)</f>
        <v/>
      </c>
      <c r="AC1138">
        <f>IFERROR(INDEX(PP_Grid[#Data],$DD1138,27),0)</f>
        <v/>
      </c>
      <c r="AD1138">
        <f>IFERROR(INDEX(PP_Grid[#Data],$DD1138,28),0)</f>
        <v/>
      </c>
      <c r="AE1138">
        <f>IFERROR(INDEX(PP_Grid[#Data],$DD1138,29),0)</f>
        <v/>
      </c>
      <c r="AF1138">
        <f>IFERROR(INDEX(PP_Grid[#Data],$DD1138,30),0)</f>
        <v/>
      </c>
      <c r="AG1138">
        <f>IFERROR(INDEX(PP_Grid[#Data],$DD1138,31),0)</f>
        <v/>
      </c>
      <c r="AH1138">
        <f>IFERROR(INDEX(PP_Grid[#Data],$DD1138,32),0)</f>
        <v/>
      </c>
      <c r="AI1138">
        <f>IFERROR(INDEX(PP_Grid[#Data],$DD1138,33),0)</f>
        <v/>
      </c>
      <c r="AJ1138">
        <f>IFERROR(INDEX(PP_Grid[#Data],$DD1138,34),0)</f>
        <v/>
      </c>
      <c r="AK1138">
        <f>IFERROR(INDEX(PP_Grid[#Data],$DD1138,35),0)</f>
        <v/>
      </c>
      <c r="AL1138">
        <f>IFERROR(INDEX(PP_Grid[#Data],$DD1138,36),0)</f>
        <v/>
      </c>
      <c r="AM1138">
        <f>IFERROR(INDEX(PP_Grid[#Data],$DD1138,37),0)</f>
        <v/>
      </c>
      <c r="AN1138">
        <f>IFERROR(INDEX(PP_Grid[#Data],$DD1138,38),0)</f>
        <v/>
      </c>
      <c r="AO1138">
        <f>IFERROR(INDEX(PP_Grid[#Data],$DD1138,39),0)</f>
        <v/>
      </c>
      <c r="AP1138">
        <f>IFERROR(INDEX(PP_Grid[#Data],$DD1138,40),0)</f>
        <v/>
      </c>
      <c r="AQ1138">
        <f>IFERROR(INDEX(PP_Grid[#Data],$DD1138,41),0)</f>
        <v/>
      </c>
      <c r="AR1138">
        <f>IFERROR(INDEX(PP_Grid[#Data],$DD1138,42),0)</f>
        <v/>
      </c>
      <c r="AS1138">
        <f>IFERROR(INDEX(PP_Grid[#Data],$DD1138,43),0)</f>
        <v/>
      </c>
      <c r="AT1138">
        <f>IFERROR(INDEX(PP_Grid[#Data],$DD1138,44),0)</f>
        <v/>
      </c>
      <c r="AU1138">
        <f>IFERROR(INDEX(PP_Grid[#Data],$DD1138,45),0)</f>
        <v/>
      </c>
      <c r="AV1138">
        <f>IFERROR(INDEX(PP_Grid[#Data],$DD1138,46),0)</f>
        <v/>
      </c>
      <c r="AW1138">
        <f>IFERROR(INDEX(PP_Grid[#Data],$DD1138,47),0)</f>
        <v/>
      </c>
      <c r="AX1138">
        <f>IFERROR(INDEX(PP_Grid[#Data],$DD1138,48),0)</f>
        <v/>
      </c>
      <c r="AY1138">
        <f>IFERROR(INDEX(PP_Grid[#Data],$DD1138,49),0)</f>
        <v/>
      </c>
      <c r="AZ1138">
        <f>IFERROR(INDEX(PP_Grid[#Data],$DD1138,50),0)</f>
        <v/>
      </c>
      <c r="BA1138">
        <f>IFERROR(INDEX(PP_Grid[#Data],$DD1138,51),0)</f>
        <v/>
      </c>
      <c r="BB1138">
        <f>IFERROR(INDEX(PP_Grid[#Data],$DD1138,52),0)</f>
        <v/>
      </c>
      <c r="BC1138">
        <f>IFERROR(INDEX(PP_Grid[#Data],$DD1138,53),0)</f>
        <v/>
      </c>
      <c r="BD1138">
        <f>IFERROR(INDEX(PP_Grid[#Data],$DD1138,54),0)</f>
        <v/>
      </c>
      <c r="BE1138">
        <f>IFERROR(INDEX(PP_Grid[#Data],$DD1138,55),0)</f>
        <v/>
      </c>
      <c r="BF1138">
        <f>IFERROR(INDEX(PP_Grid[#Data],$DD1138,56),0)</f>
        <v/>
      </c>
      <c r="BG1138">
        <f>IFERROR(INDEX(PP_Grid[#Data],$DD1138,57),0)</f>
        <v/>
      </c>
      <c r="BH1138">
        <f>IFERROR(INDEX(PP_Grid[#Data],$DD1138,58),0)</f>
        <v/>
      </c>
      <c r="BI1138">
        <f>IFERROR(INDEX(PP_Grid[#Data],$DD1138,59),0)</f>
        <v/>
      </c>
      <c r="BJ1138">
        <f>IFERROR(INDEX(PP_Grid[#Data],$DD1138,60),0)</f>
        <v/>
      </c>
      <c r="BK1138">
        <f>IFERROR(INDEX(PP_Grid[#Data],$DD1138,61),0)</f>
        <v/>
      </c>
      <c r="BL1138">
        <f>IFERROR(INDEX(PP_Grid[#Data],$DD1138,62),0)</f>
        <v/>
      </c>
      <c r="BM1138">
        <f>IFERROR(INDEX(PP_Grid[#Data],$DD1138,63),0)</f>
        <v/>
      </c>
      <c r="BN1138">
        <f>IFERROR(INDEX(PP_Grid[#Data],$DD1138,64),0)</f>
        <v/>
      </c>
      <c r="BO1138">
        <f>IFERROR(INDEX(PP_Grid[#Data],$DD1138,65),0)</f>
        <v/>
      </c>
      <c r="BP1138">
        <f>IFERROR(INDEX(PP_Grid[#Data],$DD1138,66),0)</f>
        <v/>
      </c>
      <c r="BQ1138">
        <f>IFERROR(INDEX(PP_Grid[#Data],$DD1138,67),0)</f>
        <v/>
      </c>
      <c r="BR1138">
        <f>IFERROR(INDEX(PP_Grid[#Data],$DD1138,68),0)</f>
        <v/>
      </c>
      <c r="BS1138">
        <f>IFERROR(INDEX(PP_Grid[#Data],$DD1138,69),0)</f>
        <v/>
      </c>
      <c r="BT1138">
        <f>IFERROR(INDEX(PP_Grid[#Data],$DD1138,70),0)</f>
        <v/>
      </c>
      <c r="BU1138">
        <f>IFERROR(INDEX(PP_Grid[#Data],$DD1138,71),0)</f>
        <v/>
      </c>
      <c r="BV1138">
        <f>IFERROR(INDEX(PP_Grid[#Data],$DD1138,72),0)</f>
        <v/>
      </c>
      <c r="BW1138">
        <f>IFERROR(INDEX(PP_Grid[#Data],$DD1138,73),0)</f>
        <v/>
      </c>
      <c r="BX1138">
        <f>IFERROR(INDEX(PP_Grid[#Data],$DD1138,74),0)</f>
        <v/>
      </c>
      <c r="BY1138">
        <f>IFERROR(INDEX(PP_Grid[#Data],$DD1138,75),0)</f>
        <v/>
      </c>
      <c r="BZ1138">
        <f>IFERROR(INDEX(PP_Grid[#Data],$DD1138,76),0)</f>
        <v/>
      </c>
      <c r="CA1138">
        <f>IFERROR(INDEX(PP_Grid[#Data],$DD1138,77),0)</f>
        <v/>
      </c>
      <c r="CB1138">
        <f>IFERROR(INDEX(PP_Grid[#Data],$DD1138,78),0)</f>
        <v/>
      </c>
      <c r="CC1138">
        <f>IFERROR(INDEX(PP_Grid[#Data],$DD1138,79),0)</f>
        <v/>
      </c>
      <c r="CD1138">
        <f>IFERROR(INDEX(PP_Grid[#Data],$DD1138,80),0)</f>
        <v/>
      </c>
      <c r="CE1138">
        <f>IFERROR(INDEX(PP_Grid[#Data],$DD1138,81),0)</f>
        <v/>
      </c>
      <c r="CF1138">
        <f>IFERROR(INDEX(PP_Grid[#Data],$DD1138,82),0)</f>
        <v/>
      </c>
      <c r="CG1138">
        <f>IFERROR(INDEX(PP_Grid[#Data],$DD1138,83),0)</f>
        <v/>
      </c>
      <c r="CH1138">
        <f>IFERROR(INDEX(PP_Grid[#Data],$DD1138,84),0)</f>
        <v/>
      </c>
      <c r="CI1138">
        <f>IFERROR(INDEX(PP_Grid[#Data],$DD1138,85),0)</f>
        <v/>
      </c>
      <c r="CJ1138">
        <f>IFERROR(INDEX(PP_Grid[#Data],$DD1138,86),0)</f>
        <v/>
      </c>
      <c r="CK1138">
        <f>IFERROR(INDEX(PP_Grid[#Data],$DD1138,87),0)</f>
        <v/>
      </c>
      <c r="CL1138">
        <f>IFERROR(INDEX(PP_Grid[#Data],$DD1138,88),0)</f>
        <v/>
      </c>
      <c r="CM1138">
        <f>IFERROR(INDEX(PP_Grid[#Data],$DD1138,89),0)</f>
        <v/>
      </c>
      <c r="CN1138">
        <f>IFERROR(INDEX(PP_Grid[#Data],$DD1138,90),0)</f>
        <v/>
      </c>
      <c r="CO1138">
        <f>IFERROR(INDEX(PP_Grid[#Data],$DD1138,91),0)</f>
        <v/>
      </c>
      <c r="CP1138">
        <f>IFERROR(INDEX(PP_Grid[#Data],$DD1138,92),0)</f>
        <v/>
      </c>
      <c r="CQ1138">
        <f>IFERROR(INDEX(PP_Grid[#Data],$DD1138,93),0)</f>
        <v/>
      </c>
      <c r="CR1138">
        <f>IFERROR(INDEX(PP_Grid[#Data],$DD1138,94),0)</f>
        <v/>
      </c>
      <c r="CS1138">
        <f>IFERROR(INDEX(PP_Grid[#Data],$DD1138,95),0)</f>
        <v/>
      </c>
      <c r="CT1138">
        <f>IFERROR(INDEX(PP_Grid[#Data],$DD1138,96),0)</f>
        <v/>
      </c>
      <c r="CU1138">
        <f>IFERROR(INDEX(PP_Grid[#Data],$DD1138,97),0)</f>
        <v/>
      </c>
      <c r="CV1138">
        <f>IFERROR(INDEX(PP_Grid[#Data],$DD1138,98),0)</f>
        <v/>
      </c>
      <c r="CW1138">
        <f>IFERROR(INDEX(PP_Grid[#Data],$DD1138,99),0)</f>
        <v/>
      </c>
      <c r="CX1138">
        <f>IFERROR(INDEX(PP_Grid[#Data],$DD1138,100),0)</f>
        <v/>
      </c>
      <c r="CY1138">
        <f>IFERROR(INDEX(PP_Grid[#Data],$DD1138,101),0)</f>
        <v/>
      </c>
      <c r="CZ1138">
        <f>IFERROR(INDEX(PP_Grid[#Data],$DD1138,102),0)</f>
        <v/>
      </c>
      <c r="DA1138">
        <f>IFERROR(INDEX(PP_Grid[#Data],$DD1138,103),0)</f>
        <v/>
      </c>
      <c r="DB1138">
        <f>IFERROR(INDEX(PP_Grid[#Data],$DD1138,104),0)</f>
        <v/>
      </c>
      <c r="DC1138">
        <f>IFERROR(INDEX(PP_Grid[#Data],$DD1138,105),0)</f>
        <v/>
      </c>
      <c r="DD1138" s="7">
        <f>IFERROR(MATCH($B1138,PP_Grid[Intermediate],0),99999)</f>
        <v/>
      </c>
    </row>
    <row r="1139">
      <c r="B1139" t="inlineStr">
        <is>
          <t>使用量(kg)</t>
        </is>
      </c>
      <c r="C1139">
        <f>SUMIFS(M_BOM[RM_Qty_Per_Batch],M_BOM[Intermediate],$B1138,M_BOM[Part Name],$A1131)</f>
        <v/>
      </c>
      <c r="D1139">
        <f>$C1139*D1138</f>
        <v/>
      </c>
      <c r="E1139">
        <f>$C1139*E1138</f>
        <v/>
      </c>
      <c r="F1139">
        <f>$C1139*F1138</f>
        <v/>
      </c>
      <c r="G1139">
        <f>$C1139*G1138</f>
        <v/>
      </c>
      <c r="H1139">
        <f>$C1139*H1138</f>
        <v/>
      </c>
      <c r="I1139">
        <f>$C1139*I1138</f>
        <v/>
      </c>
      <c r="J1139">
        <f>$C1139*J1138</f>
        <v/>
      </c>
      <c r="K1139">
        <f>$C1139*K1138</f>
        <v/>
      </c>
      <c r="L1139">
        <f>$C1139*L1138</f>
        <v/>
      </c>
      <c r="M1139">
        <f>$C1139*M1138</f>
        <v/>
      </c>
      <c r="N1139">
        <f>$C1139*N1138</f>
        <v/>
      </c>
      <c r="O1139">
        <f>$C1139*O1138</f>
        <v/>
      </c>
      <c r="P1139">
        <f>$C1139*P1138</f>
        <v/>
      </c>
      <c r="Q1139">
        <f>$C1139*Q1138</f>
        <v/>
      </c>
      <c r="R1139">
        <f>$C1139*R1138</f>
        <v/>
      </c>
      <c r="S1139">
        <f>$C1139*S1138</f>
        <v/>
      </c>
      <c r="T1139">
        <f>$C1139*T1138</f>
        <v/>
      </c>
      <c r="U1139">
        <f>$C1139*U1138</f>
        <v/>
      </c>
      <c r="V1139">
        <f>$C1139*V1138</f>
        <v/>
      </c>
      <c r="W1139">
        <f>$C1139*W1138</f>
        <v/>
      </c>
      <c r="X1139">
        <f>$C1139*X1138</f>
        <v/>
      </c>
      <c r="Y1139">
        <f>$C1139*Y1138</f>
        <v/>
      </c>
      <c r="Z1139">
        <f>$C1139*Z1138</f>
        <v/>
      </c>
      <c r="AA1139">
        <f>$C1139*AA1138</f>
        <v/>
      </c>
      <c r="AB1139">
        <f>$C1139*AB1138</f>
        <v/>
      </c>
      <c r="AC1139">
        <f>$C1139*AC1138</f>
        <v/>
      </c>
      <c r="AD1139">
        <f>$C1139*AD1138</f>
        <v/>
      </c>
      <c r="AE1139">
        <f>$C1139*AE1138</f>
        <v/>
      </c>
      <c r="AF1139">
        <f>$C1139*AF1138</f>
        <v/>
      </c>
      <c r="AG1139">
        <f>$C1139*AG1138</f>
        <v/>
      </c>
      <c r="AH1139">
        <f>$C1139*AH1138</f>
        <v/>
      </c>
      <c r="AI1139">
        <f>$C1139*AI1138</f>
        <v/>
      </c>
      <c r="AJ1139">
        <f>$C1139*AJ1138</f>
        <v/>
      </c>
      <c r="AK1139">
        <f>$C1139*AK1138</f>
        <v/>
      </c>
      <c r="AL1139">
        <f>$C1139*AL1138</f>
        <v/>
      </c>
      <c r="AM1139">
        <f>$C1139*AM1138</f>
        <v/>
      </c>
      <c r="AN1139">
        <f>$C1139*AN1138</f>
        <v/>
      </c>
      <c r="AO1139">
        <f>$C1139*AO1138</f>
        <v/>
      </c>
      <c r="AP1139">
        <f>$C1139*AP1138</f>
        <v/>
      </c>
      <c r="AQ1139">
        <f>$C1139*AQ1138</f>
        <v/>
      </c>
      <c r="AR1139">
        <f>$C1139*AR1138</f>
        <v/>
      </c>
      <c r="AS1139">
        <f>$C1139*AS1138</f>
        <v/>
      </c>
      <c r="AT1139">
        <f>$C1139*AT1138</f>
        <v/>
      </c>
      <c r="AU1139">
        <f>$C1139*AU1138</f>
        <v/>
      </c>
      <c r="AV1139">
        <f>$C1139*AV1138</f>
        <v/>
      </c>
      <c r="AW1139">
        <f>$C1139*AW1138</f>
        <v/>
      </c>
      <c r="AX1139">
        <f>$C1139*AX1138</f>
        <v/>
      </c>
      <c r="AY1139">
        <f>$C1139*AY1138</f>
        <v/>
      </c>
      <c r="AZ1139">
        <f>$C1139*AZ1138</f>
        <v/>
      </c>
      <c r="BA1139">
        <f>$C1139*BA1138</f>
        <v/>
      </c>
      <c r="BB1139">
        <f>$C1139*BB1138</f>
        <v/>
      </c>
      <c r="BC1139">
        <f>$C1139*BC1138</f>
        <v/>
      </c>
      <c r="BD1139">
        <f>$C1139*BD1138</f>
        <v/>
      </c>
      <c r="BE1139">
        <f>$C1139*BE1138</f>
        <v/>
      </c>
      <c r="BF1139">
        <f>$C1139*BF1138</f>
        <v/>
      </c>
      <c r="BG1139">
        <f>$C1139*BG1138</f>
        <v/>
      </c>
      <c r="BH1139">
        <f>$C1139*BH1138</f>
        <v/>
      </c>
      <c r="BI1139">
        <f>$C1139*BI1138</f>
        <v/>
      </c>
      <c r="BJ1139">
        <f>$C1139*BJ1138</f>
        <v/>
      </c>
      <c r="BK1139">
        <f>$C1139*BK1138</f>
        <v/>
      </c>
      <c r="BL1139">
        <f>$C1139*BL1138</f>
        <v/>
      </c>
      <c r="BM1139">
        <f>$C1139*BM1138</f>
        <v/>
      </c>
      <c r="BN1139">
        <f>$C1139*BN1138</f>
        <v/>
      </c>
      <c r="BO1139">
        <f>$C1139*BO1138</f>
        <v/>
      </c>
      <c r="BP1139">
        <f>$C1139*BP1138</f>
        <v/>
      </c>
      <c r="BQ1139">
        <f>$C1139*BQ1138</f>
        <v/>
      </c>
      <c r="BR1139">
        <f>$C1139*BR1138</f>
        <v/>
      </c>
      <c r="BS1139">
        <f>$C1139*BS1138</f>
        <v/>
      </c>
      <c r="BT1139">
        <f>$C1139*BT1138</f>
        <v/>
      </c>
      <c r="BU1139">
        <f>$C1139*BU1138</f>
        <v/>
      </c>
      <c r="BV1139">
        <f>$C1139*BV1138</f>
        <v/>
      </c>
      <c r="BW1139">
        <f>$C1139*BW1138</f>
        <v/>
      </c>
      <c r="BX1139">
        <f>$C1139*BX1138</f>
        <v/>
      </c>
      <c r="BY1139">
        <f>$C1139*BY1138</f>
        <v/>
      </c>
      <c r="BZ1139">
        <f>$C1139*BZ1138</f>
        <v/>
      </c>
      <c r="CA1139">
        <f>$C1139*CA1138</f>
        <v/>
      </c>
      <c r="CB1139">
        <f>$C1139*CB1138</f>
        <v/>
      </c>
      <c r="CC1139">
        <f>$C1139*CC1138</f>
        <v/>
      </c>
      <c r="CD1139">
        <f>$C1139*CD1138</f>
        <v/>
      </c>
      <c r="CE1139">
        <f>$C1139*CE1138</f>
        <v/>
      </c>
      <c r="CF1139">
        <f>$C1139*CF1138</f>
        <v/>
      </c>
      <c r="CG1139">
        <f>$C1139*CG1138</f>
        <v/>
      </c>
      <c r="CH1139">
        <f>$C1139*CH1138</f>
        <v/>
      </c>
      <c r="CI1139">
        <f>$C1139*CI1138</f>
        <v/>
      </c>
      <c r="CJ1139">
        <f>$C1139*CJ1138</f>
        <v/>
      </c>
      <c r="CK1139">
        <f>$C1139*CK1138</f>
        <v/>
      </c>
      <c r="CL1139">
        <f>$C1139*CL1138</f>
        <v/>
      </c>
      <c r="CM1139">
        <f>$C1139*CM1138</f>
        <v/>
      </c>
      <c r="CN1139">
        <f>$C1139*CN1138</f>
        <v/>
      </c>
      <c r="CO1139">
        <f>$C1139*CO1138</f>
        <v/>
      </c>
      <c r="CP1139">
        <f>$C1139*CP1138</f>
        <v/>
      </c>
      <c r="CQ1139">
        <f>$C1139*CQ1138</f>
        <v/>
      </c>
      <c r="CR1139">
        <f>$C1139*CR1138</f>
        <v/>
      </c>
      <c r="CS1139">
        <f>$C1139*CS1138</f>
        <v/>
      </c>
      <c r="CT1139">
        <f>$C1139*CT1138</f>
        <v/>
      </c>
      <c r="CU1139">
        <f>$C1139*CU1138</f>
        <v/>
      </c>
      <c r="CV1139">
        <f>$C1139*CV1138</f>
        <v/>
      </c>
      <c r="CW1139">
        <f>$C1139*CW1138</f>
        <v/>
      </c>
      <c r="CX1139">
        <f>$C1139*CX1138</f>
        <v/>
      </c>
      <c r="CY1139">
        <f>$C1139*CY1138</f>
        <v/>
      </c>
      <c r="CZ1139">
        <f>$C1139*CZ1138</f>
        <v/>
      </c>
      <c r="DA1139">
        <f>$C1139*DA1138</f>
        <v/>
      </c>
      <c r="DB1139">
        <f>$C1139*DB1138</f>
        <v/>
      </c>
      <c r="DC1139">
        <f>$C1139*DC1138</f>
        <v/>
      </c>
    </row>
    <row r="1140">
      <c r="B1140" t="inlineStr">
        <is>
          <t>TSP-1448</t>
        </is>
      </c>
      <c r="C1140" t="inlineStr">
        <is>
          <t>No. of batches</t>
        </is>
      </c>
      <c r="D1140">
        <f>IFERROR(INDEX(PP_Grid[#Data],$DD1140,2),0)</f>
        <v/>
      </c>
      <c r="E1140">
        <f>IFERROR(INDEX(PP_Grid[#Data],$DD1140,3),0)</f>
        <v/>
      </c>
      <c r="F1140">
        <f>IFERROR(INDEX(PP_Grid[#Data],$DD1140,4),0)</f>
        <v/>
      </c>
      <c r="G1140">
        <f>IFERROR(INDEX(PP_Grid[#Data],$DD1140,5),0)</f>
        <v/>
      </c>
      <c r="H1140">
        <f>IFERROR(INDEX(PP_Grid[#Data],$DD1140,6),0)</f>
        <v/>
      </c>
      <c r="I1140">
        <f>IFERROR(INDEX(PP_Grid[#Data],$DD1140,7),0)</f>
        <v/>
      </c>
      <c r="J1140">
        <f>IFERROR(INDEX(PP_Grid[#Data],$DD1140,8),0)</f>
        <v/>
      </c>
      <c r="K1140">
        <f>IFERROR(INDEX(PP_Grid[#Data],$DD1140,9),0)</f>
        <v/>
      </c>
      <c r="L1140">
        <f>IFERROR(INDEX(PP_Grid[#Data],$DD1140,10),0)</f>
        <v/>
      </c>
      <c r="M1140">
        <f>IFERROR(INDEX(PP_Grid[#Data],$DD1140,11),0)</f>
        <v/>
      </c>
      <c r="N1140">
        <f>IFERROR(INDEX(PP_Grid[#Data],$DD1140,12),0)</f>
        <v/>
      </c>
      <c r="O1140">
        <f>IFERROR(INDEX(PP_Grid[#Data],$DD1140,13),0)</f>
        <v/>
      </c>
      <c r="P1140">
        <f>IFERROR(INDEX(PP_Grid[#Data],$DD1140,14),0)</f>
        <v/>
      </c>
      <c r="Q1140">
        <f>IFERROR(INDEX(PP_Grid[#Data],$DD1140,15),0)</f>
        <v/>
      </c>
      <c r="R1140">
        <f>IFERROR(INDEX(PP_Grid[#Data],$DD1140,16),0)</f>
        <v/>
      </c>
      <c r="S1140">
        <f>IFERROR(INDEX(PP_Grid[#Data],$DD1140,17),0)</f>
        <v/>
      </c>
      <c r="T1140">
        <f>IFERROR(INDEX(PP_Grid[#Data],$DD1140,18),0)</f>
        <v/>
      </c>
      <c r="U1140">
        <f>IFERROR(INDEX(PP_Grid[#Data],$DD1140,19),0)</f>
        <v/>
      </c>
      <c r="V1140">
        <f>IFERROR(INDEX(PP_Grid[#Data],$DD1140,20),0)</f>
        <v/>
      </c>
      <c r="W1140">
        <f>IFERROR(INDEX(PP_Grid[#Data],$DD1140,21),0)</f>
        <v/>
      </c>
      <c r="X1140">
        <f>IFERROR(INDEX(PP_Grid[#Data],$DD1140,22),0)</f>
        <v/>
      </c>
      <c r="Y1140">
        <f>IFERROR(INDEX(PP_Grid[#Data],$DD1140,23),0)</f>
        <v/>
      </c>
      <c r="Z1140">
        <f>IFERROR(INDEX(PP_Grid[#Data],$DD1140,24),0)</f>
        <v/>
      </c>
      <c r="AA1140">
        <f>IFERROR(INDEX(PP_Grid[#Data],$DD1140,25),0)</f>
        <v/>
      </c>
      <c r="AB1140">
        <f>IFERROR(INDEX(PP_Grid[#Data],$DD1140,26),0)</f>
        <v/>
      </c>
      <c r="AC1140">
        <f>IFERROR(INDEX(PP_Grid[#Data],$DD1140,27),0)</f>
        <v/>
      </c>
      <c r="AD1140">
        <f>IFERROR(INDEX(PP_Grid[#Data],$DD1140,28),0)</f>
        <v/>
      </c>
      <c r="AE1140">
        <f>IFERROR(INDEX(PP_Grid[#Data],$DD1140,29),0)</f>
        <v/>
      </c>
      <c r="AF1140">
        <f>IFERROR(INDEX(PP_Grid[#Data],$DD1140,30),0)</f>
        <v/>
      </c>
      <c r="AG1140">
        <f>IFERROR(INDEX(PP_Grid[#Data],$DD1140,31),0)</f>
        <v/>
      </c>
      <c r="AH1140">
        <f>IFERROR(INDEX(PP_Grid[#Data],$DD1140,32),0)</f>
        <v/>
      </c>
      <c r="AI1140">
        <f>IFERROR(INDEX(PP_Grid[#Data],$DD1140,33),0)</f>
        <v/>
      </c>
      <c r="AJ1140">
        <f>IFERROR(INDEX(PP_Grid[#Data],$DD1140,34),0)</f>
        <v/>
      </c>
      <c r="AK1140">
        <f>IFERROR(INDEX(PP_Grid[#Data],$DD1140,35),0)</f>
        <v/>
      </c>
      <c r="AL1140">
        <f>IFERROR(INDEX(PP_Grid[#Data],$DD1140,36),0)</f>
        <v/>
      </c>
      <c r="AM1140">
        <f>IFERROR(INDEX(PP_Grid[#Data],$DD1140,37),0)</f>
        <v/>
      </c>
      <c r="AN1140">
        <f>IFERROR(INDEX(PP_Grid[#Data],$DD1140,38),0)</f>
        <v/>
      </c>
      <c r="AO1140">
        <f>IFERROR(INDEX(PP_Grid[#Data],$DD1140,39),0)</f>
        <v/>
      </c>
      <c r="AP1140">
        <f>IFERROR(INDEX(PP_Grid[#Data],$DD1140,40),0)</f>
        <v/>
      </c>
      <c r="AQ1140">
        <f>IFERROR(INDEX(PP_Grid[#Data],$DD1140,41),0)</f>
        <v/>
      </c>
      <c r="AR1140">
        <f>IFERROR(INDEX(PP_Grid[#Data],$DD1140,42),0)</f>
        <v/>
      </c>
      <c r="AS1140">
        <f>IFERROR(INDEX(PP_Grid[#Data],$DD1140,43),0)</f>
        <v/>
      </c>
      <c r="AT1140">
        <f>IFERROR(INDEX(PP_Grid[#Data],$DD1140,44),0)</f>
        <v/>
      </c>
      <c r="AU1140">
        <f>IFERROR(INDEX(PP_Grid[#Data],$DD1140,45),0)</f>
        <v/>
      </c>
      <c r="AV1140">
        <f>IFERROR(INDEX(PP_Grid[#Data],$DD1140,46),0)</f>
        <v/>
      </c>
      <c r="AW1140">
        <f>IFERROR(INDEX(PP_Grid[#Data],$DD1140,47),0)</f>
        <v/>
      </c>
      <c r="AX1140">
        <f>IFERROR(INDEX(PP_Grid[#Data],$DD1140,48),0)</f>
        <v/>
      </c>
      <c r="AY1140">
        <f>IFERROR(INDEX(PP_Grid[#Data],$DD1140,49),0)</f>
        <v/>
      </c>
      <c r="AZ1140">
        <f>IFERROR(INDEX(PP_Grid[#Data],$DD1140,50),0)</f>
        <v/>
      </c>
      <c r="BA1140">
        <f>IFERROR(INDEX(PP_Grid[#Data],$DD1140,51),0)</f>
        <v/>
      </c>
      <c r="BB1140">
        <f>IFERROR(INDEX(PP_Grid[#Data],$DD1140,52),0)</f>
        <v/>
      </c>
      <c r="BC1140">
        <f>IFERROR(INDEX(PP_Grid[#Data],$DD1140,53),0)</f>
        <v/>
      </c>
      <c r="BD1140">
        <f>IFERROR(INDEX(PP_Grid[#Data],$DD1140,54),0)</f>
        <v/>
      </c>
      <c r="BE1140">
        <f>IFERROR(INDEX(PP_Grid[#Data],$DD1140,55),0)</f>
        <v/>
      </c>
      <c r="BF1140">
        <f>IFERROR(INDEX(PP_Grid[#Data],$DD1140,56),0)</f>
        <v/>
      </c>
      <c r="BG1140">
        <f>IFERROR(INDEX(PP_Grid[#Data],$DD1140,57),0)</f>
        <v/>
      </c>
      <c r="BH1140">
        <f>IFERROR(INDEX(PP_Grid[#Data],$DD1140,58),0)</f>
        <v/>
      </c>
      <c r="BI1140">
        <f>IFERROR(INDEX(PP_Grid[#Data],$DD1140,59),0)</f>
        <v/>
      </c>
      <c r="BJ1140">
        <f>IFERROR(INDEX(PP_Grid[#Data],$DD1140,60),0)</f>
        <v/>
      </c>
      <c r="BK1140">
        <f>IFERROR(INDEX(PP_Grid[#Data],$DD1140,61),0)</f>
        <v/>
      </c>
      <c r="BL1140">
        <f>IFERROR(INDEX(PP_Grid[#Data],$DD1140,62),0)</f>
        <v/>
      </c>
      <c r="BM1140">
        <f>IFERROR(INDEX(PP_Grid[#Data],$DD1140,63),0)</f>
        <v/>
      </c>
      <c r="BN1140">
        <f>IFERROR(INDEX(PP_Grid[#Data],$DD1140,64),0)</f>
        <v/>
      </c>
      <c r="BO1140">
        <f>IFERROR(INDEX(PP_Grid[#Data],$DD1140,65),0)</f>
        <v/>
      </c>
      <c r="BP1140">
        <f>IFERROR(INDEX(PP_Grid[#Data],$DD1140,66),0)</f>
        <v/>
      </c>
      <c r="BQ1140">
        <f>IFERROR(INDEX(PP_Grid[#Data],$DD1140,67),0)</f>
        <v/>
      </c>
      <c r="BR1140">
        <f>IFERROR(INDEX(PP_Grid[#Data],$DD1140,68),0)</f>
        <v/>
      </c>
      <c r="BS1140">
        <f>IFERROR(INDEX(PP_Grid[#Data],$DD1140,69),0)</f>
        <v/>
      </c>
      <c r="BT1140">
        <f>IFERROR(INDEX(PP_Grid[#Data],$DD1140,70),0)</f>
        <v/>
      </c>
      <c r="BU1140">
        <f>IFERROR(INDEX(PP_Grid[#Data],$DD1140,71),0)</f>
        <v/>
      </c>
      <c r="BV1140">
        <f>IFERROR(INDEX(PP_Grid[#Data],$DD1140,72),0)</f>
        <v/>
      </c>
      <c r="BW1140">
        <f>IFERROR(INDEX(PP_Grid[#Data],$DD1140,73),0)</f>
        <v/>
      </c>
      <c r="BX1140">
        <f>IFERROR(INDEX(PP_Grid[#Data],$DD1140,74),0)</f>
        <v/>
      </c>
      <c r="BY1140">
        <f>IFERROR(INDEX(PP_Grid[#Data],$DD1140,75),0)</f>
        <v/>
      </c>
      <c r="BZ1140">
        <f>IFERROR(INDEX(PP_Grid[#Data],$DD1140,76),0)</f>
        <v/>
      </c>
      <c r="CA1140">
        <f>IFERROR(INDEX(PP_Grid[#Data],$DD1140,77),0)</f>
        <v/>
      </c>
      <c r="CB1140">
        <f>IFERROR(INDEX(PP_Grid[#Data],$DD1140,78),0)</f>
        <v/>
      </c>
      <c r="CC1140">
        <f>IFERROR(INDEX(PP_Grid[#Data],$DD1140,79),0)</f>
        <v/>
      </c>
      <c r="CD1140">
        <f>IFERROR(INDEX(PP_Grid[#Data],$DD1140,80),0)</f>
        <v/>
      </c>
      <c r="CE1140">
        <f>IFERROR(INDEX(PP_Grid[#Data],$DD1140,81),0)</f>
        <v/>
      </c>
      <c r="CF1140">
        <f>IFERROR(INDEX(PP_Grid[#Data],$DD1140,82),0)</f>
        <v/>
      </c>
      <c r="CG1140">
        <f>IFERROR(INDEX(PP_Grid[#Data],$DD1140,83),0)</f>
        <v/>
      </c>
      <c r="CH1140">
        <f>IFERROR(INDEX(PP_Grid[#Data],$DD1140,84),0)</f>
        <v/>
      </c>
      <c r="CI1140">
        <f>IFERROR(INDEX(PP_Grid[#Data],$DD1140,85),0)</f>
        <v/>
      </c>
      <c r="CJ1140">
        <f>IFERROR(INDEX(PP_Grid[#Data],$DD1140,86),0)</f>
        <v/>
      </c>
      <c r="CK1140">
        <f>IFERROR(INDEX(PP_Grid[#Data],$DD1140,87),0)</f>
        <v/>
      </c>
      <c r="CL1140">
        <f>IFERROR(INDEX(PP_Grid[#Data],$DD1140,88),0)</f>
        <v/>
      </c>
      <c r="CM1140">
        <f>IFERROR(INDEX(PP_Grid[#Data],$DD1140,89),0)</f>
        <v/>
      </c>
      <c r="CN1140">
        <f>IFERROR(INDEX(PP_Grid[#Data],$DD1140,90),0)</f>
        <v/>
      </c>
      <c r="CO1140">
        <f>IFERROR(INDEX(PP_Grid[#Data],$DD1140,91),0)</f>
        <v/>
      </c>
      <c r="CP1140">
        <f>IFERROR(INDEX(PP_Grid[#Data],$DD1140,92),0)</f>
        <v/>
      </c>
      <c r="CQ1140">
        <f>IFERROR(INDEX(PP_Grid[#Data],$DD1140,93),0)</f>
        <v/>
      </c>
      <c r="CR1140">
        <f>IFERROR(INDEX(PP_Grid[#Data],$DD1140,94),0)</f>
        <v/>
      </c>
      <c r="CS1140">
        <f>IFERROR(INDEX(PP_Grid[#Data],$DD1140,95),0)</f>
        <v/>
      </c>
      <c r="CT1140">
        <f>IFERROR(INDEX(PP_Grid[#Data],$DD1140,96),0)</f>
        <v/>
      </c>
      <c r="CU1140">
        <f>IFERROR(INDEX(PP_Grid[#Data],$DD1140,97),0)</f>
        <v/>
      </c>
      <c r="CV1140">
        <f>IFERROR(INDEX(PP_Grid[#Data],$DD1140,98),0)</f>
        <v/>
      </c>
      <c r="CW1140">
        <f>IFERROR(INDEX(PP_Grid[#Data],$DD1140,99),0)</f>
        <v/>
      </c>
      <c r="CX1140">
        <f>IFERROR(INDEX(PP_Grid[#Data],$DD1140,100),0)</f>
        <v/>
      </c>
      <c r="CY1140">
        <f>IFERROR(INDEX(PP_Grid[#Data],$DD1140,101),0)</f>
        <v/>
      </c>
      <c r="CZ1140">
        <f>IFERROR(INDEX(PP_Grid[#Data],$DD1140,102),0)</f>
        <v/>
      </c>
      <c r="DA1140">
        <f>IFERROR(INDEX(PP_Grid[#Data],$DD1140,103),0)</f>
        <v/>
      </c>
      <c r="DB1140">
        <f>IFERROR(INDEX(PP_Grid[#Data],$DD1140,104),0)</f>
        <v/>
      </c>
      <c r="DC1140">
        <f>IFERROR(INDEX(PP_Grid[#Data],$DD1140,105),0)</f>
        <v/>
      </c>
      <c r="DD1140" s="7">
        <f>IFERROR(MATCH($B1140,PP_Grid[Intermediate],0),99999)</f>
        <v/>
      </c>
    </row>
    <row r="1141">
      <c r="B1141" t="inlineStr">
        <is>
          <t>使用量(kg)</t>
        </is>
      </c>
      <c r="C1141">
        <f>SUMIFS(M_BOM[RM_Qty_Per_Batch],M_BOM[Intermediate],$B1140,M_BOM[Part Name],$A1131)</f>
        <v/>
      </c>
      <c r="D1141">
        <f>$C1141*D1140</f>
        <v/>
      </c>
      <c r="E1141">
        <f>$C1141*E1140</f>
        <v/>
      </c>
      <c r="F1141">
        <f>$C1141*F1140</f>
        <v/>
      </c>
      <c r="G1141">
        <f>$C1141*G1140</f>
        <v/>
      </c>
      <c r="H1141">
        <f>$C1141*H1140</f>
        <v/>
      </c>
      <c r="I1141">
        <f>$C1141*I1140</f>
        <v/>
      </c>
      <c r="J1141">
        <f>$C1141*J1140</f>
        <v/>
      </c>
      <c r="K1141">
        <f>$C1141*K1140</f>
        <v/>
      </c>
      <c r="L1141">
        <f>$C1141*L1140</f>
        <v/>
      </c>
      <c r="M1141">
        <f>$C1141*M1140</f>
        <v/>
      </c>
      <c r="N1141">
        <f>$C1141*N1140</f>
        <v/>
      </c>
      <c r="O1141">
        <f>$C1141*O1140</f>
        <v/>
      </c>
      <c r="P1141">
        <f>$C1141*P1140</f>
        <v/>
      </c>
      <c r="Q1141">
        <f>$C1141*Q1140</f>
        <v/>
      </c>
      <c r="R1141">
        <f>$C1141*R1140</f>
        <v/>
      </c>
      <c r="S1141">
        <f>$C1141*S1140</f>
        <v/>
      </c>
      <c r="T1141">
        <f>$C1141*T1140</f>
        <v/>
      </c>
      <c r="U1141">
        <f>$C1141*U1140</f>
        <v/>
      </c>
      <c r="V1141">
        <f>$C1141*V1140</f>
        <v/>
      </c>
      <c r="W1141">
        <f>$C1141*W1140</f>
        <v/>
      </c>
      <c r="X1141">
        <f>$C1141*X1140</f>
        <v/>
      </c>
      <c r="Y1141">
        <f>$C1141*Y1140</f>
        <v/>
      </c>
      <c r="Z1141">
        <f>$C1141*Z1140</f>
        <v/>
      </c>
      <c r="AA1141">
        <f>$C1141*AA1140</f>
        <v/>
      </c>
      <c r="AB1141">
        <f>$C1141*AB1140</f>
        <v/>
      </c>
      <c r="AC1141">
        <f>$C1141*AC1140</f>
        <v/>
      </c>
      <c r="AD1141">
        <f>$C1141*AD1140</f>
        <v/>
      </c>
      <c r="AE1141">
        <f>$C1141*AE1140</f>
        <v/>
      </c>
      <c r="AF1141">
        <f>$C1141*AF1140</f>
        <v/>
      </c>
      <c r="AG1141">
        <f>$C1141*AG1140</f>
        <v/>
      </c>
      <c r="AH1141">
        <f>$C1141*AH1140</f>
        <v/>
      </c>
      <c r="AI1141">
        <f>$C1141*AI1140</f>
        <v/>
      </c>
      <c r="AJ1141">
        <f>$C1141*AJ1140</f>
        <v/>
      </c>
      <c r="AK1141">
        <f>$C1141*AK1140</f>
        <v/>
      </c>
      <c r="AL1141">
        <f>$C1141*AL1140</f>
        <v/>
      </c>
      <c r="AM1141">
        <f>$C1141*AM1140</f>
        <v/>
      </c>
      <c r="AN1141">
        <f>$C1141*AN1140</f>
        <v/>
      </c>
      <c r="AO1141">
        <f>$C1141*AO1140</f>
        <v/>
      </c>
      <c r="AP1141">
        <f>$C1141*AP1140</f>
        <v/>
      </c>
      <c r="AQ1141">
        <f>$C1141*AQ1140</f>
        <v/>
      </c>
      <c r="AR1141">
        <f>$C1141*AR1140</f>
        <v/>
      </c>
      <c r="AS1141">
        <f>$C1141*AS1140</f>
        <v/>
      </c>
      <c r="AT1141">
        <f>$C1141*AT1140</f>
        <v/>
      </c>
      <c r="AU1141">
        <f>$C1141*AU1140</f>
        <v/>
      </c>
      <c r="AV1141">
        <f>$C1141*AV1140</f>
        <v/>
      </c>
      <c r="AW1141">
        <f>$C1141*AW1140</f>
        <v/>
      </c>
      <c r="AX1141">
        <f>$C1141*AX1140</f>
        <v/>
      </c>
      <c r="AY1141">
        <f>$C1141*AY1140</f>
        <v/>
      </c>
      <c r="AZ1141">
        <f>$C1141*AZ1140</f>
        <v/>
      </c>
      <c r="BA1141">
        <f>$C1141*BA1140</f>
        <v/>
      </c>
      <c r="BB1141">
        <f>$C1141*BB1140</f>
        <v/>
      </c>
      <c r="BC1141">
        <f>$C1141*BC1140</f>
        <v/>
      </c>
      <c r="BD1141">
        <f>$C1141*BD1140</f>
        <v/>
      </c>
      <c r="BE1141">
        <f>$C1141*BE1140</f>
        <v/>
      </c>
      <c r="BF1141">
        <f>$C1141*BF1140</f>
        <v/>
      </c>
      <c r="BG1141">
        <f>$C1141*BG1140</f>
        <v/>
      </c>
      <c r="BH1141">
        <f>$C1141*BH1140</f>
        <v/>
      </c>
      <c r="BI1141">
        <f>$C1141*BI1140</f>
        <v/>
      </c>
      <c r="BJ1141">
        <f>$C1141*BJ1140</f>
        <v/>
      </c>
      <c r="BK1141">
        <f>$C1141*BK1140</f>
        <v/>
      </c>
      <c r="BL1141">
        <f>$C1141*BL1140</f>
        <v/>
      </c>
      <c r="BM1141">
        <f>$C1141*BM1140</f>
        <v/>
      </c>
      <c r="BN1141">
        <f>$C1141*BN1140</f>
        <v/>
      </c>
      <c r="BO1141">
        <f>$C1141*BO1140</f>
        <v/>
      </c>
      <c r="BP1141">
        <f>$C1141*BP1140</f>
        <v/>
      </c>
      <c r="BQ1141">
        <f>$C1141*BQ1140</f>
        <v/>
      </c>
      <c r="BR1141">
        <f>$C1141*BR1140</f>
        <v/>
      </c>
      <c r="BS1141">
        <f>$C1141*BS1140</f>
        <v/>
      </c>
      <c r="BT1141">
        <f>$C1141*BT1140</f>
        <v/>
      </c>
      <c r="BU1141">
        <f>$C1141*BU1140</f>
        <v/>
      </c>
      <c r="BV1141">
        <f>$C1141*BV1140</f>
        <v/>
      </c>
      <c r="BW1141">
        <f>$C1141*BW1140</f>
        <v/>
      </c>
      <c r="BX1141">
        <f>$C1141*BX1140</f>
        <v/>
      </c>
      <c r="BY1141">
        <f>$C1141*BY1140</f>
        <v/>
      </c>
      <c r="BZ1141">
        <f>$C1141*BZ1140</f>
        <v/>
      </c>
      <c r="CA1141">
        <f>$C1141*CA1140</f>
        <v/>
      </c>
      <c r="CB1141">
        <f>$C1141*CB1140</f>
        <v/>
      </c>
      <c r="CC1141">
        <f>$C1141*CC1140</f>
        <v/>
      </c>
      <c r="CD1141">
        <f>$C1141*CD1140</f>
        <v/>
      </c>
      <c r="CE1141">
        <f>$C1141*CE1140</f>
        <v/>
      </c>
      <c r="CF1141">
        <f>$C1141*CF1140</f>
        <v/>
      </c>
      <c r="CG1141">
        <f>$C1141*CG1140</f>
        <v/>
      </c>
      <c r="CH1141">
        <f>$C1141*CH1140</f>
        <v/>
      </c>
      <c r="CI1141">
        <f>$C1141*CI1140</f>
        <v/>
      </c>
      <c r="CJ1141">
        <f>$C1141*CJ1140</f>
        <v/>
      </c>
      <c r="CK1141">
        <f>$C1141*CK1140</f>
        <v/>
      </c>
      <c r="CL1141">
        <f>$C1141*CL1140</f>
        <v/>
      </c>
      <c r="CM1141">
        <f>$C1141*CM1140</f>
        <v/>
      </c>
      <c r="CN1141">
        <f>$C1141*CN1140</f>
        <v/>
      </c>
      <c r="CO1141">
        <f>$C1141*CO1140</f>
        <v/>
      </c>
      <c r="CP1141">
        <f>$C1141*CP1140</f>
        <v/>
      </c>
      <c r="CQ1141">
        <f>$C1141*CQ1140</f>
        <v/>
      </c>
      <c r="CR1141">
        <f>$C1141*CR1140</f>
        <v/>
      </c>
      <c r="CS1141">
        <f>$C1141*CS1140</f>
        <v/>
      </c>
      <c r="CT1141">
        <f>$C1141*CT1140</f>
        <v/>
      </c>
      <c r="CU1141">
        <f>$C1141*CU1140</f>
        <v/>
      </c>
      <c r="CV1141">
        <f>$C1141*CV1140</f>
        <v/>
      </c>
      <c r="CW1141">
        <f>$C1141*CW1140</f>
        <v/>
      </c>
      <c r="CX1141">
        <f>$C1141*CX1140</f>
        <v/>
      </c>
      <c r="CY1141">
        <f>$C1141*CY1140</f>
        <v/>
      </c>
      <c r="CZ1141">
        <f>$C1141*CZ1140</f>
        <v/>
      </c>
      <c r="DA1141">
        <f>$C1141*DA1140</f>
        <v/>
      </c>
      <c r="DB1141">
        <f>$C1141*DB1140</f>
        <v/>
      </c>
      <c r="DC1141">
        <f>$C1141*DC1140</f>
        <v/>
      </c>
    </row>
    <row r="1142">
      <c r="B1142" t="inlineStr">
        <is>
          <t>TSP-1449</t>
        </is>
      </c>
      <c r="C1142" t="inlineStr">
        <is>
          <t>No. of batches</t>
        </is>
      </c>
      <c r="D1142">
        <f>IFERROR(INDEX(PP_Grid[#Data],$DD1142,2),0)</f>
        <v/>
      </c>
      <c r="E1142">
        <f>IFERROR(INDEX(PP_Grid[#Data],$DD1142,3),0)</f>
        <v/>
      </c>
      <c r="F1142">
        <f>IFERROR(INDEX(PP_Grid[#Data],$DD1142,4),0)</f>
        <v/>
      </c>
      <c r="G1142">
        <f>IFERROR(INDEX(PP_Grid[#Data],$DD1142,5),0)</f>
        <v/>
      </c>
      <c r="H1142">
        <f>IFERROR(INDEX(PP_Grid[#Data],$DD1142,6),0)</f>
        <v/>
      </c>
      <c r="I1142">
        <f>IFERROR(INDEX(PP_Grid[#Data],$DD1142,7),0)</f>
        <v/>
      </c>
      <c r="J1142">
        <f>IFERROR(INDEX(PP_Grid[#Data],$DD1142,8),0)</f>
        <v/>
      </c>
      <c r="K1142">
        <f>IFERROR(INDEX(PP_Grid[#Data],$DD1142,9),0)</f>
        <v/>
      </c>
      <c r="L1142">
        <f>IFERROR(INDEX(PP_Grid[#Data],$DD1142,10),0)</f>
        <v/>
      </c>
      <c r="M1142">
        <f>IFERROR(INDEX(PP_Grid[#Data],$DD1142,11),0)</f>
        <v/>
      </c>
      <c r="N1142">
        <f>IFERROR(INDEX(PP_Grid[#Data],$DD1142,12),0)</f>
        <v/>
      </c>
      <c r="O1142">
        <f>IFERROR(INDEX(PP_Grid[#Data],$DD1142,13),0)</f>
        <v/>
      </c>
      <c r="P1142">
        <f>IFERROR(INDEX(PP_Grid[#Data],$DD1142,14),0)</f>
        <v/>
      </c>
      <c r="Q1142">
        <f>IFERROR(INDEX(PP_Grid[#Data],$DD1142,15),0)</f>
        <v/>
      </c>
      <c r="R1142">
        <f>IFERROR(INDEX(PP_Grid[#Data],$DD1142,16),0)</f>
        <v/>
      </c>
      <c r="S1142">
        <f>IFERROR(INDEX(PP_Grid[#Data],$DD1142,17),0)</f>
        <v/>
      </c>
      <c r="T1142">
        <f>IFERROR(INDEX(PP_Grid[#Data],$DD1142,18),0)</f>
        <v/>
      </c>
      <c r="U1142">
        <f>IFERROR(INDEX(PP_Grid[#Data],$DD1142,19),0)</f>
        <v/>
      </c>
      <c r="V1142">
        <f>IFERROR(INDEX(PP_Grid[#Data],$DD1142,20),0)</f>
        <v/>
      </c>
      <c r="W1142">
        <f>IFERROR(INDEX(PP_Grid[#Data],$DD1142,21),0)</f>
        <v/>
      </c>
      <c r="X1142">
        <f>IFERROR(INDEX(PP_Grid[#Data],$DD1142,22),0)</f>
        <v/>
      </c>
      <c r="Y1142">
        <f>IFERROR(INDEX(PP_Grid[#Data],$DD1142,23),0)</f>
        <v/>
      </c>
      <c r="Z1142">
        <f>IFERROR(INDEX(PP_Grid[#Data],$DD1142,24),0)</f>
        <v/>
      </c>
      <c r="AA1142">
        <f>IFERROR(INDEX(PP_Grid[#Data],$DD1142,25),0)</f>
        <v/>
      </c>
      <c r="AB1142">
        <f>IFERROR(INDEX(PP_Grid[#Data],$DD1142,26),0)</f>
        <v/>
      </c>
      <c r="AC1142">
        <f>IFERROR(INDEX(PP_Grid[#Data],$DD1142,27),0)</f>
        <v/>
      </c>
      <c r="AD1142">
        <f>IFERROR(INDEX(PP_Grid[#Data],$DD1142,28),0)</f>
        <v/>
      </c>
      <c r="AE1142">
        <f>IFERROR(INDEX(PP_Grid[#Data],$DD1142,29),0)</f>
        <v/>
      </c>
      <c r="AF1142">
        <f>IFERROR(INDEX(PP_Grid[#Data],$DD1142,30),0)</f>
        <v/>
      </c>
      <c r="AG1142">
        <f>IFERROR(INDEX(PP_Grid[#Data],$DD1142,31),0)</f>
        <v/>
      </c>
      <c r="AH1142">
        <f>IFERROR(INDEX(PP_Grid[#Data],$DD1142,32),0)</f>
        <v/>
      </c>
      <c r="AI1142">
        <f>IFERROR(INDEX(PP_Grid[#Data],$DD1142,33),0)</f>
        <v/>
      </c>
      <c r="AJ1142">
        <f>IFERROR(INDEX(PP_Grid[#Data],$DD1142,34),0)</f>
        <v/>
      </c>
      <c r="AK1142">
        <f>IFERROR(INDEX(PP_Grid[#Data],$DD1142,35),0)</f>
        <v/>
      </c>
      <c r="AL1142">
        <f>IFERROR(INDEX(PP_Grid[#Data],$DD1142,36),0)</f>
        <v/>
      </c>
      <c r="AM1142">
        <f>IFERROR(INDEX(PP_Grid[#Data],$DD1142,37),0)</f>
        <v/>
      </c>
      <c r="AN1142">
        <f>IFERROR(INDEX(PP_Grid[#Data],$DD1142,38),0)</f>
        <v/>
      </c>
      <c r="AO1142">
        <f>IFERROR(INDEX(PP_Grid[#Data],$DD1142,39),0)</f>
        <v/>
      </c>
      <c r="AP1142">
        <f>IFERROR(INDEX(PP_Grid[#Data],$DD1142,40),0)</f>
        <v/>
      </c>
      <c r="AQ1142">
        <f>IFERROR(INDEX(PP_Grid[#Data],$DD1142,41),0)</f>
        <v/>
      </c>
      <c r="AR1142">
        <f>IFERROR(INDEX(PP_Grid[#Data],$DD1142,42),0)</f>
        <v/>
      </c>
      <c r="AS1142">
        <f>IFERROR(INDEX(PP_Grid[#Data],$DD1142,43),0)</f>
        <v/>
      </c>
      <c r="AT1142">
        <f>IFERROR(INDEX(PP_Grid[#Data],$DD1142,44),0)</f>
        <v/>
      </c>
      <c r="AU1142">
        <f>IFERROR(INDEX(PP_Grid[#Data],$DD1142,45),0)</f>
        <v/>
      </c>
      <c r="AV1142">
        <f>IFERROR(INDEX(PP_Grid[#Data],$DD1142,46),0)</f>
        <v/>
      </c>
      <c r="AW1142">
        <f>IFERROR(INDEX(PP_Grid[#Data],$DD1142,47),0)</f>
        <v/>
      </c>
      <c r="AX1142">
        <f>IFERROR(INDEX(PP_Grid[#Data],$DD1142,48),0)</f>
        <v/>
      </c>
      <c r="AY1142">
        <f>IFERROR(INDEX(PP_Grid[#Data],$DD1142,49),0)</f>
        <v/>
      </c>
      <c r="AZ1142">
        <f>IFERROR(INDEX(PP_Grid[#Data],$DD1142,50),0)</f>
        <v/>
      </c>
      <c r="BA1142">
        <f>IFERROR(INDEX(PP_Grid[#Data],$DD1142,51),0)</f>
        <v/>
      </c>
      <c r="BB1142">
        <f>IFERROR(INDEX(PP_Grid[#Data],$DD1142,52),0)</f>
        <v/>
      </c>
      <c r="BC1142">
        <f>IFERROR(INDEX(PP_Grid[#Data],$DD1142,53),0)</f>
        <v/>
      </c>
      <c r="BD1142">
        <f>IFERROR(INDEX(PP_Grid[#Data],$DD1142,54),0)</f>
        <v/>
      </c>
      <c r="BE1142">
        <f>IFERROR(INDEX(PP_Grid[#Data],$DD1142,55),0)</f>
        <v/>
      </c>
      <c r="BF1142">
        <f>IFERROR(INDEX(PP_Grid[#Data],$DD1142,56),0)</f>
        <v/>
      </c>
      <c r="BG1142">
        <f>IFERROR(INDEX(PP_Grid[#Data],$DD1142,57),0)</f>
        <v/>
      </c>
      <c r="BH1142">
        <f>IFERROR(INDEX(PP_Grid[#Data],$DD1142,58),0)</f>
        <v/>
      </c>
      <c r="BI1142">
        <f>IFERROR(INDEX(PP_Grid[#Data],$DD1142,59),0)</f>
        <v/>
      </c>
      <c r="BJ1142">
        <f>IFERROR(INDEX(PP_Grid[#Data],$DD1142,60),0)</f>
        <v/>
      </c>
      <c r="BK1142">
        <f>IFERROR(INDEX(PP_Grid[#Data],$DD1142,61),0)</f>
        <v/>
      </c>
      <c r="BL1142">
        <f>IFERROR(INDEX(PP_Grid[#Data],$DD1142,62),0)</f>
        <v/>
      </c>
      <c r="BM1142">
        <f>IFERROR(INDEX(PP_Grid[#Data],$DD1142,63),0)</f>
        <v/>
      </c>
      <c r="BN1142">
        <f>IFERROR(INDEX(PP_Grid[#Data],$DD1142,64),0)</f>
        <v/>
      </c>
      <c r="BO1142">
        <f>IFERROR(INDEX(PP_Grid[#Data],$DD1142,65),0)</f>
        <v/>
      </c>
      <c r="BP1142">
        <f>IFERROR(INDEX(PP_Grid[#Data],$DD1142,66),0)</f>
        <v/>
      </c>
      <c r="BQ1142">
        <f>IFERROR(INDEX(PP_Grid[#Data],$DD1142,67),0)</f>
        <v/>
      </c>
      <c r="BR1142">
        <f>IFERROR(INDEX(PP_Grid[#Data],$DD1142,68),0)</f>
        <v/>
      </c>
      <c r="BS1142">
        <f>IFERROR(INDEX(PP_Grid[#Data],$DD1142,69),0)</f>
        <v/>
      </c>
      <c r="BT1142">
        <f>IFERROR(INDEX(PP_Grid[#Data],$DD1142,70),0)</f>
        <v/>
      </c>
      <c r="BU1142">
        <f>IFERROR(INDEX(PP_Grid[#Data],$DD1142,71),0)</f>
        <v/>
      </c>
      <c r="BV1142">
        <f>IFERROR(INDEX(PP_Grid[#Data],$DD1142,72),0)</f>
        <v/>
      </c>
      <c r="BW1142">
        <f>IFERROR(INDEX(PP_Grid[#Data],$DD1142,73),0)</f>
        <v/>
      </c>
      <c r="BX1142">
        <f>IFERROR(INDEX(PP_Grid[#Data],$DD1142,74),0)</f>
        <v/>
      </c>
      <c r="BY1142">
        <f>IFERROR(INDEX(PP_Grid[#Data],$DD1142,75),0)</f>
        <v/>
      </c>
      <c r="BZ1142">
        <f>IFERROR(INDEX(PP_Grid[#Data],$DD1142,76),0)</f>
        <v/>
      </c>
      <c r="CA1142">
        <f>IFERROR(INDEX(PP_Grid[#Data],$DD1142,77),0)</f>
        <v/>
      </c>
      <c r="CB1142">
        <f>IFERROR(INDEX(PP_Grid[#Data],$DD1142,78),0)</f>
        <v/>
      </c>
      <c r="CC1142">
        <f>IFERROR(INDEX(PP_Grid[#Data],$DD1142,79),0)</f>
        <v/>
      </c>
      <c r="CD1142">
        <f>IFERROR(INDEX(PP_Grid[#Data],$DD1142,80),0)</f>
        <v/>
      </c>
      <c r="CE1142">
        <f>IFERROR(INDEX(PP_Grid[#Data],$DD1142,81),0)</f>
        <v/>
      </c>
      <c r="CF1142">
        <f>IFERROR(INDEX(PP_Grid[#Data],$DD1142,82),0)</f>
        <v/>
      </c>
      <c r="CG1142">
        <f>IFERROR(INDEX(PP_Grid[#Data],$DD1142,83),0)</f>
        <v/>
      </c>
      <c r="CH1142">
        <f>IFERROR(INDEX(PP_Grid[#Data],$DD1142,84),0)</f>
        <v/>
      </c>
      <c r="CI1142">
        <f>IFERROR(INDEX(PP_Grid[#Data],$DD1142,85),0)</f>
        <v/>
      </c>
      <c r="CJ1142">
        <f>IFERROR(INDEX(PP_Grid[#Data],$DD1142,86),0)</f>
        <v/>
      </c>
      <c r="CK1142">
        <f>IFERROR(INDEX(PP_Grid[#Data],$DD1142,87),0)</f>
        <v/>
      </c>
      <c r="CL1142">
        <f>IFERROR(INDEX(PP_Grid[#Data],$DD1142,88),0)</f>
        <v/>
      </c>
      <c r="CM1142">
        <f>IFERROR(INDEX(PP_Grid[#Data],$DD1142,89),0)</f>
        <v/>
      </c>
      <c r="CN1142">
        <f>IFERROR(INDEX(PP_Grid[#Data],$DD1142,90),0)</f>
        <v/>
      </c>
      <c r="CO1142">
        <f>IFERROR(INDEX(PP_Grid[#Data],$DD1142,91),0)</f>
        <v/>
      </c>
      <c r="CP1142">
        <f>IFERROR(INDEX(PP_Grid[#Data],$DD1142,92),0)</f>
        <v/>
      </c>
      <c r="CQ1142">
        <f>IFERROR(INDEX(PP_Grid[#Data],$DD1142,93),0)</f>
        <v/>
      </c>
      <c r="CR1142">
        <f>IFERROR(INDEX(PP_Grid[#Data],$DD1142,94),0)</f>
        <v/>
      </c>
      <c r="CS1142">
        <f>IFERROR(INDEX(PP_Grid[#Data],$DD1142,95),0)</f>
        <v/>
      </c>
      <c r="CT1142">
        <f>IFERROR(INDEX(PP_Grid[#Data],$DD1142,96),0)</f>
        <v/>
      </c>
      <c r="CU1142">
        <f>IFERROR(INDEX(PP_Grid[#Data],$DD1142,97),0)</f>
        <v/>
      </c>
      <c r="CV1142">
        <f>IFERROR(INDEX(PP_Grid[#Data],$DD1142,98),0)</f>
        <v/>
      </c>
      <c r="CW1142">
        <f>IFERROR(INDEX(PP_Grid[#Data],$DD1142,99),0)</f>
        <v/>
      </c>
      <c r="CX1142">
        <f>IFERROR(INDEX(PP_Grid[#Data],$DD1142,100),0)</f>
        <v/>
      </c>
      <c r="CY1142">
        <f>IFERROR(INDEX(PP_Grid[#Data],$DD1142,101),0)</f>
        <v/>
      </c>
      <c r="CZ1142">
        <f>IFERROR(INDEX(PP_Grid[#Data],$DD1142,102),0)</f>
        <v/>
      </c>
      <c r="DA1142">
        <f>IFERROR(INDEX(PP_Grid[#Data],$DD1142,103),0)</f>
        <v/>
      </c>
      <c r="DB1142">
        <f>IFERROR(INDEX(PP_Grid[#Data],$DD1142,104),0)</f>
        <v/>
      </c>
      <c r="DC1142">
        <f>IFERROR(INDEX(PP_Grid[#Data],$DD1142,105),0)</f>
        <v/>
      </c>
      <c r="DD1142" s="7">
        <f>IFERROR(MATCH($B1142,PP_Grid[Intermediate],0),99999)</f>
        <v/>
      </c>
    </row>
    <row r="1143">
      <c r="B1143" t="inlineStr">
        <is>
          <t>使用量(kg)</t>
        </is>
      </c>
      <c r="C1143">
        <f>SUMIFS(M_BOM[RM_Qty_Per_Batch],M_BOM[Intermediate],$B1142,M_BOM[Part Name],$A1131)</f>
        <v/>
      </c>
      <c r="D1143">
        <f>$C1143*D1142</f>
        <v/>
      </c>
      <c r="E1143">
        <f>$C1143*E1142</f>
        <v/>
      </c>
      <c r="F1143">
        <f>$C1143*F1142</f>
        <v/>
      </c>
      <c r="G1143">
        <f>$C1143*G1142</f>
        <v/>
      </c>
      <c r="H1143">
        <f>$C1143*H1142</f>
        <v/>
      </c>
      <c r="I1143">
        <f>$C1143*I1142</f>
        <v/>
      </c>
      <c r="J1143">
        <f>$C1143*J1142</f>
        <v/>
      </c>
      <c r="K1143">
        <f>$C1143*K1142</f>
        <v/>
      </c>
      <c r="L1143">
        <f>$C1143*L1142</f>
        <v/>
      </c>
      <c r="M1143">
        <f>$C1143*M1142</f>
        <v/>
      </c>
      <c r="N1143">
        <f>$C1143*N1142</f>
        <v/>
      </c>
      <c r="O1143">
        <f>$C1143*O1142</f>
        <v/>
      </c>
      <c r="P1143">
        <f>$C1143*P1142</f>
        <v/>
      </c>
      <c r="Q1143">
        <f>$C1143*Q1142</f>
        <v/>
      </c>
      <c r="R1143">
        <f>$C1143*R1142</f>
        <v/>
      </c>
      <c r="S1143">
        <f>$C1143*S1142</f>
        <v/>
      </c>
      <c r="T1143">
        <f>$C1143*T1142</f>
        <v/>
      </c>
      <c r="U1143">
        <f>$C1143*U1142</f>
        <v/>
      </c>
      <c r="V1143">
        <f>$C1143*V1142</f>
        <v/>
      </c>
      <c r="W1143">
        <f>$C1143*W1142</f>
        <v/>
      </c>
      <c r="X1143">
        <f>$C1143*X1142</f>
        <v/>
      </c>
      <c r="Y1143">
        <f>$C1143*Y1142</f>
        <v/>
      </c>
      <c r="Z1143">
        <f>$C1143*Z1142</f>
        <v/>
      </c>
      <c r="AA1143">
        <f>$C1143*AA1142</f>
        <v/>
      </c>
      <c r="AB1143">
        <f>$C1143*AB1142</f>
        <v/>
      </c>
      <c r="AC1143">
        <f>$C1143*AC1142</f>
        <v/>
      </c>
      <c r="AD1143">
        <f>$C1143*AD1142</f>
        <v/>
      </c>
      <c r="AE1143">
        <f>$C1143*AE1142</f>
        <v/>
      </c>
      <c r="AF1143">
        <f>$C1143*AF1142</f>
        <v/>
      </c>
      <c r="AG1143">
        <f>$C1143*AG1142</f>
        <v/>
      </c>
      <c r="AH1143">
        <f>$C1143*AH1142</f>
        <v/>
      </c>
      <c r="AI1143">
        <f>$C1143*AI1142</f>
        <v/>
      </c>
      <c r="AJ1143">
        <f>$C1143*AJ1142</f>
        <v/>
      </c>
      <c r="AK1143">
        <f>$C1143*AK1142</f>
        <v/>
      </c>
      <c r="AL1143">
        <f>$C1143*AL1142</f>
        <v/>
      </c>
      <c r="AM1143">
        <f>$C1143*AM1142</f>
        <v/>
      </c>
      <c r="AN1143">
        <f>$C1143*AN1142</f>
        <v/>
      </c>
      <c r="AO1143">
        <f>$C1143*AO1142</f>
        <v/>
      </c>
      <c r="AP1143">
        <f>$C1143*AP1142</f>
        <v/>
      </c>
      <c r="AQ1143">
        <f>$C1143*AQ1142</f>
        <v/>
      </c>
      <c r="AR1143">
        <f>$C1143*AR1142</f>
        <v/>
      </c>
      <c r="AS1143">
        <f>$C1143*AS1142</f>
        <v/>
      </c>
      <c r="AT1143">
        <f>$C1143*AT1142</f>
        <v/>
      </c>
      <c r="AU1143">
        <f>$C1143*AU1142</f>
        <v/>
      </c>
      <c r="AV1143">
        <f>$C1143*AV1142</f>
        <v/>
      </c>
      <c r="AW1143">
        <f>$C1143*AW1142</f>
        <v/>
      </c>
      <c r="AX1143">
        <f>$C1143*AX1142</f>
        <v/>
      </c>
      <c r="AY1143">
        <f>$C1143*AY1142</f>
        <v/>
      </c>
      <c r="AZ1143">
        <f>$C1143*AZ1142</f>
        <v/>
      </c>
      <c r="BA1143">
        <f>$C1143*BA1142</f>
        <v/>
      </c>
      <c r="BB1143">
        <f>$C1143*BB1142</f>
        <v/>
      </c>
      <c r="BC1143">
        <f>$C1143*BC1142</f>
        <v/>
      </c>
      <c r="BD1143">
        <f>$C1143*BD1142</f>
        <v/>
      </c>
      <c r="BE1143">
        <f>$C1143*BE1142</f>
        <v/>
      </c>
      <c r="BF1143">
        <f>$C1143*BF1142</f>
        <v/>
      </c>
      <c r="BG1143">
        <f>$C1143*BG1142</f>
        <v/>
      </c>
      <c r="BH1143">
        <f>$C1143*BH1142</f>
        <v/>
      </c>
      <c r="BI1143">
        <f>$C1143*BI1142</f>
        <v/>
      </c>
      <c r="BJ1143">
        <f>$C1143*BJ1142</f>
        <v/>
      </c>
      <c r="BK1143">
        <f>$C1143*BK1142</f>
        <v/>
      </c>
      <c r="BL1143">
        <f>$C1143*BL1142</f>
        <v/>
      </c>
      <c r="BM1143">
        <f>$C1143*BM1142</f>
        <v/>
      </c>
      <c r="BN1143">
        <f>$C1143*BN1142</f>
        <v/>
      </c>
      <c r="BO1143">
        <f>$C1143*BO1142</f>
        <v/>
      </c>
      <c r="BP1143">
        <f>$C1143*BP1142</f>
        <v/>
      </c>
      <c r="BQ1143">
        <f>$C1143*BQ1142</f>
        <v/>
      </c>
      <c r="BR1143">
        <f>$C1143*BR1142</f>
        <v/>
      </c>
      <c r="BS1143">
        <f>$C1143*BS1142</f>
        <v/>
      </c>
      <c r="BT1143">
        <f>$C1143*BT1142</f>
        <v/>
      </c>
      <c r="BU1143">
        <f>$C1143*BU1142</f>
        <v/>
      </c>
      <c r="BV1143">
        <f>$C1143*BV1142</f>
        <v/>
      </c>
      <c r="BW1143">
        <f>$C1143*BW1142</f>
        <v/>
      </c>
      <c r="BX1143">
        <f>$C1143*BX1142</f>
        <v/>
      </c>
      <c r="BY1143">
        <f>$C1143*BY1142</f>
        <v/>
      </c>
      <c r="BZ1143">
        <f>$C1143*BZ1142</f>
        <v/>
      </c>
      <c r="CA1143">
        <f>$C1143*CA1142</f>
        <v/>
      </c>
      <c r="CB1143">
        <f>$C1143*CB1142</f>
        <v/>
      </c>
      <c r="CC1143">
        <f>$C1143*CC1142</f>
        <v/>
      </c>
      <c r="CD1143">
        <f>$C1143*CD1142</f>
        <v/>
      </c>
      <c r="CE1143">
        <f>$C1143*CE1142</f>
        <v/>
      </c>
      <c r="CF1143">
        <f>$C1143*CF1142</f>
        <v/>
      </c>
      <c r="CG1143">
        <f>$C1143*CG1142</f>
        <v/>
      </c>
      <c r="CH1143">
        <f>$C1143*CH1142</f>
        <v/>
      </c>
      <c r="CI1143">
        <f>$C1143*CI1142</f>
        <v/>
      </c>
      <c r="CJ1143">
        <f>$C1143*CJ1142</f>
        <v/>
      </c>
      <c r="CK1143">
        <f>$C1143*CK1142</f>
        <v/>
      </c>
      <c r="CL1143">
        <f>$C1143*CL1142</f>
        <v/>
      </c>
      <c r="CM1143">
        <f>$C1143*CM1142</f>
        <v/>
      </c>
      <c r="CN1143">
        <f>$C1143*CN1142</f>
        <v/>
      </c>
      <c r="CO1143">
        <f>$C1143*CO1142</f>
        <v/>
      </c>
      <c r="CP1143">
        <f>$C1143*CP1142</f>
        <v/>
      </c>
      <c r="CQ1143">
        <f>$C1143*CQ1142</f>
        <v/>
      </c>
      <c r="CR1143">
        <f>$C1143*CR1142</f>
        <v/>
      </c>
      <c r="CS1143">
        <f>$C1143*CS1142</f>
        <v/>
      </c>
      <c r="CT1143">
        <f>$C1143*CT1142</f>
        <v/>
      </c>
      <c r="CU1143">
        <f>$C1143*CU1142</f>
        <v/>
      </c>
      <c r="CV1143">
        <f>$C1143*CV1142</f>
        <v/>
      </c>
      <c r="CW1143">
        <f>$C1143*CW1142</f>
        <v/>
      </c>
      <c r="CX1143">
        <f>$C1143*CX1142</f>
        <v/>
      </c>
      <c r="CY1143">
        <f>$C1143*CY1142</f>
        <v/>
      </c>
      <c r="CZ1143">
        <f>$C1143*CZ1142</f>
        <v/>
      </c>
      <c r="DA1143">
        <f>$C1143*DA1142</f>
        <v/>
      </c>
      <c r="DB1143">
        <f>$C1143*DB1142</f>
        <v/>
      </c>
      <c r="DC1143">
        <f>$C1143*DC1142</f>
        <v/>
      </c>
    </row>
    <row r="1144">
      <c r="B1144" t="inlineStr">
        <is>
          <t>TSP-1499</t>
        </is>
      </c>
      <c r="C1144" t="inlineStr">
        <is>
          <t>No. of batches</t>
        </is>
      </c>
      <c r="D1144">
        <f>IFERROR(INDEX(PP_Grid[#Data],$DD1144,2),0)</f>
        <v/>
      </c>
      <c r="E1144">
        <f>IFERROR(INDEX(PP_Grid[#Data],$DD1144,3),0)</f>
        <v/>
      </c>
      <c r="F1144">
        <f>IFERROR(INDEX(PP_Grid[#Data],$DD1144,4),0)</f>
        <v/>
      </c>
      <c r="G1144">
        <f>IFERROR(INDEX(PP_Grid[#Data],$DD1144,5),0)</f>
        <v/>
      </c>
      <c r="H1144">
        <f>IFERROR(INDEX(PP_Grid[#Data],$DD1144,6),0)</f>
        <v/>
      </c>
      <c r="I1144">
        <f>IFERROR(INDEX(PP_Grid[#Data],$DD1144,7),0)</f>
        <v/>
      </c>
      <c r="J1144">
        <f>IFERROR(INDEX(PP_Grid[#Data],$DD1144,8),0)</f>
        <v/>
      </c>
      <c r="K1144">
        <f>IFERROR(INDEX(PP_Grid[#Data],$DD1144,9),0)</f>
        <v/>
      </c>
      <c r="L1144">
        <f>IFERROR(INDEX(PP_Grid[#Data],$DD1144,10),0)</f>
        <v/>
      </c>
      <c r="M1144">
        <f>IFERROR(INDEX(PP_Grid[#Data],$DD1144,11),0)</f>
        <v/>
      </c>
      <c r="N1144">
        <f>IFERROR(INDEX(PP_Grid[#Data],$DD1144,12),0)</f>
        <v/>
      </c>
      <c r="O1144">
        <f>IFERROR(INDEX(PP_Grid[#Data],$DD1144,13),0)</f>
        <v/>
      </c>
      <c r="P1144">
        <f>IFERROR(INDEX(PP_Grid[#Data],$DD1144,14),0)</f>
        <v/>
      </c>
      <c r="Q1144">
        <f>IFERROR(INDEX(PP_Grid[#Data],$DD1144,15),0)</f>
        <v/>
      </c>
      <c r="R1144">
        <f>IFERROR(INDEX(PP_Grid[#Data],$DD1144,16),0)</f>
        <v/>
      </c>
      <c r="S1144">
        <f>IFERROR(INDEX(PP_Grid[#Data],$DD1144,17),0)</f>
        <v/>
      </c>
      <c r="T1144">
        <f>IFERROR(INDEX(PP_Grid[#Data],$DD1144,18),0)</f>
        <v/>
      </c>
      <c r="U1144">
        <f>IFERROR(INDEX(PP_Grid[#Data],$DD1144,19),0)</f>
        <v/>
      </c>
      <c r="V1144">
        <f>IFERROR(INDEX(PP_Grid[#Data],$DD1144,20),0)</f>
        <v/>
      </c>
      <c r="W1144">
        <f>IFERROR(INDEX(PP_Grid[#Data],$DD1144,21),0)</f>
        <v/>
      </c>
      <c r="X1144">
        <f>IFERROR(INDEX(PP_Grid[#Data],$DD1144,22),0)</f>
        <v/>
      </c>
      <c r="Y1144">
        <f>IFERROR(INDEX(PP_Grid[#Data],$DD1144,23),0)</f>
        <v/>
      </c>
      <c r="Z1144">
        <f>IFERROR(INDEX(PP_Grid[#Data],$DD1144,24),0)</f>
        <v/>
      </c>
      <c r="AA1144">
        <f>IFERROR(INDEX(PP_Grid[#Data],$DD1144,25),0)</f>
        <v/>
      </c>
      <c r="AB1144">
        <f>IFERROR(INDEX(PP_Grid[#Data],$DD1144,26),0)</f>
        <v/>
      </c>
      <c r="AC1144">
        <f>IFERROR(INDEX(PP_Grid[#Data],$DD1144,27),0)</f>
        <v/>
      </c>
      <c r="AD1144">
        <f>IFERROR(INDEX(PP_Grid[#Data],$DD1144,28),0)</f>
        <v/>
      </c>
      <c r="AE1144">
        <f>IFERROR(INDEX(PP_Grid[#Data],$DD1144,29),0)</f>
        <v/>
      </c>
      <c r="AF1144">
        <f>IFERROR(INDEX(PP_Grid[#Data],$DD1144,30),0)</f>
        <v/>
      </c>
      <c r="AG1144">
        <f>IFERROR(INDEX(PP_Grid[#Data],$DD1144,31),0)</f>
        <v/>
      </c>
      <c r="AH1144">
        <f>IFERROR(INDEX(PP_Grid[#Data],$DD1144,32),0)</f>
        <v/>
      </c>
      <c r="AI1144">
        <f>IFERROR(INDEX(PP_Grid[#Data],$DD1144,33),0)</f>
        <v/>
      </c>
      <c r="AJ1144">
        <f>IFERROR(INDEX(PP_Grid[#Data],$DD1144,34),0)</f>
        <v/>
      </c>
      <c r="AK1144">
        <f>IFERROR(INDEX(PP_Grid[#Data],$DD1144,35),0)</f>
        <v/>
      </c>
      <c r="AL1144">
        <f>IFERROR(INDEX(PP_Grid[#Data],$DD1144,36),0)</f>
        <v/>
      </c>
      <c r="AM1144">
        <f>IFERROR(INDEX(PP_Grid[#Data],$DD1144,37),0)</f>
        <v/>
      </c>
      <c r="AN1144">
        <f>IFERROR(INDEX(PP_Grid[#Data],$DD1144,38),0)</f>
        <v/>
      </c>
      <c r="AO1144">
        <f>IFERROR(INDEX(PP_Grid[#Data],$DD1144,39),0)</f>
        <v/>
      </c>
      <c r="AP1144">
        <f>IFERROR(INDEX(PP_Grid[#Data],$DD1144,40),0)</f>
        <v/>
      </c>
      <c r="AQ1144">
        <f>IFERROR(INDEX(PP_Grid[#Data],$DD1144,41),0)</f>
        <v/>
      </c>
      <c r="AR1144">
        <f>IFERROR(INDEX(PP_Grid[#Data],$DD1144,42),0)</f>
        <v/>
      </c>
      <c r="AS1144">
        <f>IFERROR(INDEX(PP_Grid[#Data],$DD1144,43),0)</f>
        <v/>
      </c>
      <c r="AT1144">
        <f>IFERROR(INDEX(PP_Grid[#Data],$DD1144,44),0)</f>
        <v/>
      </c>
      <c r="AU1144">
        <f>IFERROR(INDEX(PP_Grid[#Data],$DD1144,45),0)</f>
        <v/>
      </c>
      <c r="AV1144">
        <f>IFERROR(INDEX(PP_Grid[#Data],$DD1144,46),0)</f>
        <v/>
      </c>
      <c r="AW1144">
        <f>IFERROR(INDEX(PP_Grid[#Data],$DD1144,47),0)</f>
        <v/>
      </c>
      <c r="AX1144">
        <f>IFERROR(INDEX(PP_Grid[#Data],$DD1144,48),0)</f>
        <v/>
      </c>
      <c r="AY1144">
        <f>IFERROR(INDEX(PP_Grid[#Data],$DD1144,49),0)</f>
        <v/>
      </c>
      <c r="AZ1144">
        <f>IFERROR(INDEX(PP_Grid[#Data],$DD1144,50),0)</f>
        <v/>
      </c>
      <c r="BA1144">
        <f>IFERROR(INDEX(PP_Grid[#Data],$DD1144,51),0)</f>
        <v/>
      </c>
      <c r="BB1144">
        <f>IFERROR(INDEX(PP_Grid[#Data],$DD1144,52),0)</f>
        <v/>
      </c>
      <c r="BC1144">
        <f>IFERROR(INDEX(PP_Grid[#Data],$DD1144,53),0)</f>
        <v/>
      </c>
      <c r="BD1144">
        <f>IFERROR(INDEX(PP_Grid[#Data],$DD1144,54),0)</f>
        <v/>
      </c>
      <c r="BE1144">
        <f>IFERROR(INDEX(PP_Grid[#Data],$DD1144,55),0)</f>
        <v/>
      </c>
      <c r="BF1144">
        <f>IFERROR(INDEX(PP_Grid[#Data],$DD1144,56),0)</f>
        <v/>
      </c>
      <c r="BG1144">
        <f>IFERROR(INDEX(PP_Grid[#Data],$DD1144,57),0)</f>
        <v/>
      </c>
      <c r="BH1144">
        <f>IFERROR(INDEX(PP_Grid[#Data],$DD1144,58),0)</f>
        <v/>
      </c>
      <c r="BI1144">
        <f>IFERROR(INDEX(PP_Grid[#Data],$DD1144,59),0)</f>
        <v/>
      </c>
      <c r="BJ1144">
        <f>IFERROR(INDEX(PP_Grid[#Data],$DD1144,60),0)</f>
        <v/>
      </c>
      <c r="BK1144">
        <f>IFERROR(INDEX(PP_Grid[#Data],$DD1144,61),0)</f>
        <v/>
      </c>
      <c r="BL1144">
        <f>IFERROR(INDEX(PP_Grid[#Data],$DD1144,62),0)</f>
        <v/>
      </c>
      <c r="BM1144">
        <f>IFERROR(INDEX(PP_Grid[#Data],$DD1144,63),0)</f>
        <v/>
      </c>
      <c r="BN1144">
        <f>IFERROR(INDEX(PP_Grid[#Data],$DD1144,64),0)</f>
        <v/>
      </c>
      <c r="BO1144">
        <f>IFERROR(INDEX(PP_Grid[#Data],$DD1144,65),0)</f>
        <v/>
      </c>
      <c r="BP1144">
        <f>IFERROR(INDEX(PP_Grid[#Data],$DD1144,66),0)</f>
        <v/>
      </c>
      <c r="BQ1144">
        <f>IFERROR(INDEX(PP_Grid[#Data],$DD1144,67),0)</f>
        <v/>
      </c>
      <c r="BR1144">
        <f>IFERROR(INDEX(PP_Grid[#Data],$DD1144,68),0)</f>
        <v/>
      </c>
      <c r="BS1144">
        <f>IFERROR(INDEX(PP_Grid[#Data],$DD1144,69),0)</f>
        <v/>
      </c>
      <c r="BT1144">
        <f>IFERROR(INDEX(PP_Grid[#Data],$DD1144,70),0)</f>
        <v/>
      </c>
      <c r="BU1144">
        <f>IFERROR(INDEX(PP_Grid[#Data],$DD1144,71),0)</f>
        <v/>
      </c>
      <c r="BV1144">
        <f>IFERROR(INDEX(PP_Grid[#Data],$DD1144,72),0)</f>
        <v/>
      </c>
      <c r="BW1144">
        <f>IFERROR(INDEX(PP_Grid[#Data],$DD1144,73),0)</f>
        <v/>
      </c>
      <c r="BX1144">
        <f>IFERROR(INDEX(PP_Grid[#Data],$DD1144,74),0)</f>
        <v/>
      </c>
      <c r="BY1144">
        <f>IFERROR(INDEX(PP_Grid[#Data],$DD1144,75),0)</f>
        <v/>
      </c>
      <c r="BZ1144">
        <f>IFERROR(INDEX(PP_Grid[#Data],$DD1144,76),0)</f>
        <v/>
      </c>
      <c r="CA1144">
        <f>IFERROR(INDEX(PP_Grid[#Data],$DD1144,77),0)</f>
        <v/>
      </c>
      <c r="CB1144">
        <f>IFERROR(INDEX(PP_Grid[#Data],$DD1144,78),0)</f>
        <v/>
      </c>
      <c r="CC1144">
        <f>IFERROR(INDEX(PP_Grid[#Data],$DD1144,79),0)</f>
        <v/>
      </c>
      <c r="CD1144">
        <f>IFERROR(INDEX(PP_Grid[#Data],$DD1144,80),0)</f>
        <v/>
      </c>
      <c r="CE1144">
        <f>IFERROR(INDEX(PP_Grid[#Data],$DD1144,81),0)</f>
        <v/>
      </c>
      <c r="CF1144">
        <f>IFERROR(INDEX(PP_Grid[#Data],$DD1144,82),0)</f>
        <v/>
      </c>
      <c r="CG1144">
        <f>IFERROR(INDEX(PP_Grid[#Data],$DD1144,83),0)</f>
        <v/>
      </c>
      <c r="CH1144">
        <f>IFERROR(INDEX(PP_Grid[#Data],$DD1144,84),0)</f>
        <v/>
      </c>
      <c r="CI1144">
        <f>IFERROR(INDEX(PP_Grid[#Data],$DD1144,85),0)</f>
        <v/>
      </c>
      <c r="CJ1144">
        <f>IFERROR(INDEX(PP_Grid[#Data],$DD1144,86),0)</f>
        <v/>
      </c>
      <c r="CK1144">
        <f>IFERROR(INDEX(PP_Grid[#Data],$DD1144,87),0)</f>
        <v/>
      </c>
      <c r="CL1144">
        <f>IFERROR(INDEX(PP_Grid[#Data],$DD1144,88),0)</f>
        <v/>
      </c>
      <c r="CM1144">
        <f>IFERROR(INDEX(PP_Grid[#Data],$DD1144,89),0)</f>
        <v/>
      </c>
      <c r="CN1144">
        <f>IFERROR(INDEX(PP_Grid[#Data],$DD1144,90),0)</f>
        <v/>
      </c>
      <c r="CO1144">
        <f>IFERROR(INDEX(PP_Grid[#Data],$DD1144,91),0)</f>
        <v/>
      </c>
      <c r="CP1144">
        <f>IFERROR(INDEX(PP_Grid[#Data],$DD1144,92),0)</f>
        <v/>
      </c>
      <c r="CQ1144">
        <f>IFERROR(INDEX(PP_Grid[#Data],$DD1144,93),0)</f>
        <v/>
      </c>
      <c r="CR1144">
        <f>IFERROR(INDEX(PP_Grid[#Data],$DD1144,94),0)</f>
        <v/>
      </c>
      <c r="CS1144">
        <f>IFERROR(INDEX(PP_Grid[#Data],$DD1144,95),0)</f>
        <v/>
      </c>
      <c r="CT1144">
        <f>IFERROR(INDEX(PP_Grid[#Data],$DD1144,96),0)</f>
        <v/>
      </c>
      <c r="CU1144">
        <f>IFERROR(INDEX(PP_Grid[#Data],$DD1144,97),0)</f>
        <v/>
      </c>
      <c r="CV1144">
        <f>IFERROR(INDEX(PP_Grid[#Data],$DD1144,98),0)</f>
        <v/>
      </c>
      <c r="CW1144">
        <f>IFERROR(INDEX(PP_Grid[#Data],$DD1144,99),0)</f>
        <v/>
      </c>
      <c r="CX1144">
        <f>IFERROR(INDEX(PP_Grid[#Data],$DD1144,100),0)</f>
        <v/>
      </c>
      <c r="CY1144">
        <f>IFERROR(INDEX(PP_Grid[#Data],$DD1144,101),0)</f>
        <v/>
      </c>
      <c r="CZ1144">
        <f>IFERROR(INDEX(PP_Grid[#Data],$DD1144,102),0)</f>
        <v/>
      </c>
      <c r="DA1144">
        <f>IFERROR(INDEX(PP_Grid[#Data],$DD1144,103),0)</f>
        <v/>
      </c>
      <c r="DB1144">
        <f>IFERROR(INDEX(PP_Grid[#Data],$DD1144,104),0)</f>
        <v/>
      </c>
      <c r="DC1144">
        <f>IFERROR(INDEX(PP_Grid[#Data],$DD1144,105),0)</f>
        <v/>
      </c>
      <c r="DD1144" s="7">
        <f>IFERROR(MATCH($B1144,PP_Grid[Intermediate],0),99999)</f>
        <v/>
      </c>
    </row>
    <row r="1145">
      <c r="B1145" t="inlineStr">
        <is>
          <t>使用量(kg)</t>
        </is>
      </c>
      <c r="C1145">
        <f>SUMIFS(M_BOM[RM_Qty_Per_Batch],M_BOM[Intermediate],$B1144,M_BOM[Part Name],$A1131)</f>
        <v/>
      </c>
      <c r="D1145">
        <f>$C1145*D1144</f>
        <v/>
      </c>
      <c r="E1145">
        <f>$C1145*E1144</f>
        <v/>
      </c>
      <c r="F1145">
        <f>$C1145*F1144</f>
        <v/>
      </c>
      <c r="G1145">
        <f>$C1145*G1144</f>
        <v/>
      </c>
      <c r="H1145">
        <f>$C1145*H1144</f>
        <v/>
      </c>
      <c r="I1145">
        <f>$C1145*I1144</f>
        <v/>
      </c>
      <c r="J1145">
        <f>$C1145*J1144</f>
        <v/>
      </c>
      <c r="K1145">
        <f>$C1145*K1144</f>
        <v/>
      </c>
      <c r="L1145">
        <f>$C1145*L1144</f>
        <v/>
      </c>
      <c r="M1145">
        <f>$C1145*M1144</f>
        <v/>
      </c>
      <c r="N1145">
        <f>$C1145*N1144</f>
        <v/>
      </c>
      <c r="O1145">
        <f>$C1145*O1144</f>
        <v/>
      </c>
      <c r="P1145">
        <f>$C1145*P1144</f>
        <v/>
      </c>
      <c r="Q1145">
        <f>$C1145*Q1144</f>
        <v/>
      </c>
      <c r="R1145">
        <f>$C1145*R1144</f>
        <v/>
      </c>
      <c r="S1145">
        <f>$C1145*S1144</f>
        <v/>
      </c>
      <c r="T1145">
        <f>$C1145*T1144</f>
        <v/>
      </c>
      <c r="U1145">
        <f>$C1145*U1144</f>
        <v/>
      </c>
      <c r="V1145">
        <f>$C1145*V1144</f>
        <v/>
      </c>
      <c r="W1145">
        <f>$C1145*W1144</f>
        <v/>
      </c>
      <c r="X1145">
        <f>$C1145*X1144</f>
        <v/>
      </c>
      <c r="Y1145">
        <f>$C1145*Y1144</f>
        <v/>
      </c>
      <c r="Z1145">
        <f>$C1145*Z1144</f>
        <v/>
      </c>
      <c r="AA1145">
        <f>$C1145*AA1144</f>
        <v/>
      </c>
      <c r="AB1145">
        <f>$C1145*AB1144</f>
        <v/>
      </c>
      <c r="AC1145">
        <f>$C1145*AC1144</f>
        <v/>
      </c>
      <c r="AD1145">
        <f>$C1145*AD1144</f>
        <v/>
      </c>
      <c r="AE1145">
        <f>$C1145*AE1144</f>
        <v/>
      </c>
      <c r="AF1145">
        <f>$C1145*AF1144</f>
        <v/>
      </c>
      <c r="AG1145">
        <f>$C1145*AG1144</f>
        <v/>
      </c>
      <c r="AH1145">
        <f>$C1145*AH1144</f>
        <v/>
      </c>
      <c r="AI1145">
        <f>$C1145*AI1144</f>
        <v/>
      </c>
      <c r="AJ1145">
        <f>$C1145*AJ1144</f>
        <v/>
      </c>
      <c r="AK1145">
        <f>$C1145*AK1144</f>
        <v/>
      </c>
      <c r="AL1145">
        <f>$C1145*AL1144</f>
        <v/>
      </c>
      <c r="AM1145">
        <f>$C1145*AM1144</f>
        <v/>
      </c>
      <c r="AN1145">
        <f>$C1145*AN1144</f>
        <v/>
      </c>
      <c r="AO1145">
        <f>$C1145*AO1144</f>
        <v/>
      </c>
      <c r="AP1145">
        <f>$C1145*AP1144</f>
        <v/>
      </c>
      <c r="AQ1145">
        <f>$C1145*AQ1144</f>
        <v/>
      </c>
      <c r="AR1145">
        <f>$C1145*AR1144</f>
        <v/>
      </c>
      <c r="AS1145">
        <f>$C1145*AS1144</f>
        <v/>
      </c>
      <c r="AT1145">
        <f>$C1145*AT1144</f>
        <v/>
      </c>
      <c r="AU1145">
        <f>$C1145*AU1144</f>
        <v/>
      </c>
      <c r="AV1145">
        <f>$C1145*AV1144</f>
        <v/>
      </c>
      <c r="AW1145">
        <f>$C1145*AW1144</f>
        <v/>
      </c>
      <c r="AX1145">
        <f>$C1145*AX1144</f>
        <v/>
      </c>
      <c r="AY1145">
        <f>$C1145*AY1144</f>
        <v/>
      </c>
      <c r="AZ1145">
        <f>$C1145*AZ1144</f>
        <v/>
      </c>
      <c r="BA1145">
        <f>$C1145*BA1144</f>
        <v/>
      </c>
      <c r="BB1145">
        <f>$C1145*BB1144</f>
        <v/>
      </c>
      <c r="BC1145">
        <f>$C1145*BC1144</f>
        <v/>
      </c>
      <c r="BD1145">
        <f>$C1145*BD1144</f>
        <v/>
      </c>
      <c r="BE1145">
        <f>$C1145*BE1144</f>
        <v/>
      </c>
      <c r="BF1145">
        <f>$C1145*BF1144</f>
        <v/>
      </c>
      <c r="BG1145">
        <f>$C1145*BG1144</f>
        <v/>
      </c>
      <c r="BH1145">
        <f>$C1145*BH1144</f>
        <v/>
      </c>
      <c r="BI1145">
        <f>$C1145*BI1144</f>
        <v/>
      </c>
      <c r="BJ1145">
        <f>$C1145*BJ1144</f>
        <v/>
      </c>
      <c r="BK1145">
        <f>$C1145*BK1144</f>
        <v/>
      </c>
      <c r="BL1145">
        <f>$C1145*BL1144</f>
        <v/>
      </c>
      <c r="BM1145">
        <f>$C1145*BM1144</f>
        <v/>
      </c>
      <c r="BN1145">
        <f>$C1145*BN1144</f>
        <v/>
      </c>
      <c r="BO1145">
        <f>$C1145*BO1144</f>
        <v/>
      </c>
      <c r="BP1145">
        <f>$C1145*BP1144</f>
        <v/>
      </c>
      <c r="BQ1145">
        <f>$C1145*BQ1144</f>
        <v/>
      </c>
      <c r="BR1145">
        <f>$C1145*BR1144</f>
        <v/>
      </c>
      <c r="BS1145">
        <f>$C1145*BS1144</f>
        <v/>
      </c>
      <c r="BT1145">
        <f>$C1145*BT1144</f>
        <v/>
      </c>
      <c r="BU1145">
        <f>$C1145*BU1144</f>
        <v/>
      </c>
      <c r="BV1145">
        <f>$C1145*BV1144</f>
        <v/>
      </c>
      <c r="BW1145">
        <f>$C1145*BW1144</f>
        <v/>
      </c>
      <c r="BX1145">
        <f>$C1145*BX1144</f>
        <v/>
      </c>
      <c r="BY1145">
        <f>$C1145*BY1144</f>
        <v/>
      </c>
      <c r="BZ1145">
        <f>$C1145*BZ1144</f>
        <v/>
      </c>
      <c r="CA1145">
        <f>$C1145*CA1144</f>
        <v/>
      </c>
      <c r="CB1145">
        <f>$C1145*CB1144</f>
        <v/>
      </c>
      <c r="CC1145">
        <f>$C1145*CC1144</f>
        <v/>
      </c>
      <c r="CD1145">
        <f>$C1145*CD1144</f>
        <v/>
      </c>
      <c r="CE1145">
        <f>$C1145*CE1144</f>
        <v/>
      </c>
      <c r="CF1145">
        <f>$C1145*CF1144</f>
        <v/>
      </c>
      <c r="CG1145">
        <f>$C1145*CG1144</f>
        <v/>
      </c>
      <c r="CH1145">
        <f>$C1145*CH1144</f>
        <v/>
      </c>
      <c r="CI1145">
        <f>$C1145*CI1144</f>
        <v/>
      </c>
      <c r="CJ1145">
        <f>$C1145*CJ1144</f>
        <v/>
      </c>
      <c r="CK1145">
        <f>$C1145*CK1144</f>
        <v/>
      </c>
      <c r="CL1145">
        <f>$C1145*CL1144</f>
        <v/>
      </c>
      <c r="CM1145">
        <f>$C1145*CM1144</f>
        <v/>
      </c>
      <c r="CN1145">
        <f>$C1145*CN1144</f>
        <v/>
      </c>
      <c r="CO1145">
        <f>$C1145*CO1144</f>
        <v/>
      </c>
      <c r="CP1145">
        <f>$C1145*CP1144</f>
        <v/>
      </c>
      <c r="CQ1145">
        <f>$C1145*CQ1144</f>
        <v/>
      </c>
      <c r="CR1145">
        <f>$C1145*CR1144</f>
        <v/>
      </c>
      <c r="CS1145">
        <f>$C1145*CS1144</f>
        <v/>
      </c>
      <c r="CT1145">
        <f>$C1145*CT1144</f>
        <v/>
      </c>
      <c r="CU1145">
        <f>$C1145*CU1144</f>
        <v/>
      </c>
      <c r="CV1145">
        <f>$C1145*CV1144</f>
        <v/>
      </c>
      <c r="CW1145">
        <f>$C1145*CW1144</f>
        <v/>
      </c>
      <c r="CX1145">
        <f>$C1145*CX1144</f>
        <v/>
      </c>
      <c r="CY1145">
        <f>$C1145*CY1144</f>
        <v/>
      </c>
      <c r="CZ1145">
        <f>$C1145*CZ1144</f>
        <v/>
      </c>
      <c r="DA1145">
        <f>$C1145*DA1144</f>
        <v/>
      </c>
      <c r="DB1145">
        <f>$C1145*DB1144</f>
        <v/>
      </c>
      <c r="DC1145">
        <f>$C1145*DC1144</f>
        <v/>
      </c>
    </row>
    <row r="1146">
      <c r="B1146" t="inlineStr">
        <is>
          <t>TSP-1558</t>
        </is>
      </c>
      <c r="C1146" t="inlineStr">
        <is>
          <t>No. of batches</t>
        </is>
      </c>
      <c r="D1146">
        <f>IFERROR(INDEX(PP_Grid[#Data],$DD1146,2),0)</f>
        <v/>
      </c>
      <c r="E1146">
        <f>IFERROR(INDEX(PP_Grid[#Data],$DD1146,3),0)</f>
        <v/>
      </c>
      <c r="F1146">
        <f>IFERROR(INDEX(PP_Grid[#Data],$DD1146,4),0)</f>
        <v/>
      </c>
      <c r="G1146">
        <f>IFERROR(INDEX(PP_Grid[#Data],$DD1146,5),0)</f>
        <v/>
      </c>
      <c r="H1146">
        <f>IFERROR(INDEX(PP_Grid[#Data],$DD1146,6),0)</f>
        <v/>
      </c>
      <c r="I1146">
        <f>IFERROR(INDEX(PP_Grid[#Data],$DD1146,7),0)</f>
        <v/>
      </c>
      <c r="J1146">
        <f>IFERROR(INDEX(PP_Grid[#Data],$DD1146,8),0)</f>
        <v/>
      </c>
      <c r="K1146">
        <f>IFERROR(INDEX(PP_Grid[#Data],$DD1146,9),0)</f>
        <v/>
      </c>
      <c r="L1146">
        <f>IFERROR(INDEX(PP_Grid[#Data],$DD1146,10),0)</f>
        <v/>
      </c>
      <c r="M1146">
        <f>IFERROR(INDEX(PP_Grid[#Data],$DD1146,11),0)</f>
        <v/>
      </c>
      <c r="N1146">
        <f>IFERROR(INDEX(PP_Grid[#Data],$DD1146,12),0)</f>
        <v/>
      </c>
      <c r="O1146">
        <f>IFERROR(INDEX(PP_Grid[#Data],$DD1146,13),0)</f>
        <v/>
      </c>
      <c r="P1146">
        <f>IFERROR(INDEX(PP_Grid[#Data],$DD1146,14),0)</f>
        <v/>
      </c>
      <c r="Q1146">
        <f>IFERROR(INDEX(PP_Grid[#Data],$DD1146,15),0)</f>
        <v/>
      </c>
      <c r="R1146">
        <f>IFERROR(INDEX(PP_Grid[#Data],$DD1146,16),0)</f>
        <v/>
      </c>
      <c r="S1146">
        <f>IFERROR(INDEX(PP_Grid[#Data],$DD1146,17),0)</f>
        <v/>
      </c>
      <c r="T1146">
        <f>IFERROR(INDEX(PP_Grid[#Data],$DD1146,18),0)</f>
        <v/>
      </c>
      <c r="U1146">
        <f>IFERROR(INDEX(PP_Grid[#Data],$DD1146,19),0)</f>
        <v/>
      </c>
      <c r="V1146">
        <f>IFERROR(INDEX(PP_Grid[#Data],$DD1146,20),0)</f>
        <v/>
      </c>
      <c r="W1146">
        <f>IFERROR(INDEX(PP_Grid[#Data],$DD1146,21),0)</f>
        <v/>
      </c>
      <c r="X1146">
        <f>IFERROR(INDEX(PP_Grid[#Data],$DD1146,22),0)</f>
        <v/>
      </c>
      <c r="Y1146">
        <f>IFERROR(INDEX(PP_Grid[#Data],$DD1146,23),0)</f>
        <v/>
      </c>
      <c r="Z1146">
        <f>IFERROR(INDEX(PP_Grid[#Data],$DD1146,24),0)</f>
        <v/>
      </c>
      <c r="AA1146">
        <f>IFERROR(INDEX(PP_Grid[#Data],$DD1146,25),0)</f>
        <v/>
      </c>
      <c r="AB1146">
        <f>IFERROR(INDEX(PP_Grid[#Data],$DD1146,26),0)</f>
        <v/>
      </c>
      <c r="AC1146">
        <f>IFERROR(INDEX(PP_Grid[#Data],$DD1146,27),0)</f>
        <v/>
      </c>
      <c r="AD1146">
        <f>IFERROR(INDEX(PP_Grid[#Data],$DD1146,28),0)</f>
        <v/>
      </c>
      <c r="AE1146">
        <f>IFERROR(INDEX(PP_Grid[#Data],$DD1146,29),0)</f>
        <v/>
      </c>
      <c r="AF1146">
        <f>IFERROR(INDEX(PP_Grid[#Data],$DD1146,30),0)</f>
        <v/>
      </c>
      <c r="AG1146">
        <f>IFERROR(INDEX(PP_Grid[#Data],$DD1146,31),0)</f>
        <v/>
      </c>
      <c r="AH1146">
        <f>IFERROR(INDEX(PP_Grid[#Data],$DD1146,32),0)</f>
        <v/>
      </c>
      <c r="AI1146">
        <f>IFERROR(INDEX(PP_Grid[#Data],$DD1146,33),0)</f>
        <v/>
      </c>
      <c r="AJ1146">
        <f>IFERROR(INDEX(PP_Grid[#Data],$DD1146,34),0)</f>
        <v/>
      </c>
      <c r="AK1146">
        <f>IFERROR(INDEX(PP_Grid[#Data],$DD1146,35),0)</f>
        <v/>
      </c>
      <c r="AL1146">
        <f>IFERROR(INDEX(PP_Grid[#Data],$DD1146,36),0)</f>
        <v/>
      </c>
      <c r="AM1146">
        <f>IFERROR(INDEX(PP_Grid[#Data],$DD1146,37),0)</f>
        <v/>
      </c>
      <c r="AN1146">
        <f>IFERROR(INDEX(PP_Grid[#Data],$DD1146,38),0)</f>
        <v/>
      </c>
      <c r="AO1146">
        <f>IFERROR(INDEX(PP_Grid[#Data],$DD1146,39),0)</f>
        <v/>
      </c>
      <c r="AP1146">
        <f>IFERROR(INDEX(PP_Grid[#Data],$DD1146,40),0)</f>
        <v/>
      </c>
      <c r="AQ1146">
        <f>IFERROR(INDEX(PP_Grid[#Data],$DD1146,41),0)</f>
        <v/>
      </c>
      <c r="AR1146">
        <f>IFERROR(INDEX(PP_Grid[#Data],$DD1146,42),0)</f>
        <v/>
      </c>
      <c r="AS1146">
        <f>IFERROR(INDEX(PP_Grid[#Data],$DD1146,43),0)</f>
        <v/>
      </c>
      <c r="AT1146">
        <f>IFERROR(INDEX(PP_Grid[#Data],$DD1146,44),0)</f>
        <v/>
      </c>
      <c r="AU1146">
        <f>IFERROR(INDEX(PP_Grid[#Data],$DD1146,45),0)</f>
        <v/>
      </c>
      <c r="AV1146">
        <f>IFERROR(INDEX(PP_Grid[#Data],$DD1146,46),0)</f>
        <v/>
      </c>
      <c r="AW1146">
        <f>IFERROR(INDEX(PP_Grid[#Data],$DD1146,47),0)</f>
        <v/>
      </c>
      <c r="AX1146">
        <f>IFERROR(INDEX(PP_Grid[#Data],$DD1146,48),0)</f>
        <v/>
      </c>
      <c r="AY1146">
        <f>IFERROR(INDEX(PP_Grid[#Data],$DD1146,49),0)</f>
        <v/>
      </c>
      <c r="AZ1146">
        <f>IFERROR(INDEX(PP_Grid[#Data],$DD1146,50),0)</f>
        <v/>
      </c>
      <c r="BA1146">
        <f>IFERROR(INDEX(PP_Grid[#Data],$DD1146,51),0)</f>
        <v/>
      </c>
      <c r="BB1146">
        <f>IFERROR(INDEX(PP_Grid[#Data],$DD1146,52),0)</f>
        <v/>
      </c>
      <c r="BC1146">
        <f>IFERROR(INDEX(PP_Grid[#Data],$DD1146,53),0)</f>
        <v/>
      </c>
      <c r="BD1146">
        <f>IFERROR(INDEX(PP_Grid[#Data],$DD1146,54),0)</f>
        <v/>
      </c>
      <c r="BE1146">
        <f>IFERROR(INDEX(PP_Grid[#Data],$DD1146,55),0)</f>
        <v/>
      </c>
      <c r="BF1146">
        <f>IFERROR(INDEX(PP_Grid[#Data],$DD1146,56),0)</f>
        <v/>
      </c>
      <c r="BG1146">
        <f>IFERROR(INDEX(PP_Grid[#Data],$DD1146,57),0)</f>
        <v/>
      </c>
      <c r="BH1146">
        <f>IFERROR(INDEX(PP_Grid[#Data],$DD1146,58),0)</f>
        <v/>
      </c>
      <c r="BI1146">
        <f>IFERROR(INDEX(PP_Grid[#Data],$DD1146,59),0)</f>
        <v/>
      </c>
      <c r="BJ1146">
        <f>IFERROR(INDEX(PP_Grid[#Data],$DD1146,60),0)</f>
        <v/>
      </c>
      <c r="BK1146">
        <f>IFERROR(INDEX(PP_Grid[#Data],$DD1146,61),0)</f>
        <v/>
      </c>
      <c r="BL1146">
        <f>IFERROR(INDEX(PP_Grid[#Data],$DD1146,62),0)</f>
        <v/>
      </c>
      <c r="BM1146">
        <f>IFERROR(INDEX(PP_Grid[#Data],$DD1146,63),0)</f>
        <v/>
      </c>
      <c r="BN1146">
        <f>IFERROR(INDEX(PP_Grid[#Data],$DD1146,64),0)</f>
        <v/>
      </c>
      <c r="BO1146">
        <f>IFERROR(INDEX(PP_Grid[#Data],$DD1146,65),0)</f>
        <v/>
      </c>
      <c r="BP1146">
        <f>IFERROR(INDEX(PP_Grid[#Data],$DD1146,66),0)</f>
        <v/>
      </c>
      <c r="BQ1146">
        <f>IFERROR(INDEX(PP_Grid[#Data],$DD1146,67),0)</f>
        <v/>
      </c>
      <c r="BR1146">
        <f>IFERROR(INDEX(PP_Grid[#Data],$DD1146,68),0)</f>
        <v/>
      </c>
      <c r="BS1146">
        <f>IFERROR(INDEX(PP_Grid[#Data],$DD1146,69),0)</f>
        <v/>
      </c>
      <c r="BT1146">
        <f>IFERROR(INDEX(PP_Grid[#Data],$DD1146,70),0)</f>
        <v/>
      </c>
      <c r="BU1146">
        <f>IFERROR(INDEX(PP_Grid[#Data],$DD1146,71),0)</f>
        <v/>
      </c>
      <c r="BV1146">
        <f>IFERROR(INDEX(PP_Grid[#Data],$DD1146,72),0)</f>
        <v/>
      </c>
      <c r="BW1146">
        <f>IFERROR(INDEX(PP_Grid[#Data],$DD1146,73),0)</f>
        <v/>
      </c>
      <c r="BX1146">
        <f>IFERROR(INDEX(PP_Grid[#Data],$DD1146,74),0)</f>
        <v/>
      </c>
      <c r="BY1146">
        <f>IFERROR(INDEX(PP_Grid[#Data],$DD1146,75),0)</f>
        <v/>
      </c>
      <c r="BZ1146">
        <f>IFERROR(INDEX(PP_Grid[#Data],$DD1146,76),0)</f>
        <v/>
      </c>
      <c r="CA1146">
        <f>IFERROR(INDEX(PP_Grid[#Data],$DD1146,77),0)</f>
        <v/>
      </c>
      <c r="CB1146">
        <f>IFERROR(INDEX(PP_Grid[#Data],$DD1146,78),0)</f>
        <v/>
      </c>
      <c r="CC1146">
        <f>IFERROR(INDEX(PP_Grid[#Data],$DD1146,79),0)</f>
        <v/>
      </c>
      <c r="CD1146">
        <f>IFERROR(INDEX(PP_Grid[#Data],$DD1146,80),0)</f>
        <v/>
      </c>
      <c r="CE1146">
        <f>IFERROR(INDEX(PP_Grid[#Data],$DD1146,81),0)</f>
        <v/>
      </c>
      <c r="CF1146">
        <f>IFERROR(INDEX(PP_Grid[#Data],$DD1146,82),0)</f>
        <v/>
      </c>
      <c r="CG1146">
        <f>IFERROR(INDEX(PP_Grid[#Data],$DD1146,83),0)</f>
        <v/>
      </c>
      <c r="CH1146">
        <f>IFERROR(INDEX(PP_Grid[#Data],$DD1146,84),0)</f>
        <v/>
      </c>
      <c r="CI1146">
        <f>IFERROR(INDEX(PP_Grid[#Data],$DD1146,85),0)</f>
        <v/>
      </c>
      <c r="CJ1146">
        <f>IFERROR(INDEX(PP_Grid[#Data],$DD1146,86),0)</f>
        <v/>
      </c>
      <c r="CK1146">
        <f>IFERROR(INDEX(PP_Grid[#Data],$DD1146,87),0)</f>
        <v/>
      </c>
      <c r="CL1146">
        <f>IFERROR(INDEX(PP_Grid[#Data],$DD1146,88),0)</f>
        <v/>
      </c>
      <c r="CM1146">
        <f>IFERROR(INDEX(PP_Grid[#Data],$DD1146,89),0)</f>
        <v/>
      </c>
      <c r="CN1146">
        <f>IFERROR(INDEX(PP_Grid[#Data],$DD1146,90),0)</f>
        <v/>
      </c>
      <c r="CO1146">
        <f>IFERROR(INDEX(PP_Grid[#Data],$DD1146,91),0)</f>
        <v/>
      </c>
      <c r="CP1146">
        <f>IFERROR(INDEX(PP_Grid[#Data],$DD1146,92),0)</f>
        <v/>
      </c>
      <c r="CQ1146">
        <f>IFERROR(INDEX(PP_Grid[#Data],$DD1146,93),0)</f>
        <v/>
      </c>
      <c r="CR1146">
        <f>IFERROR(INDEX(PP_Grid[#Data],$DD1146,94),0)</f>
        <v/>
      </c>
      <c r="CS1146">
        <f>IFERROR(INDEX(PP_Grid[#Data],$DD1146,95),0)</f>
        <v/>
      </c>
      <c r="CT1146">
        <f>IFERROR(INDEX(PP_Grid[#Data],$DD1146,96),0)</f>
        <v/>
      </c>
      <c r="CU1146">
        <f>IFERROR(INDEX(PP_Grid[#Data],$DD1146,97),0)</f>
        <v/>
      </c>
      <c r="CV1146">
        <f>IFERROR(INDEX(PP_Grid[#Data],$DD1146,98),0)</f>
        <v/>
      </c>
      <c r="CW1146">
        <f>IFERROR(INDEX(PP_Grid[#Data],$DD1146,99),0)</f>
        <v/>
      </c>
      <c r="CX1146">
        <f>IFERROR(INDEX(PP_Grid[#Data],$DD1146,100),0)</f>
        <v/>
      </c>
      <c r="CY1146">
        <f>IFERROR(INDEX(PP_Grid[#Data],$DD1146,101),0)</f>
        <v/>
      </c>
      <c r="CZ1146">
        <f>IFERROR(INDEX(PP_Grid[#Data],$DD1146,102),0)</f>
        <v/>
      </c>
      <c r="DA1146">
        <f>IFERROR(INDEX(PP_Grid[#Data],$DD1146,103),0)</f>
        <v/>
      </c>
      <c r="DB1146">
        <f>IFERROR(INDEX(PP_Grid[#Data],$DD1146,104),0)</f>
        <v/>
      </c>
      <c r="DC1146">
        <f>IFERROR(INDEX(PP_Grid[#Data],$DD1146,105),0)</f>
        <v/>
      </c>
      <c r="DD1146" s="7">
        <f>IFERROR(MATCH($B1146,PP_Grid[Intermediate],0),99999)</f>
        <v/>
      </c>
    </row>
    <row r="1147">
      <c r="B1147" t="inlineStr">
        <is>
          <t>使用量(kg)</t>
        </is>
      </c>
      <c r="C1147">
        <f>SUMIFS(M_BOM[RM_Qty_Per_Batch],M_BOM[Intermediate],$B1146,M_BOM[Part Name],$A1131)</f>
        <v/>
      </c>
      <c r="D1147">
        <f>$C1147*D1146</f>
        <v/>
      </c>
      <c r="E1147">
        <f>$C1147*E1146</f>
        <v/>
      </c>
      <c r="F1147">
        <f>$C1147*F1146</f>
        <v/>
      </c>
      <c r="G1147">
        <f>$C1147*G1146</f>
        <v/>
      </c>
      <c r="H1147">
        <f>$C1147*H1146</f>
        <v/>
      </c>
      <c r="I1147">
        <f>$C1147*I1146</f>
        <v/>
      </c>
      <c r="J1147">
        <f>$C1147*J1146</f>
        <v/>
      </c>
      <c r="K1147">
        <f>$C1147*K1146</f>
        <v/>
      </c>
      <c r="L1147">
        <f>$C1147*L1146</f>
        <v/>
      </c>
      <c r="M1147">
        <f>$C1147*M1146</f>
        <v/>
      </c>
      <c r="N1147">
        <f>$C1147*N1146</f>
        <v/>
      </c>
      <c r="O1147">
        <f>$C1147*O1146</f>
        <v/>
      </c>
      <c r="P1147">
        <f>$C1147*P1146</f>
        <v/>
      </c>
      <c r="Q1147">
        <f>$C1147*Q1146</f>
        <v/>
      </c>
      <c r="R1147">
        <f>$C1147*R1146</f>
        <v/>
      </c>
      <c r="S1147">
        <f>$C1147*S1146</f>
        <v/>
      </c>
      <c r="T1147">
        <f>$C1147*T1146</f>
        <v/>
      </c>
      <c r="U1147">
        <f>$C1147*U1146</f>
        <v/>
      </c>
      <c r="V1147">
        <f>$C1147*V1146</f>
        <v/>
      </c>
      <c r="W1147">
        <f>$C1147*W1146</f>
        <v/>
      </c>
      <c r="X1147">
        <f>$C1147*X1146</f>
        <v/>
      </c>
      <c r="Y1147">
        <f>$C1147*Y1146</f>
        <v/>
      </c>
      <c r="Z1147">
        <f>$C1147*Z1146</f>
        <v/>
      </c>
      <c r="AA1147">
        <f>$C1147*AA1146</f>
        <v/>
      </c>
      <c r="AB1147">
        <f>$C1147*AB1146</f>
        <v/>
      </c>
      <c r="AC1147">
        <f>$C1147*AC1146</f>
        <v/>
      </c>
      <c r="AD1147">
        <f>$C1147*AD1146</f>
        <v/>
      </c>
      <c r="AE1147">
        <f>$C1147*AE1146</f>
        <v/>
      </c>
      <c r="AF1147">
        <f>$C1147*AF1146</f>
        <v/>
      </c>
      <c r="AG1147">
        <f>$C1147*AG1146</f>
        <v/>
      </c>
      <c r="AH1147">
        <f>$C1147*AH1146</f>
        <v/>
      </c>
      <c r="AI1147">
        <f>$C1147*AI1146</f>
        <v/>
      </c>
      <c r="AJ1147">
        <f>$C1147*AJ1146</f>
        <v/>
      </c>
      <c r="AK1147">
        <f>$C1147*AK1146</f>
        <v/>
      </c>
      <c r="AL1147">
        <f>$C1147*AL1146</f>
        <v/>
      </c>
      <c r="AM1147">
        <f>$C1147*AM1146</f>
        <v/>
      </c>
      <c r="AN1147">
        <f>$C1147*AN1146</f>
        <v/>
      </c>
      <c r="AO1147">
        <f>$C1147*AO1146</f>
        <v/>
      </c>
      <c r="AP1147">
        <f>$C1147*AP1146</f>
        <v/>
      </c>
      <c r="AQ1147">
        <f>$C1147*AQ1146</f>
        <v/>
      </c>
      <c r="AR1147">
        <f>$C1147*AR1146</f>
        <v/>
      </c>
      <c r="AS1147">
        <f>$C1147*AS1146</f>
        <v/>
      </c>
      <c r="AT1147">
        <f>$C1147*AT1146</f>
        <v/>
      </c>
      <c r="AU1147">
        <f>$C1147*AU1146</f>
        <v/>
      </c>
      <c r="AV1147">
        <f>$C1147*AV1146</f>
        <v/>
      </c>
      <c r="AW1147">
        <f>$C1147*AW1146</f>
        <v/>
      </c>
      <c r="AX1147">
        <f>$C1147*AX1146</f>
        <v/>
      </c>
      <c r="AY1147">
        <f>$C1147*AY1146</f>
        <v/>
      </c>
      <c r="AZ1147">
        <f>$C1147*AZ1146</f>
        <v/>
      </c>
      <c r="BA1147">
        <f>$C1147*BA1146</f>
        <v/>
      </c>
      <c r="BB1147">
        <f>$C1147*BB1146</f>
        <v/>
      </c>
      <c r="BC1147">
        <f>$C1147*BC1146</f>
        <v/>
      </c>
      <c r="BD1147">
        <f>$C1147*BD1146</f>
        <v/>
      </c>
      <c r="BE1147">
        <f>$C1147*BE1146</f>
        <v/>
      </c>
      <c r="BF1147">
        <f>$C1147*BF1146</f>
        <v/>
      </c>
      <c r="BG1147">
        <f>$C1147*BG1146</f>
        <v/>
      </c>
      <c r="BH1147">
        <f>$C1147*BH1146</f>
        <v/>
      </c>
      <c r="BI1147">
        <f>$C1147*BI1146</f>
        <v/>
      </c>
      <c r="BJ1147">
        <f>$C1147*BJ1146</f>
        <v/>
      </c>
      <c r="BK1147">
        <f>$C1147*BK1146</f>
        <v/>
      </c>
      <c r="BL1147">
        <f>$C1147*BL1146</f>
        <v/>
      </c>
      <c r="BM1147">
        <f>$C1147*BM1146</f>
        <v/>
      </c>
      <c r="BN1147">
        <f>$C1147*BN1146</f>
        <v/>
      </c>
      <c r="BO1147">
        <f>$C1147*BO1146</f>
        <v/>
      </c>
      <c r="BP1147">
        <f>$C1147*BP1146</f>
        <v/>
      </c>
      <c r="BQ1147">
        <f>$C1147*BQ1146</f>
        <v/>
      </c>
      <c r="BR1147">
        <f>$C1147*BR1146</f>
        <v/>
      </c>
      <c r="BS1147">
        <f>$C1147*BS1146</f>
        <v/>
      </c>
      <c r="BT1147">
        <f>$C1147*BT1146</f>
        <v/>
      </c>
      <c r="BU1147">
        <f>$C1147*BU1146</f>
        <v/>
      </c>
      <c r="BV1147">
        <f>$C1147*BV1146</f>
        <v/>
      </c>
      <c r="BW1147">
        <f>$C1147*BW1146</f>
        <v/>
      </c>
      <c r="BX1147">
        <f>$C1147*BX1146</f>
        <v/>
      </c>
      <c r="BY1147">
        <f>$C1147*BY1146</f>
        <v/>
      </c>
      <c r="BZ1147">
        <f>$C1147*BZ1146</f>
        <v/>
      </c>
      <c r="CA1147">
        <f>$C1147*CA1146</f>
        <v/>
      </c>
      <c r="CB1147">
        <f>$C1147*CB1146</f>
        <v/>
      </c>
      <c r="CC1147">
        <f>$C1147*CC1146</f>
        <v/>
      </c>
      <c r="CD1147">
        <f>$C1147*CD1146</f>
        <v/>
      </c>
      <c r="CE1147">
        <f>$C1147*CE1146</f>
        <v/>
      </c>
      <c r="CF1147">
        <f>$C1147*CF1146</f>
        <v/>
      </c>
      <c r="CG1147">
        <f>$C1147*CG1146</f>
        <v/>
      </c>
      <c r="CH1147">
        <f>$C1147*CH1146</f>
        <v/>
      </c>
      <c r="CI1147">
        <f>$C1147*CI1146</f>
        <v/>
      </c>
      <c r="CJ1147">
        <f>$C1147*CJ1146</f>
        <v/>
      </c>
      <c r="CK1147">
        <f>$C1147*CK1146</f>
        <v/>
      </c>
      <c r="CL1147">
        <f>$C1147*CL1146</f>
        <v/>
      </c>
      <c r="CM1147">
        <f>$C1147*CM1146</f>
        <v/>
      </c>
      <c r="CN1147">
        <f>$C1147*CN1146</f>
        <v/>
      </c>
      <c r="CO1147">
        <f>$C1147*CO1146</f>
        <v/>
      </c>
      <c r="CP1147">
        <f>$C1147*CP1146</f>
        <v/>
      </c>
      <c r="CQ1147">
        <f>$C1147*CQ1146</f>
        <v/>
      </c>
      <c r="CR1147">
        <f>$C1147*CR1146</f>
        <v/>
      </c>
      <c r="CS1147">
        <f>$C1147*CS1146</f>
        <v/>
      </c>
      <c r="CT1147">
        <f>$C1147*CT1146</f>
        <v/>
      </c>
      <c r="CU1147">
        <f>$C1147*CU1146</f>
        <v/>
      </c>
      <c r="CV1147">
        <f>$C1147*CV1146</f>
        <v/>
      </c>
      <c r="CW1147">
        <f>$C1147*CW1146</f>
        <v/>
      </c>
      <c r="CX1147">
        <f>$C1147*CX1146</f>
        <v/>
      </c>
      <c r="CY1147">
        <f>$C1147*CY1146</f>
        <v/>
      </c>
      <c r="CZ1147">
        <f>$C1147*CZ1146</f>
        <v/>
      </c>
      <c r="DA1147">
        <f>$C1147*DA1146</f>
        <v/>
      </c>
      <c r="DB1147">
        <f>$C1147*DB1146</f>
        <v/>
      </c>
      <c r="DC1147">
        <f>$C1147*DC1146</f>
        <v/>
      </c>
    </row>
    <row r="1148">
      <c r="B1148" t="inlineStr">
        <is>
          <t>TSP-655</t>
        </is>
      </c>
      <c r="C1148" t="inlineStr">
        <is>
          <t>No. of batches</t>
        </is>
      </c>
      <c r="D1148">
        <f>IFERROR(INDEX(PP_Grid[#Data],$DD1148,2),0)</f>
        <v/>
      </c>
      <c r="E1148">
        <f>IFERROR(INDEX(PP_Grid[#Data],$DD1148,3),0)</f>
        <v/>
      </c>
      <c r="F1148">
        <f>IFERROR(INDEX(PP_Grid[#Data],$DD1148,4),0)</f>
        <v/>
      </c>
      <c r="G1148">
        <f>IFERROR(INDEX(PP_Grid[#Data],$DD1148,5),0)</f>
        <v/>
      </c>
      <c r="H1148">
        <f>IFERROR(INDEX(PP_Grid[#Data],$DD1148,6),0)</f>
        <v/>
      </c>
      <c r="I1148">
        <f>IFERROR(INDEX(PP_Grid[#Data],$DD1148,7),0)</f>
        <v/>
      </c>
      <c r="J1148">
        <f>IFERROR(INDEX(PP_Grid[#Data],$DD1148,8),0)</f>
        <v/>
      </c>
      <c r="K1148">
        <f>IFERROR(INDEX(PP_Grid[#Data],$DD1148,9),0)</f>
        <v/>
      </c>
      <c r="L1148">
        <f>IFERROR(INDEX(PP_Grid[#Data],$DD1148,10),0)</f>
        <v/>
      </c>
      <c r="M1148">
        <f>IFERROR(INDEX(PP_Grid[#Data],$DD1148,11),0)</f>
        <v/>
      </c>
      <c r="N1148">
        <f>IFERROR(INDEX(PP_Grid[#Data],$DD1148,12),0)</f>
        <v/>
      </c>
      <c r="O1148">
        <f>IFERROR(INDEX(PP_Grid[#Data],$DD1148,13),0)</f>
        <v/>
      </c>
      <c r="P1148">
        <f>IFERROR(INDEX(PP_Grid[#Data],$DD1148,14),0)</f>
        <v/>
      </c>
      <c r="Q1148">
        <f>IFERROR(INDEX(PP_Grid[#Data],$DD1148,15),0)</f>
        <v/>
      </c>
      <c r="R1148">
        <f>IFERROR(INDEX(PP_Grid[#Data],$DD1148,16),0)</f>
        <v/>
      </c>
      <c r="S1148">
        <f>IFERROR(INDEX(PP_Grid[#Data],$DD1148,17),0)</f>
        <v/>
      </c>
      <c r="T1148">
        <f>IFERROR(INDEX(PP_Grid[#Data],$DD1148,18),0)</f>
        <v/>
      </c>
      <c r="U1148">
        <f>IFERROR(INDEX(PP_Grid[#Data],$DD1148,19),0)</f>
        <v/>
      </c>
      <c r="V1148">
        <f>IFERROR(INDEX(PP_Grid[#Data],$DD1148,20),0)</f>
        <v/>
      </c>
      <c r="W1148">
        <f>IFERROR(INDEX(PP_Grid[#Data],$DD1148,21),0)</f>
        <v/>
      </c>
      <c r="X1148">
        <f>IFERROR(INDEX(PP_Grid[#Data],$DD1148,22),0)</f>
        <v/>
      </c>
      <c r="Y1148">
        <f>IFERROR(INDEX(PP_Grid[#Data],$DD1148,23),0)</f>
        <v/>
      </c>
      <c r="Z1148">
        <f>IFERROR(INDEX(PP_Grid[#Data],$DD1148,24),0)</f>
        <v/>
      </c>
      <c r="AA1148">
        <f>IFERROR(INDEX(PP_Grid[#Data],$DD1148,25),0)</f>
        <v/>
      </c>
      <c r="AB1148">
        <f>IFERROR(INDEX(PP_Grid[#Data],$DD1148,26),0)</f>
        <v/>
      </c>
      <c r="AC1148">
        <f>IFERROR(INDEX(PP_Grid[#Data],$DD1148,27),0)</f>
        <v/>
      </c>
      <c r="AD1148">
        <f>IFERROR(INDEX(PP_Grid[#Data],$DD1148,28),0)</f>
        <v/>
      </c>
      <c r="AE1148">
        <f>IFERROR(INDEX(PP_Grid[#Data],$DD1148,29),0)</f>
        <v/>
      </c>
      <c r="AF1148">
        <f>IFERROR(INDEX(PP_Grid[#Data],$DD1148,30),0)</f>
        <v/>
      </c>
      <c r="AG1148">
        <f>IFERROR(INDEX(PP_Grid[#Data],$DD1148,31),0)</f>
        <v/>
      </c>
      <c r="AH1148">
        <f>IFERROR(INDEX(PP_Grid[#Data],$DD1148,32),0)</f>
        <v/>
      </c>
      <c r="AI1148">
        <f>IFERROR(INDEX(PP_Grid[#Data],$DD1148,33),0)</f>
        <v/>
      </c>
      <c r="AJ1148">
        <f>IFERROR(INDEX(PP_Grid[#Data],$DD1148,34),0)</f>
        <v/>
      </c>
      <c r="AK1148">
        <f>IFERROR(INDEX(PP_Grid[#Data],$DD1148,35),0)</f>
        <v/>
      </c>
      <c r="AL1148">
        <f>IFERROR(INDEX(PP_Grid[#Data],$DD1148,36),0)</f>
        <v/>
      </c>
      <c r="AM1148">
        <f>IFERROR(INDEX(PP_Grid[#Data],$DD1148,37),0)</f>
        <v/>
      </c>
      <c r="AN1148">
        <f>IFERROR(INDEX(PP_Grid[#Data],$DD1148,38),0)</f>
        <v/>
      </c>
      <c r="AO1148">
        <f>IFERROR(INDEX(PP_Grid[#Data],$DD1148,39),0)</f>
        <v/>
      </c>
      <c r="AP1148">
        <f>IFERROR(INDEX(PP_Grid[#Data],$DD1148,40),0)</f>
        <v/>
      </c>
      <c r="AQ1148">
        <f>IFERROR(INDEX(PP_Grid[#Data],$DD1148,41),0)</f>
        <v/>
      </c>
      <c r="AR1148">
        <f>IFERROR(INDEX(PP_Grid[#Data],$DD1148,42),0)</f>
        <v/>
      </c>
      <c r="AS1148">
        <f>IFERROR(INDEX(PP_Grid[#Data],$DD1148,43),0)</f>
        <v/>
      </c>
      <c r="AT1148">
        <f>IFERROR(INDEX(PP_Grid[#Data],$DD1148,44),0)</f>
        <v/>
      </c>
      <c r="AU1148">
        <f>IFERROR(INDEX(PP_Grid[#Data],$DD1148,45),0)</f>
        <v/>
      </c>
      <c r="AV1148">
        <f>IFERROR(INDEX(PP_Grid[#Data],$DD1148,46),0)</f>
        <v/>
      </c>
      <c r="AW1148">
        <f>IFERROR(INDEX(PP_Grid[#Data],$DD1148,47),0)</f>
        <v/>
      </c>
      <c r="AX1148">
        <f>IFERROR(INDEX(PP_Grid[#Data],$DD1148,48),0)</f>
        <v/>
      </c>
      <c r="AY1148">
        <f>IFERROR(INDEX(PP_Grid[#Data],$DD1148,49),0)</f>
        <v/>
      </c>
      <c r="AZ1148">
        <f>IFERROR(INDEX(PP_Grid[#Data],$DD1148,50),0)</f>
        <v/>
      </c>
      <c r="BA1148">
        <f>IFERROR(INDEX(PP_Grid[#Data],$DD1148,51),0)</f>
        <v/>
      </c>
      <c r="BB1148">
        <f>IFERROR(INDEX(PP_Grid[#Data],$DD1148,52),0)</f>
        <v/>
      </c>
      <c r="BC1148">
        <f>IFERROR(INDEX(PP_Grid[#Data],$DD1148,53),0)</f>
        <v/>
      </c>
      <c r="BD1148">
        <f>IFERROR(INDEX(PP_Grid[#Data],$DD1148,54),0)</f>
        <v/>
      </c>
      <c r="BE1148">
        <f>IFERROR(INDEX(PP_Grid[#Data],$DD1148,55),0)</f>
        <v/>
      </c>
      <c r="BF1148">
        <f>IFERROR(INDEX(PP_Grid[#Data],$DD1148,56),0)</f>
        <v/>
      </c>
      <c r="BG1148">
        <f>IFERROR(INDEX(PP_Grid[#Data],$DD1148,57),0)</f>
        <v/>
      </c>
      <c r="BH1148">
        <f>IFERROR(INDEX(PP_Grid[#Data],$DD1148,58),0)</f>
        <v/>
      </c>
      <c r="BI1148">
        <f>IFERROR(INDEX(PP_Grid[#Data],$DD1148,59),0)</f>
        <v/>
      </c>
      <c r="BJ1148">
        <f>IFERROR(INDEX(PP_Grid[#Data],$DD1148,60),0)</f>
        <v/>
      </c>
      <c r="BK1148">
        <f>IFERROR(INDEX(PP_Grid[#Data],$DD1148,61),0)</f>
        <v/>
      </c>
      <c r="BL1148">
        <f>IFERROR(INDEX(PP_Grid[#Data],$DD1148,62),0)</f>
        <v/>
      </c>
      <c r="BM1148">
        <f>IFERROR(INDEX(PP_Grid[#Data],$DD1148,63),0)</f>
        <v/>
      </c>
      <c r="BN1148">
        <f>IFERROR(INDEX(PP_Grid[#Data],$DD1148,64),0)</f>
        <v/>
      </c>
      <c r="BO1148">
        <f>IFERROR(INDEX(PP_Grid[#Data],$DD1148,65),0)</f>
        <v/>
      </c>
      <c r="BP1148">
        <f>IFERROR(INDEX(PP_Grid[#Data],$DD1148,66),0)</f>
        <v/>
      </c>
      <c r="BQ1148">
        <f>IFERROR(INDEX(PP_Grid[#Data],$DD1148,67),0)</f>
        <v/>
      </c>
      <c r="BR1148">
        <f>IFERROR(INDEX(PP_Grid[#Data],$DD1148,68),0)</f>
        <v/>
      </c>
      <c r="BS1148">
        <f>IFERROR(INDEX(PP_Grid[#Data],$DD1148,69),0)</f>
        <v/>
      </c>
      <c r="BT1148">
        <f>IFERROR(INDEX(PP_Grid[#Data],$DD1148,70),0)</f>
        <v/>
      </c>
      <c r="BU1148">
        <f>IFERROR(INDEX(PP_Grid[#Data],$DD1148,71),0)</f>
        <v/>
      </c>
      <c r="BV1148">
        <f>IFERROR(INDEX(PP_Grid[#Data],$DD1148,72),0)</f>
        <v/>
      </c>
      <c r="BW1148">
        <f>IFERROR(INDEX(PP_Grid[#Data],$DD1148,73),0)</f>
        <v/>
      </c>
      <c r="BX1148">
        <f>IFERROR(INDEX(PP_Grid[#Data],$DD1148,74),0)</f>
        <v/>
      </c>
      <c r="BY1148">
        <f>IFERROR(INDEX(PP_Grid[#Data],$DD1148,75),0)</f>
        <v/>
      </c>
      <c r="BZ1148">
        <f>IFERROR(INDEX(PP_Grid[#Data],$DD1148,76),0)</f>
        <v/>
      </c>
      <c r="CA1148">
        <f>IFERROR(INDEX(PP_Grid[#Data],$DD1148,77),0)</f>
        <v/>
      </c>
      <c r="CB1148">
        <f>IFERROR(INDEX(PP_Grid[#Data],$DD1148,78),0)</f>
        <v/>
      </c>
      <c r="CC1148">
        <f>IFERROR(INDEX(PP_Grid[#Data],$DD1148,79),0)</f>
        <v/>
      </c>
      <c r="CD1148">
        <f>IFERROR(INDEX(PP_Grid[#Data],$DD1148,80),0)</f>
        <v/>
      </c>
      <c r="CE1148">
        <f>IFERROR(INDEX(PP_Grid[#Data],$DD1148,81),0)</f>
        <v/>
      </c>
      <c r="CF1148">
        <f>IFERROR(INDEX(PP_Grid[#Data],$DD1148,82),0)</f>
        <v/>
      </c>
      <c r="CG1148">
        <f>IFERROR(INDEX(PP_Grid[#Data],$DD1148,83),0)</f>
        <v/>
      </c>
      <c r="CH1148">
        <f>IFERROR(INDEX(PP_Grid[#Data],$DD1148,84),0)</f>
        <v/>
      </c>
      <c r="CI1148">
        <f>IFERROR(INDEX(PP_Grid[#Data],$DD1148,85),0)</f>
        <v/>
      </c>
      <c r="CJ1148">
        <f>IFERROR(INDEX(PP_Grid[#Data],$DD1148,86),0)</f>
        <v/>
      </c>
      <c r="CK1148">
        <f>IFERROR(INDEX(PP_Grid[#Data],$DD1148,87),0)</f>
        <v/>
      </c>
      <c r="CL1148">
        <f>IFERROR(INDEX(PP_Grid[#Data],$DD1148,88),0)</f>
        <v/>
      </c>
      <c r="CM1148">
        <f>IFERROR(INDEX(PP_Grid[#Data],$DD1148,89),0)</f>
        <v/>
      </c>
      <c r="CN1148">
        <f>IFERROR(INDEX(PP_Grid[#Data],$DD1148,90),0)</f>
        <v/>
      </c>
      <c r="CO1148">
        <f>IFERROR(INDEX(PP_Grid[#Data],$DD1148,91),0)</f>
        <v/>
      </c>
      <c r="CP1148">
        <f>IFERROR(INDEX(PP_Grid[#Data],$DD1148,92),0)</f>
        <v/>
      </c>
      <c r="CQ1148">
        <f>IFERROR(INDEX(PP_Grid[#Data],$DD1148,93),0)</f>
        <v/>
      </c>
      <c r="CR1148">
        <f>IFERROR(INDEX(PP_Grid[#Data],$DD1148,94),0)</f>
        <v/>
      </c>
      <c r="CS1148">
        <f>IFERROR(INDEX(PP_Grid[#Data],$DD1148,95),0)</f>
        <v/>
      </c>
      <c r="CT1148">
        <f>IFERROR(INDEX(PP_Grid[#Data],$DD1148,96),0)</f>
        <v/>
      </c>
      <c r="CU1148">
        <f>IFERROR(INDEX(PP_Grid[#Data],$DD1148,97),0)</f>
        <v/>
      </c>
      <c r="CV1148">
        <f>IFERROR(INDEX(PP_Grid[#Data],$DD1148,98),0)</f>
        <v/>
      </c>
      <c r="CW1148">
        <f>IFERROR(INDEX(PP_Grid[#Data],$DD1148,99),0)</f>
        <v/>
      </c>
      <c r="CX1148">
        <f>IFERROR(INDEX(PP_Grid[#Data],$DD1148,100),0)</f>
        <v/>
      </c>
      <c r="CY1148">
        <f>IFERROR(INDEX(PP_Grid[#Data],$DD1148,101),0)</f>
        <v/>
      </c>
      <c r="CZ1148">
        <f>IFERROR(INDEX(PP_Grid[#Data],$DD1148,102),0)</f>
        <v/>
      </c>
      <c r="DA1148">
        <f>IFERROR(INDEX(PP_Grid[#Data],$DD1148,103),0)</f>
        <v/>
      </c>
      <c r="DB1148">
        <f>IFERROR(INDEX(PP_Grid[#Data],$DD1148,104),0)</f>
        <v/>
      </c>
      <c r="DC1148">
        <f>IFERROR(INDEX(PP_Grid[#Data],$DD1148,105),0)</f>
        <v/>
      </c>
      <c r="DD1148" s="7">
        <f>IFERROR(MATCH($B1148,PP_Grid[Intermediate],0),99999)</f>
        <v/>
      </c>
    </row>
    <row r="1149">
      <c r="B1149" t="inlineStr">
        <is>
          <t>使用量(kg)</t>
        </is>
      </c>
      <c r="C1149">
        <f>SUMIFS(M_BOM[RM_Qty_Per_Batch],M_BOM[Intermediate],$B1148,M_BOM[Part Name],$A1131)</f>
        <v/>
      </c>
      <c r="D1149">
        <f>$C1149*D1148</f>
        <v/>
      </c>
      <c r="E1149">
        <f>$C1149*E1148</f>
        <v/>
      </c>
      <c r="F1149">
        <f>$C1149*F1148</f>
        <v/>
      </c>
      <c r="G1149">
        <f>$C1149*G1148</f>
        <v/>
      </c>
      <c r="H1149">
        <f>$C1149*H1148</f>
        <v/>
      </c>
      <c r="I1149">
        <f>$C1149*I1148</f>
        <v/>
      </c>
      <c r="J1149">
        <f>$C1149*J1148</f>
        <v/>
      </c>
      <c r="K1149">
        <f>$C1149*K1148</f>
        <v/>
      </c>
      <c r="L1149">
        <f>$C1149*L1148</f>
        <v/>
      </c>
      <c r="M1149">
        <f>$C1149*M1148</f>
        <v/>
      </c>
      <c r="N1149">
        <f>$C1149*N1148</f>
        <v/>
      </c>
      <c r="O1149">
        <f>$C1149*O1148</f>
        <v/>
      </c>
      <c r="P1149">
        <f>$C1149*P1148</f>
        <v/>
      </c>
      <c r="Q1149">
        <f>$C1149*Q1148</f>
        <v/>
      </c>
      <c r="R1149">
        <f>$C1149*R1148</f>
        <v/>
      </c>
      <c r="S1149">
        <f>$C1149*S1148</f>
        <v/>
      </c>
      <c r="T1149">
        <f>$C1149*T1148</f>
        <v/>
      </c>
      <c r="U1149">
        <f>$C1149*U1148</f>
        <v/>
      </c>
      <c r="V1149">
        <f>$C1149*V1148</f>
        <v/>
      </c>
      <c r="W1149">
        <f>$C1149*W1148</f>
        <v/>
      </c>
      <c r="X1149">
        <f>$C1149*X1148</f>
        <v/>
      </c>
      <c r="Y1149">
        <f>$C1149*Y1148</f>
        <v/>
      </c>
      <c r="Z1149">
        <f>$C1149*Z1148</f>
        <v/>
      </c>
      <c r="AA1149">
        <f>$C1149*AA1148</f>
        <v/>
      </c>
      <c r="AB1149">
        <f>$C1149*AB1148</f>
        <v/>
      </c>
      <c r="AC1149">
        <f>$C1149*AC1148</f>
        <v/>
      </c>
      <c r="AD1149">
        <f>$C1149*AD1148</f>
        <v/>
      </c>
      <c r="AE1149">
        <f>$C1149*AE1148</f>
        <v/>
      </c>
      <c r="AF1149">
        <f>$C1149*AF1148</f>
        <v/>
      </c>
      <c r="AG1149">
        <f>$C1149*AG1148</f>
        <v/>
      </c>
      <c r="AH1149">
        <f>$C1149*AH1148</f>
        <v/>
      </c>
      <c r="AI1149">
        <f>$C1149*AI1148</f>
        <v/>
      </c>
      <c r="AJ1149">
        <f>$C1149*AJ1148</f>
        <v/>
      </c>
      <c r="AK1149">
        <f>$C1149*AK1148</f>
        <v/>
      </c>
      <c r="AL1149">
        <f>$C1149*AL1148</f>
        <v/>
      </c>
      <c r="AM1149">
        <f>$C1149*AM1148</f>
        <v/>
      </c>
      <c r="AN1149">
        <f>$C1149*AN1148</f>
        <v/>
      </c>
      <c r="AO1149">
        <f>$C1149*AO1148</f>
        <v/>
      </c>
      <c r="AP1149">
        <f>$C1149*AP1148</f>
        <v/>
      </c>
      <c r="AQ1149">
        <f>$C1149*AQ1148</f>
        <v/>
      </c>
      <c r="AR1149">
        <f>$C1149*AR1148</f>
        <v/>
      </c>
      <c r="AS1149">
        <f>$C1149*AS1148</f>
        <v/>
      </c>
      <c r="AT1149">
        <f>$C1149*AT1148</f>
        <v/>
      </c>
      <c r="AU1149">
        <f>$C1149*AU1148</f>
        <v/>
      </c>
      <c r="AV1149">
        <f>$C1149*AV1148</f>
        <v/>
      </c>
      <c r="AW1149">
        <f>$C1149*AW1148</f>
        <v/>
      </c>
      <c r="AX1149">
        <f>$C1149*AX1148</f>
        <v/>
      </c>
      <c r="AY1149">
        <f>$C1149*AY1148</f>
        <v/>
      </c>
      <c r="AZ1149">
        <f>$C1149*AZ1148</f>
        <v/>
      </c>
      <c r="BA1149">
        <f>$C1149*BA1148</f>
        <v/>
      </c>
      <c r="BB1149">
        <f>$C1149*BB1148</f>
        <v/>
      </c>
      <c r="BC1149">
        <f>$C1149*BC1148</f>
        <v/>
      </c>
      <c r="BD1149">
        <f>$C1149*BD1148</f>
        <v/>
      </c>
      <c r="BE1149">
        <f>$C1149*BE1148</f>
        <v/>
      </c>
      <c r="BF1149">
        <f>$C1149*BF1148</f>
        <v/>
      </c>
      <c r="BG1149">
        <f>$C1149*BG1148</f>
        <v/>
      </c>
      <c r="BH1149">
        <f>$C1149*BH1148</f>
        <v/>
      </c>
      <c r="BI1149">
        <f>$C1149*BI1148</f>
        <v/>
      </c>
      <c r="BJ1149">
        <f>$C1149*BJ1148</f>
        <v/>
      </c>
      <c r="BK1149">
        <f>$C1149*BK1148</f>
        <v/>
      </c>
      <c r="BL1149">
        <f>$C1149*BL1148</f>
        <v/>
      </c>
      <c r="BM1149">
        <f>$C1149*BM1148</f>
        <v/>
      </c>
      <c r="BN1149">
        <f>$C1149*BN1148</f>
        <v/>
      </c>
      <c r="BO1149">
        <f>$C1149*BO1148</f>
        <v/>
      </c>
      <c r="BP1149">
        <f>$C1149*BP1148</f>
        <v/>
      </c>
      <c r="BQ1149">
        <f>$C1149*BQ1148</f>
        <v/>
      </c>
      <c r="BR1149">
        <f>$C1149*BR1148</f>
        <v/>
      </c>
      <c r="BS1149">
        <f>$C1149*BS1148</f>
        <v/>
      </c>
      <c r="BT1149">
        <f>$C1149*BT1148</f>
        <v/>
      </c>
      <c r="BU1149">
        <f>$C1149*BU1148</f>
        <v/>
      </c>
      <c r="BV1149">
        <f>$C1149*BV1148</f>
        <v/>
      </c>
      <c r="BW1149">
        <f>$C1149*BW1148</f>
        <v/>
      </c>
      <c r="BX1149">
        <f>$C1149*BX1148</f>
        <v/>
      </c>
      <c r="BY1149">
        <f>$C1149*BY1148</f>
        <v/>
      </c>
      <c r="BZ1149">
        <f>$C1149*BZ1148</f>
        <v/>
      </c>
      <c r="CA1149">
        <f>$C1149*CA1148</f>
        <v/>
      </c>
      <c r="CB1149">
        <f>$C1149*CB1148</f>
        <v/>
      </c>
      <c r="CC1149">
        <f>$C1149*CC1148</f>
        <v/>
      </c>
      <c r="CD1149">
        <f>$C1149*CD1148</f>
        <v/>
      </c>
      <c r="CE1149">
        <f>$C1149*CE1148</f>
        <v/>
      </c>
      <c r="CF1149">
        <f>$C1149*CF1148</f>
        <v/>
      </c>
      <c r="CG1149">
        <f>$C1149*CG1148</f>
        <v/>
      </c>
      <c r="CH1149">
        <f>$C1149*CH1148</f>
        <v/>
      </c>
      <c r="CI1149">
        <f>$C1149*CI1148</f>
        <v/>
      </c>
      <c r="CJ1149">
        <f>$C1149*CJ1148</f>
        <v/>
      </c>
      <c r="CK1149">
        <f>$C1149*CK1148</f>
        <v/>
      </c>
      <c r="CL1149">
        <f>$C1149*CL1148</f>
        <v/>
      </c>
      <c r="CM1149">
        <f>$C1149*CM1148</f>
        <v/>
      </c>
      <c r="CN1149">
        <f>$C1149*CN1148</f>
        <v/>
      </c>
      <c r="CO1149">
        <f>$C1149*CO1148</f>
        <v/>
      </c>
      <c r="CP1149">
        <f>$C1149*CP1148</f>
        <v/>
      </c>
      <c r="CQ1149">
        <f>$C1149*CQ1148</f>
        <v/>
      </c>
      <c r="CR1149">
        <f>$C1149*CR1148</f>
        <v/>
      </c>
      <c r="CS1149">
        <f>$C1149*CS1148</f>
        <v/>
      </c>
      <c r="CT1149">
        <f>$C1149*CT1148</f>
        <v/>
      </c>
      <c r="CU1149">
        <f>$C1149*CU1148</f>
        <v/>
      </c>
      <c r="CV1149">
        <f>$C1149*CV1148</f>
        <v/>
      </c>
      <c r="CW1149">
        <f>$C1149*CW1148</f>
        <v/>
      </c>
      <c r="CX1149">
        <f>$C1149*CX1148</f>
        <v/>
      </c>
      <c r="CY1149">
        <f>$C1149*CY1148</f>
        <v/>
      </c>
      <c r="CZ1149">
        <f>$C1149*CZ1148</f>
        <v/>
      </c>
      <c r="DA1149">
        <f>$C1149*DA1148</f>
        <v/>
      </c>
      <c r="DB1149">
        <f>$C1149*DB1148</f>
        <v/>
      </c>
      <c r="DC1149">
        <f>$C1149*DC1148</f>
        <v/>
      </c>
    </row>
    <row r="1150">
      <c r="B1150" t="inlineStr">
        <is>
          <t>TSP-656</t>
        </is>
      </c>
      <c r="C1150" t="inlineStr">
        <is>
          <t>No. of batches</t>
        </is>
      </c>
      <c r="D1150">
        <f>IFERROR(INDEX(PP_Grid[#Data],$DD1150,2),0)</f>
        <v/>
      </c>
      <c r="E1150">
        <f>IFERROR(INDEX(PP_Grid[#Data],$DD1150,3),0)</f>
        <v/>
      </c>
      <c r="F1150">
        <f>IFERROR(INDEX(PP_Grid[#Data],$DD1150,4),0)</f>
        <v/>
      </c>
      <c r="G1150">
        <f>IFERROR(INDEX(PP_Grid[#Data],$DD1150,5),0)</f>
        <v/>
      </c>
      <c r="H1150">
        <f>IFERROR(INDEX(PP_Grid[#Data],$DD1150,6),0)</f>
        <v/>
      </c>
      <c r="I1150">
        <f>IFERROR(INDEX(PP_Grid[#Data],$DD1150,7),0)</f>
        <v/>
      </c>
      <c r="J1150">
        <f>IFERROR(INDEX(PP_Grid[#Data],$DD1150,8),0)</f>
        <v/>
      </c>
      <c r="K1150">
        <f>IFERROR(INDEX(PP_Grid[#Data],$DD1150,9),0)</f>
        <v/>
      </c>
      <c r="L1150">
        <f>IFERROR(INDEX(PP_Grid[#Data],$DD1150,10),0)</f>
        <v/>
      </c>
      <c r="M1150">
        <f>IFERROR(INDEX(PP_Grid[#Data],$DD1150,11),0)</f>
        <v/>
      </c>
      <c r="N1150">
        <f>IFERROR(INDEX(PP_Grid[#Data],$DD1150,12),0)</f>
        <v/>
      </c>
      <c r="O1150">
        <f>IFERROR(INDEX(PP_Grid[#Data],$DD1150,13),0)</f>
        <v/>
      </c>
      <c r="P1150">
        <f>IFERROR(INDEX(PP_Grid[#Data],$DD1150,14),0)</f>
        <v/>
      </c>
      <c r="Q1150">
        <f>IFERROR(INDEX(PP_Grid[#Data],$DD1150,15),0)</f>
        <v/>
      </c>
      <c r="R1150">
        <f>IFERROR(INDEX(PP_Grid[#Data],$DD1150,16),0)</f>
        <v/>
      </c>
      <c r="S1150">
        <f>IFERROR(INDEX(PP_Grid[#Data],$DD1150,17),0)</f>
        <v/>
      </c>
      <c r="T1150">
        <f>IFERROR(INDEX(PP_Grid[#Data],$DD1150,18),0)</f>
        <v/>
      </c>
      <c r="U1150">
        <f>IFERROR(INDEX(PP_Grid[#Data],$DD1150,19),0)</f>
        <v/>
      </c>
      <c r="V1150">
        <f>IFERROR(INDEX(PP_Grid[#Data],$DD1150,20),0)</f>
        <v/>
      </c>
      <c r="W1150">
        <f>IFERROR(INDEX(PP_Grid[#Data],$DD1150,21),0)</f>
        <v/>
      </c>
      <c r="X1150">
        <f>IFERROR(INDEX(PP_Grid[#Data],$DD1150,22),0)</f>
        <v/>
      </c>
      <c r="Y1150">
        <f>IFERROR(INDEX(PP_Grid[#Data],$DD1150,23),0)</f>
        <v/>
      </c>
      <c r="Z1150">
        <f>IFERROR(INDEX(PP_Grid[#Data],$DD1150,24),0)</f>
        <v/>
      </c>
      <c r="AA1150">
        <f>IFERROR(INDEX(PP_Grid[#Data],$DD1150,25),0)</f>
        <v/>
      </c>
      <c r="AB1150">
        <f>IFERROR(INDEX(PP_Grid[#Data],$DD1150,26),0)</f>
        <v/>
      </c>
      <c r="AC1150">
        <f>IFERROR(INDEX(PP_Grid[#Data],$DD1150,27),0)</f>
        <v/>
      </c>
      <c r="AD1150">
        <f>IFERROR(INDEX(PP_Grid[#Data],$DD1150,28),0)</f>
        <v/>
      </c>
      <c r="AE1150">
        <f>IFERROR(INDEX(PP_Grid[#Data],$DD1150,29),0)</f>
        <v/>
      </c>
      <c r="AF1150">
        <f>IFERROR(INDEX(PP_Grid[#Data],$DD1150,30),0)</f>
        <v/>
      </c>
      <c r="AG1150">
        <f>IFERROR(INDEX(PP_Grid[#Data],$DD1150,31),0)</f>
        <v/>
      </c>
      <c r="AH1150">
        <f>IFERROR(INDEX(PP_Grid[#Data],$DD1150,32),0)</f>
        <v/>
      </c>
      <c r="AI1150">
        <f>IFERROR(INDEX(PP_Grid[#Data],$DD1150,33),0)</f>
        <v/>
      </c>
      <c r="AJ1150">
        <f>IFERROR(INDEX(PP_Grid[#Data],$DD1150,34),0)</f>
        <v/>
      </c>
      <c r="AK1150">
        <f>IFERROR(INDEX(PP_Grid[#Data],$DD1150,35),0)</f>
        <v/>
      </c>
      <c r="AL1150">
        <f>IFERROR(INDEX(PP_Grid[#Data],$DD1150,36),0)</f>
        <v/>
      </c>
      <c r="AM1150">
        <f>IFERROR(INDEX(PP_Grid[#Data],$DD1150,37),0)</f>
        <v/>
      </c>
      <c r="AN1150">
        <f>IFERROR(INDEX(PP_Grid[#Data],$DD1150,38),0)</f>
        <v/>
      </c>
      <c r="AO1150">
        <f>IFERROR(INDEX(PP_Grid[#Data],$DD1150,39),0)</f>
        <v/>
      </c>
      <c r="AP1150">
        <f>IFERROR(INDEX(PP_Grid[#Data],$DD1150,40),0)</f>
        <v/>
      </c>
      <c r="AQ1150">
        <f>IFERROR(INDEX(PP_Grid[#Data],$DD1150,41),0)</f>
        <v/>
      </c>
      <c r="AR1150">
        <f>IFERROR(INDEX(PP_Grid[#Data],$DD1150,42),0)</f>
        <v/>
      </c>
      <c r="AS1150">
        <f>IFERROR(INDEX(PP_Grid[#Data],$DD1150,43),0)</f>
        <v/>
      </c>
      <c r="AT1150">
        <f>IFERROR(INDEX(PP_Grid[#Data],$DD1150,44),0)</f>
        <v/>
      </c>
      <c r="AU1150">
        <f>IFERROR(INDEX(PP_Grid[#Data],$DD1150,45),0)</f>
        <v/>
      </c>
      <c r="AV1150">
        <f>IFERROR(INDEX(PP_Grid[#Data],$DD1150,46),0)</f>
        <v/>
      </c>
      <c r="AW1150">
        <f>IFERROR(INDEX(PP_Grid[#Data],$DD1150,47),0)</f>
        <v/>
      </c>
      <c r="AX1150">
        <f>IFERROR(INDEX(PP_Grid[#Data],$DD1150,48),0)</f>
        <v/>
      </c>
      <c r="AY1150">
        <f>IFERROR(INDEX(PP_Grid[#Data],$DD1150,49),0)</f>
        <v/>
      </c>
      <c r="AZ1150">
        <f>IFERROR(INDEX(PP_Grid[#Data],$DD1150,50),0)</f>
        <v/>
      </c>
      <c r="BA1150">
        <f>IFERROR(INDEX(PP_Grid[#Data],$DD1150,51),0)</f>
        <v/>
      </c>
      <c r="BB1150">
        <f>IFERROR(INDEX(PP_Grid[#Data],$DD1150,52),0)</f>
        <v/>
      </c>
      <c r="BC1150">
        <f>IFERROR(INDEX(PP_Grid[#Data],$DD1150,53),0)</f>
        <v/>
      </c>
      <c r="BD1150">
        <f>IFERROR(INDEX(PP_Grid[#Data],$DD1150,54),0)</f>
        <v/>
      </c>
      <c r="BE1150">
        <f>IFERROR(INDEX(PP_Grid[#Data],$DD1150,55),0)</f>
        <v/>
      </c>
      <c r="BF1150">
        <f>IFERROR(INDEX(PP_Grid[#Data],$DD1150,56),0)</f>
        <v/>
      </c>
      <c r="BG1150">
        <f>IFERROR(INDEX(PP_Grid[#Data],$DD1150,57),0)</f>
        <v/>
      </c>
      <c r="BH1150">
        <f>IFERROR(INDEX(PP_Grid[#Data],$DD1150,58),0)</f>
        <v/>
      </c>
      <c r="BI1150">
        <f>IFERROR(INDEX(PP_Grid[#Data],$DD1150,59),0)</f>
        <v/>
      </c>
      <c r="BJ1150">
        <f>IFERROR(INDEX(PP_Grid[#Data],$DD1150,60),0)</f>
        <v/>
      </c>
      <c r="BK1150">
        <f>IFERROR(INDEX(PP_Grid[#Data],$DD1150,61),0)</f>
        <v/>
      </c>
      <c r="BL1150">
        <f>IFERROR(INDEX(PP_Grid[#Data],$DD1150,62),0)</f>
        <v/>
      </c>
      <c r="BM1150">
        <f>IFERROR(INDEX(PP_Grid[#Data],$DD1150,63),0)</f>
        <v/>
      </c>
      <c r="BN1150">
        <f>IFERROR(INDEX(PP_Grid[#Data],$DD1150,64),0)</f>
        <v/>
      </c>
      <c r="BO1150">
        <f>IFERROR(INDEX(PP_Grid[#Data],$DD1150,65),0)</f>
        <v/>
      </c>
      <c r="BP1150">
        <f>IFERROR(INDEX(PP_Grid[#Data],$DD1150,66),0)</f>
        <v/>
      </c>
      <c r="BQ1150">
        <f>IFERROR(INDEX(PP_Grid[#Data],$DD1150,67),0)</f>
        <v/>
      </c>
      <c r="BR1150">
        <f>IFERROR(INDEX(PP_Grid[#Data],$DD1150,68),0)</f>
        <v/>
      </c>
      <c r="BS1150">
        <f>IFERROR(INDEX(PP_Grid[#Data],$DD1150,69),0)</f>
        <v/>
      </c>
      <c r="BT1150">
        <f>IFERROR(INDEX(PP_Grid[#Data],$DD1150,70),0)</f>
        <v/>
      </c>
      <c r="BU1150">
        <f>IFERROR(INDEX(PP_Grid[#Data],$DD1150,71),0)</f>
        <v/>
      </c>
      <c r="BV1150">
        <f>IFERROR(INDEX(PP_Grid[#Data],$DD1150,72),0)</f>
        <v/>
      </c>
      <c r="BW1150">
        <f>IFERROR(INDEX(PP_Grid[#Data],$DD1150,73),0)</f>
        <v/>
      </c>
      <c r="BX1150">
        <f>IFERROR(INDEX(PP_Grid[#Data],$DD1150,74),0)</f>
        <v/>
      </c>
      <c r="BY1150">
        <f>IFERROR(INDEX(PP_Grid[#Data],$DD1150,75),0)</f>
        <v/>
      </c>
      <c r="BZ1150">
        <f>IFERROR(INDEX(PP_Grid[#Data],$DD1150,76),0)</f>
        <v/>
      </c>
      <c r="CA1150">
        <f>IFERROR(INDEX(PP_Grid[#Data],$DD1150,77),0)</f>
        <v/>
      </c>
      <c r="CB1150">
        <f>IFERROR(INDEX(PP_Grid[#Data],$DD1150,78),0)</f>
        <v/>
      </c>
      <c r="CC1150">
        <f>IFERROR(INDEX(PP_Grid[#Data],$DD1150,79),0)</f>
        <v/>
      </c>
      <c r="CD1150">
        <f>IFERROR(INDEX(PP_Grid[#Data],$DD1150,80),0)</f>
        <v/>
      </c>
      <c r="CE1150">
        <f>IFERROR(INDEX(PP_Grid[#Data],$DD1150,81),0)</f>
        <v/>
      </c>
      <c r="CF1150">
        <f>IFERROR(INDEX(PP_Grid[#Data],$DD1150,82),0)</f>
        <v/>
      </c>
      <c r="CG1150">
        <f>IFERROR(INDEX(PP_Grid[#Data],$DD1150,83),0)</f>
        <v/>
      </c>
      <c r="CH1150">
        <f>IFERROR(INDEX(PP_Grid[#Data],$DD1150,84),0)</f>
        <v/>
      </c>
      <c r="CI1150">
        <f>IFERROR(INDEX(PP_Grid[#Data],$DD1150,85),0)</f>
        <v/>
      </c>
      <c r="CJ1150">
        <f>IFERROR(INDEX(PP_Grid[#Data],$DD1150,86),0)</f>
        <v/>
      </c>
      <c r="CK1150">
        <f>IFERROR(INDEX(PP_Grid[#Data],$DD1150,87),0)</f>
        <v/>
      </c>
      <c r="CL1150">
        <f>IFERROR(INDEX(PP_Grid[#Data],$DD1150,88),0)</f>
        <v/>
      </c>
      <c r="CM1150">
        <f>IFERROR(INDEX(PP_Grid[#Data],$DD1150,89),0)</f>
        <v/>
      </c>
      <c r="CN1150">
        <f>IFERROR(INDEX(PP_Grid[#Data],$DD1150,90),0)</f>
        <v/>
      </c>
      <c r="CO1150">
        <f>IFERROR(INDEX(PP_Grid[#Data],$DD1150,91),0)</f>
        <v/>
      </c>
      <c r="CP1150">
        <f>IFERROR(INDEX(PP_Grid[#Data],$DD1150,92),0)</f>
        <v/>
      </c>
      <c r="CQ1150">
        <f>IFERROR(INDEX(PP_Grid[#Data],$DD1150,93),0)</f>
        <v/>
      </c>
      <c r="CR1150">
        <f>IFERROR(INDEX(PP_Grid[#Data],$DD1150,94),0)</f>
        <v/>
      </c>
      <c r="CS1150">
        <f>IFERROR(INDEX(PP_Grid[#Data],$DD1150,95),0)</f>
        <v/>
      </c>
      <c r="CT1150">
        <f>IFERROR(INDEX(PP_Grid[#Data],$DD1150,96),0)</f>
        <v/>
      </c>
      <c r="CU1150">
        <f>IFERROR(INDEX(PP_Grid[#Data],$DD1150,97),0)</f>
        <v/>
      </c>
      <c r="CV1150">
        <f>IFERROR(INDEX(PP_Grid[#Data],$DD1150,98),0)</f>
        <v/>
      </c>
      <c r="CW1150">
        <f>IFERROR(INDEX(PP_Grid[#Data],$DD1150,99),0)</f>
        <v/>
      </c>
      <c r="CX1150">
        <f>IFERROR(INDEX(PP_Grid[#Data],$DD1150,100),0)</f>
        <v/>
      </c>
      <c r="CY1150">
        <f>IFERROR(INDEX(PP_Grid[#Data],$DD1150,101),0)</f>
        <v/>
      </c>
      <c r="CZ1150">
        <f>IFERROR(INDEX(PP_Grid[#Data],$DD1150,102),0)</f>
        <v/>
      </c>
      <c r="DA1150">
        <f>IFERROR(INDEX(PP_Grid[#Data],$DD1150,103),0)</f>
        <v/>
      </c>
      <c r="DB1150">
        <f>IFERROR(INDEX(PP_Grid[#Data],$DD1150,104),0)</f>
        <v/>
      </c>
      <c r="DC1150">
        <f>IFERROR(INDEX(PP_Grid[#Data],$DD1150,105),0)</f>
        <v/>
      </c>
      <c r="DD1150" s="7">
        <f>IFERROR(MATCH($B1150,PP_Grid[Intermediate],0),99999)</f>
        <v/>
      </c>
    </row>
    <row r="1151">
      <c r="B1151" t="inlineStr">
        <is>
          <t>使用量(kg)</t>
        </is>
      </c>
      <c r="C1151">
        <f>SUMIFS(M_BOM[RM_Qty_Per_Batch],M_BOM[Intermediate],$B1150,M_BOM[Part Name],$A1131)</f>
        <v/>
      </c>
      <c r="D1151">
        <f>$C1151*D1150</f>
        <v/>
      </c>
      <c r="E1151">
        <f>$C1151*E1150</f>
        <v/>
      </c>
      <c r="F1151">
        <f>$C1151*F1150</f>
        <v/>
      </c>
      <c r="G1151">
        <f>$C1151*G1150</f>
        <v/>
      </c>
      <c r="H1151">
        <f>$C1151*H1150</f>
        <v/>
      </c>
      <c r="I1151">
        <f>$C1151*I1150</f>
        <v/>
      </c>
      <c r="J1151">
        <f>$C1151*J1150</f>
        <v/>
      </c>
      <c r="K1151">
        <f>$C1151*K1150</f>
        <v/>
      </c>
      <c r="L1151">
        <f>$C1151*L1150</f>
        <v/>
      </c>
      <c r="M1151">
        <f>$C1151*M1150</f>
        <v/>
      </c>
      <c r="N1151">
        <f>$C1151*N1150</f>
        <v/>
      </c>
      <c r="O1151">
        <f>$C1151*O1150</f>
        <v/>
      </c>
      <c r="P1151">
        <f>$C1151*P1150</f>
        <v/>
      </c>
      <c r="Q1151">
        <f>$C1151*Q1150</f>
        <v/>
      </c>
      <c r="R1151">
        <f>$C1151*R1150</f>
        <v/>
      </c>
      <c r="S1151">
        <f>$C1151*S1150</f>
        <v/>
      </c>
      <c r="T1151">
        <f>$C1151*T1150</f>
        <v/>
      </c>
      <c r="U1151">
        <f>$C1151*U1150</f>
        <v/>
      </c>
      <c r="V1151">
        <f>$C1151*V1150</f>
        <v/>
      </c>
      <c r="W1151">
        <f>$C1151*W1150</f>
        <v/>
      </c>
      <c r="X1151">
        <f>$C1151*X1150</f>
        <v/>
      </c>
      <c r="Y1151">
        <f>$C1151*Y1150</f>
        <v/>
      </c>
      <c r="Z1151">
        <f>$C1151*Z1150</f>
        <v/>
      </c>
      <c r="AA1151">
        <f>$C1151*AA1150</f>
        <v/>
      </c>
      <c r="AB1151">
        <f>$C1151*AB1150</f>
        <v/>
      </c>
      <c r="AC1151">
        <f>$C1151*AC1150</f>
        <v/>
      </c>
      <c r="AD1151">
        <f>$C1151*AD1150</f>
        <v/>
      </c>
      <c r="AE1151">
        <f>$C1151*AE1150</f>
        <v/>
      </c>
      <c r="AF1151">
        <f>$C1151*AF1150</f>
        <v/>
      </c>
      <c r="AG1151">
        <f>$C1151*AG1150</f>
        <v/>
      </c>
      <c r="AH1151">
        <f>$C1151*AH1150</f>
        <v/>
      </c>
      <c r="AI1151">
        <f>$C1151*AI1150</f>
        <v/>
      </c>
      <c r="AJ1151">
        <f>$C1151*AJ1150</f>
        <v/>
      </c>
      <c r="AK1151">
        <f>$C1151*AK1150</f>
        <v/>
      </c>
      <c r="AL1151">
        <f>$C1151*AL1150</f>
        <v/>
      </c>
      <c r="AM1151">
        <f>$C1151*AM1150</f>
        <v/>
      </c>
      <c r="AN1151">
        <f>$C1151*AN1150</f>
        <v/>
      </c>
      <c r="AO1151">
        <f>$C1151*AO1150</f>
        <v/>
      </c>
      <c r="AP1151">
        <f>$C1151*AP1150</f>
        <v/>
      </c>
      <c r="AQ1151">
        <f>$C1151*AQ1150</f>
        <v/>
      </c>
      <c r="AR1151">
        <f>$C1151*AR1150</f>
        <v/>
      </c>
      <c r="AS1151">
        <f>$C1151*AS1150</f>
        <v/>
      </c>
      <c r="AT1151">
        <f>$C1151*AT1150</f>
        <v/>
      </c>
      <c r="AU1151">
        <f>$C1151*AU1150</f>
        <v/>
      </c>
      <c r="AV1151">
        <f>$C1151*AV1150</f>
        <v/>
      </c>
      <c r="AW1151">
        <f>$C1151*AW1150</f>
        <v/>
      </c>
      <c r="AX1151">
        <f>$C1151*AX1150</f>
        <v/>
      </c>
      <c r="AY1151">
        <f>$C1151*AY1150</f>
        <v/>
      </c>
      <c r="AZ1151">
        <f>$C1151*AZ1150</f>
        <v/>
      </c>
      <c r="BA1151">
        <f>$C1151*BA1150</f>
        <v/>
      </c>
      <c r="BB1151">
        <f>$C1151*BB1150</f>
        <v/>
      </c>
      <c r="BC1151">
        <f>$C1151*BC1150</f>
        <v/>
      </c>
      <c r="BD1151">
        <f>$C1151*BD1150</f>
        <v/>
      </c>
      <c r="BE1151">
        <f>$C1151*BE1150</f>
        <v/>
      </c>
      <c r="BF1151">
        <f>$C1151*BF1150</f>
        <v/>
      </c>
      <c r="BG1151">
        <f>$C1151*BG1150</f>
        <v/>
      </c>
      <c r="BH1151">
        <f>$C1151*BH1150</f>
        <v/>
      </c>
      <c r="BI1151">
        <f>$C1151*BI1150</f>
        <v/>
      </c>
      <c r="BJ1151">
        <f>$C1151*BJ1150</f>
        <v/>
      </c>
      <c r="BK1151">
        <f>$C1151*BK1150</f>
        <v/>
      </c>
      <c r="BL1151">
        <f>$C1151*BL1150</f>
        <v/>
      </c>
      <c r="BM1151">
        <f>$C1151*BM1150</f>
        <v/>
      </c>
      <c r="BN1151">
        <f>$C1151*BN1150</f>
        <v/>
      </c>
      <c r="BO1151">
        <f>$C1151*BO1150</f>
        <v/>
      </c>
      <c r="BP1151">
        <f>$C1151*BP1150</f>
        <v/>
      </c>
      <c r="BQ1151">
        <f>$C1151*BQ1150</f>
        <v/>
      </c>
      <c r="BR1151">
        <f>$C1151*BR1150</f>
        <v/>
      </c>
      <c r="BS1151">
        <f>$C1151*BS1150</f>
        <v/>
      </c>
      <c r="BT1151">
        <f>$C1151*BT1150</f>
        <v/>
      </c>
      <c r="BU1151">
        <f>$C1151*BU1150</f>
        <v/>
      </c>
      <c r="BV1151">
        <f>$C1151*BV1150</f>
        <v/>
      </c>
      <c r="BW1151">
        <f>$C1151*BW1150</f>
        <v/>
      </c>
      <c r="BX1151">
        <f>$C1151*BX1150</f>
        <v/>
      </c>
      <c r="BY1151">
        <f>$C1151*BY1150</f>
        <v/>
      </c>
      <c r="BZ1151">
        <f>$C1151*BZ1150</f>
        <v/>
      </c>
      <c r="CA1151">
        <f>$C1151*CA1150</f>
        <v/>
      </c>
      <c r="CB1151">
        <f>$C1151*CB1150</f>
        <v/>
      </c>
      <c r="CC1151">
        <f>$C1151*CC1150</f>
        <v/>
      </c>
      <c r="CD1151">
        <f>$C1151*CD1150</f>
        <v/>
      </c>
      <c r="CE1151">
        <f>$C1151*CE1150</f>
        <v/>
      </c>
      <c r="CF1151">
        <f>$C1151*CF1150</f>
        <v/>
      </c>
      <c r="CG1151">
        <f>$C1151*CG1150</f>
        <v/>
      </c>
      <c r="CH1151">
        <f>$C1151*CH1150</f>
        <v/>
      </c>
      <c r="CI1151">
        <f>$C1151*CI1150</f>
        <v/>
      </c>
      <c r="CJ1151">
        <f>$C1151*CJ1150</f>
        <v/>
      </c>
      <c r="CK1151">
        <f>$C1151*CK1150</f>
        <v/>
      </c>
      <c r="CL1151">
        <f>$C1151*CL1150</f>
        <v/>
      </c>
      <c r="CM1151">
        <f>$C1151*CM1150</f>
        <v/>
      </c>
      <c r="CN1151">
        <f>$C1151*CN1150</f>
        <v/>
      </c>
      <c r="CO1151">
        <f>$C1151*CO1150</f>
        <v/>
      </c>
      <c r="CP1151">
        <f>$C1151*CP1150</f>
        <v/>
      </c>
      <c r="CQ1151">
        <f>$C1151*CQ1150</f>
        <v/>
      </c>
      <c r="CR1151">
        <f>$C1151*CR1150</f>
        <v/>
      </c>
      <c r="CS1151">
        <f>$C1151*CS1150</f>
        <v/>
      </c>
      <c r="CT1151">
        <f>$C1151*CT1150</f>
        <v/>
      </c>
      <c r="CU1151">
        <f>$C1151*CU1150</f>
        <v/>
      </c>
      <c r="CV1151">
        <f>$C1151*CV1150</f>
        <v/>
      </c>
      <c r="CW1151">
        <f>$C1151*CW1150</f>
        <v/>
      </c>
      <c r="CX1151">
        <f>$C1151*CX1150</f>
        <v/>
      </c>
      <c r="CY1151">
        <f>$C1151*CY1150</f>
        <v/>
      </c>
      <c r="CZ1151">
        <f>$C1151*CZ1150</f>
        <v/>
      </c>
      <c r="DA1151">
        <f>$C1151*DA1150</f>
        <v/>
      </c>
      <c r="DB1151">
        <f>$C1151*DB1150</f>
        <v/>
      </c>
      <c r="DC1151">
        <f>$C1151*DC1150</f>
        <v/>
      </c>
    </row>
    <row r="1152">
      <c r="B1152" t="inlineStr">
        <is>
          <t>TSP-903</t>
        </is>
      </c>
      <c r="C1152" t="inlineStr">
        <is>
          <t>No. of batches</t>
        </is>
      </c>
      <c r="D1152">
        <f>IFERROR(INDEX(PP_Grid[#Data],$DD1152,2),0)</f>
        <v/>
      </c>
      <c r="E1152">
        <f>IFERROR(INDEX(PP_Grid[#Data],$DD1152,3),0)</f>
        <v/>
      </c>
      <c r="F1152">
        <f>IFERROR(INDEX(PP_Grid[#Data],$DD1152,4),0)</f>
        <v/>
      </c>
      <c r="G1152">
        <f>IFERROR(INDEX(PP_Grid[#Data],$DD1152,5),0)</f>
        <v/>
      </c>
      <c r="H1152">
        <f>IFERROR(INDEX(PP_Grid[#Data],$DD1152,6),0)</f>
        <v/>
      </c>
      <c r="I1152">
        <f>IFERROR(INDEX(PP_Grid[#Data],$DD1152,7),0)</f>
        <v/>
      </c>
      <c r="J1152">
        <f>IFERROR(INDEX(PP_Grid[#Data],$DD1152,8),0)</f>
        <v/>
      </c>
      <c r="K1152">
        <f>IFERROR(INDEX(PP_Grid[#Data],$DD1152,9),0)</f>
        <v/>
      </c>
      <c r="L1152">
        <f>IFERROR(INDEX(PP_Grid[#Data],$DD1152,10),0)</f>
        <v/>
      </c>
      <c r="M1152">
        <f>IFERROR(INDEX(PP_Grid[#Data],$DD1152,11),0)</f>
        <v/>
      </c>
      <c r="N1152">
        <f>IFERROR(INDEX(PP_Grid[#Data],$DD1152,12),0)</f>
        <v/>
      </c>
      <c r="O1152">
        <f>IFERROR(INDEX(PP_Grid[#Data],$DD1152,13),0)</f>
        <v/>
      </c>
      <c r="P1152">
        <f>IFERROR(INDEX(PP_Grid[#Data],$DD1152,14),0)</f>
        <v/>
      </c>
      <c r="Q1152">
        <f>IFERROR(INDEX(PP_Grid[#Data],$DD1152,15),0)</f>
        <v/>
      </c>
      <c r="R1152">
        <f>IFERROR(INDEX(PP_Grid[#Data],$DD1152,16),0)</f>
        <v/>
      </c>
      <c r="S1152">
        <f>IFERROR(INDEX(PP_Grid[#Data],$DD1152,17),0)</f>
        <v/>
      </c>
      <c r="T1152">
        <f>IFERROR(INDEX(PP_Grid[#Data],$DD1152,18),0)</f>
        <v/>
      </c>
      <c r="U1152">
        <f>IFERROR(INDEX(PP_Grid[#Data],$DD1152,19),0)</f>
        <v/>
      </c>
      <c r="V1152">
        <f>IFERROR(INDEX(PP_Grid[#Data],$DD1152,20),0)</f>
        <v/>
      </c>
      <c r="W1152">
        <f>IFERROR(INDEX(PP_Grid[#Data],$DD1152,21),0)</f>
        <v/>
      </c>
      <c r="X1152">
        <f>IFERROR(INDEX(PP_Grid[#Data],$DD1152,22),0)</f>
        <v/>
      </c>
      <c r="Y1152">
        <f>IFERROR(INDEX(PP_Grid[#Data],$DD1152,23),0)</f>
        <v/>
      </c>
      <c r="Z1152">
        <f>IFERROR(INDEX(PP_Grid[#Data],$DD1152,24),0)</f>
        <v/>
      </c>
      <c r="AA1152">
        <f>IFERROR(INDEX(PP_Grid[#Data],$DD1152,25),0)</f>
        <v/>
      </c>
      <c r="AB1152">
        <f>IFERROR(INDEX(PP_Grid[#Data],$DD1152,26),0)</f>
        <v/>
      </c>
      <c r="AC1152">
        <f>IFERROR(INDEX(PP_Grid[#Data],$DD1152,27),0)</f>
        <v/>
      </c>
      <c r="AD1152">
        <f>IFERROR(INDEX(PP_Grid[#Data],$DD1152,28),0)</f>
        <v/>
      </c>
      <c r="AE1152">
        <f>IFERROR(INDEX(PP_Grid[#Data],$DD1152,29),0)</f>
        <v/>
      </c>
      <c r="AF1152">
        <f>IFERROR(INDEX(PP_Grid[#Data],$DD1152,30),0)</f>
        <v/>
      </c>
      <c r="AG1152">
        <f>IFERROR(INDEX(PP_Grid[#Data],$DD1152,31),0)</f>
        <v/>
      </c>
      <c r="AH1152">
        <f>IFERROR(INDEX(PP_Grid[#Data],$DD1152,32),0)</f>
        <v/>
      </c>
      <c r="AI1152">
        <f>IFERROR(INDEX(PP_Grid[#Data],$DD1152,33),0)</f>
        <v/>
      </c>
      <c r="AJ1152">
        <f>IFERROR(INDEX(PP_Grid[#Data],$DD1152,34),0)</f>
        <v/>
      </c>
      <c r="AK1152">
        <f>IFERROR(INDEX(PP_Grid[#Data],$DD1152,35),0)</f>
        <v/>
      </c>
      <c r="AL1152">
        <f>IFERROR(INDEX(PP_Grid[#Data],$DD1152,36),0)</f>
        <v/>
      </c>
      <c r="AM1152">
        <f>IFERROR(INDEX(PP_Grid[#Data],$DD1152,37),0)</f>
        <v/>
      </c>
      <c r="AN1152">
        <f>IFERROR(INDEX(PP_Grid[#Data],$DD1152,38),0)</f>
        <v/>
      </c>
      <c r="AO1152">
        <f>IFERROR(INDEX(PP_Grid[#Data],$DD1152,39),0)</f>
        <v/>
      </c>
      <c r="AP1152">
        <f>IFERROR(INDEX(PP_Grid[#Data],$DD1152,40),0)</f>
        <v/>
      </c>
      <c r="AQ1152">
        <f>IFERROR(INDEX(PP_Grid[#Data],$DD1152,41),0)</f>
        <v/>
      </c>
      <c r="AR1152">
        <f>IFERROR(INDEX(PP_Grid[#Data],$DD1152,42),0)</f>
        <v/>
      </c>
      <c r="AS1152">
        <f>IFERROR(INDEX(PP_Grid[#Data],$DD1152,43),0)</f>
        <v/>
      </c>
      <c r="AT1152">
        <f>IFERROR(INDEX(PP_Grid[#Data],$DD1152,44),0)</f>
        <v/>
      </c>
      <c r="AU1152">
        <f>IFERROR(INDEX(PP_Grid[#Data],$DD1152,45),0)</f>
        <v/>
      </c>
      <c r="AV1152">
        <f>IFERROR(INDEX(PP_Grid[#Data],$DD1152,46),0)</f>
        <v/>
      </c>
      <c r="AW1152">
        <f>IFERROR(INDEX(PP_Grid[#Data],$DD1152,47),0)</f>
        <v/>
      </c>
      <c r="AX1152">
        <f>IFERROR(INDEX(PP_Grid[#Data],$DD1152,48),0)</f>
        <v/>
      </c>
      <c r="AY1152">
        <f>IFERROR(INDEX(PP_Grid[#Data],$DD1152,49),0)</f>
        <v/>
      </c>
      <c r="AZ1152">
        <f>IFERROR(INDEX(PP_Grid[#Data],$DD1152,50),0)</f>
        <v/>
      </c>
      <c r="BA1152">
        <f>IFERROR(INDEX(PP_Grid[#Data],$DD1152,51),0)</f>
        <v/>
      </c>
      <c r="BB1152">
        <f>IFERROR(INDEX(PP_Grid[#Data],$DD1152,52),0)</f>
        <v/>
      </c>
      <c r="BC1152">
        <f>IFERROR(INDEX(PP_Grid[#Data],$DD1152,53),0)</f>
        <v/>
      </c>
      <c r="BD1152">
        <f>IFERROR(INDEX(PP_Grid[#Data],$DD1152,54),0)</f>
        <v/>
      </c>
      <c r="BE1152">
        <f>IFERROR(INDEX(PP_Grid[#Data],$DD1152,55),0)</f>
        <v/>
      </c>
      <c r="BF1152">
        <f>IFERROR(INDEX(PP_Grid[#Data],$DD1152,56),0)</f>
        <v/>
      </c>
      <c r="BG1152">
        <f>IFERROR(INDEX(PP_Grid[#Data],$DD1152,57),0)</f>
        <v/>
      </c>
      <c r="BH1152">
        <f>IFERROR(INDEX(PP_Grid[#Data],$DD1152,58),0)</f>
        <v/>
      </c>
      <c r="BI1152">
        <f>IFERROR(INDEX(PP_Grid[#Data],$DD1152,59),0)</f>
        <v/>
      </c>
      <c r="BJ1152">
        <f>IFERROR(INDEX(PP_Grid[#Data],$DD1152,60),0)</f>
        <v/>
      </c>
      <c r="BK1152">
        <f>IFERROR(INDEX(PP_Grid[#Data],$DD1152,61),0)</f>
        <v/>
      </c>
      <c r="BL1152">
        <f>IFERROR(INDEX(PP_Grid[#Data],$DD1152,62),0)</f>
        <v/>
      </c>
      <c r="BM1152">
        <f>IFERROR(INDEX(PP_Grid[#Data],$DD1152,63),0)</f>
        <v/>
      </c>
      <c r="BN1152">
        <f>IFERROR(INDEX(PP_Grid[#Data],$DD1152,64),0)</f>
        <v/>
      </c>
      <c r="BO1152">
        <f>IFERROR(INDEX(PP_Grid[#Data],$DD1152,65),0)</f>
        <v/>
      </c>
      <c r="BP1152">
        <f>IFERROR(INDEX(PP_Grid[#Data],$DD1152,66),0)</f>
        <v/>
      </c>
      <c r="BQ1152">
        <f>IFERROR(INDEX(PP_Grid[#Data],$DD1152,67),0)</f>
        <v/>
      </c>
      <c r="BR1152">
        <f>IFERROR(INDEX(PP_Grid[#Data],$DD1152,68),0)</f>
        <v/>
      </c>
      <c r="BS1152">
        <f>IFERROR(INDEX(PP_Grid[#Data],$DD1152,69),0)</f>
        <v/>
      </c>
      <c r="BT1152">
        <f>IFERROR(INDEX(PP_Grid[#Data],$DD1152,70),0)</f>
        <v/>
      </c>
      <c r="BU1152">
        <f>IFERROR(INDEX(PP_Grid[#Data],$DD1152,71),0)</f>
        <v/>
      </c>
      <c r="BV1152">
        <f>IFERROR(INDEX(PP_Grid[#Data],$DD1152,72),0)</f>
        <v/>
      </c>
      <c r="BW1152">
        <f>IFERROR(INDEX(PP_Grid[#Data],$DD1152,73),0)</f>
        <v/>
      </c>
      <c r="BX1152">
        <f>IFERROR(INDEX(PP_Grid[#Data],$DD1152,74),0)</f>
        <v/>
      </c>
      <c r="BY1152">
        <f>IFERROR(INDEX(PP_Grid[#Data],$DD1152,75),0)</f>
        <v/>
      </c>
      <c r="BZ1152">
        <f>IFERROR(INDEX(PP_Grid[#Data],$DD1152,76),0)</f>
        <v/>
      </c>
      <c r="CA1152">
        <f>IFERROR(INDEX(PP_Grid[#Data],$DD1152,77),0)</f>
        <v/>
      </c>
      <c r="CB1152">
        <f>IFERROR(INDEX(PP_Grid[#Data],$DD1152,78),0)</f>
        <v/>
      </c>
      <c r="CC1152">
        <f>IFERROR(INDEX(PP_Grid[#Data],$DD1152,79),0)</f>
        <v/>
      </c>
      <c r="CD1152">
        <f>IFERROR(INDEX(PP_Grid[#Data],$DD1152,80),0)</f>
        <v/>
      </c>
      <c r="CE1152">
        <f>IFERROR(INDEX(PP_Grid[#Data],$DD1152,81),0)</f>
        <v/>
      </c>
      <c r="CF1152">
        <f>IFERROR(INDEX(PP_Grid[#Data],$DD1152,82),0)</f>
        <v/>
      </c>
      <c r="CG1152">
        <f>IFERROR(INDEX(PP_Grid[#Data],$DD1152,83),0)</f>
        <v/>
      </c>
      <c r="CH1152">
        <f>IFERROR(INDEX(PP_Grid[#Data],$DD1152,84),0)</f>
        <v/>
      </c>
      <c r="CI1152">
        <f>IFERROR(INDEX(PP_Grid[#Data],$DD1152,85),0)</f>
        <v/>
      </c>
      <c r="CJ1152">
        <f>IFERROR(INDEX(PP_Grid[#Data],$DD1152,86),0)</f>
        <v/>
      </c>
      <c r="CK1152">
        <f>IFERROR(INDEX(PP_Grid[#Data],$DD1152,87),0)</f>
        <v/>
      </c>
      <c r="CL1152">
        <f>IFERROR(INDEX(PP_Grid[#Data],$DD1152,88),0)</f>
        <v/>
      </c>
      <c r="CM1152">
        <f>IFERROR(INDEX(PP_Grid[#Data],$DD1152,89),0)</f>
        <v/>
      </c>
      <c r="CN1152">
        <f>IFERROR(INDEX(PP_Grid[#Data],$DD1152,90),0)</f>
        <v/>
      </c>
      <c r="CO1152">
        <f>IFERROR(INDEX(PP_Grid[#Data],$DD1152,91),0)</f>
        <v/>
      </c>
      <c r="CP1152">
        <f>IFERROR(INDEX(PP_Grid[#Data],$DD1152,92),0)</f>
        <v/>
      </c>
      <c r="CQ1152">
        <f>IFERROR(INDEX(PP_Grid[#Data],$DD1152,93),0)</f>
        <v/>
      </c>
      <c r="CR1152">
        <f>IFERROR(INDEX(PP_Grid[#Data],$DD1152,94),0)</f>
        <v/>
      </c>
      <c r="CS1152">
        <f>IFERROR(INDEX(PP_Grid[#Data],$DD1152,95),0)</f>
        <v/>
      </c>
      <c r="CT1152">
        <f>IFERROR(INDEX(PP_Grid[#Data],$DD1152,96),0)</f>
        <v/>
      </c>
      <c r="CU1152">
        <f>IFERROR(INDEX(PP_Grid[#Data],$DD1152,97),0)</f>
        <v/>
      </c>
      <c r="CV1152">
        <f>IFERROR(INDEX(PP_Grid[#Data],$DD1152,98),0)</f>
        <v/>
      </c>
      <c r="CW1152">
        <f>IFERROR(INDEX(PP_Grid[#Data],$DD1152,99),0)</f>
        <v/>
      </c>
      <c r="CX1152">
        <f>IFERROR(INDEX(PP_Grid[#Data],$DD1152,100),0)</f>
        <v/>
      </c>
      <c r="CY1152">
        <f>IFERROR(INDEX(PP_Grid[#Data],$DD1152,101),0)</f>
        <v/>
      </c>
      <c r="CZ1152">
        <f>IFERROR(INDEX(PP_Grid[#Data],$DD1152,102),0)</f>
        <v/>
      </c>
      <c r="DA1152">
        <f>IFERROR(INDEX(PP_Grid[#Data],$DD1152,103),0)</f>
        <v/>
      </c>
      <c r="DB1152">
        <f>IFERROR(INDEX(PP_Grid[#Data],$DD1152,104),0)</f>
        <v/>
      </c>
      <c r="DC1152">
        <f>IFERROR(INDEX(PP_Grid[#Data],$DD1152,105),0)</f>
        <v/>
      </c>
      <c r="DD1152" s="7">
        <f>IFERROR(MATCH($B1152,PP_Grid[Intermediate],0),99999)</f>
        <v/>
      </c>
    </row>
    <row r="1153">
      <c r="B1153" t="inlineStr">
        <is>
          <t>使用量(kg)</t>
        </is>
      </c>
      <c r="C1153">
        <f>SUMIFS(M_BOM[RM_Qty_Per_Batch],M_BOM[Intermediate],$B1152,M_BOM[Part Name],$A1131)</f>
        <v/>
      </c>
      <c r="D1153">
        <f>$C1153*D1152</f>
        <v/>
      </c>
      <c r="E1153">
        <f>$C1153*E1152</f>
        <v/>
      </c>
      <c r="F1153">
        <f>$C1153*F1152</f>
        <v/>
      </c>
      <c r="G1153">
        <f>$C1153*G1152</f>
        <v/>
      </c>
      <c r="H1153">
        <f>$C1153*H1152</f>
        <v/>
      </c>
      <c r="I1153">
        <f>$C1153*I1152</f>
        <v/>
      </c>
      <c r="J1153">
        <f>$C1153*J1152</f>
        <v/>
      </c>
      <c r="K1153">
        <f>$C1153*K1152</f>
        <v/>
      </c>
      <c r="L1153">
        <f>$C1153*L1152</f>
        <v/>
      </c>
      <c r="M1153">
        <f>$C1153*M1152</f>
        <v/>
      </c>
      <c r="N1153">
        <f>$C1153*N1152</f>
        <v/>
      </c>
      <c r="O1153">
        <f>$C1153*O1152</f>
        <v/>
      </c>
      <c r="P1153">
        <f>$C1153*P1152</f>
        <v/>
      </c>
      <c r="Q1153">
        <f>$C1153*Q1152</f>
        <v/>
      </c>
      <c r="R1153">
        <f>$C1153*R1152</f>
        <v/>
      </c>
      <c r="S1153">
        <f>$C1153*S1152</f>
        <v/>
      </c>
      <c r="T1153">
        <f>$C1153*T1152</f>
        <v/>
      </c>
      <c r="U1153">
        <f>$C1153*U1152</f>
        <v/>
      </c>
      <c r="V1153">
        <f>$C1153*V1152</f>
        <v/>
      </c>
      <c r="W1153">
        <f>$C1153*W1152</f>
        <v/>
      </c>
      <c r="X1153">
        <f>$C1153*X1152</f>
        <v/>
      </c>
      <c r="Y1153">
        <f>$C1153*Y1152</f>
        <v/>
      </c>
      <c r="Z1153">
        <f>$C1153*Z1152</f>
        <v/>
      </c>
      <c r="AA1153">
        <f>$C1153*AA1152</f>
        <v/>
      </c>
      <c r="AB1153">
        <f>$C1153*AB1152</f>
        <v/>
      </c>
      <c r="AC1153">
        <f>$C1153*AC1152</f>
        <v/>
      </c>
      <c r="AD1153">
        <f>$C1153*AD1152</f>
        <v/>
      </c>
      <c r="AE1153">
        <f>$C1153*AE1152</f>
        <v/>
      </c>
      <c r="AF1153">
        <f>$C1153*AF1152</f>
        <v/>
      </c>
      <c r="AG1153">
        <f>$C1153*AG1152</f>
        <v/>
      </c>
      <c r="AH1153">
        <f>$C1153*AH1152</f>
        <v/>
      </c>
      <c r="AI1153">
        <f>$C1153*AI1152</f>
        <v/>
      </c>
      <c r="AJ1153">
        <f>$C1153*AJ1152</f>
        <v/>
      </c>
      <c r="AK1153">
        <f>$C1153*AK1152</f>
        <v/>
      </c>
      <c r="AL1153">
        <f>$C1153*AL1152</f>
        <v/>
      </c>
      <c r="AM1153">
        <f>$C1153*AM1152</f>
        <v/>
      </c>
      <c r="AN1153">
        <f>$C1153*AN1152</f>
        <v/>
      </c>
      <c r="AO1153">
        <f>$C1153*AO1152</f>
        <v/>
      </c>
      <c r="AP1153">
        <f>$C1153*AP1152</f>
        <v/>
      </c>
      <c r="AQ1153">
        <f>$C1153*AQ1152</f>
        <v/>
      </c>
      <c r="AR1153">
        <f>$C1153*AR1152</f>
        <v/>
      </c>
      <c r="AS1153">
        <f>$C1153*AS1152</f>
        <v/>
      </c>
      <c r="AT1153">
        <f>$C1153*AT1152</f>
        <v/>
      </c>
      <c r="AU1153">
        <f>$C1153*AU1152</f>
        <v/>
      </c>
      <c r="AV1153">
        <f>$C1153*AV1152</f>
        <v/>
      </c>
      <c r="AW1153">
        <f>$C1153*AW1152</f>
        <v/>
      </c>
      <c r="AX1153">
        <f>$C1153*AX1152</f>
        <v/>
      </c>
      <c r="AY1153">
        <f>$C1153*AY1152</f>
        <v/>
      </c>
      <c r="AZ1153">
        <f>$C1153*AZ1152</f>
        <v/>
      </c>
      <c r="BA1153">
        <f>$C1153*BA1152</f>
        <v/>
      </c>
      <c r="BB1153">
        <f>$C1153*BB1152</f>
        <v/>
      </c>
      <c r="BC1153">
        <f>$C1153*BC1152</f>
        <v/>
      </c>
      <c r="BD1153">
        <f>$C1153*BD1152</f>
        <v/>
      </c>
      <c r="BE1153">
        <f>$C1153*BE1152</f>
        <v/>
      </c>
      <c r="BF1153">
        <f>$C1153*BF1152</f>
        <v/>
      </c>
      <c r="BG1153">
        <f>$C1153*BG1152</f>
        <v/>
      </c>
      <c r="BH1153">
        <f>$C1153*BH1152</f>
        <v/>
      </c>
      <c r="BI1153">
        <f>$C1153*BI1152</f>
        <v/>
      </c>
      <c r="BJ1153">
        <f>$C1153*BJ1152</f>
        <v/>
      </c>
      <c r="BK1153">
        <f>$C1153*BK1152</f>
        <v/>
      </c>
      <c r="BL1153">
        <f>$C1153*BL1152</f>
        <v/>
      </c>
      <c r="BM1153">
        <f>$C1153*BM1152</f>
        <v/>
      </c>
      <c r="BN1153">
        <f>$C1153*BN1152</f>
        <v/>
      </c>
      <c r="BO1153">
        <f>$C1153*BO1152</f>
        <v/>
      </c>
      <c r="BP1153">
        <f>$C1153*BP1152</f>
        <v/>
      </c>
      <c r="BQ1153">
        <f>$C1153*BQ1152</f>
        <v/>
      </c>
      <c r="BR1153">
        <f>$C1153*BR1152</f>
        <v/>
      </c>
      <c r="BS1153">
        <f>$C1153*BS1152</f>
        <v/>
      </c>
      <c r="BT1153">
        <f>$C1153*BT1152</f>
        <v/>
      </c>
      <c r="BU1153">
        <f>$C1153*BU1152</f>
        <v/>
      </c>
      <c r="BV1153">
        <f>$C1153*BV1152</f>
        <v/>
      </c>
      <c r="BW1153">
        <f>$C1153*BW1152</f>
        <v/>
      </c>
      <c r="BX1153">
        <f>$C1153*BX1152</f>
        <v/>
      </c>
      <c r="BY1153">
        <f>$C1153*BY1152</f>
        <v/>
      </c>
      <c r="BZ1153">
        <f>$C1153*BZ1152</f>
        <v/>
      </c>
      <c r="CA1153">
        <f>$C1153*CA1152</f>
        <v/>
      </c>
      <c r="CB1153">
        <f>$C1153*CB1152</f>
        <v/>
      </c>
      <c r="CC1153">
        <f>$C1153*CC1152</f>
        <v/>
      </c>
      <c r="CD1153">
        <f>$C1153*CD1152</f>
        <v/>
      </c>
      <c r="CE1153">
        <f>$C1153*CE1152</f>
        <v/>
      </c>
      <c r="CF1153">
        <f>$C1153*CF1152</f>
        <v/>
      </c>
      <c r="CG1153">
        <f>$C1153*CG1152</f>
        <v/>
      </c>
      <c r="CH1153">
        <f>$C1153*CH1152</f>
        <v/>
      </c>
      <c r="CI1153">
        <f>$C1153*CI1152</f>
        <v/>
      </c>
      <c r="CJ1153">
        <f>$C1153*CJ1152</f>
        <v/>
      </c>
      <c r="CK1153">
        <f>$C1153*CK1152</f>
        <v/>
      </c>
      <c r="CL1153">
        <f>$C1153*CL1152</f>
        <v/>
      </c>
      <c r="CM1153">
        <f>$C1153*CM1152</f>
        <v/>
      </c>
      <c r="CN1153">
        <f>$C1153*CN1152</f>
        <v/>
      </c>
      <c r="CO1153">
        <f>$C1153*CO1152</f>
        <v/>
      </c>
      <c r="CP1153">
        <f>$C1153*CP1152</f>
        <v/>
      </c>
      <c r="CQ1153">
        <f>$C1153*CQ1152</f>
        <v/>
      </c>
      <c r="CR1153">
        <f>$C1153*CR1152</f>
        <v/>
      </c>
      <c r="CS1153">
        <f>$C1153*CS1152</f>
        <v/>
      </c>
      <c r="CT1153">
        <f>$C1153*CT1152</f>
        <v/>
      </c>
      <c r="CU1153">
        <f>$C1153*CU1152</f>
        <v/>
      </c>
      <c r="CV1153">
        <f>$C1153*CV1152</f>
        <v/>
      </c>
      <c r="CW1153">
        <f>$C1153*CW1152</f>
        <v/>
      </c>
      <c r="CX1153">
        <f>$C1153*CX1152</f>
        <v/>
      </c>
      <c r="CY1153">
        <f>$C1153*CY1152</f>
        <v/>
      </c>
      <c r="CZ1153">
        <f>$C1153*CZ1152</f>
        <v/>
      </c>
      <c r="DA1153">
        <f>$C1153*DA1152</f>
        <v/>
      </c>
      <c r="DB1153">
        <f>$C1153*DB1152</f>
        <v/>
      </c>
      <c r="DC1153">
        <f>$C1153*DC1152</f>
        <v/>
      </c>
    </row>
    <row r="1154">
      <c r="B1154" t="inlineStr">
        <is>
          <t>TSP-935</t>
        </is>
      </c>
      <c r="C1154" t="inlineStr">
        <is>
          <t>No. of batches</t>
        </is>
      </c>
      <c r="D1154">
        <f>IFERROR(INDEX(PP_Grid[#Data],$DD1154,2),0)</f>
        <v/>
      </c>
      <c r="E1154">
        <f>IFERROR(INDEX(PP_Grid[#Data],$DD1154,3),0)</f>
        <v/>
      </c>
      <c r="F1154">
        <f>IFERROR(INDEX(PP_Grid[#Data],$DD1154,4),0)</f>
        <v/>
      </c>
      <c r="G1154">
        <f>IFERROR(INDEX(PP_Grid[#Data],$DD1154,5),0)</f>
        <v/>
      </c>
      <c r="H1154">
        <f>IFERROR(INDEX(PP_Grid[#Data],$DD1154,6),0)</f>
        <v/>
      </c>
      <c r="I1154">
        <f>IFERROR(INDEX(PP_Grid[#Data],$DD1154,7),0)</f>
        <v/>
      </c>
      <c r="J1154">
        <f>IFERROR(INDEX(PP_Grid[#Data],$DD1154,8),0)</f>
        <v/>
      </c>
      <c r="K1154">
        <f>IFERROR(INDEX(PP_Grid[#Data],$DD1154,9),0)</f>
        <v/>
      </c>
      <c r="L1154">
        <f>IFERROR(INDEX(PP_Grid[#Data],$DD1154,10),0)</f>
        <v/>
      </c>
      <c r="M1154">
        <f>IFERROR(INDEX(PP_Grid[#Data],$DD1154,11),0)</f>
        <v/>
      </c>
      <c r="N1154">
        <f>IFERROR(INDEX(PP_Grid[#Data],$DD1154,12),0)</f>
        <v/>
      </c>
      <c r="O1154">
        <f>IFERROR(INDEX(PP_Grid[#Data],$DD1154,13),0)</f>
        <v/>
      </c>
      <c r="P1154">
        <f>IFERROR(INDEX(PP_Grid[#Data],$DD1154,14),0)</f>
        <v/>
      </c>
      <c r="Q1154">
        <f>IFERROR(INDEX(PP_Grid[#Data],$DD1154,15),0)</f>
        <v/>
      </c>
      <c r="R1154">
        <f>IFERROR(INDEX(PP_Grid[#Data],$DD1154,16),0)</f>
        <v/>
      </c>
      <c r="S1154">
        <f>IFERROR(INDEX(PP_Grid[#Data],$DD1154,17),0)</f>
        <v/>
      </c>
      <c r="T1154">
        <f>IFERROR(INDEX(PP_Grid[#Data],$DD1154,18),0)</f>
        <v/>
      </c>
      <c r="U1154">
        <f>IFERROR(INDEX(PP_Grid[#Data],$DD1154,19),0)</f>
        <v/>
      </c>
      <c r="V1154">
        <f>IFERROR(INDEX(PP_Grid[#Data],$DD1154,20),0)</f>
        <v/>
      </c>
      <c r="W1154">
        <f>IFERROR(INDEX(PP_Grid[#Data],$DD1154,21),0)</f>
        <v/>
      </c>
      <c r="X1154">
        <f>IFERROR(INDEX(PP_Grid[#Data],$DD1154,22),0)</f>
        <v/>
      </c>
      <c r="Y1154">
        <f>IFERROR(INDEX(PP_Grid[#Data],$DD1154,23),0)</f>
        <v/>
      </c>
      <c r="Z1154">
        <f>IFERROR(INDEX(PP_Grid[#Data],$DD1154,24),0)</f>
        <v/>
      </c>
      <c r="AA1154">
        <f>IFERROR(INDEX(PP_Grid[#Data],$DD1154,25),0)</f>
        <v/>
      </c>
      <c r="AB1154">
        <f>IFERROR(INDEX(PP_Grid[#Data],$DD1154,26),0)</f>
        <v/>
      </c>
      <c r="AC1154">
        <f>IFERROR(INDEX(PP_Grid[#Data],$DD1154,27),0)</f>
        <v/>
      </c>
      <c r="AD1154">
        <f>IFERROR(INDEX(PP_Grid[#Data],$DD1154,28),0)</f>
        <v/>
      </c>
      <c r="AE1154">
        <f>IFERROR(INDEX(PP_Grid[#Data],$DD1154,29),0)</f>
        <v/>
      </c>
      <c r="AF1154">
        <f>IFERROR(INDEX(PP_Grid[#Data],$DD1154,30),0)</f>
        <v/>
      </c>
      <c r="AG1154">
        <f>IFERROR(INDEX(PP_Grid[#Data],$DD1154,31),0)</f>
        <v/>
      </c>
      <c r="AH1154">
        <f>IFERROR(INDEX(PP_Grid[#Data],$DD1154,32),0)</f>
        <v/>
      </c>
      <c r="AI1154">
        <f>IFERROR(INDEX(PP_Grid[#Data],$DD1154,33),0)</f>
        <v/>
      </c>
      <c r="AJ1154">
        <f>IFERROR(INDEX(PP_Grid[#Data],$DD1154,34),0)</f>
        <v/>
      </c>
      <c r="AK1154">
        <f>IFERROR(INDEX(PP_Grid[#Data],$DD1154,35),0)</f>
        <v/>
      </c>
      <c r="AL1154">
        <f>IFERROR(INDEX(PP_Grid[#Data],$DD1154,36),0)</f>
        <v/>
      </c>
      <c r="AM1154">
        <f>IFERROR(INDEX(PP_Grid[#Data],$DD1154,37),0)</f>
        <v/>
      </c>
      <c r="AN1154">
        <f>IFERROR(INDEX(PP_Grid[#Data],$DD1154,38),0)</f>
        <v/>
      </c>
      <c r="AO1154">
        <f>IFERROR(INDEX(PP_Grid[#Data],$DD1154,39),0)</f>
        <v/>
      </c>
      <c r="AP1154">
        <f>IFERROR(INDEX(PP_Grid[#Data],$DD1154,40),0)</f>
        <v/>
      </c>
      <c r="AQ1154">
        <f>IFERROR(INDEX(PP_Grid[#Data],$DD1154,41),0)</f>
        <v/>
      </c>
      <c r="AR1154">
        <f>IFERROR(INDEX(PP_Grid[#Data],$DD1154,42),0)</f>
        <v/>
      </c>
      <c r="AS1154">
        <f>IFERROR(INDEX(PP_Grid[#Data],$DD1154,43),0)</f>
        <v/>
      </c>
      <c r="AT1154">
        <f>IFERROR(INDEX(PP_Grid[#Data],$DD1154,44),0)</f>
        <v/>
      </c>
      <c r="AU1154">
        <f>IFERROR(INDEX(PP_Grid[#Data],$DD1154,45),0)</f>
        <v/>
      </c>
      <c r="AV1154">
        <f>IFERROR(INDEX(PP_Grid[#Data],$DD1154,46),0)</f>
        <v/>
      </c>
      <c r="AW1154">
        <f>IFERROR(INDEX(PP_Grid[#Data],$DD1154,47),0)</f>
        <v/>
      </c>
      <c r="AX1154">
        <f>IFERROR(INDEX(PP_Grid[#Data],$DD1154,48),0)</f>
        <v/>
      </c>
      <c r="AY1154">
        <f>IFERROR(INDEX(PP_Grid[#Data],$DD1154,49),0)</f>
        <v/>
      </c>
      <c r="AZ1154">
        <f>IFERROR(INDEX(PP_Grid[#Data],$DD1154,50),0)</f>
        <v/>
      </c>
      <c r="BA1154">
        <f>IFERROR(INDEX(PP_Grid[#Data],$DD1154,51),0)</f>
        <v/>
      </c>
      <c r="BB1154">
        <f>IFERROR(INDEX(PP_Grid[#Data],$DD1154,52),0)</f>
        <v/>
      </c>
      <c r="BC1154">
        <f>IFERROR(INDEX(PP_Grid[#Data],$DD1154,53),0)</f>
        <v/>
      </c>
      <c r="BD1154">
        <f>IFERROR(INDEX(PP_Grid[#Data],$DD1154,54),0)</f>
        <v/>
      </c>
      <c r="BE1154">
        <f>IFERROR(INDEX(PP_Grid[#Data],$DD1154,55),0)</f>
        <v/>
      </c>
      <c r="BF1154">
        <f>IFERROR(INDEX(PP_Grid[#Data],$DD1154,56),0)</f>
        <v/>
      </c>
      <c r="BG1154">
        <f>IFERROR(INDEX(PP_Grid[#Data],$DD1154,57),0)</f>
        <v/>
      </c>
      <c r="BH1154">
        <f>IFERROR(INDEX(PP_Grid[#Data],$DD1154,58),0)</f>
        <v/>
      </c>
      <c r="BI1154">
        <f>IFERROR(INDEX(PP_Grid[#Data],$DD1154,59),0)</f>
        <v/>
      </c>
      <c r="BJ1154">
        <f>IFERROR(INDEX(PP_Grid[#Data],$DD1154,60),0)</f>
        <v/>
      </c>
      <c r="BK1154">
        <f>IFERROR(INDEX(PP_Grid[#Data],$DD1154,61),0)</f>
        <v/>
      </c>
      <c r="BL1154">
        <f>IFERROR(INDEX(PP_Grid[#Data],$DD1154,62),0)</f>
        <v/>
      </c>
      <c r="BM1154">
        <f>IFERROR(INDEX(PP_Grid[#Data],$DD1154,63),0)</f>
        <v/>
      </c>
      <c r="BN1154">
        <f>IFERROR(INDEX(PP_Grid[#Data],$DD1154,64),0)</f>
        <v/>
      </c>
      <c r="BO1154">
        <f>IFERROR(INDEX(PP_Grid[#Data],$DD1154,65),0)</f>
        <v/>
      </c>
      <c r="BP1154">
        <f>IFERROR(INDEX(PP_Grid[#Data],$DD1154,66),0)</f>
        <v/>
      </c>
      <c r="BQ1154">
        <f>IFERROR(INDEX(PP_Grid[#Data],$DD1154,67),0)</f>
        <v/>
      </c>
      <c r="BR1154">
        <f>IFERROR(INDEX(PP_Grid[#Data],$DD1154,68),0)</f>
        <v/>
      </c>
      <c r="BS1154">
        <f>IFERROR(INDEX(PP_Grid[#Data],$DD1154,69),0)</f>
        <v/>
      </c>
      <c r="BT1154">
        <f>IFERROR(INDEX(PP_Grid[#Data],$DD1154,70),0)</f>
        <v/>
      </c>
      <c r="BU1154">
        <f>IFERROR(INDEX(PP_Grid[#Data],$DD1154,71),0)</f>
        <v/>
      </c>
      <c r="BV1154">
        <f>IFERROR(INDEX(PP_Grid[#Data],$DD1154,72),0)</f>
        <v/>
      </c>
      <c r="BW1154">
        <f>IFERROR(INDEX(PP_Grid[#Data],$DD1154,73),0)</f>
        <v/>
      </c>
      <c r="BX1154">
        <f>IFERROR(INDEX(PP_Grid[#Data],$DD1154,74),0)</f>
        <v/>
      </c>
      <c r="BY1154">
        <f>IFERROR(INDEX(PP_Grid[#Data],$DD1154,75),0)</f>
        <v/>
      </c>
      <c r="BZ1154">
        <f>IFERROR(INDEX(PP_Grid[#Data],$DD1154,76),0)</f>
        <v/>
      </c>
      <c r="CA1154">
        <f>IFERROR(INDEX(PP_Grid[#Data],$DD1154,77),0)</f>
        <v/>
      </c>
      <c r="CB1154">
        <f>IFERROR(INDEX(PP_Grid[#Data],$DD1154,78),0)</f>
        <v/>
      </c>
      <c r="CC1154">
        <f>IFERROR(INDEX(PP_Grid[#Data],$DD1154,79),0)</f>
        <v/>
      </c>
      <c r="CD1154">
        <f>IFERROR(INDEX(PP_Grid[#Data],$DD1154,80),0)</f>
        <v/>
      </c>
      <c r="CE1154">
        <f>IFERROR(INDEX(PP_Grid[#Data],$DD1154,81),0)</f>
        <v/>
      </c>
      <c r="CF1154">
        <f>IFERROR(INDEX(PP_Grid[#Data],$DD1154,82),0)</f>
        <v/>
      </c>
      <c r="CG1154">
        <f>IFERROR(INDEX(PP_Grid[#Data],$DD1154,83),0)</f>
        <v/>
      </c>
      <c r="CH1154">
        <f>IFERROR(INDEX(PP_Grid[#Data],$DD1154,84),0)</f>
        <v/>
      </c>
      <c r="CI1154">
        <f>IFERROR(INDEX(PP_Grid[#Data],$DD1154,85),0)</f>
        <v/>
      </c>
      <c r="CJ1154">
        <f>IFERROR(INDEX(PP_Grid[#Data],$DD1154,86),0)</f>
        <v/>
      </c>
      <c r="CK1154">
        <f>IFERROR(INDEX(PP_Grid[#Data],$DD1154,87),0)</f>
        <v/>
      </c>
      <c r="CL1154">
        <f>IFERROR(INDEX(PP_Grid[#Data],$DD1154,88),0)</f>
        <v/>
      </c>
      <c r="CM1154">
        <f>IFERROR(INDEX(PP_Grid[#Data],$DD1154,89),0)</f>
        <v/>
      </c>
      <c r="CN1154">
        <f>IFERROR(INDEX(PP_Grid[#Data],$DD1154,90),0)</f>
        <v/>
      </c>
      <c r="CO1154">
        <f>IFERROR(INDEX(PP_Grid[#Data],$DD1154,91),0)</f>
        <v/>
      </c>
      <c r="CP1154">
        <f>IFERROR(INDEX(PP_Grid[#Data],$DD1154,92),0)</f>
        <v/>
      </c>
      <c r="CQ1154">
        <f>IFERROR(INDEX(PP_Grid[#Data],$DD1154,93),0)</f>
        <v/>
      </c>
      <c r="CR1154">
        <f>IFERROR(INDEX(PP_Grid[#Data],$DD1154,94),0)</f>
        <v/>
      </c>
      <c r="CS1154">
        <f>IFERROR(INDEX(PP_Grid[#Data],$DD1154,95),0)</f>
        <v/>
      </c>
      <c r="CT1154">
        <f>IFERROR(INDEX(PP_Grid[#Data],$DD1154,96),0)</f>
        <v/>
      </c>
      <c r="CU1154">
        <f>IFERROR(INDEX(PP_Grid[#Data],$DD1154,97),0)</f>
        <v/>
      </c>
      <c r="CV1154">
        <f>IFERROR(INDEX(PP_Grid[#Data],$DD1154,98),0)</f>
        <v/>
      </c>
      <c r="CW1154">
        <f>IFERROR(INDEX(PP_Grid[#Data],$DD1154,99),0)</f>
        <v/>
      </c>
      <c r="CX1154">
        <f>IFERROR(INDEX(PP_Grid[#Data],$DD1154,100),0)</f>
        <v/>
      </c>
      <c r="CY1154">
        <f>IFERROR(INDEX(PP_Grid[#Data],$DD1154,101),0)</f>
        <v/>
      </c>
      <c r="CZ1154">
        <f>IFERROR(INDEX(PP_Grid[#Data],$DD1154,102),0)</f>
        <v/>
      </c>
      <c r="DA1154">
        <f>IFERROR(INDEX(PP_Grid[#Data],$DD1154,103),0)</f>
        <v/>
      </c>
      <c r="DB1154">
        <f>IFERROR(INDEX(PP_Grid[#Data],$DD1154,104),0)</f>
        <v/>
      </c>
      <c r="DC1154">
        <f>IFERROR(INDEX(PP_Grid[#Data],$DD1154,105),0)</f>
        <v/>
      </c>
      <c r="DD1154" s="7">
        <f>IFERROR(MATCH($B1154,PP_Grid[Intermediate],0),99999)</f>
        <v/>
      </c>
    </row>
    <row r="1155">
      <c r="B1155" t="inlineStr">
        <is>
          <t>使用量(kg)</t>
        </is>
      </c>
      <c r="C1155">
        <f>SUMIFS(M_BOM[RM_Qty_Per_Batch],M_BOM[Intermediate],$B1154,M_BOM[Part Name],$A1131)</f>
        <v/>
      </c>
      <c r="D1155">
        <f>$C1155*D1154</f>
        <v/>
      </c>
      <c r="E1155">
        <f>$C1155*E1154</f>
        <v/>
      </c>
      <c r="F1155">
        <f>$C1155*F1154</f>
        <v/>
      </c>
      <c r="G1155">
        <f>$C1155*G1154</f>
        <v/>
      </c>
      <c r="H1155">
        <f>$C1155*H1154</f>
        <v/>
      </c>
      <c r="I1155">
        <f>$C1155*I1154</f>
        <v/>
      </c>
      <c r="J1155">
        <f>$C1155*J1154</f>
        <v/>
      </c>
      <c r="K1155">
        <f>$C1155*K1154</f>
        <v/>
      </c>
      <c r="L1155">
        <f>$C1155*L1154</f>
        <v/>
      </c>
      <c r="M1155">
        <f>$C1155*M1154</f>
        <v/>
      </c>
      <c r="N1155">
        <f>$C1155*N1154</f>
        <v/>
      </c>
      <c r="O1155">
        <f>$C1155*O1154</f>
        <v/>
      </c>
      <c r="P1155">
        <f>$C1155*P1154</f>
        <v/>
      </c>
      <c r="Q1155">
        <f>$C1155*Q1154</f>
        <v/>
      </c>
      <c r="R1155">
        <f>$C1155*R1154</f>
        <v/>
      </c>
      <c r="S1155">
        <f>$C1155*S1154</f>
        <v/>
      </c>
      <c r="T1155">
        <f>$C1155*T1154</f>
        <v/>
      </c>
      <c r="U1155">
        <f>$C1155*U1154</f>
        <v/>
      </c>
      <c r="V1155">
        <f>$C1155*V1154</f>
        <v/>
      </c>
      <c r="W1155">
        <f>$C1155*W1154</f>
        <v/>
      </c>
      <c r="X1155">
        <f>$C1155*X1154</f>
        <v/>
      </c>
      <c r="Y1155">
        <f>$C1155*Y1154</f>
        <v/>
      </c>
      <c r="Z1155">
        <f>$C1155*Z1154</f>
        <v/>
      </c>
      <c r="AA1155">
        <f>$C1155*AA1154</f>
        <v/>
      </c>
      <c r="AB1155">
        <f>$C1155*AB1154</f>
        <v/>
      </c>
      <c r="AC1155">
        <f>$C1155*AC1154</f>
        <v/>
      </c>
      <c r="AD1155">
        <f>$C1155*AD1154</f>
        <v/>
      </c>
      <c r="AE1155">
        <f>$C1155*AE1154</f>
        <v/>
      </c>
      <c r="AF1155">
        <f>$C1155*AF1154</f>
        <v/>
      </c>
      <c r="AG1155">
        <f>$C1155*AG1154</f>
        <v/>
      </c>
      <c r="AH1155">
        <f>$C1155*AH1154</f>
        <v/>
      </c>
      <c r="AI1155">
        <f>$C1155*AI1154</f>
        <v/>
      </c>
      <c r="AJ1155">
        <f>$C1155*AJ1154</f>
        <v/>
      </c>
      <c r="AK1155">
        <f>$C1155*AK1154</f>
        <v/>
      </c>
      <c r="AL1155">
        <f>$C1155*AL1154</f>
        <v/>
      </c>
      <c r="AM1155">
        <f>$C1155*AM1154</f>
        <v/>
      </c>
      <c r="AN1155">
        <f>$C1155*AN1154</f>
        <v/>
      </c>
      <c r="AO1155">
        <f>$C1155*AO1154</f>
        <v/>
      </c>
      <c r="AP1155">
        <f>$C1155*AP1154</f>
        <v/>
      </c>
      <c r="AQ1155">
        <f>$C1155*AQ1154</f>
        <v/>
      </c>
      <c r="AR1155">
        <f>$C1155*AR1154</f>
        <v/>
      </c>
      <c r="AS1155">
        <f>$C1155*AS1154</f>
        <v/>
      </c>
      <c r="AT1155">
        <f>$C1155*AT1154</f>
        <v/>
      </c>
      <c r="AU1155">
        <f>$C1155*AU1154</f>
        <v/>
      </c>
      <c r="AV1155">
        <f>$C1155*AV1154</f>
        <v/>
      </c>
      <c r="AW1155">
        <f>$C1155*AW1154</f>
        <v/>
      </c>
      <c r="AX1155">
        <f>$C1155*AX1154</f>
        <v/>
      </c>
      <c r="AY1155">
        <f>$C1155*AY1154</f>
        <v/>
      </c>
      <c r="AZ1155">
        <f>$C1155*AZ1154</f>
        <v/>
      </c>
      <c r="BA1155">
        <f>$C1155*BA1154</f>
        <v/>
      </c>
      <c r="BB1155">
        <f>$C1155*BB1154</f>
        <v/>
      </c>
      <c r="BC1155">
        <f>$C1155*BC1154</f>
        <v/>
      </c>
      <c r="BD1155">
        <f>$C1155*BD1154</f>
        <v/>
      </c>
      <c r="BE1155">
        <f>$C1155*BE1154</f>
        <v/>
      </c>
      <c r="BF1155">
        <f>$C1155*BF1154</f>
        <v/>
      </c>
      <c r="BG1155">
        <f>$C1155*BG1154</f>
        <v/>
      </c>
      <c r="BH1155">
        <f>$C1155*BH1154</f>
        <v/>
      </c>
      <c r="BI1155">
        <f>$C1155*BI1154</f>
        <v/>
      </c>
      <c r="BJ1155">
        <f>$C1155*BJ1154</f>
        <v/>
      </c>
      <c r="BK1155">
        <f>$C1155*BK1154</f>
        <v/>
      </c>
      <c r="BL1155">
        <f>$C1155*BL1154</f>
        <v/>
      </c>
      <c r="BM1155">
        <f>$C1155*BM1154</f>
        <v/>
      </c>
      <c r="BN1155">
        <f>$C1155*BN1154</f>
        <v/>
      </c>
      <c r="BO1155">
        <f>$C1155*BO1154</f>
        <v/>
      </c>
      <c r="BP1155">
        <f>$C1155*BP1154</f>
        <v/>
      </c>
      <c r="BQ1155">
        <f>$C1155*BQ1154</f>
        <v/>
      </c>
      <c r="BR1155">
        <f>$C1155*BR1154</f>
        <v/>
      </c>
      <c r="BS1155">
        <f>$C1155*BS1154</f>
        <v/>
      </c>
      <c r="BT1155">
        <f>$C1155*BT1154</f>
        <v/>
      </c>
      <c r="BU1155">
        <f>$C1155*BU1154</f>
        <v/>
      </c>
      <c r="BV1155">
        <f>$C1155*BV1154</f>
        <v/>
      </c>
      <c r="BW1155">
        <f>$C1155*BW1154</f>
        <v/>
      </c>
      <c r="BX1155">
        <f>$C1155*BX1154</f>
        <v/>
      </c>
      <c r="BY1155">
        <f>$C1155*BY1154</f>
        <v/>
      </c>
      <c r="BZ1155">
        <f>$C1155*BZ1154</f>
        <v/>
      </c>
      <c r="CA1155">
        <f>$C1155*CA1154</f>
        <v/>
      </c>
      <c r="CB1155">
        <f>$C1155*CB1154</f>
        <v/>
      </c>
      <c r="CC1155">
        <f>$C1155*CC1154</f>
        <v/>
      </c>
      <c r="CD1155">
        <f>$C1155*CD1154</f>
        <v/>
      </c>
      <c r="CE1155">
        <f>$C1155*CE1154</f>
        <v/>
      </c>
      <c r="CF1155">
        <f>$C1155*CF1154</f>
        <v/>
      </c>
      <c r="CG1155">
        <f>$C1155*CG1154</f>
        <v/>
      </c>
      <c r="CH1155">
        <f>$C1155*CH1154</f>
        <v/>
      </c>
      <c r="CI1155">
        <f>$C1155*CI1154</f>
        <v/>
      </c>
      <c r="CJ1155">
        <f>$C1155*CJ1154</f>
        <v/>
      </c>
      <c r="CK1155">
        <f>$C1155*CK1154</f>
        <v/>
      </c>
      <c r="CL1155">
        <f>$C1155*CL1154</f>
        <v/>
      </c>
      <c r="CM1155">
        <f>$C1155*CM1154</f>
        <v/>
      </c>
      <c r="CN1155">
        <f>$C1155*CN1154</f>
        <v/>
      </c>
      <c r="CO1155">
        <f>$C1155*CO1154</f>
        <v/>
      </c>
      <c r="CP1155">
        <f>$C1155*CP1154</f>
        <v/>
      </c>
      <c r="CQ1155">
        <f>$C1155*CQ1154</f>
        <v/>
      </c>
      <c r="CR1155">
        <f>$C1155*CR1154</f>
        <v/>
      </c>
      <c r="CS1155">
        <f>$C1155*CS1154</f>
        <v/>
      </c>
      <c r="CT1155">
        <f>$C1155*CT1154</f>
        <v/>
      </c>
      <c r="CU1155">
        <f>$C1155*CU1154</f>
        <v/>
      </c>
      <c r="CV1155">
        <f>$C1155*CV1154</f>
        <v/>
      </c>
      <c r="CW1155">
        <f>$C1155*CW1154</f>
        <v/>
      </c>
      <c r="CX1155">
        <f>$C1155*CX1154</f>
        <v/>
      </c>
      <c r="CY1155">
        <f>$C1155*CY1154</f>
        <v/>
      </c>
      <c r="CZ1155">
        <f>$C1155*CZ1154</f>
        <v/>
      </c>
      <c r="DA1155">
        <f>$C1155*DA1154</f>
        <v/>
      </c>
      <c r="DB1155">
        <f>$C1155*DB1154</f>
        <v/>
      </c>
      <c r="DC1155">
        <f>$C1155*DC1154</f>
        <v/>
      </c>
    </row>
    <row r="1156">
      <c r="B1156" t="inlineStr">
        <is>
          <t>TSP-937</t>
        </is>
      </c>
      <c r="C1156" t="inlineStr">
        <is>
          <t>No. of batches</t>
        </is>
      </c>
      <c r="D1156">
        <f>IFERROR(INDEX(PP_Grid[#Data],$DD1156,2),0)</f>
        <v/>
      </c>
      <c r="E1156">
        <f>IFERROR(INDEX(PP_Grid[#Data],$DD1156,3),0)</f>
        <v/>
      </c>
      <c r="F1156">
        <f>IFERROR(INDEX(PP_Grid[#Data],$DD1156,4),0)</f>
        <v/>
      </c>
      <c r="G1156">
        <f>IFERROR(INDEX(PP_Grid[#Data],$DD1156,5),0)</f>
        <v/>
      </c>
      <c r="H1156">
        <f>IFERROR(INDEX(PP_Grid[#Data],$DD1156,6),0)</f>
        <v/>
      </c>
      <c r="I1156">
        <f>IFERROR(INDEX(PP_Grid[#Data],$DD1156,7),0)</f>
        <v/>
      </c>
      <c r="J1156">
        <f>IFERROR(INDEX(PP_Grid[#Data],$DD1156,8),0)</f>
        <v/>
      </c>
      <c r="K1156">
        <f>IFERROR(INDEX(PP_Grid[#Data],$DD1156,9),0)</f>
        <v/>
      </c>
      <c r="L1156">
        <f>IFERROR(INDEX(PP_Grid[#Data],$DD1156,10),0)</f>
        <v/>
      </c>
      <c r="M1156">
        <f>IFERROR(INDEX(PP_Grid[#Data],$DD1156,11),0)</f>
        <v/>
      </c>
      <c r="N1156">
        <f>IFERROR(INDEX(PP_Grid[#Data],$DD1156,12),0)</f>
        <v/>
      </c>
      <c r="O1156">
        <f>IFERROR(INDEX(PP_Grid[#Data],$DD1156,13),0)</f>
        <v/>
      </c>
      <c r="P1156">
        <f>IFERROR(INDEX(PP_Grid[#Data],$DD1156,14),0)</f>
        <v/>
      </c>
      <c r="Q1156">
        <f>IFERROR(INDEX(PP_Grid[#Data],$DD1156,15),0)</f>
        <v/>
      </c>
      <c r="R1156">
        <f>IFERROR(INDEX(PP_Grid[#Data],$DD1156,16),0)</f>
        <v/>
      </c>
      <c r="S1156">
        <f>IFERROR(INDEX(PP_Grid[#Data],$DD1156,17),0)</f>
        <v/>
      </c>
      <c r="T1156">
        <f>IFERROR(INDEX(PP_Grid[#Data],$DD1156,18),0)</f>
        <v/>
      </c>
      <c r="U1156">
        <f>IFERROR(INDEX(PP_Grid[#Data],$DD1156,19),0)</f>
        <v/>
      </c>
      <c r="V1156">
        <f>IFERROR(INDEX(PP_Grid[#Data],$DD1156,20),0)</f>
        <v/>
      </c>
      <c r="W1156">
        <f>IFERROR(INDEX(PP_Grid[#Data],$DD1156,21),0)</f>
        <v/>
      </c>
      <c r="X1156">
        <f>IFERROR(INDEX(PP_Grid[#Data],$DD1156,22),0)</f>
        <v/>
      </c>
      <c r="Y1156">
        <f>IFERROR(INDEX(PP_Grid[#Data],$DD1156,23),0)</f>
        <v/>
      </c>
      <c r="Z1156">
        <f>IFERROR(INDEX(PP_Grid[#Data],$DD1156,24),0)</f>
        <v/>
      </c>
      <c r="AA1156">
        <f>IFERROR(INDEX(PP_Grid[#Data],$DD1156,25),0)</f>
        <v/>
      </c>
      <c r="AB1156">
        <f>IFERROR(INDEX(PP_Grid[#Data],$DD1156,26),0)</f>
        <v/>
      </c>
      <c r="AC1156">
        <f>IFERROR(INDEX(PP_Grid[#Data],$DD1156,27),0)</f>
        <v/>
      </c>
      <c r="AD1156">
        <f>IFERROR(INDEX(PP_Grid[#Data],$DD1156,28),0)</f>
        <v/>
      </c>
      <c r="AE1156">
        <f>IFERROR(INDEX(PP_Grid[#Data],$DD1156,29),0)</f>
        <v/>
      </c>
      <c r="AF1156">
        <f>IFERROR(INDEX(PP_Grid[#Data],$DD1156,30),0)</f>
        <v/>
      </c>
      <c r="AG1156">
        <f>IFERROR(INDEX(PP_Grid[#Data],$DD1156,31),0)</f>
        <v/>
      </c>
      <c r="AH1156">
        <f>IFERROR(INDEX(PP_Grid[#Data],$DD1156,32),0)</f>
        <v/>
      </c>
      <c r="AI1156">
        <f>IFERROR(INDEX(PP_Grid[#Data],$DD1156,33),0)</f>
        <v/>
      </c>
      <c r="AJ1156">
        <f>IFERROR(INDEX(PP_Grid[#Data],$DD1156,34),0)</f>
        <v/>
      </c>
      <c r="AK1156">
        <f>IFERROR(INDEX(PP_Grid[#Data],$DD1156,35),0)</f>
        <v/>
      </c>
      <c r="AL1156">
        <f>IFERROR(INDEX(PP_Grid[#Data],$DD1156,36),0)</f>
        <v/>
      </c>
      <c r="AM1156">
        <f>IFERROR(INDEX(PP_Grid[#Data],$DD1156,37),0)</f>
        <v/>
      </c>
      <c r="AN1156">
        <f>IFERROR(INDEX(PP_Grid[#Data],$DD1156,38),0)</f>
        <v/>
      </c>
      <c r="AO1156">
        <f>IFERROR(INDEX(PP_Grid[#Data],$DD1156,39),0)</f>
        <v/>
      </c>
      <c r="AP1156">
        <f>IFERROR(INDEX(PP_Grid[#Data],$DD1156,40),0)</f>
        <v/>
      </c>
      <c r="AQ1156">
        <f>IFERROR(INDEX(PP_Grid[#Data],$DD1156,41),0)</f>
        <v/>
      </c>
      <c r="AR1156">
        <f>IFERROR(INDEX(PP_Grid[#Data],$DD1156,42),0)</f>
        <v/>
      </c>
      <c r="AS1156">
        <f>IFERROR(INDEX(PP_Grid[#Data],$DD1156,43),0)</f>
        <v/>
      </c>
      <c r="AT1156">
        <f>IFERROR(INDEX(PP_Grid[#Data],$DD1156,44),0)</f>
        <v/>
      </c>
      <c r="AU1156">
        <f>IFERROR(INDEX(PP_Grid[#Data],$DD1156,45),0)</f>
        <v/>
      </c>
      <c r="AV1156">
        <f>IFERROR(INDEX(PP_Grid[#Data],$DD1156,46),0)</f>
        <v/>
      </c>
      <c r="AW1156">
        <f>IFERROR(INDEX(PP_Grid[#Data],$DD1156,47),0)</f>
        <v/>
      </c>
      <c r="AX1156">
        <f>IFERROR(INDEX(PP_Grid[#Data],$DD1156,48),0)</f>
        <v/>
      </c>
      <c r="AY1156">
        <f>IFERROR(INDEX(PP_Grid[#Data],$DD1156,49),0)</f>
        <v/>
      </c>
      <c r="AZ1156">
        <f>IFERROR(INDEX(PP_Grid[#Data],$DD1156,50),0)</f>
        <v/>
      </c>
      <c r="BA1156">
        <f>IFERROR(INDEX(PP_Grid[#Data],$DD1156,51),0)</f>
        <v/>
      </c>
      <c r="BB1156">
        <f>IFERROR(INDEX(PP_Grid[#Data],$DD1156,52),0)</f>
        <v/>
      </c>
      <c r="BC1156">
        <f>IFERROR(INDEX(PP_Grid[#Data],$DD1156,53),0)</f>
        <v/>
      </c>
      <c r="BD1156">
        <f>IFERROR(INDEX(PP_Grid[#Data],$DD1156,54),0)</f>
        <v/>
      </c>
      <c r="BE1156">
        <f>IFERROR(INDEX(PP_Grid[#Data],$DD1156,55),0)</f>
        <v/>
      </c>
      <c r="BF1156">
        <f>IFERROR(INDEX(PP_Grid[#Data],$DD1156,56),0)</f>
        <v/>
      </c>
      <c r="BG1156">
        <f>IFERROR(INDEX(PP_Grid[#Data],$DD1156,57),0)</f>
        <v/>
      </c>
      <c r="BH1156">
        <f>IFERROR(INDEX(PP_Grid[#Data],$DD1156,58),0)</f>
        <v/>
      </c>
      <c r="BI1156">
        <f>IFERROR(INDEX(PP_Grid[#Data],$DD1156,59),0)</f>
        <v/>
      </c>
      <c r="BJ1156">
        <f>IFERROR(INDEX(PP_Grid[#Data],$DD1156,60),0)</f>
        <v/>
      </c>
      <c r="BK1156">
        <f>IFERROR(INDEX(PP_Grid[#Data],$DD1156,61),0)</f>
        <v/>
      </c>
      <c r="BL1156">
        <f>IFERROR(INDEX(PP_Grid[#Data],$DD1156,62),0)</f>
        <v/>
      </c>
      <c r="BM1156">
        <f>IFERROR(INDEX(PP_Grid[#Data],$DD1156,63),0)</f>
        <v/>
      </c>
      <c r="BN1156">
        <f>IFERROR(INDEX(PP_Grid[#Data],$DD1156,64),0)</f>
        <v/>
      </c>
      <c r="BO1156">
        <f>IFERROR(INDEX(PP_Grid[#Data],$DD1156,65),0)</f>
        <v/>
      </c>
      <c r="BP1156">
        <f>IFERROR(INDEX(PP_Grid[#Data],$DD1156,66),0)</f>
        <v/>
      </c>
      <c r="BQ1156">
        <f>IFERROR(INDEX(PP_Grid[#Data],$DD1156,67),0)</f>
        <v/>
      </c>
      <c r="BR1156">
        <f>IFERROR(INDEX(PP_Grid[#Data],$DD1156,68),0)</f>
        <v/>
      </c>
      <c r="BS1156">
        <f>IFERROR(INDEX(PP_Grid[#Data],$DD1156,69),0)</f>
        <v/>
      </c>
      <c r="BT1156">
        <f>IFERROR(INDEX(PP_Grid[#Data],$DD1156,70),0)</f>
        <v/>
      </c>
      <c r="BU1156">
        <f>IFERROR(INDEX(PP_Grid[#Data],$DD1156,71),0)</f>
        <v/>
      </c>
      <c r="BV1156">
        <f>IFERROR(INDEX(PP_Grid[#Data],$DD1156,72),0)</f>
        <v/>
      </c>
      <c r="BW1156">
        <f>IFERROR(INDEX(PP_Grid[#Data],$DD1156,73),0)</f>
        <v/>
      </c>
      <c r="BX1156">
        <f>IFERROR(INDEX(PP_Grid[#Data],$DD1156,74),0)</f>
        <v/>
      </c>
      <c r="BY1156">
        <f>IFERROR(INDEX(PP_Grid[#Data],$DD1156,75),0)</f>
        <v/>
      </c>
      <c r="BZ1156">
        <f>IFERROR(INDEX(PP_Grid[#Data],$DD1156,76),0)</f>
        <v/>
      </c>
      <c r="CA1156">
        <f>IFERROR(INDEX(PP_Grid[#Data],$DD1156,77),0)</f>
        <v/>
      </c>
      <c r="CB1156">
        <f>IFERROR(INDEX(PP_Grid[#Data],$DD1156,78),0)</f>
        <v/>
      </c>
      <c r="CC1156">
        <f>IFERROR(INDEX(PP_Grid[#Data],$DD1156,79),0)</f>
        <v/>
      </c>
      <c r="CD1156">
        <f>IFERROR(INDEX(PP_Grid[#Data],$DD1156,80),0)</f>
        <v/>
      </c>
      <c r="CE1156">
        <f>IFERROR(INDEX(PP_Grid[#Data],$DD1156,81),0)</f>
        <v/>
      </c>
      <c r="CF1156">
        <f>IFERROR(INDEX(PP_Grid[#Data],$DD1156,82),0)</f>
        <v/>
      </c>
      <c r="CG1156">
        <f>IFERROR(INDEX(PP_Grid[#Data],$DD1156,83),0)</f>
        <v/>
      </c>
      <c r="CH1156">
        <f>IFERROR(INDEX(PP_Grid[#Data],$DD1156,84),0)</f>
        <v/>
      </c>
      <c r="CI1156">
        <f>IFERROR(INDEX(PP_Grid[#Data],$DD1156,85),0)</f>
        <v/>
      </c>
      <c r="CJ1156">
        <f>IFERROR(INDEX(PP_Grid[#Data],$DD1156,86),0)</f>
        <v/>
      </c>
      <c r="CK1156">
        <f>IFERROR(INDEX(PP_Grid[#Data],$DD1156,87),0)</f>
        <v/>
      </c>
      <c r="CL1156">
        <f>IFERROR(INDEX(PP_Grid[#Data],$DD1156,88),0)</f>
        <v/>
      </c>
      <c r="CM1156">
        <f>IFERROR(INDEX(PP_Grid[#Data],$DD1156,89),0)</f>
        <v/>
      </c>
      <c r="CN1156">
        <f>IFERROR(INDEX(PP_Grid[#Data],$DD1156,90),0)</f>
        <v/>
      </c>
      <c r="CO1156">
        <f>IFERROR(INDEX(PP_Grid[#Data],$DD1156,91),0)</f>
        <v/>
      </c>
      <c r="CP1156">
        <f>IFERROR(INDEX(PP_Grid[#Data],$DD1156,92),0)</f>
        <v/>
      </c>
      <c r="CQ1156">
        <f>IFERROR(INDEX(PP_Grid[#Data],$DD1156,93),0)</f>
        <v/>
      </c>
      <c r="CR1156">
        <f>IFERROR(INDEX(PP_Grid[#Data],$DD1156,94),0)</f>
        <v/>
      </c>
      <c r="CS1156">
        <f>IFERROR(INDEX(PP_Grid[#Data],$DD1156,95),0)</f>
        <v/>
      </c>
      <c r="CT1156">
        <f>IFERROR(INDEX(PP_Grid[#Data],$DD1156,96),0)</f>
        <v/>
      </c>
      <c r="CU1156">
        <f>IFERROR(INDEX(PP_Grid[#Data],$DD1156,97),0)</f>
        <v/>
      </c>
      <c r="CV1156">
        <f>IFERROR(INDEX(PP_Grid[#Data],$DD1156,98),0)</f>
        <v/>
      </c>
      <c r="CW1156">
        <f>IFERROR(INDEX(PP_Grid[#Data],$DD1156,99),0)</f>
        <v/>
      </c>
      <c r="CX1156">
        <f>IFERROR(INDEX(PP_Grid[#Data],$DD1156,100),0)</f>
        <v/>
      </c>
      <c r="CY1156">
        <f>IFERROR(INDEX(PP_Grid[#Data],$DD1156,101),0)</f>
        <v/>
      </c>
      <c r="CZ1156">
        <f>IFERROR(INDEX(PP_Grid[#Data],$DD1156,102),0)</f>
        <v/>
      </c>
      <c r="DA1156">
        <f>IFERROR(INDEX(PP_Grid[#Data],$DD1156,103),0)</f>
        <v/>
      </c>
      <c r="DB1156">
        <f>IFERROR(INDEX(PP_Grid[#Data],$DD1156,104),0)</f>
        <v/>
      </c>
      <c r="DC1156">
        <f>IFERROR(INDEX(PP_Grid[#Data],$DD1156,105),0)</f>
        <v/>
      </c>
      <c r="DD1156" s="7">
        <f>IFERROR(MATCH($B1156,PP_Grid[Intermediate],0),99999)</f>
        <v/>
      </c>
    </row>
    <row r="1157">
      <c r="B1157" t="inlineStr">
        <is>
          <t>使用量(kg)</t>
        </is>
      </c>
      <c r="C1157">
        <f>SUMIFS(M_BOM[RM_Qty_Per_Batch],M_BOM[Intermediate],$B1156,M_BOM[Part Name],$A1131)</f>
        <v/>
      </c>
      <c r="D1157">
        <f>$C1157*D1156</f>
        <v/>
      </c>
      <c r="E1157">
        <f>$C1157*E1156</f>
        <v/>
      </c>
      <c r="F1157">
        <f>$C1157*F1156</f>
        <v/>
      </c>
      <c r="G1157">
        <f>$C1157*G1156</f>
        <v/>
      </c>
      <c r="H1157">
        <f>$C1157*H1156</f>
        <v/>
      </c>
      <c r="I1157">
        <f>$C1157*I1156</f>
        <v/>
      </c>
      <c r="J1157">
        <f>$C1157*J1156</f>
        <v/>
      </c>
      <c r="K1157">
        <f>$C1157*K1156</f>
        <v/>
      </c>
      <c r="L1157">
        <f>$C1157*L1156</f>
        <v/>
      </c>
      <c r="M1157">
        <f>$C1157*M1156</f>
        <v/>
      </c>
      <c r="N1157">
        <f>$C1157*N1156</f>
        <v/>
      </c>
      <c r="O1157">
        <f>$C1157*O1156</f>
        <v/>
      </c>
      <c r="P1157">
        <f>$C1157*P1156</f>
        <v/>
      </c>
      <c r="Q1157">
        <f>$C1157*Q1156</f>
        <v/>
      </c>
      <c r="R1157">
        <f>$C1157*R1156</f>
        <v/>
      </c>
      <c r="S1157">
        <f>$C1157*S1156</f>
        <v/>
      </c>
      <c r="T1157">
        <f>$C1157*T1156</f>
        <v/>
      </c>
      <c r="U1157">
        <f>$C1157*U1156</f>
        <v/>
      </c>
      <c r="V1157">
        <f>$C1157*V1156</f>
        <v/>
      </c>
      <c r="W1157">
        <f>$C1157*W1156</f>
        <v/>
      </c>
      <c r="X1157">
        <f>$C1157*X1156</f>
        <v/>
      </c>
      <c r="Y1157">
        <f>$C1157*Y1156</f>
        <v/>
      </c>
      <c r="Z1157">
        <f>$C1157*Z1156</f>
        <v/>
      </c>
      <c r="AA1157">
        <f>$C1157*AA1156</f>
        <v/>
      </c>
      <c r="AB1157">
        <f>$C1157*AB1156</f>
        <v/>
      </c>
      <c r="AC1157">
        <f>$C1157*AC1156</f>
        <v/>
      </c>
      <c r="AD1157">
        <f>$C1157*AD1156</f>
        <v/>
      </c>
      <c r="AE1157">
        <f>$C1157*AE1156</f>
        <v/>
      </c>
      <c r="AF1157">
        <f>$C1157*AF1156</f>
        <v/>
      </c>
      <c r="AG1157">
        <f>$C1157*AG1156</f>
        <v/>
      </c>
      <c r="AH1157">
        <f>$C1157*AH1156</f>
        <v/>
      </c>
      <c r="AI1157">
        <f>$C1157*AI1156</f>
        <v/>
      </c>
      <c r="AJ1157">
        <f>$C1157*AJ1156</f>
        <v/>
      </c>
      <c r="AK1157">
        <f>$C1157*AK1156</f>
        <v/>
      </c>
      <c r="AL1157">
        <f>$C1157*AL1156</f>
        <v/>
      </c>
      <c r="AM1157">
        <f>$C1157*AM1156</f>
        <v/>
      </c>
      <c r="AN1157">
        <f>$C1157*AN1156</f>
        <v/>
      </c>
      <c r="AO1157">
        <f>$C1157*AO1156</f>
        <v/>
      </c>
      <c r="AP1157">
        <f>$C1157*AP1156</f>
        <v/>
      </c>
      <c r="AQ1157">
        <f>$C1157*AQ1156</f>
        <v/>
      </c>
      <c r="AR1157">
        <f>$C1157*AR1156</f>
        <v/>
      </c>
      <c r="AS1157">
        <f>$C1157*AS1156</f>
        <v/>
      </c>
      <c r="AT1157">
        <f>$C1157*AT1156</f>
        <v/>
      </c>
      <c r="AU1157">
        <f>$C1157*AU1156</f>
        <v/>
      </c>
      <c r="AV1157">
        <f>$C1157*AV1156</f>
        <v/>
      </c>
      <c r="AW1157">
        <f>$C1157*AW1156</f>
        <v/>
      </c>
      <c r="AX1157">
        <f>$C1157*AX1156</f>
        <v/>
      </c>
      <c r="AY1157">
        <f>$C1157*AY1156</f>
        <v/>
      </c>
      <c r="AZ1157">
        <f>$C1157*AZ1156</f>
        <v/>
      </c>
      <c r="BA1157">
        <f>$C1157*BA1156</f>
        <v/>
      </c>
      <c r="BB1157">
        <f>$C1157*BB1156</f>
        <v/>
      </c>
      <c r="BC1157">
        <f>$C1157*BC1156</f>
        <v/>
      </c>
      <c r="BD1157">
        <f>$C1157*BD1156</f>
        <v/>
      </c>
      <c r="BE1157">
        <f>$C1157*BE1156</f>
        <v/>
      </c>
      <c r="BF1157">
        <f>$C1157*BF1156</f>
        <v/>
      </c>
      <c r="BG1157">
        <f>$C1157*BG1156</f>
        <v/>
      </c>
      <c r="BH1157">
        <f>$C1157*BH1156</f>
        <v/>
      </c>
      <c r="BI1157">
        <f>$C1157*BI1156</f>
        <v/>
      </c>
      <c r="BJ1157">
        <f>$C1157*BJ1156</f>
        <v/>
      </c>
      <c r="BK1157">
        <f>$C1157*BK1156</f>
        <v/>
      </c>
      <c r="BL1157">
        <f>$C1157*BL1156</f>
        <v/>
      </c>
      <c r="BM1157">
        <f>$C1157*BM1156</f>
        <v/>
      </c>
      <c r="BN1157">
        <f>$C1157*BN1156</f>
        <v/>
      </c>
      <c r="BO1157">
        <f>$C1157*BO1156</f>
        <v/>
      </c>
      <c r="BP1157">
        <f>$C1157*BP1156</f>
        <v/>
      </c>
      <c r="BQ1157">
        <f>$C1157*BQ1156</f>
        <v/>
      </c>
      <c r="BR1157">
        <f>$C1157*BR1156</f>
        <v/>
      </c>
      <c r="BS1157">
        <f>$C1157*BS1156</f>
        <v/>
      </c>
      <c r="BT1157">
        <f>$C1157*BT1156</f>
        <v/>
      </c>
      <c r="BU1157">
        <f>$C1157*BU1156</f>
        <v/>
      </c>
      <c r="BV1157">
        <f>$C1157*BV1156</f>
        <v/>
      </c>
      <c r="BW1157">
        <f>$C1157*BW1156</f>
        <v/>
      </c>
      <c r="BX1157">
        <f>$C1157*BX1156</f>
        <v/>
      </c>
      <c r="BY1157">
        <f>$C1157*BY1156</f>
        <v/>
      </c>
      <c r="BZ1157">
        <f>$C1157*BZ1156</f>
        <v/>
      </c>
      <c r="CA1157">
        <f>$C1157*CA1156</f>
        <v/>
      </c>
      <c r="CB1157">
        <f>$C1157*CB1156</f>
        <v/>
      </c>
      <c r="CC1157">
        <f>$C1157*CC1156</f>
        <v/>
      </c>
      <c r="CD1157">
        <f>$C1157*CD1156</f>
        <v/>
      </c>
      <c r="CE1157">
        <f>$C1157*CE1156</f>
        <v/>
      </c>
      <c r="CF1157">
        <f>$C1157*CF1156</f>
        <v/>
      </c>
      <c r="CG1157">
        <f>$C1157*CG1156</f>
        <v/>
      </c>
      <c r="CH1157">
        <f>$C1157*CH1156</f>
        <v/>
      </c>
      <c r="CI1157">
        <f>$C1157*CI1156</f>
        <v/>
      </c>
      <c r="CJ1157">
        <f>$C1157*CJ1156</f>
        <v/>
      </c>
      <c r="CK1157">
        <f>$C1157*CK1156</f>
        <v/>
      </c>
      <c r="CL1157">
        <f>$C1157*CL1156</f>
        <v/>
      </c>
      <c r="CM1157">
        <f>$C1157*CM1156</f>
        <v/>
      </c>
      <c r="CN1157">
        <f>$C1157*CN1156</f>
        <v/>
      </c>
      <c r="CO1157">
        <f>$C1157*CO1156</f>
        <v/>
      </c>
      <c r="CP1157">
        <f>$C1157*CP1156</f>
        <v/>
      </c>
      <c r="CQ1157">
        <f>$C1157*CQ1156</f>
        <v/>
      </c>
      <c r="CR1157">
        <f>$C1157*CR1156</f>
        <v/>
      </c>
      <c r="CS1157">
        <f>$C1157*CS1156</f>
        <v/>
      </c>
      <c r="CT1157">
        <f>$C1157*CT1156</f>
        <v/>
      </c>
      <c r="CU1157">
        <f>$C1157*CU1156</f>
        <v/>
      </c>
      <c r="CV1157">
        <f>$C1157*CV1156</f>
        <v/>
      </c>
      <c r="CW1157">
        <f>$C1157*CW1156</f>
        <v/>
      </c>
      <c r="CX1157">
        <f>$C1157*CX1156</f>
        <v/>
      </c>
      <c r="CY1157">
        <f>$C1157*CY1156</f>
        <v/>
      </c>
      <c r="CZ1157">
        <f>$C1157*CZ1156</f>
        <v/>
      </c>
      <c r="DA1157">
        <f>$C1157*DA1156</f>
        <v/>
      </c>
      <c r="DB1157">
        <f>$C1157*DB1156</f>
        <v/>
      </c>
      <c r="DC1157">
        <f>$C1157*DC1156</f>
        <v/>
      </c>
    </row>
    <row r="1158">
      <c r="B1158" t="inlineStr">
        <is>
          <t>TSP-959</t>
        </is>
      </c>
      <c r="C1158" t="inlineStr">
        <is>
          <t>No. of batches</t>
        </is>
      </c>
      <c r="D1158">
        <f>IFERROR(INDEX(PP_Grid[#Data],$DD1158,2),0)</f>
        <v/>
      </c>
      <c r="E1158">
        <f>IFERROR(INDEX(PP_Grid[#Data],$DD1158,3),0)</f>
        <v/>
      </c>
      <c r="F1158">
        <f>IFERROR(INDEX(PP_Grid[#Data],$DD1158,4),0)</f>
        <v/>
      </c>
      <c r="G1158">
        <f>IFERROR(INDEX(PP_Grid[#Data],$DD1158,5),0)</f>
        <v/>
      </c>
      <c r="H1158">
        <f>IFERROR(INDEX(PP_Grid[#Data],$DD1158,6),0)</f>
        <v/>
      </c>
      <c r="I1158">
        <f>IFERROR(INDEX(PP_Grid[#Data],$DD1158,7),0)</f>
        <v/>
      </c>
      <c r="J1158">
        <f>IFERROR(INDEX(PP_Grid[#Data],$DD1158,8),0)</f>
        <v/>
      </c>
      <c r="K1158">
        <f>IFERROR(INDEX(PP_Grid[#Data],$DD1158,9),0)</f>
        <v/>
      </c>
      <c r="L1158">
        <f>IFERROR(INDEX(PP_Grid[#Data],$DD1158,10),0)</f>
        <v/>
      </c>
      <c r="M1158">
        <f>IFERROR(INDEX(PP_Grid[#Data],$DD1158,11),0)</f>
        <v/>
      </c>
      <c r="N1158">
        <f>IFERROR(INDEX(PP_Grid[#Data],$DD1158,12),0)</f>
        <v/>
      </c>
      <c r="O1158">
        <f>IFERROR(INDEX(PP_Grid[#Data],$DD1158,13),0)</f>
        <v/>
      </c>
      <c r="P1158">
        <f>IFERROR(INDEX(PP_Grid[#Data],$DD1158,14),0)</f>
        <v/>
      </c>
      <c r="Q1158">
        <f>IFERROR(INDEX(PP_Grid[#Data],$DD1158,15),0)</f>
        <v/>
      </c>
      <c r="R1158">
        <f>IFERROR(INDEX(PP_Grid[#Data],$DD1158,16),0)</f>
        <v/>
      </c>
      <c r="S1158">
        <f>IFERROR(INDEX(PP_Grid[#Data],$DD1158,17),0)</f>
        <v/>
      </c>
      <c r="T1158">
        <f>IFERROR(INDEX(PP_Grid[#Data],$DD1158,18),0)</f>
        <v/>
      </c>
      <c r="U1158">
        <f>IFERROR(INDEX(PP_Grid[#Data],$DD1158,19),0)</f>
        <v/>
      </c>
      <c r="V1158">
        <f>IFERROR(INDEX(PP_Grid[#Data],$DD1158,20),0)</f>
        <v/>
      </c>
      <c r="W1158">
        <f>IFERROR(INDEX(PP_Grid[#Data],$DD1158,21),0)</f>
        <v/>
      </c>
      <c r="X1158">
        <f>IFERROR(INDEX(PP_Grid[#Data],$DD1158,22),0)</f>
        <v/>
      </c>
      <c r="Y1158">
        <f>IFERROR(INDEX(PP_Grid[#Data],$DD1158,23),0)</f>
        <v/>
      </c>
      <c r="Z1158">
        <f>IFERROR(INDEX(PP_Grid[#Data],$DD1158,24),0)</f>
        <v/>
      </c>
      <c r="AA1158">
        <f>IFERROR(INDEX(PP_Grid[#Data],$DD1158,25),0)</f>
        <v/>
      </c>
      <c r="AB1158">
        <f>IFERROR(INDEX(PP_Grid[#Data],$DD1158,26),0)</f>
        <v/>
      </c>
      <c r="AC1158">
        <f>IFERROR(INDEX(PP_Grid[#Data],$DD1158,27),0)</f>
        <v/>
      </c>
      <c r="AD1158">
        <f>IFERROR(INDEX(PP_Grid[#Data],$DD1158,28),0)</f>
        <v/>
      </c>
      <c r="AE1158">
        <f>IFERROR(INDEX(PP_Grid[#Data],$DD1158,29),0)</f>
        <v/>
      </c>
      <c r="AF1158">
        <f>IFERROR(INDEX(PP_Grid[#Data],$DD1158,30),0)</f>
        <v/>
      </c>
      <c r="AG1158">
        <f>IFERROR(INDEX(PP_Grid[#Data],$DD1158,31),0)</f>
        <v/>
      </c>
      <c r="AH1158">
        <f>IFERROR(INDEX(PP_Grid[#Data],$DD1158,32),0)</f>
        <v/>
      </c>
      <c r="AI1158">
        <f>IFERROR(INDEX(PP_Grid[#Data],$DD1158,33),0)</f>
        <v/>
      </c>
      <c r="AJ1158">
        <f>IFERROR(INDEX(PP_Grid[#Data],$DD1158,34),0)</f>
        <v/>
      </c>
      <c r="AK1158">
        <f>IFERROR(INDEX(PP_Grid[#Data],$DD1158,35),0)</f>
        <v/>
      </c>
      <c r="AL1158">
        <f>IFERROR(INDEX(PP_Grid[#Data],$DD1158,36),0)</f>
        <v/>
      </c>
      <c r="AM1158">
        <f>IFERROR(INDEX(PP_Grid[#Data],$DD1158,37),0)</f>
        <v/>
      </c>
      <c r="AN1158">
        <f>IFERROR(INDEX(PP_Grid[#Data],$DD1158,38),0)</f>
        <v/>
      </c>
      <c r="AO1158">
        <f>IFERROR(INDEX(PP_Grid[#Data],$DD1158,39),0)</f>
        <v/>
      </c>
      <c r="AP1158">
        <f>IFERROR(INDEX(PP_Grid[#Data],$DD1158,40),0)</f>
        <v/>
      </c>
      <c r="AQ1158">
        <f>IFERROR(INDEX(PP_Grid[#Data],$DD1158,41),0)</f>
        <v/>
      </c>
      <c r="AR1158">
        <f>IFERROR(INDEX(PP_Grid[#Data],$DD1158,42),0)</f>
        <v/>
      </c>
      <c r="AS1158">
        <f>IFERROR(INDEX(PP_Grid[#Data],$DD1158,43),0)</f>
        <v/>
      </c>
      <c r="AT1158">
        <f>IFERROR(INDEX(PP_Grid[#Data],$DD1158,44),0)</f>
        <v/>
      </c>
      <c r="AU1158">
        <f>IFERROR(INDEX(PP_Grid[#Data],$DD1158,45),0)</f>
        <v/>
      </c>
      <c r="AV1158">
        <f>IFERROR(INDEX(PP_Grid[#Data],$DD1158,46),0)</f>
        <v/>
      </c>
      <c r="AW1158">
        <f>IFERROR(INDEX(PP_Grid[#Data],$DD1158,47),0)</f>
        <v/>
      </c>
      <c r="AX1158">
        <f>IFERROR(INDEX(PP_Grid[#Data],$DD1158,48),0)</f>
        <v/>
      </c>
      <c r="AY1158">
        <f>IFERROR(INDEX(PP_Grid[#Data],$DD1158,49),0)</f>
        <v/>
      </c>
      <c r="AZ1158">
        <f>IFERROR(INDEX(PP_Grid[#Data],$DD1158,50),0)</f>
        <v/>
      </c>
      <c r="BA1158">
        <f>IFERROR(INDEX(PP_Grid[#Data],$DD1158,51),0)</f>
        <v/>
      </c>
      <c r="BB1158">
        <f>IFERROR(INDEX(PP_Grid[#Data],$DD1158,52),0)</f>
        <v/>
      </c>
      <c r="BC1158">
        <f>IFERROR(INDEX(PP_Grid[#Data],$DD1158,53),0)</f>
        <v/>
      </c>
      <c r="BD1158">
        <f>IFERROR(INDEX(PP_Grid[#Data],$DD1158,54),0)</f>
        <v/>
      </c>
      <c r="BE1158">
        <f>IFERROR(INDEX(PP_Grid[#Data],$DD1158,55),0)</f>
        <v/>
      </c>
      <c r="BF1158">
        <f>IFERROR(INDEX(PP_Grid[#Data],$DD1158,56),0)</f>
        <v/>
      </c>
      <c r="BG1158">
        <f>IFERROR(INDEX(PP_Grid[#Data],$DD1158,57),0)</f>
        <v/>
      </c>
      <c r="BH1158">
        <f>IFERROR(INDEX(PP_Grid[#Data],$DD1158,58),0)</f>
        <v/>
      </c>
      <c r="BI1158">
        <f>IFERROR(INDEX(PP_Grid[#Data],$DD1158,59),0)</f>
        <v/>
      </c>
      <c r="BJ1158">
        <f>IFERROR(INDEX(PP_Grid[#Data],$DD1158,60),0)</f>
        <v/>
      </c>
      <c r="BK1158">
        <f>IFERROR(INDEX(PP_Grid[#Data],$DD1158,61),0)</f>
        <v/>
      </c>
      <c r="BL1158">
        <f>IFERROR(INDEX(PP_Grid[#Data],$DD1158,62),0)</f>
        <v/>
      </c>
      <c r="BM1158">
        <f>IFERROR(INDEX(PP_Grid[#Data],$DD1158,63),0)</f>
        <v/>
      </c>
      <c r="BN1158">
        <f>IFERROR(INDEX(PP_Grid[#Data],$DD1158,64),0)</f>
        <v/>
      </c>
      <c r="BO1158">
        <f>IFERROR(INDEX(PP_Grid[#Data],$DD1158,65),0)</f>
        <v/>
      </c>
      <c r="BP1158">
        <f>IFERROR(INDEX(PP_Grid[#Data],$DD1158,66),0)</f>
        <v/>
      </c>
      <c r="BQ1158">
        <f>IFERROR(INDEX(PP_Grid[#Data],$DD1158,67),0)</f>
        <v/>
      </c>
      <c r="BR1158">
        <f>IFERROR(INDEX(PP_Grid[#Data],$DD1158,68),0)</f>
        <v/>
      </c>
      <c r="BS1158">
        <f>IFERROR(INDEX(PP_Grid[#Data],$DD1158,69),0)</f>
        <v/>
      </c>
      <c r="BT1158">
        <f>IFERROR(INDEX(PP_Grid[#Data],$DD1158,70),0)</f>
        <v/>
      </c>
      <c r="BU1158">
        <f>IFERROR(INDEX(PP_Grid[#Data],$DD1158,71),0)</f>
        <v/>
      </c>
      <c r="BV1158">
        <f>IFERROR(INDEX(PP_Grid[#Data],$DD1158,72),0)</f>
        <v/>
      </c>
      <c r="BW1158">
        <f>IFERROR(INDEX(PP_Grid[#Data],$DD1158,73),0)</f>
        <v/>
      </c>
      <c r="BX1158">
        <f>IFERROR(INDEX(PP_Grid[#Data],$DD1158,74),0)</f>
        <v/>
      </c>
      <c r="BY1158">
        <f>IFERROR(INDEX(PP_Grid[#Data],$DD1158,75),0)</f>
        <v/>
      </c>
      <c r="BZ1158">
        <f>IFERROR(INDEX(PP_Grid[#Data],$DD1158,76),0)</f>
        <v/>
      </c>
      <c r="CA1158">
        <f>IFERROR(INDEX(PP_Grid[#Data],$DD1158,77),0)</f>
        <v/>
      </c>
      <c r="CB1158">
        <f>IFERROR(INDEX(PP_Grid[#Data],$DD1158,78),0)</f>
        <v/>
      </c>
      <c r="CC1158">
        <f>IFERROR(INDEX(PP_Grid[#Data],$DD1158,79),0)</f>
        <v/>
      </c>
      <c r="CD1158">
        <f>IFERROR(INDEX(PP_Grid[#Data],$DD1158,80),0)</f>
        <v/>
      </c>
      <c r="CE1158">
        <f>IFERROR(INDEX(PP_Grid[#Data],$DD1158,81),0)</f>
        <v/>
      </c>
      <c r="CF1158">
        <f>IFERROR(INDEX(PP_Grid[#Data],$DD1158,82),0)</f>
        <v/>
      </c>
      <c r="CG1158">
        <f>IFERROR(INDEX(PP_Grid[#Data],$DD1158,83),0)</f>
        <v/>
      </c>
      <c r="CH1158">
        <f>IFERROR(INDEX(PP_Grid[#Data],$DD1158,84),0)</f>
        <v/>
      </c>
      <c r="CI1158">
        <f>IFERROR(INDEX(PP_Grid[#Data],$DD1158,85),0)</f>
        <v/>
      </c>
      <c r="CJ1158">
        <f>IFERROR(INDEX(PP_Grid[#Data],$DD1158,86),0)</f>
        <v/>
      </c>
      <c r="CK1158">
        <f>IFERROR(INDEX(PP_Grid[#Data],$DD1158,87),0)</f>
        <v/>
      </c>
      <c r="CL1158">
        <f>IFERROR(INDEX(PP_Grid[#Data],$DD1158,88),0)</f>
        <v/>
      </c>
      <c r="CM1158">
        <f>IFERROR(INDEX(PP_Grid[#Data],$DD1158,89),0)</f>
        <v/>
      </c>
      <c r="CN1158">
        <f>IFERROR(INDEX(PP_Grid[#Data],$DD1158,90),0)</f>
        <v/>
      </c>
      <c r="CO1158">
        <f>IFERROR(INDEX(PP_Grid[#Data],$DD1158,91),0)</f>
        <v/>
      </c>
      <c r="CP1158">
        <f>IFERROR(INDEX(PP_Grid[#Data],$DD1158,92),0)</f>
        <v/>
      </c>
      <c r="CQ1158">
        <f>IFERROR(INDEX(PP_Grid[#Data],$DD1158,93),0)</f>
        <v/>
      </c>
      <c r="CR1158">
        <f>IFERROR(INDEX(PP_Grid[#Data],$DD1158,94),0)</f>
        <v/>
      </c>
      <c r="CS1158">
        <f>IFERROR(INDEX(PP_Grid[#Data],$DD1158,95),0)</f>
        <v/>
      </c>
      <c r="CT1158">
        <f>IFERROR(INDEX(PP_Grid[#Data],$DD1158,96),0)</f>
        <v/>
      </c>
      <c r="CU1158">
        <f>IFERROR(INDEX(PP_Grid[#Data],$DD1158,97),0)</f>
        <v/>
      </c>
      <c r="CV1158">
        <f>IFERROR(INDEX(PP_Grid[#Data],$DD1158,98),0)</f>
        <v/>
      </c>
      <c r="CW1158">
        <f>IFERROR(INDEX(PP_Grid[#Data],$DD1158,99),0)</f>
        <v/>
      </c>
      <c r="CX1158">
        <f>IFERROR(INDEX(PP_Grid[#Data],$DD1158,100),0)</f>
        <v/>
      </c>
      <c r="CY1158">
        <f>IFERROR(INDEX(PP_Grid[#Data],$DD1158,101),0)</f>
        <v/>
      </c>
      <c r="CZ1158">
        <f>IFERROR(INDEX(PP_Grid[#Data],$DD1158,102),0)</f>
        <v/>
      </c>
      <c r="DA1158">
        <f>IFERROR(INDEX(PP_Grid[#Data],$DD1158,103),0)</f>
        <v/>
      </c>
      <c r="DB1158">
        <f>IFERROR(INDEX(PP_Grid[#Data],$DD1158,104),0)</f>
        <v/>
      </c>
      <c r="DC1158">
        <f>IFERROR(INDEX(PP_Grid[#Data],$DD1158,105),0)</f>
        <v/>
      </c>
      <c r="DD1158" s="7">
        <f>IFERROR(MATCH($B1158,PP_Grid[Intermediate],0),99999)</f>
        <v/>
      </c>
    </row>
    <row r="1159">
      <c r="B1159" t="inlineStr">
        <is>
          <t>使用量(kg)</t>
        </is>
      </c>
      <c r="C1159">
        <f>SUMIFS(M_BOM[RM_Qty_Per_Batch],M_BOM[Intermediate],$B1158,M_BOM[Part Name],$A1131)</f>
        <v/>
      </c>
      <c r="D1159">
        <f>$C1159*D1158</f>
        <v/>
      </c>
      <c r="E1159">
        <f>$C1159*E1158</f>
        <v/>
      </c>
      <c r="F1159">
        <f>$C1159*F1158</f>
        <v/>
      </c>
      <c r="G1159">
        <f>$C1159*G1158</f>
        <v/>
      </c>
      <c r="H1159">
        <f>$C1159*H1158</f>
        <v/>
      </c>
      <c r="I1159">
        <f>$C1159*I1158</f>
        <v/>
      </c>
      <c r="J1159">
        <f>$C1159*J1158</f>
        <v/>
      </c>
      <c r="K1159">
        <f>$C1159*K1158</f>
        <v/>
      </c>
      <c r="L1159">
        <f>$C1159*L1158</f>
        <v/>
      </c>
      <c r="M1159">
        <f>$C1159*M1158</f>
        <v/>
      </c>
      <c r="N1159">
        <f>$C1159*N1158</f>
        <v/>
      </c>
      <c r="O1159">
        <f>$C1159*O1158</f>
        <v/>
      </c>
      <c r="P1159">
        <f>$C1159*P1158</f>
        <v/>
      </c>
      <c r="Q1159">
        <f>$C1159*Q1158</f>
        <v/>
      </c>
      <c r="R1159">
        <f>$C1159*R1158</f>
        <v/>
      </c>
      <c r="S1159">
        <f>$C1159*S1158</f>
        <v/>
      </c>
      <c r="T1159">
        <f>$C1159*T1158</f>
        <v/>
      </c>
      <c r="U1159">
        <f>$C1159*U1158</f>
        <v/>
      </c>
      <c r="V1159">
        <f>$C1159*V1158</f>
        <v/>
      </c>
      <c r="W1159">
        <f>$C1159*W1158</f>
        <v/>
      </c>
      <c r="X1159">
        <f>$C1159*X1158</f>
        <v/>
      </c>
      <c r="Y1159">
        <f>$C1159*Y1158</f>
        <v/>
      </c>
      <c r="Z1159">
        <f>$C1159*Z1158</f>
        <v/>
      </c>
      <c r="AA1159">
        <f>$C1159*AA1158</f>
        <v/>
      </c>
      <c r="AB1159">
        <f>$C1159*AB1158</f>
        <v/>
      </c>
      <c r="AC1159">
        <f>$C1159*AC1158</f>
        <v/>
      </c>
      <c r="AD1159">
        <f>$C1159*AD1158</f>
        <v/>
      </c>
      <c r="AE1159">
        <f>$C1159*AE1158</f>
        <v/>
      </c>
      <c r="AF1159">
        <f>$C1159*AF1158</f>
        <v/>
      </c>
      <c r="AG1159">
        <f>$C1159*AG1158</f>
        <v/>
      </c>
      <c r="AH1159">
        <f>$C1159*AH1158</f>
        <v/>
      </c>
      <c r="AI1159">
        <f>$C1159*AI1158</f>
        <v/>
      </c>
      <c r="AJ1159">
        <f>$C1159*AJ1158</f>
        <v/>
      </c>
      <c r="AK1159">
        <f>$C1159*AK1158</f>
        <v/>
      </c>
      <c r="AL1159">
        <f>$C1159*AL1158</f>
        <v/>
      </c>
      <c r="AM1159">
        <f>$C1159*AM1158</f>
        <v/>
      </c>
      <c r="AN1159">
        <f>$C1159*AN1158</f>
        <v/>
      </c>
      <c r="AO1159">
        <f>$C1159*AO1158</f>
        <v/>
      </c>
      <c r="AP1159">
        <f>$C1159*AP1158</f>
        <v/>
      </c>
      <c r="AQ1159">
        <f>$C1159*AQ1158</f>
        <v/>
      </c>
      <c r="AR1159">
        <f>$C1159*AR1158</f>
        <v/>
      </c>
      <c r="AS1159">
        <f>$C1159*AS1158</f>
        <v/>
      </c>
      <c r="AT1159">
        <f>$C1159*AT1158</f>
        <v/>
      </c>
      <c r="AU1159">
        <f>$C1159*AU1158</f>
        <v/>
      </c>
      <c r="AV1159">
        <f>$C1159*AV1158</f>
        <v/>
      </c>
      <c r="AW1159">
        <f>$C1159*AW1158</f>
        <v/>
      </c>
      <c r="AX1159">
        <f>$C1159*AX1158</f>
        <v/>
      </c>
      <c r="AY1159">
        <f>$C1159*AY1158</f>
        <v/>
      </c>
      <c r="AZ1159">
        <f>$C1159*AZ1158</f>
        <v/>
      </c>
      <c r="BA1159">
        <f>$C1159*BA1158</f>
        <v/>
      </c>
      <c r="BB1159">
        <f>$C1159*BB1158</f>
        <v/>
      </c>
      <c r="BC1159">
        <f>$C1159*BC1158</f>
        <v/>
      </c>
      <c r="BD1159">
        <f>$C1159*BD1158</f>
        <v/>
      </c>
      <c r="BE1159">
        <f>$C1159*BE1158</f>
        <v/>
      </c>
      <c r="BF1159">
        <f>$C1159*BF1158</f>
        <v/>
      </c>
      <c r="BG1159">
        <f>$C1159*BG1158</f>
        <v/>
      </c>
      <c r="BH1159">
        <f>$C1159*BH1158</f>
        <v/>
      </c>
      <c r="BI1159">
        <f>$C1159*BI1158</f>
        <v/>
      </c>
      <c r="BJ1159">
        <f>$C1159*BJ1158</f>
        <v/>
      </c>
      <c r="BK1159">
        <f>$C1159*BK1158</f>
        <v/>
      </c>
      <c r="BL1159">
        <f>$C1159*BL1158</f>
        <v/>
      </c>
      <c r="BM1159">
        <f>$C1159*BM1158</f>
        <v/>
      </c>
      <c r="BN1159">
        <f>$C1159*BN1158</f>
        <v/>
      </c>
      <c r="BO1159">
        <f>$C1159*BO1158</f>
        <v/>
      </c>
      <c r="BP1159">
        <f>$C1159*BP1158</f>
        <v/>
      </c>
      <c r="BQ1159">
        <f>$C1159*BQ1158</f>
        <v/>
      </c>
      <c r="BR1159">
        <f>$C1159*BR1158</f>
        <v/>
      </c>
      <c r="BS1159">
        <f>$C1159*BS1158</f>
        <v/>
      </c>
      <c r="BT1159">
        <f>$C1159*BT1158</f>
        <v/>
      </c>
      <c r="BU1159">
        <f>$C1159*BU1158</f>
        <v/>
      </c>
      <c r="BV1159">
        <f>$C1159*BV1158</f>
        <v/>
      </c>
      <c r="BW1159">
        <f>$C1159*BW1158</f>
        <v/>
      </c>
      <c r="BX1159">
        <f>$C1159*BX1158</f>
        <v/>
      </c>
      <c r="BY1159">
        <f>$C1159*BY1158</f>
        <v/>
      </c>
      <c r="BZ1159">
        <f>$C1159*BZ1158</f>
        <v/>
      </c>
      <c r="CA1159">
        <f>$C1159*CA1158</f>
        <v/>
      </c>
      <c r="CB1159">
        <f>$C1159*CB1158</f>
        <v/>
      </c>
      <c r="CC1159">
        <f>$C1159*CC1158</f>
        <v/>
      </c>
      <c r="CD1159">
        <f>$C1159*CD1158</f>
        <v/>
      </c>
      <c r="CE1159">
        <f>$C1159*CE1158</f>
        <v/>
      </c>
      <c r="CF1159">
        <f>$C1159*CF1158</f>
        <v/>
      </c>
      <c r="CG1159">
        <f>$C1159*CG1158</f>
        <v/>
      </c>
      <c r="CH1159">
        <f>$C1159*CH1158</f>
        <v/>
      </c>
      <c r="CI1159">
        <f>$C1159*CI1158</f>
        <v/>
      </c>
      <c r="CJ1159">
        <f>$C1159*CJ1158</f>
        <v/>
      </c>
      <c r="CK1159">
        <f>$C1159*CK1158</f>
        <v/>
      </c>
      <c r="CL1159">
        <f>$C1159*CL1158</f>
        <v/>
      </c>
      <c r="CM1159">
        <f>$C1159*CM1158</f>
        <v/>
      </c>
      <c r="CN1159">
        <f>$C1159*CN1158</f>
        <v/>
      </c>
      <c r="CO1159">
        <f>$C1159*CO1158</f>
        <v/>
      </c>
      <c r="CP1159">
        <f>$C1159*CP1158</f>
        <v/>
      </c>
      <c r="CQ1159">
        <f>$C1159*CQ1158</f>
        <v/>
      </c>
      <c r="CR1159">
        <f>$C1159*CR1158</f>
        <v/>
      </c>
      <c r="CS1159">
        <f>$C1159*CS1158</f>
        <v/>
      </c>
      <c r="CT1159">
        <f>$C1159*CT1158</f>
        <v/>
      </c>
      <c r="CU1159">
        <f>$C1159*CU1158</f>
        <v/>
      </c>
      <c r="CV1159">
        <f>$C1159*CV1158</f>
        <v/>
      </c>
      <c r="CW1159">
        <f>$C1159*CW1158</f>
        <v/>
      </c>
      <c r="CX1159">
        <f>$C1159*CX1158</f>
        <v/>
      </c>
      <c r="CY1159">
        <f>$C1159*CY1158</f>
        <v/>
      </c>
      <c r="CZ1159">
        <f>$C1159*CZ1158</f>
        <v/>
      </c>
      <c r="DA1159">
        <f>$C1159*DA1158</f>
        <v/>
      </c>
      <c r="DB1159">
        <f>$C1159*DB1158</f>
        <v/>
      </c>
      <c r="DC1159">
        <f>$C1159*DC1158</f>
        <v/>
      </c>
    </row>
    <row r="1160">
      <c r="B1160" t="inlineStr">
        <is>
          <t>TSP-966</t>
        </is>
      </c>
      <c r="C1160" t="inlineStr">
        <is>
          <t>No. of batches</t>
        </is>
      </c>
      <c r="D1160">
        <f>IFERROR(INDEX(PP_Grid[#Data],$DD1160,2),0)</f>
        <v/>
      </c>
      <c r="E1160">
        <f>IFERROR(INDEX(PP_Grid[#Data],$DD1160,3),0)</f>
        <v/>
      </c>
      <c r="F1160">
        <f>IFERROR(INDEX(PP_Grid[#Data],$DD1160,4),0)</f>
        <v/>
      </c>
      <c r="G1160">
        <f>IFERROR(INDEX(PP_Grid[#Data],$DD1160,5),0)</f>
        <v/>
      </c>
      <c r="H1160">
        <f>IFERROR(INDEX(PP_Grid[#Data],$DD1160,6),0)</f>
        <v/>
      </c>
      <c r="I1160">
        <f>IFERROR(INDEX(PP_Grid[#Data],$DD1160,7),0)</f>
        <v/>
      </c>
      <c r="J1160">
        <f>IFERROR(INDEX(PP_Grid[#Data],$DD1160,8),0)</f>
        <v/>
      </c>
      <c r="K1160">
        <f>IFERROR(INDEX(PP_Grid[#Data],$DD1160,9),0)</f>
        <v/>
      </c>
      <c r="L1160">
        <f>IFERROR(INDEX(PP_Grid[#Data],$DD1160,10),0)</f>
        <v/>
      </c>
      <c r="M1160">
        <f>IFERROR(INDEX(PP_Grid[#Data],$DD1160,11),0)</f>
        <v/>
      </c>
      <c r="N1160">
        <f>IFERROR(INDEX(PP_Grid[#Data],$DD1160,12),0)</f>
        <v/>
      </c>
      <c r="O1160">
        <f>IFERROR(INDEX(PP_Grid[#Data],$DD1160,13),0)</f>
        <v/>
      </c>
      <c r="P1160">
        <f>IFERROR(INDEX(PP_Grid[#Data],$DD1160,14),0)</f>
        <v/>
      </c>
      <c r="Q1160">
        <f>IFERROR(INDEX(PP_Grid[#Data],$DD1160,15),0)</f>
        <v/>
      </c>
      <c r="R1160">
        <f>IFERROR(INDEX(PP_Grid[#Data],$DD1160,16),0)</f>
        <v/>
      </c>
      <c r="S1160">
        <f>IFERROR(INDEX(PP_Grid[#Data],$DD1160,17),0)</f>
        <v/>
      </c>
      <c r="T1160">
        <f>IFERROR(INDEX(PP_Grid[#Data],$DD1160,18),0)</f>
        <v/>
      </c>
      <c r="U1160">
        <f>IFERROR(INDEX(PP_Grid[#Data],$DD1160,19),0)</f>
        <v/>
      </c>
      <c r="V1160">
        <f>IFERROR(INDEX(PP_Grid[#Data],$DD1160,20),0)</f>
        <v/>
      </c>
      <c r="W1160">
        <f>IFERROR(INDEX(PP_Grid[#Data],$DD1160,21),0)</f>
        <v/>
      </c>
      <c r="X1160">
        <f>IFERROR(INDEX(PP_Grid[#Data],$DD1160,22),0)</f>
        <v/>
      </c>
      <c r="Y1160">
        <f>IFERROR(INDEX(PP_Grid[#Data],$DD1160,23),0)</f>
        <v/>
      </c>
      <c r="Z1160">
        <f>IFERROR(INDEX(PP_Grid[#Data],$DD1160,24),0)</f>
        <v/>
      </c>
      <c r="AA1160">
        <f>IFERROR(INDEX(PP_Grid[#Data],$DD1160,25),0)</f>
        <v/>
      </c>
      <c r="AB1160">
        <f>IFERROR(INDEX(PP_Grid[#Data],$DD1160,26),0)</f>
        <v/>
      </c>
      <c r="AC1160">
        <f>IFERROR(INDEX(PP_Grid[#Data],$DD1160,27),0)</f>
        <v/>
      </c>
      <c r="AD1160">
        <f>IFERROR(INDEX(PP_Grid[#Data],$DD1160,28),0)</f>
        <v/>
      </c>
      <c r="AE1160">
        <f>IFERROR(INDEX(PP_Grid[#Data],$DD1160,29),0)</f>
        <v/>
      </c>
      <c r="AF1160">
        <f>IFERROR(INDEX(PP_Grid[#Data],$DD1160,30),0)</f>
        <v/>
      </c>
      <c r="AG1160">
        <f>IFERROR(INDEX(PP_Grid[#Data],$DD1160,31),0)</f>
        <v/>
      </c>
      <c r="AH1160">
        <f>IFERROR(INDEX(PP_Grid[#Data],$DD1160,32),0)</f>
        <v/>
      </c>
      <c r="AI1160">
        <f>IFERROR(INDEX(PP_Grid[#Data],$DD1160,33),0)</f>
        <v/>
      </c>
      <c r="AJ1160">
        <f>IFERROR(INDEX(PP_Grid[#Data],$DD1160,34),0)</f>
        <v/>
      </c>
      <c r="AK1160">
        <f>IFERROR(INDEX(PP_Grid[#Data],$DD1160,35),0)</f>
        <v/>
      </c>
      <c r="AL1160">
        <f>IFERROR(INDEX(PP_Grid[#Data],$DD1160,36),0)</f>
        <v/>
      </c>
      <c r="AM1160">
        <f>IFERROR(INDEX(PP_Grid[#Data],$DD1160,37),0)</f>
        <v/>
      </c>
      <c r="AN1160">
        <f>IFERROR(INDEX(PP_Grid[#Data],$DD1160,38),0)</f>
        <v/>
      </c>
      <c r="AO1160">
        <f>IFERROR(INDEX(PP_Grid[#Data],$DD1160,39),0)</f>
        <v/>
      </c>
      <c r="AP1160">
        <f>IFERROR(INDEX(PP_Grid[#Data],$DD1160,40),0)</f>
        <v/>
      </c>
      <c r="AQ1160">
        <f>IFERROR(INDEX(PP_Grid[#Data],$DD1160,41),0)</f>
        <v/>
      </c>
      <c r="AR1160">
        <f>IFERROR(INDEX(PP_Grid[#Data],$DD1160,42),0)</f>
        <v/>
      </c>
      <c r="AS1160">
        <f>IFERROR(INDEX(PP_Grid[#Data],$DD1160,43),0)</f>
        <v/>
      </c>
      <c r="AT1160">
        <f>IFERROR(INDEX(PP_Grid[#Data],$DD1160,44),0)</f>
        <v/>
      </c>
      <c r="AU1160">
        <f>IFERROR(INDEX(PP_Grid[#Data],$DD1160,45),0)</f>
        <v/>
      </c>
      <c r="AV1160">
        <f>IFERROR(INDEX(PP_Grid[#Data],$DD1160,46),0)</f>
        <v/>
      </c>
      <c r="AW1160">
        <f>IFERROR(INDEX(PP_Grid[#Data],$DD1160,47),0)</f>
        <v/>
      </c>
      <c r="AX1160">
        <f>IFERROR(INDEX(PP_Grid[#Data],$DD1160,48),0)</f>
        <v/>
      </c>
      <c r="AY1160">
        <f>IFERROR(INDEX(PP_Grid[#Data],$DD1160,49),0)</f>
        <v/>
      </c>
      <c r="AZ1160">
        <f>IFERROR(INDEX(PP_Grid[#Data],$DD1160,50),0)</f>
        <v/>
      </c>
      <c r="BA1160">
        <f>IFERROR(INDEX(PP_Grid[#Data],$DD1160,51),0)</f>
        <v/>
      </c>
      <c r="BB1160">
        <f>IFERROR(INDEX(PP_Grid[#Data],$DD1160,52),0)</f>
        <v/>
      </c>
      <c r="BC1160">
        <f>IFERROR(INDEX(PP_Grid[#Data],$DD1160,53),0)</f>
        <v/>
      </c>
      <c r="BD1160">
        <f>IFERROR(INDEX(PP_Grid[#Data],$DD1160,54),0)</f>
        <v/>
      </c>
      <c r="BE1160">
        <f>IFERROR(INDEX(PP_Grid[#Data],$DD1160,55),0)</f>
        <v/>
      </c>
      <c r="BF1160">
        <f>IFERROR(INDEX(PP_Grid[#Data],$DD1160,56),0)</f>
        <v/>
      </c>
      <c r="BG1160">
        <f>IFERROR(INDEX(PP_Grid[#Data],$DD1160,57),0)</f>
        <v/>
      </c>
      <c r="BH1160">
        <f>IFERROR(INDEX(PP_Grid[#Data],$DD1160,58),0)</f>
        <v/>
      </c>
      <c r="BI1160">
        <f>IFERROR(INDEX(PP_Grid[#Data],$DD1160,59),0)</f>
        <v/>
      </c>
      <c r="BJ1160">
        <f>IFERROR(INDEX(PP_Grid[#Data],$DD1160,60),0)</f>
        <v/>
      </c>
      <c r="BK1160">
        <f>IFERROR(INDEX(PP_Grid[#Data],$DD1160,61),0)</f>
        <v/>
      </c>
      <c r="BL1160">
        <f>IFERROR(INDEX(PP_Grid[#Data],$DD1160,62),0)</f>
        <v/>
      </c>
      <c r="BM1160">
        <f>IFERROR(INDEX(PP_Grid[#Data],$DD1160,63),0)</f>
        <v/>
      </c>
      <c r="BN1160">
        <f>IFERROR(INDEX(PP_Grid[#Data],$DD1160,64),0)</f>
        <v/>
      </c>
      <c r="BO1160">
        <f>IFERROR(INDEX(PP_Grid[#Data],$DD1160,65),0)</f>
        <v/>
      </c>
      <c r="BP1160">
        <f>IFERROR(INDEX(PP_Grid[#Data],$DD1160,66),0)</f>
        <v/>
      </c>
      <c r="BQ1160">
        <f>IFERROR(INDEX(PP_Grid[#Data],$DD1160,67),0)</f>
        <v/>
      </c>
      <c r="BR1160">
        <f>IFERROR(INDEX(PP_Grid[#Data],$DD1160,68),0)</f>
        <v/>
      </c>
      <c r="BS1160">
        <f>IFERROR(INDEX(PP_Grid[#Data],$DD1160,69),0)</f>
        <v/>
      </c>
      <c r="BT1160">
        <f>IFERROR(INDEX(PP_Grid[#Data],$DD1160,70),0)</f>
        <v/>
      </c>
      <c r="BU1160">
        <f>IFERROR(INDEX(PP_Grid[#Data],$DD1160,71),0)</f>
        <v/>
      </c>
      <c r="BV1160">
        <f>IFERROR(INDEX(PP_Grid[#Data],$DD1160,72),0)</f>
        <v/>
      </c>
      <c r="BW1160">
        <f>IFERROR(INDEX(PP_Grid[#Data],$DD1160,73),0)</f>
        <v/>
      </c>
      <c r="BX1160">
        <f>IFERROR(INDEX(PP_Grid[#Data],$DD1160,74),0)</f>
        <v/>
      </c>
      <c r="BY1160">
        <f>IFERROR(INDEX(PP_Grid[#Data],$DD1160,75),0)</f>
        <v/>
      </c>
      <c r="BZ1160">
        <f>IFERROR(INDEX(PP_Grid[#Data],$DD1160,76),0)</f>
        <v/>
      </c>
      <c r="CA1160">
        <f>IFERROR(INDEX(PP_Grid[#Data],$DD1160,77),0)</f>
        <v/>
      </c>
      <c r="CB1160">
        <f>IFERROR(INDEX(PP_Grid[#Data],$DD1160,78),0)</f>
        <v/>
      </c>
      <c r="CC1160">
        <f>IFERROR(INDEX(PP_Grid[#Data],$DD1160,79),0)</f>
        <v/>
      </c>
      <c r="CD1160">
        <f>IFERROR(INDEX(PP_Grid[#Data],$DD1160,80),0)</f>
        <v/>
      </c>
      <c r="CE1160">
        <f>IFERROR(INDEX(PP_Grid[#Data],$DD1160,81),0)</f>
        <v/>
      </c>
      <c r="CF1160">
        <f>IFERROR(INDEX(PP_Grid[#Data],$DD1160,82),0)</f>
        <v/>
      </c>
      <c r="CG1160">
        <f>IFERROR(INDEX(PP_Grid[#Data],$DD1160,83),0)</f>
        <v/>
      </c>
      <c r="CH1160">
        <f>IFERROR(INDEX(PP_Grid[#Data],$DD1160,84),0)</f>
        <v/>
      </c>
      <c r="CI1160">
        <f>IFERROR(INDEX(PP_Grid[#Data],$DD1160,85),0)</f>
        <v/>
      </c>
      <c r="CJ1160">
        <f>IFERROR(INDEX(PP_Grid[#Data],$DD1160,86),0)</f>
        <v/>
      </c>
      <c r="CK1160">
        <f>IFERROR(INDEX(PP_Grid[#Data],$DD1160,87),0)</f>
        <v/>
      </c>
      <c r="CL1160">
        <f>IFERROR(INDEX(PP_Grid[#Data],$DD1160,88),0)</f>
        <v/>
      </c>
      <c r="CM1160">
        <f>IFERROR(INDEX(PP_Grid[#Data],$DD1160,89),0)</f>
        <v/>
      </c>
      <c r="CN1160">
        <f>IFERROR(INDEX(PP_Grid[#Data],$DD1160,90),0)</f>
        <v/>
      </c>
      <c r="CO1160">
        <f>IFERROR(INDEX(PP_Grid[#Data],$DD1160,91),0)</f>
        <v/>
      </c>
      <c r="CP1160">
        <f>IFERROR(INDEX(PP_Grid[#Data],$DD1160,92),0)</f>
        <v/>
      </c>
      <c r="CQ1160">
        <f>IFERROR(INDEX(PP_Grid[#Data],$DD1160,93),0)</f>
        <v/>
      </c>
      <c r="CR1160">
        <f>IFERROR(INDEX(PP_Grid[#Data],$DD1160,94),0)</f>
        <v/>
      </c>
      <c r="CS1160">
        <f>IFERROR(INDEX(PP_Grid[#Data],$DD1160,95),0)</f>
        <v/>
      </c>
      <c r="CT1160">
        <f>IFERROR(INDEX(PP_Grid[#Data],$DD1160,96),0)</f>
        <v/>
      </c>
      <c r="CU1160">
        <f>IFERROR(INDEX(PP_Grid[#Data],$DD1160,97),0)</f>
        <v/>
      </c>
      <c r="CV1160">
        <f>IFERROR(INDEX(PP_Grid[#Data],$DD1160,98),0)</f>
        <v/>
      </c>
      <c r="CW1160">
        <f>IFERROR(INDEX(PP_Grid[#Data],$DD1160,99),0)</f>
        <v/>
      </c>
      <c r="CX1160">
        <f>IFERROR(INDEX(PP_Grid[#Data],$DD1160,100),0)</f>
        <v/>
      </c>
      <c r="CY1160">
        <f>IFERROR(INDEX(PP_Grid[#Data],$DD1160,101),0)</f>
        <v/>
      </c>
      <c r="CZ1160">
        <f>IFERROR(INDEX(PP_Grid[#Data],$DD1160,102),0)</f>
        <v/>
      </c>
      <c r="DA1160">
        <f>IFERROR(INDEX(PP_Grid[#Data],$DD1160,103),0)</f>
        <v/>
      </c>
      <c r="DB1160">
        <f>IFERROR(INDEX(PP_Grid[#Data],$DD1160,104),0)</f>
        <v/>
      </c>
      <c r="DC1160">
        <f>IFERROR(INDEX(PP_Grid[#Data],$DD1160,105),0)</f>
        <v/>
      </c>
      <c r="DD1160" s="7">
        <f>IFERROR(MATCH($B1160,PP_Grid[Intermediate],0),99999)</f>
        <v/>
      </c>
    </row>
    <row r="1161">
      <c r="B1161" t="inlineStr">
        <is>
          <t>使用量(kg)</t>
        </is>
      </c>
      <c r="C1161">
        <f>SUMIFS(M_BOM[RM_Qty_Per_Batch],M_BOM[Intermediate],$B1160,M_BOM[Part Name],$A1131)</f>
        <v/>
      </c>
      <c r="D1161">
        <f>$C1161*D1160</f>
        <v/>
      </c>
      <c r="E1161">
        <f>$C1161*E1160</f>
        <v/>
      </c>
      <c r="F1161">
        <f>$C1161*F1160</f>
        <v/>
      </c>
      <c r="G1161">
        <f>$C1161*G1160</f>
        <v/>
      </c>
      <c r="H1161">
        <f>$C1161*H1160</f>
        <v/>
      </c>
      <c r="I1161">
        <f>$C1161*I1160</f>
        <v/>
      </c>
      <c r="J1161">
        <f>$C1161*J1160</f>
        <v/>
      </c>
      <c r="K1161">
        <f>$C1161*K1160</f>
        <v/>
      </c>
      <c r="L1161">
        <f>$C1161*L1160</f>
        <v/>
      </c>
      <c r="M1161">
        <f>$C1161*M1160</f>
        <v/>
      </c>
      <c r="N1161">
        <f>$C1161*N1160</f>
        <v/>
      </c>
      <c r="O1161">
        <f>$C1161*O1160</f>
        <v/>
      </c>
      <c r="P1161">
        <f>$C1161*P1160</f>
        <v/>
      </c>
      <c r="Q1161">
        <f>$C1161*Q1160</f>
        <v/>
      </c>
      <c r="R1161">
        <f>$C1161*R1160</f>
        <v/>
      </c>
      <c r="S1161">
        <f>$C1161*S1160</f>
        <v/>
      </c>
      <c r="T1161">
        <f>$C1161*T1160</f>
        <v/>
      </c>
      <c r="U1161">
        <f>$C1161*U1160</f>
        <v/>
      </c>
      <c r="V1161">
        <f>$C1161*V1160</f>
        <v/>
      </c>
      <c r="W1161">
        <f>$C1161*W1160</f>
        <v/>
      </c>
      <c r="X1161">
        <f>$C1161*X1160</f>
        <v/>
      </c>
      <c r="Y1161">
        <f>$C1161*Y1160</f>
        <v/>
      </c>
      <c r="Z1161">
        <f>$C1161*Z1160</f>
        <v/>
      </c>
      <c r="AA1161">
        <f>$C1161*AA1160</f>
        <v/>
      </c>
      <c r="AB1161">
        <f>$C1161*AB1160</f>
        <v/>
      </c>
      <c r="AC1161">
        <f>$C1161*AC1160</f>
        <v/>
      </c>
      <c r="AD1161">
        <f>$C1161*AD1160</f>
        <v/>
      </c>
      <c r="AE1161">
        <f>$C1161*AE1160</f>
        <v/>
      </c>
      <c r="AF1161">
        <f>$C1161*AF1160</f>
        <v/>
      </c>
      <c r="AG1161">
        <f>$C1161*AG1160</f>
        <v/>
      </c>
      <c r="AH1161">
        <f>$C1161*AH1160</f>
        <v/>
      </c>
      <c r="AI1161">
        <f>$C1161*AI1160</f>
        <v/>
      </c>
      <c r="AJ1161">
        <f>$C1161*AJ1160</f>
        <v/>
      </c>
      <c r="AK1161">
        <f>$C1161*AK1160</f>
        <v/>
      </c>
      <c r="AL1161">
        <f>$C1161*AL1160</f>
        <v/>
      </c>
      <c r="AM1161">
        <f>$C1161*AM1160</f>
        <v/>
      </c>
      <c r="AN1161">
        <f>$C1161*AN1160</f>
        <v/>
      </c>
      <c r="AO1161">
        <f>$C1161*AO1160</f>
        <v/>
      </c>
      <c r="AP1161">
        <f>$C1161*AP1160</f>
        <v/>
      </c>
      <c r="AQ1161">
        <f>$C1161*AQ1160</f>
        <v/>
      </c>
      <c r="AR1161">
        <f>$C1161*AR1160</f>
        <v/>
      </c>
      <c r="AS1161">
        <f>$C1161*AS1160</f>
        <v/>
      </c>
      <c r="AT1161">
        <f>$C1161*AT1160</f>
        <v/>
      </c>
      <c r="AU1161">
        <f>$C1161*AU1160</f>
        <v/>
      </c>
      <c r="AV1161">
        <f>$C1161*AV1160</f>
        <v/>
      </c>
      <c r="AW1161">
        <f>$C1161*AW1160</f>
        <v/>
      </c>
      <c r="AX1161">
        <f>$C1161*AX1160</f>
        <v/>
      </c>
      <c r="AY1161">
        <f>$C1161*AY1160</f>
        <v/>
      </c>
      <c r="AZ1161">
        <f>$C1161*AZ1160</f>
        <v/>
      </c>
      <c r="BA1161">
        <f>$C1161*BA1160</f>
        <v/>
      </c>
      <c r="BB1161">
        <f>$C1161*BB1160</f>
        <v/>
      </c>
      <c r="BC1161">
        <f>$C1161*BC1160</f>
        <v/>
      </c>
      <c r="BD1161">
        <f>$C1161*BD1160</f>
        <v/>
      </c>
      <c r="BE1161">
        <f>$C1161*BE1160</f>
        <v/>
      </c>
      <c r="BF1161">
        <f>$C1161*BF1160</f>
        <v/>
      </c>
      <c r="BG1161">
        <f>$C1161*BG1160</f>
        <v/>
      </c>
      <c r="BH1161">
        <f>$C1161*BH1160</f>
        <v/>
      </c>
      <c r="BI1161">
        <f>$C1161*BI1160</f>
        <v/>
      </c>
      <c r="BJ1161">
        <f>$C1161*BJ1160</f>
        <v/>
      </c>
      <c r="BK1161">
        <f>$C1161*BK1160</f>
        <v/>
      </c>
      <c r="BL1161">
        <f>$C1161*BL1160</f>
        <v/>
      </c>
      <c r="BM1161">
        <f>$C1161*BM1160</f>
        <v/>
      </c>
      <c r="BN1161">
        <f>$C1161*BN1160</f>
        <v/>
      </c>
      <c r="BO1161">
        <f>$C1161*BO1160</f>
        <v/>
      </c>
      <c r="BP1161">
        <f>$C1161*BP1160</f>
        <v/>
      </c>
      <c r="BQ1161">
        <f>$C1161*BQ1160</f>
        <v/>
      </c>
      <c r="BR1161">
        <f>$C1161*BR1160</f>
        <v/>
      </c>
      <c r="BS1161">
        <f>$C1161*BS1160</f>
        <v/>
      </c>
      <c r="BT1161">
        <f>$C1161*BT1160</f>
        <v/>
      </c>
      <c r="BU1161">
        <f>$C1161*BU1160</f>
        <v/>
      </c>
      <c r="BV1161">
        <f>$C1161*BV1160</f>
        <v/>
      </c>
      <c r="BW1161">
        <f>$C1161*BW1160</f>
        <v/>
      </c>
      <c r="BX1161">
        <f>$C1161*BX1160</f>
        <v/>
      </c>
      <c r="BY1161">
        <f>$C1161*BY1160</f>
        <v/>
      </c>
      <c r="BZ1161">
        <f>$C1161*BZ1160</f>
        <v/>
      </c>
      <c r="CA1161">
        <f>$C1161*CA1160</f>
        <v/>
      </c>
      <c r="CB1161">
        <f>$C1161*CB1160</f>
        <v/>
      </c>
      <c r="CC1161">
        <f>$C1161*CC1160</f>
        <v/>
      </c>
      <c r="CD1161">
        <f>$C1161*CD1160</f>
        <v/>
      </c>
      <c r="CE1161">
        <f>$C1161*CE1160</f>
        <v/>
      </c>
      <c r="CF1161">
        <f>$C1161*CF1160</f>
        <v/>
      </c>
      <c r="CG1161">
        <f>$C1161*CG1160</f>
        <v/>
      </c>
      <c r="CH1161">
        <f>$C1161*CH1160</f>
        <v/>
      </c>
      <c r="CI1161">
        <f>$C1161*CI1160</f>
        <v/>
      </c>
      <c r="CJ1161">
        <f>$C1161*CJ1160</f>
        <v/>
      </c>
      <c r="CK1161">
        <f>$C1161*CK1160</f>
        <v/>
      </c>
      <c r="CL1161">
        <f>$C1161*CL1160</f>
        <v/>
      </c>
      <c r="CM1161">
        <f>$C1161*CM1160</f>
        <v/>
      </c>
      <c r="CN1161">
        <f>$C1161*CN1160</f>
        <v/>
      </c>
      <c r="CO1161">
        <f>$C1161*CO1160</f>
        <v/>
      </c>
      <c r="CP1161">
        <f>$C1161*CP1160</f>
        <v/>
      </c>
      <c r="CQ1161">
        <f>$C1161*CQ1160</f>
        <v/>
      </c>
      <c r="CR1161">
        <f>$C1161*CR1160</f>
        <v/>
      </c>
      <c r="CS1161">
        <f>$C1161*CS1160</f>
        <v/>
      </c>
      <c r="CT1161">
        <f>$C1161*CT1160</f>
        <v/>
      </c>
      <c r="CU1161">
        <f>$C1161*CU1160</f>
        <v/>
      </c>
      <c r="CV1161">
        <f>$C1161*CV1160</f>
        <v/>
      </c>
      <c r="CW1161">
        <f>$C1161*CW1160</f>
        <v/>
      </c>
      <c r="CX1161">
        <f>$C1161*CX1160</f>
        <v/>
      </c>
      <c r="CY1161">
        <f>$C1161*CY1160</f>
        <v/>
      </c>
      <c r="CZ1161">
        <f>$C1161*CZ1160</f>
        <v/>
      </c>
      <c r="DA1161">
        <f>$C1161*DA1160</f>
        <v/>
      </c>
      <c r="DB1161">
        <f>$C1161*DB1160</f>
        <v/>
      </c>
      <c r="DC1161">
        <f>$C1161*DC1160</f>
        <v/>
      </c>
    </row>
    <row r="1162">
      <c r="B1162" t="inlineStr">
        <is>
          <t>TSZ-616</t>
        </is>
      </c>
      <c r="C1162" t="inlineStr">
        <is>
          <t>No. of batches</t>
        </is>
      </c>
      <c r="D1162">
        <f>IFERROR(INDEX(PP_Grid[#Data],$DD1162,2),0)</f>
        <v/>
      </c>
      <c r="E1162">
        <f>IFERROR(INDEX(PP_Grid[#Data],$DD1162,3),0)</f>
        <v/>
      </c>
      <c r="F1162">
        <f>IFERROR(INDEX(PP_Grid[#Data],$DD1162,4),0)</f>
        <v/>
      </c>
      <c r="G1162">
        <f>IFERROR(INDEX(PP_Grid[#Data],$DD1162,5),0)</f>
        <v/>
      </c>
      <c r="H1162">
        <f>IFERROR(INDEX(PP_Grid[#Data],$DD1162,6),0)</f>
        <v/>
      </c>
      <c r="I1162">
        <f>IFERROR(INDEX(PP_Grid[#Data],$DD1162,7),0)</f>
        <v/>
      </c>
      <c r="J1162">
        <f>IFERROR(INDEX(PP_Grid[#Data],$DD1162,8),0)</f>
        <v/>
      </c>
      <c r="K1162">
        <f>IFERROR(INDEX(PP_Grid[#Data],$DD1162,9),0)</f>
        <v/>
      </c>
      <c r="L1162">
        <f>IFERROR(INDEX(PP_Grid[#Data],$DD1162,10),0)</f>
        <v/>
      </c>
      <c r="M1162">
        <f>IFERROR(INDEX(PP_Grid[#Data],$DD1162,11),0)</f>
        <v/>
      </c>
      <c r="N1162">
        <f>IFERROR(INDEX(PP_Grid[#Data],$DD1162,12),0)</f>
        <v/>
      </c>
      <c r="O1162">
        <f>IFERROR(INDEX(PP_Grid[#Data],$DD1162,13),0)</f>
        <v/>
      </c>
      <c r="P1162">
        <f>IFERROR(INDEX(PP_Grid[#Data],$DD1162,14),0)</f>
        <v/>
      </c>
      <c r="Q1162">
        <f>IFERROR(INDEX(PP_Grid[#Data],$DD1162,15),0)</f>
        <v/>
      </c>
      <c r="R1162">
        <f>IFERROR(INDEX(PP_Grid[#Data],$DD1162,16),0)</f>
        <v/>
      </c>
      <c r="S1162">
        <f>IFERROR(INDEX(PP_Grid[#Data],$DD1162,17),0)</f>
        <v/>
      </c>
      <c r="T1162">
        <f>IFERROR(INDEX(PP_Grid[#Data],$DD1162,18),0)</f>
        <v/>
      </c>
      <c r="U1162">
        <f>IFERROR(INDEX(PP_Grid[#Data],$DD1162,19),0)</f>
        <v/>
      </c>
      <c r="V1162">
        <f>IFERROR(INDEX(PP_Grid[#Data],$DD1162,20),0)</f>
        <v/>
      </c>
      <c r="W1162">
        <f>IFERROR(INDEX(PP_Grid[#Data],$DD1162,21),0)</f>
        <v/>
      </c>
      <c r="X1162">
        <f>IFERROR(INDEX(PP_Grid[#Data],$DD1162,22),0)</f>
        <v/>
      </c>
      <c r="Y1162">
        <f>IFERROR(INDEX(PP_Grid[#Data],$DD1162,23),0)</f>
        <v/>
      </c>
      <c r="Z1162">
        <f>IFERROR(INDEX(PP_Grid[#Data],$DD1162,24),0)</f>
        <v/>
      </c>
      <c r="AA1162">
        <f>IFERROR(INDEX(PP_Grid[#Data],$DD1162,25),0)</f>
        <v/>
      </c>
      <c r="AB1162">
        <f>IFERROR(INDEX(PP_Grid[#Data],$DD1162,26),0)</f>
        <v/>
      </c>
      <c r="AC1162">
        <f>IFERROR(INDEX(PP_Grid[#Data],$DD1162,27),0)</f>
        <v/>
      </c>
      <c r="AD1162">
        <f>IFERROR(INDEX(PP_Grid[#Data],$DD1162,28),0)</f>
        <v/>
      </c>
      <c r="AE1162">
        <f>IFERROR(INDEX(PP_Grid[#Data],$DD1162,29),0)</f>
        <v/>
      </c>
      <c r="AF1162">
        <f>IFERROR(INDEX(PP_Grid[#Data],$DD1162,30),0)</f>
        <v/>
      </c>
      <c r="AG1162">
        <f>IFERROR(INDEX(PP_Grid[#Data],$DD1162,31),0)</f>
        <v/>
      </c>
      <c r="AH1162">
        <f>IFERROR(INDEX(PP_Grid[#Data],$DD1162,32),0)</f>
        <v/>
      </c>
      <c r="AI1162">
        <f>IFERROR(INDEX(PP_Grid[#Data],$DD1162,33),0)</f>
        <v/>
      </c>
      <c r="AJ1162">
        <f>IFERROR(INDEX(PP_Grid[#Data],$DD1162,34),0)</f>
        <v/>
      </c>
      <c r="AK1162">
        <f>IFERROR(INDEX(PP_Grid[#Data],$DD1162,35),0)</f>
        <v/>
      </c>
      <c r="AL1162">
        <f>IFERROR(INDEX(PP_Grid[#Data],$DD1162,36),0)</f>
        <v/>
      </c>
      <c r="AM1162">
        <f>IFERROR(INDEX(PP_Grid[#Data],$DD1162,37),0)</f>
        <v/>
      </c>
      <c r="AN1162">
        <f>IFERROR(INDEX(PP_Grid[#Data],$DD1162,38),0)</f>
        <v/>
      </c>
      <c r="AO1162">
        <f>IFERROR(INDEX(PP_Grid[#Data],$DD1162,39),0)</f>
        <v/>
      </c>
      <c r="AP1162">
        <f>IFERROR(INDEX(PP_Grid[#Data],$DD1162,40),0)</f>
        <v/>
      </c>
      <c r="AQ1162">
        <f>IFERROR(INDEX(PP_Grid[#Data],$DD1162,41),0)</f>
        <v/>
      </c>
      <c r="AR1162">
        <f>IFERROR(INDEX(PP_Grid[#Data],$DD1162,42),0)</f>
        <v/>
      </c>
      <c r="AS1162">
        <f>IFERROR(INDEX(PP_Grid[#Data],$DD1162,43),0)</f>
        <v/>
      </c>
      <c r="AT1162">
        <f>IFERROR(INDEX(PP_Grid[#Data],$DD1162,44),0)</f>
        <v/>
      </c>
      <c r="AU1162">
        <f>IFERROR(INDEX(PP_Grid[#Data],$DD1162,45),0)</f>
        <v/>
      </c>
      <c r="AV1162">
        <f>IFERROR(INDEX(PP_Grid[#Data],$DD1162,46),0)</f>
        <v/>
      </c>
      <c r="AW1162">
        <f>IFERROR(INDEX(PP_Grid[#Data],$DD1162,47),0)</f>
        <v/>
      </c>
      <c r="AX1162">
        <f>IFERROR(INDEX(PP_Grid[#Data],$DD1162,48),0)</f>
        <v/>
      </c>
      <c r="AY1162">
        <f>IFERROR(INDEX(PP_Grid[#Data],$DD1162,49),0)</f>
        <v/>
      </c>
      <c r="AZ1162">
        <f>IFERROR(INDEX(PP_Grid[#Data],$DD1162,50),0)</f>
        <v/>
      </c>
      <c r="BA1162">
        <f>IFERROR(INDEX(PP_Grid[#Data],$DD1162,51),0)</f>
        <v/>
      </c>
      <c r="BB1162">
        <f>IFERROR(INDEX(PP_Grid[#Data],$DD1162,52),0)</f>
        <v/>
      </c>
      <c r="BC1162">
        <f>IFERROR(INDEX(PP_Grid[#Data],$DD1162,53),0)</f>
        <v/>
      </c>
      <c r="BD1162">
        <f>IFERROR(INDEX(PP_Grid[#Data],$DD1162,54),0)</f>
        <v/>
      </c>
      <c r="BE1162">
        <f>IFERROR(INDEX(PP_Grid[#Data],$DD1162,55),0)</f>
        <v/>
      </c>
      <c r="BF1162">
        <f>IFERROR(INDEX(PP_Grid[#Data],$DD1162,56),0)</f>
        <v/>
      </c>
      <c r="BG1162">
        <f>IFERROR(INDEX(PP_Grid[#Data],$DD1162,57),0)</f>
        <v/>
      </c>
      <c r="BH1162">
        <f>IFERROR(INDEX(PP_Grid[#Data],$DD1162,58),0)</f>
        <v/>
      </c>
      <c r="BI1162">
        <f>IFERROR(INDEX(PP_Grid[#Data],$DD1162,59),0)</f>
        <v/>
      </c>
      <c r="BJ1162">
        <f>IFERROR(INDEX(PP_Grid[#Data],$DD1162,60),0)</f>
        <v/>
      </c>
      <c r="BK1162">
        <f>IFERROR(INDEX(PP_Grid[#Data],$DD1162,61),0)</f>
        <v/>
      </c>
      <c r="BL1162">
        <f>IFERROR(INDEX(PP_Grid[#Data],$DD1162,62),0)</f>
        <v/>
      </c>
      <c r="BM1162">
        <f>IFERROR(INDEX(PP_Grid[#Data],$DD1162,63),0)</f>
        <v/>
      </c>
      <c r="BN1162">
        <f>IFERROR(INDEX(PP_Grid[#Data],$DD1162,64),0)</f>
        <v/>
      </c>
      <c r="BO1162">
        <f>IFERROR(INDEX(PP_Grid[#Data],$DD1162,65),0)</f>
        <v/>
      </c>
      <c r="BP1162">
        <f>IFERROR(INDEX(PP_Grid[#Data],$DD1162,66),0)</f>
        <v/>
      </c>
      <c r="BQ1162">
        <f>IFERROR(INDEX(PP_Grid[#Data],$DD1162,67),0)</f>
        <v/>
      </c>
      <c r="BR1162">
        <f>IFERROR(INDEX(PP_Grid[#Data],$DD1162,68),0)</f>
        <v/>
      </c>
      <c r="BS1162">
        <f>IFERROR(INDEX(PP_Grid[#Data],$DD1162,69),0)</f>
        <v/>
      </c>
      <c r="BT1162">
        <f>IFERROR(INDEX(PP_Grid[#Data],$DD1162,70),0)</f>
        <v/>
      </c>
      <c r="BU1162">
        <f>IFERROR(INDEX(PP_Grid[#Data],$DD1162,71),0)</f>
        <v/>
      </c>
      <c r="BV1162">
        <f>IFERROR(INDEX(PP_Grid[#Data],$DD1162,72),0)</f>
        <v/>
      </c>
      <c r="BW1162">
        <f>IFERROR(INDEX(PP_Grid[#Data],$DD1162,73),0)</f>
        <v/>
      </c>
      <c r="BX1162">
        <f>IFERROR(INDEX(PP_Grid[#Data],$DD1162,74),0)</f>
        <v/>
      </c>
      <c r="BY1162">
        <f>IFERROR(INDEX(PP_Grid[#Data],$DD1162,75),0)</f>
        <v/>
      </c>
      <c r="BZ1162">
        <f>IFERROR(INDEX(PP_Grid[#Data],$DD1162,76),0)</f>
        <v/>
      </c>
      <c r="CA1162">
        <f>IFERROR(INDEX(PP_Grid[#Data],$DD1162,77),0)</f>
        <v/>
      </c>
      <c r="CB1162">
        <f>IFERROR(INDEX(PP_Grid[#Data],$DD1162,78),0)</f>
        <v/>
      </c>
      <c r="CC1162">
        <f>IFERROR(INDEX(PP_Grid[#Data],$DD1162,79),0)</f>
        <v/>
      </c>
      <c r="CD1162">
        <f>IFERROR(INDEX(PP_Grid[#Data],$DD1162,80),0)</f>
        <v/>
      </c>
      <c r="CE1162">
        <f>IFERROR(INDEX(PP_Grid[#Data],$DD1162,81),0)</f>
        <v/>
      </c>
      <c r="CF1162">
        <f>IFERROR(INDEX(PP_Grid[#Data],$DD1162,82),0)</f>
        <v/>
      </c>
      <c r="CG1162">
        <f>IFERROR(INDEX(PP_Grid[#Data],$DD1162,83),0)</f>
        <v/>
      </c>
      <c r="CH1162">
        <f>IFERROR(INDEX(PP_Grid[#Data],$DD1162,84),0)</f>
        <v/>
      </c>
      <c r="CI1162">
        <f>IFERROR(INDEX(PP_Grid[#Data],$DD1162,85),0)</f>
        <v/>
      </c>
      <c r="CJ1162">
        <f>IFERROR(INDEX(PP_Grid[#Data],$DD1162,86),0)</f>
        <v/>
      </c>
      <c r="CK1162">
        <f>IFERROR(INDEX(PP_Grid[#Data],$DD1162,87),0)</f>
        <v/>
      </c>
      <c r="CL1162">
        <f>IFERROR(INDEX(PP_Grid[#Data],$DD1162,88),0)</f>
        <v/>
      </c>
      <c r="CM1162">
        <f>IFERROR(INDEX(PP_Grid[#Data],$DD1162,89),0)</f>
        <v/>
      </c>
      <c r="CN1162">
        <f>IFERROR(INDEX(PP_Grid[#Data],$DD1162,90),0)</f>
        <v/>
      </c>
      <c r="CO1162">
        <f>IFERROR(INDEX(PP_Grid[#Data],$DD1162,91),0)</f>
        <v/>
      </c>
      <c r="CP1162">
        <f>IFERROR(INDEX(PP_Grid[#Data],$DD1162,92),0)</f>
        <v/>
      </c>
      <c r="CQ1162">
        <f>IFERROR(INDEX(PP_Grid[#Data],$DD1162,93),0)</f>
        <v/>
      </c>
      <c r="CR1162">
        <f>IFERROR(INDEX(PP_Grid[#Data],$DD1162,94),0)</f>
        <v/>
      </c>
      <c r="CS1162">
        <f>IFERROR(INDEX(PP_Grid[#Data],$DD1162,95),0)</f>
        <v/>
      </c>
      <c r="CT1162">
        <f>IFERROR(INDEX(PP_Grid[#Data],$DD1162,96),0)</f>
        <v/>
      </c>
      <c r="CU1162">
        <f>IFERROR(INDEX(PP_Grid[#Data],$DD1162,97),0)</f>
        <v/>
      </c>
      <c r="CV1162">
        <f>IFERROR(INDEX(PP_Grid[#Data],$DD1162,98),0)</f>
        <v/>
      </c>
      <c r="CW1162">
        <f>IFERROR(INDEX(PP_Grid[#Data],$DD1162,99),0)</f>
        <v/>
      </c>
      <c r="CX1162">
        <f>IFERROR(INDEX(PP_Grid[#Data],$DD1162,100),0)</f>
        <v/>
      </c>
      <c r="CY1162">
        <f>IFERROR(INDEX(PP_Grid[#Data],$DD1162,101),0)</f>
        <v/>
      </c>
      <c r="CZ1162">
        <f>IFERROR(INDEX(PP_Grid[#Data],$DD1162,102),0)</f>
        <v/>
      </c>
      <c r="DA1162">
        <f>IFERROR(INDEX(PP_Grid[#Data],$DD1162,103),0)</f>
        <v/>
      </c>
      <c r="DB1162">
        <f>IFERROR(INDEX(PP_Grid[#Data],$DD1162,104),0)</f>
        <v/>
      </c>
      <c r="DC1162">
        <f>IFERROR(INDEX(PP_Grid[#Data],$DD1162,105),0)</f>
        <v/>
      </c>
      <c r="DD1162" s="7">
        <f>IFERROR(MATCH($B1162,PP_Grid[Intermediate],0),99999)</f>
        <v/>
      </c>
    </row>
    <row r="1163">
      <c r="B1163" t="inlineStr">
        <is>
          <t>使用量(kg)</t>
        </is>
      </c>
      <c r="C1163">
        <f>SUMIFS(M_BOM[RM_Qty_Per_Batch],M_BOM[Intermediate],$B1162,M_BOM[Part Name],$A1131)</f>
        <v/>
      </c>
      <c r="D1163">
        <f>$C1163*D1162</f>
        <v/>
      </c>
      <c r="E1163">
        <f>$C1163*E1162</f>
        <v/>
      </c>
      <c r="F1163">
        <f>$C1163*F1162</f>
        <v/>
      </c>
      <c r="G1163">
        <f>$C1163*G1162</f>
        <v/>
      </c>
      <c r="H1163">
        <f>$C1163*H1162</f>
        <v/>
      </c>
      <c r="I1163">
        <f>$C1163*I1162</f>
        <v/>
      </c>
      <c r="J1163">
        <f>$C1163*J1162</f>
        <v/>
      </c>
      <c r="K1163">
        <f>$C1163*K1162</f>
        <v/>
      </c>
      <c r="L1163">
        <f>$C1163*L1162</f>
        <v/>
      </c>
      <c r="M1163">
        <f>$C1163*M1162</f>
        <v/>
      </c>
      <c r="N1163">
        <f>$C1163*N1162</f>
        <v/>
      </c>
      <c r="O1163">
        <f>$C1163*O1162</f>
        <v/>
      </c>
      <c r="P1163">
        <f>$C1163*P1162</f>
        <v/>
      </c>
      <c r="Q1163">
        <f>$C1163*Q1162</f>
        <v/>
      </c>
      <c r="R1163">
        <f>$C1163*R1162</f>
        <v/>
      </c>
      <c r="S1163">
        <f>$C1163*S1162</f>
        <v/>
      </c>
      <c r="T1163">
        <f>$C1163*T1162</f>
        <v/>
      </c>
      <c r="U1163">
        <f>$C1163*U1162</f>
        <v/>
      </c>
      <c r="V1163">
        <f>$C1163*V1162</f>
        <v/>
      </c>
      <c r="W1163">
        <f>$C1163*W1162</f>
        <v/>
      </c>
      <c r="X1163">
        <f>$C1163*X1162</f>
        <v/>
      </c>
      <c r="Y1163">
        <f>$C1163*Y1162</f>
        <v/>
      </c>
      <c r="Z1163">
        <f>$C1163*Z1162</f>
        <v/>
      </c>
      <c r="AA1163">
        <f>$C1163*AA1162</f>
        <v/>
      </c>
      <c r="AB1163">
        <f>$C1163*AB1162</f>
        <v/>
      </c>
      <c r="AC1163">
        <f>$C1163*AC1162</f>
        <v/>
      </c>
      <c r="AD1163">
        <f>$C1163*AD1162</f>
        <v/>
      </c>
      <c r="AE1163">
        <f>$C1163*AE1162</f>
        <v/>
      </c>
      <c r="AF1163">
        <f>$C1163*AF1162</f>
        <v/>
      </c>
      <c r="AG1163">
        <f>$C1163*AG1162</f>
        <v/>
      </c>
      <c r="AH1163">
        <f>$C1163*AH1162</f>
        <v/>
      </c>
      <c r="AI1163">
        <f>$C1163*AI1162</f>
        <v/>
      </c>
      <c r="AJ1163">
        <f>$C1163*AJ1162</f>
        <v/>
      </c>
      <c r="AK1163">
        <f>$C1163*AK1162</f>
        <v/>
      </c>
      <c r="AL1163">
        <f>$C1163*AL1162</f>
        <v/>
      </c>
      <c r="AM1163">
        <f>$C1163*AM1162</f>
        <v/>
      </c>
      <c r="AN1163">
        <f>$C1163*AN1162</f>
        <v/>
      </c>
      <c r="AO1163">
        <f>$C1163*AO1162</f>
        <v/>
      </c>
      <c r="AP1163">
        <f>$C1163*AP1162</f>
        <v/>
      </c>
      <c r="AQ1163">
        <f>$C1163*AQ1162</f>
        <v/>
      </c>
      <c r="AR1163">
        <f>$C1163*AR1162</f>
        <v/>
      </c>
      <c r="AS1163">
        <f>$C1163*AS1162</f>
        <v/>
      </c>
      <c r="AT1163">
        <f>$C1163*AT1162</f>
        <v/>
      </c>
      <c r="AU1163">
        <f>$C1163*AU1162</f>
        <v/>
      </c>
      <c r="AV1163">
        <f>$C1163*AV1162</f>
        <v/>
      </c>
      <c r="AW1163">
        <f>$C1163*AW1162</f>
        <v/>
      </c>
      <c r="AX1163">
        <f>$C1163*AX1162</f>
        <v/>
      </c>
      <c r="AY1163">
        <f>$C1163*AY1162</f>
        <v/>
      </c>
      <c r="AZ1163">
        <f>$C1163*AZ1162</f>
        <v/>
      </c>
      <c r="BA1163">
        <f>$C1163*BA1162</f>
        <v/>
      </c>
      <c r="BB1163">
        <f>$C1163*BB1162</f>
        <v/>
      </c>
      <c r="BC1163">
        <f>$C1163*BC1162</f>
        <v/>
      </c>
      <c r="BD1163">
        <f>$C1163*BD1162</f>
        <v/>
      </c>
      <c r="BE1163">
        <f>$C1163*BE1162</f>
        <v/>
      </c>
      <c r="BF1163">
        <f>$C1163*BF1162</f>
        <v/>
      </c>
      <c r="BG1163">
        <f>$C1163*BG1162</f>
        <v/>
      </c>
      <c r="BH1163">
        <f>$C1163*BH1162</f>
        <v/>
      </c>
      <c r="BI1163">
        <f>$C1163*BI1162</f>
        <v/>
      </c>
      <c r="BJ1163">
        <f>$C1163*BJ1162</f>
        <v/>
      </c>
      <c r="BK1163">
        <f>$C1163*BK1162</f>
        <v/>
      </c>
      <c r="BL1163">
        <f>$C1163*BL1162</f>
        <v/>
      </c>
      <c r="BM1163">
        <f>$C1163*BM1162</f>
        <v/>
      </c>
      <c r="BN1163">
        <f>$C1163*BN1162</f>
        <v/>
      </c>
      <c r="BO1163">
        <f>$C1163*BO1162</f>
        <v/>
      </c>
      <c r="BP1163">
        <f>$C1163*BP1162</f>
        <v/>
      </c>
      <c r="BQ1163">
        <f>$C1163*BQ1162</f>
        <v/>
      </c>
      <c r="BR1163">
        <f>$C1163*BR1162</f>
        <v/>
      </c>
      <c r="BS1163">
        <f>$C1163*BS1162</f>
        <v/>
      </c>
      <c r="BT1163">
        <f>$C1163*BT1162</f>
        <v/>
      </c>
      <c r="BU1163">
        <f>$C1163*BU1162</f>
        <v/>
      </c>
      <c r="BV1163">
        <f>$C1163*BV1162</f>
        <v/>
      </c>
      <c r="BW1163">
        <f>$C1163*BW1162</f>
        <v/>
      </c>
      <c r="BX1163">
        <f>$C1163*BX1162</f>
        <v/>
      </c>
      <c r="BY1163">
        <f>$C1163*BY1162</f>
        <v/>
      </c>
      <c r="BZ1163">
        <f>$C1163*BZ1162</f>
        <v/>
      </c>
      <c r="CA1163">
        <f>$C1163*CA1162</f>
        <v/>
      </c>
      <c r="CB1163">
        <f>$C1163*CB1162</f>
        <v/>
      </c>
      <c r="CC1163">
        <f>$C1163*CC1162</f>
        <v/>
      </c>
      <c r="CD1163">
        <f>$C1163*CD1162</f>
        <v/>
      </c>
      <c r="CE1163">
        <f>$C1163*CE1162</f>
        <v/>
      </c>
      <c r="CF1163">
        <f>$C1163*CF1162</f>
        <v/>
      </c>
      <c r="CG1163">
        <f>$C1163*CG1162</f>
        <v/>
      </c>
      <c r="CH1163">
        <f>$C1163*CH1162</f>
        <v/>
      </c>
      <c r="CI1163">
        <f>$C1163*CI1162</f>
        <v/>
      </c>
      <c r="CJ1163">
        <f>$C1163*CJ1162</f>
        <v/>
      </c>
      <c r="CK1163">
        <f>$C1163*CK1162</f>
        <v/>
      </c>
      <c r="CL1163">
        <f>$C1163*CL1162</f>
        <v/>
      </c>
      <c r="CM1163">
        <f>$C1163*CM1162</f>
        <v/>
      </c>
      <c r="CN1163">
        <f>$C1163*CN1162</f>
        <v/>
      </c>
      <c r="CO1163">
        <f>$C1163*CO1162</f>
        <v/>
      </c>
      <c r="CP1163">
        <f>$C1163*CP1162</f>
        <v/>
      </c>
      <c r="CQ1163">
        <f>$C1163*CQ1162</f>
        <v/>
      </c>
      <c r="CR1163">
        <f>$C1163*CR1162</f>
        <v/>
      </c>
      <c r="CS1163">
        <f>$C1163*CS1162</f>
        <v/>
      </c>
      <c r="CT1163">
        <f>$C1163*CT1162</f>
        <v/>
      </c>
      <c r="CU1163">
        <f>$C1163*CU1162</f>
        <v/>
      </c>
      <c r="CV1163">
        <f>$C1163*CV1162</f>
        <v/>
      </c>
      <c r="CW1163">
        <f>$C1163*CW1162</f>
        <v/>
      </c>
      <c r="CX1163">
        <f>$C1163*CX1162</f>
        <v/>
      </c>
      <c r="CY1163">
        <f>$C1163*CY1162</f>
        <v/>
      </c>
      <c r="CZ1163">
        <f>$C1163*CZ1162</f>
        <v/>
      </c>
      <c r="DA1163">
        <f>$C1163*DA1162</f>
        <v/>
      </c>
      <c r="DB1163">
        <f>$C1163*DB1162</f>
        <v/>
      </c>
      <c r="DC1163">
        <f>$C1163*DC1162</f>
        <v/>
      </c>
    </row>
    <row r="1164">
      <c r="B1164" t="inlineStr">
        <is>
          <t>TVS-267</t>
        </is>
      </c>
      <c r="C1164" t="inlineStr">
        <is>
          <t>No. of batches</t>
        </is>
      </c>
      <c r="D1164">
        <f>IFERROR(INDEX(PP_Grid[#Data],$DD1164,2),0)</f>
        <v/>
      </c>
      <c r="E1164">
        <f>IFERROR(INDEX(PP_Grid[#Data],$DD1164,3),0)</f>
        <v/>
      </c>
      <c r="F1164">
        <f>IFERROR(INDEX(PP_Grid[#Data],$DD1164,4),0)</f>
        <v/>
      </c>
      <c r="G1164">
        <f>IFERROR(INDEX(PP_Grid[#Data],$DD1164,5),0)</f>
        <v/>
      </c>
      <c r="H1164">
        <f>IFERROR(INDEX(PP_Grid[#Data],$DD1164,6),0)</f>
        <v/>
      </c>
      <c r="I1164">
        <f>IFERROR(INDEX(PP_Grid[#Data],$DD1164,7),0)</f>
        <v/>
      </c>
      <c r="J1164">
        <f>IFERROR(INDEX(PP_Grid[#Data],$DD1164,8),0)</f>
        <v/>
      </c>
      <c r="K1164">
        <f>IFERROR(INDEX(PP_Grid[#Data],$DD1164,9),0)</f>
        <v/>
      </c>
      <c r="L1164">
        <f>IFERROR(INDEX(PP_Grid[#Data],$DD1164,10),0)</f>
        <v/>
      </c>
      <c r="M1164">
        <f>IFERROR(INDEX(PP_Grid[#Data],$DD1164,11),0)</f>
        <v/>
      </c>
      <c r="N1164">
        <f>IFERROR(INDEX(PP_Grid[#Data],$DD1164,12),0)</f>
        <v/>
      </c>
      <c r="O1164">
        <f>IFERROR(INDEX(PP_Grid[#Data],$DD1164,13),0)</f>
        <v/>
      </c>
      <c r="P1164">
        <f>IFERROR(INDEX(PP_Grid[#Data],$DD1164,14),0)</f>
        <v/>
      </c>
      <c r="Q1164">
        <f>IFERROR(INDEX(PP_Grid[#Data],$DD1164,15),0)</f>
        <v/>
      </c>
      <c r="R1164">
        <f>IFERROR(INDEX(PP_Grid[#Data],$DD1164,16),0)</f>
        <v/>
      </c>
      <c r="S1164">
        <f>IFERROR(INDEX(PP_Grid[#Data],$DD1164,17),0)</f>
        <v/>
      </c>
      <c r="T1164">
        <f>IFERROR(INDEX(PP_Grid[#Data],$DD1164,18),0)</f>
        <v/>
      </c>
      <c r="U1164">
        <f>IFERROR(INDEX(PP_Grid[#Data],$DD1164,19),0)</f>
        <v/>
      </c>
      <c r="V1164">
        <f>IFERROR(INDEX(PP_Grid[#Data],$DD1164,20),0)</f>
        <v/>
      </c>
      <c r="W1164">
        <f>IFERROR(INDEX(PP_Grid[#Data],$DD1164,21),0)</f>
        <v/>
      </c>
      <c r="X1164">
        <f>IFERROR(INDEX(PP_Grid[#Data],$DD1164,22),0)</f>
        <v/>
      </c>
      <c r="Y1164">
        <f>IFERROR(INDEX(PP_Grid[#Data],$DD1164,23),0)</f>
        <v/>
      </c>
      <c r="Z1164">
        <f>IFERROR(INDEX(PP_Grid[#Data],$DD1164,24),0)</f>
        <v/>
      </c>
      <c r="AA1164">
        <f>IFERROR(INDEX(PP_Grid[#Data],$DD1164,25),0)</f>
        <v/>
      </c>
      <c r="AB1164">
        <f>IFERROR(INDEX(PP_Grid[#Data],$DD1164,26),0)</f>
        <v/>
      </c>
      <c r="AC1164">
        <f>IFERROR(INDEX(PP_Grid[#Data],$DD1164,27),0)</f>
        <v/>
      </c>
      <c r="AD1164">
        <f>IFERROR(INDEX(PP_Grid[#Data],$DD1164,28),0)</f>
        <v/>
      </c>
      <c r="AE1164">
        <f>IFERROR(INDEX(PP_Grid[#Data],$DD1164,29),0)</f>
        <v/>
      </c>
      <c r="AF1164">
        <f>IFERROR(INDEX(PP_Grid[#Data],$DD1164,30),0)</f>
        <v/>
      </c>
      <c r="AG1164">
        <f>IFERROR(INDEX(PP_Grid[#Data],$DD1164,31),0)</f>
        <v/>
      </c>
      <c r="AH1164">
        <f>IFERROR(INDEX(PP_Grid[#Data],$DD1164,32),0)</f>
        <v/>
      </c>
      <c r="AI1164">
        <f>IFERROR(INDEX(PP_Grid[#Data],$DD1164,33),0)</f>
        <v/>
      </c>
      <c r="AJ1164">
        <f>IFERROR(INDEX(PP_Grid[#Data],$DD1164,34),0)</f>
        <v/>
      </c>
      <c r="AK1164">
        <f>IFERROR(INDEX(PP_Grid[#Data],$DD1164,35),0)</f>
        <v/>
      </c>
      <c r="AL1164">
        <f>IFERROR(INDEX(PP_Grid[#Data],$DD1164,36),0)</f>
        <v/>
      </c>
      <c r="AM1164">
        <f>IFERROR(INDEX(PP_Grid[#Data],$DD1164,37),0)</f>
        <v/>
      </c>
      <c r="AN1164">
        <f>IFERROR(INDEX(PP_Grid[#Data],$DD1164,38),0)</f>
        <v/>
      </c>
      <c r="AO1164">
        <f>IFERROR(INDEX(PP_Grid[#Data],$DD1164,39),0)</f>
        <v/>
      </c>
      <c r="AP1164">
        <f>IFERROR(INDEX(PP_Grid[#Data],$DD1164,40),0)</f>
        <v/>
      </c>
      <c r="AQ1164">
        <f>IFERROR(INDEX(PP_Grid[#Data],$DD1164,41),0)</f>
        <v/>
      </c>
      <c r="AR1164">
        <f>IFERROR(INDEX(PP_Grid[#Data],$DD1164,42),0)</f>
        <v/>
      </c>
      <c r="AS1164">
        <f>IFERROR(INDEX(PP_Grid[#Data],$DD1164,43),0)</f>
        <v/>
      </c>
      <c r="AT1164">
        <f>IFERROR(INDEX(PP_Grid[#Data],$DD1164,44),0)</f>
        <v/>
      </c>
      <c r="AU1164">
        <f>IFERROR(INDEX(PP_Grid[#Data],$DD1164,45),0)</f>
        <v/>
      </c>
      <c r="AV1164">
        <f>IFERROR(INDEX(PP_Grid[#Data],$DD1164,46),0)</f>
        <v/>
      </c>
      <c r="AW1164">
        <f>IFERROR(INDEX(PP_Grid[#Data],$DD1164,47),0)</f>
        <v/>
      </c>
      <c r="AX1164">
        <f>IFERROR(INDEX(PP_Grid[#Data],$DD1164,48),0)</f>
        <v/>
      </c>
      <c r="AY1164">
        <f>IFERROR(INDEX(PP_Grid[#Data],$DD1164,49),0)</f>
        <v/>
      </c>
      <c r="AZ1164">
        <f>IFERROR(INDEX(PP_Grid[#Data],$DD1164,50),0)</f>
        <v/>
      </c>
      <c r="BA1164">
        <f>IFERROR(INDEX(PP_Grid[#Data],$DD1164,51),0)</f>
        <v/>
      </c>
      <c r="BB1164">
        <f>IFERROR(INDEX(PP_Grid[#Data],$DD1164,52),0)</f>
        <v/>
      </c>
      <c r="BC1164">
        <f>IFERROR(INDEX(PP_Grid[#Data],$DD1164,53),0)</f>
        <v/>
      </c>
      <c r="BD1164">
        <f>IFERROR(INDEX(PP_Grid[#Data],$DD1164,54),0)</f>
        <v/>
      </c>
      <c r="BE1164">
        <f>IFERROR(INDEX(PP_Grid[#Data],$DD1164,55),0)</f>
        <v/>
      </c>
      <c r="BF1164">
        <f>IFERROR(INDEX(PP_Grid[#Data],$DD1164,56),0)</f>
        <v/>
      </c>
      <c r="BG1164">
        <f>IFERROR(INDEX(PP_Grid[#Data],$DD1164,57),0)</f>
        <v/>
      </c>
      <c r="BH1164">
        <f>IFERROR(INDEX(PP_Grid[#Data],$DD1164,58),0)</f>
        <v/>
      </c>
      <c r="BI1164">
        <f>IFERROR(INDEX(PP_Grid[#Data],$DD1164,59),0)</f>
        <v/>
      </c>
      <c r="BJ1164">
        <f>IFERROR(INDEX(PP_Grid[#Data],$DD1164,60),0)</f>
        <v/>
      </c>
      <c r="BK1164">
        <f>IFERROR(INDEX(PP_Grid[#Data],$DD1164,61),0)</f>
        <v/>
      </c>
      <c r="BL1164">
        <f>IFERROR(INDEX(PP_Grid[#Data],$DD1164,62),0)</f>
        <v/>
      </c>
      <c r="BM1164">
        <f>IFERROR(INDEX(PP_Grid[#Data],$DD1164,63),0)</f>
        <v/>
      </c>
      <c r="BN1164">
        <f>IFERROR(INDEX(PP_Grid[#Data],$DD1164,64),0)</f>
        <v/>
      </c>
      <c r="BO1164">
        <f>IFERROR(INDEX(PP_Grid[#Data],$DD1164,65),0)</f>
        <v/>
      </c>
      <c r="BP1164">
        <f>IFERROR(INDEX(PP_Grid[#Data],$DD1164,66),0)</f>
        <v/>
      </c>
      <c r="BQ1164">
        <f>IFERROR(INDEX(PP_Grid[#Data],$DD1164,67),0)</f>
        <v/>
      </c>
      <c r="BR1164">
        <f>IFERROR(INDEX(PP_Grid[#Data],$DD1164,68),0)</f>
        <v/>
      </c>
      <c r="BS1164">
        <f>IFERROR(INDEX(PP_Grid[#Data],$DD1164,69),0)</f>
        <v/>
      </c>
      <c r="BT1164">
        <f>IFERROR(INDEX(PP_Grid[#Data],$DD1164,70),0)</f>
        <v/>
      </c>
      <c r="BU1164">
        <f>IFERROR(INDEX(PP_Grid[#Data],$DD1164,71),0)</f>
        <v/>
      </c>
      <c r="BV1164">
        <f>IFERROR(INDEX(PP_Grid[#Data],$DD1164,72),0)</f>
        <v/>
      </c>
      <c r="BW1164">
        <f>IFERROR(INDEX(PP_Grid[#Data],$DD1164,73),0)</f>
        <v/>
      </c>
      <c r="BX1164">
        <f>IFERROR(INDEX(PP_Grid[#Data],$DD1164,74),0)</f>
        <v/>
      </c>
      <c r="BY1164">
        <f>IFERROR(INDEX(PP_Grid[#Data],$DD1164,75),0)</f>
        <v/>
      </c>
      <c r="BZ1164">
        <f>IFERROR(INDEX(PP_Grid[#Data],$DD1164,76),0)</f>
        <v/>
      </c>
      <c r="CA1164">
        <f>IFERROR(INDEX(PP_Grid[#Data],$DD1164,77),0)</f>
        <v/>
      </c>
      <c r="CB1164">
        <f>IFERROR(INDEX(PP_Grid[#Data],$DD1164,78),0)</f>
        <v/>
      </c>
      <c r="CC1164">
        <f>IFERROR(INDEX(PP_Grid[#Data],$DD1164,79),0)</f>
        <v/>
      </c>
      <c r="CD1164">
        <f>IFERROR(INDEX(PP_Grid[#Data],$DD1164,80),0)</f>
        <v/>
      </c>
      <c r="CE1164">
        <f>IFERROR(INDEX(PP_Grid[#Data],$DD1164,81),0)</f>
        <v/>
      </c>
      <c r="CF1164">
        <f>IFERROR(INDEX(PP_Grid[#Data],$DD1164,82),0)</f>
        <v/>
      </c>
      <c r="CG1164">
        <f>IFERROR(INDEX(PP_Grid[#Data],$DD1164,83),0)</f>
        <v/>
      </c>
      <c r="CH1164">
        <f>IFERROR(INDEX(PP_Grid[#Data],$DD1164,84),0)</f>
        <v/>
      </c>
      <c r="CI1164">
        <f>IFERROR(INDEX(PP_Grid[#Data],$DD1164,85),0)</f>
        <v/>
      </c>
      <c r="CJ1164">
        <f>IFERROR(INDEX(PP_Grid[#Data],$DD1164,86),0)</f>
        <v/>
      </c>
      <c r="CK1164">
        <f>IFERROR(INDEX(PP_Grid[#Data],$DD1164,87),0)</f>
        <v/>
      </c>
      <c r="CL1164">
        <f>IFERROR(INDEX(PP_Grid[#Data],$DD1164,88),0)</f>
        <v/>
      </c>
      <c r="CM1164">
        <f>IFERROR(INDEX(PP_Grid[#Data],$DD1164,89),0)</f>
        <v/>
      </c>
      <c r="CN1164">
        <f>IFERROR(INDEX(PP_Grid[#Data],$DD1164,90),0)</f>
        <v/>
      </c>
      <c r="CO1164">
        <f>IFERROR(INDEX(PP_Grid[#Data],$DD1164,91),0)</f>
        <v/>
      </c>
      <c r="CP1164">
        <f>IFERROR(INDEX(PP_Grid[#Data],$DD1164,92),0)</f>
        <v/>
      </c>
      <c r="CQ1164">
        <f>IFERROR(INDEX(PP_Grid[#Data],$DD1164,93),0)</f>
        <v/>
      </c>
      <c r="CR1164">
        <f>IFERROR(INDEX(PP_Grid[#Data],$DD1164,94),0)</f>
        <v/>
      </c>
      <c r="CS1164">
        <f>IFERROR(INDEX(PP_Grid[#Data],$DD1164,95),0)</f>
        <v/>
      </c>
      <c r="CT1164">
        <f>IFERROR(INDEX(PP_Grid[#Data],$DD1164,96),0)</f>
        <v/>
      </c>
      <c r="CU1164">
        <f>IFERROR(INDEX(PP_Grid[#Data],$DD1164,97),0)</f>
        <v/>
      </c>
      <c r="CV1164">
        <f>IFERROR(INDEX(PP_Grid[#Data],$DD1164,98),0)</f>
        <v/>
      </c>
      <c r="CW1164">
        <f>IFERROR(INDEX(PP_Grid[#Data],$DD1164,99),0)</f>
        <v/>
      </c>
      <c r="CX1164">
        <f>IFERROR(INDEX(PP_Grid[#Data],$DD1164,100),0)</f>
        <v/>
      </c>
      <c r="CY1164">
        <f>IFERROR(INDEX(PP_Grid[#Data],$DD1164,101),0)</f>
        <v/>
      </c>
      <c r="CZ1164">
        <f>IFERROR(INDEX(PP_Grid[#Data],$DD1164,102),0)</f>
        <v/>
      </c>
      <c r="DA1164">
        <f>IFERROR(INDEX(PP_Grid[#Data],$DD1164,103),0)</f>
        <v/>
      </c>
      <c r="DB1164">
        <f>IFERROR(INDEX(PP_Grid[#Data],$DD1164,104),0)</f>
        <v/>
      </c>
      <c r="DC1164">
        <f>IFERROR(INDEX(PP_Grid[#Data],$DD1164,105),0)</f>
        <v/>
      </c>
      <c r="DD1164" s="7">
        <f>IFERROR(MATCH($B1164,PP_Grid[Intermediate],0),99999)</f>
        <v/>
      </c>
    </row>
    <row r="1165">
      <c r="B1165" t="inlineStr">
        <is>
          <t>使用量(kg)</t>
        </is>
      </c>
      <c r="C1165">
        <f>SUMIFS(M_BOM[RM_Qty_Per_Batch],M_BOM[Intermediate],$B1164,M_BOM[Part Name],$A1131)</f>
        <v/>
      </c>
      <c r="D1165">
        <f>$C1165*D1164</f>
        <v/>
      </c>
      <c r="E1165">
        <f>$C1165*E1164</f>
        <v/>
      </c>
      <c r="F1165">
        <f>$C1165*F1164</f>
        <v/>
      </c>
      <c r="G1165">
        <f>$C1165*G1164</f>
        <v/>
      </c>
      <c r="H1165">
        <f>$C1165*H1164</f>
        <v/>
      </c>
      <c r="I1165">
        <f>$C1165*I1164</f>
        <v/>
      </c>
      <c r="J1165">
        <f>$C1165*J1164</f>
        <v/>
      </c>
      <c r="K1165">
        <f>$C1165*K1164</f>
        <v/>
      </c>
      <c r="L1165">
        <f>$C1165*L1164</f>
        <v/>
      </c>
      <c r="M1165">
        <f>$C1165*M1164</f>
        <v/>
      </c>
      <c r="N1165">
        <f>$C1165*N1164</f>
        <v/>
      </c>
      <c r="O1165">
        <f>$C1165*O1164</f>
        <v/>
      </c>
      <c r="P1165">
        <f>$C1165*P1164</f>
        <v/>
      </c>
      <c r="Q1165">
        <f>$C1165*Q1164</f>
        <v/>
      </c>
      <c r="R1165">
        <f>$C1165*R1164</f>
        <v/>
      </c>
      <c r="S1165">
        <f>$C1165*S1164</f>
        <v/>
      </c>
      <c r="T1165">
        <f>$C1165*T1164</f>
        <v/>
      </c>
      <c r="U1165">
        <f>$C1165*U1164</f>
        <v/>
      </c>
      <c r="V1165">
        <f>$C1165*V1164</f>
        <v/>
      </c>
      <c r="W1165">
        <f>$C1165*W1164</f>
        <v/>
      </c>
      <c r="X1165">
        <f>$C1165*X1164</f>
        <v/>
      </c>
      <c r="Y1165">
        <f>$C1165*Y1164</f>
        <v/>
      </c>
      <c r="Z1165">
        <f>$C1165*Z1164</f>
        <v/>
      </c>
      <c r="AA1165">
        <f>$C1165*AA1164</f>
        <v/>
      </c>
      <c r="AB1165">
        <f>$C1165*AB1164</f>
        <v/>
      </c>
      <c r="AC1165">
        <f>$C1165*AC1164</f>
        <v/>
      </c>
      <c r="AD1165">
        <f>$C1165*AD1164</f>
        <v/>
      </c>
      <c r="AE1165">
        <f>$C1165*AE1164</f>
        <v/>
      </c>
      <c r="AF1165">
        <f>$C1165*AF1164</f>
        <v/>
      </c>
      <c r="AG1165">
        <f>$C1165*AG1164</f>
        <v/>
      </c>
      <c r="AH1165">
        <f>$C1165*AH1164</f>
        <v/>
      </c>
      <c r="AI1165">
        <f>$C1165*AI1164</f>
        <v/>
      </c>
      <c r="AJ1165">
        <f>$C1165*AJ1164</f>
        <v/>
      </c>
      <c r="AK1165">
        <f>$C1165*AK1164</f>
        <v/>
      </c>
      <c r="AL1165">
        <f>$C1165*AL1164</f>
        <v/>
      </c>
      <c r="AM1165">
        <f>$C1165*AM1164</f>
        <v/>
      </c>
      <c r="AN1165">
        <f>$C1165*AN1164</f>
        <v/>
      </c>
      <c r="AO1165">
        <f>$C1165*AO1164</f>
        <v/>
      </c>
      <c r="AP1165">
        <f>$C1165*AP1164</f>
        <v/>
      </c>
      <c r="AQ1165">
        <f>$C1165*AQ1164</f>
        <v/>
      </c>
      <c r="AR1165">
        <f>$C1165*AR1164</f>
        <v/>
      </c>
      <c r="AS1165">
        <f>$C1165*AS1164</f>
        <v/>
      </c>
      <c r="AT1165">
        <f>$C1165*AT1164</f>
        <v/>
      </c>
      <c r="AU1165">
        <f>$C1165*AU1164</f>
        <v/>
      </c>
      <c r="AV1165">
        <f>$C1165*AV1164</f>
        <v/>
      </c>
      <c r="AW1165">
        <f>$C1165*AW1164</f>
        <v/>
      </c>
      <c r="AX1165">
        <f>$C1165*AX1164</f>
        <v/>
      </c>
      <c r="AY1165">
        <f>$C1165*AY1164</f>
        <v/>
      </c>
      <c r="AZ1165">
        <f>$C1165*AZ1164</f>
        <v/>
      </c>
      <c r="BA1165">
        <f>$C1165*BA1164</f>
        <v/>
      </c>
      <c r="BB1165">
        <f>$C1165*BB1164</f>
        <v/>
      </c>
      <c r="BC1165">
        <f>$C1165*BC1164</f>
        <v/>
      </c>
      <c r="BD1165">
        <f>$C1165*BD1164</f>
        <v/>
      </c>
      <c r="BE1165">
        <f>$C1165*BE1164</f>
        <v/>
      </c>
      <c r="BF1165">
        <f>$C1165*BF1164</f>
        <v/>
      </c>
      <c r="BG1165">
        <f>$C1165*BG1164</f>
        <v/>
      </c>
      <c r="BH1165">
        <f>$C1165*BH1164</f>
        <v/>
      </c>
      <c r="BI1165">
        <f>$C1165*BI1164</f>
        <v/>
      </c>
      <c r="BJ1165">
        <f>$C1165*BJ1164</f>
        <v/>
      </c>
      <c r="BK1165">
        <f>$C1165*BK1164</f>
        <v/>
      </c>
      <c r="BL1165">
        <f>$C1165*BL1164</f>
        <v/>
      </c>
      <c r="BM1165">
        <f>$C1165*BM1164</f>
        <v/>
      </c>
      <c r="BN1165">
        <f>$C1165*BN1164</f>
        <v/>
      </c>
      <c r="BO1165">
        <f>$C1165*BO1164</f>
        <v/>
      </c>
      <c r="BP1165">
        <f>$C1165*BP1164</f>
        <v/>
      </c>
      <c r="BQ1165">
        <f>$C1165*BQ1164</f>
        <v/>
      </c>
      <c r="BR1165">
        <f>$C1165*BR1164</f>
        <v/>
      </c>
      <c r="BS1165">
        <f>$C1165*BS1164</f>
        <v/>
      </c>
      <c r="BT1165">
        <f>$C1165*BT1164</f>
        <v/>
      </c>
      <c r="BU1165">
        <f>$C1165*BU1164</f>
        <v/>
      </c>
      <c r="BV1165">
        <f>$C1165*BV1164</f>
        <v/>
      </c>
      <c r="BW1165">
        <f>$C1165*BW1164</f>
        <v/>
      </c>
      <c r="BX1165">
        <f>$C1165*BX1164</f>
        <v/>
      </c>
      <c r="BY1165">
        <f>$C1165*BY1164</f>
        <v/>
      </c>
      <c r="BZ1165">
        <f>$C1165*BZ1164</f>
        <v/>
      </c>
      <c r="CA1165">
        <f>$C1165*CA1164</f>
        <v/>
      </c>
      <c r="CB1165">
        <f>$C1165*CB1164</f>
        <v/>
      </c>
      <c r="CC1165">
        <f>$C1165*CC1164</f>
        <v/>
      </c>
      <c r="CD1165">
        <f>$C1165*CD1164</f>
        <v/>
      </c>
      <c r="CE1165">
        <f>$C1165*CE1164</f>
        <v/>
      </c>
      <c r="CF1165">
        <f>$C1165*CF1164</f>
        <v/>
      </c>
      <c r="CG1165">
        <f>$C1165*CG1164</f>
        <v/>
      </c>
      <c r="CH1165">
        <f>$C1165*CH1164</f>
        <v/>
      </c>
      <c r="CI1165">
        <f>$C1165*CI1164</f>
        <v/>
      </c>
      <c r="CJ1165">
        <f>$C1165*CJ1164</f>
        <v/>
      </c>
      <c r="CK1165">
        <f>$C1165*CK1164</f>
        <v/>
      </c>
      <c r="CL1165">
        <f>$C1165*CL1164</f>
        <v/>
      </c>
      <c r="CM1165">
        <f>$C1165*CM1164</f>
        <v/>
      </c>
      <c r="CN1165">
        <f>$C1165*CN1164</f>
        <v/>
      </c>
      <c r="CO1165">
        <f>$C1165*CO1164</f>
        <v/>
      </c>
      <c r="CP1165">
        <f>$C1165*CP1164</f>
        <v/>
      </c>
      <c r="CQ1165">
        <f>$C1165*CQ1164</f>
        <v/>
      </c>
      <c r="CR1165">
        <f>$C1165*CR1164</f>
        <v/>
      </c>
      <c r="CS1165">
        <f>$C1165*CS1164</f>
        <v/>
      </c>
      <c r="CT1165">
        <f>$C1165*CT1164</f>
        <v/>
      </c>
      <c r="CU1165">
        <f>$C1165*CU1164</f>
        <v/>
      </c>
      <c r="CV1165">
        <f>$C1165*CV1164</f>
        <v/>
      </c>
      <c r="CW1165">
        <f>$C1165*CW1164</f>
        <v/>
      </c>
      <c r="CX1165">
        <f>$C1165*CX1164</f>
        <v/>
      </c>
      <c r="CY1165">
        <f>$C1165*CY1164</f>
        <v/>
      </c>
      <c r="CZ1165">
        <f>$C1165*CZ1164</f>
        <v/>
      </c>
      <c r="DA1165">
        <f>$C1165*DA1164</f>
        <v/>
      </c>
      <c r="DB1165">
        <f>$C1165*DB1164</f>
        <v/>
      </c>
      <c r="DC1165">
        <f>$C1165*DC1164</f>
        <v/>
      </c>
    </row>
    <row r="1166">
      <c r="B1166" t="inlineStr">
        <is>
          <t>TVS-833</t>
        </is>
      </c>
      <c r="C1166" t="inlineStr">
        <is>
          <t>No. of batches</t>
        </is>
      </c>
      <c r="D1166">
        <f>IFERROR(INDEX(PP_Grid[#Data],$DD1166,2),0)</f>
        <v/>
      </c>
      <c r="E1166">
        <f>IFERROR(INDEX(PP_Grid[#Data],$DD1166,3),0)</f>
        <v/>
      </c>
      <c r="F1166">
        <f>IFERROR(INDEX(PP_Grid[#Data],$DD1166,4),0)</f>
        <v/>
      </c>
      <c r="G1166">
        <f>IFERROR(INDEX(PP_Grid[#Data],$DD1166,5),0)</f>
        <v/>
      </c>
      <c r="H1166">
        <f>IFERROR(INDEX(PP_Grid[#Data],$DD1166,6),0)</f>
        <v/>
      </c>
      <c r="I1166">
        <f>IFERROR(INDEX(PP_Grid[#Data],$DD1166,7),0)</f>
        <v/>
      </c>
      <c r="J1166">
        <f>IFERROR(INDEX(PP_Grid[#Data],$DD1166,8),0)</f>
        <v/>
      </c>
      <c r="K1166">
        <f>IFERROR(INDEX(PP_Grid[#Data],$DD1166,9),0)</f>
        <v/>
      </c>
      <c r="L1166">
        <f>IFERROR(INDEX(PP_Grid[#Data],$DD1166,10),0)</f>
        <v/>
      </c>
      <c r="M1166">
        <f>IFERROR(INDEX(PP_Grid[#Data],$DD1166,11),0)</f>
        <v/>
      </c>
      <c r="N1166">
        <f>IFERROR(INDEX(PP_Grid[#Data],$DD1166,12),0)</f>
        <v/>
      </c>
      <c r="O1166">
        <f>IFERROR(INDEX(PP_Grid[#Data],$DD1166,13),0)</f>
        <v/>
      </c>
      <c r="P1166">
        <f>IFERROR(INDEX(PP_Grid[#Data],$DD1166,14),0)</f>
        <v/>
      </c>
      <c r="Q1166">
        <f>IFERROR(INDEX(PP_Grid[#Data],$DD1166,15),0)</f>
        <v/>
      </c>
      <c r="R1166">
        <f>IFERROR(INDEX(PP_Grid[#Data],$DD1166,16),0)</f>
        <v/>
      </c>
      <c r="S1166">
        <f>IFERROR(INDEX(PP_Grid[#Data],$DD1166,17),0)</f>
        <v/>
      </c>
      <c r="T1166">
        <f>IFERROR(INDEX(PP_Grid[#Data],$DD1166,18),0)</f>
        <v/>
      </c>
      <c r="U1166">
        <f>IFERROR(INDEX(PP_Grid[#Data],$DD1166,19),0)</f>
        <v/>
      </c>
      <c r="V1166">
        <f>IFERROR(INDEX(PP_Grid[#Data],$DD1166,20),0)</f>
        <v/>
      </c>
      <c r="W1166">
        <f>IFERROR(INDEX(PP_Grid[#Data],$DD1166,21),0)</f>
        <v/>
      </c>
      <c r="X1166">
        <f>IFERROR(INDEX(PP_Grid[#Data],$DD1166,22),0)</f>
        <v/>
      </c>
      <c r="Y1166">
        <f>IFERROR(INDEX(PP_Grid[#Data],$DD1166,23),0)</f>
        <v/>
      </c>
      <c r="Z1166">
        <f>IFERROR(INDEX(PP_Grid[#Data],$DD1166,24),0)</f>
        <v/>
      </c>
      <c r="AA1166">
        <f>IFERROR(INDEX(PP_Grid[#Data],$DD1166,25),0)</f>
        <v/>
      </c>
      <c r="AB1166">
        <f>IFERROR(INDEX(PP_Grid[#Data],$DD1166,26),0)</f>
        <v/>
      </c>
      <c r="AC1166">
        <f>IFERROR(INDEX(PP_Grid[#Data],$DD1166,27),0)</f>
        <v/>
      </c>
      <c r="AD1166">
        <f>IFERROR(INDEX(PP_Grid[#Data],$DD1166,28),0)</f>
        <v/>
      </c>
      <c r="AE1166">
        <f>IFERROR(INDEX(PP_Grid[#Data],$DD1166,29),0)</f>
        <v/>
      </c>
      <c r="AF1166">
        <f>IFERROR(INDEX(PP_Grid[#Data],$DD1166,30),0)</f>
        <v/>
      </c>
      <c r="AG1166">
        <f>IFERROR(INDEX(PP_Grid[#Data],$DD1166,31),0)</f>
        <v/>
      </c>
      <c r="AH1166">
        <f>IFERROR(INDEX(PP_Grid[#Data],$DD1166,32),0)</f>
        <v/>
      </c>
      <c r="AI1166">
        <f>IFERROR(INDEX(PP_Grid[#Data],$DD1166,33),0)</f>
        <v/>
      </c>
      <c r="AJ1166">
        <f>IFERROR(INDEX(PP_Grid[#Data],$DD1166,34),0)</f>
        <v/>
      </c>
      <c r="AK1166">
        <f>IFERROR(INDEX(PP_Grid[#Data],$DD1166,35),0)</f>
        <v/>
      </c>
      <c r="AL1166">
        <f>IFERROR(INDEX(PP_Grid[#Data],$DD1166,36),0)</f>
        <v/>
      </c>
      <c r="AM1166">
        <f>IFERROR(INDEX(PP_Grid[#Data],$DD1166,37),0)</f>
        <v/>
      </c>
      <c r="AN1166">
        <f>IFERROR(INDEX(PP_Grid[#Data],$DD1166,38),0)</f>
        <v/>
      </c>
      <c r="AO1166">
        <f>IFERROR(INDEX(PP_Grid[#Data],$DD1166,39),0)</f>
        <v/>
      </c>
      <c r="AP1166">
        <f>IFERROR(INDEX(PP_Grid[#Data],$DD1166,40),0)</f>
        <v/>
      </c>
      <c r="AQ1166">
        <f>IFERROR(INDEX(PP_Grid[#Data],$DD1166,41),0)</f>
        <v/>
      </c>
      <c r="AR1166">
        <f>IFERROR(INDEX(PP_Grid[#Data],$DD1166,42),0)</f>
        <v/>
      </c>
      <c r="AS1166">
        <f>IFERROR(INDEX(PP_Grid[#Data],$DD1166,43),0)</f>
        <v/>
      </c>
      <c r="AT1166">
        <f>IFERROR(INDEX(PP_Grid[#Data],$DD1166,44),0)</f>
        <v/>
      </c>
      <c r="AU1166">
        <f>IFERROR(INDEX(PP_Grid[#Data],$DD1166,45),0)</f>
        <v/>
      </c>
      <c r="AV1166">
        <f>IFERROR(INDEX(PP_Grid[#Data],$DD1166,46),0)</f>
        <v/>
      </c>
      <c r="AW1166">
        <f>IFERROR(INDEX(PP_Grid[#Data],$DD1166,47),0)</f>
        <v/>
      </c>
      <c r="AX1166">
        <f>IFERROR(INDEX(PP_Grid[#Data],$DD1166,48),0)</f>
        <v/>
      </c>
      <c r="AY1166">
        <f>IFERROR(INDEX(PP_Grid[#Data],$DD1166,49),0)</f>
        <v/>
      </c>
      <c r="AZ1166">
        <f>IFERROR(INDEX(PP_Grid[#Data],$DD1166,50),0)</f>
        <v/>
      </c>
      <c r="BA1166">
        <f>IFERROR(INDEX(PP_Grid[#Data],$DD1166,51),0)</f>
        <v/>
      </c>
      <c r="BB1166">
        <f>IFERROR(INDEX(PP_Grid[#Data],$DD1166,52),0)</f>
        <v/>
      </c>
      <c r="BC1166">
        <f>IFERROR(INDEX(PP_Grid[#Data],$DD1166,53),0)</f>
        <v/>
      </c>
      <c r="BD1166">
        <f>IFERROR(INDEX(PP_Grid[#Data],$DD1166,54),0)</f>
        <v/>
      </c>
      <c r="BE1166">
        <f>IFERROR(INDEX(PP_Grid[#Data],$DD1166,55),0)</f>
        <v/>
      </c>
      <c r="BF1166">
        <f>IFERROR(INDEX(PP_Grid[#Data],$DD1166,56),0)</f>
        <v/>
      </c>
      <c r="BG1166">
        <f>IFERROR(INDEX(PP_Grid[#Data],$DD1166,57),0)</f>
        <v/>
      </c>
      <c r="BH1166">
        <f>IFERROR(INDEX(PP_Grid[#Data],$DD1166,58),0)</f>
        <v/>
      </c>
      <c r="BI1166">
        <f>IFERROR(INDEX(PP_Grid[#Data],$DD1166,59),0)</f>
        <v/>
      </c>
      <c r="BJ1166">
        <f>IFERROR(INDEX(PP_Grid[#Data],$DD1166,60),0)</f>
        <v/>
      </c>
      <c r="BK1166">
        <f>IFERROR(INDEX(PP_Grid[#Data],$DD1166,61),0)</f>
        <v/>
      </c>
      <c r="BL1166">
        <f>IFERROR(INDEX(PP_Grid[#Data],$DD1166,62),0)</f>
        <v/>
      </c>
      <c r="BM1166">
        <f>IFERROR(INDEX(PP_Grid[#Data],$DD1166,63),0)</f>
        <v/>
      </c>
      <c r="BN1166">
        <f>IFERROR(INDEX(PP_Grid[#Data],$DD1166,64),0)</f>
        <v/>
      </c>
      <c r="BO1166">
        <f>IFERROR(INDEX(PP_Grid[#Data],$DD1166,65),0)</f>
        <v/>
      </c>
      <c r="BP1166">
        <f>IFERROR(INDEX(PP_Grid[#Data],$DD1166,66),0)</f>
        <v/>
      </c>
      <c r="BQ1166">
        <f>IFERROR(INDEX(PP_Grid[#Data],$DD1166,67),0)</f>
        <v/>
      </c>
      <c r="BR1166">
        <f>IFERROR(INDEX(PP_Grid[#Data],$DD1166,68),0)</f>
        <v/>
      </c>
      <c r="BS1166">
        <f>IFERROR(INDEX(PP_Grid[#Data],$DD1166,69),0)</f>
        <v/>
      </c>
      <c r="BT1166">
        <f>IFERROR(INDEX(PP_Grid[#Data],$DD1166,70),0)</f>
        <v/>
      </c>
      <c r="BU1166">
        <f>IFERROR(INDEX(PP_Grid[#Data],$DD1166,71),0)</f>
        <v/>
      </c>
      <c r="BV1166">
        <f>IFERROR(INDEX(PP_Grid[#Data],$DD1166,72),0)</f>
        <v/>
      </c>
      <c r="BW1166">
        <f>IFERROR(INDEX(PP_Grid[#Data],$DD1166,73),0)</f>
        <v/>
      </c>
      <c r="BX1166">
        <f>IFERROR(INDEX(PP_Grid[#Data],$DD1166,74),0)</f>
        <v/>
      </c>
      <c r="BY1166">
        <f>IFERROR(INDEX(PP_Grid[#Data],$DD1166,75),0)</f>
        <v/>
      </c>
      <c r="BZ1166">
        <f>IFERROR(INDEX(PP_Grid[#Data],$DD1166,76),0)</f>
        <v/>
      </c>
      <c r="CA1166">
        <f>IFERROR(INDEX(PP_Grid[#Data],$DD1166,77),0)</f>
        <v/>
      </c>
      <c r="CB1166">
        <f>IFERROR(INDEX(PP_Grid[#Data],$DD1166,78),0)</f>
        <v/>
      </c>
      <c r="CC1166">
        <f>IFERROR(INDEX(PP_Grid[#Data],$DD1166,79),0)</f>
        <v/>
      </c>
      <c r="CD1166">
        <f>IFERROR(INDEX(PP_Grid[#Data],$DD1166,80),0)</f>
        <v/>
      </c>
      <c r="CE1166">
        <f>IFERROR(INDEX(PP_Grid[#Data],$DD1166,81),0)</f>
        <v/>
      </c>
      <c r="CF1166">
        <f>IFERROR(INDEX(PP_Grid[#Data],$DD1166,82),0)</f>
        <v/>
      </c>
      <c r="CG1166">
        <f>IFERROR(INDEX(PP_Grid[#Data],$DD1166,83),0)</f>
        <v/>
      </c>
      <c r="CH1166">
        <f>IFERROR(INDEX(PP_Grid[#Data],$DD1166,84),0)</f>
        <v/>
      </c>
      <c r="CI1166">
        <f>IFERROR(INDEX(PP_Grid[#Data],$DD1166,85),0)</f>
        <v/>
      </c>
      <c r="CJ1166">
        <f>IFERROR(INDEX(PP_Grid[#Data],$DD1166,86),0)</f>
        <v/>
      </c>
      <c r="CK1166">
        <f>IFERROR(INDEX(PP_Grid[#Data],$DD1166,87),0)</f>
        <v/>
      </c>
      <c r="CL1166">
        <f>IFERROR(INDEX(PP_Grid[#Data],$DD1166,88),0)</f>
        <v/>
      </c>
      <c r="CM1166">
        <f>IFERROR(INDEX(PP_Grid[#Data],$DD1166,89),0)</f>
        <v/>
      </c>
      <c r="CN1166">
        <f>IFERROR(INDEX(PP_Grid[#Data],$DD1166,90),0)</f>
        <v/>
      </c>
      <c r="CO1166">
        <f>IFERROR(INDEX(PP_Grid[#Data],$DD1166,91),0)</f>
        <v/>
      </c>
      <c r="CP1166">
        <f>IFERROR(INDEX(PP_Grid[#Data],$DD1166,92),0)</f>
        <v/>
      </c>
      <c r="CQ1166">
        <f>IFERROR(INDEX(PP_Grid[#Data],$DD1166,93),0)</f>
        <v/>
      </c>
      <c r="CR1166">
        <f>IFERROR(INDEX(PP_Grid[#Data],$DD1166,94),0)</f>
        <v/>
      </c>
      <c r="CS1166">
        <f>IFERROR(INDEX(PP_Grid[#Data],$DD1166,95),0)</f>
        <v/>
      </c>
      <c r="CT1166">
        <f>IFERROR(INDEX(PP_Grid[#Data],$DD1166,96),0)</f>
        <v/>
      </c>
      <c r="CU1166">
        <f>IFERROR(INDEX(PP_Grid[#Data],$DD1166,97),0)</f>
        <v/>
      </c>
      <c r="CV1166">
        <f>IFERROR(INDEX(PP_Grid[#Data],$DD1166,98),0)</f>
        <v/>
      </c>
      <c r="CW1166">
        <f>IFERROR(INDEX(PP_Grid[#Data],$DD1166,99),0)</f>
        <v/>
      </c>
      <c r="CX1166">
        <f>IFERROR(INDEX(PP_Grid[#Data],$DD1166,100),0)</f>
        <v/>
      </c>
      <c r="CY1166">
        <f>IFERROR(INDEX(PP_Grid[#Data],$DD1166,101),0)</f>
        <v/>
      </c>
      <c r="CZ1166">
        <f>IFERROR(INDEX(PP_Grid[#Data],$DD1166,102),0)</f>
        <v/>
      </c>
      <c r="DA1166">
        <f>IFERROR(INDEX(PP_Grid[#Data],$DD1166,103),0)</f>
        <v/>
      </c>
      <c r="DB1166">
        <f>IFERROR(INDEX(PP_Grid[#Data],$DD1166,104),0)</f>
        <v/>
      </c>
      <c r="DC1166">
        <f>IFERROR(INDEX(PP_Grid[#Data],$DD1166,105),0)</f>
        <v/>
      </c>
      <c r="DD1166" s="7">
        <f>IFERROR(MATCH($B1166,PP_Grid[Intermediate],0),99999)</f>
        <v/>
      </c>
    </row>
    <row r="1167">
      <c r="B1167" t="inlineStr">
        <is>
          <t>使用量(kg)</t>
        </is>
      </c>
      <c r="C1167">
        <f>SUMIFS(M_BOM[RM_Qty_Per_Batch],M_BOM[Intermediate],$B1166,M_BOM[Part Name],$A1131)</f>
        <v/>
      </c>
      <c r="D1167">
        <f>$C1167*D1166</f>
        <v/>
      </c>
      <c r="E1167">
        <f>$C1167*E1166</f>
        <v/>
      </c>
      <c r="F1167">
        <f>$C1167*F1166</f>
        <v/>
      </c>
      <c r="G1167">
        <f>$C1167*G1166</f>
        <v/>
      </c>
      <c r="H1167">
        <f>$C1167*H1166</f>
        <v/>
      </c>
      <c r="I1167">
        <f>$C1167*I1166</f>
        <v/>
      </c>
      <c r="J1167">
        <f>$C1167*J1166</f>
        <v/>
      </c>
      <c r="K1167">
        <f>$C1167*K1166</f>
        <v/>
      </c>
      <c r="L1167">
        <f>$C1167*L1166</f>
        <v/>
      </c>
      <c r="M1167">
        <f>$C1167*M1166</f>
        <v/>
      </c>
      <c r="N1167">
        <f>$C1167*N1166</f>
        <v/>
      </c>
      <c r="O1167">
        <f>$C1167*O1166</f>
        <v/>
      </c>
      <c r="P1167">
        <f>$C1167*P1166</f>
        <v/>
      </c>
      <c r="Q1167">
        <f>$C1167*Q1166</f>
        <v/>
      </c>
      <c r="R1167">
        <f>$C1167*R1166</f>
        <v/>
      </c>
      <c r="S1167">
        <f>$C1167*S1166</f>
        <v/>
      </c>
      <c r="T1167">
        <f>$C1167*T1166</f>
        <v/>
      </c>
      <c r="U1167">
        <f>$C1167*U1166</f>
        <v/>
      </c>
      <c r="V1167">
        <f>$C1167*V1166</f>
        <v/>
      </c>
      <c r="W1167">
        <f>$C1167*W1166</f>
        <v/>
      </c>
      <c r="X1167">
        <f>$C1167*X1166</f>
        <v/>
      </c>
      <c r="Y1167">
        <f>$C1167*Y1166</f>
        <v/>
      </c>
      <c r="Z1167">
        <f>$C1167*Z1166</f>
        <v/>
      </c>
      <c r="AA1167">
        <f>$C1167*AA1166</f>
        <v/>
      </c>
      <c r="AB1167">
        <f>$C1167*AB1166</f>
        <v/>
      </c>
      <c r="AC1167">
        <f>$C1167*AC1166</f>
        <v/>
      </c>
      <c r="AD1167">
        <f>$C1167*AD1166</f>
        <v/>
      </c>
      <c r="AE1167">
        <f>$C1167*AE1166</f>
        <v/>
      </c>
      <c r="AF1167">
        <f>$C1167*AF1166</f>
        <v/>
      </c>
      <c r="AG1167">
        <f>$C1167*AG1166</f>
        <v/>
      </c>
      <c r="AH1167">
        <f>$C1167*AH1166</f>
        <v/>
      </c>
      <c r="AI1167">
        <f>$C1167*AI1166</f>
        <v/>
      </c>
      <c r="AJ1167">
        <f>$C1167*AJ1166</f>
        <v/>
      </c>
      <c r="AK1167">
        <f>$C1167*AK1166</f>
        <v/>
      </c>
      <c r="AL1167">
        <f>$C1167*AL1166</f>
        <v/>
      </c>
      <c r="AM1167">
        <f>$C1167*AM1166</f>
        <v/>
      </c>
      <c r="AN1167">
        <f>$C1167*AN1166</f>
        <v/>
      </c>
      <c r="AO1167">
        <f>$C1167*AO1166</f>
        <v/>
      </c>
      <c r="AP1167">
        <f>$C1167*AP1166</f>
        <v/>
      </c>
      <c r="AQ1167">
        <f>$C1167*AQ1166</f>
        <v/>
      </c>
      <c r="AR1167">
        <f>$C1167*AR1166</f>
        <v/>
      </c>
      <c r="AS1167">
        <f>$C1167*AS1166</f>
        <v/>
      </c>
      <c r="AT1167">
        <f>$C1167*AT1166</f>
        <v/>
      </c>
      <c r="AU1167">
        <f>$C1167*AU1166</f>
        <v/>
      </c>
      <c r="AV1167">
        <f>$C1167*AV1166</f>
        <v/>
      </c>
      <c r="AW1167">
        <f>$C1167*AW1166</f>
        <v/>
      </c>
      <c r="AX1167">
        <f>$C1167*AX1166</f>
        <v/>
      </c>
      <c r="AY1167">
        <f>$C1167*AY1166</f>
        <v/>
      </c>
      <c r="AZ1167">
        <f>$C1167*AZ1166</f>
        <v/>
      </c>
      <c r="BA1167">
        <f>$C1167*BA1166</f>
        <v/>
      </c>
      <c r="BB1167">
        <f>$C1167*BB1166</f>
        <v/>
      </c>
      <c r="BC1167">
        <f>$C1167*BC1166</f>
        <v/>
      </c>
      <c r="BD1167">
        <f>$C1167*BD1166</f>
        <v/>
      </c>
      <c r="BE1167">
        <f>$C1167*BE1166</f>
        <v/>
      </c>
      <c r="BF1167">
        <f>$C1167*BF1166</f>
        <v/>
      </c>
      <c r="BG1167">
        <f>$C1167*BG1166</f>
        <v/>
      </c>
      <c r="BH1167">
        <f>$C1167*BH1166</f>
        <v/>
      </c>
      <c r="BI1167">
        <f>$C1167*BI1166</f>
        <v/>
      </c>
      <c r="BJ1167">
        <f>$C1167*BJ1166</f>
        <v/>
      </c>
      <c r="BK1167">
        <f>$C1167*BK1166</f>
        <v/>
      </c>
      <c r="BL1167">
        <f>$C1167*BL1166</f>
        <v/>
      </c>
      <c r="BM1167">
        <f>$C1167*BM1166</f>
        <v/>
      </c>
      <c r="BN1167">
        <f>$C1167*BN1166</f>
        <v/>
      </c>
      <c r="BO1167">
        <f>$C1167*BO1166</f>
        <v/>
      </c>
      <c r="BP1167">
        <f>$C1167*BP1166</f>
        <v/>
      </c>
      <c r="BQ1167">
        <f>$C1167*BQ1166</f>
        <v/>
      </c>
      <c r="BR1167">
        <f>$C1167*BR1166</f>
        <v/>
      </c>
      <c r="BS1167">
        <f>$C1167*BS1166</f>
        <v/>
      </c>
      <c r="BT1167">
        <f>$C1167*BT1166</f>
        <v/>
      </c>
      <c r="BU1167">
        <f>$C1167*BU1166</f>
        <v/>
      </c>
      <c r="BV1167">
        <f>$C1167*BV1166</f>
        <v/>
      </c>
      <c r="BW1167">
        <f>$C1167*BW1166</f>
        <v/>
      </c>
      <c r="BX1167">
        <f>$C1167*BX1166</f>
        <v/>
      </c>
      <c r="BY1167">
        <f>$C1167*BY1166</f>
        <v/>
      </c>
      <c r="BZ1167">
        <f>$C1167*BZ1166</f>
        <v/>
      </c>
      <c r="CA1167">
        <f>$C1167*CA1166</f>
        <v/>
      </c>
      <c r="CB1167">
        <f>$C1167*CB1166</f>
        <v/>
      </c>
      <c r="CC1167">
        <f>$C1167*CC1166</f>
        <v/>
      </c>
      <c r="CD1167">
        <f>$C1167*CD1166</f>
        <v/>
      </c>
      <c r="CE1167">
        <f>$C1167*CE1166</f>
        <v/>
      </c>
      <c r="CF1167">
        <f>$C1167*CF1166</f>
        <v/>
      </c>
      <c r="CG1167">
        <f>$C1167*CG1166</f>
        <v/>
      </c>
      <c r="CH1167">
        <f>$C1167*CH1166</f>
        <v/>
      </c>
      <c r="CI1167">
        <f>$C1167*CI1166</f>
        <v/>
      </c>
      <c r="CJ1167">
        <f>$C1167*CJ1166</f>
        <v/>
      </c>
      <c r="CK1167">
        <f>$C1167*CK1166</f>
        <v/>
      </c>
      <c r="CL1167">
        <f>$C1167*CL1166</f>
        <v/>
      </c>
      <c r="CM1167">
        <f>$C1167*CM1166</f>
        <v/>
      </c>
      <c r="CN1167">
        <f>$C1167*CN1166</f>
        <v/>
      </c>
      <c r="CO1167">
        <f>$C1167*CO1166</f>
        <v/>
      </c>
      <c r="CP1167">
        <f>$C1167*CP1166</f>
        <v/>
      </c>
      <c r="CQ1167">
        <f>$C1167*CQ1166</f>
        <v/>
      </c>
      <c r="CR1167">
        <f>$C1167*CR1166</f>
        <v/>
      </c>
      <c r="CS1167">
        <f>$C1167*CS1166</f>
        <v/>
      </c>
      <c r="CT1167">
        <f>$C1167*CT1166</f>
        <v/>
      </c>
      <c r="CU1167">
        <f>$C1167*CU1166</f>
        <v/>
      </c>
      <c r="CV1167">
        <f>$C1167*CV1166</f>
        <v/>
      </c>
      <c r="CW1167">
        <f>$C1167*CW1166</f>
        <v/>
      </c>
      <c r="CX1167">
        <f>$C1167*CX1166</f>
        <v/>
      </c>
      <c r="CY1167">
        <f>$C1167*CY1166</f>
        <v/>
      </c>
      <c r="CZ1167">
        <f>$C1167*CZ1166</f>
        <v/>
      </c>
      <c r="DA1167">
        <f>$C1167*DA1166</f>
        <v/>
      </c>
      <c r="DB1167">
        <f>$C1167*DB1166</f>
        <v/>
      </c>
      <c r="DC1167">
        <f>$C1167*DC1166</f>
        <v/>
      </c>
    </row>
    <row r="1168">
      <c r="B1168" s="4" t="inlineStr">
        <is>
          <t>合計使用量(kg)/週</t>
        </is>
      </c>
      <c r="D1168">
        <f>'Grid_Requirement'!B16</f>
        <v/>
      </c>
      <c r="E1168">
        <f>'Grid_Requirement'!C16</f>
        <v/>
      </c>
      <c r="F1168">
        <f>'Grid_Requirement'!D16</f>
        <v/>
      </c>
      <c r="G1168">
        <f>'Grid_Requirement'!E16</f>
        <v/>
      </c>
      <c r="H1168">
        <f>'Grid_Requirement'!F16</f>
        <v/>
      </c>
      <c r="I1168">
        <f>'Grid_Requirement'!G16</f>
        <v/>
      </c>
      <c r="J1168">
        <f>'Grid_Requirement'!H16</f>
        <v/>
      </c>
      <c r="K1168">
        <f>'Grid_Requirement'!I16</f>
        <v/>
      </c>
      <c r="L1168">
        <f>'Grid_Requirement'!J16</f>
        <v/>
      </c>
      <c r="M1168">
        <f>'Grid_Requirement'!K16</f>
        <v/>
      </c>
      <c r="N1168">
        <f>'Grid_Requirement'!L16</f>
        <v/>
      </c>
      <c r="O1168">
        <f>'Grid_Requirement'!M16</f>
        <v/>
      </c>
      <c r="P1168">
        <f>'Grid_Requirement'!N16</f>
        <v/>
      </c>
      <c r="Q1168">
        <f>'Grid_Requirement'!O16</f>
        <v/>
      </c>
      <c r="R1168">
        <f>'Grid_Requirement'!P16</f>
        <v/>
      </c>
      <c r="S1168">
        <f>'Grid_Requirement'!Q16</f>
        <v/>
      </c>
      <c r="T1168">
        <f>'Grid_Requirement'!R16</f>
        <v/>
      </c>
      <c r="U1168">
        <f>'Grid_Requirement'!S16</f>
        <v/>
      </c>
      <c r="V1168">
        <f>'Grid_Requirement'!T16</f>
        <v/>
      </c>
      <c r="W1168">
        <f>'Grid_Requirement'!U16</f>
        <v/>
      </c>
      <c r="X1168">
        <f>'Grid_Requirement'!V16</f>
        <v/>
      </c>
      <c r="Y1168">
        <f>'Grid_Requirement'!W16</f>
        <v/>
      </c>
      <c r="Z1168">
        <f>'Grid_Requirement'!X16</f>
        <v/>
      </c>
      <c r="AA1168">
        <f>'Grid_Requirement'!Y16</f>
        <v/>
      </c>
      <c r="AB1168">
        <f>'Grid_Requirement'!Z16</f>
        <v/>
      </c>
      <c r="AC1168">
        <f>'Grid_Requirement'!AA16</f>
        <v/>
      </c>
      <c r="AD1168">
        <f>'Grid_Requirement'!AB16</f>
        <v/>
      </c>
      <c r="AE1168">
        <f>'Grid_Requirement'!AC16</f>
        <v/>
      </c>
      <c r="AF1168">
        <f>'Grid_Requirement'!AD16</f>
        <v/>
      </c>
      <c r="AG1168">
        <f>'Grid_Requirement'!AE16</f>
        <v/>
      </c>
      <c r="AH1168">
        <f>'Grid_Requirement'!AF16</f>
        <v/>
      </c>
      <c r="AI1168">
        <f>'Grid_Requirement'!AG16</f>
        <v/>
      </c>
      <c r="AJ1168">
        <f>'Grid_Requirement'!AH16</f>
        <v/>
      </c>
      <c r="AK1168">
        <f>'Grid_Requirement'!AI16</f>
        <v/>
      </c>
      <c r="AL1168">
        <f>'Grid_Requirement'!AJ16</f>
        <v/>
      </c>
      <c r="AM1168">
        <f>'Grid_Requirement'!AK16</f>
        <v/>
      </c>
      <c r="AN1168">
        <f>'Grid_Requirement'!AL16</f>
        <v/>
      </c>
      <c r="AO1168">
        <f>'Grid_Requirement'!AM16</f>
        <v/>
      </c>
      <c r="AP1168">
        <f>'Grid_Requirement'!AN16</f>
        <v/>
      </c>
      <c r="AQ1168">
        <f>'Grid_Requirement'!AO16</f>
        <v/>
      </c>
      <c r="AR1168">
        <f>'Grid_Requirement'!AP16</f>
        <v/>
      </c>
      <c r="AS1168">
        <f>'Grid_Requirement'!AQ16</f>
        <v/>
      </c>
      <c r="AT1168">
        <f>'Grid_Requirement'!AR16</f>
        <v/>
      </c>
      <c r="AU1168">
        <f>'Grid_Requirement'!AS16</f>
        <v/>
      </c>
      <c r="AV1168">
        <f>'Grid_Requirement'!AT16</f>
        <v/>
      </c>
      <c r="AW1168">
        <f>'Grid_Requirement'!AU16</f>
        <v/>
      </c>
      <c r="AX1168">
        <f>'Grid_Requirement'!AV16</f>
        <v/>
      </c>
      <c r="AY1168">
        <f>'Grid_Requirement'!AW16</f>
        <v/>
      </c>
      <c r="AZ1168">
        <f>'Grid_Requirement'!AX16</f>
        <v/>
      </c>
      <c r="BA1168">
        <f>'Grid_Requirement'!AY16</f>
        <v/>
      </c>
      <c r="BB1168">
        <f>'Grid_Requirement'!AZ16</f>
        <v/>
      </c>
      <c r="BC1168">
        <f>'Grid_Requirement'!BA16</f>
        <v/>
      </c>
      <c r="BD1168">
        <f>'Grid_Requirement'!BB16</f>
        <v/>
      </c>
      <c r="BE1168">
        <f>'Grid_Requirement'!BC16</f>
        <v/>
      </c>
      <c r="BF1168">
        <f>'Grid_Requirement'!BD16</f>
        <v/>
      </c>
      <c r="BG1168">
        <f>'Grid_Requirement'!BE16</f>
        <v/>
      </c>
      <c r="BH1168">
        <f>'Grid_Requirement'!BF16</f>
        <v/>
      </c>
      <c r="BI1168">
        <f>'Grid_Requirement'!BG16</f>
        <v/>
      </c>
      <c r="BJ1168">
        <f>'Grid_Requirement'!BH16</f>
        <v/>
      </c>
      <c r="BK1168">
        <f>'Grid_Requirement'!BI16</f>
        <v/>
      </c>
      <c r="BL1168">
        <f>'Grid_Requirement'!BJ16</f>
        <v/>
      </c>
      <c r="BM1168">
        <f>'Grid_Requirement'!BK16</f>
        <v/>
      </c>
      <c r="BN1168">
        <f>'Grid_Requirement'!BL16</f>
        <v/>
      </c>
      <c r="BO1168">
        <f>'Grid_Requirement'!BM16</f>
        <v/>
      </c>
      <c r="BP1168">
        <f>'Grid_Requirement'!BN16</f>
        <v/>
      </c>
      <c r="BQ1168">
        <f>'Grid_Requirement'!BO16</f>
        <v/>
      </c>
      <c r="BR1168">
        <f>'Grid_Requirement'!BP16</f>
        <v/>
      </c>
      <c r="BS1168">
        <f>'Grid_Requirement'!BQ16</f>
        <v/>
      </c>
      <c r="BT1168">
        <f>'Grid_Requirement'!BR16</f>
        <v/>
      </c>
      <c r="BU1168">
        <f>'Grid_Requirement'!BS16</f>
        <v/>
      </c>
      <c r="BV1168">
        <f>'Grid_Requirement'!BT16</f>
        <v/>
      </c>
      <c r="BW1168">
        <f>'Grid_Requirement'!BU16</f>
        <v/>
      </c>
      <c r="BX1168">
        <f>'Grid_Requirement'!BV16</f>
        <v/>
      </c>
      <c r="BY1168">
        <f>'Grid_Requirement'!BW16</f>
        <v/>
      </c>
      <c r="BZ1168">
        <f>'Grid_Requirement'!BX16</f>
        <v/>
      </c>
      <c r="CA1168">
        <f>'Grid_Requirement'!BY16</f>
        <v/>
      </c>
      <c r="CB1168">
        <f>'Grid_Requirement'!BZ16</f>
        <v/>
      </c>
      <c r="CC1168">
        <f>'Grid_Requirement'!CA16</f>
        <v/>
      </c>
      <c r="CD1168">
        <f>'Grid_Requirement'!CB16</f>
        <v/>
      </c>
      <c r="CE1168">
        <f>'Grid_Requirement'!CC16</f>
        <v/>
      </c>
      <c r="CF1168">
        <f>'Grid_Requirement'!CD16</f>
        <v/>
      </c>
      <c r="CG1168">
        <f>'Grid_Requirement'!CE16</f>
        <v/>
      </c>
      <c r="CH1168">
        <f>'Grid_Requirement'!CF16</f>
        <v/>
      </c>
      <c r="CI1168">
        <f>'Grid_Requirement'!CG16</f>
        <v/>
      </c>
      <c r="CJ1168">
        <f>'Grid_Requirement'!CH16</f>
        <v/>
      </c>
      <c r="CK1168">
        <f>'Grid_Requirement'!CI16</f>
        <v/>
      </c>
      <c r="CL1168">
        <f>'Grid_Requirement'!CJ16</f>
        <v/>
      </c>
      <c r="CM1168">
        <f>'Grid_Requirement'!CK16</f>
        <v/>
      </c>
      <c r="CN1168">
        <f>'Grid_Requirement'!CL16</f>
        <v/>
      </c>
      <c r="CO1168">
        <f>'Grid_Requirement'!CM16</f>
        <v/>
      </c>
      <c r="CP1168">
        <f>'Grid_Requirement'!CN16</f>
        <v/>
      </c>
      <c r="CQ1168">
        <f>'Grid_Requirement'!CO16</f>
        <v/>
      </c>
      <c r="CR1168">
        <f>'Grid_Requirement'!CP16</f>
        <v/>
      </c>
      <c r="CS1168">
        <f>'Grid_Requirement'!CQ16</f>
        <v/>
      </c>
      <c r="CT1168">
        <f>'Grid_Requirement'!CR16</f>
        <v/>
      </c>
      <c r="CU1168">
        <f>'Grid_Requirement'!CS16</f>
        <v/>
      </c>
      <c r="CV1168">
        <f>'Grid_Requirement'!CT16</f>
        <v/>
      </c>
      <c r="CW1168">
        <f>'Grid_Requirement'!CU16</f>
        <v/>
      </c>
      <c r="CX1168">
        <f>'Grid_Requirement'!CV16</f>
        <v/>
      </c>
      <c r="CY1168">
        <f>'Grid_Requirement'!CW16</f>
        <v/>
      </c>
      <c r="CZ1168">
        <f>'Grid_Requirement'!CX16</f>
        <v/>
      </c>
      <c r="DA1168">
        <f>'Grid_Requirement'!CY16</f>
        <v/>
      </c>
      <c r="DB1168">
        <f>'Grid_Requirement'!CZ16</f>
        <v/>
      </c>
      <c r="DC1168">
        <f>'Grid_Requirement'!DA16</f>
        <v/>
      </c>
    </row>
    <row r="1169">
      <c r="B1169" t="inlineStr">
        <is>
          <t>TTAF在庫(実績,kg)</t>
        </is>
      </c>
      <c r="D1169">
        <f>'T_TTAFStock'!B20</f>
        <v/>
      </c>
      <c r="E1169">
        <f>'T_TTAFStock'!C20</f>
        <v/>
      </c>
      <c r="F1169">
        <f>'T_TTAFStock'!D20</f>
        <v/>
      </c>
      <c r="G1169">
        <f>'T_TTAFStock'!E20</f>
        <v/>
      </c>
      <c r="H1169">
        <f>'T_TTAFStock'!F20</f>
        <v/>
      </c>
      <c r="I1169">
        <f>'T_TTAFStock'!G20</f>
        <v/>
      </c>
      <c r="J1169">
        <f>'T_TTAFStock'!H20</f>
        <v/>
      </c>
      <c r="K1169">
        <f>'T_TTAFStock'!I20</f>
        <v/>
      </c>
      <c r="L1169">
        <f>'T_TTAFStock'!J20</f>
        <v/>
      </c>
      <c r="M1169">
        <f>'T_TTAFStock'!K20</f>
        <v/>
      </c>
      <c r="N1169">
        <f>'T_TTAFStock'!L20</f>
        <v/>
      </c>
      <c r="O1169">
        <f>'T_TTAFStock'!M20</f>
        <v/>
      </c>
      <c r="P1169">
        <f>'T_TTAFStock'!N20</f>
        <v/>
      </c>
      <c r="Q1169">
        <f>'T_TTAFStock'!O20</f>
        <v/>
      </c>
      <c r="R1169">
        <f>'T_TTAFStock'!P20</f>
        <v/>
      </c>
      <c r="S1169">
        <f>'T_TTAFStock'!Q20</f>
        <v/>
      </c>
      <c r="T1169">
        <f>'T_TTAFStock'!R20</f>
        <v/>
      </c>
      <c r="U1169">
        <f>'T_TTAFStock'!S20</f>
        <v/>
      </c>
      <c r="V1169">
        <f>'T_TTAFStock'!T20</f>
        <v/>
      </c>
      <c r="W1169">
        <f>'T_TTAFStock'!U20</f>
        <v/>
      </c>
      <c r="X1169">
        <f>'T_TTAFStock'!V20</f>
        <v/>
      </c>
      <c r="Y1169">
        <f>'T_TTAFStock'!W20</f>
        <v/>
      </c>
      <c r="Z1169">
        <f>'T_TTAFStock'!X20</f>
        <v/>
      </c>
      <c r="AA1169">
        <f>'T_TTAFStock'!Y20</f>
        <v/>
      </c>
      <c r="AB1169">
        <f>'T_TTAFStock'!Z20</f>
        <v/>
      </c>
      <c r="AC1169">
        <f>'T_TTAFStock'!AA20</f>
        <v/>
      </c>
      <c r="AD1169">
        <f>'T_TTAFStock'!AB20</f>
        <v/>
      </c>
      <c r="AE1169">
        <f>'T_TTAFStock'!AC20</f>
        <v/>
      </c>
      <c r="AF1169">
        <f>'T_TTAFStock'!AD20</f>
        <v/>
      </c>
      <c r="AG1169">
        <f>'T_TTAFStock'!AE20</f>
        <v/>
      </c>
      <c r="AH1169">
        <f>'T_TTAFStock'!AF20</f>
        <v/>
      </c>
      <c r="AI1169">
        <f>'T_TTAFStock'!AG20</f>
        <v/>
      </c>
      <c r="AJ1169">
        <f>'T_TTAFStock'!AH20</f>
        <v/>
      </c>
      <c r="AK1169">
        <f>'T_TTAFStock'!AI20</f>
        <v/>
      </c>
      <c r="AL1169">
        <f>'T_TTAFStock'!AJ20</f>
        <v/>
      </c>
      <c r="AM1169">
        <f>'T_TTAFStock'!AK20</f>
        <v/>
      </c>
      <c r="AN1169">
        <f>'T_TTAFStock'!AL20</f>
        <v/>
      </c>
      <c r="AO1169">
        <f>'T_TTAFStock'!AM20</f>
        <v/>
      </c>
      <c r="AP1169">
        <f>'T_TTAFStock'!AN20</f>
        <v/>
      </c>
      <c r="AQ1169">
        <f>'T_TTAFStock'!AO20</f>
        <v/>
      </c>
      <c r="AR1169">
        <f>'T_TTAFStock'!AP20</f>
        <v/>
      </c>
      <c r="AS1169">
        <f>'T_TTAFStock'!AQ20</f>
        <v/>
      </c>
      <c r="AT1169">
        <f>'T_TTAFStock'!AR20</f>
        <v/>
      </c>
      <c r="AU1169">
        <f>'T_TTAFStock'!AS20</f>
        <v/>
      </c>
      <c r="AV1169">
        <f>'T_TTAFStock'!AT20</f>
        <v/>
      </c>
      <c r="AW1169">
        <f>'T_TTAFStock'!AU20</f>
        <v/>
      </c>
      <c r="AX1169">
        <f>'T_TTAFStock'!AV20</f>
        <v/>
      </c>
      <c r="AY1169">
        <f>'T_TTAFStock'!AW20</f>
        <v/>
      </c>
      <c r="AZ1169">
        <f>'T_TTAFStock'!AX20</f>
        <v/>
      </c>
      <c r="BA1169">
        <f>'T_TTAFStock'!AY20</f>
        <v/>
      </c>
      <c r="BB1169">
        <f>'T_TTAFStock'!AZ20</f>
        <v/>
      </c>
      <c r="BC1169">
        <f>'T_TTAFStock'!BA20</f>
        <v/>
      </c>
      <c r="BD1169">
        <f>'T_TTAFStock'!BB20</f>
        <v/>
      </c>
      <c r="BE1169">
        <f>'T_TTAFStock'!BC20</f>
        <v/>
      </c>
      <c r="BF1169">
        <f>'T_TTAFStock'!BD20</f>
        <v/>
      </c>
      <c r="BG1169">
        <f>'T_TTAFStock'!BE20</f>
        <v/>
      </c>
      <c r="BH1169">
        <f>'T_TTAFStock'!BF20</f>
        <v/>
      </c>
      <c r="BI1169">
        <f>'T_TTAFStock'!BG20</f>
        <v/>
      </c>
      <c r="BJ1169">
        <f>'T_TTAFStock'!BH20</f>
        <v/>
      </c>
      <c r="BK1169">
        <f>'T_TTAFStock'!BI20</f>
        <v/>
      </c>
      <c r="BL1169">
        <f>'T_TTAFStock'!BJ20</f>
        <v/>
      </c>
      <c r="BM1169">
        <f>'T_TTAFStock'!BK20</f>
        <v/>
      </c>
      <c r="BN1169">
        <f>'T_TTAFStock'!BL20</f>
        <v/>
      </c>
      <c r="BO1169">
        <f>'T_TTAFStock'!BM20</f>
        <v/>
      </c>
      <c r="BP1169">
        <f>'T_TTAFStock'!BN20</f>
        <v/>
      </c>
      <c r="BQ1169">
        <f>'T_TTAFStock'!BO20</f>
        <v/>
      </c>
      <c r="BR1169">
        <f>'T_TTAFStock'!BP20</f>
        <v/>
      </c>
      <c r="BS1169">
        <f>'T_TTAFStock'!BQ20</f>
        <v/>
      </c>
      <c r="BT1169">
        <f>'T_TTAFStock'!BR20</f>
        <v/>
      </c>
      <c r="BU1169">
        <f>'T_TTAFStock'!BS20</f>
        <v/>
      </c>
      <c r="BV1169">
        <f>'T_TTAFStock'!BT20</f>
        <v/>
      </c>
      <c r="BW1169">
        <f>'T_TTAFStock'!BU20</f>
        <v/>
      </c>
      <c r="BX1169">
        <f>'T_TTAFStock'!BV20</f>
        <v/>
      </c>
      <c r="BY1169">
        <f>'T_TTAFStock'!BW20</f>
        <v/>
      </c>
      <c r="BZ1169">
        <f>'T_TTAFStock'!BX20</f>
        <v/>
      </c>
      <c r="CA1169">
        <f>'T_TTAFStock'!BY20</f>
        <v/>
      </c>
      <c r="CB1169">
        <f>'T_TTAFStock'!BZ20</f>
        <v/>
      </c>
      <c r="CC1169">
        <f>'T_TTAFStock'!CA20</f>
        <v/>
      </c>
      <c r="CD1169">
        <f>'T_TTAFStock'!CB20</f>
        <v/>
      </c>
      <c r="CE1169">
        <f>'T_TTAFStock'!CC20</f>
        <v/>
      </c>
      <c r="CF1169">
        <f>'T_TTAFStock'!CD20</f>
        <v/>
      </c>
      <c r="CG1169">
        <f>'T_TTAFStock'!CE20</f>
        <v/>
      </c>
      <c r="CH1169">
        <f>'T_TTAFStock'!CF20</f>
        <v/>
      </c>
      <c r="CI1169">
        <f>'T_TTAFStock'!CG20</f>
        <v/>
      </c>
      <c r="CJ1169">
        <f>'T_TTAFStock'!CH20</f>
        <v/>
      </c>
      <c r="CK1169">
        <f>'T_TTAFStock'!CI20</f>
        <v/>
      </c>
      <c r="CL1169">
        <f>'T_TTAFStock'!CJ20</f>
        <v/>
      </c>
      <c r="CM1169">
        <f>'T_TTAFStock'!CK20</f>
        <v/>
      </c>
      <c r="CN1169">
        <f>'T_TTAFStock'!CL20</f>
        <v/>
      </c>
      <c r="CO1169">
        <f>'T_TTAFStock'!CM20</f>
        <v/>
      </c>
      <c r="CP1169">
        <f>'T_TTAFStock'!CN20</f>
        <v/>
      </c>
      <c r="CQ1169">
        <f>'T_TTAFStock'!CO20</f>
        <v/>
      </c>
      <c r="CR1169">
        <f>'T_TTAFStock'!CP20</f>
        <v/>
      </c>
      <c r="CS1169">
        <f>'T_TTAFStock'!CQ20</f>
        <v/>
      </c>
      <c r="CT1169">
        <f>'T_TTAFStock'!CR20</f>
        <v/>
      </c>
      <c r="CU1169">
        <f>'T_TTAFStock'!CS20</f>
        <v/>
      </c>
      <c r="CV1169">
        <f>'T_TTAFStock'!CT20</f>
        <v/>
      </c>
      <c r="CW1169">
        <f>'T_TTAFStock'!CU20</f>
        <v/>
      </c>
      <c r="CX1169">
        <f>'T_TTAFStock'!CV20</f>
        <v/>
      </c>
      <c r="CY1169">
        <f>'T_TTAFStock'!CW20</f>
        <v/>
      </c>
      <c r="CZ1169">
        <f>'T_TTAFStock'!CX20</f>
        <v/>
      </c>
      <c r="DA1169">
        <f>'T_TTAFStock'!CY20</f>
        <v/>
      </c>
      <c r="DB1169">
        <f>'T_TTAFStock'!CZ20</f>
        <v/>
      </c>
      <c r="DC1169">
        <f>'T_TTAFStock'!DA20</f>
        <v/>
      </c>
    </row>
    <row r="1170">
      <c r="B1170" t="inlineStr">
        <is>
          <t>自社在庫(実績,kg)</t>
        </is>
      </c>
      <c r="D1170">
        <f>'T_SelfStock'!B20</f>
        <v/>
      </c>
      <c r="E1170">
        <f>'T_SelfStock'!C20</f>
        <v/>
      </c>
      <c r="F1170">
        <f>'T_SelfStock'!D20</f>
        <v/>
      </c>
      <c r="G1170">
        <f>'T_SelfStock'!E20</f>
        <v/>
      </c>
      <c r="H1170">
        <f>'T_SelfStock'!F20</f>
        <v/>
      </c>
      <c r="I1170">
        <f>'T_SelfStock'!G20</f>
        <v/>
      </c>
      <c r="J1170">
        <f>'T_SelfStock'!H20</f>
        <v/>
      </c>
      <c r="K1170">
        <f>'T_SelfStock'!I20</f>
        <v/>
      </c>
      <c r="L1170">
        <f>'T_SelfStock'!J20</f>
        <v/>
      </c>
      <c r="M1170">
        <f>'T_SelfStock'!K20</f>
        <v/>
      </c>
      <c r="N1170">
        <f>'T_SelfStock'!L20</f>
        <v/>
      </c>
      <c r="O1170">
        <f>'T_SelfStock'!M20</f>
        <v/>
      </c>
      <c r="P1170">
        <f>'T_SelfStock'!N20</f>
        <v/>
      </c>
      <c r="Q1170">
        <f>'T_SelfStock'!O20</f>
        <v/>
      </c>
      <c r="R1170">
        <f>'T_SelfStock'!P20</f>
        <v/>
      </c>
      <c r="S1170">
        <f>'T_SelfStock'!Q20</f>
        <v/>
      </c>
      <c r="T1170">
        <f>'T_SelfStock'!R20</f>
        <v/>
      </c>
      <c r="U1170">
        <f>'T_SelfStock'!S20</f>
        <v/>
      </c>
      <c r="V1170">
        <f>'T_SelfStock'!T20</f>
        <v/>
      </c>
      <c r="W1170">
        <f>'T_SelfStock'!U20</f>
        <v/>
      </c>
      <c r="X1170">
        <f>'T_SelfStock'!V20</f>
        <v/>
      </c>
      <c r="Y1170">
        <f>'T_SelfStock'!W20</f>
        <v/>
      </c>
      <c r="Z1170">
        <f>'T_SelfStock'!X20</f>
        <v/>
      </c>
      <c r="AA1170">
        <f>'T_SelfStock'!Y20</f>
        <v/>
      </c>
      <c r="AB1170">
        <f>'T_SelfStock'!Z20</f>
        <v/>
      </c>
      <c r="AC1170">
        <f>'T_SelfStock'!AA20</f>
        <v/>
      </c>
      <c r="AD1170">
        <f>'T_SelfStock'!AB20</f>
        <v/>
      </c>
      <c r="AE1170">
        <f>'T_SelfStock'!AC20</f>
        <v/>
      </c>
      <c r="AF1170">
        <f>'T_SelfStock'!AD20</f>
        <v/>
      </c>
      <c r="AG1170">
        <f>'T_SelfStock'!AE20</f>
        <v/>
      </c>
      <c r="AH1170">
        <f>'T_SelfStock'!AF20</f>
        <v/>
      </c>
      <c r="AI1170">
        <f>'T_SelfStock'!AG20</f>
        <v/>
      </c>
      <c r="AJ1170">
        <f>'T_SelfStock'!AH20</f>
        <v/>
      </c>
      <c r="AK1170">
        <f>'T_SelfStock'!AI20</f>
        <v/>
      </c>
      <c r="AL1170">
        <f>'T_SelfStock'!AJ20</f>
        <v/>
      </c>
      <c r="AM1170">
        <f>'T_SelfStock'!AK20</f>
        <v/>
      </c>
      <c r="AN1170">
        <f>'T_SelfStock'!AL20</f>
        <v/>
      </c>
      <c r="AO1170">
        <f>'T_SelfStock'!AM20</f>
        <v/>
      </c>
      <c r="AP1170">
        <f>'T_SelfStock'!AN20</f>
        <v/>
      </c>
      <c r="AQ1170">
        <f>'T_SelfStock'!AO20</f>
        <v/>
      </c>
      <c r="AR1170">
        <f>'T_SelfStock'!AP20</f>
        <v/>
      </c>
      <c r="AS1170">
        <f>'T_SelfStock'!AQ20</f>
        <v/>
      </c>
      <c r="AT1170">
        <f>'T_SelfStock'!AR20</f>
        <v/>
      </c>
      <c r="AU1170">
        <f>'T_SelfStock'!AS20</f>
        <v/>
      </c>
      <c r="AV1170">
        <f>'T_SelfStock'!AT20</f>
        <v/>
      </c>
      <c r="AW1170">
        <f>'T_SelfStock'!AU20</f>
        <v/>
      </c>
      <c r="AX1170">
        <f>'T_SelfStock'!AV20</f>
        <v/>
      </c>
      <c r="AY1170">
        <f>'T_SelfStock'!AW20</f>
        <v/>
      </c>
      <c r="AZ1170">
        <f>'T_SelfStock'!AX20</f>
        <v/>
      </c>
      <c r="BA1170">
        <f>'T_SelfStock'!AY20</f>
        <v/>
      </c>
      <c r="BB1170">
        <f>'T_SelfStock'!AZ20</f>
        <v/>
      </c>
      <c r="BC1170">
        <f>'T_SelfStock'!BA20</f>
        <v/>
      </c>
      <c r="BD1170">
        <f>'T_SelfStock'!BB20</f>
        <v/>
      </c>
      <c r="BE1170">
        <f>'T_SelfStock'!BC20</f>
        <v/>
      </c>
      <c r="BF1170">
        <f>'T_SelfStock'!BD20</f>
        <v/>
      </c>
      <c r="BG1170">
        <f>'T_SelfStock'!BE20</f>
        <v/>
      </c>
      <c r="BH1170">
        <f>'T_SelfStock'!BF20</f>
        <v/>
      </c>
      <c r="BI1170">
        <f>'T_SelfStock'!BG20</f>
        <v/>
      </c>
      <c r="BJ1170">
        <f>'T_SelfStock'!BH20</f>
        <v/>
      </c>
      <c r="BK1170">
        <f>'T_SelfStock'!BI20</f>
        <v/>
      </c>
      <c r="BL1170">
        <f>'T_SelfStock'!BJ20</f>
        <v/>
      </c>
      <c r="BM1170">
        <f>'T_SelfStock'!BK20</f>
        <v/>
      </c>
      <c r="BN1170">
        <f>'T_SelfStock'!BL20</f>
        <v/>
      </c>
      <c r="BO1170">
        <f>'T_SelfStock'!BM20</f>
        <v/>
      </c>
      <c r="BP1170">
        <f>'T_SelfStock'!BN20</f>
        <v/>
      </c>
      <c r="BQ1170">
        <f>'T_SelfStock'!BO20</f>
        <v/>
      </c>
      <c r="BR1170">
        <f>'T_SelfStock'!BP20</f>
        <v/>
      </c>
      <c r="BS1170">
        <f>'T_SelfStock'!BQ20</f>
        <v/>
      </c>
      <c r="BT1170">
        <f>'T_SelfStock'!BR20</f>
        <v/>
      </c>
      <c r="BU1170">
        <f>'T_SelfStock'!BS20</f>
        <v/>
      </c>
      <c r="BV1170">
        <f>'T_SelfStock'!BT20</f>
        <v/>
      </c>
      <c r="BW1170">
        <f>'T_SelfStock'!BU20</f>
        <v/>
      </c>
      <c r="BX1170">
        <f>'T_SelfStock'!BV20</f>
        <v/>
      </c>
      <c r="BY1170">
        <f>'T_SelfStock'!BW20</f>
        <v/>
      </c>
      <c r="BZ1170">
        <f>'T_SelfStock'!BX20</f>
        <v/>
      </c>
      <c r="CA1170">
        <f>'T_SelfStock'!BY20</f>
        <v/>
      </c>
      <c r="CB1170">
        <f>'T_SelfStock'!BZ20</f>
        <v/>
      </c>
      <c r="CC1170">
        <f>'T_SelfStock'!CA20</f>
        <v/>
      </c>
      <c r="CD1170">
        <f>'T_SelfStock'!CB20</f>
        <v/>
      </c>
      <c r="CE1170">
        <f>'T_SelfStock'!CC20</f>
        <v/>
      </c>
      <c r="CF1170">
        <f>'T_SelfStock'!CD20</f>
        <v/>
      </c>
      <c r="CG1170">
        <f>'T_SelfStock'!CE20</f>
        <v/>
      </c>
      <c r="CH1170">
        <f>'T_SelfStock'!CF20</f>
        <v/>
      </c>
      <c r="CI1170">
        <f>'T_SelfStock'!CG20</f>
        <v/>
      </c>
      <c r="CJ1170">
        <f>'T_SelfStock'!CH20</f>
        <v/>
      </c>
      <c r="CK1170">
        <f>'T_SelfStock'!CI20</f>
        <v/>
      </c>
      <c r="CL1170">
        <f>'T_SelfStock'!CJ20</f>
        <v/>
      </c>
      <c r="CM1170">
        <f>'T_SelfStock'!CK20</f>
        <v/>
      </c>
      <c r="CN1170">
        <f>'T_SelfStock'!CL20</f>
        <v/>
      </c>
      <c r="CO1170">
        <f>'T_SelfStock'!CM20</f>
        <v/>
      </c>
      <c r="CP1170">
        <f>'T_SelfStock'!CN20</f>
        <v/>
      </c>
      <c r="CQ1170">
        <f>'T_SelfStock'!CO20</f>
        <v/>
      </c>
      <c r="CR1170">
        <f>'T_SelfStock'!CP20</f>
        <v/>
      </c>
      <c r="CS1170">
        <f>'T_SelfStock'!CQ20</f>
        <v/>
      </c>
      <c r="CT1170">
        <f>'T_SelfStock'!CR20</f>
        <v/>
      </c>
      <c r="CU1170">
        <f>'T_SelfStock'!CS20</f>
        <v/>
      </c>
      <c r="CV1170">
        <f>'T_SelfStock'!CT20</f>
        <v/>
      </c>
      <c r="CW1170">
        <f>'T_SelfStock'!CU20</f>
        <v/>
      </c>
      <c r="CX1170">
        <f>'T_SelfStock'!CV20</f>
        <v/>
      </c>
      <c r="CY1170">
        <f>'T_SelfStock'!CW20</f>
        <v/>
      </c>
      <c r="CZ1170">
        <f>'T_SelfStock'!CX20</f>
        <v/>
      </c>
      <c r="DA1170">
        <f>'T_SelfStock'!CY20</f>
        <v/>
      </c>
      <c r="DB1170">
        <f>'T_SelfStock'!CZ20</f>
        <v/>
      </c>
      <c r="DC1170">
        <f>'T_SelfStock'!DA20</f>
        <v/>
      </c>
    </row>
    <row r="1171">
      <c r="B1171" t="inlineStr">
        <is>
          <t>Order(発注予定,kg)</t>
        </is>
      </c>
      <c r="D1171">
        <f>IF(SUMIFS(T_PlannedOrders[EffectiveQty],T_PlannedOrders[Part Name],$A1131,T_PlannedOrders[WeekIndex],1)=0,"",SUMIFS(T_PlannedOrders[EffectiveQty],T_PlannedOrders[Part Name],$A1131,T_PlannedOrders[WeekIndex],1)&amp;" ("&amp;TEXT(SUMPRODUCT(MAX((T_PlannedOrders[Part Name]=$A1131)*(T_PlannedOrders[WeekIndex]=1)*(T_PlannedOrders[EffectiveQty]&gt;0)*T_PlannedOrders[Order_Month])),"m月")&amp;"発注)")</f>
        <v/>
      </c>
      <c r="E1171">
        <f>IF(SUMIFS(T_PlannedOrders[EffectiveQty],T_PlannedOrders[Part Name],$A1131,T_PlannedOrders[WeekIndex],2)=0,"",SUMIFS(T_PlannedOrders[EffectiveQty],T_PlannedOrders[Part Name],$A1131,T_PlannedOrders[WeekIndex],2)&amp;" ("&amp;TEXT(SUMPRODUCT(MAX((T_PlannedOrders[Part Name]=$A1131)*(T_PlannedOrders[WeekIndex]=2)*(T_PlannedOrders[EffectiveQty]&gt;0)*T_PlannedOrders[Order_Month])),"m月")&amp;"発注)")</f>
        <v/>
      </c>
      <c r="F1171">
        <f>IF(SUMIFS(T_PlannedOrders[EffectiveQty],T_PlannedOrders[Part Name],$A1131,T_PlannedOrders[WeekIndex],3)=0,"",SUMIFS(T_PlannedOrders[EffectiveQty],T_PlannedOrders[Part Name],$A1131,T_PlannedOrders[WeekIndex],3)&amp;" ("&amp;TEXT(SUMPRODUCT(MAX((T_PlannedOrders[Part Name]=$A1131)*(T_PlannedOrders[WeekIndex]=3)*(T_PlannedOrders[EffectiveQty]&gt;0)*T_PlannedOrders[Order_Month])),"m月")&amp;"発注)")</f>
        <v/>
      </c>
      <c r="G1171">
        <f>IF(SUMIFS(T_PlannedOrders[EffectiveQty],T_PlannedOrders[Part Name],$A1131,T_PlannedOrders[WeekIndex],4)=0,"",SUMIFS(T_PlannedOrders[EffectiveQty],T_PlannedOrders[Part Name],$A1131,T_PlannedOrders[WeekIndex],4)&amp;" ("&amp;TEXT(SUMPRODUCT(MAX((T_PlannedOrders[Part Name]=$A1131)*(T_PlannedOrders[WeekIndex]=4)*(T_PlannedOrders[EffectiveQty]&gt;0)*T_PlannedOrders[Order_Month])),"m月")&amp;"発注)")</f>
        <v/>
      </c>
      <c r="H1171">
        <f>IF(SUMIFS(T_PlannedOrders[EffectiveQty],T_PlannedOrders[Part Name],$A1131,T_PlannedOrders[WeekIndex],5)=0,"",SUMIFS(T_PlannedOrders[EffectiveQty],T_PlannedOrders[Part Name],$A1131,T_PlannedOrders[WeekIndex],5)&amp;" ("&amp;TEXT(SUMPRODUCT(MAX((T_PlannedOrders[Part Name]=$A1131)*(T_PlannedOrders[WeekIndex]=5)*(T_PlannedOrders[EffectiveQty]&gt;0)*T_PlannedOrders[Order_Month])),"m月")&amp;"発注)")</f>
        <v/>
      </c>
      <c r="I1171">
        <f>IF(SUMIFS(T_PlannedOrders[EffectiveQty],T_PlannedOrders[Part Name],$A1131,T_PlannedOrders[WeekIndex],6)=0,"",SUMIFS(T_PlannedOrders[EffectiveQty],T_PlannedOrders[Part Name],$A1131,T_PlannedOrders[WeekIndex],6)&amp;" ("&amp;TEXT(SUMPRODUCT(MAX((T_PlannedOrders[Part Name]=$A1131)*(T_PlannedOrders[WeekIndex]=6)*(T_PlannedOrders[EffectiveQty]&gt;0)*T_PlannedOrders[Order_Month])),"m月")&amp;"発注)")</f>
        <v/>
      </c>
      <c r="J1171">
        <f>IF(SUMIFS(T_PlannedOrders[EffectiveQty],T_PlannedOrders[Part Name],$A1131,T_PlannedOrders[WeekIndex],7)=0,"",SUMIFS(T_PlannedOrders[EffectiveQty],T_PlannedOrders[Part Name],$A1131,T_PlannedOrders[WeekIndex],7)&amp;" ("&amp;TEXT(SUMPRODUCT(MAX((T_PlannedOrders[Part Name]=$A1131)*(T_PlannedOrders[WeekIndex]=7)*(T_PlannedOrders[EffectiveQty]&gt;0)*T_PlannedOrders[Order_Month])),"m月")&amp;"発注)")</f>
        <v/>
      </c>
      <c r="K1171">
        <f>IF(SUMIFS(T_PlannedOrders[EffectiveQty],T_PlannedOrders[Part Name],$A1131,T_PlannedOrders[WeekIndex],8)=0,"",SUMIFS(T_PlannedOrders[EffectiveQty],T_PlannedOrders[Part Name],$A1131,T_PlannedOrders[WeekIndex],8)&amp;" ("&amp;TEXT(SUMPRODUCT(MAX((T_PlannedOrders[Part Name]=$A1131)*(T_PlannedOrders[WeekIndex]=8)*(T_PlannedOrders[EffectiveQty]&gt;0)*T_PlannedOrders[Order_Month])),"m月")&amp;"発注)")</f>
        <v/>
      </c>
      <c r="L1171">
        <f>IF(SUMIFS(T_PlannedOrders[EffectiveQty],T_PlannedOrders[Part Name],$A1131,T_PlannedOrders[WeekIndex],9)=0,"",SUMIFS(T_PlannedOrders[EffectiveQty],T_PlannedOrders[Part Name],$A1131,T_PlannedOrders[WeekIndex],9)&amp;" ("&amp;TEXT(SUMPRODUCT(MAX((T_PlannedOrders[Part Name]=$A1131)*(T_PlannedOrders[WeekIndex]=9)*(T_PlannedOrders[EffectiveQty]&gt;0)*T_PlannedOrders[Order_Month])),"m月")&amp;"発注)")</f>
        <v/>
      </c>
      <c r="M1171">
        <f>IF(SUMIFS(T_PlannedOrders[EffectiveQty],T_PlannedOrders[Part Name],$A1131,T_PlannedOrders[WeekIndex],10)=0,"",SUMIFS(T_PlannedOrders[EffectiveQty],T_PlannedOrders[Part Name],$A1131,T_PlannedOrders[WeekIndex],10)&amp;" ("&amp;TEXT(SUMPRODUCT(MAX((T_PlannedOrders[Part Name]=$A1131)*(T_PlannedOrders[WeekIndex]=10)*(T_PlannedOrders[EffectiveQty]&gt;0)*T_PlannedOrders[Order_Month])),"m月")&amp;"発注)")</f>
        <v/>
      </c>
      <c r="N1171">
        <f>IF(SUMIFS(T_PlannedOrders[EffectiveQty],T_PlannedOrders[Part Name],$A1131,T_PlannedOrders[WeekIndex],11)=0,"",SUMIFS(T_PlannedOrders[EffectiveQty],T_PlannedOrders[Part Name],$A1131,T_PlannedOrders[WeekIndex],11)&amp;" ("&amp;TEXT(SUMPRODUCT(MAX((T_PlannedOrders[Part Name]=$A1131)*(T_PlannedOrders[WeekIndex]=11)*(T_PlannedOrders[EffectiveQty]&gt;0)*T_PlannedOrders[Order_Month])),"m月")&amp;"発注)")</f>
        <v/>
      </c>
      <c r="O1171">
        <f>IF(SUMIFS(T_PlannedOrders[EffectiveQty],T_PlannedOrders[Part Name],$A1131,T_PlannedOrders[WeekIndex],12)=0,"",SUMIFS(T_PlannedOrders[EffectiveQty],T_PlannedOrders[Part Name],$A1131,T_PlannedOrders[WeekIndex],12)&amp;" ("&amp;TEXT(SUMPRODUCT(MAX((T_PlannedOrders[Part Name]=$A1131)*(T_PlannedOrders[WeekIndex]=12)*(T_PlannedOrders[EffectiveQty]&gt;0)*T_PlannedOrders[Order_Month])),"m月")&amp;"発注)")</f>
        <v/>
      </c>
      <c r="P1171">
        <f>IF(SUMIFS(T_PlannedOrders[EffectiveQty],T_PlannedOrders[Part Name],$A1131,T_PlannedOrders[WeekIndex],13)=0,"",SUMIFS(T_PlannedOrders[EffectiveQty],T_PlannedOrders[Part Name],$A1131,T_PlannedOrders[WeekIndex],13)&amp;" ("&amp;TEXT(SUMPRODUCT(MAX((T_PlannedOrders[Part Name]=$A1131)*(T_PlannedOrders[WeekIndex]=13)*(T_PlannedOrders[EffectiveQty]&gt;0)*T_PlannedOrders[Order_Month])),"m月")&amp;"発注)")</f>
        <v/>
      </c>
      <c r="Q1171">
        <f>IF(SUMIFS(T_PlannedOrders[EffectiveQty],T_PlannedOrders[Part Name],$A1131,T_PlannedOrders[WeekIndex],14)=0,"",SUMIFS(T_PlannedOrders[EffectiveQty],T_PlannedOrders[Part Name],$A1131,T_PlannedOrders[WeekIndex],14)&amp;" ("&amp;TEXT(SUMPRODUCT(MAX((T_PlannedOrders[Part Name]=$A1131)*(T_PlannedOrders[WeekIndex]=14)*(T_PlannedOrders[EffectiveQty]&gt;0)*T_PlannedOrders[Order_Month])),"m月")&amp;"発注)")</f>
        <v/>
      </c>
      <c r="R1171">
        <f>IF(SUMIFS(T_PlannedOrders[EffectiveQty],T_PlannedOrders[Part Name],$A1131,T_PlannedOrders[WeekIndex],15)=0,"",SUMIFS(T_PlannedOrders[EffectiveQty],T_PlannedOrders[Part Name],$A1131,T_PlannedOrders[WeekIndex],15)&amp;" ("&amp;TEXT(SUMPRODUCT(MAX((T_PlannedOrders[Part Name]=$A1131)*(T_PlannedOrders[WeekIndex]=15)*(T_PlannedOrders[EffectiveQty]&gt;0)*T_PlannedOrders[Order_Month])),"m月")&amp;"発注)")</f>
        <v/>
      </c>
      <c r="S1171">
        <f>IF(SUMIFS(T_PlannedOrders[EffectiveQty],T_PlannedOrders[Part Name],$A1131,T_PlannedOrders[WeekIndex],16)=0,"",SUMIFS(T_PlannedOrders[EffectiveQty],T_PlannedOrders[Part Name],$A1131,T_PlannedOrders[WeekIndex],16)&amp;" ("&amp;TEXT(SUMPRODUCT(MAX((T_PlannedOrders[Part Name]=$A1131)*(T_PlannedOrders[WeekIndex]=16)*(T_PlannedOrders[EffectiveQty]&gt;0)*T_PlannedOrders[Order_Month])),"m月")&amp;"発注)")</f>
        <v/>
      </c>
      <c r="T1171">
        <f>IF(SUMIFS(T_PlannedOrders[EffectiveQty],T_PlannedOrders[Part Name],$A1131,T_PlannedOrders[WeekIndex],17)=0,"",SUMIFS(T_PlannedOrders[EffectiveQty],T_PlannedOrders[Part Name],$A1131,T_PlannedOrders[WeekIndex],17)&amp;" ("&amp;TEXT(SUMPRODUCT(MAX((T_PlannedOrders[Part Name]=$A1131)*(T_PlannedOrders[WeekIndex]=17)*(T_PlannedOrders[EffectiveQty]&gt;0)*T_PlannedOrders[Order_Month])),"m月")&amp;"発注)")</f>
        <v/>
      </c>
      <c r="U1171">
        <f>IF(SUMIFS(T_PlannedOrders[EffectiveQty],T_PlannedOrders[Part Name],$A1131,T_PlannedOrders[WeekIndex],18)=0,"",SUMIFS(T_PlannedOrders[EffectiveQty],T_PlannedOrders[Part Name],$A1131,T_PlannedOrders[WeekIndex],18)&amp;" ("&amp;TEXT(SUMPRODUCT(MAX((T_PlannedOrders[Part Name]=$A1131)*(T_PlannedOrders[WeekIndex]=18)*(T_PlannedOrders[EffectiveQty]&gt;0)*T_PlannedOrders[Order_Month])),"m月")&amp;"発注)")</f>
        <v/>
      </c>
      <c r="V1171">
        <f>IF(SUMIFS(T_PlannedOrders[EffectiveQty],T_PlannedOrders[Part Name],$A1131,T_PlannedOrders[WeekIndex],19)=0,"",SUMIFS(T_PlannedOrders[EffectiveQty],T_PlannedOrders[Part Name],$A1131,T_PlannedOrders[WeekIndex],19)&amp;" ("&amp;TEXT(SUMPRODUCT(MAX((T_PlannedOrders[Part Name]=$A1131)*(T_PlannedOrders[WeekIndex]=19)*(T_PlannedOrders[EffectiveQty]&gt;0)*T_PlannedOrders[Order_Month])),"m月")&amp;"発注)")</f>
        <v/>
      </c>
      <c r="W1171">
        <f>IF(SUMIFS(T_PlannedOrders[EffectiveQty],T_PlannedOrders[Part Name],$A1131,T_PlannedOrders[WeekIndex],20)=0,"",SUMIFS(T_PlannedOrders[EffectiveQty],T_PlannedOrders[Part Name],$A1131,T_PlannedOrders[WeekIndex],20)&amp;" ("&amp;TEXT(SUMPRODUCT(MAX((T_PlannedOrders[Part Name]=$A1131)*(T_PlannedOrders[WeekIndex]=20)*(T_PlannedOrders[EffectiveQty]&gt;0)*T_PlannedOrders[Order_Month])),"m月")&amp;"発注)")</f>
        <v/>
      </c>
      <c r="X1171">
        <f>IF(SUMIFS(T_PlannedOrders[EffectiveQty],T_PlannedOrders[Part Name],$A1131,T_PlannedOrders[WeekIndex],21)=0,"",SUMIFS(T_PlannedOrders[EffectiveQty],T_PlannedOrders[Part Name],$A1131,T_PlannedOrders[WeekIndex],21)&amp;" ("&amp;TEXT(SUMPRODUCT(MAX((T_PlannedOrders[Part Name]=$A1131)*(T_PlannedOrders[WeekIndex]=21)*(T_PlannedOrders[EffectiveQty]&gt;0)*T_PlannedOrders[Order_Month])),"m月")&amp;"発注)")</f>
        <v/>
      </c>
      <c r="Y1171">
        <f>IF(SUMIFS(T_PlannedOrders[EffectiveQty],T_PlannedOrders[Part Name],$A1131,T_PlannedOrders[WeekIndex],22)=0,"",SUMIFS(T_PlannedOrders[EffectiveQty],T_PlannedOrders[Part Name],$A1131,T_PlannedOrders[WeekIndex],22)&amp;" ("&amp;TEXT(SUMPRODUCT(MAX((T_PlannedOrders[Part Name]=$A1131)*(T_PlannedOrders[WeekIndex]=22)*(T_PlannedOrders[EffectiveQty]&gt;0)*T_PlannedOrders[Order_Month])),"m月")&amp;"発注)")</f>
        <v/>
      </c>
      <c r="Z1171">
        <f>IF(SUMIFS(T_PlannedOrders[EffectiveQty],T_PlannedOrders[Part Name],$A1131,T_PlannedOrders[WeekIndex],23)=0,"",SUMIFS(T_PlannedOrders[EffectiveQty],T_PlannedOrders[Part Name],$A1131,T_PlannedOrders[WeekIndex],23)&amp;" ("&amp;TEXT(SUMPRODUCT(MAX((T_PlannedOrders[Part Name]=$A1131)*(T_PlannedOrders[WeekIndex]=23)*(T_PlannedOrders[EffectiveQty]&gt;0)*T_PlannedOrders[Order_Month])),"m月")&amp;"発注)")</f>
        <v/>
      </c>
      <c r="AA1171">
        <f>IF(SUMIFS(T_PlannedOrders[EffectiveQty],T_PlannedOrders[Part Name],$A1131,T_PlannedOrders[WeekIndex],24)=0,"",SUMIFS(T_PlannedOrders[EffectiveQty],T_PlannedOrders[Part Name],$A1131,T_PlannedOrders[WeekIndex],24)&amp;" ("&amp;TEXT(SUMPRODUCT(MAX((T_PlannedOrders[Part Name]=$A1131)*(T_PlannedOrders[WeekIndex]=24)*(T_PlannedOrders[EffectiveQty]&gt;0)*T_PlannedOrders[Order_Month])),"m月")&amp;"発注)")</f>
        <v/>
      </c>
      <c r="AB1171">
        <f>IF(SUMIFS(T_PlannedOrders[EffectiveQty],T_PlannedOrders[Part Name],$A1131,T_PlannedOrders[WeekIndex],25)=0,"",SUMIFS(T_PlannedOrders[EffectiveQty],T_PlannedOrders[Part Name],$A1131,T_PlannedOrders[WeekIndex],25)&amp;" ("&amp;TEXT(SUMPRODUCT(MAX((T_PlannedOrders[Part Name]=$A1131)*(T_PlannedOrders[WeekIndex]=25)*(T_PlannedOrders[EffectiveQty]&gt;0)*T_PlannedOrders[Order_Month])),"m月")&amp;"発注)")</f>
        <v/>
      </c>
      <c r="AC1171">
        <f>IF(SUMIFS(T_PlannedOrders[EffectiveQty],T_PlannedOrders[Part Name],$A1131,T_PlannedOrders[WeekIndex],26)=0,"",SUMIFS(T_PlannedOrders[EffectiveQty],T_PlannedOrders[Part Name],$A1131,T_PlannedOrders[WeekIndex],26)&amp;" ("&amp;TEXT(SUMPRODUCT(MAX((T_PlannedOrders[Part Name]=$A1131)*(T_PlannedOrders[WeekIndex]=26)*(T_PlannedOrders[EffectiveQty]&gt;0)*T_PlannedOrders[Order_Month])),"m月")&amp;"発注)")</f>
        <v/>
      </c>
      <c r="AD1171">
        <f>IF(SUMIFS(T_PlannedOrders[EffectiveQty],T_PlannedOrders[Part Name],$A1131,T_PlannedOrders[WeekIndex],27)=0,"",SUMIFS(T_PlannedOrders[EffectiveQty],T_PlannedOrders[Part Name],$A1131,T_PlannedOrders[WeekIndex],27)&amp;" ("&amp;TEXT(SUMPRODUCT(MAX((T_PlannedOrders[Part Name]=$A1131)*(T_PlannedOrders[WeekIndex]=27)*(T_PlannedOrders[EffectiveQty]&gt;0)*T_PlannedOrders[Order_Month])),"m月")&amp;"発注)")</f>
        <v/>
      </c>
      <c r="AE1171">
        <f>IF(SUMIFS(T_PlannedOrders[EffectiveQty],T_PlannedOrders[Part Name],$A1131,T_PlannedOrders[WeekIndex],28)=0,"",SUMIFS(T_PlannedOrders[EffectiveQty],T_PlannedOrders[Part Name],$A1131,T_PlannedOrders[WeekIndex],28)&amp;" ("&amp;TEXT(SUMPRODUCT(MAX((T_PlannedOrders[Part Name]=$A1131)*(T_PlannedOrders[WeekIndex]=28)*(T_PlannedOrders[EffectiveQty]&gt;0)*T_PlannedOrders[Order_Month])),"m月")&amp;"発注)")</f>
        <v/>
      </c>
      <c r="AF1171">
        <f>IF(SUMIFS(T_PlannedOrders[EffectiveQty],T_PlannedOrders[Part Name],$A1131,T_PlannedOrders[WeekIndex],29)=0,"",SUMIFS(T_PlannedOrders[EffectiveQty],T_PlannedOrders[Part Name],$A1131,T_PlannedOrders[WeekIndex],29)&amp;" ("&amp;TEXT(SUMPRODUCT(MAX((T_PlannedOrders[Part Name]=$A1131)*(T_PlannedOrders[WeekIndex]=29)*(T_PlannedOrders[EffectiveQty]&gt;0)*T_PlannedOrders[Order_Month])),"m月")&amp;"発注)")</f>
        <v/>
      </c>
      <c r="AG1171">
        <f>IF(SUMIFS(T_PlannedOrders[EffectiveQty],T_PlannedOrders[Part Name],$A1131,T_PlannedOrders[WeekIndex],30)=0,"",SUMIFS(T_PlannedOrders[EffectiveQty],T_PlannedOrders[Part Name],$A1131,T_PlannedOrders[WeekIndex],30)&amp;" ("&amp;TEXT(SUMPRODUCT(MAX((T_PlannedOrders[Part Name]=$A1131)*(T_PlannedOrders[WeekIndex]=30)*(T_PlannedOrders[EffectiveQty]&gt;0)*T_PlannedOrders[Order_Month])),"m月")&amp;"発注)")</f>
        <v/>
      </c>
      <c r="AH1171">
        <f>IF(SUMIFS(T_PlannedOrders[EffectiveQty],T_PlannedOrders[Part Name],$A1131,T_PlannedOrders[WeekIndex],31)=0,"",SUMIFS(T_PlannedOrders[EffectiveQty],T_PlannedOrders[Part Name],$A1131,T_PlannedOrders[WeekIndex],31)&amp;" ("&amp;TEXT(SUMPRODUCT(MAX((T_PlannedOrders[Part Name]=$A1131)*(T_PlannedOrders[WeekIndex]=31)*(T_PlannedOrders[EffectiveQty]&gt;0)*T_PlannedOrders[Order_Month])),"m月")&amp;"発注)")</f>
        <v/>
      </c>
      <c r="AI1171">
        <f>IF(SUMIFS(T_PlannedOrders[EffectiveQty],T_PlannedOrders[Part Name],$A1131,T_PlannedOrders[WeekIndex],32)=0,"",SUMIFS(T_PlannedOrders[EffectiveQty],T_PlannedOrders[Part Name],$A1131,T_PlannedOrders[WeekIndex],32)&amp;" ("&amp;TEXT(SUMPRODUCT(MAX((T_PlannedOrders[Part Name]=$A1131)*(T_PlannedOrders[WeekIndex]=32)*(T_PlannedOrders[EffectiveQty]&gt;0)*T_PlannedOrders[Order_Month])),"m月")&amp;"発注)")</f>
        <v/>
      </c>
      <c r="AJ1171">
        <f>IF(SUMIFS(T_PlannedOrders[EffectiveQty],T_PlannedOrders[Part Name],$A1131,T_PlannedOrders[WeekIndex],33)=0,"",SUMIFS(T_PlannedOrders[EffectiveQty],T_PlannedOrders[Part Name],$A1131,T_PlannedOrders[WeekIndex],33)&amp;" ("&amp;TEXT(SUMPRODUCT(MAX((T_PlannedOrders[Part Name]=$A1131)*(T_PlannedOrders[WeekIndex]=33)*(T_PlannedOrders[EffectiveQty]&gt;0)*T_PlannedOrders[Order_Month])),"m月")&amp;"発注)")</f>
        <v/>
      </c>
      <c r="AK1171">
        <f>IF(SUMIFS(T_PlannedOrders[EffectiveQty],T_PlannedOrders[Part Name],$A1131,T_PlannedOrders[WeekIndex],34)=0,"",SUMIFS(T_PlannedOrders[EffectiveQty],T_PlannedOrders[Part Name],$A1131,T_PlannedOrders[WeekIndex],34)&amp;" ("&amp;TEXT(SUMPRODUCT(MAX((T_PlannedOrders[Part Name]=$A1131)*(T_PlannedOrders[WeekIndex]=34)*(T_PlannedOrders[EffectiveQty]&gt;0)*T_PlannedOrders[Order_Month])),"m月")&amp;"発注)")</f>
        <v/>
      </c>
      <c r="AL1171">
        <f>IF(SUMIFS(T_PlannedOrders[EffectiveQty],T_PlannedOrders[Part Name],$A1131,T_PlannedOrders[WeekIndex],35)=0,"",SUMIFS(T_PlannedOrders[EffectiveQty],T_PlannedOrders[Part Name],$A1131,T_PlannedOrders[WeekIndex],35)&amp;" ("&amp;TEXT(SUMPRODUCT(MAX((T_PlannedOrders[Part Name]=$A1131)*(T_PlannedOrders[WeekIndex]=35)*(T_PlannedOrders[EffectiveQty]&gt;0)*T_PlannedOrders[Order_Month])),"m月")&amp;"発注)")</f>
        <v/>
      </c>
      <c r="AM1171">
        <f>IF(SUMIFS(T_PlannedOrders[EffectiveQty],T_PlannedOrders[Part Name],$A1131,T_PlannedOrders[WeekIndex],36)=0,"",SUMIFS(T_PlannedOrders[EffectiveQty],T_PlannedOrders[Part Name],$A1131,T_PlannedOrders[WeekIndex],36)&amp;" ("&amp;TEXT(SUMPRODUCT(MAX((T_PlannedOrders[Part Name]=$A1131)*(T_PlannedOrders[WeekIndex]=36)*(T_PlannedOrders[EffectiveQty]&gt;0)*T_PlannedOrders[Order_Month])),"m月")&amp;"発注)")</f>
        <v/>
      </c>
      <c r="AN1171">
        <f>IF(SUMIFS(T_PlannedOrders[EffectiveQty],T_PlannedOrders[Part Name],$A1131,T_PlannedOrders[WeekIndex],37)=0,"",SUMIFS(T_PlannedOrders[EffectiveQty],T_PlannedOrders[Part Name],$A1131,T_PlannedOrders[WeekIndex],37)&amp;" ("&amp;TEXT(SUMPRODUCT(MAX((T_PlannedOrders[Part Name]=$A1131)*(T_PlannedOrders[WeekIndex]=37)*(T_PlannedOrders[EffectiveQty]&gt;0)*T_PlannedOrders[Order_Month])),"m月")&amp;"発注)")</f>
        <v/>
      </c>
      <c r="AO1171">
        <f>IF(SUMIFS(T_PlannedOrders[EffectiveQty],T_PlannedOrders[Part Name],$A1131,T_PlannedOrders[WeekIndex],38)=0,"",SUMIFS(T_PlannedOrders[EffectiveQty],T_PlannedOrders[Part Name],$A1131,T_PlannedOrders[WeekIndex],38)&amp;" ("&amp;TEXT(SUMPRODUCT(MAX((T_PlannedOrders[Part Name]=$A1131)*(T_PlannedOrders[WeekIndex]=38)*(T_PlannedOrders[EffectiveQty]&gt;0)*T_PlannedOrders[Order_Month])),"m月")&amp;"発注)")</f>
        <v/>
      </c>
      <c r="AP1171">
        <f>IF(SUMIFS(T_PlannedOrders[EffectiveQty],T_PlannedOrders[Part Name],$A1131,T_PlannedOrders[WeekIndex],39)=0,"",SUMIFS(T_PlannedOrders[EffectiveQty],T_PlannedOrders[Part Name],$A1131,T_PlannedOrders[WeekIndex],39)&amp;" ("&amp;TEXT(SUMPRODUCT(MAX((T_PlannedOrders[Part Name]=$A1131)*(T_PlannedOrders[WeekIndex]=39)*(T_PlannedOrders[EffectiveQty]&gt;0)*T_PlannedOrders[Order_Month])),"m月")&amp;"発注)")</f>
        <v/>
      </c>
      <c r="AQ1171">
        <f>IF(SUMIFS(T_PlannedOrders[EffectiveQty],T_PlannedOrders[Part Name],$A1131,T_PlannedOrders[WeekIndex],40)=0,"",SUMIFS(T_PlannedOrders[EffectiveQty],T_PlannedOrders[Part Name],$A1131,T_PlannedOrders[WeekIndex],40)&amp;" ("&amp;TEXT(SUMPRODUCT(MAX((T_PlannedOrders[Part Name]=$A1131)*(T_PlannedOrders[WeekIndex]=40)*(T_PlannedOrders[EffectiveQty]&gt;0)*T_PlannedOrders[Order_Month])),"m月")&amp;"発注)")</f>
        <v/>
      </c>
      <c r="AR1171">
        <f>IF(SUMIFS(T_PlannedOrders[EffectiveQty],T_PlannedOrders[Part Name],$A1131,T_PlannedOrders[WeekIndex],41)=0,"",SUMIFS(T_PlannedOrders[EffectiveQty],T_PlannedOrders[Part Name],$A1131,T_PlannedOrders[WeekIndex],41)&amp;" ("&amp;TEXT(SUMPRODUCT(MAX((T_PlannedOrders[Part Name]=$A1131)*(T_PlannedOrders[WeekIndex]=41)*(T_PlannedOrders[EffectiveQty]&gt;0)*T_PlannedOrders[Order_Month])),"m月")&amp;"発注)")</f>
        <v/>
      </c>
      <c r="AS1171">
        <f>IF(SUMIFS(T_PlannedOrders[EffectiveQty],T_PlannedOrders[Part Name],$A1131,T_PlannedOrders[WeekIndex],42)=0,"",SUMIFS(T_PlannedOrders[EffectiveQty],T_PlannedOrders[Part Name],$A1131,T_PlannedOrders[WeekIndex],42)&amp;" ("&amp;TEXT(SUMPRODUCT(MAX((T_PlannedOrders[Part Name]=$A1131)*(T_PlannedOrders[WeekIndex]=42)*(T_PlannedOrders[EffectiveQty]&gt;0)*T_PlannedOrders[Order_Month])),"m月")&amp;"発注)")</f>
        <v/>
      </c>
      <c r="AT1171">
        <f>IF(SUMIFS(T_PlannedOrders[EffectiveQty],T_PlannedOrders[Part Name],$A1131,T_PlannedOrders[WeekIndex],43)=0,"",SUMIFS(T_PlannedOrders[EffectiveQty],T_PlannedOrders[Part Name],$A1131,T_PlannedOrders[WeekIndex],43)&amp;" ("&amp;TEXT(SUMPRODUCT(MAX((T_PlannedOrders[Part Name]=$A1131)*(T_PlannedOrders[WeekIndex]=43)*(T_PlannedOrders[EffectiveQty]&gt;0)*T_PlannedOrders[Order_Month])),"m月")&amp;"発注)")</f>
        <v/>
      </c>
      <c r="AU1171">
        <f>IF(SUMIFS(T_PlannedOrders[EffectiveQty],T_PlannedOrders[Part Name],$A1131,T_PlannedOrders[WeekIndex],44)=0,"",SUMIFS(T_PlannedOrders[EffectiveQty],T_PlannedOrders[Part Name],$A1131,T_PlannedOrders[WeekIndex],44)&amp;" ("&amp;TEXT(SUMPRODUCT(MAX((T_PlannedOrders[Part Name]=$A1131)*(T_PlannedOrders[WeekIndex]=44)*(T_PlannedOrders[EffectiveQty]&gt;0)*T_PlannedOrders[Order_Month])),"m月")&amp;"発注)")</f>
        <v/>
      </c>
      <c r="AV1171">
        <f>IF(SUMIFS(T_PlannedOrders[EffectiveQty],T_PlannedOrders[Part Name],$A1131,T_PlannedOrders[WeekIndex],45)=0,"",SUMIFS(T_PlannedOrders[EffectiveQty],T_PlannedOrders[Part Name],$A1131,T_PlannedOrders[WeekIndex],45)&amp;" ("&amp;TEXT(SUMPRODUCT(MAX((T_PlannedOrders[Part Name]=$A1131)*(T_PlannedOrders[WeekIndex]=45)*(T_PlannedOrders[EffectiveQty]&gt;0)*T_PlannedOrders[Order_Month])),"m月")&amp;"発注)")</f>
        <v/>
      </c>
      <c r="AW1171">
        <f>IF(SUMIFS(T_PlannedOrders[EffectiveQty],T_PlannedOrders[Part Name],$A1131,T_PlannedOrders[WeekIndex],46)=0,"",SUMIFS(T_PlannedOrders[EffectiveQty],T_PlannedOrders[Part Name],$A1131,T_PlannedOrders[WeekIndex],46)&amp;" ("&amp;TEXT(SUMPRODUCT(MAX((T_PlannedOrders[Part Name]=$A1131)*(T_PlannedOrders[WeekIndex]=46)*(T_PlannedOrders[EffectiveQty]&gt;0)*T_PlannedOrders[Order_Month])),"m月")&amp;"発注)")</f>
        <v/>
      </c>
      <c r="AX1171">
        <f>IF(SUMIFS(T_PlannedOrders[EffectiveQty],T_PlannedOrders[Part Name],$A1131,T_PlannedOrders[WeekIndex],47)=0,"",SUMIFS(T_PlannedOrders[EffectiveQty],T_PlannedOrders[Part Name],$A1131,T_PlannedOrders[WeekIndex],47)&amp;" ("&amp;TEXT(SUMPRODUCT(MAX((T_PlannedOrders[Part Name]=$A1131)*(T_PlannedOrders[WeekIndex]=47)*(T_PlannedOrders[EffectiveQty]&gt;0)*T_PlannedOrders[Order_Month])),"m月")&amp;"発注)")</f>
        <v/>
      </c>
      <c r="AY1171">
        <f>IF(SUMIFS(T_PlannedOrders[EffectiveQty],T_PlannedOrders[Part Name],$A1131,T_PlannedOrders[WeekIndex],48)=0,"",SUMIFS(T_PlannedOrders[EffectiveQty],T_PlannedOrders[Part Name],$A1131,T_PlannedOrders[WeekIndex],48)&amp;" ("&amp;TEXT(SUMPRODUCT(MAX((T_PlannedOrders[Part Name]=$A1131)*(T_PlannedOrders[WeekIndex]=48)*(T_PlannedOrders[EffectiveQty]&gt;0)*T_PlannedOrders[Order_Month])),"m月")&amp;"発注)")</f>
        <v/>
      </c>
      <c r="AZ1171">
        <f>IF(SUMIFS(T_PlannedOrders[EffectiveQty],T_PlannedOrders[Part Name],$A1131,T_PlannedOrders[WeekIndex],49)=0,"",SUMIFS(T_PlannedOrders[EffectiveQty],T_PlannedOrders[Part Name],$A1131,T_PlannedOrders[WeekIndex],49)&amp;" ("&amp;TEXT(SUMPRODUCT(MAX((T_PlannedOrders[Part Name]=$A1131)*(T_PlannedOrders[WeekIndex]=49)*(T_PlannedOrders[EffectiveQty]&gt;0)*T_PlannedOrders[Order_Month])),"m月")&amp;"発注)")</f>
        <v/>
      </c>
      <c r="BA1171">
        <f>IF(SUMIFS(T_PlannedOrders[EffectiveQty],T_PlannedOrders[Part Name],$A1131,T_PlannedOrders[WeekIndex],50)=0,"",SUMIFS(T_PlannedOrders[EffectiveQty],T_PlannedOrders[Part Name],$A1131,T_PlannedOrders[WeekIndex],50)&amp;" ("&amp;TEXT(SUMPRODUCT(MAX((T_PlannedOrders[Part Name]=$A1131)*(T_PlannedOrders[WeekIndex]=50)*(T_PlannedOrders[EffectiveQty]&gt;0)*T_PlannedOrders[Order_Month])),"m月")&amp;"発注)")</f>
        <v/>
      </c>
      <c r="BB1171">
        <f>IF(SUMIFS(T_PlannedOrders[EffectiveQty],T_PlannedOrders[Part Name],$A1131,T_PlannedOrders[WeekIndex],51)=0,"",SUMIFS(T_PlannedOrders[EffectiveQty],T_PlannedOrders[Part Name],$A1131,T_PlannedOrders[WeekIndex],51)&amp;" ("&amp;TEXT(SUMPRODUCT(MAX((T_PlannedOrders[Part Name]=$A1131)*(T_PlannedOrders[WeekIndex]=51)*(T_PlannedOrders[EffectiveQty]&gt;0)*T_PlannedOrders[Order_Month])),"m月")&amp;"発注)")</f>
        <v/>
      </c>
      <c r="BC1171">
        <f>IF(SUMIFS(T_PlannedOrders[EffectiveQty],T_PlannedOrders[Part Name],$A1131,T_PlannedOrders[WeekIndex],52)=0,"",SUMIFS(T_PlannedOrders[EffectiveQty],T_PlannedOrders[Part Name],$A1131,T_PlannedOrders[WeekIndex],52)&amp;" ("&amp;TEXT(SUMPRODUCT(MAX((T_PlannedOrders[Part Name]=$A1131)*(T_PlannedOrders[WeekIndex]=52)*(T_PlannedOrders[EffectiveQty]&gt;0)*T_PlannedOrders[Order_Month])),"m月")&amp;"発注)")</f>
        <v/>
      </c>
      <c r="BD1171">
        <f>IF(SUMIFS(T_PlannedOrders[EffectiveQty],T_PlannedOrders[Part Name],$A1131,T_PlannedOrders[WeekIndex],53)=0,"",SUMIFS(T_PlannedOrders[EffectiveQty],T_PlannedOrders[Part Name],$A1131,T_PlannedOrders[WeekIndex],53)&amp;" ("&amp;TEXT(SUMPRODUCT(MAX((T_PlannedOrders[Part Name]=$A1131)*(T_PlannedOrders[WeekIndex]=53)*(T_PlannedOrders[EffectiveQty]&gt;0)*T_PlannedOrders[Order_Month])),"m月")&amp;"発注)")</f>
        <v/>
      </c>
      <c r="BE1171">
        <f>IF(SUMIFS(T_PlannedOrders[EffectiveQty],T_PlannedOrders[Part Name],$A1131,T_PlannedOrders[WeekIndex],54)=0,"",SUMIFS(T_PlannedOrders[EffectiveQty],T_PlannedOrders[Part Name],$A1131,T_PlannedOrders[WeekIndex],54)&amp;" ("&amp;TEXT(SUMPRODUCT(MAX((T_PlannedOrders[Part Name]=$A1131)*(T_PlannedOrders[WeekIndex]=54)*(T_PlannedOrders[EffectiveQty]&gt;0)*T_PlannedOrders[Order_Month])),"m月")&amp;"発注)")</f>
        <v/>
      </c>
      <c r="BF1171">
        <f>IF(SUMIFS(T_PlannedOrders[EffectiveQty],T_PlannedOrders[Part Name],$A1131,T_PlannedOrders[WeekIndex],55)=0,"",SUMIFS(T_PlannedOrders[EffectiveQty],T_PlannedOrders[Part Name],$A1131,T_PlannedOrders[WeekIndex],55)&amp;" ("&amp;TEXT(SUMPRODUCT(MAX((T_PlannedOrders[Part Name]=$A1131)*(T_PlannedOrders[WeekIndex]=55)*(T_PlannedOrders[EffectiveQty]&gt;0)*T_PlannedOrders[Order_Month])),"m月")&amp;"発注)")</f>
        <v/>
      </c>
      <c r="BG1171">
        <f>IF(SUMIFS(T_PlannedOrders[EffectiveQty],T_PlannedOrders[Part Name],$A1131,T_PlannedOrders[WeekIndex],56)=0,"",SUMIFS(T_PlannedOrders[EffectiveQty],T_PlannedOrders[Part Name],$A1131,T_PlannedOrders[WeekIndex],56)&amp;" ("&amp;TEXT(SUMPRODUCT(MAX((T_PlannedOrders[Part Name]=$A1131)*(T_PlannedOrders[WeekIndex]=56)*(T_PlannedOrders[EffectiveQty]&gt;0)*T_PlannedOrders[Order_Month])),"m月")&amp;"発注)")</f>
        <v/>
      </c>
      <c r="BH1171">
        <f>IF(SUMIFS(T_PlannedOrders[EffectiveQty],T_PlannedOrders[Part Name],$A1131,T_PlannedOrders[WeekIndex],57)=0,"",SUMIFS(T_PlannedOrders[EffectiveQty],T_PlannedOrders[Part Name],$A1131,T_PlannedOrders[WeekIndex],57)&amp;" ("&amp;TEXT(SUMPRODUCT(MAX((T_PlannedOrders[Part Name]=$A1131)*(T_PlannedOrders[WeekIndex]=57)*(T_PlannedOrders[EffectiveQty]&gt;0)*T_PlannedOrders[Order_Month])),"m月")&amp;"発注)")</f>
        <v/>
      </c>
      <c r="BI1171">
        <f>IF(SUMIFS(T_PlannedOrders[EffectiveQty],T_PlannedOrders[Part Name],$A1131,T_PlannedOrders[WeekIndex],58)=0,"",SUMIFS(T_PlannedOrders[EffectiveQty],T_PlannedOrders[Part Name],$A1131,T_PlannedOrders[WeekIndex],58)&amp;" ("&amp;TEXT(SUMPRODUCT(MAX((T_PlannedOrders[Part Name]=$A1131)*(T_PlannedOrders[WeekIndex]=58)*(T_PlannedOrders[EffectiveQty]&gt;0)*T_PlannedOrders[Order_Month])),"m月")&amp;"発注)")</f>
        <v/>
      </c>
      <c r="BJ1171">
        <f>IF(SUMIFS(T_PlannedOrders[EffectiveQty],T_PlannedOrders[Part Name],$A1131,T_PlannedOrders[WeekIndex],59)=0,"",SUMIFS(T_PlannedOrders[EffectiveQty],T_PlannedOrders[Part Name],$A1131,T_PlannedOrders[WeekIndex],59)&amp;" ("&amp;TEXT(SUMPRODUCT(MAX((T_PlannedOrders[Part Name]=$A1131)*(T_PlannedOrders[WeekIndex]=59)*(T_PlannedOrders[EffectiveQty]&gt;0)*T_PlannedOrders[Order_Month])),"m月")&amp;"発注)")</f>
        <v/>
      </c>
      <c r="BK1171">
        <f>IF(SUMIFS(T_PlannedOrders[EffectiveQty],T_PlannedOrders[Part Name],$A1131,T_PlannedOrders[WeekIndex],60)=0,"",SUMIFS(T_PlannedOrders[EffectiveQty],T_PlannedOrders[Part Name],$A1131,T_PlannedOrders[WeekIndex],60)&amp;" ("&amp;TEXT(SUMPRODUCT(MAX((T_PlannedOrders[Part Name]=$A1131)*(T_PlannedOrders[WeekIndex]=60)*(T_PlannedOrders[EffectiveQty]&gt;0)*T_PlannedOrders[Order_Month])),"m月")&amp;"発注)")</f>
        <v/>
      </c>
      <c r="BL1171">
        <f>IF(SUMIFS(T_PlannedOrders[EffectiveQty],T_PlannedOrders[Part Name],$A1131,T_PlannedOrders[WeekIndex],61)=0,"",SUMIFS(T_PlannedOrders[EffectiveQty],T_PlannedOrders[Part Name],$A1131,T_PlannedOrders[WeekIndex],61)&amp;" ("&amp;TEXT(SUMPRODUCT(MAX((T_PlannedOrders[Part Name]=$A1131)*(T_PlannedOrders[WeekIndex]=61)*(T_PlannedOrders[EffectiveQty]&gt;0)*T_PlannedOrders[Order_Month])),"m月")&amp;"発注)")</f>
        <v/>
      </c>
      <c r="BM1171">
        <f>IF(SUMIFS(T_PlannedOrders[EffectiveQty],T_PlannedOrders[Part Name],$A1131,T_PlannedOrders[WeekIndex],62)=0,"",SUMIFS(T_PlannedOrders[EffectiveQty],T_PlannedOrders[Part Name],$A1131,T_PlannedOrders[WeekIndex],62)&amp;" ("&amp;TEXT(SUMPRODUCT(MAX((T_PlannedOrders[Part Name]=$A1131)*(T_PlannedOrders[WeekIndex]=62)*(T_PlannedOrders[EffectiveQty]&gt;0)*T_PlannedOrders[Order_Month])),"m月")&amp;"発注)")</f>
        <v/>
      </c>
      <c r="BN1171">
        <f>IF(SUMIFS(T_PlannedOrders[EffectiveQty],T_PlannedOrders[Part Name],$A1131,T_PlannedOrders[WeekIndex],63)=0,"",SUMIFS(T_PlannedOrders[EffectiveQty],T_PlannedOrders[Part Name],$A1131,T_PlannedOrders[WeekIndex],63)&amp;" ("&amp;TEXT(SUMPRODUCT(MAX((T_PlannedOrders[Part Name]=$A1131)*(T_PlannedOrders[WeekIndex]=63)*(T_PlannedOrders[EffectiveQty]&gt;0)*T_PlannedOrders[Order_Month])),"m月")&amp;"発注)")</f>
        <v/>
      </c>
      <c r="BO1171">
        <f>IF(SUMIFS(T_PlannedOrders[EffectiveQty],T_PlannedOrders[Part Name],$A1131,T_PlannedOrders[WeekIndex],64)=0,"",SUMIFS(T_PlannedOrders[EffectiveQty],T_PlannedOrders[Part Name],$A1131,T_PlannedOrders[WeekIndex],64)&amp;" ("&amp;TEXT(SUMPRODUCT(MAX((T_PlannedOrders[Part Name]=$A1131)*(T_PlannedOrders[WeekIndex]=64)*(T_PlannedOrders[EffectiveQty]&gt;0)*T_PlannedOrders[Order_Month])),"m月")&amp;"発注)")</f>
        <v/>
      </c>
      <c r="BP1171">
        <f>IF(SUMIFS(T_PlannedOrders[EffectiveQty],T_PlannedOrders[Part Name],$A1131,T_PlannedOrders[WeekIndex],65)=0,"",SUMIFS(T_PlannedOrders[EffectiveQty],T_PlannedOrders[Part Name],$A1131,T_PlannedOrders[WeekIndex],65)&amp;" ("&amp;TEXT(SUMPRODUCT(MAX((T_PlannedOrders[Part Name]=$A1131)*(T_PlannedOrders[WeekIndex]=65)*(T_PlannedOrders[EffectiveQty]&gt;0)*T_PlannedOrders[Order_Month])),"m月")&amp;"発注)")</f>
        <v/>
      </c>
      <c r="BQ1171">
        <f>IF(SUMIFS(T_PlannedOrders[EffectiveQty],T_PlannedOrders[Part Name],$A1131,T_PlannedOrders[WeekIndex],66)=0,"",SUMIFS(T_PlannedOrders[EffectiveQty],T_PlannedOrders[Part Name],$A1131,T_PlannedOrders[WeekIndex],66)&amp;" ("&amp;TEXT(SUMPRODUCT(MAX((T_PlannedOrders[Part Name]=$A1131)*(T_PlannedOrders[WeekIndex]=66)*(T_PlannedOrders[EffectiveQty]&gt;0)*T_PlannedOrders[Order_Month])),"m月")&amp;"発注)")</f>
        <v/>
      </c>
      <c r="BR1171">
        <f>IF(SUMIFS(T_PlannedOrders[EffectiveQty],T_PlannedOrders[Part Name],$A1131,T_PlannedOrders[WeekIndex],67)=0,"",SUMIFS(T_PlannedOrders[EffectiveQty],T_PlannedOrders[Part Name],$A1131,T_PlannedOrders[WeekIndex],67)&amp;" ("&amp;TEXT(SUMPRODUCT(MAX((T_PlannedOrders[Part Name]=$A1131)*(T_PlannedOrders[WeekIndex]=67)*(T_PlannedOrders[EffectiveQty]&gt;0)*T_PlannedOrders[Order_Month])),"m月")&amp;"発注)")</f>
        <v/>
      </c>
      <c r="BS1171">
        <f>IF(SUMIFS(T_PlannedOrders[EffectiveQty],T_PlannedOrders[Part Name],$A1131,T_PlannedOrders[WeekIndex],68)=0,"",SUMIFS(T_PlannedOrders[EffectiveQty],T_PlannedOrders[Part Name],$A1131,T_PlannedOrders[WeekIndex],68)&amp;" ("&amp;TEXT(SUMPRODUCT(MAX((T_PlannedOrders[Part Name]=$A1131)*(T_PlannedOrders[WeekIndex]=68)*(T_PlannedOrders[EffectiveQty]&gt;0)*T_PlannedOrders[Order_Month])),"m月")&amp;"発注)")</f>
        <v/>
      </c>
      <c r="BT1171">
        <f>IF(SUMIFS(T_PlannedOrders[EffectiveQty],T_PlannedOrders[Part Name],$A1131,T_PlannedOrders[WeekIndex],69)=0,"",SUMIFS(T_PlannedOrders[EffectiveQty],T_PlannedOrders[Part Name],$A1131,T_PlannedOrders[WeekIndex],69)&amp;" ("&amp;TEXT(SUMPRODUCT(MAX((T_PlannedOrders[Part Name]=$A1131)*(T_PlannedOrders[WeekIndex]=69)*(T_PlannedOrders[EffectiveQty]&gt;0)*T_PlannedOrders[Order_Month])),"m月")&amp;"発注)")</f>
        <v/>
      </c>
      <c r="BU1171">
        <f>IF(SUMIFS(T_PlannedOrders[EffectiveQty],T_PlannedOrders[Part Name],$A1131,T_PlannedOrders[WeekIndex],70)=0,"",SUMIFS(T_PlannedOrders[EffectiveQty],T_PlannedOrders[Part Name],$A1131,T_PlannedOrders[WeekIndex],70)&amp;" ("&amp;TEXT(SUMPRODUCT(MAX((T_PlannedOrders[Part Name]=$A1131)*(T_PlannedOrders[WeekIndex]=70)*(T_PlannedOrders[EffectiveQty]&gt;0)*T_PlannedOrders[Order_Month])),"m月")&amp;"発注)")</f>
        <v/>
      </c>
      <c r="BV1171">
        <f>IF(SUMIFS(T_PlannedOrders[EffectiveQty],T_PlannedOrders[Part Name],$A1131,T_PlannedOrders[WeekIndex],71)=0,"",SUMIFS(T_PlannedOrders[EffectiveQty],T_PlannedOrders[Part Name],$A1131,T_PlannedOrders[WeekIndex],71)&amp;" ("&amp;TEXT(SUMPRODUCT(MAX((T_PlannedOrders[Part Name]=$A1131)*(T_PlannedOrders[WeekIndex]=71)*(T_PlannedOrders[EffectiveQty]&gt;0)*T_PlannedOrders[Order_Month])),"m月")&amp;"発注)")</f>
        <v/>
      </c>
      <c r="BW1171">
        <f>IF(SUMIFS(T_PlannedOrders[EffectiveQty],T_PlannedOrders[Part Name],$A1131,T_PlannedOrders[WeekIndex],72)=0,"",SUMIFS(T_PlannedOrders[EffectiveQty],T_PlannedOrders[Part Name],$A1131,T_PlannedOrders[WeekIndex],72)&amp;" ("&amp;TEXT(SUMPRODUCT(MAX((T_PlannedOrders[Part Name]=$A1131)*(T_PlannedOrders[WeekIndex]=72)*(T_PlannedOrders[EffectiveQty]&gt;0)*T_PlannedOrders[Order_Month])),"m月")&amp;"発注)")</f>
        <v/>
      </c>
      <c r="BX1171">
        <f>IF(SUMIFS(T_PlannedOrders[EffectiveQty],T_PlannedOrders[Part Name],$A1131,T_PlannedOrders[WeekIndex],73)=0,"",SUMIFS(T_PlannedOrders[EffectiveQty],T_PlannedOrders[Part Name],$A1131,T_PlannedOrders[WeekIndex],73)&amp;" ("&amp;TEXT(SUMPRODUCT(MAX((T_PlannedOrders[Part Name]=$A1131)*(T_PlannedOrders[WeekIndex]=73)*(T_PlannedOrders[EffectiveQty]&gt;0)*T_PlannedOrders[Order_Month])),"m月")&amp;"発注)")</f>
        <v/>
      </c>
      <c r="BY1171">
        <f>IF(SUMIFS(T_PlannedOrders[EffectiveQty],T_PlannedOrders[Part Name],$A1131,T_PlannedOrders[WeekIndex],74)=0,"",SUMIFS(T_PlannedOrders[EffectiveQty],T_PlannedOrders[Part Name],$A1131,T_PlannedOrders[WeekIndex],74)&amp;" ("&amp;TEXT(SUMPRODUCT(MAX((T_PlannedOrders[Part Name]=$A1131)*(T_PlannedOrders[WeekIndex]=74)*(T_PlannedOrders[EffectiveQty]&gt;0)*T_PlannedOrders[Order_Month])),"m月")&amp;"発注)")</f>
        <v/>
      </c>
      <c r="BZ1171">
        <f>IF(SUMIFS(T_PlannedOrders[EffectiveQty],T_PlannedOrders[Part Name],$A1131,T_PlannedOrders[WeekIndex],75)=0,"",SUMIFS(T_PlannedOrders[EffectiveQty],T_PlannedOrders[Part Name],$A1131,T_PlannedOrders[WeekIndex],75)&amp;" ("&amp;TEXT(SUMPRODUCT(MAX((T_PlannedOrders[Part Name]=$A1131)*(T_PlannedOrders[WeekIndex]=75)*(T_PlannedOrders[EffectiveQty]&gt;0)*T_PlannedOrders[Order_Month])),"m月")&amp;"発注)")</f>
        <v/>
      </c>
      <c r="CA1171">
        <f>IF(SUMIFS(T_PlannedOrders[EffectiveQty],T_PlannedOrders[Part Name],$A1131,T_PlannedOrders[WeekIndex],76)=0,"",SUMIFS(T_PlannedOrders[EffectiveQty],T_PlannedOrders[Part Name],$A1131,T_PlannedOrders[WeekIndex],76)&amp;" ("&amp;TEXT(SUMPRODUCT(MAX((T_PlannedOrders[Part Name]=$A1131)*(T_PlannedOrders[WeekIndex]=76)*(T_PlannedOrders[EffectiveQty]&gt;0)*T_PlannedOrders[Order_Month])),"m月")&amp;"発注)")</f>
        <v/>
      </c>
      <c r="CB1171">
        <f>IF(SUMIFS(T_PlannedOrders[EffectiveQty],T_PlannedOrders[Part Name],$A1131,T_PlannedOrders[WeekIndex],77)=0,"",SUMIFS(T_PlannedOrders[EffectiveQty],T_PlannedOrders[Part Name],$A1131,T_PlannedOrders[WeekIndex],77)&amp;" ("&amp;TEXT(SUMPRODUCT(MAX((T_PlannedOrders[Part Name]=$A1131)*(T_PlannedOrders[WeekIndex]=77)*(T_PlannedOrders[EffectiveQty]&gt;0)*T_PlannedOrders[Order_Month])),"m月")&amp;"発注)")</f>
        <v/>
      </c>
      <c r="CC1171">
        <f>IF(SUMIFS(T_PlannedOrders[EffectiveQty],T_PlannedOrders[Part Name],$A1131,T_PlannedOrders[WeekIndex],78)=0,"",SUMIFS(T_PlannedOrders[EffectiveQty],T_PlannedOrders[Part Name],$A1131,T_PlannedOrders[WeekIndex],78)&amp;" ("&amp;TEXT(SUMPRODUCT(MAX((T_PlannedOrders[Part Name]=$A1131)*(T_PlannedOrders[WeekIndex]=78)*(T_PlannedOrders[EffectiveQty]&gt;0)*T_PlannedOrders[Order_Month])),"m月")&amp;"発注)")</f>
        <v/>
      </c>
      <c r="CD1171">
        <f>IF(SUMIFS(T_PlannedOrders[EffectiveQty],T_PlannedOrders[Part Name],$A1131,T_PlannedOrders[WeekIndex],79)=0,"",SUMIFS(T_PlannedOrders[EffectiveQty],T_PlannedOrders[Part Name],$A1131,T_PlannedOrders[WeekIndex],79)&amp;" ("&amp;TEXT(SUMPRODUCT(MAX((T_PlannedOrders[Part Name]=$A1131)*(T_PlannedOrders[WeekIndex]=79)*(T_PlannedOrders[EffectiveQty]&gt;0)*T_PlannedOrders[Order_Month])),"m月")&amp;"発注)")</f>
        <v/>
      </c>
      <c r="CE1171">
        <f>IF(SUMIFS(T_PlannedOrders[EffectiveQty],T_PlannedOrders[Part Name],$A1131,T_PlannedOrders[WeekIndex],80)=0,"",SUMIFS(T_PlannedOrders[EffectiveQty],T_PlannedOrders[Part Name],$A1131,T_PlannedOrders[WeekIndex],80)&amp;" ("&amp;TEXT(SUMPRODUCT(MAX((T_PlannedOrders[Part Name]=$A1131)*(T_PlannedOrders[WeekIndex]=80)*(T_PlannedOrders[EffectiveQty]&gt;0)*T_PlannedOrders[Order_Month])),"m月")&amp;"発注)")</f>
        <v/>
      </c>
      <c r="CF1171">
        <f>IF(SUMIFS(T_PlannedOrders[EffectiveQty],T_PlannedOrders[Part Name],$A1131,T_PlannedOrders[WeekIndex],81)=0,"",SUMIFS(T_PlannedOrders[EffectiveQty],T_PlannedOrders[Part Name],$A1131,T_PlannedOrders[WeekIndex],81)&amp;" ("&amp;TEXT(SUMPRODUCT(MAX((T_PlannedOrders[Part Name]=$A1131)*(T_PlannedOrders[WeekIndex]=81)*(T_PlannedOrders[EffectiveQty]&gt;0)*T_PlannedOrders[Order_Month])),"m月")&amp;"発注)")</f>
        <v/>
      </c>
      <c r="CG1171">
        <f>IF(SUMIFS(T_PlannedOrders[EffectiveQty],T_PlannedOrders[Part Name],$A1131,T_PlannedOrders[WeekIndex],82)=0,"",SUMIFS(T_PlannedOrders[EffectiveQty],T_PlannedOrders[Part Name],$A1131,T_PlannedOrders[WeekIndex],82)&amp;" ("&amp;TEXT(SUMPRODUCT(MAX((T_PlannedOrders[Part Name]=$A1131)*(T_PlannedOrders[WeekIndex]=82)*(T_PlannedOrders[EffectiveQty]&gt;0)*T_PlannedOrders[Order_Month])),"m月")&amp;"発注)")</f>
        <v/>
      </c>
      <c r="CH1171">
        <f>IF(SUMIFS(T_PlannedOrders[EffectiveQty],T_PlannedOrders[Part Name],$A1131,T_PlannedOrders[WeekIndex],83)=0,"",SUMIFS(T_PlannedOrders[EffectiveQty],T_PlannedOrders[Part Name],$A1131,T_PlannedOrders[WeekIndex],83)&amp;" ("&amp;TEXT(SUMPRODUCT(MAX((T_PlannedOrders[Part Name]=$A1131)*(T_PlannedOrders[WeekIndex]=83)*(T_PlannedOrders[EffectiveQty]&gt;0)*T_PlannedOrders[Order_Month])),"m月")&amp;"発注)")</f>
        <v/>
      </c>
      <c r="CI1171">
        <f>IF(SUMIFS(T_PlannedOrders[EffectiveQty],T_PlannedOrders[Part Name],$A1131,T_PlannedOrders[WeekIndex],84)=0,"",SUMIFS(T_PlannedOrders[EffectiveQty],T_PlannedOrders[Part Name],$A1131,T_PlannedOrders[WeekIndex],84)&amp;" ("&amp;TEXT(SUMPRODUCT(MAX((T_PlannedOrders[Part Name]=$A1131)*(T_PlannedOrders[WeekIndex]=84)*(T_PlannedOrders[EffectiveQty]&gt;0)*T_PlannedOrders[Order_Month])),"m月")&amp;"発注)")</f>
        <v/>
      </c>
      <c r="CJ1171">
        <f>IF(SUMIFS(T_PlannedOrders[EffectiveQty],T_PlannedOrders[Part Name],$A1131,T_PlannedOrders[WeekIndex],85)=0,"",SUMIFS(T_PlannedOrders[EffectiveQty],T_PlannedOrders[Part Name],$A1131,T_PlannedOrders[WeekIndex],85)&amp;" ("&amp;TEXT(SUMPRODUCT(MAX((T_PlannedOrders[Part Name]=$A1131)*(T_PlannedOrders[WeekIndex]=85)*(T_PlannedOrders[EffectiveQty]&gt;0)*T_PlannedOrders[Order_Month])),"m月")&amp;"発注)")</f>
        <v/>
      </c>
      <c r="CK1171">
        <f>IF(SUMIFS(T_PlannedOrders[EffectiveQty],T_PlannedOrders[Part Name],$A1131,T_PlannedOrders[WeekIndex],86)=0,"",SUMIFS(T_PlannedOrders[EffectiveQty],T_PlannedOrders[Part Name],$A1131,T_PlannedOrders[WeekIndex],86)&amp;" ("&amp;TEXT(SUMPRODUCT(MAX((T_PlannedOrders[Part Name]=$A1131)*(T_PlannedOrders[WeekIndex]=86)*(T_PlannedOrders[EffectiveQty]&gt;0)*T_PlannedOrders[Order_Month])),"m月")&amp;"発注)")</f>
        <v/>
      </c>
      <c r="CL1171">
        <f>IF(SUMIFS(T_PlannedOrders[EffectiveQty],T_PlannedOrders[Part Name],$A1131,T_PlannedOrders[WeekIndex],87)=0,"",SUMIFS(T_PlannedOrders[EffectiveQty],T_PlannedOrders[Part Name],$A1131,T_PlannedOrders[WeekIndex],87)&amp;" ("&amp;TEXT(SUMPRODUCT(MAX((T_PlannedOrders[Part Name]=$A1131)*(T_PlannedOrders[WeekIndex]=87)*(T_PlannedOrders[EffectiveQty]&gt;0)*T_PlannedOrders[Order_Month])),"m月")&amp;"発注)")</f>
        <v/>
      </c>
      <c r="CM1171">
        <f>IF(SUMIFS(T_PlannedOrders[EffectiveQty],T_PlannedOrders[Part Name],$A1131,T_PlannedOrders[WeekIndex],88)=0,"",SUMIFS(T_PlannedOrders[EffectiveQty],T_PlannedOrders[Part Name],$A1131,T_PlannedOrders[WeekIndex],88)&amp;" ("&amp;TEXT(SUMPRODUCT(MAX((T_PlannedOrders[Part Name]=$A1131)*(T_PlannedOrders[WeekIndex]=88)*(T_PlannedOrders[EffectiveQty]&gt;0)*T_PlannedOrders[Order_Month])),"m月")&amp;"発注)")</f>
        <v/>
      </c>
      <c r="CN1171">
        <f>IF(SUMIFS(T_PlannedOrders[EffectiveQty],T_PlannedOrders[Part Name],$A1131,T_PlannedOrders[WeekIndex],89)=0,"",SUMIFS(T_PlannedOrders[EffectiveQty],T_PlannedOrders[Part Name],$A1131,T_PlannedOrders[WeekIndex],89)&amp;" ("&amp;TEXT(SUMPRODUCT(MAX((T_PlannedOrders[Part Name]=$A1131)*(T_PlannedOrders[WeekIndex]=89)*(T_PlannedOrders[EffectiveQty]&gt;0)*T_PlannedOrders[Order_Month])),"m月")&amp;"発注)")</f>
        <v/>
      </c>
      <c r="CO1171">
        <f>IF(SUMIFS(T_PlannedOrders[EffectiveQty],T_PlannedOrders[Part Name],$A1131,T_PlannedOrders[WeekIndex],90)=0,"",SUMIFS(T_PlannedOrders[EffectiveQty],T_PlannedOrders[Part Name],$A1131,T_PlannedOrders[WeekIndex],90)&amp;" ("&amp;TEXT(SUMPRODUCT(MAX((T_PlannedOrders[Part Name]=$A1131)*(T_PlannedOrders[WeekIndex]=90)*(T_PlannedOrders[EffectiveQty]&gt;0)*T_PlannedOrders[Order_Month])),"m月")&amp;"発注)")</f>
        <v/>
      </c>
      <c r="CP1171">
        <f>IF(SUMIFS(T_PlannedOrders[EffectiveQty],T_PlannedOrders[Part Name],$A1131,T_PlannedOrders[WeekIndex],91)=0,"",SUMIFS(T_PlannedOrders[EffectiveQty],T_PlannedOrders[Part Name],$A1131,T_PlannedOrders[WeekIndex],91)&amp;" ("&amp;TEXT(SUMPRODUCT(MAX((T_PlannedOrders[Part Name]=$A1131)*(T_PlannedOrders[WeekIndex]=91)*(T_PlannedOrders[EffectiveQty]&gt;0)*T_PlannedOrders[Order_Month])),"m月")&amp;"発注)")</f>
        <v/>
      </c>
      <c r="CQ1171">
        <f>IF(SUMIFS(T_PlannedOrders[EffectiveQty],T_PlannedOrders[Part Name],$A1131,T_PlannedOrders[WeekIndex],92)=0,"",SUMIFS(T_PlannedOrders[EffectiveQty],T_PlannedOrders[Part Name],$A1131,T_PlannedOrders[WeekIndex],92)&amp;" ("&amp;TEXT(SUMPRODUCT(MAX((T_PlannedOrders[Part Name]=$A1131)*(T_PlannedOrders[WeekIndex]=92)*(T_PlannedOrders[EffectiveQty]&gt;0)*T_PlannedOrders[Order_Month])),"m月")&amp;"発注)")</f>
        <v/>
      </c>
      <c r="CR1171">
        <f>IF(SUMIFS(T_PlannedOrders[EffectiveQty],T_PlannedOrders[Part Name],$A1131,T_PlannedOrders[WeekIndex],93)=0,"",SUMIFS(T_PlannedOrders[EffectiveQty],T_PlannedOrders[Part Name],$A1131,T_PlannedOrders[WeekIndex],93)&amp;" ("&amp;TEXT(SUMPRODUCT(MAX((T_PlannedOrders[Part Name]=$A1131)*(T_PlannedOrders[WeekIndex]=93)*(T_PlannedOrders[EffectiveQty]&gt;0)*T_PlannedOrders[Order_Month])),"m月")&amp;"発注)")</f>
        <v/>
      </c>
      <c r="CS1171">
        <f>IF(SUMIFS(T_PlannedOrders[EffectiveQty],T_PlannedOrders[Part Name],$A1131,T_PlannedOrders[WeekIndex],94)=0,"",SUMIFS(T_PlannedOrders[EffectiveQty],T_PlannedOrders[Part Name],$A1131,T_PlannedOrders[WeekIndex],94)&amp;" ("&amp;TEXT(SUMPRODUCT(MAX((T_PlannedOrders[Part Name]=$A1131)*(T_PlannedOrders[WeekIndex]=94)*(T_PlannedOrders[EffectiveQty]&gt;0)*T_PlannedOrders[Order_Month])),"m月")&amp;"発注)")</f>
        <v/>
      </c>
      <c r="CT1171">
        <f>IF(SUMIFS(T_PlannedOrders[EffectiveQty],T_PlannedOrders[Part Name],$A1131,T_PlannedOrders[WeekIndex],95)=0,"",SUMIFS(T_PlannedOrders[EffectiveQty],T_PlannedOrders[Part Name],$A1131,T_PlannedOrders[WeekIndex],95)&amp;" ("&amp;TEXT(SUMPRODUCT(MAX((T_PlannedOrders[Part Name]=$A1131)*(T_PlannedOrders[WeekIndex]=95)*(T_PlannedOrders[EffectiveQty]&gt;0)*T_PlannedOrders[Order_Month])),"m月")&amp;"発注)")</f>
        <v/>
      </c>
      <c r="CU1171">
        <f>IF(SUMIFS(T_PlannedOrders[EffectiveQty],T_PlannedOrders[Part Name],$A1131,T_PlannedOrders[WeekIndex],96)=0,"",SUMIFS(T_PlannedOrders[EffectiveQty],T_PlannedOrders[Part Name],$A1131,T_PlannedOrders[WeekIndex],96)&amp;" ("&amp;TEXT(SUMPRODUCT(MAX((T_PlannedOrders[Part Name]=$A1131)*(T_PlannedOrders[WeekIndex]=96)*(T_PlannedOrders[EffectiveQty]&gt;0)*T_PlannedOrders[Order_Month])),"m月")&amp;"発注)")</f>
        <v/>
      </c>
      <c r="CV1171">
        <f>IF(SUMIFS(T_PlannedOrders[EffectiveQty],T_PlannedOrders[Part Name],$A1131,T_PlannedOrders[WeekIndex],97)=0,"",SUMIFS(T_PlannedOrders[EffectiveQty],T_PlannedOrders[Part Name],$A1131,T_PlannedOrders[WeekIndex],97)&amp;" ("&amp;TEXT(SUMPRODUCT(MAX((T_PlannedOrders[Part Name]=$A1131)*(T_PlannedOrders[WeekIndex]=97)*(T_PlannedOrders[EffectiveQty]&gt;0)*T_PlannedOrders[Order_Month])),"m月")&amp;"発注)")</f>
        <v/>
      </c>
      <c r="CW1171">
        <f>IF(SUMIFS(T_PlannedOrders[EffectiveQty],T_PlannedOrders[Part Name],$A1131,T_PlannedOrders[WeekIndex],98)=0,"",SUMIFS(T_PlannedOrders[EffectiveQty],T_PlannedOrders[Part Name],$A1131,T_PlannedOrders[WeekIndex],98)&amp;" ("&amp;TEXT(SUMPRODUCT(MAX((T_PlannedOrders[Part Name]=$A1131)*(T_PlannedOrders[WeekIndex]=98)*(T_PlannedOrders[EffectiveQty]&gt;0)*T_PlannedOrders[Order_Month])),"m月")&amp;"発注)")</f>
        <v/>
      </c>
      <c r="CX1171">
        <f>IF(SUMIFS(T_PlannedOrders[EffectiveQty],T_PlannedOrders[Part Name],$A1131,T_PlannedOrders[WeekIndex],99)=0,"",SUMIFS(T_PlannedOrders[EffectiveQty],T_PlannedOrders[Part Name],$A1131,T_PlannedOrders[WeekIndex],99)&amp;" ("&amp;TEXT(SUMPRODUCT(MAX((T_PlannedOrders[Part Name]=$A1131)*(T_PlannedOrders[WeekIndex]=99)*(T_PlannedOrders[EffectiveQty]&gt;0)*T_PlannedOrders[Order_Month])),"m月")&amp;"発注)")</f>
        <v/>
      </c>
      <c r="CY1171">
        <f>IF(SUMIFS(T_PlannedOrders[EffectiveQty],T_PlannedOrders[Part Name],$A1131,T_PlannedOrders[WeekIndex],100)=0,"",SUMIFS(T_PlannedOrders[EffectiveQty],T_PlannedOrders[Part Name],$A1131,T_PlannedOrders[WeekIndex],100)&amp;" ("&amp;TEXT(SUMPRODUCT(MAX((T_PlannedOrders[Part Name]=$A1131)*(T_PlannedOrders[WeekIndex]=100)*(T_PlannedOrders[EffectiveQty]&gt;0)*T_PlannedOrders[Order_Month])),"m月")&amp;"発注)")</f>
        <v/>
      </c>
      <c r="CZ1171">
        <f>IF(SUMIFS(T_PlannedOrders[EffectiveQty],T_PlannedOrders[Part Name],$A1131,T_PlannedOrders[WeekIndex],101)=0,"",SUMIFS(T_PlannedOrders[EffectiveQty],T_PlannedOrders[Part Name],$A1131,T_PlannedOrders[WeekIndex],101)&amp;" ("&amp;TEXT(SUMPRODUCT(MAX((T_PlannedOrders[Part Name]=$A1131)*(T_PlannedOrders[WeekIndex]=101)*(T_PlannedOrders[EffectiveQty]&gt;0)*T_PlannedOrders[Order_Month])),"m月")&amp;"発注)")</f>
        <v/>
      </c>
      <c r="DA1171">
        <f>IF(SUMIFS(T_PlannedOrders[EffectiveQty],T_PlannedOrders[Part Name],$A1131,T_PlannedOrders[WeekIndex],102)=0,"",SUMIFS(T_PlannedOrders[EffectiveQty],T_PlannedOrders[Part Name],$A1131,T_PlannedOrders[WeekIndex],102)&amp;" ("&amp;TEXT(SUMPRODUCT(MAX((T_PlannedOrders[Part Name]=$A1131)*(T_PlannedOrders[WeekIndex]=102)*(T_PlannedOrders[EffectiveQty]&gt;0)*T_PlannedOrders[Order_Month])),"m月")&amp;"発注)")</f>
        <v/>
      </c>
      <c r="DB1171">
        <f>IF(SUMIFS(T_PlannedOrders[EffectiveQty],T_PlannedOrders[Part Name],$A1131,T_PlannedOrders[WeekIndex],103)=0,"",SUMIFS(T_PlannedOrders[EffectiveQty],T_PlannedOrders[Part Name],$A1131,T_PlannedOrders[WeekIndex],103)&amp;" ("&amp;TEXT(SUMPRODUCT(MAX((T_PlannedOrders[Part Name]=$A1131)*(T_PlannedOrders[WeekIndex]=103)*(T_PlannedOrders[EffectiveQty]&gt;0)*T_PlannedOrders[Order_Month])),"m月")&amp;"発注)")</f>
        <v/>
      </c>
      <c r="DC1171">
        <f>IF(SUMIFS(T_PlannedOrders[EffectiveQty],T_PlannedOrders[Part Name],$A1131,T_PlannedOrders[WeekIndex],104)=0,"",SUMIFS(T_PlannedOrders[EffectiveQty],T_PlannedOrders[Part Name],$A1131,T_PlannedOrders[WeekIndex],104)&amp;" ("&amp;TEXT(SUMPRODUCT(MAX((T_PlannedOrders[Part Name]=$A1131)*(T_PlannedOrders[WeekIndex]=104)*(T_PlannedOrders[EffectiveQty]&gt;0)*T_PlannedOrders[Order_Month])),"m月")&amp;"発注)")</f>
        <v/>
      </c>
    </row>
    <row r="1172">
      <c r="B1172" s="4" t="inlineStr">
        <is>
          <t>合計在庫(週末時点,kg)</t>
        </is>
      </c>
      <c r="D1172">
        <f>'Grid_Stock'!B16</f>
        <v/>
      </c>
      <c r="E1172">
        <f>'Grid_Stock'!C16</f>
        <v/>
      </c>
      <c r="F1172">
        <f>'Grid_Stock'!D16</f>
        <v/>
      </c>
      <c r="G1172">
        <f>'Grid_Stock'!E16</f>
        <v/>
      </c>
      <c r="H1172">
        <f>'Grid_Stock'!F16</f>
        <v/>
      </c>
      <c r="I1172">
        <f>'Grid_Stock'!G16</f>
        <v/>
      </c>
      <c r="J1172">
        <f>'Grid_Stock'!H16</f>
        <v/>
      </c>
      <c r="K1172">
        <f>'Grid_Stock'!I16</f>
        <v/>
      </c>
      <c r="L1172">
        <f>'Grid_Stock'!J16</f>
        <v/>
      </c>
      <c r="M1172">
        <f>'Grid_Stock'!K16</f>
        <v/>
      </c>
      <c r="N1172">
        <f>'Grid_Stock'!L16</f>
        <v/>
      </c>
      <c r="O1172">
        <f>'Grid_Stock'!M16</f>
        <v/>
      </c>
      <c r="P1172">
        <f>'Grid_Stock'!N16</f>
        <v/>
      </c>
      <c r="Q1172">
        <f>'Grid_Stock'!O16</f>
        <v/>
      </c>
      <c r="R1172">
        <f>'Grid_Stock'!P16</f>
        <v/>
      </c>
      <c r="S1172">
        <f>'Grid_Stock'!Q16</f>
        <v/>
      </c>
      <c r="T1172">
        <f>'Grid_Stock'!R16</f>
        <v/>
      </c>
      <c r="U1172">
        <f>'Grid_Stock'!S16</f>
        <v/>
      </c>
      <c r="V1172">
        <f>'Grid_Stock'!T16</f>
        <v/>
      </c>
      <c r="W1172">
        <f>'Grid_Stock'!U16</f>
        <v/>
      </c>
      <c r="X1172">
        <f>'Grid_Stock'!V16</f>
        <v/>
      </c>
      <c r="Y1172">
        <f>'Grid_Stock'!W16</f>
        <v/>
      </c>
      <c r="Z1172">
        <f>'Grid_Stock'!X16</f>
        <v/>
      </c>
      <c r="AA1172">
        <f>'Grid_Stock'!Y16</f>
        <v/>
      </c>
      <c r="AB1172">
        <f>'Grid_Stock'!Z16</f>
        <v/>
      </c>
      <c r="AC1172">
        <f>'Grid_Stock'!AA16</f>
        <v/>
      </c>
      <c r="AD1172">
        <f>'Grid_Stock'!AB16</f>
        <v/>
      </c>
      <c r="AE1172">
        <f>'Grid_Stock'!AC16</f>
        <v/>
      </c>
      <c r="AF1172">
        <f>'Grid_Stock'!AD16</f>
        <v/>
      </c>
      <c r="AG1172">
        <f>'Grid_Stock'!AE16</f>
        <v/>
      </c>
      <c r="AH1172">
        <f>'Grid_Stock'!AF16</f>
        <v/>
      </c>
      <c r="AI1172">
        <f>'Grid_Stock'!AG16</f>
        <v/>
      </c>
      <c r="AJ1172">
        <f>'Grid_Stock'!AH16</f>
        <v/>
      </c>
      <c r="AK1172">
        <f>'Grid_Stock'!AI16</f>
        <v/>
      </c>
      <c r="AL1172">
        <f>'Grid_Stock'!AJ16</f>
        <v/>
      </c>
      <c r="AM1172">
        <f>'Grid_Stock'!AK16</f>
        <v/>
      </c>
      <c r="AN1172">
        <f>'Grid_Stock'!AL16</f>
        <v/>
      </c>
      <c r="AO1172">
        <f>'Grid_Stock'!AM16</f>
        <v/>
      </c>
      <c r="AP1172">
        <f>'Grid_Stock'!AN16</f>
        <v/>
      </c>
      <c r="AQ1172">
        <f>'Grid_Stock'!AO16</f>
        <v/>
      </c>
      <c r="AR1172">
        <f>'Grid_Stock'!AP16</f>
        <v/>
      </c>
      <c r="AS1172">
        <f>'Grid_Stock'!AQ16</f>
        <v/>
      </c>
      <c r="AT1172">
        <f>'Grid_Stock'!AR16</f>
        <v/>
      </c>
      <c r="AU1172">
        <f>'Grid_Stock'!AS16</f>
        <v/>
      </c>
      <c r="AV1172">
        <f>'Grid_Stock'!AT16</f>
        <v/>
      </c>
      <c r="AW1172">
        <f>'Grid_Stock'!AU16</f>
        <v/>
      </c>
      <c r="AX1172">
        <f>'Grid_Stock'!AV16</f>
        <v/>
      </c>
      <c r="AY1172">
        <f>'Grid_Stock'!AW16</f>
        <v/>
      </c>
      <c r="AZ1172">
        <f>'Grid_Stock'!AX16</f>
        <v/>
      </c>
      <c r="BA1172">
        <f>'Grid_Stock'!AY16</f>
        <v/>
      </c>
      <c r="BB1172">
        <f>'Grid_Stock'!AZ16</f>
        <v/>
      </c>
      <c r="BC1172">
        <f>'Grid_Stock'!BA16</f>
        <v/>
      </c>
      <c r="BD1172">
        <f>'Grid_Stock'!BB16</f>
        <v/>
      </c>
      <c r="BE1172">
        <f>'Grid_Stock'!BC16</f>
        <v/>
      </c>
      <c r="BF1172">
        <f>'Grid_Stock'!BD16</f>
        <v/>
      </c>
      <c r="BG1172">
        <f>'Grid_Stock'!BE16</f>
        <v/>
      </c>
      <c r="BH1172">
        <f>'Grid_Stock'!BF16</f>
        <v/>
      </c>
      <c r="BI1172">
        <f>'Grid_Stock'!BG16</f>
        <v/>
      </c>
      <c r="BJ1172">
        <f>'Grid_Stock'!BH16</f>
        <v/>
      </c>
      <c r="BK1172">
        <f>'Grid_Stock'!BI16</f>
        <v/>
      </c>
      <c r="BL1172">
        <f>'Grid_Stock'!BJ16</f>
        <v/>
      </c>
      <c r="BM1172">
        <f>'Grid_Stock'!BK16</f>
        <v/>
      </c>
      <c r="BN1172">
        <f>'Grid_Stock'!BL16</f>
        <v/>
      </c>
      <c r="BO1172">
        <f>'Grid_Stock'!BM16</f>
        <v/>
      </c>
      <c r="BP1172">
        <f>'Grid_Stock'!BN16</f>
        <v/>
      </c>
      <c r="BQ1172">
        <f>'Grid_Stock'!BO16</f>
        <v/>
      </c>
      <c r="BR1172">
        <f>'Grid_Stock'!BP16</f>
        <v/>
      </c>
      <c r="BS1172">
        <f>'Grid_Stock'!BQ16</f>
        <v/>
      </c>
      <c r="BT1172">
        <f>'Grid_Stock'!BR16</f>
        <v/>
      </c>
      <c r="BU1172">
        <f>'Grid_Stock'!BS16</f>
        <v/>
      </c>
      <c r="BV1172">
        <f>'Grid_Stock'!BT16</f>
        <v/>
      </c>
      <c r="BW1172">
        <f>'Grid_Stock'!BU16</f>
        <v/>
      </c>
      <c r="BX1172">
        <f>'Grid_Stock'!BV16</f>
        <v/>
      </c>
      <c r="BY1172">
        <f>'Grid_Stock'!BW16</f>
        <v/>
      </c>
      <c r="BZ1172">
        <f>'Grid_Stock'!BX16</f>
        <v/>
      </c>
      <c r="CA1172">
        <f>'Grid_Stock'!BY16</f>
        <v/>
      </c>
      <c r="CB1172">
        <f>'Grid_Stock'!BZ16</f>
        <v/>
      </c>
      <c r="CC1172">
        <f>'Grid_Stock'!CA16</f>
        <v/>
      </c>
      <c r="CD1172">
        <f>'Grid_Stock'!CB16</f>
        <v/>
      </c>
      <c r="CE1172">
        <f>'Grid_Stock'!CC16</f>
        <v/>
      </c>
      <c r="CF1172">
        <f>'Grid_Stock'!CD16</f>
        <v/>
      </c>
      <c r="CG1172">
        <f>'Grid_Stock'!CE16</f>
        <v/>
      </c>
      <c r="CH1172">
        <f>'Grid_Stock'!CF16</f>
        <v/>
      </c>
      <c r="CI1172">
        <f>'Grid_Stock'!CG16</f>
        <v/>
      </c>
      <c r="CJ1172">
        <f>'Grid_Stock'!CH16</f>
        <v/>
      </c>
      <c r="CK1172">
        <f>'Grid_Stock'!CI16</f>
        <v/>
      </c>
      <c r="CL1172">
        <f>'Grid_Stock'!CJ16</f>
        <v/>
      </c>
      <c r="CM1172">
        <f>'Grid_Stock'!CK16</f>
        <v/>
      </c>
      <c r="CN1172">
        <f>'Grid_Stock'!CL16</f>
        <v/>
      </c>
      <c r="CO1172">
        <f>'Grid_Stock'!CM16</f>
        <v/>
      </c>
      <c r="CP1172">
        <f>'Grid_Stock'!CN16</f>
        <v/>
      </c>
      <c r="CQ1172">
        <f>'Grid_Stock'!CO16</f>
        <v/>
      </c>
      <c r="CR1172">
        <f>'Grid_Stock'!CP16</f>
        <v/>
      </c>
      <c r="CS1172">
        <f>'Grid_Stock'!CQ16</f>
        <v/>
      </c>
      <c r="CT1172">
        <f>'Grid_Stock'!CR16</f>
        <v/>
      </c>
      <c r="CU1172">
        <f>'Grid_Stock'!CS16</f>
        <v/>
      </c>
      <c r="CV1172">
        <f>'Grid_Stock'!CT16</f>
        <v/>
      </c>
      <c r="CW1172">
        <f>'Grid_Stock'!CU16</f>
        <v/>
      </c>
      <c r="CX1172">
        <f>'Grid_Stock'!CV16</f>
        <v/>
      </c>
      <c r="CY1172">
        <f>'Grid_Stock'!CW16</f>
        <v/>
      </c>
      <c r="CZ1172">
        <f>'Grid_Stock'!CX16</f>
        <v/>
      </c>
      <c r="DA1172">
        <f>'Grid_Stock'!CY16</f>
        <v/>
      </c>
      <c r="DB1172">
        <f>'Grid_Stock'!CZ16</f>
        <v/>
      </c>
      <c r="DC1172">
        <f>'Grid_Stock'!DA16</f>
        <v/>
      </c>
    </row>
    <row r="1173">
      <c r="B1173" s="16" t="inlineStr">
        <is>
          <t>（発注の目安はDashboardの基準在庫[下限/上限]と色分けを参照）</t>
        </is>
      </c>
    </row>
    <row r="1175">
      <c r="A1175" s="14" t="inlineStr">
        <is>
          <t>CHEM-1840</t>
        </is>
      </c>
      <c r="B1175" s="14" t="inlineStr">
        <is>
          <t>KAOCERA2020</t>
        </is>
      </c>
      <c r="C1175" s="15" t="n"/>
      <c r="D1175" s="14" t="n"/>
      <c r="E1175" s="14" t="n"/>
      <c r="F1175" s="14" t="n"/>
      <c r="G1175" s="14" t="n"/>
      <c r="H1175" s="14" t="n"/>
      <c r="I1175" s="14" t="n"/>
      <c r="J1175" s="14" t="n"/>
      <c r="K1175" s="14" t="n"/>
      <c r="L1175" s="14" t="n"/>
      <c r="M1175" s="14" t="n"/>
      <c r="N1175" s="14" t="n"/>
      <c r="O1175" s="14" t="n"/>
      <c r="P1175" s="14" t="n"/>
      <c r="Q1175" s="14" t="n"/>
      <c r="R1175" s="14" t="n"/>
      <c r="S1175" s="14" t="n"/>
      <c r="T1175" s="14" t="n"/>
      <c r="U1175" s="14" t="n"/>
      <c r="V1175" s="14" t="n"/>
      <c r="W1175" s="14" t="n"/>
      <c r="X1175" s="14" t="n"/>
      <c r="Y1175" s="14" t="n"/>
      <c r="Z1175" s="14" t="n"/>
      <c r="AA1175" s="14" t="n"/>
      <c r="AB1175" s="14" t="n"/>
      <c r="AC1175" s="14" t="n"/>
      <c r="AD1175" s="14" t="n"/>
      <c r="AE1175" s="14" t="n"/>
      <c r="AF1175" s="14" t="n"/>
      <c r="AG1175" s="14" t="n"/>
      <c r="AH1175" s="14" t="n"/>
      <c r="AI1175" s="14" t="n"/>
      <c r="AJ1175" s="14" t="n"/>
      <c r="AK1175" s="14" t="n"/>
      <c r="AL1175" s="14" t="n"/>
      <c r="AM1175" s="14" t="n"/>
      <c r="AN1175" s="14" t="n"/>
      <c r="AO1175" s="14" t="n"/>
      <c r="AP1175" s="14" t="n"/>
      <c r="AQ1175" s="14" t="n"/>
      <c r="AR1175" s="14" t="n"/>
      <c r="AS1175" s="14" t="n"/>
      <c r="AT1175" s="14" t="n"/>
      <c r="AU1175" s="14" t="n"/>
      <c r="AV1175" s="14" t="n"/>
      <c r="AW1175" s="14" t="n"/>
      <c r="AX1175" s="14" t="n"/>
      <c r="AY1175" s="14" t="n"/>
      <c r="AZ1175" s="14" t="n"/>
      <c r="BA1175" s="14" t="n"/>
      <c r="BB1175" s="14" t="n"/>
      <c r="BC1175" s="14" t="n"/>
      <c r="BD1175" s="14" t="n"/>
      <c r="BE1175" s="14" t="n"/>
      <c r="BF1175" s="14" t="n"/>
      <c r="BG1175" s="14" t="n"/>
      <c r="BH1175" s="14" t="n"/>
      <c r="BI1175" s="14" t="n"/>
      <c r="BJ1175" s="14" t="n"/>
      <c r="BK1175" s="14" t="n"/>
      <c r="BL1175" s="14" t="n"/>
      <c r="BM1175" s="14" t="n"/>
      <c r="BN1175" s="14" t="n"/>
      <c r="BO1175" s="14" t="n"/>
      <c r="BP1175" s="14" t="n"/>
      <c r="BQ1175" s="14" t="n"/>
      <c r="BR1175" s="14" t="n"/>
      <c r="BS1175" s="14" t="n"/>
      <c r="BT1175" s="14" t="n"/>
      <c r="BU1175" s="14" t="n"/>
      <c r="BV1175" s="14" t="n"/>
      <c r="BW1175" s="14" t="n"/>
      <c r="BX1175" s="14" t="n"/>
      <c r="BY1175" s="14" t="n"/>
      <c r="BZ1175" s="14" t="n"/>
      <c r="CA1175" s="14" t="n"/>
      <c r="CB1175" s="14" t="n"/>
      <c r="CC1175" s="14" t="n"/>
      <c r="CD1175" s="14" t="n"/>
      <c r="CE1175" s="14" t="n"/>
      <c r="CF1175" s="14" t="n"/>
      <c r="CG1175" s="14" t="n"/>
      <c r="CH1175" s="14" t="n"/>
      <c r="CI1175" s="14" t="n"/>
      <c r="CJ1175" s="14" t="n"/>
      <c r="CK1175" s="14" t="n"/>
      <c r="CL1175" s="14" t="n"/>
      <c r="CM1175" s="14" t="n"/>
      <c r="CN1175" s="14" t="n"/>
      <c r="CO1175" s="14" t="n"/>
      <c r="CP1175" s="14" t="n"/>
      <c r="CQ1175" s="14" t="n"/>
      <c r="CR1175" s="14" t="n"/>
      <c r="CS1175" s="14" t="n"/>
      <c r="CT1175" s="14" t="n"/>
      <c r="CU1175" s="14" t="n"/>
      <c r="CV1175" s="14" t="n"/>
      <c r="CW1175" s="14" t="n"/>
      <c r="CX1175" s="14" t="n"/>
      <c r="CY1175" s="14" t="n"/>
      <c r="CZ1175" s="14" t="n"/>
      <c r="DA1175" s="14" t="n"/>
      <c r="DB1175" s="14" t="n"/>
      <c r="DC1175" s="14" t="n"/>
    </row>
    <row r="1176">
      <c r="B1176" t="inlineStr">
        <is>
          <t>TSP-1558</t>
        </is>
      </c>
      <c r="C1176" t="inlineStr">
        <is>
          <t>No. of batches</t>
        </is>
      </c>
      <c r="D1176">
        <f>IFERROR(INDEX(PP_Grid[#Data],$DD1176,2),0)</f>
        <v/>
      </c>
      <c r="E1176">
        <f>IFERROR(INDEX(PP_Grid[#Data],$DD1176,3),0)</f>
        <v/>
      </c>
      <c r="F1176">
        <f>IFERROR(INDEX(PP_Grid[#Data],$DD1176,4),0)</f>
        <v/>
      </c>
      <c r="G1176">
        <f>IFERROR(INDEX(PP_Grid[#Data],$DD1176,5),0)</f>
        <v/>
      </c>
      <c r="H1176">
        <f>IFERROR(INDEX(PP_Grid[#Data],$DD1176,6),0)</f>
        <v/>
      </c>
      <c r="I1176">
        <f>IFERROR(INDEX(PP_Grid[#Data],$DD1176,7),0)</f>
        <v/>
      </c>
      <c r="J1176">
        <f>IFERROR(INDEX(PP_Grid[#Data],$DD1176,8),0)</f>
        <v/>
      </c>
      <c r="K1176">
        <f>IFERROR(INDEX(PP_Grid[#Data],$DD1176,9),0)</f>
        <v/>
      </c>
      <c r="L1176">
        <f>IFERROR(INDEX(PP_Grid[#Data],$DD1176,10),0)</f>
        <v/>
      </c>
      <c r="M1176">
        <f>IFERROR(INDEX(PP_Grid[#Data],$DD1176,11),0)</f>
        <v/>
      </c>
      <c r="N1176">
        <f>IFERROR(INDEX(PP_Grid[#Data],$DD1176,12),0)</f>
        <v/>
      </c>
      <c r="O1176">
        <f>IFERROR(INDEX(PP_Grid[#Data],$DD1176,13),0)</f>
        <v/>
      </c>
      <c r="P1176">
        <f>IFERROR(INDEX(PP_Grid[#Data],$DD1176,14),0)</f>
        <v/>
      </c>
      <c r="Q1176">
        <f>IFERROR(INDEX(PP_Grid[#Data],$DD1176,15),0)</f>
        <v/>
      </c>
      <c r="R1176">
        <f>IFERROR(INDEX(PP_Grid[#Data],$DD1176,16),0)</f>
        <v/>
      </c>
      <c r="S1176">
        <f>IFERROR(INDEX(PP_Grid[#Data],$DD1176,17),0)</f>
        <v/>
      </c>
      <c r="T1176">
        <f>IFERROR(INDEX(PP_Grid[#Data],$DD1176,18),0)</f>
        <v/>
      </c>
      <c r="U1176">
        <f>IFERROR(INDEX(PP_Grid[#Data],$DD1176,19),0)</f>
        <v/>
      </c>
      <c r="V1176">
        <f>IFERROR(INDEX(PP_Grid[#Data],$DD1176,20),0)</f>
        <v/>
      </c>
      <c r="W1176">
        <f>IFERROR(INDEX(PP_Grid[#Data],$DD1176,21),0)</f>
        <v/>
      </c>
      <c r="X1176">
        <f>IFERROR(INDEX(PP_Grid[#Data],$DD1176,22),0)</f>
        <v/>
      </c>
      <c r="Y1176">
        <f>IFERROR(INDEX(PP_Grid[#Data],$DD1176,23),0)</f>
        <v/>
      </c>
      <c r="Z1176">
        <f>IFERROR(INDEX(PP_Grid[#Data],$DD1176,24),0)</f>
        <v/>
      </c>
      <c r="AA1176">
        <f>IFERROR(INDEX(PP_Grid[#Data],$DD1176,25),0)</f>
        <v/>
      </c>
      <c r="AB1176">
        <f>IFERROR(INDEX(PP_Grid[#Data],$DD1176,26),0)</f>
        <v/>
      </c>
      <c r="AC1176">
        <f>IFERROR(INDEX(PP_Grid[#Data],$DD1176,27),0)</f>
        <v/>
      </c>
      <c r="AD1176">
        <f>IFERROR(INDEX(PP_Grid[#Data],$DD1176,28),0)</f>
        <v/>
      </c>
      <c r="AE1176">
        <f>IFERROR(INDEX(PP_Grid[#Data],$DD1176,29),0)</f>
        <v/>
      </c>
      <c r="AF1176">
        <f>IFERROR(INDEX(PP_Grid[#Data],$DD1176,30),0)</f>
        <v/>
      </c>
      <c r="AG1176">
        <f>IFERROR(INDEX(PP_Grid[#Data],$DD1176,31),0)</f>
        <v/>
      </c>
      <c r="AH1176">
        <f>IFERROR(INDEX(PP_Grid[#Data],$DD1176,32),0)</f>
        <v/>
      </c>
      <c r="AI1176">
        <f>IFERROR(INDEX(PP_Grid[#Data],$DD1176,33),0)</f>
        <v/>
      </c>
      <c r="AJ1176">
        <f>IFERROR(INDEX(PP_Grid[#Data],$DD1176,34),0)</f>
        <v/>
      </c>
      <c r="AK1176">
        <f>IFERROR(INDEX(PP_Grid[#Data],$DD1176,35),0)</f>
        <v/>
      </c>
      <c r="AL1176">
        <f>IFERROR(INDEX(PP_Grid[#Data],$DD1176,36),0)</f>
        <v/>
      </c>
      <c r="AM1176">
        <f>IFERROR(INDEX(PP_Grid[#Data],$DD1176,37),0)</f>
        <v/>
      </c>
      <c r="AN1176">
        <f>IFERROR(INDEX(PP_Grid[#Data],$DD1176,38),0)</f>
        <v/>
      </c>
      <c r="AO1176">
        <f>IFERROR(INDEX(PP_Grid[#Data],$DD1176,39),0)</f>
        <v/>
      </c>
      <c r="AP1176">
        <f>IFERROR(INDEX(PP_Grid[#Data],$DD1176,40),0)</f>
        <v/>
      </c>
      <c r="AQ1176">
        <f>IFERROR(INDEX(PP_Grid[#Data],$DD1176,41),0)</f>
        <v/>
      </c>
      <c r="AR1176">
        <f>IFERROR(INDEX(PP_Grid[#Data],$DD1176,42),0)</f>
        <v/>
      </c>
      <c r="AS1176">
        <f>IFERROR(INDEX(PP_Grid[#Data],$DD1176,43),0)</f>
        <v/>
      </c>
      <c r="AT1176">
        <f>IFERROR(INDEX(PP_Grid[#Data],$DD1176,44),0)</f>
        <v/>
      </c>
      <c r="AU1176">
        <f>IFERROR(INDEX(PP_Grid[#Data],$DD1176,45),0)</f>
        <v/>
      </c>
      <c r="AV1176">
        <f>IFERROR(INDEX(PP_Grid[#Data],$DD1176,46),0)</f>
        <v/>
      </c>
      <c r="AW1176">
        <f>IFERROR(INDEX(PP_Grid[#Data],$DD1176,47),0)</f>
        <v/>
      </c>
      <c r="AX1176">
        <f>IFERROR(INDEX(PP_Grid[#Data],$DD1176,48),0)</f>
        <v/>
      </c>
      <c r="AY1176">
        <f>IFERROR(INDEX(PP_Grid[#Data],$DD1176,49),0)</f>
        <v/>
      </c>
      <c r="AZ1176">
        <f>IFERROR(INDEX(PP_Grid[#Data],$DD1176,50),0)</f>
        <v/>
      </c>
      <c r="BA1176">
        <f>IFERROR(INDEX(PP_Grid[#Data],$DD1176,51),0)</f>
        <v/>
      </c>
      <c r="BB1176">
        <f>IFERROR(INDEX(PP_Grid[#Data],$DD1176,52),0)</f>
        <v/>
      </c>
      <c r="BC1176">
        <f>IFERROR(INDEX(PP_Grid[#Data],$DD1176,53),0)</f>
        <v/>
      </c>
      <c r="BD1176">
        <f>IFERROR(INDEX(PP_Grid[#Data],$DD1176,54),0)</f>
        <v/>
      </c>
      <c r="BE1176">
        <f>IFERROR(INDEX(PP_Grid[#Data],$DD1176,55),0)</f>
        <v/>
      </c>
      <c r="BF1176">
        <f>IFERROR(INDEX(PP_Grid[#Data],$DD1176,56),0)</f>
        <v/>
      </c>
      <c r="BG1176">
        <f>IFERROR(INDEX(PP_Grid[#Data],$DD1176,57),0)</f>
        <v/>
      </c>
      <c r="BH1176">
        <f>IFERROR(INDEX(PP_Grid[#Data],$DD1176,58),0)</f>
        <v/>
      </c>
      <c r="BI1176">
        <f>IFERROR(INDEX(PP_Grid[#Data],$DD1176,59),0)</f>
        <v/>
      </c>
      <c r="BJ1176">
        <f>IFERROR(INDEX(PP_Grid[#Data],$DD1176,60),0)</f>
        <v/>
      </c>
      <c r="BK1176">
        <f>IFERROR(INDEX(PP_Grid[#Data],$DD1176,61),0)</f>
        <v/>
      </c>
      <c r="BL1176">
        <f>IFERROR(INDEX(PP_Grid[#Data],$DD1176,62),0)</f>
        <v/>
      </c>
      <c r="BM1176">
        <f>IFERROR(INDEX(PP_Grid[#Data],$DD1176,63),0)</f>
        <v/>
      </c>
      <c r="BN1176">
        <f>IFERROR(INDEX(PP_Grid[#Data],$DD1176,64),0)</f>
        <v/>
      </c>
      <c r="BO1176">
        <f>IFERROR(INDEX(PP_Grid[#Data],$DD1176,65),0)</f>
        <v/>
      </c>
      <c r="BP1176">
        <f>IFERROR(INDEX(PP_Grid[#Data],$DD1176,66),0)</f>
        <v/>
      </c>
      <c r="BQ1176">
        <f>IFERROR(INDEX(PP_Grid[#Data],$DD1176,67),0)</f>
        <v/>
      </c>
      <c r="BR1176">
        <f>IFERROR(INDEX(PP_Grid[#Data],$DD1176,68),0)</f>
        <v/>
      </c>
      <c r="BS1176">
        <f>IFERROR(INDEX(PP_Grid[#Data],$DD1176,69),0)</f>
        <v/>
      </c>
      <c r="BT1176">
        <f>IFERROR(INDEX(PP_Grid[#Data],$DD1176,70),0)</f>
        <v/>
      </c>
      <c r="BU1176">
        <f>IFERROR(INDEX(PP_Grid[#Data],$DD1176,71),0)</f>
        <v/>
      </c>
      <c r="BV1176">
        <f>IFERROR(INDEX(PP_Grid[#Data],$DD1176,72),0)</f>
        <v/>
      </c>
      <c r="BW1176">
        <f>IFERROR(INDEX(PP_Grid[#Data],$DD1176,73),0)</f>
        <v/>
      </c>
      <c r="BX1176">
        <f>IFERROR(INDEX(PP_Grid[#Data],$DD1176,74),0)</f>
        <v/>
      </c>
      <c r="BY1176">
        <f>IFERROR(INDEX(PP_Grid[#Data],$DD1176,75),0)</f>
        <v/>
      </c>
      <c r="BZ1176">
        <f>IFERROR(INDEX(PP_Grid[#Data],$DD1176,76),0)</f>
        <v/>
      </c>
      <c r="CA1176">
        <f>IFERROR(INDEX(PP_Grid[#Data],$DD1176,77),0)</f>
        <v/>
      </c>
      <c r="CB1176">
        <f>IFERROR(INDEX(PP_Grid[#Data],$DD1176,78),0)</f>
        <v/>
      </c>
      <c r="CC1176">
        <f>IFERROR(INDEX(PP_Grid[#Data],$DD1176,79),0)</f>
        <v/>
      </c>
      <c r="CD1176">
        <f>IFERROR(INDEX(PP_Grid[#Data],$DD1176,80),0)</f>
        <v/>
      </c>
      <c r="CE1176">
        <f>IFERROR(INDEX(PP_Grid[#Data],$DD1176,81),0)</f>
        <v/>
      </c>
      <c r="CF1176">
        <f>IFERROR(INDEX(PP_Grid[#Data],$DD1176,82),0)</f>
        <v/>
      </c>
      <c r="CG1176">
        <f>IFERROR(INDEX(PP_Grid[#Data],$DD1176,83),0)</f>
        <v/>
      </c>
      <c r="CH1176">
        <f>IFERROR(INDEX(PP_Grid[#Data],$DD1176,84),0)</f>
        <v/>
      </c>
      <c r="CI1176">
        <f>IFERROR(INDEX(PP_Grid[#Data],$DD1176,85),0)</f>
        <v/>
      </c>
      <c r="CJ1176">
        <f>IFERROR(INDEX(PP_Grid[#Data],$DD1176,86),0)</f>
        <v/>
      </c>
      <c r="CK1176">
        <f>IFERROR(INDEX(PP_Grid[#Data],$DD1176,87),0)</f>
        <v/>
      </c>
      <c r="CL1176">
        <f>IFERROR(INDEX(PP_Grid[#Data],$DD1176,88),0)</f>
        <v/>
      </c>
      <c r="CM1176">
        <f>IFERROR(INDEX(PP_Grid[#Data],$DD1176,89),0)</f>
        <v/>
      </c>
      <c r="CN1176">
        <f>IFERROR(INDEX(PP_Grid[#Data],$DD1176,90),0)</f>
        <v/>
      </c>
      <c r="CO1176">
        <f>IFERROR(INDEX(PP_Grid[#Data],$DD1176,91),0)</f>
        <v/>
      </c>
      <c r="CP1176">
        <f>IFERROR(INDEX(PP_Grid[#Data],$DD1176,92),0)</f>
        <v/>
      </c>
      <c r="CQ1176">
        <f>IFERROR(INDEX(PP_Grid[#Data],$DD1176,93),0)</f>
        <v/>
      </c>
      <c r="CR1176">
        <f>IFERROR(INDEX(PP_Grid[#Data],$DD1176,94),0)</f>
        <v/>
      </c>
      <c r="CS1176">
        <f>IFERROR(INDEX(PP_Grid[#Data],$DD1176,95),0)</f>
        <v/>
      </c>
      <c r="CT1176">
        <f>IFERROR(INDEX(PP_Grid[#Data],$DD1176,96),0)</f>
        <v/>
      </c>
      <c r="CU1176">
        <f>IFERROR(INDEX(PP_Grid[#Data],$DD1176,97),0)</f>
        <v/>
      </c>
      <c r="CV1176">
        <f>IFERROR(INDEX(PP_Grid[#Data],$DD1176,98),0)</f>
        <v/>
      </c>
      <c r="CW1176">
        <f>IFERROR(INDEX(PP_Grid[#Data],$DD1176,99),0)</f>
        <v/>
      </c>
      <c r="CX1176">
        <f>IFERROR(INDEX(PP_Grid[#Data],$DD1176,100),0)</f>
        <v/>
      </c>
      <c r="CY1176">
        <f>IFERROR(INDEX(PP_Grid[#Data],$DD1176,101),0)</f>
        <v/>
      </c>
      <c r="CZ1176">
        <f>IFERROR(INDEX(PP_Grid[#Data],$DD1176,102),0)</f>
        <v/>
      </c>
      <c r="DA1176">
        <f>IFERROR(INDEX(PP_Grid[#Data],$DD1176,103),0)</f>
        <v/>
      </c>
      <c r="DB1176">
        <f>IFERROR(INDEX(PP_Grid[#Data],$DD1176,104),0)</f>
        <v/>
      </c>
      <c r="DC1176">
        <f>IFERROR(INDEX(PP_Grid[#Data],$DD1176,105),0)</f>
        <v/>
      </c>
      <c r="DD1176" s="7">
        <f>IFERROR(MATCH($B1176,PP_Grid[Intermediate],0),99999)</f>
        <v/>
      </c>
    </row>
    <row r="1177">
      <c r="B1177" t="inlineStr">
        <is>
          <t>使用量(kg)</t>
        </is>
      </c>
      <c r="C1177">
        <f>SUMIFS(M_BOM[RM_Qty_Per_Batch],M_BOM[Intermediate],$B1176,M_BOM[Part Name],$A1175)</f>
        <v/>
      </c>
      <c r="D1177">
        <f>$C1177*D1176</f>
        <v/>
      </c>
      <c r="E1177">
        <f>$C1177*E1176</f>
        <v/>
      </c>
      <c r="F1177">
        <f>$C1177*F1176</f>
        <v/>
      </c>
      <c r="G1177">
        <f>$C1177*G1176</f>
        <v/>
      </c>
      <c r="H1177">
        <f>$C1177*H1176</f>
        <v/>
      </c>
      <c r="I1177">
        <f>$C1177*I1176</f>
        <v/>
      </c>
      <c r="J1177">
        <f>$C1177*J1176</f>
        <v/>
      </c>
      <c r="K1177">
        <f>$C1177*K1176</f>
        <v/>
      </c>
      <c r="L1177">
        <f>$C1177*L1176</f>
        <v/>
      </c>
      <c r="M1177">
        <f>$C1177*M1176</f>
        <v/>
      </c>
      <c r="N1177">
        <f>$C1177*N1176</f>
        <v/>
      </c>
      <c r="O1177">
        <f>$C1177*O1176</f>
        <v/>
      </c>
      <c r="P1177">
        <f>$C1177*P1176</f>
        <v/>
      </c>
      <c r="Q1177">
        <f>$C1177*Q1176</f>
        <v/>
      </c>
      <c r="R1177">
        <f>$C1177*R1176</f>
        <v/>
      </c>
      <c r="S1177">
        <f>$C1177*S1176</f>
        <v/>
      </c>
      <c r="T1177">
        <f>$C1177*T1176</f>
        <v/>
      </c>
      <c r="U1177">
        <f>$C1177*U1176</f>
        <v/>
      </c>
      <c r="V1177">
        <f>$C1177*V1176</f>
        <v/>
      </c>
      <c r="W1177">
        <f>$C1177*W1176</f>
        <v/>
      </c>
      <c r="X1177">
        <f>$C1177*X1176</f>
        <v/>
      </c>
      <c r="Y1177">
        <f>$C1177*Y1176</f>
        <v/>
      </c>
      <c r="Z1177">
        <f>$C1177*Z1176</f>
        <v/>
      </c>
      <c r="AA1177">
        <f>$C1177*AA1176</f>
        <v/>
      </c>
      <c r="AB1177">
        <f>$C1177*AB1176</f>
        <v/>
      </c>
      <c r="AC1177">
        <f>$C1177*AC1176</f>
        <v/>
      </c>
      <c r="AD1177">
        <f>$C1177*AD1176</f>
        <v/>
      </c>
      <c r="AE1177">
        <f>$C1177*AE1176</f>
        <v/>
      </c>
      <c r="AF1177">
        <f>$C1177*AF1176</f>
        <v/>
      </c>
      <c r="AG1177">
        <f>$C1177*AG1176</f>
        <v/>
      </c>
      <c r="AH1177">
        <f>$C1177*AH1176</f>
        <v/>
      </c>
      <c r="AI1177">
        <f>$C1177*AI1176</f>
        <v/>
      </c>
      <c r="AJ1177">
        <f>$C1177*AJ1176</f>
        <v/>
      </c>
      <c r="AK1177">
        <f>$C1177*AK1176</f>
        <v/>
      </c>
      <c r="AL1177">
        <f>$C1177*AL1176</f>
        <v/>
      </c>
      <c r="AM1177">
        <f>$C1177*AM1176</f>
        <v/>
      </c>
      <c r="AN1177">
        <f>$C1177*AN1176</f>
        <v/>
      </c>
      <c r="AO1177">
        <f>$C1177*AO1176</f>
        <v/>
      </c>
      <c r="AP1177">
        <f>$C1177*AP1176</f>
        <v/>
      </c>
      <c r="AQ1177">
        <f>$C1177*AQ1176</f>
        <v/>
      </c>
      <c r="AR1177">
        <f>$C1177*AR1176</f>
        <v/>
      </c>
      <c r="AS1177">
        <f>$C1177*AS1176</f>
        <v/>
      </c>
      <c r="AT1177">
        <f>$C1177*AT1176</f>
        <v/>
      </c>
      <c r="AU1177">
        <f>$C1177*AU1176</f>
        <v/>
      </c>
      <c r="AV1177">
        <f>$C1177*AV1176</f>
        <v/>
      </c>
      <c r="AW1177">
        <f>$C1177*AW1176</f>
        <v/>
      </c>
      <c r="AX1177">
        <f>$C1177*AX1176</f>
        <v/>
      </c>
      <c r="AY1177">
        <f>$C1177*AY1176</f>
        <v/>
      </c>
      <c r="AZ1177">
        <f>$C1177*AZ1176</f>
        <v/>
      </c>
      <c r="BA1177">
        <f>$C1177*BA1176</f>
        <v/>
      </c>
      <c r="BB1177">
        <f>$C1177*BB1176</f>
        <v/>
      </c>
      <c r="BC1177">
        <f>$C1177*BC1176</f>
        <v/>
      </c>
      <c r="BD1177">
        <f>$C1177*BD1176</f>
        <v/>
      </c>
      <c r="BE1177">
        <f>$C1177*BE1176</f>
        <v/>
      </c>
      <c r="BF1177">
        <f>$C1177*BF1176</f>
        <v/>
      </c>
      <c r="BG1177">
        <f>$C1177*BG1176</f>
        <v/>
      </c>
      <c r="BH1177">
        <f>$C1177*BH1176</f>
        <v/>
      </c>
      <c r="BI1177">
        <f>$C1177*BI1176</f>
        <v/>
      </c>
      <c r="BJ1177">
        <f>$C1177*BJ1176</f>
        <v/>
      </c>
      <c r="BK1177">
        <f>$C1177*BK1176</f>
        <v/>
      </c>
      <c r="BL1177">
        <f>$C1177*BL1176</f>
        <v/>
      </c>
      <c r="BM1177">
        <f>$C1177*BM1176</f>
        <v/>
      </c>
      <c r="BN1177">
        <f>$C1177*BN1176</f>
        <v/>
      </c>
      <c r="BO1177">
        <f>$C1177*BO1176</f>
        <v/>
      </c>
      <c r="BP1177">
        <f>$C1177*BP1176</f>
        <v/>
      </c>
      <c r="BQ1177">
        <f>$C1177*BQ1176</f>
        <v/>
      </c>
      <c r="BR1177">
        <f>$C1177*BR1176</f>
        <v/>
      </c>
      <c r="BS1177">
        <f>$C1177*BS1176</f>
        <v/>
      </c>
      <c r="BT1177">
        <f>$C1177*BT1176</f>
        <v/>
      </c>
      <c r="BU1177">
        <f>$C1177*BU1176</f>
        <v/>
      </c>
      <c r="BV1177">
        <f>$C1177*BV1176</f>
        <v/>
      </c>
      <c r="BW1177">
        <f>$C1177*BW1176</f>
        <v/>
      </c>
      <c r="BX1177">
        <f>$C1177*BX1176</f>
        <v/>
      </c>
      <c r="BY1177">
        <f>$C1177*BY1176</f>
        <v/>
      </c>
      <c r="BZ1177">
        <f>$C1177*BZ1176</f>
        <v/>
      </c>
      <c r="CA1177">
        <f>$C1177*CA1176</f>
        <v/>
      </c>
      <c r="CB1177">
        <f>$C1177*CB1176</f>
        <v/>
      </c>
      <c r="CC1177">
        <f>$C1177*CC1176</f>
        <v/>
      </c>
      <c r="CD1177">
        <f>$C1177*CD1176</f>
        <v/>
      </c>
      <c r="CE1177">
        <f>$C1177*CE1176</f>
        <v/>
      </c>
      <c r="CF1177">
        <f>$C1177*CF1176</f>
        <v/>
      </c>
      <c r="CG1177">
        <f>$C1177*CG1176</f>
        <v/>
      </c>
      <c r="CH1177">
        <f>$C1177*CH1176</f>
        <v/>
      </c>
      <c r="CI1177">
        <f>$C1177*CI1176</f>
        <v/>
      </c>
      <c r="CJ1177">
        <f>$C1177*CJ1176</f>
        <v/>
      </c>
      <c r="CK1177">
        <f>$C1177*CK1176</f>
        <v/>
      </c>
      <c r="CL1177">
        <f>$C1177*CL1176</f>
        <v/>
      </c>
      <c r="CM1177">
        <f>$C1177*CM1176</f>
        <v/>
      </c>
      <c r="CN1177">
        <f>$C1177*CN1176</f>
        <v/>
      </c>
      <c r="CO1177">
        <f>$C1177*CO1176</f>
        <v/>
      </c>
      <c r="CP1177">
        <f>$C1177*CP1176</f>
        <v/>
      </c>
      <c r="CQ1177">
        <f>$C1177*CQ1176</f>
        <v/>
      </c>
      <c r="CR1177">
        <f>$C1177*CR1176</f>
        <v/>
      </c>
      <c r="CS1177">
        <f>$C1177*CS1176</f>
        <v/>
      </c>
      <c r="CT1177">
        <f>$C1177*CT1176</f>
        <v/>
      </c>
      <c r="CU1177">
        <f>$C1177*CU1176</f>
        <v/>
      </c>
      <c r="CV1177">
        <f>$C1177*CV1176</f>
        <v/>
      </c>
      <c r="CW1177">
        <f>$C1177*CW1176</f>
        <v/>
      </c>
      <c r="CX1177">
        <f>$C1177*CX1176</f>
        <v/>
      </c>
      <c r="CY1177">
        <f>$C1177*CY1176</f>
        <v/>
      </c>
      <c r="CZ1177">
        <f>$C1177*CZ1176</f>
        <v/>
      </c>
      <c r="DA1177">
        <f>$C1177*DA1176</f>
        <v/>
      </c>
      <c r="DB1177">
        <f>$C1177*DB1176</f>
        <v/>
      </c>
      <c r="DC1177">
        <f>$C1177*DC1176</f>
        <v/>
      </c>
    </row>
    <row r="1178">
      <c r="B1178" t="inlineStr">
        <is>
          <t>TSP-1559</t>
        </is>
      </c>
      <c r="C1178" t="inlineStr">
        <is>
          <t>No. of batches</t>
        </is>
      </c>
      <c r="D1178">
        <f>IFERROR(INDEX(PP_Grid[#Data],$DD1178,2),0)</f>
        <v/>
      </c>
      <c r="E1178">
        <f>IFERROR(INDEX(PP_Grid[#Data],$DD1178,3),0)</f>
        <v/>
      </c>
      <c r="F1178">
        <f>IFERROR(INDEX(PP_Grid[#Data],$DD1178,4),0)</f>
        <v/>
      </c>
      <c r="G1178">
        <f>IFERROR(INDEX(PP_Grid[#Data],$DD1178,5),0)</f>
        <v/>
      </c>
      <c r="H1178">
        <f>IFERROR(INDEX(PP_Grid[#Data],$DD1178,6),0)</f>
        <v/>
      </c>
      <c r="I1178">
        <f>IFERROR(INDEX(PP_Grid[#Data],$DD1178,7),0)</f>
        <v/>
      </c>
      <c r="J1178">
        <f>IFERROR(INDEX(PP_Grid[#Data],$DD1178,8),0)</f>
        <v/>
      </c>
      <c r="K1178">
        <f>IFERROR(INDEX(PP_Grid[#Data],$DD1178,9),0)</f>
        <v/>
      </c>
      <c r="L1178">
        <f>IFERROR(INDEX(PP_Grid[#Data],$DD1178,10),0)</f>
        <v/>
      </c>
      <c r="M1178">
        <f>IFERROR(INDEX(PP_Grid[#Data],$DD1178,11),0)</f>
        <v/>
      </c>
      <c r="N1178">
        <f>IFERROR(INDEX(PP_Grid[#Data],$DD1178,12),0)</f>
        <v/>
      </c>
      <c r="O1178">
        <f>IFERROR(INDEX(PP_Grid[#Data],$DD1178,13),0)</f>
        <v/>
      </c>
      <c r="P1178">
        <f>IFERROR(INDEX(PP_Grid[#Data],$DD1178,14),0)</f>
        <v/>
      </c>
      <c r="Q1178">
        <f>IFERROR(INDEX(PP_Grid[#Data],$DD1178,15),0)</f>
        <v/>
      </c>
      <c r="R1178">
        <f>IFERROR(INDEX(PP_Grid[#Data],$DD1178,16),0)</f>
        <v/>
      </c>
      <c r="S1178">
        <f>IFERROR(INDEX(PP_Grid[#Data],$DD1178,17),0)</f>
        <v/>
      </c>
      <c r="T1178">
        <f>IFERROR(INDEX(PP_Grid[#Data],$DD1178,18),0)</f>
        <v/>
      </c>
      <c r="U1178">
        <f>IFERROR(INDEX(PP_Grid[#Data],$DD1178,19),0)</f>
        <v/>
      </c>
      <c r="V1178">
        <f>IFERROR(INDEX(PP_Grid[#Data],$DD1178,20),0)</f>
        <v/>
      </c>
      <c r="W1178">
        <f>IFERROR(INDEX(PP_Grid[#Data],$DD1178,21),0)</f>
        <v/>
      </c>
      <c r="X1178">
        <f>IFERROR(INDEX(PP_Grid[#Data],$DD1178,22),0)</f>
        <v/>
      </c>
      <c r="Y1178">
        <f>IFERROR(INDEX(PP_Grid[#Data],$DD1178,23),0)</f>
        <v/>
      </c>
      <c r="Z1178">
        <f>IFERROR(INDEX(PP_Grid[#Data],$DD1178,24),0)</f>
        <v/>
      </c>
      <c r="AA1178">
        <f>IFERROR(INDEX(PP_Grid[#Data],$DD1178,25),0)</f>
        <v/>
      </c>
      <c r="AB1178">
        <f>IFERROR(INDEX(PP_Grid[#Data],$DD1178,26),0)</f>
        <v/>
      </c>
      <c r="AC1178">
        <f>IFERROR(INDEX(PP_Grid[#Data],$DD1178,27),0)</f>
        <v/>
      </c>
      <c r="AD1178">
        <f>IFERROR(INDEX(PP_Grid[#Data],$DD1178,28),0)</f>
        <v/>
      </c>
      <c r="AE1178">
        <f>IFERROR(INDEX(PP_Grid[#Data],$DD1178,29),0)</f>
        <v/>
      </c>
      <c r="AF1178">
        <f>IFERROR(INDEX(PP_Grid[#Data],$DD1178,30),0)</f>
        <v/>
      </c>
      <c r="AG1178">
        <f>IFERROR(INDEX(PP_Grid[#Data],$DD1178,31),0)</f>
        <v/>
      </c>
      <c r="AH1178">
        <f>IFERROR(INDEX(PP_Grid[#Data],$DD1178,32),0)</f>
        <v/>
      </c>
      <c r="AI1178">
        <f>IFERROR(INDEX(PP_Grid[#Data],$DD1178,33),0)</f>
        <v/>
      </c>
      <c r="AJ1178">
        <f>IFERROR(INDEX(PP_Grid[#Data],$DD1178,34),0)</f>
        <v/>
      </c>
      <c r="AK1178">
        <f>IFERROR(INDEX(PP_Grid[#Data],$DD1178,35),0)</f>
        <v/>
      </c>
      <c r="AL1178">
        <f>IFERROR(INDEX(PP_Grid[#Data],$DD1178,36),0)</f>
        <v/>
      </c>
      <c r="AM1178">
        <f>IFERROR(INDEX(PP_Grid[#Data],$DD1178,37),0)</f>
        <v/>
      </c>
      <c r="AN1178">
        <f>IFERROR(INDEX(PP_Grid[#Data],$DD1178,38),0)</f>
        <v/>
      </c>
      <c r="AO1178">
        <f>IFERROR(INDEX(PP_Grid[#Data],$DD1178,39),0)</f>
        <v/>
      </c>
      <c r="AP1178">
        <f>IFERROR(INDEX(PP_Grid[#Data],$DD1178,40),0)</f>
        <v/>
      </c>
      <c r="AQ1178">
        <f>IFERROR(INDEX(PP_Grid[#Data],$DD1178,41),0)</f>
        <v/>
      </c>
      <c r="AR1178">
        <f>IFERROR(INDEX(PP_Grid[#Data],$DD1178,42),0)</f>
        <v/>
      </c>
      <c r="AS1178">
        <f>IFERROR(INDEX(PP_Grid[#Data],$DD1178,43),0)</f>
        <v/>
      </c>
      <c r="AT1178">
        <f>IFERROR(INDEX(PP_Grid[#Data],$DD1178,44),0)</f>
        <v/>
      </c>
      <c r="AU1178">
        <f>IFERROR(INDEX(PP_Grid[#Data],$DD1178,45),0)</f>
        <v/>
      </c>
      <c r="AV1178">
        <f>IFERROR(INDEX(PP_Grid[#Data],$DD1178,46),0)</f>
        <v/>
      </c>
      <c r="AW1178">
        <f>IFERROR(INDEX(PP_Grid[#Data],$DD1178,47),0)</f>
        <v/>
      </c>
      <c r="AX1178">
        <f>IFERROR(INDEX(PP_Grid[#Data],$DD1178,48),0)</f>
        <v/>
      </c>
      <c r="AY1178">
        <f>IFERROR(INDEX(PP_Grid[#Data],$DD1178,49),0)</f>
        <v/>
      </c>
      <c r="AZ1178">
        <f>IFERROR(INDEX(PP_Grid[#Data],$DD1178,50),0)</f>
        <v/>
      </c>
      <c r="BA1178">
        <f>IFERROR(INDEX(PP_Grid[#Data],$DD1178,51),0)</f>
        <v/>
      </c>
      <c r="BB1178">
        <f>IFERROR(INDEX(PP_Grid[#Data],$DD1178,52),0)</f>
        <v/>
      </c>
      <c r="BC1178">
        <f>IFERROR(INDEX(PP_Grid[#Data],$DD1178,53),0)</f>
        <v/>
      </c>
      <c r="BD1178">
        <f>IFERROR(INDEX(PP_Grid[#Data],$DD1178,54),0)</f>
        <v/>
      </c>
      <c r="BE1178">
        <f>IFERROR(INDEX(PP_Grid[#Data],$DD1178,55),0)</f>
        <v/>
      </c>
      <c r="BF1178">
        <f>IFERROR(INDEX(PP_Grid[#Data],$DD1178,56),0)</f>
        <v/>
      </c>
      <c r="BG1178">
        <f>IFERROR(INDEX(PP_Grid[#Data],$DD1178,57),0)</f>
        <v/>
      </c>
      <c r="BH1178">
        <f>IFERROR(INDEX(PP_Grid[#Data],$DD1178,58),0)</f>
        <v/>
      </c>
      <c r="BI1178">
        <f>IFERROR(INDEX(PP_Grid[#Data],$DD1178,59),0)</f>
        <v/>
      </c>
      <c r="BJ1178">
        <f>IFERROR(INDEX(PP_Grid[#Data],$DD1178,60),0)</f>
        <v/>
      </c>
      <c r="BK1178">
        <f>IFERROR(INDEX(PP_Grid[#Data],$DD1178,61),0)</f>
        <v/>
      </c>
      <c r="BL1178">
        <f>IFERROR(INDEX(PP_Grid[#Data],$DD1178,62),0)</f>
        <v/>
      </c>
      <c r="BM1178">
        <f>IFERROR(INDEX(PP_Grid[#Data],$DD1178,63),0)</f>
        <v/>
      </c>
      <c r="BN1178">
        <f>IFERROR(INDEX(PP_Grid[#Data],$DD1178,64),0)</f>
        <v/>
      </c>
      <c r="BO1178">
        <f>IFERROR(INDEX(PP_Grid[#Data],$DD1178,65),0)</f>
        <v/>
      </c>
      <c r="BP1178">
        <f>IFERROR(INDEX(PP_Grid[#Data],$DD1178,66),0)</f>
        <v/>
      </c>
      <c r="BQ1178">
        <f>IFERROR(INDEX(PP_Grid[#Data],$DD1178,67),0)</f>
        <v/>
      </c>
      <c r="BR1178">
        <f>IFERROR(INDEX(PP_Grid[#Data],$DD1178,68),0)</f>
        <v/>
      </c>
      <c r="BS1178">
        <f>IFERROR(INDEX(PP_Grid[#Data],$DD1178,69),0)</f>
        <v/>
      </c>
      <c r="BT1178">
        <f>IFERROR(INDEX(PP_Grid[#Data],$DD1178,70),0)</f>
        <v/>
      </c>
      <c r="BU1178">
        <f>IFERROR(INDEX(PP_Grid[#Data],$DD1178,71),0)</f>
        <v/>
      </c>
      <c r="BV1178">
        <f>IFERROR(INDEX(PP_Grid[#Data],$DD1178,72),0)</f>
        <v/>
      </c>
      <c r="BW1178">
        <f>IFERROR(INDEX(PP_Grid[#Data],$DD1178,73),0)</f>
        <v/>
      </c>
      <c r="BX1178">
        <f>IFERROR(INDEX(PP_Grid[#Data],$DD1178,74),0)</f>
        <v/>
      </c>
      <c r="BY1178">
        <f>IFERROR(INDEX(PP_Grid[#Data],$DD1178,75),0)</f>
        <v/>
      </c>
      <c r="BZ1178">
        <f>IFERROR(INDEX(PP_Grid[#Data],$DD1178,76),0)</f>
        <v/>
      </c>
      <c r="CA1178">
        <f>IFERROR(INDEX(PP_Grid[#Data],$DD1178,77),0)</f>
        <v/>
      </c>
      <c r="CB1178">
        <f>IFERROR(INDEX(PP_Grid[#Data],$DD1178,78),0)</f>
        <v/>
      </c>
      <c r="CC1178">
        <f>IFERROR(INDEX(PP_Grid[#Data],$DD1178,79),0)</f>
        <v/>
      </c>
      <c r="CD1178">
        <f>IFERROR(INDEX(PP_Grid[#Data],$DD1178,80),0)</f>
        <v/>
      </c>
      <c r="CE1178">
        <f>IFERROR(INDEX(PP_Grid[#Data],$DD1178,81),0)</f>
        <v/>
      </c>
      <c r="CF1178">
        <f>IFERROR(INDEX(PP_Grid[#Data],$DD1178,82),0)</f>
        <v/>
      </c>
      <c r="CG1178">
        <f>IFERROR(INDEX(PP_Grid[#Data],$DD1178,83),0)</f>
        <v/>
      </c>
      <c r="CH1178">
        <f>IFERROR(INDEX(PP_Grid[#Data],$DD1178,84),0)</f>
        <v/>
      </c>
      <c r="CI1178">
        <f>IFERROR(INDEX(PP_Grid[#Data],$DD1178,85),0)</f>
        <v/>
      </c>
      <c r="CJ1178">
        <f>IFERROR(INDEX(PP_Grid[#Data],$DD1178,86),0)</f>
        <v/>
      </c>
      <c r="CK1178">
        <f>IFERROR(INDEX(PP_Grid[#Data],$DD1178,87),0)</f>
        <v/>
      </c>
      <c r="CL1178">
        <f>IFERROR(INDEX(PP_Grid[#Data],$DD1178,88),0)</f>
        <v/>
      </c>
      <c r="CM1178">
        <f>IFERROR(INDEX(PP_Grid[#Data],$DD1178,89),0)</f>
        <v/>
      </c>
      <c r="CN1178">
        <f>IFERROR(INDEX(PP_Grid[#Data],$DD1178,90),0)</f>
        <v/>
      </c>
      <c r="CO1178">
        <f>IFERROR(INDEX(PP_Grid[#Data],$DD1178,91),0)</f>
        <v/>
      </c>
      <c r="CP1178">
        <f>IFERROR(INDEX(PP_Grid[#Data],$DD1178,92),0)</f>
        <v/>
      </c>
      <c r="CQ1178">
        <f>IFERROR(INDEX(PP_Grid[#Data],$DD1178,93),0)</f>
        <v/>
      </c>
      <c r="CR1178">
        <f>IFERROR(INDEX(PP_Grid[#Data],$DD1178,94),0)</f>
        <v/>
      </c>
      <c r="CS1178">
        <f>IFERROR(INDEX(PP_Grid[#Data],$DD1178,95),0)</f>
        <v/>
      </c>
      <c r="CT1178">
        <f>IFERROR(INDEX(PP_Grid[#Data],$DD1178,96),0)</f>
        <v/>
      </c>
      <c r="CU1178">
        <f>IFERROR(INDEX(PP_Grid[#Data],$DD1178,97),0)</f>
        <v/>
      </c>
      <c r="CV1178">
        <f>IFERROR(INDEX(PP_Grid[#Data],$DD1178,98),0)</f>
        <v/>
      </c>
      <c r="CW1178">
        <f>IFERROR(INDEX(PP_Grid[#Data],$DD1178,99),0)</f>
        <v/>
      </c>
      <c r="CX1178">
        <f>IFERROR(INDEX(PP_Grid[#Data],$DD1178,100),0)</f>
        <v/>
      </c>
      <c r="CY1178">
        <f>IFERROR(INDEX(PP_Grid[#Data],$DD1178,101),0)</f>
        <v/>
      </c>
      <c r="CZ1178">
        <f>IFERROR(INDEX(PP_Grid[#Data],$DD1178,102),0)</f>
        <v/>
      </c>
      <c r="DA1178">
        <f>IFERROR(INDEX(PP_Grid[#Data],$DD1178,103),0)</f>
        <v/>
      </c>
      <c r="DB1178">
        <f>IFERROR(INDEX(PP_Grid[#Data],$DD1178,104),0)</f>
        <v/>
      </c>
      <c r="DC1178">
        <f>IFERROR(INDEX(PP_Grid[#Data],$DD1178,105),0)</f>
        <v/>
      </c>
      <c r="DD1178" s="7">
        <f>IFERROR(MATCH($B1178,PP_Grid[Intermediate],0),99999)</f>
        <v/>
      </c>
    </row>
    <row r="1179">
      <c r="B1179" t="inlineStr">
        <is>
          <t>使用量(kg)</t>
        </is>
      </c>
      <c r="C1179">
        <f>SUMIFS(M_BOM[RM_Qty_Per_Batch],M_BOM[Intermediate],$B1178,M_BOM[Part Name],$A1175)</f>
        <v/>
      </c>
      <c r="D1179">
        <f>$C1179*D1178</f>
        <v/>
      </c>
      <c r="E1179">
        <f>$C1179*E1178</f>
        <v/>
      </c>
      <c r="F1179">
        <f>$C1179*F1178</f>
        <v/>
      </c>
      <c r="G1179">
        <f>$C1179*G1178</f>
        <v/>
      </c>
      <c r="H1179">
        <f>$C1179*H1178</f>
        <v/>
      </c>
      <c r="I1179">
        <f>$C1179*I1178</f>
        <v/>
      </c>
      <c r="J1179">
        <f>$C1179*J1178</f>
        <v/>
      </c>
      <c r="K1179">
        <f>$C1179*K1178</f>
        <v/>
      </c>
      <c r="L1179">
        <f>$C1179*L1178</f>
        <v/>
      </c>
      <c r="M1179">
        <f>$C1179*M1178</f>
        <v/>
      </c>
      <c r="N1179">
        <f>$C1179*N1178</f>
        <v/>
      </c>
      <c r="O1179">
        <f>$C1179*O1178</f>
        <v/>
      </c>
      <c r="P1179">
        <f>$C1179*P1178</f>
        <v/>
      </c>
      <c r="Q1179">
        <f>$C1179*Q1178</f>
        <v/>
      </c>
      <c r="R1179">
        <f>$C1179*R1178</f>
        <v/>
      </c>
      <c r="S1179">
        <f>$C1179*S1178</f>
        <v/>
      </c>
      <c r="T1179">
        <f>$C1179*T1178</f>
        <v/>
      </c>
      <c r="U1179">
        <f>$C1179*U1178</f>
        <v/>
      </c>
      <c r="V1179">
        <f>$C1179*V1178</f>
        <v/>
      </c>
      <c r="W1179">
        <f>$C1179*W1178</f>
        <v/>
      </c>
      <c r="X1179">
        <f>$C1179*X1178</f>
        <v/>
      </c>
      <c r="Y1179">
        <f>$C1179*Y1178</f>
        <v/>
      </c>
      <c r="Z1179">
        <f>$C1179*Z1178</f>
        <v/>
      </c>
      <c r="AA1179">
        <f>$C1179*AA1178</f>
        <v/>
      </c>
      <c r="AB1179">
        <f>$C1179*AB1178</f>
        <v/>
      </c>
      <c r="AC1179">
        <f>$C1179*AC1178</f>
        <v/>
      </c>
      <c r="AD1179">
        <f>$C1179*AD1178</f>
        <v/>
      </c>
      <c r="AE1179">
        <f>$C1179*AE1178</f>
        <v/>
      </c>
      <c r="AF1179">
        <f>$C1179*AF1178</f>
        <v/>
      </c>
      <c r="AG1179">
        <f>$C1179*AG1178</f>
        <v/>
      </c>
      <c r="AH1179">
        <f>$C1179*AH1178</f>
        <v/>
      </c>
      <c r="AI1179">
        <f>$C1179*AI1178</f>
        <v/>
      </c>
      <c r="AJ1179">
        <f>$C1179*AJ1178</f>
        <v/>
      </c>
      <c r="AK1179">
        <f>$C1179*AK1178</f>
        <v/>
      </c>
      <c r="AL1179">
        <f>$C1179*AL1178</f>
        <v/>
      </c>
      <c r="AM1179">
        <f>$C1179*AM1178</f>
        <v/>
      </c>
      <c r="AN1179">
        <f>$C1179*AN1178</f>
        <v/>
      </c>
      <c r="AO1179">
        <f>$C1179*AO1178</f>
        <v/>
      </c>
      <c r="AP1179">
        <f>$C1179*AP1178</f>
        <v/>
      </c>
      <c r="AQ1179">
        <f>$C1179*AQ1178</f>
        <v/>
      </c>
      <c r="AR1179">
        <f>$C1179*AR1178</f>
        <v/>
      </c>
      <c r="AS1179">
        <f>$C1179*AS1178</f>
        <v/>
      </c>
      <c r="AT1179">
        <f>$C1179*AT1178</f>
        <v/>
      </c>
      <c r="AU1179">
        <f>$C1179*AU1178</f>
        <v/>
      </c>
      <c r="AV1179">
        <f>$C1179*AV1178</f>
        <v/>
      </c>
      <c r="AW1179">
        <f>$C1179*AW1178</f>
        <v/>
      </c>
      <c r="AX1179">
        <f>$C1179*AX1178</f>
        <v/>
      </c>
      <c r="AY1179">
        <f>$C1179*AY1178</f>
        <v/>
      </c>
      <c r="AZ1179">
        <f>$C1179*AZ1178</f>
        <v/>
      </c>
      <c r="BA1179">
        <f>$C1179*BA1178</f>
        <v/>
      </c>
      <c r="BB1179">
        <f>$C1179*BB1178</f>
        <v/>
      </c>
      <c r="BC1179">
        <f>$C1179*BC1178</f>
        <v/>
      </c>
      <c r="BD1179">
        <f>$C1179*BD1178</f>
        <v/>
      </c>
      <c r="BE1179">
        <f>$C1179*BE1178</f>
        <v/>
      </c>
      <c r="BF1179">
        <f>$C1179*BF1178</f>
        <v/>
      </c>
      <c r="BG1179">
        <f>$C1179*BG1178</f>
        <v/>
      </c>
      <c r="BH1179">
        <f>$C1179*BH1178</f>
        <v/>
      </c>
      <c r="BI1179">
        <f>$C1179*BI1178</f>
        <v/>
      </c>
      <c r="BJ1179">
        <f>$C1179*BJ1178</f>
        <v/>
      </c>
      <c r="BK1179">
        <f>$C1179*BK1178</f>
        <v/>
      </c>
      <c r="BL1179">
        <f>$C1179*BL1178</f>
        <v/>
      </c>
      <c r="BM1179">
        <f>$C1179*BM1178</f>
        <v/>
      </c>
      <c r="BN1179">
        <f>$C1179*BN1178</f>
        <v/>
      </c>
      <c r="BO1179">
        <f>$C1179*BO1178</f>
        <v/>
      </c>
      <c r="BP1179">
        <f>$C1179*BP1178</f>
        <v/>
      </c>
      <c r="BQ1179">
        <f>$C1179*BQ1178</f>
        <v/>
      </c>
      <c r="BR1179">
        <f>$C1179*BR1178</f>
        <v/>
      </c>
      <c r="BS1179">
        <f>$C1179*BS1178</f>
        <v/>
      </c>
      <c r="BT1179">
        <f>$C1179*BT1178</f>
        <v/>
      </c>
      <c r="BU1179">
        <f>$C1179*BU1178</f>
        <v/>
      </c>
      <c r="BV1179">
        <f>$C1179*BV1178</f>
        <v/>
      </c>
      <c r="BW1179">
        <f>$C1179*BW1178</f>
        <v/>
      </c>
      <c r="BX1179">
        <f>$C1179*BX1178</f>
        <v/>
      </c>
      <c r="BY1179">
        <f>$C1179*BY1178</f>
        <v/>
      </c>
      <c r="BZ1179">
        <f>$C1179*BZ1178</f>
        <v/>
      </c>
      <c r="CA1179">
        <f>$C1179*CA1178</f>
        <v/>
      </c>
      <c r="CB1179">
        <f>$C1179*CB1178</f>
        <v/>
      </c>
      <c r="CC1179">
        <f>$C1179*CC1178</f>
        <v/>
      </c>
      <c r="CD1179">
        <f>$C1179*CD1178</f>
        <v/>
      </c>
      <c r="CE1179">
        <f>$C1179*CE1178</f>
        <v/>
      </c>
      <c r="CF1179">
        <f>$C1179*CF1178</f>
        <v/>
      </c>
      <c r="CG1179">
        <f>$C1179*CG1178</f>
        <v/>
      </c>
      <c r="CH1179">
        <f>$C1179*CH1178</f>
        <v/>
      </c>
      <c r="CI1179">
        <f>$C1179*CI1178</f>
        <v/>
      </c>
      <c r="CJ1179">
        <f>$C1179*CJ1178</f>
        <v/>
      </c>
      <c r="CK1179">
        <f>$C1179*CK1178</f>
        <v/>
      </c>
      <c r="CL1179">
        <f>$C1179*CL1178</f>
        <v/>
      </c>
      <c r="CM1179">
        <f>$C1179*CM1178</f>
        <v/>
      </c>
      <c r="CN1179">
        <f>$C1179*CN1178</f>
        <v/>
      </c>
      <c r="CO1179">
        <f>$C1179*CO1178</f>
        <v/>
      </c>
      <c r="CP1179">
        <f>$C1179*CP1178</f>
        <v/>
      </c>
      <c r="CQ1179">
        <f>$C1179*CQ1178</f>
        <v/>
      </c>
      <c r="CR1179">
        <f>$C1179*CR1178</f>
        <v/>
      </c>
      <c r="CS1179">
        <f>$C1179*CS1178</f>
        <v/>
      </c>
      <c r="CT1179">
        <f>$C1179*CT1178</f>
        <v/>
      </c>
      <c r="CU1179">
        <f>$C1179*CU1178</f>
        <v/>
      </c>
      <c r="CV1179">
        <f>$C1179*CV1178</f>
        <v/>
      </c>
      <c r="CW1179">
        <f>$C1179*CW1178</f>
        <v/>
      </c>
      <c r="CX1179">
        <f>$C1179*CX1178</f>
        <v/>
      </c>
      <c r="CY1179">
        <f>$C1179*CY1178</f>
        <v/>
      </c>
      <c r="CZ1179">
        <f>$C1179*CZ1178</f>
        <v/>
      </c>
      <c r="DA1179">
        <f>$C1179*DA1178</f>
        <v/>
      </c>
      <c r="DB1179">
        <f>$C1179*DB1178</f>
        <v/>
      </c>
      <c r="DC1179">
        <f>$C1179*DC1178</f>
        <v/>
      </c>
    </row>
    <row r="1180">
      <c r="B1180" s="4" t="inlineStr">
        <is>
          <t>合計使用量(kg)/週</t>
        </is>
      </c>
      <c r="D1180">
        <f>'Grid_Requirement'!B29</f>
        <v/>
      </c>
      <c r="E1180">
        <f>'Grid_Requirement'!C29</f>
        <v/>
      </c>
      <c r="F1180">
        <f>'Grid_Requirement'!D29</f>
        <v/>
      </c>
      <c r="G1180">
        <f>'Grid_Requirement'!E29</f>
        <v/>
      </c>
      <c r="H1180">
        <f>'Grid_Requirement'!F29</f>
        <v/>
      </c>
      <c r="I1180">
        <f>'Grid_Requirement'!G29</f>
        <v/>
      </c>
      <c r="J1180">
        <f>'Grid_Requirement'!H29</f>
        <v/>
      </c>
      <c r="K1180">
        <f>'Grid_Requirement'!I29</f>
        <v/>
      </c>
      <c r="L1180">
        <f>'Grid_Requirement'!J29</f>
        <v/>
      </c>
      <c r="M1180">
        <f>'Grid_Requirement'!K29</f>
        <v/>
      </c>
      <c r="N1180">
        <f>'Grid_Requirement'!L29</f>
        <v/>
      </c>
      <c r="O1180">
        <f>'Grid_Requirement'!M29</f>
        <v/>
      </c>
      <c r="P1180">
        <f>'Grid_Requirement'!N29</f>
        <v/>
      </c>
      <c r="Q1180">
        <f>'Grid_Requirement'!O29</f>
        <v/>
      </c>
      <c r="R1180">
        <f>'Grid_Requirement'!P29</f>
        <v/>
      </c>
      <c r="S1180">
        <f>'Grid_Requirement'!Q29</f>
        <v/>
      </c>
      <c r="T1180">
        <f>'Grid_Requirement'!R29</f>
        <v/>
      </c>
      <c r="U1180">
        <f>'Grid_Requirement'!S29</f>
        <v/>
      </c>
      <c r="V1180">
        <f>'Grid_Requirement'!T29</f>
        <v/>
      </c>
      <c r="W1180">
        <f>'Grid_Requirement'!U29</f>
        <v/>
      </c>
      <c r="X1180">
        <f>'Grid_Requirement'!V29</f>
        <v/>
      </c>
      <c r="Y1180">
        <f>'Grid_Requirement'!W29</f>
        <v/>
      </c>
      <c r="Z1180">
        <f>'Grid_Requirement'!X29</f>
        <v/>
      </c>
      <c r="AA1180">
        <f>'Grid_Requirement'!Y29</f>
        <v/>
      </c>
      <c r="AB1180">
        <f>'Grid_Requirement'!Z29</f>
        <v/>
      </c>
      <c r="AC1180">
        <f>'Grid_Requirement'!AA29</f>
        <v/>
      </c>
      <c r="AD1180">
        <f>'Grid_Requirement'!AB29</f>
        <v/>
      </c>
      <c r="AE1180">
        <f>'Grid_Requirement'!AC29</f>
        <v/>
      </c>
      <c r="AF1180">
        <f>'Grid_Requirement'!AD29</f>
        <v/>
      </c>
      <c r="AG1180">
        <f>'Grid_Requirement'!AE29</f>
        <v/>
      </c>
      <c r="AH1180">
        <f>'Grid_Requirement'!AF29</f>
        <v/>
      </c>
      <c r="AI1180">
        <f>'Grid_Requirement'!AG29</f>
        <v/>
      </c>
      <c r="AJ1180">
        <f>'Grid_Requirement'!AH29</f>
        <v/>
      </c>
      <c r="AK1180">
        <f>'Grid_Requirement'!AI29</f>
        <v/>
      </c>
      <c r="AL1180">
        <f>'Grid_Requirement'!AJ29</f>
        <v/>
      </c>
      <c r="AM1180">
        <f>'Grid_Requirement'!AK29</f>
        <v/>
      </c>
      <c r="AN1180">
        <f>'Grid_Requirement'!AL29</f>
        <v/>
      </c>
      <c r="AO1180">
        <f>'Grid_Requirement'!AM29</f>
        <v/>
      </c>
      <c r="AP1180">
        <f>'Grid_Requirement'!AN29</f>
        <v/>
      </c>
      <c r="AQ1180">
        <f>'Grid_Requirement'!AO29</f>
        <v/>
      </c>
      <c r="AR1180">
        <f>'Grid_Requirement'!AP29</f>
        <v/>
      </c>
      <c r="AS1180">
        <f>'Grid_Requirement'!AQ29</f>
        <v/>
      </c>
      <c r="AT1180">
        <f>'Grid_Requirement'!AR29</f>
        <v/>
      </c>
      <c r="AU1180">
        <f>'Grid_Requirement'!AS29</f>
        <v/>
      </c>
      <c r="AV1180">
        <f>'Grid_Requirement'!AT29</f>
        <v/>
      </c>
      <c r="AW1180">
        <f>'Grid_Requirement'!AU29</f>
        <v/>
      </c>
      <c r="AX1180">
        <f>'Grid_Requirement'!AV29</f>
        <v/>
      </c>
      <c r="AY1180">
        <f>'Grid_Requirement'!AW29</f>
        <v/>
      </c>
      <c r="AZ1180">
        <f>'Grid_Requirement'!AX29</f>
        <v/>
      </c>
      <c r="BA1180">
        <f>'Grid_Requirement'!AY29</f>
        <v/>
      </c>
      <c r="BB1180">
        <f>'Grid_Requirement'!AZ29</f>
        <v/>
      </c>
      <c r="BC1180">
        <f>'Grid_Requirement'!BA29</f>
        <v/>
      </c>
      <c r="BD1180">
        <f>'Grid_Requirement'!BB29</f>
        <v/>
      </c>
      <c r="BE1180">
        <f>'Grid_Requirement'!BC29</f>
        <v/>
      </c>
      <c r="BF1180">
        <f>'Grid_Requirement'!BD29</f>
        <v/>
      </c>
      <c r="BG1180">
        <f>'Grid_Requirement'!BE29</f>
        <v/>
      </c>
      <c r="BH1180">
        <f>'Grid_Requirement'!BF29</f>
        <v/>
      </c>
      <c r="BI1180">
        <f>'Grid_Requirement'!BG29</f>
        <v/>
      </c>
      <c r="BJ1180">
        <f>'Grid_Requirement'!BH29</f>
        <v/>
      </c>
      <c r="BK1180">
        <f>'Grid_Requirement'!BI29</f>
        <v/>
      </c>
      <c r="BL1180">
        <f>'Grid_Requirement'!BJ29</f>
        <v/>
      </c>
      <c r="BM1180">
        <f>'Grid_Requirement'!BK29</f>
        <v/>
      </c>
      <c r="BN1180">
        <f>'Grid_Requirement'!BL29</f>
        <v/>
      </c>
      <c r="BO1180">
        <f>'Grid_Requirement'!BM29</f>
        <v/>
      </c>
      <c r="BP1180">
        <f>'Grid_Requirement'!BN29</f>
        <v/>
      </c>
      <c r="BQ1180">
        <f>'Grid_Requirement'!BO29</f>
        <v/>
      </c>
      <c r="BR1180">
        <f>'Grid_Requirement'!BP29</f>
        <v/>
      </c>
      <c r="BS1180">
        <f>'Grid_Requirement'!BQ29</f>
        <v/>
      </c>
      <c r="BT1180">
        <f>'Grid_Requirement'!BR29</f>
        <v/>
      </c>
      <c r="BU1180">
        <f>'Grid_Requirement'!BS29</f>
        <v/>
      </c>
      <c r="BV1180">
        <f>'Grid_Requirement'!BT29</f>
        <v/>
      </c>
      <c r="BW1180">
        <f>'Grid_Requirement'!BU29</f>
        <v/>
      </c>
      <c r="BX1180">
        <f>'Grid_Requirement'!BV29</f>
        <v/>
      </c>
      <c r="BY1180">
        <f>'Grid_Requirement'!BW29</f>
        <v/>
      </c>
      <c r="BZ1180">
        <f>'Grid_Requirement'!BX29</f>
        <v/>
      </c>
      <c r="CA1180">
        <f>'Grid_Requirement'!BY29</f>
        <v/>
      </c>
      <c r="CB1180">
        <f>'Grid_Requirement'!BZ29</f>
        <v/>
      </c>
      <c r="CC1180">
        <f>'Grid_Requirement'!CA29</f>
        <v/>
      </c>
      <c r="CD1180">
        <f>'Grid_Requirement'!CB29</f>
        <v/>
      </c>
      <c r="CE1180">
        <f>'Grid_Requirement'!CC29</f>
        <v/>
      </c>
      <c r="CF1180">
        <f>'Grid_Requirement'!CD29</f>
        <v/>
      </c>
      <c r="CG1180">
        <f>'Grid_Requirement'!CE29</f>
        <v/>
      </c>
      <c r="CH1180">
        <f>'Grid_Requirement'!CF29</f>
        <v/>
      </c>
      <c r="CI1180">
        <f>'Grid_Requirement'!CG29</f>
        <v/>
      </c>
      <c r="CJ1180">
        <f>'Grid_Requirement'!CH29</f>
        <v/>
      </c>
      <c r="CK1180">
        <f>'Grid_Requirement'!CI29</f>
        <v/>
      </c>
      <c r="CL1180">
        <f>'Grid_Requirement'!CJ29</f>
        <v/>
      </c>
      <c r="CM1180">
        <f>'Grid_Requirement'!CK29</f>
        <v/>
      </c>
      <c r="CN1180">
        <f>'Grid_Requirement'!CL29</f>
        <v/>
      </c>
      <c r="CO1180">
        <f>'Grid_Requirement'!CM29</f>
        <v/>
      </c>
      <c r="CP1180">
        <f>'Grid_Requirement'!CN29</f>
        <v/>
      </c>
      <c r="CQ1180">
        <f>'Grid_Requirement'!CO29</f>
        <v/>
      </c>
      <c r="CR1180">
        <f>'Grid_Requirement'!CP29</f>
        <v/>
      </c>
      <c r="CS1180">
        <f>'Grid_Requirement'!CQ29</f>
        <v/>
      </c>
      <c r="CT1180">
        <f>'Grid_Requirement'!CR29</f>
        <v/>
      </c>
      <c r="CU1180">
        <f>'Grid_Requirement'!CS29</f>
        <v/>
      </c>
      <c r="CV1180">
        <f>'Grid_Requirement'!CT29</f>
        <v/>
      </c>
      <c r="CW1180">
        <f>'Grid_Requirement'!CU29</f>
        <v/>
      </c>
      <c r="CX1180">
        <f>'Grid_Requirement'!CV29</f>
        <v/>
      </c>
      <c r="CY1180">
        <f>'Grid_Requirement'!CW29</f>
        <v/>
      </c>
      <c r="CZ1180">
        <f>'Grid_Requirement'!CX29</f>
        <v/>
      </c>
      <c r="DA1180">
        <f>'Grid_Requirement'!CY29</f>
        <v/>
      </c>
      <c r="DB1180">
        <f>'Grid_Requirement'!CZ29</f>
        <v/>
      </c>
      <c r="DC1180">
        <f>'Grid_Requirement'!DA29</f>
        <v/>
      </c>
    </row>
    <row r="1181">
      <c r="B1181" t="inlineStr">
        <is>
          <t>TTAF在庫(実績,kg)</t>
        </is>
      </c>
      <c r="D1181">
        <f>'T_TTAFStock'!B33</f>
        <v/>
      </c>
      <c r="E1181">
        <f>'T_TTAFStock'!C33</f>
        <v/>
      </c>
      <c r="F1181">
        <f>'T_TTAFStock'!D33</f>
        <v/>
      </c>
      <c r="G1181">
        <f>'T_TTAFStock'!E33</f>
        <v/>
      </c>
      <c r="H1181">
        <f>'T_TTAFStock'!F33</f>
        <v/>
      </c>
      <c r="I1181">
        <f>'T_TTAFStock'!G33</f>
        <v/>
      </c>
      <c r="J1181">
        <f>'T_TTAFStock'!H33</f>
        <v/>
      </c>
      <c r="K1181">
        <f>'T_TTAFStock'!I33</f>
        <v/>
      </c>
      <c r="L1181">
        <f>'T_TTAFStock'!J33</f>
        <v/>
      </c>
      <c r="M1181">
        <f>'T_TTAFStock'!K33</f>
        <v/>
      </c>
      <c r="N1181">
        <f>'T_TTAFStock'!L33</f>
        <v/>
      </c>
      <c r="O1181">
        <f>'T_TTAFStock'!M33</f>
        <v/>
      </c>
      <c r="P1181">
        <f>'T_TTAFStock'!N33</f>
        <v/>
      </c>
      <c r="Q1181">
        <f>'T_TTAFStock'!O33</f>
        <v/>
      </c>
      <c r="R1181">
        <f>'T_TTAFStock'!P33</f>
        <v/>
      </c>
      <c r="S1181">
        <f>'T_TTAFStock'!Q33</f>
        <v/>
      </c>
      <c r="T1181">
        <f>'T_TTAFStock'!R33</f>
        <v/>
      </c>
      <c r="U1181">
        <f>'T_TTAFStock'!S33</f>
        <v/>
      </c>
      <c r="V1181">
        <f>'T_TTAFStock'!T33</f>
        <v/>
      </c>
      <c r="W1181">
        <f>'T_TTAFStock'!U33</f>
        <v/>
      </c>
      <c r="X1181">
        <f>'T_TTAFStock'!V33</f>
        <v/>
      </c>
      <c r="Y1181">
        <f>'T_TTAFStock'!W33</f>
        <v/>
      </c>
      <c r="Z1181">
        <f>'T_TTAFStock'!X33</f>
        <v/>
      </c>
      <c r="AA1181">
        <f>'T_TTAFStock'!Y33</f>
        <v/>
      </c>
      <c r="AB1181">
        <f>'T_TTAFStock'!Z33</f>
        <v/>
      </c>
      <c r="AC1181">
        <f>'T_TTAFStock'!AA33</f>
        <v/>
      </c>
      <c r="AD1181">
        <f>'T_TTAFStock'!AB33</f>
        <v/>
      </c>
      <c r="AE1181">
        <f>'T_TTAFStock'!AC33</f>
        <v/>
      </c>
      <c r="AF1181">
        <f>'T_TTAFStock'!AD33</f>
        <v/>
      </c>
      <c r="AG1181">
        <f>'T_TTAFStock'!AE33</f>
        <v/>
      </c>
      <c r="AH1181">
        <f>'T_TTAFStock'!AF33</f>
        <v/>
      </c>
      <c r="AI1181">
        <f>'T_TTAFStock'!AG33</f>
        <v/>
      </c>
      <c r="AJ1181">
        <f>'T_TTAFStock'!AH33</f>
        <v/>
      </c>
      <c r="AK1181">
        <f>'T_TTAFStock'!AI33</f>
        <v/>
      </c>
      <c r="AL1181">
        <f>'T_TTAFStock'!AJ33</f>
        <v/>
      </c>
      <c r="AM1181">
        <f>'T_TTAFStock'!AK33</f>
        <v/>
      </c>
      <c r="AN1181">
        <f>'T_TTAFStock'!AL33</f>
        <v/>
      </c>
      <c r="AO1181">
        <f>'T_TTAFStock'!AM33</f>
        <v/>
      </c>
      <c r="AP1181">
        <f>'T_TTAFStock'!AN33</f>
        <v/>
      </c>
      <c r="AQ1181">
        <f>'T_TTAFStock'!AO33</f>
        <v/>
      </c>
      <c r="AR1181">
        <f>'T_TTAFStock'!AP33</f>
        <v/>
      </c>
      <c r="AS1181">
        <f>'T_TTAFStock'!AQ33</f>
        <v/>
      </c>
      <c r="AT1181">
        <f>'T_TTAFStock'!AR33</f>
        <v/>
      </c>
      <c r="AU1181">
        <f>'T_TTAFStock'!AS33</f>
        <v/>
      </c>
      <c r="AV1181">
        <f>'T_TTAFStock'!AT33</f>
        <v/>
      </c>
      <c r="AW1181">
        <f>'T_TTAFStock'!AU33</f>
        <v/>
      </c>
      <c r="AX1181">
        <f>'T_TTAFStock'!AV33</f>
        <v/>
      </c>
      <c r="AY1181">
        <f>'T_TTAFStock'!AW33</f>
        <v/>
      </c>
      <c r="AZ1181">
        <f>'T_TTAFStock'!AX33</f>
        <v/>
      </c>
      <c r="BA1181">
        <f>'T_TTAFStock'!AY33</f>
        <v/>
      </c>
      <c r="BB1181">
        <f>'T_TTAFStock'!AZ33</f>
        <v/>
      </c>
      <c r="BC1181">
        <f>'T_TTAFStock'!BA33</f>
        <v/>
      </c>
      <c r="BD1181">
        <f>'T_TTAFStock'!BB33</f>
        <v/>
      </c>
      <c r="BE1181">
        <f>'T_TTAFStock'!BC33</f>
        <v/>
      </c>
      <c r="BF1181">
        <f>'T_TTAFStock'!BD33</f>
        <v/>
      </c>
      <c r="BG1181">
        <f>'T_TTAFStock'!BE33</f>
        <v/>
      </c>
      <c r="BH1181">
        <f>'T_TTAFStock'!BF33</f>
        <v/>
      </c>
      <c r="BI1181">
        <f>'T_TTAFStock'!BG33</f>
        <v/>
      </c>
      <c r="BJ1181">
        <f>'T_TTAFStock'!BH33</f>
        <v/>
      </c>
      <c r="BK1181">
        <f>'T_TTAFStock'!BI33</f>
        <v/>
      </c>
      <c r="BL1181">
        <f>'T_TTAFStock'!BJ33</f>
        <v/>
      </c>
      <c r="BM1181">
        <f>'T_TTAFStock'!BK33</f>
        <v/>
      </c>
      <c r="BN1181">
        <f>'T_TTAFStock'!BL33</f>
        <v/>
      </c>
      <c r="BO1181">
        <f>'T_TTAFStock'!BM33</f>
        <v/>
      </c>
      <c r="BP1181">
        <f>'T_TTAFStock'!BN33</f>
        <v/>
      </c>
      <c r="BQ1181">
        <f>'T_TTAFStock'!BO33</f>
        <v/>
      </c>
      <c r="BR1181">
        <f>'T_TTAFStock'!BP33</f>
        <v/>
      </c>
      <c r="BS1181">
        <f>'T_TTAFStock'!BQ33</f>
        <v/>
      </c>
      <c r="BT1181">
        <f>'T_TTAFStock'!BR33</f>
        <v/>
      </c>
      <c r="BU1181">
        <f>'T_TTAFStock'!BS33</f>
        <v/>
      </c>
      <c r="BV1181">
        <f>'T_TTAFStock'!BT33</f>
        <v/>
      </c>
      <c r="BW1181">
        <f>'T_TTAFStock'!BU33</f>
        <v/>
      </c>
      <c r="BX1181">
        <f>'T_TTAFStock'!BV33</f>
        <v/>
      </c>
      <c r="BY1181">
        <f>'T_TTAFStock'!BW33</f>
        <v/>
      </c>
      <c r="BZ1181">
        <f>'T_TTAFStock'!BX33</f>
        <v/>
      </c>
      <c r="CA1181">
        <f>'T_TTAFStock'!BY33</f>
        <v/>
      </c>
      <c r="CB1181">
        <f>'T_TTAFStock'!BZ33</f>
        <v/>
      </c>
      <c r="CC1181">
        <f>'T_TTAFStock'!CA33</f>
        <v/>
      </c>
      <c r="CD1181">
        <f>'T_TTAFStock'!CB33</f>
        <v/>
      </c>
      <c r="CE1181">
        <f>'T_TTAFStock'!CC33</f>
        <v/>
      </c>
      <c r="CF1181">
        <f>'T_TTAFStock'!CD33</f>
        <v/>
      </c>
      <c r="CG1181">
        <f>'T_TTAFStock'!CE33</f>
        <v/>
      </c>
      <c r="CH1181">
        <f>'T_TTAFStock'!CF33</f>
        <v/>
      </c>
      <c r="CI1181">
        <f>'T_TTAFStock'!CG33</f>
        <v/>
      </c>
      <c r="CJ1181">
        <f>'T_TTAFStock'!CH33</f>
        <v/>
      </c>
      <c r="CK1181">
        <f>'T_TTAFStock'!CI33</f>
        <v/>
      </c>
      <c r="CL1181">
        <f>'T_TTAFStock'!CJ33</f>
        <v/>
      </c>
      <c r="CM1181">
        <f>'T_TTAFStock'!CK33</f>
        <v/>
      </c>
      <c r="CN1181">
        <f>'T_TTAFStock'!CL33</f>
        <v/>
      </c>
      <c r="CO1181">
        <f>'T_TTAFStock'!CM33</f>
        <v/>
      </c>
      <c r="CP1181">
        <f>'T_TTAFStock'!CN33</f>
        <v/>
      </c>
      <c r="CQ1181">
        <f>'T_TTAFStock'!CO33</f>
        <v/>
      </c>
      <c r="CR1181">
        <f>'T_TTAFStock'!CP33</f>
        <v/>
      </c>
      <c r="CS1181">
        <f>'T_TTAFStock'!CQ33</f>
        <v/>
      </c>
      <c r="CT1181">
        <f>'T_TTAFStock'!CR33</f>
        <v/>
      </c>
      <c r="CU1181">
        <f>'T_TTAFStock'!CS33</f>
        <v/>
      </c>
      <c r="CV1181">
        <f>'T_TTAFStock'!CT33</f>
        <v/>
      </c>
      <c r="CW1181">
        <f>'T_TTAFStock'!CU33</f>
        <v/>
      </c>
      <c r="CX1181">
        <f>'T_TTAFStock'!CV33</f>
        <v/>
      </c>
      <c r="CY1181">
        <f>'T_TTAFStock'!CW33</f>
        <v/>
      </c>
      <c r="CZ1181">
        <f>'T_TTAFStock'!CX33</f>
        <v/>
      </c>
      <c r="DA1181">
        <f>'T_TTAFStock'!CY33</f>
        <v/>
      </c>
      <c r="DB1181">
        <f>'T_TTAFStock'!CZ33</f>
        <v/>
      </c>
      <c r="DC1181">
        <f>'T_TTAFStock'!DA33</f>
        <v/>
      </c>
    </row>
    <row r="1182">
      <c r="B1182" t="inlineStr">
        <is>
          <t>自社在庫(実績,kg)</t>
        </is>
      </c>
      <c r="D1182">
        <f>'T_SelfStock'!B33</f>
        <v/>
      </c>
      <c r="E1182">
        <f>'T_SelfStock'!C33</f>
        <v/>
      </c>
      <c r="F1182">
        <f>'T_SelfStock'!D33</f>
        <v/>
      </c>
      <c r="G1182">
        <f>'T_SelfStock'!E33</f>
        <v/>
      </c>
      <c r="H1182">
        <f>'T_SelfStock'!F33</f>
        <v/>
      </c>
      <c r="I1182">
        <f>'T_SelfStock'!G33</f>
        <v/>
      </c>
      <c r="J1182">
        <f>'T_SelfStock'!H33</f>
        <v/>
      </c>
      <c r="K1182">
        <f>'T_SelfStock'!I33</f>
        <v/>
      </c>
      <c r="L1182">
        <f>'T_SelfStock'!J33</f>
        <v/>
      </c>
      <c r="M1182">
        <f>'T_SelfStock'!K33</f>
        <v/>
      </c>
      <c r="N1182">
        <f>'T_SelfStock'!L33</f>
        <v/>
      </c>
      <c r="O1182">
        <f>'T_SelfStock'!M33</f>
        <v/>
      </c>
      <c r="P1182">
        <f>'T_SelfStock'!N33</f>
        <v/>
      </c>
      <c r="Q1182">
        <f>'T_SelfStock'!O33</f>
        <v/>
      </c>
      <c r="R1182">
        <f>'T_SelfStock'!P33</f>
        <v/>
      </c>
      <c r="S1182">
        <f>'T_SelfStock'!Q33</f>
        <v/>
      </c>
      <c r="T1182">
        <f>'T_SelfStock'!R33</f>
        <v/>
      </c>
      <c r="U1182">
        <f>'T_SelfStock'!S33</f>
        <v/>
      </c>
      <c r="V1182">
        <f>'T_SelfStock'!T33</f>
        <v/>
      </c>
      <c r="W1182">
        <f>'T_SelfStock'!U33</f>
        <v/>
      </c>
      <c r="X1182">
        <f>'T_SelfStock'!V33</f>
        <v/>
      </c>
      <c r="Y1182">
        <f>'T_SelfStock'!W33</f>
        <v/>
      </c>
      <c r="Z1182">
        <f>'T_SelfStock'!X33</f>
        <v/>
      </c>
      <c r="AA1182">
        <f>'T_SelfStock'!Y33</f>
        <v/>
      </c>
      <c r="AB1182">
        <f>'T_SelfStock'!Z33</f>
        <v/>
      </c>
      <c r="AC1182">
        <f>'T_SelfStock'!AA33</f>
        <v/>
      </c>
      <c r="AD1182">
        <f>'T_SelfStock'!AB33</f>
        <v/>
      </c>
      <c r="AE1182">
        <f>'T_SelfStock'!AC33</f>
        <v/>
      </c>
      <c r="AF1182">
        <f>'T_SelfStock'!AD33</f>
        <v/>
      </c>
      <c r="AG1182">
        <f>'T_SelfStock'!AE33</f>
        <v/>
      </c>
      <c r="AH1182">
        <f>'T_SelfStock'!AF33</f>
        <v/>
      </c>
      <c r="AI1182">
        <f>'T_SelfStock'!AG33</f>
        <v/>
      </c>
      <c r="AJ1182">
        <f>'T_SelfStock'!AH33</f>
        <v/>
      </c>
      <c r="AK1182">
        <f>'T_SelfStock'!AI33</f>
        <v/>
      </c>
      <c r="AL1182">
        <f>'T_SelfStock'!AJ33</f>
        <v/>
      </c>
      <c r="AM1182">
        <f>'T_SelfStock'!AK33</f>
        <v/>
      </c>
      <c r="AN1182">
        <f>'T_SelfStock'!AL33</f>
        <v/>
      </c>
      <c r="AO1182">
        <f>'T_SelfStock'!AM33</f>
        <v/>
      </c>
      <c r="AP1182">
        <f>'T_SelfStock'!AN33</f>
        <v/>
      </c>
      <c r="AQ1182">
        <f>'T_SelfStock'!AO33</f>
        <v/>
      </c>
      <c r="AR1182">
        <f>'T_SelfStock'!AP33</f>
        <v/>
      </c>
      <c r="AS1182">
        <f>'T_SelfStock'!AQ33</f>
        <v/>
      </c>
      <c r="AT1182">
        <f>'T_SelfStock'!AR33</f>
        <v/>
      </c>
      <c r="AU1182">
        <f>'T_SelfStock'!AS33</f>
        <v/>
      </c>
      <c r="AV1182">
        <f>'T_SelfStock'!AT33</f>
        <v/>
      </c>
      <c r="AW1182">
        <f>'T_SelfStock'!AU33</f>
        <v/>
      </c>
      <c r="AX1182">
        <f>'T_SelfStock'!AV33</f>
        <v/>
      </c>
      <c r="AY1182">
        <f>'T_SelfStock'!AW33</f>
        <v/>
      </c>
      <c r="AZ1182">
        <f>'T_SelfStock'!AX33</f>
        <v/>
      </c>
      <c r="BA1182">
        <f>'T_SelfStock'!AY33</f>
        <v/>
      </c>
      <c r="BB1182">
        <f>'T_SelfStock'!AZ33</f>
        <v/>
      </c>
      <c r="BC1182">
        <f>'T_SelfStock'!BA33</f>
        <v/>
      </c>
      <c r="BD1182">
        <f>'T_SelfStock'!BB33</f>
        <v/>
      </c>
      <c r="BE1182">
        <f>'T_SelfStock'!BC33</f>
        <v/>
      </c>
      <c r="BF1182">
        <f>'T_SelfStock'!BD33</f>
        <v/>
      </c>
      <c r="BG1182">
        <f>'T_SelfStock'!BE33</f>
        <v/>
      </c>
      <c r="BH1182">
        <f>'T_SelfStock'!BF33</f>
        <v/>
      </c>
      <c r="BI1182">
        <f>'T_SelfStock'!BG33</f>
        <v/>
      </c>
      <c r="BJ1182">
        <f>'T_SelfStock'!BH33</f>
        <v/>
      </c>
      <c r="BK1182">
        <f>'T_SelfStock'!BI33</f>
        <v/>
      </c>
      <c r="BL1182">
        <f>'T_SelfStock'!BJ33</f>
        <v/>
      </c>
      <c r="BM1182">
        <f>'T_SelfStock'!BK33</f>
        <v/>
      </c>
      <c r="BN1182">
        <f>'T_SelfStock'!BL33</f>
        <v/>
      </c>
      <c r="BO1182">
        <f>'T_SelfStock'!BM33</f>
        <v/>
      </c>
      <c r="BP1182">
        <f>'T_SelfStock'!BN33</f>
        <v/>
      </c>
      <c r="BQ1182">
        <f>'T_SelfStock'!BO33</f>
        <v/>
      </c>
      <c r="BR1182">
        <f>'T_SelfStock'!BP33</f>
        <v/>
      </c>
      <c r="BS1182">
        <f>'T_SelfStock'!BQ33</f>
        <v/>
      </c>
      <c r="BT1182">
        <f>'T_SelfStock'!BR33</f>
        <v/>
      </c>
      <c r="BU1182">
        <f>'T_SelfStock'!BS33</f>
        <v/>
      </c>
      <c r="BV1182">
        <f>'T_SelfStock'!BT33</f>
        <v/>
      </c>
      <c r="BW1182">
        <f>'T_SelfStock'!BU33</f>
        <v/>
      </c>
      <c r="BX1182">
        <f>'T_SelfStock'!BV33</f>
        <v/>
      </c>
      <c r="BY1182">
        <f>'T_SelfStock'!BW33</f>
        <v/>
      </c>
      <c r="BZ1182">
        <f>'T_SelfStock'!BX33</f>
        <v/>
      </c>
      <c r="CA1182">
        <f>'T_SelfStock'!BY33</f>
        <v/>
      </c>
      <c r="CB1182">
        <f>'T_SelfStock'!BZ33</f>
        <v/>
      </c>
      <c r="CC1182">
        <f>'T_SelfStock'!CA33</f>
        <v/>
      </c>
      <c r="CD1182">
        <f>'T_SelfStock'!CB33</f>
        <v/>
      </c>
      <c r="CE1182">
        <f>'T_SelfStock'!CC33</f>
        <v/>
      </c>
      <c r="CF1182">
        <f>'T_SelfStock'!CD33</f>
        <v/>
      </c>
      <c r="CG1182">
        <f>'T_SelfStock'!CE33</f>
        <v/>
      </c>
      <c r="CH1182">
        <f>'T_SelfStock'!CF33</f>
        <v/>
      </c>
      <c r="CI1182">
        <f>'T_SelfStock'!CG33</f>
        <v/>
      </c>
      <c r="CJ1182">
        <f>'T_SelfStock'!CH33</f>
        <v/>
      </c>
      <c r="CK1182">
        <f>'T_SelfStock'!CI33</f>
        <v/>
      </c>
      <c r="CL1182">
        <f>'T_SelfStock'!CJ33</f>
        <v/>
      </c>
      <c r="CM1182">
        <f>'T_SelfStock'!CK33</f>
        <v/>
      </c>
      <c r="CN1182">
        <f>'T_SelfStock'!CL33</f>
        <v/>
      </c>
      <c r="CO1182">
        <f>'T_SelfStock'!CM33</f>
        <v/>
      </c>
      <c r="CP1182">
        <f>'T_SelfStock'!CN33</f>
        <v/>
      </c>
      <c r="CQ1182">
        <f>'T_SelfStock'!CO33</f>
        <v/>
      </c>
      <c r="CR1182">
        <f>'T_SelfStock'!CP33</f>
        <v/>
      </c>
      <c r="CS1182">
        <f>'T_SelfStock'!CQ33</f>
        <v/>
      </c>
      <c r="CT1182">
        <f>'T_SelfStock'!CR33</f>
        <v/>
      </c>
      <c r="CU1182">
        <f>'T_SelfStock'!CS33</f>
        <v/>
      </c>
      <c r="CV1182">
        <f>'T_SelfStock'!CT33</f>
        <v/>
      </c>
      <c r="CW1182">
        <f>'T_SelfStock'!CU33</f>
        <v/>
      </c>
      <c r="CX1182">
        <f>'T_SelfStock'!CV33</f>
        <v/>
      </c>
      <c r="CY1182">
        <f>'T_SelfStock'!CW33</f>
        <v/>
      </c>
      <c r="CZ1182">
        <f>'T_SelfStock'!CX33</f>
        <v/>
      </c>
      <c r="DA1182">
        <f>'T_SelfStock'!CY33</f>
        <v/>
      </c>
      <c r="DB1182">
        <f>'T_SelfStock'!CZ33</f>
        <v/>
      </c>
      <c r="DC1182">
        <f>'T_SelfStock'!DA33</f>
        <v/>
      </c>
    </row>
    <row r="1183">
      <c r="B1183" t="inlineStr">
        <is>
          <t>Order(発注予定,kg)</t>
        </is>
      </c>
      <c r="D1183">
        <f>IF(SUMIFS(T_PlannedOrders[EffectiveQty],T_PlannedOrders[Part Name],$A1175,T_PlannedOrders[WeekIndex],1)=0,"",SUMIFS(T_PlannedOrders[EffectiveQty],T_PlannedOrders[Part Name],$A1175,T_PlannedOrders[WeekIndex],1)&amp;" ("&amp;TEXT(SUMPRODUCT(MAX((T_PlannedOrders[Part Name]=$A1175)*(T_PlannedOrders[WeekIndex]=1)*(T_PlannedOrders[EffectiveQty]&gt;0)*T_PlannedOrders[Order_Month])),"m月")&amp;"発注)")</f>
        <v/>
      </c>
      <c r="E1183">
        <f>IF(SUMIFS(T_PlannedOrders[EffectiveQty],T_PlannedOrders[Part Name],$A1175,T_PlannedOrders[WeekIndex],2)=0,"",SUMIFS(T_PlannedOrders[EffectiveQty],T_PlannedOrders[Part Name],$A1175,T_PlannedOrders[WeekIndex],2)&amp;" ("&amp;TEXT(SUMPRODUCT(MAX((T_PlannedOrders[Part Name]=$A1175)*(T_PlannedOrders[WeekIndex]=2)*(T_PlannedOrders[EffectiveQty]&gt;0)*T_PlannedOrders[Order_Month])),"m月")&amp;"発注)")</f>
        <v/>
      </c>
      <c r="F1183">
        <f>IF(SUMIFS(T_PlannedOrders[EffectiveQty],T_PlannedOrders[Part Name],$A1175,T_PlannedOrders[WeekIndex],3)=0,"",SUMIFS(T_PlannedOrders[EffectiveQty],T_PlannedOrders[Part Name],$A1175,T_PlannedOrders[WeekIndex],3)&amp;" ("&amp;TEXT(SUMPRODUCT(MAX((T_PlannedOrders[Part Name]=$A1175)*(T_PlannedOrders[WeekIndex]=3)*(T_PlannedOrders[EffectiveQty]&gt;0)*T_PlannedOrders[Order_Month])),"m月")&amp;"発注)")</f>
        <v/>
      </c>
      <c r="G1183">
        <f>IF(SUMIFS(T_PlannedOrders[EffectiveQty],T_PlannedOrders[Part Name],$A1175,T_PlannedOrders[WeekIndex],4)=0,"",SUMIFS(T_PlannedOrders[EffectiveQty],T_PlannedOrders[Part Name],$A1175,T_PlannedOrders[WeekIndex],4)&amp;" ("&amp;TEXT(SUMPRODUCT(MAX((T_PlannedOrders[Part Name]=$A1175)*(T_PlannedOrders[WeekIndex]=4)*(T_PlannedOrders[EffectiveQty]&gt;0)*T_PlannedOrders[Order_Month])),"m月")&amp;"発注)")</f>
        <v/>
      </c>
      <c r="H1183">
        <f>IF(SUMIFS(T_PlannedOrders[EffectiveQty],T_PlannedOrders[Part Name],$A1175,T_PlannedOrders[WeekIndex],5)=0,"",SUMIFS(T_PlannedOrders[EffectiveQty],T_PlannedOrders[Part Name],$A1175,T_PlannedOrders[WeekIndex],5)&amp;" ("&amp;TEXT(SUMPRODUCT(MAX((T_PlannedOrders[Part Name]=$A1175)*(T_PlannedOrders[WeekIndex]=5)*(T_PlannedOrders[EffectiveQty]&gt;0)*T_PlannedOrders[Order_Month])),"m月")&amp;"発注)")</f>
        <v/>
      </c>
      <c r="I1183">
        <f>IF(SUMIFS(T_PlannedOrders[EffectiveQty],T_PlannedOrders[Part Name],$A1175,T_PlannedOrders[WeekIndex],6)=0,"",SUMIFS(T_PlannedOrders[EffectiveQty],T_PlannedOrders[Part Name],$A1175,T_PlannedOrders[WeekIndex],6)&amp;" ("&amp;TEXT(SUMPRODUCT(MAX((T_PlannedOrders[Part Name]=$A1175)*(T_PlannedOrders[WeekIndex]=6)*(T_PlannedOrders[EffectiveQty]&gt;0)*T_PlannedOrders[Order_Month])),"m月")&amp;"発注)")</f>
        <v/>
      </c>
      <c r="J1183">
        <f>IF(SUMIFS(T_PlannedOrders[EffectiveQty],T_PlannedOrders[Part Name],$A1175,T_PlannedOrders[WeekIndex],7)=0,"",SUMIFS(T_PlannedOrders[EffectiveQty],T_PlannedOrders[Part Name],$A1175,T_PlannedOrders[WeekIndex],7)&amp;" ("&amp;TEXT(SUMPRODUCT(MAX((T_PlannedOrders[Part Name]=$A1175)*(T_PlannedOrders[WeekIndex]=7)*(T_PlannedOrders[EffectiveQty]&gt;0)*T_PlannedOrders[Order_Month])),"m月")&amp;"発注)")</f>
        <v/>
      </c>
      <c r="K1183">
        <f>IF(SUMIFS(T_PlannedOrders[EffectiveQty],T_PlannedOrders[Part Name],$A1175,T_PlannedOrders[WeekIndex],8)=0,"",SUMIFS(T_PlannedOrders[EffectiveQty],T_PlannedOrders[Part Name],$A1175,T_PlannedOrders[WeekIndex],8)&amp;" ("&amp;TEXT(SUMPRODUCT(MAX((T_PlannedOrders[Part Name]=$A1175)*(T_PlannedOrders[WeekIndex]=8)*(T_PlannedOrders[EffectiveQty]&gt;0)*T_PlannedOrders[Order_Month])),"m月")&amp;"発注)")</f>
        <v/>
      </c>
      <c r="L1183">
        <f>IF(SUMIFS(T_PlannedOrders[EffectiveQty],T_PlannedOrders[Part Name],$A1175,T_PlannedOrders[WeekIndex],9)=0,"",SUMIFS(T_PlannedOrders[EffectiveQty],T_PlannedOrders[Part Name],$A1175,T_PlannedOrders[WeekIndex],9)&amp;" ("&amp;TEXT(SUMPRODUCT(MAX((T_PlannedOrders[Part Name]=$A1175)*(T_PlannedOrders[WeekIndex]=9)*(T_PlannedOrders[EffectiveQty]&gt;0)*T_PlannedOrders[Order_Month])),"m月")&amp;"発注)")</f>
        <v/>
      </c>
      <c r="M1183">
        <f>IF(SUMIFS(T_PlannedOrders[EffectiveQty],T_PlannedOrders[Part Name],$A1175,T_PlannedOrders[WeekIndex],10)=0,"",SUMIFS(T_PlannedOrders[EffectiveQty],T_PlannedOrders[Part Name],$A1175,T_PlannedOrders[WeekIndex],10)&amp;" ("&amp;TEXT(SUMPRODUCT(MAX((T_PlannedOrders[Part Name]=$A1175)*(T_PlannedOrders[WeekIndex]=10)*(T_PlannedOrders[EffectiveQty]&gt;0)*T_PlannedOrders[Order_Month])),"m月")&amp;"発注)")</f>
        <v/>
      </c>
      <c r="N1183">
        <f>IF(SUMIFS(T_PlannedOrders[EffectiveQty],T_PlannedOrders[Part Name],$A1175,T_PlannedOrders[WeekIndex],11)=0,"",SUMIFS(T_PlannedOrders[EffectiveQty],T_PlannedOrders[Part Name],$A1175,T_PlannedOrders[WeekIndex],11)&amp;" ("&amp;TEXT(SUMPRODUCT(MAX((T_PlannedOrders[Part Name]=$A1175)*(T_PlannedOrders[WeekIndex]=11)*(T_PlannedOrders[EffectiveQty]&gt;0)*T_PlannedOrders[Order_Month])),"m月")&amp;"発注)")</f>
        <v/>
      </c>
      <c r="O1183">
        <f>IF(SUMIFS(T_PlannedOrders[EffectiveQty],T_PlannedOrders[Part Name],$A1175,T_PlannedOrders[WeekIndex],12)=0,"",SUMIFS(T_PlannedOrders[EffectiveQty],T_PlannedOrders[Part Name],$A1175,T_PlannedOrders[WeekIndex],12)&amp;" ("&amp;TEXT(SUMPRODUCT(MAX((T_PlannedOrders[Part Name]=$A1175)*(T_PlannedOrders[WeekIndex]=12)*(T_PlannedOrders[EffectiveQty]&gt;0)*T_PlannedOrders[Order_Month])),"m月")&amp;"発注)")</f>
        <v/>
      </c>
      <c r="P1183">
        <f>IF(SUMIFS(T_PlannedOrders[EffectiveQty],T_PlannedOrders[Part Name],$A1175,T_PlannedOrders[WeekIndex],13)=0,"",SUMIFS(T_PlannedOrders[EffectiveQty],T_PlannedOrders[Part Name],$A1175,T_PlannedOrders[WeekIndex],13)&amp;" ("&amp;TEXT(SUMPRODUCT(MAX((T_PlannedOrders[Part Name]=$A1175)*(T_PlannedOrders[WeekIndex]=13)*(T_PlannedOrders[EffectiveQty]&gt;0)*T_PlannedOrders[Order_Month])),"m月")&amp;"発注)")</f>
        <v/>
      </c>
      <c r="Q1183">
        <f>IF(SUMIFS(T_PlannedOrders[EffectiveQty],T_PlannedOrders[Part Name],$A1175,T_PlannedOrders[WeekIndex],14)=0,"",SUMIFS(T_PlannedOrders[EffectiveQty],T_PlannedOrders[Part Name],$A1175,T_PlannedOrders[WeekIndex],14)&amp;" ("&amp;TEXT(SUMPRODUCT(MAX((T_PlannedOrders[Part Name]=$A1175)*(T_PlannedOrders[WeekIndex]=14)*(T_PlannedOrders[EffectiveQty]&gt;0)*T_PlannedOrders[Order_Month])),"m月")&amp;"発注)")</f>
        <v/>
      </c>
      <c r="R1183">
        <f>IF(SUMIFS(T_PlannedOrders[EffectiveQty],T_PlannedOrders[Part Name],$A1175,T_PlannedOrders[WeekIndex],15)=0,"",SUMIFS(T_PlannedOrders[EffectiveQty],T_PlannedOrders[Part Name],$A1175,T_PlannedOrders[WeekIndex],15)&amp;" ("&amp;TEXT(SUMPRODUCT(MAX((T_PlannedOrders[Part Name]=$A1175)*(T_PlannedOrders[WeekIndex]=15)*(T_PlannedOrders[EffectiveQty]&gt;0)*T_PlannedOrders[Order_Month])),"m月")&amp;"発注)")</f>
        <v/>
      </c>
      <c r="S1183">
        <f>IF(SUMIFS(T_PlannedOrders[EffectiveQty],T_PlannedOrders[Part Name],$A1175,T_PlannedOrders[WeekIndex],16)=0,"",SUMIFS(T_PlannedOrders[EffectiveQty],T_PlannedOrders[Part Name],$A1175,T_PlannedOrders[WeekIndex],16)&amp;" ("&amp;TEXT(SUMPRODUCT(MAX((T_PlannedOrders[Part Name]=$A1175)*(T_PlannedOrders[WeekIndex]=16)*(T_PlannedOrders[EffectiveQty]&gt;0)*T_PlannedOrders[Order_Month])),"m月")&amp;"発注)")</f>
        <v/>
      </c>
      <c r="T1183">
        <f>IF(SUMIFS(T_PlannedOrders[EffectiveQty],T_PlannedOrders[Part Name],$A1175,T_PlannedOrders[WeekIndex],17)=0,"",SUMIFS(T_PlannedOrders[EffectiveQty],T_PlannedOrders[Part Name],$A1175,T_PlannedOrders[WeekIndex],17)&amp;" ("&amp;TEXT(SUMPRODUCT(MAX((T_PlannedOrders[Part Name]=$A1175)*(T_PlannedOrders[WeekIndex]=17)*(T_PlannedOrders[EffectiveQty]&gt;0)*T_PlannedOrders[Order_Month])),"m月")&amp;"発注)")</f>
        <v/>
      </c>
      <c r="U1183">
        <f>IF(SUMIFS(T_PlannedOrders[EffectiveQty],T_PlannedOrders[Part Name],$A1175,T_PlannedOrders[WeekIndex],18)=0,"",SUMIFS(T_PlannedOrders[EffectiveQty],T_PlannedOrders[Part Name],$A1175,T_PlannedOrders[WeekIndex],18)&amp;" ("&amp;TEXT(SUMPRODUCT(MAX((T_PlannedOrders[Part Name]=$A1175)*(T_PlannedOrders[WeekIndex]=18)*(T_PlannedOrders[EffectiveQty]&gt;0)*T_PlannedOrders[Order_Month])),"m月")&amp;"発注)")</f>
        <v/>
      </c>
      <c r="V1183">
        <f>IF(SUMIFS(T_PlannedOrders[EffectiveQty],T_PlannedOrders[Part Name],$A1175,T_PlannedOrders[WeekIndex],19)=0,"",SUMIFS(T_PlannedOrders[EffectiveQty],T_PlannedOrders[Part Name],$A1175,T_PlannedOrders[WeekIndex],19)&amp;" ("&amp;TEXT(SUMPRODUCT(MAX((T_PlannedOrders[Part Name]=$A1175)*(T_PlannedOrders[WeekIndex]=19)*(T_PlannedOrders[EffectiveQty]&gt;0)*T_PlannedOrders[Order_Month])),"m月")&amp;"発注)")</f>
        <v/>
      </c>
      <c r="W1183">
        <f>IF(SUMIFS(T_PlannedOrders[EffectiveQty],T_PlannedOrders[Part Name],$A1175,T_PlannedOrders[WeekIndex],20)=0,"",SUMIFS(T_PlannedOrders[EffectiveQty],T_PlannedOrders[Part Name],$A1175,T_PlannedOrders[WeekIndex],20)&amp;" ("&amp;TEXT(SUMPRODUCT(MAX((T_PlannedOrders[Part Name]=$A1175)*(T_PlannedOrders[WeekIndex]=20)*(T_PlannedOrders[EffectiveQty]&gt;0)*T_PlannedOrders[Order_Month])),"m月")&amp;"発注)")</f>
        <v/>
      </c>
      <c r="X1183">
        <f>IF(SUMIFS(T_PlannedOrders[EffectiveQty],T_PlannedOrders[Part Name],$A1175,T_PlannedOrders[WeekIndex],21)=0,"",SUMIFS(T_PlannedOrders[EffectiveQty],T_PlannedOrders[Part Name],$A1175,T_PlannedOrders[WeekIndex],21)&amp;" ("&amp;TEXT(SUMPRODUCT(MAX((T_PlannedOrders[Part Name]=$A1175)*(T_PlannedOrders[WeekIndex]=21)*(T_PlannedOrders[EffectiveQty]&gt;0)*T_PlannedOrders[Order_Month])),"m月")&amp;"発注)")</f>
        <v/>
      </c>
      <c r="Y1183">
        <f>IF(SUMIFS(T_PlannedOrders[EffectiveQty],T_PlannedOrders[Part Name],$A1175,T_PlannedOrders[WeekIndex],22)=0,"",SUMIFS(T_PlannedOrders[EffectiveQty],T_PlannedOrders[Part Name],$A1175,T_PlannedOrders[WeekIndex],22)&amp;" ("&amp;TEXT(SUMPRODUCT(MAX((T_PlannedOrders[Part Name]=$A1175)*(T_PlannedOrders[WeekIndex]=22)*(T_PlannedOrders[EffectiveQty]&gt;0)*T_PlannedOrders[Order_Month])),"m月")&amp;"発注)")</f>
        <v/>
      </c>
      <c r="Z1183">
        <f>IF(SUMIFS(T_PlannedOrders[EffectiveQty],T_PlannedOrders[Part Name],$A1175,T_PlannedOrders[WeekIndex],23)=0,"",SUMIFS(T_PlannedOrders[EffectiveQty],T_PlannedOrders[Part Name],$A1175,T_PlannedOrders[WeekIndex],23)&amp;" ("&amp;TEXT(SUMPRODUCT(MAX((T_PlannedOrders[Part Name]=$A1175)*(T_PlannedOrders[WeekIndex]=23)*(T_PlannedOrders[EffectiveQty]&gt;0)*T_PlannedOrders[Order_Month])),"m月")&amp;"発注)")</f>
        <v/>
      </c>
      <c r="AA1183">
        <f>IF(SUMIFS(T_PlannedOrders[EffectiveQty],T_PlannedOrders[Part Name],$A1175,T_PlannedOrders[WeekIndex],24)=0,"",SUMIFS(T_PlannedOrders[EffectiveQty],T_PlannedOrders[Part Name],$A1175,T_PlannedOrders[WeekIndex],24)&amp;" ("&amp;TEXT(SUMPRODUCT(MAX((T_PlannedOrders[Part Name]=$A1175)*(T_PlannedOrders[WeekIndex]=24)*(T_PlannedOrders[EffectiveQty]&gt;0)*T_PlannedOrders[Order_Month])),"m月")&amp;"発注)")</f>
        <v/>
      </c>
      <c r="AB1183">
        <f>IF(SUMIFS(T_PlannedOrders[EffectiveQty],T_PlannedOrders[Part Name],$A1175,T_PlannedOrders[WeekIndex],25)=0,"",SUMIFS(T_PlannedOrders[EffectiveQty],T_PlannedOrders[Part Name],$A1175,T_PlannedOrders[WeekIndex],25)&amp;" ("&amp;TEXT(SUMPRODUCT(MAX((T_PlannedOrders[Part Name]=$A1175)*(T_PlannedOrders[WeekIndex]=25)*(T_PlannedOrders[EffectiveQty]&gt;0)*T_PlannedOrders[Order_Month])),"m月")&amp;"発注)")</f>
        <v/>
      </c>
      <c r="AC1183">
        <f>IF(SUMIFS(T_PlannedOrders[EffectiveQty],T_PlannedOrders[Part Name],$A1175,T_PlannedOrders[WeekIndex],26)=0,"",SUMIFS(T_PlannedOrders[EffectiveQty],T_PlannedOrders[Part Name],$A1175,T_PlannedOrders[WeekIndex],26)&amp;" ("&amp;TEXT(SUMPRODUCT(MAX((T_PlannedOrders[Part Name]=$A1175)*(T_PlannedOrders[WeekIndex]=26)*(T_PlannedOrders[EffectiveQty]&gt;0)*T_PlannedOrders[Order_Month])),"m月")&amp;"発注)")</f>
        <v/>
      </c>
      <c r="AD1183">
        <f>IF(SUMIFS(T_PlannedOrders[EffectiveQty],T_PlannedOrders[Part Name],$A1175,T_PlannedOrders[WeekIndex],27)=0,"",SUMIFS(T_PlannedOrders[EffectiveQty],T_PlannedOrders[Part Name],$A1175,T_PlannedOrders[WeekIndex],27)&amp;" ("&amp;TEXT(SUMPRODUCT(MAX((T_PlannedOrders[Part Name]=$A1175)*(T_PlannedOrders[WeekIndex]=27)*(T_PlannedOrders[EffectiveQty]&gt;0)*T_PlannedOrders[Order_Month])),"m月")&amp;"発注)")</f>
        <v/>
      </c>
      <c r="AE1183">
        <f>IF(SUMIFS(T_PlannedOrders[EffectiveQty],T_PlannedOrders[Part Name],$A1175,T_PlannedOrders[WeekIndex],28)=0,"",SUMIFS(T_PlannedOrders[EffectiveQty],T_PlannedOrders[Part Name],$A1175,T_PlannedOrders[WeekIndex],28)&amp;" ("&amp;TEXT(SUMPRODUCT(MAX((T_PlannedOrders[Part Name]=$A1175)*(T_PlannedOrders[WeekIndex]=28)*(T_PlannedOrders[EffectiveQty]&gt;0)*T_PlannedOrders[Order_Month])),"m月")&amp;"発注)")</f>
        <v/>
      </c>
      <c r="AF1183">
        <f>IF(SUMIFS(T_PlannedOrders[EffectiveQty],T_PlannedOrders[Part Name],$A1175,T_PlannedOrders[WeekIndex],29)=0,"",SUMIFS(T_PlannedOrders[EffectiveQty],T_PlannedOrders[Part Name],$A1175,T_PlannedOrders[WeekIndex],29)&amp;" ("&amp;TEXT(SUMPRODUCT(MAX((T_PlannedOrders[Part Name]=$A1175)*(T_PlannedOrders[WeekIndex]=29)*(T_PlannedOrders[EffectiveQty]&gt;0)*T_PlannedOrders[Order_Month])),"m月")&amp;"発注)")</f>
        <v/>
      </c>
      <c r="AG1183">
        <f>IF(SUMIFS(T_PlannedOrders[EffectiveQty],T_PlannedOrders[Part Name],$A1175,T_PlannedOrders[WeekIndex],30)=0,"",SUMIFS(T_PlannedOrders[EffectiveQty],T_PlannedOrders[Part Name],$A1175,T_PlannedOrders[WeekIndex],30)&amp;" ("&amp;TEXT(SUMPRODUCT(MAX((T_PlannedOrders[Part Name]=$A1175)*(T_PlannedOrders[WeekIndex]=30)*(T_PlannedOrders[EffectiveQty]&gt;0)*T_PlannedOrders[Order_Month])),"m月")&amp;"発注)")</f>
        <v/>
      </c>
      <c r="AH1183">
        <f>IF(SUMIFS(T_PlannedOrders[EffectiveQty],T_PlannedOrders[Part Name],$A1175,T_PlannedOrders[WeekIndex],31)=0,"",SUMIFS(T_PlannedOrders[EffectiveQty],T_PlannedOrders[Part Name],$A1175,T_PlannedOrders[WeekIndex],31)&amp;" ("&amp;TEXT(SUMPRODUCT(MAX((T_PlannedOrders[Part Name]=$A1175)*(T_PlannedOrders[WeekIndex]=31)*(T_PlannedOrders[EffectiveQty]&gt;0)*T_PlannedOrders[Order_Month])),"m月")&amp;"発注)")</f>
        <v/>
      </c>
      <c r="AI1183">
        <f>IF(SUMIFS(T_PlannedOrders[EffectiveQty],T_PlannedOrders[Part Name],$A1175,T_PlannedOrders[WeekIndex],32)=0,"",SUMIFS(T_PlannedOrders[EffectiveQty],T_PlannedOrders[Part Name],$A1175,T_PlannedOrders[WeekIndex],32)&amp;" ("&amp;TEXT(SUMPRODUCT(MAX((T_PlannedOrders[Part Name]=$A1175)*(T_PlannedOrders[WeekIndex]=32)*(T_PlannedOrders[EffectiveQty]&gt;0)*T_PlannedOrders[Order_Month])),"m月")&amp;"発注)")</f>
        <v/>
      </c>
      <c r="AJ1183">
        <f>IF(SUMIFS(T_PlannedOrders[EffectiveQty],T_PlannedOrders[Part Name],$A1175,T_PlannedOrders[WeekIndex],33)=0,"",SUMIFS(T_PlannedOrders[EffectiveQty],T_PlannedOrders[Part Name],$A1175,T_PlannedOrders[WeekIndex],33)&amp;" ("&amp;TEXT(SUMPRODUCT(MAX((T_PlannedOrders[Part Name]=$A1175)*(T_PlannedOrders[WeekIndex]=33)*(T_PlannedOrders[EffectiveQty]&gt;0)*T_PlannedOrders[Order_Month])),"m月")&amp;"発注)")</f>
        <v/>
      </c>
      <c r="AK1183">
        <f>IF(SUMIFS(T_PlannedOrders[EffectiveQty],T_PlannedOrders[Part Name],$A1175,T_PlannedOrders[WeekIndex],34)=0,"",SUMIFS(T_PlannedOrders[EffectiveQty],T_PlannedOrders[Part Name],$A1175,T_PlannedOrders[WeekIndex],34)&amp;" ("&amp;TEXT(SUMPRODUCT(MAX((T_PlannedOrders[Part Name]=$A1175)*(T_PlannedOrders[WeekIndex]=34)*(T_PlannedOrders[EffectiveQty]&gt;0)*T_PlannedOrders[Order_Month])),"m月")&amp;"発注)")</f>
        <v/>
      </c>
      <c r="AL1183">
        <f>IF(SUMIFS(T_PlannedOrders[EffectiveQty],T_PlannedOrders[Part Name],$A1175,T_PlannedOrders[WeekIndex],35)=0,"",SUMIFS(T_PlannedOrders[EffectiveQty],T_PlannedOrders[Part Name],$A1175,T_PlannedOrders[WeekIndex],35)&amp;" ("&amp;TEXT(SUMPRODUCT(MAX((T_PlannedOrders[Part Name]=$A1175)*(T_PlannedOrders[WeekIndex]=35)*(T_PlannedOrders[EffectiveQty]&gt;0)*T_PlannedOrders[Order_Month])),"m月")&amp;"発注)")</f>
        <v/>
      </c>
      <c r="AM1183">
        <f>IF(SUMIFS(T_PlannedOrders[EffectiveQty],T_PlannedOrders[Part Name],$A1175,T_PlannedOrders[WeekIndex],36)=0,"",SUMIFS(T_PlannedOrders[EffectiveQty],T_PlannedOrders[Part Name],$A1175,T_PlannedOrders[WeekIndex],36)&amp;" ("&amp;TEXT(SUMPRODUCT(MAX((T_PlannedOrders[Part Name]=$A1175)*(T_PlannedOrders[WeekIndex]=36)*(T_PlannedOrders[EffectiveQty]&gt;0)*T_PlannedOrders[Order_Month])),"m月")&amp;"発注)")</f>
        <v/>
      </c>
      <c r="AN1183">
        <f>IF(SUMIFS(T_PlannedOrders[EffectiveQty],T_PlannedOrders[Part Name],$A1175,T_PlannedOrders[WeekIndex],37)=0,"",SUMIFS(T_PlannedOrders[EffectiveQty],T_PlannedOrders[Part Name],$A1175,T_PlannedOrders[WeekIndex],37)&amp;" ("&amp;TEXT(SUMPRODUCT(MAX((T_PlannedOrders[Part Name]=$A1175)*(T_PlannedOrders[WeekIndex]=37)*(T_PlannedOrders[EffectiveQty]&gt;0)*T_PlannedOrders[Order_Month])),"m月")&amp;"発注)")</f>
        <v/>
      </c>
      <c r="AO1183">
        <f>IF(SUMIFS(T_PlannedOrders[EffectiveQty],T_PlannedOrders[Part Name],$A1175,T_PlannedOrders[WeekIndex],38)=0,"",SUMIFS(T_PlannedOrders[EffectiveQty],T_PlannedOrders[Part Name],$A1175,T_PlannedOrders[WeekIndex],38)&amp;" ("&amp;TEXT(SUMPRODUCT(MAX((T_PlannedOrders[Part Name]=$A1175)*(T_PlannedOrders[WeekIndex]=38)*(T_PlannedOrders[EffectiveQty]&gt;0)*T_PlannedOrders[Order_Month])),"m月")&amp;"発注)")</f>
        <v/>
      </c>
      <c r="AP1183">
        <f>IF(SUMIFS(T_PlannedOrders[EffectiveQty],T_PlannedOrders[Part Name],$A1175,T_PlannedOrders[WeekIndex],39)=0,"",SUMIFS(T_PlannedOrders[EffectiveQty],T_PlannedOrders[Part Name],$A1175,T_PlannedOrders[WeekIndex],39)&amp;" ("&amp;TEXT(SUMPRODUCT(MAX((T_PlannedOrders[Part Name]=$A1175)*(T_PlannedOrders[WeekIndex]=39)*(T_PlannedOrders[EffectiveQty]&gt;0)*T_PlannedOrders[Order_Month])),"m月")&amp;"発注)")</f>
        <v/>
      </c>
      <c r="AQ1183">
        <f>IF(SUMIFS(T_PlannedOrders[EffectiveQty],T_PlannedOrders[Part Name],$A1175,T_PlannedOrders[WeekIndex],40)=0,"",SUMIFS(T_PlannedOrders[EffectiveQty],T_PlannedOrders[Part Name],$A1175,T_PlannedOrders[WeekIndex],40)&amp;" ("&amp;TEXT(SUMPRODUCT(MAX((T_PlannedOrders[Part Name]=$A1175)*(T_PlannedOrders[WeekIndex]=40)*(T_PlannedOrders[EffectiveQty]&gt;0)*T_PlannedOrders[Order_Month])),"m月")&amp;"発注)")</f>
        <v/>
      </c>
      <c r="AR1183">
        <f>IF(SUMIFS(T_PlannedOrders[EffectiveQty],T_PlannedOrders[Part Name],$A1175,T_PlannedOrders[WeekIndex],41)=0,"",SUMIFS(T_PlannedOrders[EffectiveQty],T_PlannedOrders[Part Name],$A1175,T_PlannedOrders[WeekIndex],41)&amp;" ("&amp;TEXT(SUMPRODUCT(MAX((T_PlannedOrders[Part Name]=$A1175)*(T_PlannedOrders[WeekIndex]=41)*(T_PlannedOrders[EffectiveQty]&gt;0)*T_PlannedOrders[Order_Month])),"m月")&amp;"発注)")</f>
        <v/>
      </c>
      <c r="AS1183">
        <f>IF(SUMIFS(T_PlannedOrders[EffectiveQty],T_PlannedOrders[Part Name],$A1175,T_PlannedOrders[WeekIndex],42)=0,"",SUMIFS(T_PlannedOrders[EffectiveQty],T_PlannedOrders[Part Name],$A1175,T_PlannedOrders[WeekIndex],42)&amp;" ("&amp;TEXT(SUMPRODUCT(MAX((T_PlannedOrders[Part Name]=$A1175)*(T_PlannedOrders[WeekIndex]=42)*(T_PlannedOrders[EffectiveQty]&gt;0)*T_PlannedOrders[Order_Month])),"m月")&amp;"発注)")</f>
        <v/>
      </c>
      <c r="AT1183">
        <f>IF(SUMIFS(T_PlannedOrders[EffectiveQty],T_PlannedOrders[Part Name],$A1175,T_PlannedOrders[WeekIndex],43)=0,"",SUMIFS(T_PlannedOrders[EffectiveQty],T_PlannedOrders[Part Name],$A1175,T_PlannedOrders[WeekIndex],43)&amp;" ("&amp;TEXT(SUMPRODUCT(MAX((T_PlannedOrders[Part Name]=$A1175)*(T_PlannedOrders[WeekIndex]=43)*(T_PlannedOrders[EffectiveQty]&gt;0)*T_PlannedOrders[Order_Month])),"m月")&amp;"発注)")</f>
        <v/>
      </c>
      <c r="AU1183">
        <f>IF(SUMIFS(T_PlannedOrders[EffectiveQty],T_PlannedOrders[Part Name],$A1175,T_PlannedOrders[WeekIndex],44)=0,"",SUMIFS(T_PlannedOrders[EffectiveQty],T_PlannedOrders[Part Name],$A1175,T_PlannedOrders[WeekIndex],44)&amp;" ("&amp;TEXT(SUMPRODUCT(MAX((T_PlannedOrders[Part Name]=$A1175)*(T_PlannedOrders[WeekIndex]=44)*(T_PlannedOrders[EffectiveQty]&gt;0)*T_PlannedOrders[Order_Month])),"m月")&amp;"発注)")</f>
        <v/>
      </c>
      <c r="AV1183">
        <f>IF(SUMIFS(T_PlannedOrders[EffectiveQty],T_PlannedOrders[Part Name],$A1175,T_PlannedOrders[WeekIndex],45)=0,"",SUMIFS(T_PlannedOrders[EffectiveQty],T_PlannedOrders[Part Name],$A1175,T_PlannedOrders[WeekIndex],45)&amp;" ("&amp;TEXT(SUMPRODUCT(MAX((T_PlannedOrders[Part Name]=$A1175)*(T_PlannedOrders[WeekIndex]=45)*(T_PlannedOrders[EffectiveQty]&gt;0)*T_PlannedOrders[Order_Month])),"m月")&amp;"発注)")</f>
        <v/>
      </c>
      <c r="AW1183">
        <f>IF(SUMIFS(T_PlannedOrders[EffectiveQty],T_PlannedOrders[Part Name],$A1175,T_PlannedOrders[WeekIndex],46)=0,"",SUMIFS(T_PlannedOrders[EffectiveQty],T_PlannedOrders[Part Name],$A1175,T_PlannedOrders[WeekIndex],46)&amp;" ("&amp;TEXT(SUMPRODUCT(MAX((T_PlannedOrders[Part Name]=$A1175)*(T_PlannedOrders[WeekIndex]=46)*(T_PlannedOrders[EffectiveQty]&gt;0)*T_PlannedOrders[Order_Month])),"m月")&amp;"発注)")</f>
        <v/>
      </c>
      <c r="AX1183">
        <f>IF(SUMIFS(T_PlannedOrders[EffectiveQty],T_PlannedOrders[Part Name],$A1175,T_PlannedOrders[WeekIndex],47)=0,"",SUMIFS(T_PlannedOrders[EffectiveQty],T_PlannedOrders[Part Name],$A1175,T_PlannedOrders[WeekIndex],47)&amp;" ("&amp;TEXT(SUMPRODUCT(MAX((T_PlannedOrders[Part Name]=$A1175)*(T_PlannedOrders[WeekIndex]=47)*(T_PlannedOrders[EffectiveQty]&gt;0)*T_PlannedOrders[Order_Month])),"m月")&amp;"発注)")</f>
        <v/>
      </c>
      <c r="AY1183">
        <f>IF(SUMIFS(T_PlannedOrders[EffectiveQty],T_PlannedOrders[Part Name],$A1175,T_PlannedOrders[WeekIndex],48)=0,"",SUMIFS(T_PlannedOrders[EffectiveQty],T_PlannedOrders[Part Name],$A1175,T_PlannedOrders[WeekIndex],48)&amp;" ("&amp;TEXT(SUMPRODUCT(MAX((T_PlannedOrders[Part Name]=$A1175)*(T_PlannedOrders[WeekIndex]=48)*(T_PlannedOrders[EffectiveQty]&gt;0)*T_PlannedOrders[Order_Month])),"m月")&amp;"発注)")</f>
        <v/>
      </c>
      <c r="AZ1183">
        <f>IF(SUMIFS(T_PlannedOrders[EffectiveQty],T_PlannedOrders[Part Name],$A1175,T_PlannedOrders[WeekIndex],49)=0,"",SUMIFS(T_PlannedOrders[EffectiveQty],T_PlannedOrders[Part Name],$A1175,T_PlannedOrders[WeekIndex],49)&amp;" ("&amp;TEXT(SUMPRODUCT(MAX((T_PlannedOrders[Part Name]=$A1175)*(T_PlannedOrders[WeekIndex]=49)*(T_PlannedOrders[EffectiveQty]&gt;0)*T_PlannedOrders[Order_Month])),"m月")&amp;"発注)")</f>
        <v/>
      </c>
      <c r="BA1183">
        <f>IF(SUMIFS(T_PlannedOrders[EffectiveQty],T_PlannedOrders[Part Name],$A1175,T_PlannedOrders[WeekIndex],50)=0,"",SUMIFS(T_PlannedOrders[EffectiveQty],T_PlannedOrders[Part Name],$A1175,T_PlannedOrders[WeekIndex],50)&amp;" ("&amp;TEXT(SUMPRODUCT(MAX((T_PlannedOrders[Part Name]=$A1175)*(T_PlannedOrders[WeekIndex]=50)*(T_PlannedOrders[EffectiveQty]&gt;0)*T_PlannedOrders[Order_Month])),"m月")&amp;"発注)")</f>
        <v/>
      </c>
      <c r="BB1183">
        <f>IF(SUMIFS(T_PlannedOrders[EffectiveQty],T_PlannedOrders[Part Name],$A1175,T_PlannedOrders[WeekIndex],51)=0,"",SUMIFS(T_PlannedOrders[EffectiveQty],T_PlannedOrders[Part Name],$A1175,T_PlannedOrders[WeekIndex],51)&amp;" ("&amp;TEXT(SUMPRODUCT(MAX((T_PlannedOrders[Part Name]=$A1175)*(T_PlannedOrders[WeekIndex]=51)*(T_PlannedOrders[EffectiveQty]&gt;0)*T_PlannedOrders[Order_Month])),"m月")&amp;"発注)")</f>
        <v/>
      </c>
      <c r="BC1183">
        <f>IF(SUMIFS(T_PlannedOrders[EffectiveQty],T_PlannedOrders[Part Name],$A1175,T_PlannedOrders[WeekIndex],52)=0,"",SUMIFS(T_PlannedOrders[EffectiveQty],T_PlannedOrders[Part Name],$A1175,T_PlannedOrders[WeekIndex],52)&amp;" ("&amp;TEXT(SUMPRODUCT(MAX((T_PlannedOrders[Part Name]=$A1175)*(T_PlannedOrders[WeekIndex]=52)*(T_PlannedOrders[EffectiveQty]&gt;0)*T_PlannedOrders[Order_Month])),"m月")&amp;"発注)")</f>
        <v/>
      </c>
      <c r="BD1183">
        <f>IF(SUMIFS(T_PlannedOrders[EffectiveQty],T_PlannedOrders[Part Name],$A1175,T_PlannedOrders[WeekIndex],53)=0,"",SUMIFS(T_PlannedOrders[EffectiveQty],T_PlannedOrders[Part Name],$A1175,T_PlannedOrders[WeekIndex],53)&amp;" ("&amp;TEXT(SUMPRODUCT(MAX((T_PlannedOrders[Part Name]=$A1175)*(T_PlannedOrders[WeekIndex]=53)*(T_PlannedOrders[EffectiveQty]&gt;0)*T_PlannedOrders[Order_Month])),"m月")&amp;"発注)")</f>
        <v/>
      </c>
      <c r="BE1183">
        <f>IF(SUMIFS(T_PlannedOrders[EffectiveQty],T_PlannedOrders[Part Name],$A1175,T_PlannedOrders[WeekIndex],54)=0,"",SUMIFS(T_PlannedOrders[EffectiveQty],T_PlannedOrders[Part Name],$A1175,T_PlannedOrders[WeekIndex],54)&amp;" ("&amp;TEXT(SUMPRODUCT(MAX((T_PlannedOrders[Part Name]=$A1175)*(T_PlannedOrders[WeekIndex]=54)*(T_PlannedOrders[EffectiveQty]&gt;0)*T_PlannedOrders[Order_Month])),"m月")&amp;"発注)")</f>
        <v/>
      </c>
      <c r="BF1183">
        <f>IF(SUMIFS(T_PlannedOrders[EffectiveQty],T_PlannedOrders[Part Name],$A1175,T_PlannedOrders[WeekIndex],55)=0,"",SUMIFS(T_PlannedOrders[EffectiveQty],T_PlannedOrders[Part Name],$A1175,T_PlannedOrders[WeekIndex],55)&amp;" ("&amp;TEXT(SUMPRODUCT(MAX((T_PlannedOrders[Part Name]=$A1175)*(T_PlannedOrders[WeekIndex]=55)*(T_PlannedOrders[EffectiveQty]&gt;0)*T_PlannedOrders[Order_Month])),"m月")&amp;"発注)")</f>
        <v/>
      </c>
      <c r="BG1183">
        <f>IF(SUMIFS(T_PlannedOrders[EffectiveQty],T_PlannedOrders[Part Name],$A1175,T_PlannedOrders[WeekIndex],56)=0,"",SUMIFS(T_PlannedOrders[EffectiveQty],T_PlannedOrders[Part Name],$A1175,T_PlannedOrders[WeekIndex],56)&amp;" ("&amp;TEXT(SUMPRODUCT(MAX((T_PlannedOrders[Part Name]=$A1175)*(T_PlannedOrders[WeekIndex]=56)*(T_PlannedOrders[EffectiveQty]&gt;0)*T_PlannedOrders[Order_Month])),"m月")&amp;"発注)")</f>
        <v/>
      </c>
      <c r="BH1183">
        <f>IF(SUMIFS(T_PlannedOrders[EffectiveQty],T_PlannedOrders[Part Name],$A1175,T_PlannedOrders[WeekIndex],57)=0,"",SUMIFS(T_PlannedOrders[EffectiveQty],T_PlannedOrders[Part Name],$A1175,T_PlannedOrders[WeekIndex],57)&amp;" ("&amp;TEXT(SUMPRODUCT(MAX((T_PlannedOrders[Part Name]=$A1175)*(T_PlannedOrders[WeekIndex]=57)*(T_PlannedOrders[EffectiveQty]&gt;0)*T_PlannedOrders[Order_Month])),"m月")&amp;"発注)")</f>
        <v/>
      </c>
      <c r="BI1183">
        <f>IF(SUMIFS(T_PlannedOrders[EffectiveQty],T_PlannedOrders[Part Name],$A1175,T_PlannedOrders[WeekIndex],58)=0,"",SUMIFS(T_PlannedOrders[EffectiveQty],T_PlannedOrders[Part Name],$A1175,T_PlannedOrders[WeekIndex],58)&amp;" ("&amp;TEXT(SUMPRODUCT(MAX((T_PlannedOrders[Part Name]=$A1175)*(T_PlannedOrders[WeekIndex]=58)*(T_PlannedOrders[EffectiveQty]&gt;0)*T_PlannedOrders[Order_Month])),"m月")&amp;"発注)")</f>
        <v/>
      </c>
      <c r="BJ1183">
        <f>IF(SUMIFS(T_PlannedOrders[EffectiveQty],T_PlannedOrders[Part Name],$A1175,T_PlannedOrders[WeekIndex],59)=0,"",SUMIFS(T_PlannedOrders[EffectiveQty],T_PlannedOrders[Part Name],$A1175,T_PlannedOrders[WeekIndex],59)&amp;" ("&amp;TEXT(SUMPRODUCT(MAX((T_PlannedOrders[Part Name]=$A1175)*(T_PlannedOrders[WeekIndex]=59)*(T_PlannedOrders[EffectiveQty]&gt;0)*T_PlannedOrders[Order_Month])),"m月")&amp;"発注)")</f>
        <v/>
      </c>
      <c r="BK1183">
        <f>IF(SUMIFS(T_PlannedOrders[EffectiveQty],T_PlannedOrders[Part Name],$A1175,T_PlannedOrders[WeekIndex],60)=0,"",SUMIFS(T_PlannedOrders[EffectiveQty],T_PlannedOrders[Part Name],$A1175,T_PlannedOrders[WeekIndex],60)&amp;" ("&amp;TEXT(SUMPRODUCT(MAX((T_PlannedOrders[Part Name]=$A1175)*(T_PlannedOrders[WeekIndex]=60)*(T_PlannedOrders[EffectiveQty]&gt;0)*T_PlannedOrders[Order_Month])),"m月")&amp;"発注)")</f>
        <v/>
      </c>
      <c r="BL1183">
        <f>IF(SUMIFS(T_PlannedOrders[EffectiveQty],T_PlannedOrders[Part Name],$A1175,T_PlannedOrders[WeekIndex],61)=0,"",SUMIFS(T_PlannedOrders[EffectiveQty],T_PlannedOrders[Part Name],$A1175,T_PlannedOrders[WeekIndex],61)&amp;" ("&amp;TEXT(SUMPRODUCT(MAX((T_PlannedOrders[Part Name]=$A1175)*(T_PlannedOrders[WeekIndex]=61)*(T_PlannedOrders[EffectiveQty]&gt;0)*T_PlannedOrders[Order_Month])),"m月")&amp;"発注)")</f>
        <v/>
      </c>
      <c r="BM1183">
        <f>IF(SUMIFS(T_PlannedOrders[EffectiveQty],T_PlannedOrders[Part Name],$A1175,T_PlannedOrders[WeekIndex],62)=0,"",SUMIFS(T_PlannedOrders[EffectiveQty],T_PlannedOrders[Part Name],$A1175,T_PlannedOrders[WeekIndex],62)&amp;" ("&amp;TEXT(SUMPRODUCT(MAX((T_PlannedOrders[Part Name]=$A1175)*(T_PlannedOrders[WeekIndex]=62)*(T_PlannedOrders[EffectiveQty]&gt;0)*T_PlannedOrders[Order_Month])),"m月")&amp;"発注)")</f>
        <v/>
      </c>
      <c r="BN1183">
        <f>IF(SUMIFS(T_PlannedOrders[EffectiveQty],T_PlannedOrders[Part Name],$A1175,T_PlannedOrders[WeekIndex],63)=0,"",SUMIFS(T_PlannedOrders[EffectiveQty],T_PlannedOrders[Part Name],$A1175,T_PlannedOrders[WeekIndex],63)&amp;" ("&amp;TEXT(SUMPRODUCT(MAX((T_PlannedOrders[Part Name]=$A1175)*(T_PlannedOrders[WeekIndex]=63)*(T_PlannedOrders[EffectiveQty]&gt;0)*T_PlannedOrders[Order_Month])),"m月")&amp;"発注)")</f>
        <v/>
      </c>
      <c r="BO1183">
        <f>IF(SUMIFS(T_PlannedOrders[EffectiveQty],T_PlannedOrders[Part Name],$A1175,T_PlannedOrders[WeekIndex],64)=0,"",SUMIFS(T_PlannedOrders[EffectiveQty],T_PlannedOrders[Part Name],$A1175,T_PlannedOrders[WeekIndex],64)&amp;" ("&amp;TEXT(SUMPRODUCT(MAX((T_PlannedOrders[Part Name]=$A1175)*(T_PlannedOrders[WeekIndex]=64)*(T_PlannedOrders[EffectiveQty]&gt;0)*T_PlannedOrders[Order_Month])),"m月")&amp;"発注)")</f>
        <v/>
      </c>
      <c r="BP1183">
        <f>IF(SUMIFS(T_PlannedOrders[EffectiveQty],T_PlannedOrders[Part Name],$A1175,T_PlannedOrders[WeekIndex],65)=0,"",SUMIFS(T_PlannedOrders[EffectiveQty],T_PlannedOrders[Part Name],$A1175,T_PlannedOrders[WeekIndex],65)&amp;" ("&amp;TEXT(SUMPRODUCT(MAX((T_PlannedOrders[Part Name]=$A1175)*(T_PlannedOrders[WeekIndex]=65)*(T_PlannedOrders[EffectiveQty]&gt;0)*T_PlannedOrders[Order_Month])),"m月")&amp;"発注)")</f>
        <v/>
      </c>
      <c r="BQ1183">
        <f>IF(SUMIFS(T_PlannedOrders[EffectiveQty],T_PlannedOrders[Part Name],$A1175,T_PlannedOrders[WeekIndex],66)=0,"",SUMIFS(T_PlannedOrders[EffectiveQty],T_PlannedOrders[Part Name],$A1175,T_PlannedOrders[WeekIndex],66)&amp;" ("&amp;TEXT(SUMPRODUCT(MAX((T_PlannedOrders[Part Name]=$A1175)*(T_PlannedOrders[WeekIndex]=66)*(T_PlannedOrders[EffectiveQty]&gt;0)*T_PlannedOrders[Order_Month])),"m月")&amp;"発注)")</f>
        <v/>
      </c>
      <c r="BR1183">
        <f>IF(SUMIFS(T_PlannedOrders[EffectiveQty],T_PlannedOrders[Part Name],$A1175,T_PlannedOrders[WeekIndex],67)=0,"",SUMIFS(T_PlannedOrders[EffectiveQty],T_PlannedOrders[Part Name],$A1175,T_PlannedOrders[WeekIndex],67)&amp;" ("&amp;TEXT(SUMPRODUCT(MAX((T_PlannedOrders[Part Name]=$A1175)*(T_PlannedOrders[WeekIndex]=67)*(T_PlannedOrders[EffectiveQty]&gt;0)*T_PlannedOrders[Order_Month])),"m月")&amp;"発注)")</f>
        <v/>
      </c>
      <c r="BS1183">
        <f>IF(SUMIFS(T_PlannedOrders[EffectiveQty],T_PlannedOrders[Part Name],$A1175,T_PlannedOrders[WeekIndex],68)=0,"",SUMIFS(T_PlannedOrders[EffectiveQty],T_PlannedOrders[Part Name],$A1175,T_PlannedOrders[WeekIndex],68)&amp;" ("&amp;TEXT(SUMPRODUCT(MAX((T_PlannedOrders[Part Name]=$A1175)*(T_PlannedOrders[WeekIndex]=68)*(T_PlannedOrders[EffectiveQty]&gt;0)*T_PlannedOrders[Order_Month])),"m月")&amp;"発注)")</f>
        <v/>
      </c>
      <c r="BT1183">
        <f>IF(SUMIFS(T_PlannedOrders[EffectiveQty],T_PlannedOrders[Part Name],$A1175,T_PlannedOrders[WeekIndex],69)=0,"",SUMIFS(T_PlannedOrders[EffectiveQty],T_PlannedOrders[Part Name],$A1175,T_PlannedOrders[WeekIndex],69)&amp;" ("&amp;TEXT(SUMPRODUCT(MAX((T_PlannedOrders[Part Name]=$A1175)*(T_PlannedOrders[WeekIndex]=69)*(T_PlannedOrders[EffectiveQty]&gt;0)*T_PlannedOrders[Order_Month])),"m月")&amp;"発注)")</f>
        <v/>
      </c>
      <c r="BU1183">
        <f>IF(SUMIFS(T_PlannedOrders[EffectiveQty],T_PlannedOrders[Part Name],$A1175,T_PlannedOrders[WeekIndex],70)=0,"",SUMIFS(T_PlannedOrders[EffectiveQty],T_PlannedOrders[Part Name],$A1175,T_PlannedOrders[WeekIndex],70)&amp;" ("&amp;TEXT(SUMPRODUCT(MAX((T_PlannedOrders[Part Name]=$A1175)*(T_PlannedOrders[WeekIndex]=70)*(T_PlannedOrders[EffectiveQty]&gt;0)*T_PlannedOrders[Order_Month])),"m月")&amp;"発注)")</f>
        <v/>
      </c>
      <c r="BV1183">
        <f>IF(SUMIFS(T_PlannedOrders[EffectiveQty],T_PlannedOrders[Part Name],$A1175,T_PlannedOrders[WeekIndex],71)=0,"",SUMIFS(T_PlannedOrders[EffectiveQty],T_PlannedOrders[Part Name],$A1175,T_PlannedOrders[WeekIndex],71)&amp;" ("&amp;TEXT(SUMPRODUCT(MAX((T_PlannedOrders[Part Name]=$A1175)*(T_PlannedOrders[WeekIndex]=71)*(T_PlannedOrders[EffectiveQty]&gt;0)*T_PlannedOrders[Order_Month])),"m月")&amp;"発注)")</f>
        <v/>
      </c>
      <c r="BW1183">
        <f>IF(SUMIFS(T_PlannedOrders[EffectiveQty],T_PlannedOrders[Part Name],$A1175,T_PlannedOrders[WeekIndex],72)=0,"",SUMIFS(T_PlannedOrders[EffectiveQty],T_PlannedOrders[Part Name],$A1175,T_PlannedOrders[WeekIndex],72)&amp;" ("&amp;TEXT(SUMPRODUCT(MAX((T_PlannedOrders[Part Name]=$A1175)*(T_PlannedOrders[WeekIndex]=72)*(T_PlannedOrders[EffectiveQty]&gt;0)*T_PlannedOrders[Order_Month])),"m月")&amp;"発注)")</f>
        <v/>
      </c>
      <c r="BX1183">
        <f>IF(SUMIFS(T_PlannedOrders[EffectiveQty],T_PlannedOrders[Part Name],$A1175,T_PlannedOrders[WeekIndex],73)=0,"",SUMIFS(T_PlannedOrders[EffectiveQty],T_PlannedOrders[Part Name],$A1175,T_PlannedOrders[WeekIndex],73)&amp;" ("&amp;TEXT(SUMPRODUCT(MAX((T_PlannedOrders[Part Name]=$A1175)*(T_PlannedOrders[WeekIndex]=73)*(T_PlannedOrders[EffectiveQty]&gt;0)*T_PlannedOrders[Order_Month])),"m月")&amp;"発注)")</f>
        <v/>
      </c>
      <c r="BY1183">
        <f>IF(SUMIFS(T_PlannedOrders[EffectiveQty],T_PlannedOrders[Part Name],$A1175,T_PlannedOrders[WeekIndex],74)=0,"",SUMIFS(T_PlannedOrders[EffectiveQty],T_PlannedOrders[Part Name],$A1175,T_PlannedOrders[WeekIndex],74)&amp;" ("&amp;TEXT(SUMPRODUCT(MAX((T_PlannedOrders[Part Name]=$A1175)*(T_PlannedOrders[WeekIndex]=74)*(T_PlannedOrders[EffectiveQty]&gt;0)*T_PlannedOrders[Order_Month])),"m月")&amp;"発注)")</f>
        <v/>
      </c>
      <c r="BZ1183">
        <f>IF(SUMIFS(T_PlannedOrders[EffectiveQty],T_PlannedOrders[Part Name],$A1175,T_PlannedOrders[WeekIndex],75)=0,"",SUMIFS(T_PlannedOrders[EffectiveQty],T_PlannedOrders[Part Name],$A1175,T_PlannedOrders[WeekIndex],75)&amp;" ("&amp;TEXT(SUMPRODUCT(MAX((T_PlannedOrders[Part Name]=$A1175)*(T_PlannedOrders[WeekIndex]=75)*(T_PlannedOrders[EffectiveQty]&gt;0)*T_PlannedOrders[Order_Month])),"m月")&amp;"発注)")</f>
        <v/>
      </c>
      <c r="CA1183">
        <f>IF(SUMIFS(T_PlannedOrders[EffectiveQty],T_PlannedOrders[Part Name],$A1175,T_PlannedOrders[WeekIndex],76)=0,"",SUMIFS(T_PlannedOrders[EffectiveQty],T_PlannedOrders[Part Name],$A1175,T_PlannedOrders[WeekIndex],76)&amp;" ("&amp;TEXT(SUMPRODUCT(MAX((T_PlannedOrders[Part Name]=$A1175)*(T_PlannedOrders[WeekIndex]=76)*(T_PlannedOrders[EffectiveQty]&gt;0)*T_PlannedOrders[Order_Month])),"m月")&amp;"発注)")</f>
        <v/>
      </c>
      <c r="CB1183">
        <f>IF(SUMIFS(T_PlannedOrders[EffectiveQty],T_PlannedOrders[Part Name],$A1175,T_PlannedOrders[WeekIndex],77)=0,"",SUMIFS(T_PlannedOrders[EffectiveQty],T_PlannedOrders[Part Name],$A1175,T_PlannedOrders[WeekIndex],77)&amp;" ("&amp;TEXT(SUMPRODUCT(MAX((T_PlannedOrders[Part Name]=$A1175)*(T_PlannedOrders[WeekIndex]=77)*(T_PlannedOrders[EffectiveQty]&gt;0)*T_PlannedOrders[Order_Month])),"m月")&amp;"発注)")</f>
        <v/>
      </c>
      <c r="CC1183">
        <f>IF(SUMIFS(T_PlannedOrders[EffectiveQty],T_PlannedOrders[Part Name],$A1175,T_PlannedOrders[WeekIndex],78)=0,"",SUMIFS(T_PlannedOrders[EffectiveQty],T_PlannedOrders[Part Name],$A1175,T_PlannedOrders[WeekIndex],78)&amp;" ("&amp;TEXT(SUMPRODUCT(MAX((T_PlannedOrders[Part Name]=$A1175)*(T_PlannedOrders[WeekIndex]=78)*(T_PlannedOrders[EffectiveQty]&gt;0)*T_PlannedOrders[Order_Month])),"m月")&amp;"発注)")</f>
        <v/>
      </c>
      <c r="CD1183">
        <f>IF(SUMIFS(T_PlannedOrders[EffectiveQty],T_PlannedOrders[Part Name],$A1175,T_PlannedOrders[WeekIndex],79)=0,"",SUMIFS(T_PlannedOrders[EffectiveQty],T_PlannedOrders[Part Name],$A1175,T_PlannedOrders[WeekIndex],79)&amp;" ("&amp;TEXT(SUMPRODUCT(MAX((T_PlannedOrders[Part Name]=$A1175)*(T_PlannedOrders[WeekIndex]=79)*(T_PlannedOrders[EffectiveQty]&gt;0)*T_PlannedOrders[Order_Month])),"m月")&amp;"発注)")</f>
        <v/>
      </c>
      <c r="CE1183">
        <f>IF(SUMIFS(T_PlannedOrders[EffectiveQty],T_PlannedOrders[Part Name],$A1175,T_PlannedOrders[WeekIndex],80)=0,"",SUMIFS(T_PlannedOrders[EffectiveQty],T_PlannedOrders[Part Name],$A1175,T_PlannedOrders[WeekIndex],80)&amp;" ("&amp;TEXT(SUMPRODUCT(MAX((T_PlannedOrders[Part Name]=$A1175)*(T_PlannedOrders[WeekIndex]=80)*(T_PlannedOrders[EffectiveQty]&gt;0)*T_PlannedOrders[Order_Month])),"m月")&amp;"発注)")</f>
        <v/>
      </c>
      <c r="CF1183">
        <f>IF(SUMIFS(T_PlannedOrders[EffectiveQty],T_PlannedOrders[Part Name],$A1175,T_PlannedOrders[WeekIndex],81)=0,"",SUMIFS(T_PlannedOrders[EffectiveQty],T_PlannedOrders[Part Name],$A1175,T_PlannedOrders[WeekIndex],81)&amp;" ("&amp;TEXT(SUMPRODUCT(MAX((T_PlannedOrders[Part Name]=$A1175)*(T_PlannedOrders[WeekIndex]=81)*(T_PlannedOrders[EffectiveQty]&gt;0)*T_PlannedOrders[Order_Month])),"m月")&amp;"発注)")</f>
        <v/>
      </c>
      <c r="CG1183">
        <f>IF(SUMIFS(T_PlannedOrders[EffectiveQty],T_PlannedOrders[Part Name],$A1175,T_PlannedOrders[WeekIndex],82)=0,"",SUMIFS(T_PlannedOrders[EffectiveQty],T_PlannedOrders[Part Name],$A1175,T_PlannedOrders[WeekIndex],82)&amp;" ("&amp;TEXT(SUMPRODUCT(MAX((T_PlannedOrders[Part Name]=$A1175)*(T_PlannedOrders[WeekIndex]=82)*(T_PlannedOrders[EffectiveQty]&gt;0)*T_PlannedOrders[Order_Month])),"m月")&amp;"発注)")</f>
        <v/>
      </c>
      <c r="CH1183">
        <f>IF(SUMIFS(T_PlannedOrders[EffectiveQty],T_PlannedOrders[Part Name],$A1175,T_PlannedOrders[WeekIndex],83)=0,"",SUMIFS(T_PlannedOrders[EffectiveQty],T_PlannedOrders[Part Name],$A1175,T_PlannedOrders[WeekIndex],83)&amp;" ("&amp;TEXT(SUMPRODUCT(MAX((T_PlannedOrders[Part Name]=$A1175)*(T_PlannedOrders[WeekIndex]=83)*(T_PlannedOrders[EffectiveQty]&gt;0)*T_PlannedOrders[Order_Month])),"m月")&amp;"発注)")</f>
        <v/>
      </c>
      <c r="CI1183">
        <f>IF(SUMIFS(T_PlannedOrders[EffectiveQty],T_PlannedOrders[Part Name],$A1175,T_PlannedOrders[WeekIndex],84)=0,"",SUMIFS(T_PlannedOrders[EffectiveQty],T_PlannedOrders[Part Name],$A1175,T_PlannedOrders[WeekIndex],84)&amp;" ("&amp;TEXT(SUMPRODUCT(MAX((T_PlannedOrders[Part Name]=$A1175)*(T_PlannedOrders[WeekIndex]=84)*(T_PlannedOrders[EffectiveQty]&gt;0)*T_PlannedOrders[Order_Month])),"m月")&amp;"発注)")</f>
        <v/>
      </c>
      <c r="CJ1183">
        <f>IF(SUMIFS(T_PlannedOrders[EffectiveQty],T_PlannedOrders[Part Name],$A1175,T_PlannedOrders[WeekIndex],85)=0,"",SUMIFS(T_PlannedOrders[EffectiveQty],T_PlannedOrders[Part Name],$A1175,T_PlannedOrders[WeekIndex],85)&amp;" ("&amp;TEXT(SUMPRODUCT(MAX((T_PlannedOrders[Part Name]=$A1175)*(T_PlannedOrders[WeekIndex]=85)*(T_PlannedOrders[EffectiveQty]&gt;0)*T_PlannedOrders[Order_Month])),"m月")&amp;"発注)")</f>
        <v/>
      </c>
      <c r="CK1183">
        <f>IF(SUMIFS(T_PlannedOrders[EffectiveQty],T_PlannedOrders[Part Name],$A1175,T_PlannedOrders[WeekIndex],86)=0,"",SUMIFS(T_PlannedOrders[EffectiveQty],T_PlannedOrders[Part Name],$A1175,T_PlannedOrders[WeekIndex],86)&amp;" ("&amp;TEXT(SUMPRODUCT(MAX((T_PlannedOrders[Part Name]=$A1175)*(T_PlannedOrders[WeekIndex]=86)*(T_PlannedOrders[EffectiveQty]&gt;0)*T_PlannedOrders[Order_Month])),"m月")&amp;"発注)")</f>
        <v/>
      </c>
      <c r="CL1183">
        <f>IF(SUMIFS(T_PlannedOrders[EffectiveQty],T_PlannedOrders[Part Name],$A1175,T_PlannedOrders[WeekIndex],87)=0,"",SUMIFS(T_PlannedOrders[EffectiveQty],T_PlannedOrders[Part Name],$A1175,T_PlannedOrders[WeekIndex],87)&amp;" ("&amp;TEXT(SUMPRODUCT(MAX((T_PlannedOrders[Part Name]=$A1175)*(T_PlannedOrders[WeekIndex]=87)*(T_PlannedOrders[EffectiveQty]&gt;0)*T_PlannedOrders[Order_Month])),"m月")&amp;"発注)")</f>
        <v/>
      </c>
      <c r="CM1183">
        <f>IF(SUMIFS(T_PlannedOrders[EffectiveQty],T_PlannedOrders[Part Name],$A1175,T_PlannedOrders[WeekIndex],88)=0,"",SUMIFS(T_PlannedOrders[EffectiveQty],T_PlannedOrders[Part Name],$A1175,T_PlannedOrders[WeekIndex],88)&amp;" ("&amp;TEXT(SUMPRODUCT(MAX((T_PlannedOrders[Part Name]=$A1175)*(T_PlannedOrders[WeekIndex]=88)*(T_PlannedOrders[EffectiveQty]&gt;0)*T_PlannedOrders[Order_Month])),"m月")&amp;"発注)")</f>
        <v/>
      </c>
      <c r="CN1183">
        <f>IF(SUMIFS(T_PlannedOrders[EffectiveQty],T_PlannedOrders[Part Name],$A1175,T_PlannedOrders[WeekIndex],89)=0,"",SUMIFS(T_PlannedOrders[EffectiveQty],T_PlannedOrders[Part Name],$A1175,T_PlannedOrders[WeekIndex],89)&amp;" ("&amp;TEXT(SUMPRODUCT(MAX((T_PlannedOrders[Part Name]=$A1175)*(T_PlannedOrders[WeekIndex]=89)*(T_PlannedOrders[EffectiveQty]&gt;0)*T_PlannedOrders[Order_Month])),"m月")&amp;"発注)")</f>
        <v/>
      </c>
      <c r="CO1183">
        <f>IF(SUMIFS(T_PlannedOrders[EffectiveQty],T_PlannedOrders[Part Name],$A1175,T_PlannedOrders[WeekIndex],90)=0,"",SUMIFS(T_PlannedOrders[EffectiveQty],T_PlannedOrders[Part Name],$A1175,T_PlannedOrders[WeekIndex],90)&amp;" ("&amp;TEXT(SUMPRODUCT(MAX((T_PlannedOrders[Part Name]=$A1175)*(T_PlannedOrders[WeekIndex]=90)*(T_PlannedOrders[EffectiveQty]&gt;0)*T_PlannedOrders[Order_Month])),"m月")&amp;"発注)")</f>
        <v/>
      </c>
      <c r="CP1183">
        <f>IF(SUMIFS(T_PlannedOrders[EffectiveQty],T_PlannedOrders[Part Name],$A1175,T_PlannedOrders[WeekIndex],91)=0,"",SUMIFS(T_PlannedOrders[EffectiveQty],T_PlannedOrders[Part Name],$A1175,T_PlannedOrders[WeekIndex],91)&amp;" ("&amp;TEXT(SUMPRODUCT(MAX((T_PlannedOrders[Part Name]=$A1175)*(T_PlannedOrders[WeekIndex]=91)*(T_PlannedOrders[EffectiveQty]&gt;0)*T_PlannedOrders[Order_Month])),"m月")&amp;"発注)")</f>
        <v/>
      </c>
      <c r="CQ1183">
        <f>IF(SUMIFS(T_PlannedOrders[EffectiveQty],T_PlannedOrders[Part Name],$A1175,T_PlannedOrders[WeekIndex],92)=0,"",SUMIFS(T_PlannedOrders[EffectiveQty],T_PlannedOrders[Part Name],$A1175,T_PlannedOrders[WeekIndex],92)&amp;" ("&amp;TEXT(SUMPRODUCT(MAX((T_PlannedOrders[Part Name]=$A1175)*(T_PlannedOrders[WeekIndex]=92)*(T_PlannedOrders[EffectiveQty]&gt;0)*T_PlannedOrders[Order_Month])),"m月")&amp;"発注)")</f>
        <v/>
      </c>
      <c r="CR1183">
        <f>IF(SUMIFS(T_PlannedOrders[EffectiveQty],T_PlannedOrders[Part Name],$A1175,T_PlannedOrders[WeekIndex],93)=0,"",SUMIFS(T_PlannedOrders[EffectiveQty],T_PlannedOrders[Part Name],$A1175,T_PlannedOrders[WeekIndex],93)&amp;" ("&amp;TEXT(SUMPRODUCT(MAX((T_PlannedOrders[Part Name]=$A1175)*(T_PlannedOrders[WeekIndex]=93)*(T_PlannedOrders[EffectiveQty]&gt;0)*T_PlannedOrders[Order_Month])),"m月")&amp;"発注)")</f>
        <v/>
      </c>
      <c r="CS1183">
        <f>IF(SUMIFS(T_PlannedOrders[EffectiveQty],T_PlannedOrders[Part Name],$A1175,T_PlannedOrders[WeekIndex],94)=0,"",SUMIFS(T_PlannedOrders[EffectiveQty],T_PlannedOrders[Part Name],$A1175,T_PlannedOrders[WeekIndex],94)&amp;" ("&amp;TEXT(SUMPRODUCT(MAX((T_PlannedOrders[Part Name]=$A1175)*(T_PlannedOrders[WeekIndex]=94)*(T_PlannedOrders[EffectiveQty]&gt;0)*T_PlannedOrders[Order_Month])),"m月")&amp;"発注)")</f>
        <v/>
      </c>
      <c r="CT1183">
        <f>IF(SUMIFS(T_PlannedOrders[EffectiveQty],T_PlannedOrders[Part Name],$A1175,T_PlannedOrders[WeekIndex],95)=0,"",SUMIFS(T_PlannedOrders[EffectiveQty],T_PlannedOrders[Part Name],$A1175,T_PlannedOrders[WeekIndex],95)&amp;" ("&amp;TEXT(SUMPRODUCT(MAX((T_PlannedOrders[Part Name]=$A1175)*(T_PlannedOrders[WeekIndex]=95)*(T_PlannedOrders[EffectiveQty]&gt;0)*T_PlannedOrders[Order_Month])),"m月")&amp;"発注)")</f>
        <v/>
      </c>
      <c r="CU1183">
        <f>IF(SUMIFS(T_PlannedOrders[EffectiveQty],T_PlannedOrders[Part Name],$A1175,T_PlannedOrders[WeekIndex],96)=0,"",SUMIFS(T_PlannedOrders[EffectiveQty],T_PlannedOrders[Part Name],$A1175,T_PlannedOrders[WeekIndex],96)&amp;" ("&amp;TEXT(SUMPRODUCT(MAX((T_PlannedOrders[Part Name]=$A1175)*(T_PlannedOrders[WeekIndex]=96)*(T_PlannedOrders[EffectiveQty]&gt;0)*T_PlannedOrders[Order_Month])),"m月")&amp;"発注)")</f>
        <v/>
      </c>
      <c r="CV1183">
        <f>IF(SUMIFS(T_PlannedOrders[EffectiveQty],T_PlannedOrders[Part Name],$A1175,T_PlannedOrders[WeekIndex],97)=0,"",SUMIFS(T_PlannedOrders[EffectiveQty],T_PlannedOrders[Part Name],$A1175,T_PlannedOrders[WeekIndex],97)&amp;" ("&amp;TEXT(SUMPRODUCT(MAX((T_PlannedOrders[Part Name]=$A1175)*(T_PlannedOrders[WeekIndex]=97)*(T_PlannedOrders[EffectiveQty]&gt;0)*T_PlannedOrders[Order_Month])),"m月")&amp;"発注)")</f>
        <v/>
      </c>
      <c r="CW1183">
        <f>IF(SUMIFS(T_PlannedOrders[EffectiveQty],T_PlannedOrders[Part Name],$A1175,T_PlannedOrders[WeekIndex],98)=0,"",SUMIFS(T_PlannedOrders[EffectiveQty],T_PlannedOrders[Part Name],$A1175,T_PlannedOrders[WeekIndex],98)&amp;" ("&amp;TEXT(SUMPRODUCT(MAX((T_PlannedOrders[Part Name]=$A1175)*(T_PlannedOrders[WeekIndex]=98)*(T_PlannedOrders[EffectiveQty]&gt;0)*T_PlannedOrders[Order_Month])),"m月")&amp;"発注)")</f>
        <v/>
      </c>
      <c r="CX1183">
        <f>IF(SUMIFS(T_PlannedOrders[EffectiveQty],T_PlannedOrders[Part Name],$A1175,T_PlannedOrders[WeekIndex],99)=0,"",SUMIFS(T_PlannedOrders[EffectiveQty],T_PlannedOrders[Part Name],$A1175,T_PlannedOrders[WeekIndex],99)&amp;" ("&amp;TEXT(SUMPRODUCT(MAX((T_PlannedOrders[Part Name]=$A1175)*(T_PlannedOrders[WeekIndex]=99)*(T_PlannedOrders[EffectiveQty]&gt;0)*T_PlannedOrders[Order_Month])),"m月")&amp;"発注)")</f>
        <v/>
      </c>
      <c r="CY1183">
        <f>IF(SUMIFS(T_PlannedOrders[EffectiveQty],T_PlannedOrders[Part Name],$A1175,T_PlannedOrders[WeekIndex],100)=0,"",SUMIFS(T_PlannedOrders[EffectiveQty],T_PlannedOrders[Part Name],$A1175,T_PlannedOrders[WeekIndex],100)&amp;" ("&amp;TEXT(SUMPRODUCT(MAX((T_PlannedOrders[Part Name]=$A1175)*(T_PlannedOrders[WeekIndex]=100)*(T_PlannedOrders[EffectiveQty]&gt;0)*T_PlannedOrders[Order_Month])),"m月")&amp;"発注)")</f>
        <v/>
      </c>
      <c r="CZ1183">
        <f>IF(SUMIFS(T_PlannedOrders[EffectiveQty],T_PlannedOrders[Part Name],$A1175,T_PlannedOrders[WeekIndex],101)=0,"",SUMIFS(T_PlannedOrders[EffectiveQty],T_PlannedOrders[Part Name],$A1175,T_PlannedOrders[WeekIndex],101)&amp;" ("&amp;TEXT(SUMPRODUCT(MAX((T_PlannedOrders[Part Name]=$A1175)*(T_PlannedOrders[WeekIndex]=101)*(T_PlannedOrders[EffectiveQty]&gt;0)*T_PlannedOrders[Order_Month])),"m月")&amp;"発注)")</f>
        <v/>
      </c>
      <c r="DA1183">
        <f>IF(SUMIFS(T_PlannedOrders[EffectiveQty],T_PlannedOrders[Part Name],$A1175,T_PlannedOrders[WeekIndex],102)=0,"",SUMIFS(T_PlannedOrders[EffectiveQty],T_PlannedOrders[Part Name],$A1175,T_PlannedOrders[WeekIndex],102)&amp;" ("&amp;TEXT(SUMPRODUCT(MAX((T_PlannedOrders[Part Name]=$A1175)*(T_PlannedOrders[WeekIndex]=102)*(T_PlannedOrders[EffectiveQty]&gt;0)*T_PlannedOrders[Order_Month])),"m月")&amp;"発注)")</f>
        <v/>
      </c>
      <c r="DB1183">
        <f>IF(SUMIFS(T_PlannedOrders[EffectiveQty],T_PlannedOrders[Part Name],$A1175,T_PlannedOrders[WeekIndex],103)=0,"",SUMIFS(T_PlannedOrders[EffectiveQty],T_PlannedOrders[Part Name],$A1175,T_PlannedOrders[WeekIndex],103)&amp;" ("&amp;TEXT(SUMPRODUCT(MAX((T_PlannedOrders[Part Name]=$A1175)*(T_PlannedOrders[WeekIndex]=103)*(T_PlannedOrders[EffectiveQty]&gt;0)*T_PlannedOrders[Order_Month])),"m月")&amp;"発注)")</f>
        <v/>
      </c>
      <c r="DC1183">
        <f>IF(SUMIFS(T_PlannedOrders[EffectiveQty],T_PlannedOrders[Part Name],$A1175,T_PlannedOrders[WeekIndex],104)=0,"",SUMIFS(T_PlannedOrders[EffectiveQty],T_PlannedOrders[Part Name],$A1175,T_PlannedOrders[WeekIndex],104)&amp;" ("&amp;TEXT(SUMPRODUCT(MAX((T_PlannedOrders[Part Name]=$A1175)*(T_PlannedOrders[WeekIndex]=104)*(T_PlannedOrders[EffectiveQty]&gt;0)*T_PlannedOrders[Order_Month])),"m月")&amp;"発注)")</f>
        <v/>
      </c>
    </row>
    <row r="1184">
      <c r="B1184" s="4" t="inlineStr">
        <is>
          <t>合計在庫(週末時点,kg)</t>
        </is>
      </c>
      <c r="D1184">
        <f>'Grid_Stock'!B29</f>
        <v/>
      </c>
      <c r="E1184">
        <f>'Grid_Stock'!C29</f>
        <v/>
      </c>
      <c r="F1184">
        <f>'Grid_Stock'!D29</f>
        <v/>
      </c>
      <c r="G1184">
        <f>'Grid_Stock'!E29</f>
        <v/>
      </c>
      <c r="H1184">
        <f>'Grid_Stock'!F29</f>
        <v/>
      </c>
      <c r="I1184">
        <f>'Grid_Stock'!G29</f>
        <v/>
      </c>
      <c r="J1184">
        <f>'Grid_Stock'!H29</f>
        <v/>
      </c>
      <c r="K1184">
        <f>'Grid_Stock'!I29</f>
        <v/>
      </c>
      <c r="L1184">
        <f>'Grid_Stock'!J29</f>
        <v/>
      </c>
      <c r="M1184">
        <f>'Grid_Stock'!K29</f>
        <v/>
      </c>
      <c r="N1184">
        <f>'Grid_Stock'!L29</f>
        <v/>
      </c>
      <c r="O1184">
        <f>'Grid_Stock'!M29</f>
        <v/>
      </c>
      <c r="P1184">
        <f>'Grid_Stock'!N29</f>
        <v/>
      </c>
      <c r="Q1184">
        <f>'Grid_Stock'!O29</f>
        <v/>
      </c>
      <c r="R1184">
        <f>'Grid_Stock'!P29</f>
        <v/>
      </c>
      <c r="S1184">
        <f>'Grid_Stock'!Q29</f>
        <v/>
      </c>
      <c r="T1184">
        <f>'Grid_Stock'!R29</f>
        <v/>
      </c>
      <c r="U1184">
        <f>'Grid_Stock'!S29</f>
        <v/>
      </c>
      <c r="V1184">
        <f>'Grid_Stock'!T29</f>
        <v/>
      </c>
      <c r="W1184">
        <f>'Grid_Stock'!U29</f>
        <v/>
      </c>
      <c r="X1184">
        <f>'Grid_Stock'!V29</f>
        <v/>
      </c>
      <c r="Y1184">
        <f>'Grid_Stock'!W29</f>
        <v/>
      </c>
      <c r="Z1184">
        <f>'Grid_Stock'!X29</f>
        <v/>
      </c>
      <c r="AA1184">
        <f>'Grid_Stock'!Y29</f>
        <v/>
      </c>
      <c r="AB1184">
        <f>'Grid_Stock'!Z29</f>
        <v/>
      </c>
      <c r="AC1184">
        <f>'Grid_Stock'!AA29</f>
        <v/>
      </c>
      <c r="AD1184">
        <f>'Grid_Stock'!AB29</f>
        <v/>
      </c>
      <c r="AE1184">
        <f>'Grid_Stock'!AC29</f>
        <v/>
      </c>
      <c r="AF1184">
        <f>'Grid_Stock'!AD29</f>
        <v/>
      </c>
      <c r="AG1184">
        <f>'Grid_Stock'!AE29</f>
        <v/>
      </c>
      <c r="AH1184">
        <f>'Grid_Stock'!AF29</f>
        <v/>
      </c>
      <c r="AI1184">
        <f>'Grid_Stock'!AG29</f>
        <v/>
      </c>
      <c r="AJ1184">
        <f>'Grid_Stock'!AH29</f>
        <v/>
      </c>
      <c r="AK1184">
        <f>'Grid_Stock'!AI29</f>
        <v/>
      </c>
      <c r="AL1184">
        <f>'Grid_Stock'!AJ29</f>
        <v/>
      </c>
      <c r="AM1184">
        <f>'Grid_Stock'!AK29</f>
        <v/>
      </c>
      <c r="AN1184">
        <f>'Grid_Stock'!AL29</f>
        <v/>
      </c>
      <c r="AO1184">
        <f>'Grid_Stock'!AM29</f>
        <v/>
      </c>
      <c r="AP1184">
        <f>'Grid_Stock'!AN29</f>
        <v/>
      </c>
      <c r="AQ1184">
        <f>'Grid_Stock'!AO29</f>
        <v/>
      </c>
      <c r="AR1184">
        <f>'Grid_Stock'!AP29</f>
        <v/>
      </c>
      <c r="AS1184">
        <f>'Grid_Stock'!AQ29</f>
        <v/>
      </c>
      <c r="AT1184">
        <f>'Grid_Stock'!AR29</f>
        <v/>
      </c>
      <c r="AU1184">
        <f>'Grid_Stock'!AS29</f>
        <v/>
      </c>
      <c r="AV1184">
        <f>'Grid_Stock'!AT29</f>
        <v/>
      </c>
      <c r="AW1184">
        <f>'Grid_Stock'!AU29</f>
        <v/>
      </c>
      <c r="AX1184">
        <f>'Grid_Stock'!AV29</f>
        <v/>
      </c>
      <c r="AY1184">
        <f>'Grid_Stock'!AW29</f>
        <v/>
      </c>
      <c r="AZ1184">
        <f>'Grid_Stock'!AX29</f>
        <v/>
      </c>
      <c r="BA1184">
        <f>'Grid_Stock'!AY29</f>
        <v/>
      </c>
      <c r="BB1184">
        <f>'Grid_Stock'!AZ29</f>
        <v/>
      </c>
      <c r="BC1184">
        <f>'Grid_Stock'!BA29</f>
        <v/>
      </c>
      <c r="BD1184">
        <f>'Grid_Stock'!BB29</f>
        <v/>
      </c>
      <c r="BE1184">
        <f>'Grid_Stock'!BC29</f>
        <v/>
      </c>
      <c r="BF1184">
        <f>'Grid_Stock'!BD29</f>
        <v/>
      </c>
      <c r="BG1184">
        <f>'Grid_Stock'!BE29</f>
        <v/>
      </c>
      <c r="BH1184">
        <f>'Grid_Stock'!BF29</f>
        <v/>
      </c>
      <c r="BI1184">
        <f>'Grid_Stock'!BG29</f>
        <v/>
      </c>
      <c r="BJ1184">
        <f>'Grid_Stock'!BH29</f>
        <v/>
      </c>
      <c r="BK1184">
        <f>'Grid_Stock'!BI29</f>
        <v/>
      </c>
      <c r="BL1184">
        <f>'Grid_Stock'!BJ29</f>
        <v/>
      </c>
      <c r="BM1184">
        <f>'Grid_Stock'!BK29</f>
        <v/>
      </c>
      <c r="BN1184">
        <f>'Grid_Stock'!BL29</f>
        <v/>
      </c>
      <c r="BO1184">
        <f>'Grid_Stock'!BM29</f>
        <v/>
      </c>
      <c r="BP1184">
        <f>'Grid_Stock'!BN29</f>
        <v/>
      </c>
      <c r="BQ1184">
        <f>'Grid_Stock'!BO29</f>
        <v/>
      </c>
      <c r="BR1184">
        <f>'Grid_Stock'!BP29</f>
        <v/>
      </c>
      <c r="BS1184">
        <f>'Grid_Stock'!BQ29</f>
        <v/>
      </c>
      <c r="BT1184">
        <f>'Grid_Stock'!BR29</f>
        <v/>
      </c>
      <c r="BU1184">
        <f>'Grid_Stock'!BS29</f>
        <v/>
      </c>
      <c r="BV1184">
        <f>'Grid_Stock'!BT29</f>
        <v/>
      </c>
      <c r="BW1184">
        <f>'Grid_Stock'!BU29</f>
        <v/>
      </c>
      <c r="BX1184">
        <f>'Grid_Stock'!BV29</f>
        <v/>
      </c>
      <c r="BY1184">
        <f>'Grid_Stock'!BW29</f>
        <v/>
      </c>
      <c r="BZ1184">
        <f>'Grid_Stock'!BX29</f>
        <v/>
      </c>
      <c r="CA1184">
        <f>'Grid_Stock'!BY29</f>
        <v/>
      </c>
      <c r="CB1184">
        <f>'Grid_Stock'!BZ29</f>
        <v/>
      </c>
      <c r="CC1184">
        <f>'Grid_Stock'!CA29</f>
        <v/>
      </c>
      <c r="CD1184">
        <f>'Grid_Stock'!CB29</f>
        <v/>
      </c>
      <c r="CE1184">
        <f>'Grid_Stock'!CC29</f>
        <v/>
      </c>
      <c r="CF1184">
        <f>'Grid_Stock'!CD29</f>
        <v/>
      </c>
      <c r="CG1184">
        <f>'Grid_Stock'!CE29</f>
        <v/>
      </c>
      <c r="CH1184">
        <f>'Grid_Stock'!CF29</f>
        <v/>
      </c>
      <c r="CI1184">
        <f>'Grid_Stock'!CG29</f>
        <v/>
      </c>
      <c r="CJ1184">
        <f>'Grid_Stock'!CH29</f>
        <v/>
      </c>
      <c r="CK1184">
        <f>'Grid_Stock'!CI29</f>
        <v/>
      </c>
      <c r="CL1184">
        <f>'Grid_Stock'!CJ29</f>
        <v/>
      </c>
      <c r="CM1184">
        <f>'Grid_Stock'!CK29</f>
        <v/>
      </c>
      <c r="CN1184">
        <f>'Grid_Stock'!CL29</f>
        <v/>
      </c>
      <c r="CO1184">
        <f>'Grid_Stock'!CM29</f>
        <v/>
      </c>
      <c r="CP1184">
        <f>'Grid_Stock'!CN29</f>
        <v/>
      </c>
      <c r="CQ1184">
        <f>'Grid_Stock'!CO29</f>
        <v/>
      </c>
      <c r="CR1184">
        <f>'Grid_Stock'!CP29</f>
        <v/>
      </c>
      <c r="CS1184">
        <f>'Grid_Stock'!CQ29</f>
        <v/>
      </c>
      <c r="CT1184">
        <f>'Grid_Stock'!CR29</f>
        <v/>
      </c>
      <c r="CU1184">
        <f>'Grid_Stock'!CS29</f>
        <v/>
      </c>
      <c r="CV1184">
        <f>'Grid_Stock'!CT29</f>
        <v/>
      </c>
      <c r="CW1184">
        <f>'Grid_Stock'!CU29</f>
        <v/>
      </c>
      <c r="CX1184">
        <f>'Grid_Stock'!CV29</f>
        <v/>
      </c>
      <c r="CY1184">
        <f>'Grid_Stock'!CW29</f>
        <v/>
      </c>
      <c r="CZ1184">
        <f>'Grid_Stock'!CX29</f>
        <v/>
      </c>
      <c r="DA1184">
        <f>'Grid_Stock'!CY29</f>
        <v/>
      </c>
      <c r="DB1184">
        <f>'Grid_Stock'!CZ29</f>
        <v/>
      </c>
      <c r="DC1184">
        <f>'Grid_Stock'!DA29</f>
        <v/>
      </c>
    </row>
    <row r="1185">
      <c r="B1185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46230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  <c r="I1" s="20" t="inlineStr">
        <is>
          <t>Order_Month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  <c r="I2" s="22" t="n"/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  <c r="I3" s="22" t="n"/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  <c r="I4" s="22" t="n"/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  <c r="I5" s="22" t="n"/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  <c r="I6" s="22" t="n"/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  <c r="I7" s="22" t="n"/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  <c r="I8" s="22" t="n"/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  <c r="I9" s="22" t="n"/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  <c r="I10" s="22" t="n"/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  <c r="I11" s="22" t="n"/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  <c r="I12" s="22" t="n"/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  <c r="I13" s="22" t="n"/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  <c r="I14" s="22" t="n"/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  <c r="I15" s="22" t="n"/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  <c r="I16" s="22" t="n"/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  <c r="I17" s="22" t="n"/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  <c r="I18" s="22" t="n"/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  <c r="I19" s="22" t="n"/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  <c r="I20" s="22" t="n"/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  <c r="I21" s="22" t="n"/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  <c r="I22" s="22" t="n"/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  <c r="I23" s="22" t="n"/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  <c r="I24" s="22" t="n"/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  <c r="I25" s="22" t="n"/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  <c r="I26" s="22" t="n"/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  <c r="I27" s="22" t="n"/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  <c r="I28" s="22" t="n"/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  <c r="I29" s="22" t="n"/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  <c r="I30" s="22" t="n"/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  <c r="I31" s="22" t="n"/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  <c r="I32" s="22" t="n"/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  <c r="I33" s="22" t="n"/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  <c r="I34" s="22" t="n"/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  <c r="I35" s="22" t="n"/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  <c r="I36" s="22" t="n"/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  <c r="I37" s="22" t="n"/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  <c r="I38" s="22" t="n"/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  <c r="I39" s="22" t="n"/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  <c r="I40" s="22" t="n"/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  <c r="I41" s="22" t="n"/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  <c r="I42" s="22" t="n"/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  <c r="I43" s="22" t="n"/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  <c r="I44" s="22" t="n"/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  <c r="I45" s="22" t="n"/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  <c r="I46" s="22" t="n"/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  <c r="I47" s="22" t="n"/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  <c r="I48" s="22" t="n"/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  <c r="I49" s="22" t="n"/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  <c r="I50" s="22" t="n"/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  <c r="I51" s="22" t="n"/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  <c r="I52" s="22" t="n"/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  <c r="I53" s="22" t="n"/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  <c r="I54" s="22" t="n"/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  <c r="I55" s="22" t="n"/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  <c r="I56" s="22" t="n"/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  <c r="I57" s="22" t="n"/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  <c r="I58" s="22" t="n"/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  <c r="I59" s="22" t="n"/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  <c r="I60" s="22" t="n"/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  <c r="I61" s="22" t="n"/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  <c r="I62" s="22" t="n"/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  <c r="I63" s="22" t="n"/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  <c r="I64" s="22" t="n"/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  <c r="I65" s="22" t="n"/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  <c r="I66" s="22" t="n"/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  <c r="I67" s="22" t="n"/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  <c r="I68" s="22" t="n"/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  <c r="I69" s="22" t="n"/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  <c r="I70" s="22" t="n"/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  <c r="I71" s="22" t="n"/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  <c r="I72" s="22" t="n"/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  <c r="I73" s="22" t="n"/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  <c r="I74" s="22" t="n"/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  <c r="I75" s="22" t="n"/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  <c r="I76" s="22" t="n"/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  <c r="I77" s="22" t="n"/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  <c r="I78" s="22" t="n"/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  <c r="I79" s="22" t="n"/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  <c r="I80" s="22" t="n"/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  <c r="I81" s="22" t="n"/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  <c r="I82" s="22" t="n"/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  <c r="I83" s="22" t="n"/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  <c r="I84" s="22" t="n"/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  <c r="I85" s="22" t="n"/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  <c r="I86" s="22" t="n"/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  <c r="I87" s="22" t="n"/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  <c r="I88" s="22" t="n"/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  <c r="I89" s="22" t="n"/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  <c r="I90" s="22" t="n"/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  <c r="I91" s="22" t="n"/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  <c r="I92" s="22" t="n"/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  <c r="I93" s="22" t="n"/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  <c r="I94" s="22" t="n"/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  <c r="I95" s="22" t="n"/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  <c r="I96" s="22" t="n"/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  <c r="I97" s="22" t="n"/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  <c r="I98" s="22" t="n"/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  <c r="I99" s="22" t="n"/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  <c r="I100" s="22" t="n"/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  <c r="I101" s="22" t="n"/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  <c r="I102" s="22" t="n"/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  <c r="I103" s="22" t="n"/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  <c r="I104" s="22" t="n"/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  <c r="I105" s="22" t="n"/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  <c r="I106" s="22" t="n"/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  <c r="I107" s="22" t="n"/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  <c r="I108" s="22" t="n"/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  <c r="I109" s="22" t="n"/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  <c r="I110" s="22" t="n"/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  <c r="I111" s="22" t="n"/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  <c r="I112" s="22" t="n"/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  <c r="I113" s="22" t="n"/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  <c r="I114" s="22" t="n"/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  <c r="I115" s="22" t="n"/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  <c r="I116" s="22" t="n"/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  <c r="I117" s="22" t="n"/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  <c r="I118" s="22" t="n"/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  <c r="I119" s="22" t="n"/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  <c r="I120" s="22" t="n"/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  <c r="I121" s="22" t="n"/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  <c r="I122" s="22" t="n"/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  <c r="I123" s="22" t="n"/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  <c r="I124" s="22" t="n"/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  <c r="I125" s="22" t="n"/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  <c r="I126" s="22" t="n"/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  <c r="I127" s="22" t="n"/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  <c r="I128" s="22" t="n"/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  <c r="I129" s="22" t="n"/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  <c r="I130" s="22" t="n"/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  <c r="I131" s="22" t="n"/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  <c r="I132" s="22" t="n"/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  <c r="I133" s="22" t="n"/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  <c r="I134" s="22" t="n"/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  <c r="I135" s="22" t="n"/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  <c r="I136" s="22" t="n"/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  <c r="I137" s="22" t="n"/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  <c r="I138" s="22" t="n"/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  <c r="I139" s="22" t="n"/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  <c r="I140" s="22" t="n"/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  <c r="I141" s="22" t="n"/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  <c r="I142" s="22" t="n"/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  <c r="I143" s="22" t="n"/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  <c r="I144" s="22" t="n"/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  <c r="I145" s="22" t="n"/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  <c r="I146" s="22" t="n"/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  <c r="I147" s="22" t="n"/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  <c r="I148" s="22" t="n"/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  <c r="I149" s="22" t="n"/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  <c r="I150" s="22" t="n"/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  <c r="I151" s="22" t="n"/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  <c r="I152" s="22" t="n"/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  <c r="I153" s="22" t="n"/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  <c r="I154" s="22" t="n"/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  <c r="I155" s="22" t="n"/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  <c r="I156" s="22" t="n"/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  <c r="I157" s="22" t="n"/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  <c r="I158" s="22" t="n"/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  <c r="I159" s="22" t="n"/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  <c r="I160" s="22" t="n"/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  <c r="I161" s="22" t="n"/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  <c r="I162" s="22" t="n"/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  <c r="I163" s="22" t="n"/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  <c r="I164" s="22" t="n"/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  <c r="I165" s="22" t="n"/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  <c r="I166" s="22" t="n"/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  <c r="I167" s="22" t="n"/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  <c r="I168" s="22" t="n"/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  <c r="I169" s="22" t="n"/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  <c r="I170" s="22" t="n"/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  <c r="I171" s="22" t="n"/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  <c r="I172" s="22" t="n"/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  <c r="I173" s="22" t="n"/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  <c r="I174" s="22" t="n"/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  <c r="I175" s="22" t="n"/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  <c r="I176" s="22" t="n"/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  <c r="I177" s="22" t="n"/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  <c r="I178" s="22" t="n"/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  <c r="I179" s="22" t="n"/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  <c r="I180" s="22" t="n"/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  <c r="I181" s="22" t="n"/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  <c r="I182" s="22" t="n"/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  <c r="I183" s="22" t="n"/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  <c r="I184" s="22" t="n"/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  <c r="I185" s="22" t="n"/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  <c r="I186" s="22" t="n"/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  <c r="I187" s="22" t="n"/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  <c r="I188" s="22" t="n"/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  <c r="I189" s="22" t="n"/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  <c r="I190" s="22" t="n"/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  <c r="I191" s="22" t="n"/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  <c r="I192" s="22" t="n"/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  <c r="I193" s="22" t="n"/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  <c r="I194" s="22" t="n"/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  <c r="I195" s="22" t="n"/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  <c r="I196" s="22" t="n"/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  <c r="I197" s="22" t="n"/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  <c r="I198" s="22" t="n"/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  <c r="I199" s="22" t="n"/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  <c r="I200" s="22" t="n"/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  <c r="I201" s="22" t="n"/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  <c r="I202" s="22" t="n"/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  <c r="I203" s="22" t="n"/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  <c r="I204" s="22" t="n"/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  <c r="I205" s="22" t="n"/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  <c r="I206" s="22" t="n"/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  <c r="I207" s="22" t="n"/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  <c r="I208" s="22" t="n"/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  <c r="I209" s="22" t="n"/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  <c r="I210" s="22" t="n"/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  <c r="I211" s="22" t="n"/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  <c r="I212" s="22" t="n"/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  <c r="I213" s="22" t="n"/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  <c r="I214" s="22" t="n"/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  <c r="I215" s="22" t="n"/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  <c r="I216" s="22" t="n"/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  <c r="I217" s="22" t="n"/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  <c r="I218" s="22" t="n"/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  <c r="I219" s="22" t="n"/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  <c r="I220" s="22" t="n"/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  <c r="I221" s="22" t="n"/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  <c r="I222" s="22" t="n"/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  <c r="I223" s="22" t="n"/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  <c r="I224" s="22" t="n"/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  <c r="I225" s="22" t="n"/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  <c r="I226" s="22" t="n"/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  <c r="I227" s="22" t="n"/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  <c r="I228" s="22" t="n"/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  <c r="I229" s="22" t="n"/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  <c r="I230" s="22" t="n"/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  <c r="I231" s="22" t="n"/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  <c r="I232" s="22" t="n"/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  <c r="I233" s="22" t="n"/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  <c r="I234" s="22" t="n"/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  <c r="I235" s="22" t="n"/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  <c r="I236" s="22" t="n"/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  <c r="I237" s="22" t="n"/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  <c r="I238" s="22" t="n"/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  <c r="I239" s="22" t="n"/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  <c r="I240" s="22" t="n"/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  <c r="I241" s="22" t="n"/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  <c r="I242" s="22" t="n"/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  <c r="I243" s="22" t="n"/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  <c r="I244" s="22" t="n"/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  <c r="I245" s="22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16" customWidth="1" min="3" max="3"/>
    <col width="10" customWidth="1" min="4" max="4"/>
    <col width="12" customWidth="1" min="5" max="5"/>
    <col width="12" customWidth="1" min="6" max="6"/>
    <col width="12" customWidth="1" min="7" max="7"/>
  </cols>
  <sheetData>
    <row r="1">
      <c r="A1" s="20" t="inlineStr">
        <is>
          <t>Part Name</t>
        </is>
      </c>
      <c r="B1" s="20" t="inlineStr">
        <is>
          <t>Qty</t>
        </is>
      </c>
      <c r="C1" s="20" t="inlineStr">
        <is>
          <t>Target_Delivery_Date</t>
        </is>
      </c>
      <c r="D1" s="20" t="inlineStr">
        <is>
          <t>WeekIndex</t>
        </is>
      </c>
      <c r="E1" s="20" t="inlineStr">
        <is>
          <t>Order_Month</t>
        </is>
      </c>
      <c r="F1" s="20" t="inlineStr">
        <is>
          <t>IsReconciled</t>
        </is>
      </c>
      <c r="G1" s="20" t="inlineStr">
        <is>
          <t>EffectiveQty</t>
        </is>
      </c>
    </row>
    <row r="2">
      <c r="A2" s="21" t="inlineStr">
        <is>
          <t>(例) CHEM-1010</t>
        </is>
      </c>
      <c r="B2" s="21" t="n">
        <v>0</v>
      </c>
      <c r="C2" s="23" t="n">
        <v>46020</v>
      </c>
      <c r="D2">
        <f>IFERROR(MAX(1,MIN(104,INT(($C2-(DATE(Cal_Weeks!$B$1,1,1)-WEEKDAY(DATE(Cal_Weeks!$B$1,1,1),3)))/7)+1)),"")</f>
        <v/>
      </c>
      <c r="E2" s="24" t="n">
        <v>45992</v>
      </c>
      <c r="F2">
        <f>SUMPRODUCT((T_Shipments[Part Name]=$A2)*(T_Shipments[Order_Month]&lt;&gt;"")*(TEXT(T_Shipments[Order_Month],"yyyy-mm")=TEXT($E2,"yyyy-mm")))&gt;0</f>
        <v/>
      </c>
      <c r="G2">
        <f>IF($F2,0,$B2)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3" t="n">
        <v>46020</v>
      </c>
    </row>
    <row r="3">
      <c r="A3" t="inlineStr">
        <is>
          <t>CHEM-1670</t>
        </is>
      </c>
      <c r="B3" s="21" t="n">
        <v>0</v>
      </c>
      <c r="C3" s="23" t="n">
        <v>46020</v>
      </c>
    </row>
    <row r="4">
      <c r="A4" t="inlineStr">
        <is>
          <t>CHEM-1700</t>
        </is>
      </c>
      <c r="B4" s="21" t="n">
        <v>0</v>
      </c>
      <c r="C4" s="23" t="n">
        <v>46020</v>
      </c>
    </row>
    <row r="5">
      <c r="A5" t="inlineStr">
        <is>
          <t>CHEM-1420</t>
        </is>
      </c>
      <c r="B5" s="21" t="n">
        <v>0</v>
      </c>
      <c r="C5" s="23" t="n">
        <v>46020</v>
      </c>
    </row>
    <row r="6">
      <c r="A6" t="inlineStr">
        <is>
          <t>CHEM-1530</t>
        </is>
      </c>
      <c r="B6" s="21" t="n">
        <v>0</v>
      </c>
      <c r="C6" s="23" t="n">
        <v>46020</v>
      </c>
    </row>
    <row r="7">
      <c r="A7" t="inlineStr">
        <is>
          <t>CHEM-1540</t>
        </is>
      </c>
      <c r="B7" s="21" t="n">
        <v>0</v>
      </c>
      <c r="C7" s="23" t="n">
        <v>46020</v>
      </c>
    </row>
    <row r="8">
      <c r="A8" t="inlineStr">
        <is>
          <t>CHEM-1690</t>
        </is>
      </c>
      <c r="B8" s="21" t="n">
        <v>0</v>
      </c>
      <c r="C8" s="23" t="n">
        <v>46020</v>
      </c>
    </row>
    <row r="9">
      <c r="A9" t="inlineStr">
        <is>
          <t>CHEM-1720</t>
        </is>
      </c>
      <c r="B9" s="21" t="n">
        <v>0</v>
      </c>
      <c r="C9" s="23" t="n">
        <v>46020</v>
      </c>
    </row>
    <row r="10">
      <c r="A10" t="inlineStr">
        <is>
          <t>CHEM-1440</t>
        </is>
      </c>
      <c r="B10" s="21" t="n">
        <v>0</v>
      </c>
      <c r="C10" s="23" t="n">
        <v>46020</v>
      </c>
    </row>
    <row r="11">
      <c r="A11" t="inlineStr">
        <is>
          <t>4HL</t>
        </is>
      </c>
      <c r="B11" s="21" t="n">
        <v>0</v>
      </c>
      <c r="C11" s="23" t="n">
        <v>46020</v>
      </c>
    </row>
    <row r="12">
      <c r="A12" t="inlineStr">
        <is>
          <t>1EK</t>
        </is>
      </c>
      <c r="B12" s="21" t="n">
        <v>0</v>
      </c>
      <c r="C12" s="23" t="n">
        <v>46020</v>
      </c>
    </row>
    <row r="13">
      <c r="A13" t="inlineStr">
        <is>
          <t>7CL</t>
        </is>
      </c>
      <c r="B13" s="21" t="n">
        <v>0</v>
      </c>
      <c r="C13" s="23" t="n">
        <v>46020</v>
      </c>
    </row>
    <row r="14">
      <c r="A14" t="inlineStr">
        <is>
          <t>9RN</t>
        </is>
      </c>
      <c r="B14" s="21" t="n">
        <v>0</v>
      </c>
      <c r="C14" s="23" t="n">
        <v>46020</v>
      </c>
    </row>
    <row r="15">
      <c r="A15" t="inlineStr">
        <is>
          <t>CHEM-1400</t>
        </is>
      </c>
      <c r="B15" s="21" t="n">
        <v>0</v>
      </c>
      <c r="C15" s="23" t="n">
        <v>46020</v>
      </c>
    </row>
    <row r="16">
      <c r="A16" t="inlineStr">
        <is>
          <t>CHEM-1570</t>
        </is>
      </c>
      <c r="B16" s="21" t="n">
        <v>0</v>
      </c>
      <c r="C16" s="23" t="n">
        <v>46020</v>
      </c>
    </row>
    <row r="17">
      <c r="A17" t="inlineStr">
        <is>
          <t>CHEM-1650</t>
        </is>
      </c>
      <c r="B17" s="21" t="n">
        <v>0</v>
      </c>
      <c r="C17" s="23" t="n">
        <v>46020</v>
      </c>
    </row>
    <row r="18">
      <c r="A18" t="inlineStr">
        <is>
          <t>CHEM-1660</t>
        </is>
      </c>
      <c r="B18" s="21" t="n">
        <v>0</v>
      </c>
      <c r="C18" s="23" t="n">
        <v>46020</v>
      </c>
    </row>
    <row r="19">
      <c r="A19" t="inlineStr">
        <is>
          <t>CHEM-1600</t>
        </is>
      </c>
      <c r="B19" s="21" t="n">
        <v>0</v>
      </c>
      <c r="C19" s="23" t="n">
        <v>46020</v>
      </c>
    </row>
    <row r="20">
      <c r="A20" t="inlineStr">
        <is>
          <t>CHEM-1280</t>
        </is>
      </c>
      <c r="B20" s="21" t="n">
        <v>0</v>
      </c>
      <c r="C20" s="23" t="n">
        <v>46020</v>
      </c>
    </row>
    <row r="21">
      <c r="A21" t="inlineStr">
        <is>
          <t>CHEM-1240</t>
        </is>
      </c>
      <c r="B21" s="21" t="n">
        <v>0</v>
      </c>
      <c r="C21" s="23" t="n">
        <v>46020</v>
      </c>
    </row>
    <row r="22">
      <c r="A22" t="inlineStr">
        <is>
          <t>0JN</t>
        </is>
      </c>
      <c r="B22" s="21" t="n">
        <v>0</v>
      </c>
      <c r="C22" s="23" t="n">
        <v>46020</v>
      </c>
    </row>
    <row r="23">
      <c r="A23" t="inlineStr">
        <is>
          <t>CHEM-1760</t>
        </is>
      </c>
      <c r="B23" s="21" t="n">
        <v>0</v>
      </c>
      <c r="C23" s="23" t="n">
        <v>46020</v>
      </c>
    </row>
    <row r="24">
      <c r="A24" t="inlineStr">
        <is>
          <t>Original Towel</t>
        </is>
      </c>
      <c r="B24" s="21" t="n">
        <v>0</v>
      </c>
      <c r="C24" s="23" t="n">
        <v>46020</v>
      </c>
    </row>
    <row r="25">
      <c r="A25" t="inlineStr">
        <is>
          <t>CHEM-1200</t>
        </is>
      </c>
      <c r="B25" s="21" t="n">
        <v>0</v>
      </c>
      <c r="C25" s="23" t="n">
        <v>46020</v>
      </c>
    </row>
    <row r="26">
      <c r="A26" t="inlineStr">
        <is>
          <t>CHEM-1830</t>
        </is>
      </c>
      <c r="B26" s="21" t="n">
        <v>0</v>
      </c>
      <c r="C26" s="23" t="n">
        <v>46020</v>
      </c>
    </row>
    <row r="27">
      <c r="A27" t="inlineStr">
        <is>
          <t>CHEM-1680</t>
        </is>
      </c>
      <c r="B27" s="21" t="n">
        <v>0</v>
      </c>
      <c r="C27" s="23" t="n">
        <v>46020</v>
      </c>
    </row>
    <row r="28">
      <c r="A28" t="inlineStr">
        <is>
          <t>CHEM-1820</t>
        </is>
      </c>
      <c r="B28" s="21" t="n">
        <v>0</v>
      </c>
      <c r="C28" s="23" t="n">
        <v>46020</v>
      </c>
    </row>
    <row r="29">
      <c r="A29" t="inlineStr">
        <is>
          <t>CHEM-1840</t>
        </is>
      </c>
      <c r="B29" s="21" t="n">
        <v>0</v>
      </c>
      <c r="C29" s="23" t="n">
        <v>46020</v>
      </c>
    </row>
    <row r="30">
      <c r="A30" t="inlineStr">
        <is>
          <t>TDJ</t>
        </is>
      </c>
      <c r="B30" s="21" t="n">
        <v>0</v>
      </c>
      <c r="C30" s="23" t="n">
        <v>46020</v>
      </c>
    </row>
    <row r="31">
      <c r="A31" t="inlineStr">
        <is>
          <t>CHEM-1730</t>
        </is>
      </c>
      <c r="B31" s="21" t="n">
        <v>0</v>
      </c>
      <c r="C31" s="23" t="n">
        <v>46020</v>
      </c>
    </row>
    <row r="32">
      <c r="A32" t="inlineStr">
        <is>
          <t>CHEM-1430</t>
        </is>
      </c>
      <c r="B32" s="21" t="n">
        <v>0</v>
      </c>
      <c r="C32" s="23" t="n">
        <v>46020</v>
      </c>
    </row>
    <row r="33">
      <c r="A33" t="inlineStr">
        <is>
          <t>CHEM-1480</t>
        </is>
      </c>
      <c r="B33" s="21" t="n">
        <v>0</v>
      </c>
      <c r="C33" s="23" t="n">
        <v>46020</v>
      </c>
    </row>
    <row r="34">
      <c r="A34" t="inlineStr">
        <is>
          <t>CHEM-1560</t>
        </is>
      </c>
      <c r="B34" s="21" t="n">
        <v>0</v>
      </c>
      <c r="C34" s="23" t="n">
        <v>46020</v>
      </c>
    </row>
    <row r="35">
      <c r="A35" t="inlineStr">
        <is>
          <t>CHEM-1510</t>
        </is>
      </c>
      <c r="B35" s="21" t="n">
        <v>0</v>
      </c>
      <c r="C35" s="23" t="n">
        <v>46020</v>
      </c>
    </row>
    <row r="36">
      <c r="A36" t="inlineStr">
        <is>
          <t>CHEM-1770</t>
        </is>
      </c>
      <c r="B36" s="21" t="n">
        <v>0</v>
      </c>
      <c r="C36" s="23" t="n">
        <v>46020</v>
      </c>
    </row>
    <row r="37">
      <c r="A37" t="inlineStr">
        <is>
          <t>CHEM-1020</t>
        </is>
      </c>
      <c r="B37" s="21" t="n">
        <v>0</v>
      </c>
      <c r="C37" s="23" t="n">
        <v>46020</v>
      </c>
    </row>
    <row r="38">
      <c r="A38" t="inlineStr">
        <is>
          <t>Ester Film</t>
        </is>
      </c>
      <c r="B38" s="21" t="n">
        <v>0</v>
      </c>
      <c r="C38" s="23" t="n">
        <v>46020</v>
      </c>
    </row>
    <row r="39">
      <c r="A39" t="inlineStr">
        <is>
          <t>PP Film</t>
        </is>
      </c>
      <c r="B39" s="21" t="n">
        <v>0</v>
      </c>
      <c r="C39" s="23" t="n">
        <v>46020</v>
      </c>
    </row>
    <row r="40">
      <c r="A40" t="inlineStr">
        <is>
          <t>5SN</t>
        </is>
      </c>
      <c r="B40" s="21" t="n">
        <v>0</v>
      </c>
      <c r="C40" s="23" t="n">
        <v>46020</v>
      </c>
    </row>
    <row r="41">
      <c r="A41" t="inlineStr">
        <is>
          <t>1JN</t>
        </is>
      </c>
      <c r="B41" s="21" t="n">
        <v>0</v>
      </c>
      <c r="C41" s="23" t="n">
        <v>46020</v>
      </c>
    </row>
    <row r="42">
      <c r="A42" t="inlineStr">
        <is>
          <t>V03</t>
        </is>
      </c>
      <c r="B42" s="21" t="n">
        <v>0</v>
      </c>
      <c r="C42" s="23" t="n">
        <v>46020</v>
      </c>
    </row>
    <row r="43">
      <c r="A43" t="inlineStr">
        <is>
          <t>V19</t>
        </is>
      </c>
      <c r="B43" s="21" t="n">
        <v>0</v>
      </c>
      <c r="C43" s="23" t="n">
        <v>46020</v>
      </c>
    </row>
    <row r="44">
      <c r="A44" t="inlineStr">
        <is>
          <t>3TP</t>
        </is>
      </c>
      <c r="B44" s="21" t="n">
        <v>0</v>
      </c>
      <c r="C44" s="23" t="n">
        <v>46020</v>
      </c>
    </row>
    <row r="45">
      <c r="A45" t="inlineStr">
        <is>
          <t>A043</t>
        </is>
      </c>
      <c r="B45" s="21" t="n">
        <v>0</v>
      </c>
      <c r="C45" s="23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  <col width="16" customWidth="1" min="9" max="9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  <c r="I1" s="20" t="inlineStr">
        <is>
          <t>TTAF_Code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  <c r="I2" t="inlineStr">
        <is>
          <t>71288614901</t>
        </is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  <c r="I3" t="inlineStr">
        <is>
          <t>712886265</t>
        </is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  <c r="I4" t="inlineStr">
        <is>
          <t>712886270</t>
        </is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  <c r="I5" t="inlineStr">
        <is>
          <t>71288629601</t>
        </is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  <c r="I6" t="inlineStr">
        <is>
          <t>71388003501</t>
        </is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  <c r="I7" t="inlineStr">
        <is>
          <t>71388005801</t>
        </is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  <c r="I8" t="inlineStr">
        <is>
          <t>734831040</t>
        </is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  <c r="I9" t="inlineStr">
        <is>
          <t>734831050</t>
        </is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  <c r="I10" t="inlineStr">
        <is>
          <t>83988005701</t>
        </is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  <c r="I11" t="inlineStr">
        <is>
          <t>N60H27R08-JP</t>
        </is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  <c r="I12" t="inlineStr">
        <is>
          <t>N60H29R08-JP</t>
        </is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  <c r="I13" t="inlineStr">
        <is>
          <t>N75H28R08-JP</t>
        </is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  <c r="I14" t="inlineStr">
        <is>
          <t>1846515030 ( 4FK13117080Z)</t>
        </is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  <c r="I15" t="inlineStr">
        <is>
          <t>71288617001</t>
        </is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  <c r="I16" t="inlineStr">
        <is>
          <t>71288624802</t>
        </is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  <c r="I17" t="inlineStr">
        <is>
          <t>712886256</t>
        </is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  <c r="I18" t="inlineStr">
        <is>
          <t>71288627101</t>
        </is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  <c r="I19" t="inlineStr">
        <is>
          <t>71388005101</t>
        </is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  <c r="I20" t="inlineStr">
        <is>
          <t>83988002202</t>
        </is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  <c r="I21" t="inlineStr">
        <is>
          <t>83988008101</t>
        </is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  <c r="I22" t="inlineStr">
        <is>
          <t>KFD13117100</t>
        </is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  <c r="I23" t="inlineStr">
        <is>
          <t>713880079</t>
        </is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  <c r="I24" t="inlineStr">
        <is>
          <t>859882220</t>
        </is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  <c r="I25" t="inlineStr">
        <is>
          <t>839880012</t>
        </is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  <c r="I26" t="inlineStr">
        <is>
          <t>713880083</t>
        </is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  <c r="I27" t="inlineStr">
        <is>
          <t>713880069</t>
        </is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  <c r="I28" t="inlineStr">
        <is>
          <t>713880091</t>
        </is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  <c r="I29" t="inlineStr">
        <is>
          <t>712886281</t>
        </is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  <c r="I30" t="inlineStr">
        <is>
          <t>1846537010</t>
        </is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  <c r="I31" t="inlineStr">
        <is>
          <t>71388007701</t>
        </is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  <c r="I32" t="inlineStr">
        <is>
          <t>71388004301</t>
        </is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  <c r="I33" t="inlineStr">
        <is>
          <t>NAT30</t>
        </is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  <c r="I34" t="inlineStr">
        <is>
          <t>734831030</t>
        </is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  <c r="I35" t="inlineStr">
        <is>
          <t>71288625001</t>
        </is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  <c r="I36" t="inlineStr">
        <is>
          <t>New</t>
        </is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  <c r="I37" t="inlineStr"/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  <c r="I38" t="inlineStr"/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  <c r="I39" t="inlineStr">
        <is>
          <t>83988405701</t>
        </is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  <c r="I40" t="inlineStr"/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  <c r="I41" t="inlineStr"/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  <c r="I42" t="inlineStr"/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  <c r="I43" t="inlineStr"/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  <c r="I44" t="inlineStr"/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  <c r="I45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2026-07-27T09:12:11Z</dcterms:created>
  <dcterms:modified xsi:type="dcterms:W3CDTF">2026-07-27T09:12:14Z</dcterms:modified>
</cp:coreProperties>
</file>